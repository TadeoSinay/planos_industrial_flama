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7"/>
  </bookViews>
  <sheets>
    <sheet name="Links" sheetId="1" state="visible" r:id="rId3"/>
    <sheet name="PROY_Indexado" sheetId="2" state="visible" r:id="rId4"/>
    <sheet name="datos_base" sheetId="3" state="visible" r:id="rId5"/>
    <sheet name="parametros_recargas" sheetId="4" state="visible" r:id="rId6"/>
    <sheet name="sobrestock_sustitutos" sheetId="5" state="visible" r:id="rId7"/>
    <sheet name="Plan mensual" sheetId="6" state="visible" r:id="rId8"/>
    <sheet name="Demanda por puesto" sheetId="7" state="visible" r:id="rId9"/>
    <sheet name="Resumen Capacidad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<sst xmlns="http://schemas.openxmlformats.org/spreadsheetml/2006/main" count="1080" uniqueCount="424">
  <si>
    <t xml:space="preserve">Links e IMPORTRANGE</t>
  </si>
  <si>
    <t xml:space="preserve">Pegar en B el link de cada Google Sheet. La primera vez, tocar la primera celda de cada bloque y «Permitir acceso». Todos los IMPORTRANGE del libro están en esta hoja; las demás la leen.</t>
  </si>
  <si>
    <t xml:space="preserve">Archivo</t>
  </si>
  <si>
    <t xml:space="preserve">Link</t>
  </si>
  <si>
    <t xml:space="preserve">Qué se importa</t>
  </si>
  <si>
    <t xml:space="preserve">Estado</t>
  </si>
  <si>
    <t xml:space="preserve">Proyecciones</t>
  </si>
  <si>
    <t xml:space="preserve">https://docs.google.com/spreadsheets/d/1xc4xDAwSYT3l-RulPYtcePxiCninrbQGzaBUsgO0YEs/edit?gid=1764491891#gid=1764491891</t>
  </si>
  <si>
    <t xml:space="preserve">Indexado Dim Técnico B27:K43, U61:U74, V61 y V63</t>
  </si>
  <si>
    <t xml:space="preserve">Aprovechamiento Manuales</t>
  </si>
  <si>
    <t xml:space="preserve">PEGAR ACÁ EL LINK DEL GOOGLE SHEET</t>
  </si>
  <si>
    <t xml:space="preserve">parametros_manuales K33, K34, K39, K40, K41 y K43 (equivalencia del rodante)</t>
  </si>
  <si>
    <t xml:space="preserve">Aprovechamiento Carros</t>
  </si>
  <si>
    <t xml:space="preserve">parametros_carros I29, I30, I33 e I34 (equivalencia del rodante)</t>
  </si>
  <si>
    <t xml:space="preserve">MRP (FLAMA_MRP)</t>
  </si>
  <si>
    <t xml:space="preserve">ESTACIONALIDAD C4:N6 (llegada de los sustitutos ABC nuevos)</t>
  </si>
  <si>
    <t xml:space="preserve">Proyecciones · Indexado Dim Técnico!B27:K43: recargas por tipo</t>
  </si>
  <si>
    <t xml:space="preserve">2026</t>
  </si>
  <si>
    <t xml:space="preserve">2027</t>
  </si>
  <si>
    <t xml:space="preserve">2028</t>
  </si>
  <si>
    <t xml:space="preserve">2029</t>
  </si>
  <si>
    <t xml:space="preserve">2030</t>
  </si>
  <si>
    <t xml:space="preserve">2031</t>
  </si>
  <si>
    <t xml:space="preserve">2032</t>
  </si>
  <si>
    <t xml:space="preserve">2033</t>
  </si>
  <si>
    <t xml:space="preserve">2034</t>
  </si>
  <si>
    <t xml:space="preserve">2035</t>
  </si>
  <si>
    <t xml:space="preserve">ABC 1 kg</t>
  </si>
  <si>
    <t xml:space="preserve">ABC 2,5 kg</t>
  </si>
  <si>
    <t xml:space="preserve">ABC 5 kg</t>
  </si>
  <si>
    <t xml:space="preserve">ABC 10 kg</t>
  </si>
  <si>
    <t xml:space="preserve">Agua 10 l</t>
  </si>
  <si>
    <t xml:space="preserve">AFFF 10 l</t>
  </si>
  <si>
    <t xml:space="preserve">AFFF 50 l s/ruedas</t>
  </si>
  <si>
    <t xml:space="preserve">BC 5 kg</t>
  </si>
  <si>
    <t xml:space="preserve">Sales K 6 l</t>
  </si>
  <si>
    <t xml:space="preserve">CO₂ 2 kg</t>
  </si>
  <si>
    <t xml:space="preserve">CO₂ 5 kg</t>
  </si>
  <si>
    <t xml:space="preserve">HCFC/HFC 5 kg</t>
  </si>
  <si>
    <t xml:space="preserve">Clase D 9 l</t>
  </si>
  <si>
    <t xml:space="preserve">ABC 25 kg s/ruedas</t>
  </si>
  <si>
    <t xml:space="preserve">ABC 50 kg s/ruedas</t>
  </si>
  <si>
    <t xml:space="preserve">ABC 70 kg s/ruedas</t>
  </si>
  <si>
    <t xml:space="preserve">ABC 100 kg s/ruedas</t>
  </si>
  <si>
    <t xml:space="preserve">Proyecciones · Indexado Dim Técnico!U61:U74: % de recargas por zona 2035</t>
  </si>
  <si>
    <t xml:space="preserve">CABA Norte</t>
  </si>
  <si>
    <t xml:space="preserve">CABA Este</t>
  </si>
  <si>
    <t xml:space="preserve">CABA Sur</t>
  </si>
  <si>
    <t xml:space="preserve">CABA Oeste</t>
  </si>
  <si>
    <t xml:space="preserve">PBA Sur 1er (Avellaneda)</t>
  </si>
  <si>
    <t xml:space="preserve">PBA Sur 2do cordón</t>
  </si>
  <si>
    <t xml:space="preserve">PBA Sur 3er cordón</t>
  </si>
  <si>
    <t xml:space="preserve">PBA Norte 1er cordón</t>
  </si>
  <si>
    <t xml:space="preserve">PBA Norte 2do cordón</t>
  </si>
  <si>
    <t xml:space="preserve">PBA Norte 3er cordón</t>
  </si>
  <si>
    <t xml:space="preserve">PBA Oeste 1er cordón</t>
  </si>
  <si>
    <t xml:space="preserve">PBA Oeste 2do cordón</t>
  </si>
  <si>
    <t xml:space="preserve">PBA Oeste 3er cordón</t>
  </si>
  <si>
    <t xml:space="preserve">PBA Interior</t>
  </si>
  <si>
    <t xml:space="preserve">Proyecciones · Indexado Dim Técnico!V61: % de recargas de la planta comercial</t>
  </si>
  <si>
    <t xml:space="preserve">Comercial</t>
  </si>
  <si>
    <t xml:space="preserve">Proyecciones · Indexado Dim Técnico!V63: % de recargas de la planta industrial</t>
  </si>
  <si>
    <t xml:space="preserve">Industrial</t>
  </si>
  <si>
    <t xml:space="preserve">MRP (FLAMA_MRP) · ESTACIONALIDAD!C4:N4: E01 automotor (1 kg)</t>
  </si>
  <si>
    <t xml:space="preserve">Ene</t>
  </si>
  <si>
    <t xml:space="preserve">Feb</t>
  </si>
  <si>
    <t xml:space="preserve">Mar</t>
  </si>
  <si>
    <t xml:space="preserve">Abr</t>
  </si>
  <si>
    <t xml:space="preserve">May</t>
  </si>
  <si>
    <t xml:space="preserve">Jun</t>
  </si>
  <si>
    <t xml:space="preserve">Jul</t>
  </si>
  <si>
    <t xml:space="preserve">Ago</t>
  </si>
  <si>
    <t xml:space="preserve">Sep</t>
  </si>
  <si>
    <t xml:space="preserve">Oct</t>
  </si>
  <si>
    <t xml:space="preserve">Nov</t>
  </si>
  <si>
    <t xml:space="preserve">Dic</t>
  </si>
  <si>
    <t xml:space="preserve">E01 automotor (1 kg)</t>
  </si>
  <si>
    <t xml:space="preserve">MRP (FLAMA_MRP) · ESTACIONALIDAD!C5:N5: E02 manual comercial (2,5 a 10 kg)</t>
  </si>
  <si>
    <t xml:space="preserve">E02 manual comercial (2,5 a 10 kg)</t>
  </si>
  <si>
    <t xml:space="preserve">MRP (FLAMA_MRP) · ESTACIONALIDAD!C6:N6: E03 rodantes (25 a 100 kg)</t>
  </si>
  <si>
    <t xml:space="preserve">E03 rodantes (25 a 100 kg)</t>
  </si>
  <si>
    <t xml:space="preserve">Aprovechamiento Manuales · parametros_manuales!K33: Prueba hidráulica (s/u)</t>
  </si>
  <si>
    <t xml:space="preserve">Prueba hidráulica</t>
  </si>
  <si>
    <t xml:space="preserve">Aprovechamiento Carros · parametros_carros!I29: Prueba hidráulica (min/u)</t>
  </si>
  <si>
    <t xml:space="preserve">Aprovechamiento Manuales · parametros_manuales!K34: Secado (s/u)</t>
  </si>
  <si>
    <t xml:space="preserve">Secado</t>
  </si>
  <si>
    <t xml:space="preserve">Aprovechamiento Carros · parametros_carros!I30: Secado (min/u)</t>
  </si>
  <si>
    <t xml:space="preserve">Aprovechamiento Manuales · parametros_manuales!K39: Carga de polvo y presurización (s/u)</t>
  </si>
  <si>
    <t xml:space="preserve">Carga de polvo y presurización</t>
  </si>
  <si>
    <t xml:space="preserve">Aprovechamiento Manuales · parametros_manuales!K41: Carga de polvo y presurización (s/u)</t>
  </si>
  <si>
    <t xml:space="preserve">Aprovechamiento Carros · parametros_carros!I33: Carga de polvo y presurización (min/u)</t>
  </si>
  <si>
    <t xml:space="preserve">Aprovechamiento Manuales · parametros_manuales!K40: Ensamblaje / montaje, precinto y etiquetado (s/u)</t>
  </si>
  <si>
    <t xml:space="preserve">Ensamblaje / montaje, precinto y etiquetado</t>
  </si>
  <si>
    <t xml:space="preserve">Aprovechamiento Manuales · parametros_manuales!K43: Ensamblaje / montaje, precinto y etiquetado (s/u)</t>
  </si>
  <si>
    <t xml:space="preserve">Aprovechamiento Carros · parametros_carros!I34: Ensamblaje / montaje, precinto y etiquetado (min/u)</t>
  </si>
  <si>
    <t xml:space="preserve">Proyecciones — Indexado Dim Técnico</t>
  </si>
  <si>
    <t xml:space="preserve">Recargas por tipo</t>
  </si>
  <si>
    <t xml:space="preserve">Recargas total</t>
  </si>
  <si>
    <t xml:space="preserve">Recargas por zona y planta (PBA Interior queda fuera: la atienden distribuidores ajenos)</t>
  </si>
  <si>
    <t xml:space="preserve">Zona</t>
  </si>
  <si>
    <t xml:space="preserve">% zonal 2035</t>
  </si>
  <si>
    <t xml:space="preserve">Planta</t>
  </si>
  <si>
    <t xml:space="preserve">Fuera</t>
  </si>
  <si>
    <t xml:space="preserve">% de recargas</t>
  </si>
  <si>
    <t xml:space="preserve">Control: suma de sus zonas</t>
  </si>
  <si>
    <t xml:space="preserve">Comercial (Proyecciones V61)</t>
  </si>
  <si>
    <t xml:space="preserve">Industrial (Proyecciones V63)</t>
  </si>
  <si>
    <t xml:space="preserve">Fuera: PBA Interior (distribuidores ajenos)</t>
  </si>
  <si>
    <t xml:space="preserve">Total (tiene que dar 100 %)</t>
  </si>
  <si>
    <t xml:space="preserve">Tasas de Proyecciones (hojas PROYECCION por rubro; iguales en todos los tipos)</t>
  </si>
  <si>
    <t xml:space="preserve">Concepto</t>
  </si>
  <si>
    <t xml:space="preserve">Valor</t>
  </si>
  <si>
    <t xml:space="preserve">Uso en este archivo</t>
  </si>
  <si>
    <t xml:space="preserve">Mat Usados ÷ RECARGAS An</t>
  </si>
  <si>
    <t xml:space="preserve">Llega descargado por uso (parametros_recargas fila 22)</t>
  </si>
  <si>
    <t xml:space="preserve">Mat PH ÷ RECARGAS An</t>
  </si>
  <si>
    <t xml:space="preserve">No pasa la PH (fila 19)</t>
  </si>
  <si>
    <t xml:space="preserve">Mat Rot ÷ RECARGAS An</t>
  </si>
  <si>
    <t xml:space="preserve">Se rompe en el uso (fila 20)</t>
  </si>
  <si>
    <t xml:space="preserve">Mat Fin VU ÷ RECARGAS An</t>
  </si>
  <si>
    <t xml:space="preserve">No se usa: vida útil del Anexo E (fila 17) · § 4.2</t>
  </si>
  <si>
    <t xml:space="preserve">Planta de este archivo</t>
  </si>
  <si>
    <t xml:space="preserve">% de recargas de esta planta</t>
  </si>
  <si>
    <t xml:space="preserve">Recargas de mercado 2035 por tipo y rubro en las zonas de la planta comercial (hojas PROYECCION &lt;rubro&gt;)</t>
  </si>
  <si>
    <t xml:space="preserve">Tipo</t>
  </si>
  <si>
    <t xml:space="preserve">Automotor</t>
  </si>
  <si>
    <t xml:space="preserve">Edificios</t>
  </si>
  <si>
    <t xml:space="preserve">Educación</t>
  </si>
  <si>
    <t xml:space="preserve">Hoteles</t>
  </si>
  <si>
    <t xml:space="preserve">Industrias / almacenes</t>
  </si>
  <si>
    <t xml:space="preserve">Salud</t>
  </si>
  <si>
    <t xml:space="preserve">Supermercados</t>
  </si>
  <si>
    <t xml:space="preserve">Total</t>
  </si>
  <si>
    <t xml:space="preserve">Carros 25/55/12/8 % entre 25, 50, 70 y 100 kg (PxQ Corregido, filas 66 a 69) · § 2</t>
  </si>
  <si>
    <t xml:space="preserve">Lote por cliente (Proyecciones 2033, CABA y PBA sin Interior) · § 7.1</t>
  </si>
  <si>
    <t xml:space="preserve">Parque de matafuegos 2033 (hojas PROYECCION)</t>
  </si>
  <si>
    <t xml:space="preserve">Establecimientos 2033 (% PENETRACION, AÑO 8)</t>
  </si>
  <si>
    <t xml:space="preserve">Matafuegos por establecimiento</t>
  </si>
  <si>
    <t xml:space="preserve">Superficie media del local (m², INDEC)</t>
  </si>
  <si>
    <t xml:space="preserve">Piso Dec. 351/79: 1 cada 200 m²</t>
  </si>
  <si>
    <t xml:space="preserve">Lote adoptado (u. por cliente)</t>
  </si>
  <si>
    <t xml:space="preserve">Tipo de matafuego</t>
  </si>
  <si>
    <t xml:space="preserve">Recargas Total</t>
  </si>
  <si>
    <t xml:space="preserve">Parámetro</t>
  </si>
  <si>
    <t xml:space="preserve">Fuente / criterio</t>
  </si>
  <si>
    <t xml:space="preserve">Días hábiles por mes</t>
  </si>
  <si>
    <t xml:space="preserve">2035: 248 hábiles (Ley 27.399) · § 11</t>
  </si>
  <si>
    <t xml:space="preserve">Horas por día (1 turno)</t>
  </si>
  <si>
    <t xml:space="preserve">Ley 11.544 · § 11</t>
  </si>
  <si>
    <t xml:space="preserve">Refrigerio (min/turno)</t>
  </si>
  <si>
    <t xml:space="preserve">Excel del grupo · § 11</t>
  </si>
  <si>
    <t xml:space="preserve">Horas productivas por turno</t>
  </si>
  <si>
    <t xml:space="preserve">Horas productivas por mes (1 turno)</t>
  </si>
  <si>
    <t xml:space="preserve">Umbral de aprovechamiento</t>
  </si>
  <si>
    <t xml:space="preserve">Límite del grupo · § 8</t>
  </si>
  <si>
    <t xml:space="preserve">Turnos máximos por día</t>
  </si>
  <si>
    <t xml:space="preserve">Ley 11.544 · § 8</t>
  </si>
  <si>
    <t xml:space="preserve">Equivalencia de un rodante (u. equivalentes)</t>
  </si>
  <si>
    <t xml:space="preserve">Tiempos de FLAMA · § 6</t>
  </si>
  <si>
    <t xml:space="preserve">Año de inicio del 2° turno (antes: más máquinas)</t>
  </si>
  <si>
    <t xml:space="preserve">Criterio del grupo · § 8</t>
  </si>
  <si>
    <t xml:space="preserve">CRITERIOS DE RECARGA POR AGENTE — PLANTA COMERCIAL (qué le pasa al equipo en el año)</t>
  </si>
  <si>
    <t xml:space="preserve">Qué le pasa al equipo</t>
  </si>
  <si>
    <t xml:space="preserve">Unidad</t>
  </si>
  <si>
    <t xml:space="preserve">Fuente</t>
  </si>
  <si>
    <t xml:space="preserve">ABC</t>
  </si>
  <si>
    <t xml:space="preserve">BC</t>
  </si>
  <si>
    <t xml:space="preserve">Clase D</t>
  </si>
  <si>
    <t xml:space="preserve">Agua</t>
  </si>
  <si>
    <t xml:space="preserve">AFFF</t>
  </si>
  <si>
    <t xml:space="preserve">Sales K</t>
  </si>
  <si>
    <t xml:space="preserve">CO₂</t>
  </si>
  <si>
    <t xml:space="preserve">Halogenado</t>
  </si>
  <si>
    <t xml:space="preserve">Intervalo de prueba hidráulica</t>
  </si>
  <si>
    <t xml:space="preserve">años</t>
  </si>
  <si>
    <t xml:space="preserve">IRAM 3517-2 Anexo E</t>
  </si>
  <si>
    <t xml:space="preserve">Norma</t>
  </si>
  <si>
    <t xml:space="preserve">Vence la prueba hidráulica</t>
  </si>
  <si>
    <t xml:space="preserve">% por año</t>
  </si>
  <si>
    <t xml:space="preserve">1 ÷ intervalo (9.7.2)</t>
  </si>
  <si>
    <t xml:space="preserve">Daño menor (corrosión o golpe): va a PH</t>
  </si>
  <si>
    <t xml:space="preserve">9.7.1.2 · § 4.3</t>
  </si>
  <si>
    <t xml:space="preserve">Criterio</t>
  </si>
  <si>
    <t xml:space="preserve">Pasa por prueba hidráulica</t>
  </si>
  <si>
    <t xml:space="preserve">Vence + daño</t>
  </si>
  <si>
    <t xml:space="preserve">Cálculo</t>
  </si>
  <si>
    <t xml:space="preserve">Vida útil</t>
  </si>
  <si>
    <t xml:space="preserve">Llega al fin de la vida útil</t>
  </si>
  <si>
    <t xml:space="preserve">1 ÷ vida útil</t>
  </si>
  <si>
    <t xml:space="preserve">No pasa la prueba hidráulica</t>
  </si>
  <si>
    <t xml:space="preserve">Proyecciones (Mat PH)</t>
  </si>
  <si>
    <t xml:space="preserve">Dato</t>
  </si>
  <si>
    <t xml:space="preserve">Se rompe en el uso</t>
  </si>
  <si>
    <t xml:space="preserve">Proyecciones (Mat Rot)</t>
  </si>
  <si>
    <t xml:space="preserve">Se inutiliza</t>
  </si>
  <si>
    <t xml:space="preserve">Fin de vida + PH + roto (9.12)</t>
  </si>
  <si>
    <t xml:space="preserve">Llega descargado por uso</t>
  </si>
  <si>
    <t xml:space="preserve">Proyecciones (Mat Usados)</t>
  </si>
  <si>
    <t xml:space="preserve">Cambio obligatorio del agente</t>
  </si>
  <si>
    <t xml:space="preserve">9.9.4 a), Anexo E · § 4.5</t>
  </si>
  <si>
    <t xml:space="preserve">Hay que abrir la válvula (pérdida de masa o daño)</t>
  </si>
  <si>
    <t xml:space="preserve">Anexo F · § 4.6</t>
  </si>
  <si>
    <t xml:space="preserve">Se pinta</t>
  </si>
  <si>
    <t xml:space="preserve">9.10 · § 4.7</t>
  </si>
  <si>
    <t xml:space="preserve">Humedad interior al desarmar (secado extra)</t>
  </si>
  <si>
    <t xml:space="preserve">9.8 · § 4.8</t>
  </si>
  <si>
    <t xml:space="preserve">Capacidad de la tolva de polvo recuperado</t>
  </si>
  <si>
    <t xml:space="preserve">kg</t>
  </si>
  <si>
    <t xml:space="preserve">Word, op. 3 (Yukon)</t>
  </si>
  <si>
    <t xml:space="preserve">Ensayos de laboratorio por equipo</t>
  </si>
  <si>
    <t xml:space="preserve">ensayos/u.</t>
  </si>
  <si>
    <t xml:space="preserve">1 por tolva (9.9.3) · § 4.9</t>
  </si>
  <si>
    <t xml:space="preserve">Estado: Norma = IRAM 3517-2 · Dato = Proyecciones o Word · Criterio (fondo gris) = sin estadística publicada, a confirmar en la visita (§ 12) · Cálculo = sale de las filas de arriba</t>
  </si>
  <si>
    <t xml:space="preserve">ESTACIONALIDAD DE LAS RECARGAS POR RUBRO (% de las recargas del año en cada mes)</t>
  </si>
  <si>
    <t xml:space="preserve">IRAM 3517-2 9.2.1 y 9.4.14: cada equipo vuelve en el mes de su último mantenimiento · § 3</t>
  </si>
  <si>
    <t xml:space="preserve">Rubro</t>
  </si>
  <si>
    <t xml:space="preserve">Temporada dic.-ene., transición nov. y feb. · § 3.1</t>
  </si>
  <si>
    <t xml:space="preserve">Asambleas abr.-jun. (+); receso ene.-feb. (−) · § 3.2</t>
  </si>
  <si>
    <t xml:space="preserve">Receso de verano e inicio de clases ene.-mar. (+); receso de invierno jul. (+½) · § 3.3</t>
  </si>
  <si>
    <t xml:space="preserve">Baja ocupación may.-jun. y ago.-oct. (+); temporada ene., feb. y jul. (−) · § 3.4</t>
  </si>
  <si>
    <t xml:space="preserve">Sin estacionalidad (Res. SRT 463/09) · § 3.5</t>
  </si>
  <si>
    <t xml:space="preserve">Verano dic.-feb. (+); campaña de invierno jun.-ago. (−) · § 3.6</t>
  </si>
  <si>
    <t xml:space="preserve">Baja venta may.-ago. (+); fiestas y verano nov.-feb. (−) · § 3.7</t>
  </si>
  <si>
    <t xml:space="preserve">Dato de la estacionalidad</t>
  </si>
  <si>
    <t xml:space="preserve">Automotor: enero (% de las recargas del año)</t>
  </si>
  <si>
    <t xml:space="preserve">ITV Córdoba: 12 % en enero · § 3.1</t>
  </si>
  <si>
    <t xml:space="preserve">Automotor: diciembre (% del año)</t>
  </si>
  <si>
    <t xml:space="preserve">Igual a enero: RTO Mendoza, dic. y ene. · § 3.1</t>
  </si>
  <si>
    <t xml:space="preserve">Automotor: noviembre y febrero, parte del exceso de la temporada</t>
  </si>
  <si>
    <t xml:space="preserve">Criterio de transición · § 3.1</t>
  </si>
  <si>
    <t xml:space="preserve">Automotor: exceso de la temporada sobre un mes común</t>
  </si>
  <si>
    <t xml:space="preserve">Los 12 meses suman 100 %</t>
  </si>
  <si>
    <t xml:space="preserve">Automotor: mes común (marzo a octubre)</t>
  </si>
  <si>
    <t xml:space="preserve">Automotor: noviembre y febrero</t>
  </si>
  <si>
    <t xml:space="preserve">Rubros institucionales: un mes preferido pesa 1 + a y uno vedado 1 − a; a =</t>
  </si>
  <si>
    <t xml:space="preserve">Criterio: las fuentes dan los meses, no cuánto · § 3.8</t>
  </si>
  <si>
    <t xml:space="preserve">TIPOS DE MATAFUEGO Y PERFIL MENSUAL DE RECARGAS (mix de rubros de la planta × estacionalidad de cada rubro)</t>
  </si>
  <si>
    <t xml:space="preserve">Agente (ruta)</t>
  </si>
  <si>
    <t xml:space="preserve">u. equivalentes por recipiente</t>
  </si>
  <si>
    <t xml:space="preserve">Manguera con PH anual (1 = sí)</t>
  </si>
  <si>
    <t xml:space="preserve">Mes pico</t>
  </si>
  <si>
    <t xml:space="preserve">Carga nominal (kg o l)</t>
  </si>
  <si>
    <t xml:space="preserve">Toda la planta (recargas 2035; lo importan el MRP y Recargas.xlsx)</t>
  </si>
  <si>
    <t xml:space="preserve">CAPACIDAD POR PUESTO (fracción de cada agente que pasa por el puesto; cilindro nuevo: 1 = pasa)</t>
  </si>
  <si>
    <t xml:space="preserve">N°</t>
  </si>
  <si>
    <t xml:space="preserve">Puesto / operación</t>
  </si>
  <si>
    <t xml:space="preserve">Máquina / equipo</t>
  </si>
  <si>
    <t xml:space="preserve">Recurso</t>
  </si>
  <si>
    <t xml:space="preserve">Cilindro nuevo (alta de sustituto)</t>
  </si>
  <si>
    <t xml:space="preserve">Tiempo tipo (s/u)</t>
  </si>
  <si>
    <t xml:space="preserve">Cap. real (u/h)</t>
  </si>
  <si>
    <t xml:space="preserve">Cap. real (u/mes, 1 turno)</t>
  </si>
  <si>
    <t xml:space="preserve">Word</t>
  </si>
  <si>
    <t xml:space="preserve">Recepción y registro</t>
  </si>
  <si>
    <t xml:space="preserve">Autoelevador + tablet e impresora de etiquetas; jaulas A y B</t>
  </si>
  <si>
    <t xml:space="preserve">Manual</t>
  </si>
  <si>
    <t xml:space="preserve">§ 5.1</t>
  </si>
  <si>
    <t xml:space="preserve">Inspección visual</t>
  </si>
  <si>
    <t xml:space="preserve">Mesa con goma, lámpara con lupa, PC</t>
  </si>
  <si>
    <t xml:space="preserve">§ 5.2</t>
  </si>
  <si>
    <t xml:space="preserve">Descarga ABC — ruta recuperable</t>
  </si>
  <si>
    <t xml:space="preserve">Máquina neumática Yukon (tolva 240 kg)</t>
  </si>
  <si>
    <t xml:space="preserve">Máquina</t>
  </si>
  <si>
    <t xml:space="preserve">§ 5.3</t>
  </si>
  <si>
    <t xml:space="preserve">Descarga a descarte (ABC, BC y Clase D)</t>
  </si>
  <si>
    <t xml:space="preserve">Tambor Yukon M-000030 de ABC y Clase D + tambor exclusivo de BC</t>
  </si>
  <si>
    <t xml:space="preserve">§ 5.4</t>
  </si>
  <si>
    <t xml:space="preserve">Descarga y carga de agua / AFFF / sales K</t>
  </si>
  <si>
    <t xml:space="preserve">IBC 1.000 l (AFFF), tanque 600 l (agua) y tanque de premezcla con bomba 40 l/min + balanza</t>
  </si>
  <si>
    <t xml:space="preserve">§ 5.5</t>
  </si>
  <si>
    <t xml:space="preserve">Recuperación y carga de CO₂</t>
  </si>
  <si>
    <t xml:space="preserve">Trasvasadora CO₂ 103/D1 + manifold (recupera y carga)</t>
  </si>
  <si>
    <t xml:space="preserve">§ 5.6</t>
  </si>
  <si>
    <t xml:space="preserve">Recuperación y carga de halogenado</t>
  </si>
  <si>
    <t xml:space="preserve">Unidad THB/BP + pinza (recupera y carga)</t>
  </si>
  <si>
    <t xml:space="preserve">§ 5.7</t>
  </si>
  <si>
    <t xml:space="preserve">Desarme y limpieza — recinto</t>
  </si>
  <si>
    <t xml:space="preserve">Lanza de soplado + aspiradora industrial + llaves</t>
  </si>
  <si>
    <t xml:space="preserve">§ 5.8</t>
  </si>
  <si>
    <t xml:space="preserve">Desarme e inspección interior — zona general</t>
  </si>
  <si>
    <t xml:space="preserve">Boroscopio Klein ET19 + llaves</t>
  </si>
  <si>
    <t xml:space="preserve">§ 5.9</t>
  </si>
  <si>
    <t xml:space="preserve">Laboratorio — Puffer y mufla</t>
  </si>
  <si>
    <t xml:space="preserve">Puffer Yukon M-100150 + mufla ORL-0</t>
  </si>
  <si>
    <t xml:space="preserve">§ 5.10</t>
  </si>
  <si>
    <t xml:space="preserve">Máquina PH Yukon 300 kg/cm²</t>
  </si>
  <si>
    <t xml:space="preserve">§ 5.11</t>
  </si>
  <si>
    <t xml:space="preserve">Secadora Yukon de 6 recipientes</t>
  </si>
  <si>
    <t xml:space="preserve">§ 5.12</t>
  </si>
  <si>
    <t xml:space="preserve">Inspección interior con videoscopio</t>
  </si>
  <si>
    <t xml:space="preserve">Videoscopio + mesa con soporte en V</t>
  </si>
  <si>
    <t xml:space="preserve">§ 5.13</t>
  </si>
  <si>
    <t xml:space="preserve">Pintura</t>
  </si>
  <si>
    <t xml:space="preserve">Cabina con extracción, HVLP, lámparas IR, amoladora</t>
  </si>
  <si>
    <t xml:space="preserve">§ 5.14</t>
  </si>
  <si>
    <t xml:space="preserve">Carga de polvo ABC, BC y Clase D</t>
  </si>
  <si>
    <t xml:space="preserve">Cargadora Yukon con corte por peso (ABC); cargadora portátil BC y embudo de Clase D, exclusivos</t>
  </si>
  <si>
    <t xml:space="preserve">§ 5.15</t>
  </si>
  <si>
    <t xml:space="preserve">Ensamblaje y marbete — recinto</t>
  </si>
  <si>
    <t xml:space="preserve">Morsa + llave dinamométrica</t>
  </si>
  <si>
    <t xml:space="preserve">§ 5.16</t>
  </si>
  <si>
    <t xml:space="preserve">Presurización — recinto</t>
  </si>
  <si>
    <t xml:space="preserve">Pinza Yukon M-000150 + regulador</t>
  </si>
  <si>
    <t xml:space="preserve">§ 5.17</t>
  </si>
  <si>
    <t xml:space="preserve">Ensamblaje y presurización — zona general</t>
  </si>
  <si>
    <t xml:space="preserve">Morsa + dinamométrica + pinza Yukon</t>
  </si>
  <si>
    <t xml:space="preserve">§ 5.18</t>
  </si>
  <si>
    <t xml:space="preserve">Control de peso (CO₂ y halogenados sin recarga)</t>
  </si>
  <si>
    <t xml:space="preserve">Balanza</t>
  </si>
  <si>
    <t xml:space="preserve">§ 5.19</t>
  </si>
  <si>
    <t xml:space="preserve">Ensayo de pérdidas</t>
  </si>
  <si>
    <t xml:space="preserve">Tanque de inmersión inox (6 posiciones); spray en rodantes</t>
  </si>
  <si>
    <t xml:space="preserve">§ 5.20</t>
  </si>
  <si>
    <t xml:space="preserve">Precinto, etiqueta y despacho</t>
  </si>
  <si>
    <t xml:space="preserve">Dispensador + impresora + jaulas</t>
  </si>
  <si>
    <t xml:space="preserve">§ 5.21</t>
  </si>
  <si>
    <t xml:space="preserve">Inutilización y disposición final</t>
  </si>
  <si>
    <t xml:space="preserve">Taladro de columna con prensa en V</t>
  </si>
  <si>
    <t xml:space="preserve">§ 5.22</t>
  </si>
  <si>
    <t xml:space="preserve">PH de mangueras (CO₂ y rodantes)</t>
  </si>
  <si>
    <t xml:space="preserve">Máquina PH Yukon 300 kg/cm² (la misma de los recipientes)</t>
  </si>
  <si>
    <t xml:space="preserve">—</t>
  </si>
  <si>
    <t xml:space="preserve">§ 5.23</t>
  </si>
  <si>
    <t xml:space="preserve">PERFIL DE LLEGADA DE LOS SUSTITUTOS ABC NUEVOS (perfiles de producción del MRP)</t>
  </si>
  <si>
    <t xml:space="preserve">Solo los que llegan como cilindro vacío (planta comercial) · § 7.4</t>
  </si>
  <si>
    <t xml:space="preserve">Perfil del MRP</t>
  </si>
  <si>
    <t xml:space="preserve">Tipos ABC que lo siguen</t>
  </si>
  <si>
    <t xml:space="preserve">ABC 2,5 kg, ABC 5 kg, ABC 10 kg</t>
  </si>
  <si>
    <t xml:space="preserve">ABC 25 kg s/ruedas, ABC 50 kg s/ruedas, ABC 70 kg s/ruedas, ABC 100 kg s/ruedas</t>
  </si>
  <si>
    <t xml:space="preserve">EQUIVALENCIA DE UN RODANTE (tiempos de fábrica de FLAMA: Manuales y Carros)</t>
  </si>
  <si>
    <t xml:space="preserve">Tiempo del carro (ponderado con el mix 2035) ÷ tiempo del manual en las operaciones comunes · § 6</t>
  </si>
  <si>
    <t xml:space="preserve">Operación común</t>
  </si>
  <si>
    <t xml:space="preserve">Manual (s/u)</t>
  </si>
  <si>
    <t xml:space="preserve">Carro (min/u)</t>
  </si>
  <si>
    <t xml:space="preserve">Carro ÷ manual</t>
  </si>
  <si>
    <t xml:space="preserve">Origen</t>
  </si>
  <si>
    <t xml:space="preserve">Manuales K33; Carros I29</t>
  </si>
  <si>
    <t xml:space="preserve">Manuales K34; Carros I30</t>
  </si>
  <si>
    <t xml:space="preserve">Manuales K39 + K41; Carros I33</t>
  </si>
  <si>
    <t xml:space="preserve">Manuales K40 + K43; Carros I34</t>
  </si>
  <si>
    <t xml:space="preserve">Equivalencia de un rodante (promedio, va a B9)</t>
  </si>
  <si>
    <t xml:space="preserve">SUSTITUTOS (IRAM 3517-2:2020, 9.4.5)</t>
  </si>
  <si>
    <t xml:space="preserve">Mismo tipo que el equipo retirado; sale y vuelve con el camión del lote · § 7</t>
  </si>
  <si>
    <t xml:space="preserve">Día de retiro</t>
  </si>
  <si>
    <t xml:space="preserve">Sale con el camión que retira el lote</t>
  </si>
  <si>
    <t xml:space="preserve">Día de devolución</t>
  </si>
  <si>
    <t xml:space="preserve">Vuelve con el camión que devuelve el lote</t>
  </si>
  <si>
    <t xml:space="preserve">Minutos productivos por turno</t>
  </si>
  <si>
    <t xml:space="preserve">Origen del alta de los ABC · § 7.4</t>
  </si>
  <si>
    <t xml:space="preserve">Turnos por día desde el año del 2° turno</t>
  </si>
  <si>
    <t xml:space="preserve">Antes, 1 turno</t>
  </si>
  <si>
    <t xml:space="preserve">Año del 2° turno</t>
  </si>
  <si>
    <t xml:space="preserve">El mismo del aprovechamiento</t>
  </si>
  <si>
    <t xml:space="preserve">Superficie por matafuego (m²)</t>
  </si>
  <si>
    <t xml:space="preserve">Dec. 351/79, anexo VII</t>
  </si>
  <si>
    <t xml:space="preserve">PASO 1 — Lote, días en planta y ciclo por rubro</t>
  </si>
  <si>
    <t xml:space="preserve">Días en planta = minutos del lote ÷ minutos por día, hacia arriba · § 7.2</t>
  </si>
  <si>
    <t xml:space="preserve">% de las recargas (mercado, zonas de la planta)</t>
  </si>
  <si>
    <t xml:space="preserve">Lote por cliente (equipos que se retiran juntos)</t>
  </si>
  <si>
    <t xml:space="preserve">Superficie mínima que protege el lote (m²)</t>
  </si>
  <si>
    <t xml:space="preserve">Minutos de operación por equipo (mix del rubro)</t>
  </si>
  <si>
    <t xml:space="preserve">Minutos del lote en planta</t>
  </si>
  <si>
    <t xml:space="preserve">Días en planta con 1 turno</t>
  </si>
  <si>
    <t xml:space="preserve">Días en planta con 2 turnos</t>
  </si>
  <si>
    <t xml:space="preserve">Ciclo del sustituto con 1 turno (días)</t>
  </si>
  <si>
    <t xml:space="preserve">Ciclo del sustituto con 2 turnos (días)</t>
  </si>
  <si>
    <t xml:space="preserve">PASO 2 — Tipos (el ciclo de cada tipo pesa los rubros según sus recargas)</t>
  </si>
  <si>
    <t xml:space="preserve">Lleva sustituto (1 = sí)</t>
  </si>
  <si>
    <t xml:space="preserve">Minutos de operación por equipo</t>
  </si>
  <si>
    <t xml:space="preserve">Ciclo con 1 turno (días)</t>
  </si>
  <si>
    <t xml:space="preserve">Ciclo con 2 turnos (días)</t>
  </si>
  <si>
    <t xml:space="preserve">Origen del alta</t>
  </si>
  <si>
    <t xml:space="preserve">Nota</t>
  </si>
  <si>
    <t xml:space="preserve">Automotor: sin canje</t>
  </si>
  <si>
    <t xml:space="preserve">PASO 3 — Stock (u.)</t>
  </si>
  <si>
    <t xml:space="preserve">Recargas del año × % del mes pico ÷ días del mes × ciclo, hacia arriba · § 7.3</t>
  </si>
  <si>
    <t xml:space="preserve">PASO 4 — Alta anual (u.)</t>
  </si>
  <si>
    <t xml:space="preserve">Lo que crece el stock + stock del año anterior × % que se inutiliza (fila 21) · § 7.4</t>
  </si>
  <si>
    <t xml:space="preserve">Fábrica: cilindro vacío (se carga en esta planta)</t>
  </si>
  <si>
    <t xml:space="preserve">Fábrica: terminado (sale de la línea)</t>
  </si>
  <si>
    <t xml:space="preserve">Compra</t>
  </si>
  <si>
    <t xml:space="preserve">Kits de sustituto</t>
  </si>
  <si>
    <t xml:space="preserve">Manuales importa B73:K76 y Carros B86:K89 · § 9</t>
  </si>
  <si>
    <t xml:space="preserve">Agente</t>
  </si>
  <si>
    <t xml:space="preserve">u. equiv.</t>
  </si>
  <si>
    <t xml:space="preserve">Total recipientes (con mantenimiento de sustitutos)</t>
  </si>
  <si>
    <t xml:space="preserve">Por agente (u. equivalentes)</t>
  </si>
  <si>
    <t xml:space="preserve">Mangueras con PH anual (u.)</t>
  </si>
  <si>
    <t xml:space="preserve">Sustitutos ABC nuevos como cilindro vacío (u. equiv.)</t>
  </si>
  <si>
    <t xml:space="preserve">Año 2026</t>
  </si>
  <si>
    <t xml:space="preserve">Total anual</t>
  </si>
  <si>
    <t xml:space="preserve">Demanda mes pico (u/mes)</t>
  </si>
  <si>
    <t xml:space="preserve">Demanda (u/h, 1 turno)</t>
  </si>
  <si>
    <t xml:space="preserve">Año 2027</t>
  </si>
  <si>
    <t xml:space="preserve">Año 2028</t>
  </si>
  <si>
    <t xml:space="preserve">Año 2029</t>
  </si>
  <si>
    <t xml:space="preserve">Año 2030</t>
  </si>
  <si>
    <t xml:space="preserve">Año 2031</t>
  </si>
  <si>
    <t xml:space="preserve">Año 2032</t>
  </si>
  <si>
    <t xml:space="preserve">Año 2033</t>
  </si>
  <si>
    <t xml:space="preserve">Año 2034</t>
  </si>
  <si>
    <t xml:space="preserve">Año 2035</t>
  </si>
  <si>
    <t xml:space="preserve">Aprovechamiento consolidado (recargas + mantenimiento y alta de sustitutos)</t>
  </si>
  <si>
    <t xml:space="preserve">Color</t>
  </si>
  <si>
    <t xml:space="preserve">Cuándo</t>
  </si>
  <si>
    <t xml:space="preserve">OK</t>
  </si>
  <si>
    <t xml:space="preserve">Dentro del umbral</t>
  </si>
  <si>
    <t xml:space="preserve">Agrega turno</t>
  </si>
  <si>
    <t xml:space="preserve">Solo en el año del 2° turno</t>
  </si>
  <si>
    <t xml:space="preserve">Agrega máquina</t>
  </si>
  <si>
    <t xml:space="preserve">Antes del año del 2° turno (o en ese año si 2 turnos no alcanzan)</t>
  </si>
  <si>
    <t xml:space="preserve">Agrega operario (puesto manual)</t>
  </si>
  <si>
    <t xml:space="preserve">Igual que máquina, en un puesto manual</t>
  </si>
  <si>
    <t xml:space="preserve">Tercerizado</t>
  </si>
  <si>
    <t xml:space="preserve">Recurso tercerizado</t>
  </si>
  <si>
    <t xml:space="preserve">Revisar</t>
  </si>
  <si>
    <t xml:space="preserve">Plan cargado a mano que pasa el umbral</t>
  </si>
  <si>
    <t xml:space="preserve">Año de inicio del 2° turno</t>
  </si>
  <si>
    <t xml:space="preserve">Máquinas y turnos se pueden cambiar a mano; los colores se recalculan · § 8</t>
  </si>
  <si>
    <t xml:space="preserve">Aprovechamiento máximo</t>
  </si>
  <si>
    <t xml:space="preserve">Máquinas en el puesto</t>
  </si>
  <si>
    <t xml:space="preserve">TOTAL máquinas / puestos</t>
  </si>
  <si>
    <t xml:space="preserve">Turnos del puesto</t>
  </si>
  <si>
    <t xml:space="preserve">Turnos de la planta (máximo)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</si>
</sst>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"/>
    <numFmt numFmtId="166" formatCode="0.0%"/>
    <numFmt numFmtId="167" formatCode="0"/>
    <numFmt numFmtId="168" formatCode="0.00"/>
    <numFmt numFmtId="169" formatCode="0.0"/>
    <numFmt numFmtId="170" formatCode="0%"/>
    <numFmt numFmtId="171" formatCode="0.0000"/>
    <numFmt numFmtId="172" formatCode="0.#"/>
    <numFmt numFmtId="173" formatCode="#,##0.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F2F2F2"/>
        <bgColor rgb="FFFFFFFF"/>
      </patternFill>
    </fill>
    <fill>
      <patternFill patternType="solid">
        <fgColor rgb="FF4A86E8"/>
        <bgColor rgb="FF666699"/>
      </patternFill>
    </fill>
    <fill>
      <patternFill patternType="solid">
        <fgColor rgb="FFFF00FF"/>
        <bgColor rgb="FFFF00FF"/>
      </patternFill>
    </fill>
    <fill>
      <patternFill patternType="solid">
        <fgColor rgb="FFE06666"/>
        <bgColor rgb="FFFF6600"/>
      </patternFill>
    </fill>
    <fill>
      <patternFill patternType="solid">
        <fgColor rgb="FFFF9900"/>
        <bgColor rgb="FFFFCC00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4A86E8"/>
        </patternFill>
      </fill>
    </dxf>
    <dxf>
      <fill>
        <patternFill>
          <bgColor rgb="FFFF00FF"/>
        </patternFill>
      </fill>
    </dxf>
    <dxf>
      <fill>
        <patternFill>
          <bgColor rgb="FFE0666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E06666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86E8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9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13" min="2" style="0" width="11"/>
    <col collapsed="false" customWidth="true" hidden="false" outlineLevel="0" max="14" min="14" style="0" width="3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true" outlineLevel="0" collapsed="false">
      <c r="A3" s="3" t="s">
        <v>2</v>
      </c>
      <c r="B3" s="3" t="s">
        <v>3</v>
      </c>
      <c r="C3" s="3"/>
      <c r="D3" s="3"/>
      <c r="E3" s="3"/>
      <c r="F3" s="3"/>
      <c r="G3" s="3" t="s">
        <v>4</v>
      </c>
      <c r="H3" s="3"/>
      <c r="I3" s="3"/>
      <c r="J3" s="3"/>
      <c r="K3" s="3"/>
      <c r="L3" s="3"/>
      <c r="M3" s="3" t="s">
        <v>5</v>
      </c>
    </row>
    <row r="4" customFormat="false" ht="23.85" hidden="false" customHeight="true" outlineLevel="0" collapsed="false">
      <c r="A4" s="4" t="s">
        <v>6</v>
      </c>
      <c r="B4" s="5" t="s">
        <v>7</v>
      </c>
      <c r="C4" s="5"/>
      <c r="D4" s="5"/>
      <c r="E4" s="5"/>
      <c r="F4" s="5"/>
      <c r="G4" s="5" t="s">
        <v>8</v>
      </c>
      <c r="H4" s="5"/>
      <c r="I4" s="5"/>
      <c r="J4" s="5"/>
      <c r="K4" s="5"/>
      <c r="L4" s="5"/>
      <c r="M4" s="6" t="str">
        <f aca="false">IF(ISERROR(B12),"Falta el link o «Permitir acceso»","OK")</f>
        <v>OK</v>
      </c>
    </row>
    <row r="5" customFormat="false" ht="15" hidden="false" customHeight="true" outlineLevel="0" collapsed="false">
      <c r="A5" s="4" t="s">
        <v>9</v>
      </c>
      <c r="B5" s="5" t="s">
        <v>10</v>
      </c>
      <c r="C5" s="5"/>
      <c r="D5" s="5"/>
      <c r="E5" s="5"/>
      <c r="F5" s="5"/>
      <c r="G5" s="5" t="s">
        <v>11</v>
      </c>
      <c r="H5" s="5"/>
      <c r="I5" s="5"/>
      <c r="J5" s="5"/>
      <c r="K5" s="5"/>
      <c r="L5" s="5"/>
      <c r="M5" s="6" t="str">
        <f aca="false">IF(ISERROR(B65),"Falta el link o «Permitir acceso»","OK")</f>
        <v>OK</v>
      </c>
    </row>
    <row r="6" customFormat="false" ht="15" hidden="false" customHeight="true" outlineLevel="0" collapsed="false">
      <c r="A6" s="4" t="s">
        <v>12</v>
      </c>
      <c r="B6" s="5" t="s">
        <v>10</v>
      </c>
      <c r="C6" s="5"/>
      <c r="D6" s="5"/>
      <c r="E6" s="5"/>
      <c r="F6" s="5"/>
      <c r="G6" s="5" t="s">
        <v>13</v>
      </c>
      <c r="H6" s="5"/>
      <c r="I6" s="5"/>
      <c r="J6" s="5"/>
      <c r="K6" s="5"/>
      <c r="L6" s="5"/>
      <c r="M6" s="6" t="str">
        <f aca="false">IF(ISERROR(B68),"Falta el link o «Permitir acceso»","OK")</f>
        <v>OK</v>
      </c>
    </row>
    <row r="7" customFormat="false" ht="15" hidden="false" customHeight="true" outlineLevel="0" collapsed="false">
      <c r="A7" s="4" t="s">
        <v>14</v>
      </c>
      <c r="B7" s="5" t="s">
        <v>10</v>
      </c>
      <c r="C7" s="5"/>
      <c r="D7" s="5"/>
      <c r="E7" s="5"/>
      <c r="F7" s="5"/>
      <c r="G7" s="5" t="s">
        <v>15</v>
      </c>
      <c r="H7" s="5"/>
      <c r="I7" s="5"/>
      <c r="J7" s="5"/>
      <c r="K7" s="5"/>
      <c r="L7" s="5"/>
      <c r="M7" s="6" t="str">
        <f aca="false">IF(ISERROR(B54),"Falta el link o «Permitir acceso»","OK")</f>
        <v>OK</v>
      </c>
    </row>
    <row r="10" customFormat="false" ht="15" hidden="false" customHeight="false" outlineLevel="0" collapsed="false">
      <c r="A10" s="7" t="s">
        <v>16</v>
      </c>
    </row>
    <row r="11" customFormat="false" ht="15" hidden="false" customHeight="false" outlineLevel="0" collapsed="false">
      <c r="A11" s="3"/>
      <c r="B11" s="3" t="s">
        <v>17</v>
      </c>
      <c r="C11" s="3" t="s">
        <v>18</v>
      </c>
      <c r="D11" s="3" t="s">
        <v>19</v>
      </c>
      <c r="E11" s="3" t="s">
        <v>20</v>
      </c>
      <c r="F11" s="3" t="s">
        <v>21</v>
      </c>
      <c r="G11" s="3" t="s">
        <v>22</v>
      </c>
      <c r="H11" s="3" t="s">
        <v>23</v>
      </c>
      <c r="I11" s="3" t="s">
        <v>24</v>
      </c>
      <c r="J11" s="3" t="s">
        <v>25</v>
      </c>
      <c r="K11" s="3" t="s">
        <v>26</v>
      </c>
    </row>
    <row r="12" customFormat="false" ht="15" hidden="false" customHeight="false" outlineLevel="0" collapsed="false">
      <c r="A12" s="5" t="s">
        <v>27</v>
      </c>
      <c r="B12" s="8" t="n">
        <f aca="false">IFERROR(__xludf.DUMMYFUNCTION("IMPORTRANGE(Links!$B$4,""Indexado Dim Técnico!B27:K43"")"),3477.482124)</f>
        <v>3477.482124</v>
      </c>
      <c r="C12" s="8" t="n">
        <f aca="false">IFERROR(__xludf.DUMMYFUNCTION("""COMPUTED_VALUE"""),16970.58564)</f>
        <v>16970.58564</v>
      </c>
      <c r="D12" s="8" t="n">
        <f aca="false">IFERROR(__xludf.DUMMYFUNCTION("""COMPUTED_VALUE"""),30546.08951)</f>
        <v>30546.08951</v>
      </c>
      <c r="E12" s="8" t="n">
        <f aca="false">IFERROR(__xludf.DUMMYFUNCTION("""COMPUTED_VALUE"""),56048.31106)</f>
        <v>56048.31106</v>
      </c>
      <c r="F12" s="8" t="n">
        <f aca="false">IFERROR(__xludf.DUMMYFUNCTION("""COMPUTED_VALUE"""),84270.22613)</f>
        <v>84270.22613</v>
      </c>
      <c r="G12" s="8" t="n">
        <f aca="false">IFERROR(__xludf.DUMMYFUNCTION("""COMPUTED_VALUE"""),117407.8231)</f>
        <v>117407.8231</v>
      </c>
      <c r="H12" s="8" t="n">
        <f aca="false">IFERROR(__xludf.DUMMYFUNCTION("""COMPUTED_VALUE"""),147610.6356)</f>
        <v>147610.6356</v>
      </c>
      <c r="I12" s="8" t="n">
        <f aca="false">IFERROR(__xludf.DUMMYFUNCTION("""COMPUTED_VALUE"""),171404.3607)</f>
        <v>171404.3607</v>
      </c>
      <c r="J12" s="8" t="n">
        <f aca="false">IFERROR(__xludf.DUMMYFUNCTION("""COMPUTED_VALUE"""),183690.566)</f>
        <v>183690.566</v>
      </c>
      <c r="K12" s="8" t="n">
        <f aca="false">IFERROR(__xludf.DUMMYFUNCTION("""COMPUTED_VALUE"""),196282.6907)</f>
        <v>196282.6907</v>
      </c>
    </row>
    <row r="13" customFormat="false" ht="15" hidden="false" customHeight="false" outlineLevel="0" collapsed="false">
      <c r="A13" s="5" t="s">
        <v>28</v>
      </c>
      <c r="B13" s="8" t="n">
        <f aca="false">IFERROR(__xludf.DUMMYFUNCTION("""COMPUTED_VALUE"""),329.996668)</f>
        <v>329.996668</v>
      </c>
      <c r="C13" s="8" t="n">
        <f aca="false">IFERROR(__xludf.DUMMYFUNCTION("""COMPUTED_VALUE"""),1287.414024)</f>
        <v>1287.414024</v>
      </c>
      <c r="D13" s="8" t="n">
        <f aca="false">IFERROR(__xludf.DUMMYFUNCTION("""COMPUTED_VALUE"""),2947.169216)</f>
        <v>2947.169216</v>
      </c>
      <c r="E13" s="8" t="n">
        <f aca="false">IFERROR(__xludf.DUMMYFUNCTION("""COMPUTED_VALUE"""),5426.043269)</f>
        <v>5426.043269</v>
      </c>
      <c r="F13" s="8" t="n">
        <f aca="false">IFERROR(__xludf.DUMMYFUNCTION("""COMPUTED_VALUE"""),7850.875806)</f>
        <v>7850.875806</v>
      </c>
      <c r="G13" s="8" t="n">
        <f aca="false">IFERROR(__xludf.DUMMYFUNCTION("""COMPUTED_VALUE"""),10423.94365)</f>
        <v>10423.94365</v>
      </c>
      <c r="H13" s="8" t="n">
        <f aca="false">IFERROR(__xludf.DUMMYFUNCTION("""COMPUTED_VALUE"""),12809.89571)</f>
        <v>12809.89571</v>
      </c>
      <c r="I13" s="8" t="n">
        <f aca="false">IFERROR(__xludf.DUMMYFUNCTION("""COMPUTED_VALUE"""),14263.06831)</f>
        <v>14263.06831</v>
      </c>
      <c r="J13" s="8" t="n">
        <f aca="false">IFERROR(__xludf.DUMMYFUNCTION("""COMPUTED_VALUE"""),15432.86983)</f>
        <v>15432.86983</v>
      </c>
      <c r="K13" s="8" t="n">
        <f aca="false">IFERROR(__xludf.DUMMYFUNCTION("""COMPUTED_VALUE"""),16620.76117)</f>
        <v>16620.76117</v>
      </c>
    </row>
    <row r="14" customFormat="false" ht="15" hidden="false" customHeight="false" outlineLevel="0" collapsed="false">
      <c r="A14" s="5" t="s">
        <v>29</v>
      </c>
      <c r="B14" s="8" t="n">
        <f aca="false">IFERROR(__xludf.DUMMYFUNCTION("""COMPUTED_VALUE"""),1950.394097)</f>
        <v>1950.394097</v>
      </c>
      <c r="C14" s="8" t="n">
        <f aca="false">IFERROR(__xludf.DUMMYFUNCTION("""COMPUTED_VALUE"""),7852.61852)</f>
        <v>7852.61852</v>
      </c>
      <c r="D14" s="8" t="n">
        <f aca="false">IFERROR(__xludf.DUMMYFUNCTION("""COMPUTED_VALUE"""),17775.85701)</f>
        <v>17775.85701</v>
      </c>
      <c r="E14" s="8" t="n">
        <f aca="false">IFERROR(__xludf.DUMMYFUNCTION("""COMPUTED_VALUE"""),33605.56835)</f>
        <v>33605.56835</v>
      </c>
      <c r="F14" s="8" t="n">
        <f aca="false">IFERROR(__xludf.DUMMYFUNCTION("""COMPUTED_VALUE"""),48407.57189)</f>
        <v>48407.57189</v>
      </c>
      <c r="G14" s="8" t="n">
        <f aca="false">IFERROR(__xludf.DUMMYFUNCTION("""COMPUTED_VALUE"""),64323.04276)</f>
        <v>64323.04276</v>
      </c>
      <c r="H14" s="8" t="n">
        <f aca="false">IFERROR(__xludf.DUMMYFUNCTION("""COMPUTED_VALUE"""),78721.10039)</f>
        <v>78721.10039</v>
      </c>
      <c r="I14" s="8" t="n">
        <f aca="false">IFERROR(__xludf.DUMMYFUNCTION("""COMPUTED_VALUE"""),87237.2124)</f>
        <v>87237.2124</v>
      </c>
      <c r="J14" s="8" t="n">
        <f aca="false">IFERROR(__xludf.DUMMYFUNCTION("""COMPUTED_VALUE"""),94103.66761)</f>
        <v>94103.66761</v>
      </c>
      <c r="K14" s="8" t="n">
        <f aca="false">IFERROR(__xludf.DUMMYFUNCTION("""COMPUTED_VALUE"""),101095.1762)</f>
        <v>101095.1762</v>
      </c>
    </row>
    <row r="15" customFormat="false" ht="15" hidden="false" customHeight="false" outlineLevel="0" collapsed="false">
      <c r="A15" s="5" t="s">
        <v>30</v>
      </c>
      <c r="B15" s="8" t="n">
        <f aca="false">IFERROR(__xludf.DUMMYFUNCTION("""COMPUTED_VALUE"""),118.343632)</f>
        <v>118.343632</v>
      </c>
      <c r="C15" s="8" t="n">
        <f aca="false">IFERROR(__xludf.DUMMYFUNCTION("""COMPUTED_VALUE"""),437.716578)</f>
        <v>437.716578</v>
      </c>
      <c r="D15" s="8" t="n">
        <f aca="false">IFERROR(__xludf.DUMMYFUNCTION("""COMPUTED_VALUE"""),1024.974821)</f>
        <v>1024.974821</v>
      </c>
      <c r="E15" s="8" t="n">
        <f aca="false">IFERROR(__xludf.DUMMYFUNCTION("""COMPUTED_VALUE"""),1960.409862)</f>
        <v>1960.409862</v>
      </c>
      <c r="F15" s="8" t="n">
        <f aca="false">IFERROR(__xludf.DUMMYFUNCTION("""COMPUTED_VALUE"""),2844.976846)</f>
        <v>2844.976846</v>
      </c>
      <c r="G15" s="8" t="n">
        <f aca="false">IFERROR(__xludf.DUMMYFUNCTION("""COMPUTED_VALUE"""),3810.390622)</f>
        <v>3810.390622</v>
      </c>
      <c r="H15" s="8" t="n">
        <f aca="false">IFERROR(__xludf.DUMMYFUNCTION("""COMPUTED_VALUE"""),4663.67807)</f>
        <v>4663.67807</v>
      </c>
      <c r="I15" s="8" t="n">
        <f aca="false">IFERROR(__xludf.DUMMYFUNCTION("""COMPUTED_VALUE"""),5164.514584)</f>
        <v>5164.514584</v>
      </c>
      <c r="J15" s="8" t="n">
        <f aca="false">IFERROR(__xludf.DUMMYFUNCTION("""COMPUTED_VALUE"""),5571.544328)</f>
        <v>5571.544328</v>
      </c>
      <c r="K15" s="8" t="n">
        <f aca="false">IFERROR(__xludf.DUMMYFUNCTION("""COMPUTED_VALUE"""),5985.950855)</f>
        <v>5985.950855</v>
      </c>
    </row>
    <row r="16" customFormat="false" ht="15" hidden="false" customHeight="false" outlineLevel="0" collapsed="false">
      <c r="A16" s="5" t="s">
        <v>31</v>
      </c>
      <c r="B16" s="8" t="n">
        <f aca="false">IFERROR(__xludf.DUMMYFUNCTION("""COMPUTED_VALUE"""),159.308736)</f>
        <v>159.308736</v>
      </c>
      <c r="C16" s="8" t="n">
        <f aca="false">IFERROR(__xludf.DUMMYFUNCTION("""COMPUTED_VALUE"""),643.423542)</f>
        <v>643.423542</v>
      </c>
      <c r="D16" s="8" t="n">
        <f aca="false">IFERROR(__xludf.DUMMYFUNCTION("""COMPUTED_VALUE"""),1474.362741)</f>
        <v>1474.362741</v>
      </c>
      <c r="E16" s="8" t="n">
        <f aca="false">IFERROR(__xludf.DUMMYFUNCTION("""COMPUTED_VALUE"""),2766.451205)</f>
        <v>2766.451205</v>
      </c>
      <c r="F16" s="8" t="n">
        <f aca="false">IFERROR(__xludf.DUMMYFUNCTION("""COMPUTED_VALUE"""),3991.465221)</f>
        <v>3991.465221</v>
      </c>
      <c r="G16" s="8" t="n">
        <f aca="false">IFERROR(__xludf.DUMMYFUNCTION("""COMPUTED_VALUE"""),5335.75578)</f>
        <v>5335.75578</v>
      </c>
      <c r="H16" s="8" t="n">
        <f aca="false">IFERROR(__xludf.DUMMYFUNCTION("""COMPUTED_VALUE"""),6538.958887)</f>
        <v>6538.958887</v>
      </c>
      <c r="I16" s="8" t="n">
        <f aca="false">IFERROR(__xludf.DUMMYFUNCTION("""COMPUTED_VALUE"""),7269.819681)</f>
        <v>7269.819681</v>
      </c>
      <c r="J16" s="8" t="n">
        <f aca="false">IFERROR(__xludf.DUMMYFUNCTION("""COMPUTED_VALUE"""),7855.44139)</f>
        <v>7855.44139</v>
      </c>
      <c r="K16" s="8" t="n">
        <f aca="false">IFERROR(__xludf.DUMMYFUNCTION("""COMPUTED_VALUE"""),8450.814081)</f>
        <v>8450.814081</v>
      </c>
    </row>
    <row r="17" customFormat="false" ht="15" hidden="false" customHeight="false" outlineLevel="0" collapsed="false">
      <c r="A17" s="5" t="s">
        <v>32</v>
      </c>
      <c r="B17" s="8" t="n">
        <f aca="false">IFERROR(__xludf.DUMMYFUNCTION("""COMPUTED_VALUE"""),22.758391)</f>
        <v>22.758391</v>
      </c>
      <c r="C17" s="8" t="n">
        <f aca="false">IFERROR(__xludf.DUMMYFUNCTION("""COMPUTED_VALUE"""),161.315751)</f>
        <v>161.315751</v>
      </c>
      <c r="D17" s="8" t="n">
        <f aca="false">IFERROR(__xludf.DUMMYFUNCTION("""COMPUTED_VALUE"""),316.607276)</f>
        <v>316.607276</v>
      </c>
      <c r="E17" s="8" t="n">
        <f aca="false">IFERROR(__xludf.DUMMYFUNCTION("""COMPUTED_VALUE"""),527.39462)</f>
        <v>527.39462</v>
      </c>
      <c r="F17" s="8" t="n">
        <f aca="false">IFERROR(__xludf.DUMMYFUNCTION("""COMPUTED_VALUE"""),743.788946)</f>
        <v>743.788946</v>
      </c>
      <c r="G17" s="8" t="n">
        <f aca="false">IFERROR(__xludf.DUMMYFUNCTION("""COMPUTED_VALUE"""),962.874335)</f>
        <v>962.874335</v>
      </c>
      <c r="H17" s="8" t="n">
        <f aca="false">IFERROR(__xludf.DUMMYFUNCTION("""COMPUTED_VALUE"""),1194.942207)</f>
        <v>1194.942207</v>
      </c>
      <c r="I17" s="8" t="n">
        <f aca="false">IFERROR(__xludf.DUMMYFUNCTION("""COMPUTED_VALUE"""),1351.617183)</f>
        <v>1351.617183</v>
      </c>
      <c r="J17" s="8" t="n">
        <f aca="false">IFERROR(__xludf.DUMMYFUNCTION("""COMPUTED_VALUE"""),1477.54886)</f>
        <v>1477.54886</v>
      </c>
      <c r="K17" s="8" t="n">
        <f aca="false">IFERROR(__xludf.DUMMYFUNCTION("""COMPUTED_VALUE"""),1604.441422)</f>
        <v>1604.441422</v>
      </c>
    </row>
    <row r="18" customFormat="false" ht="15" hidden="false" customHeight="false" outlineLevel="0" collapsed="false">
      <c r="A18" s="5" t="s">
        <v>33</v>
      </c>
      <c r="B18" s="8" t="n">
        <f aca="false">IFERROR(__xludf.DUMMYFUNCTION("""COMPUTED_VALUE"""),11.379195)</f>
        <v>11.379195</v>
      </c>
      <c r="C18" s="8" t="n">
        <f aca="false">IFERROR(__xludf.DUMMYFUNCTION("""COMPUTED_VALUE"""),83.22352)</f>
        <v>83.22352</v>
      </c>
      <c r="D18" s="8" t="n">
        <f aca="false">IFERROR(__xludf.DUMMYFUNCTION("""COMPUTED_VALUE"""),164.463834)</f>
        <v>164.463834</v>
      </c>
      <c r="E18" s="8" t="n">
        <f aca="false">IFERROR(__xludf.DUMMYFUNCTION("""COMPUTED_VALUE"""),281.341145)</f>
        <v>281.341145</v>
      </c>
      <c r="F18" s="8" t="n">
        <f aca="false">IFERROR(__xludf.DUMMYFUNCTION("""COMPUTED_VALUE"""),398.902509)</f>
        <v>398.902509</v>
      </c>
      <c r="G18" s="8" t="n">
        <f aca="false">IFERROR(__xludf.DUMMYFUNCTION("""COMPUTED_VALUE"""),514.527284)</f>
        <v>514.527284</v>
      </c>
      <c r="H18" s="8" t="n">
        <f aca="false">IFERROR(__xludf.DUMMYFUNCTION("""COMPUTED_VALUE"""),629.065505)</f>
        <v>629.065505</v>
      </c>
      <c r="I18" s="8" t="n">
        <f aca="false">IFERROR(__xludf.DUMMYFUNCTION("""COMPUTED_VALUE"""),711.178024)</f>
        <v>711.178024</v>
      </c>
      <c r="J18" s="8" t="n">
        <f aca="false">IFERROR(__xludf.DUMMYFUNCTION("""COMPUTED_VALUE"""),773.41098)</f>
        <v>773.41098</v>
      </c>
      <c r="K18" s="8" t="n">
        <f aca="false">IFERROR(__xludf.DUMMYFUNCTION("""COMPUTED_VALUE"""),836.350805)</f>
        <v>836.350805</v>
      </c>
    </row>
    <row r="19" customFormat="false" ht="15" hidden="false" customHeight="false" outlineLevel="0" collapsed="false">
      <c r="A19" s="5" t="s">
        <v>34</v>
      </c>
      <c r="B19" s="8" t="n">
        <f aca="false">IFERROR(__xludf.DUMMYFUNCTION("""COMPUTED_VALUE"""),6.827517)</f>
        <v>6.827517</v>
      </c>
      <c r="C19" s="8" t="n">
        <f aca="false">IFERROR(__xludf.DUMMYFUNCTION("""COMPUTED_VALUE"""),47.073112)</f>
        <v>47.073112</v>
      </c>
      <c r="D19" s="8" t="n">
        <f aca="false">IFERROR(__xludf.DUMMYFUNCTION("""COMPUTED_VALUE"""),88.889676)</f>
        <v>88.889676</v>
      </c>
      <c r="E19" s="8" t="n">
        <f aca="false">IFERROR(__xludf.DUMMYFUNCTION("""COMPUTED_VALUE"""),159.502491)</f>
        <v>159.502491</v>
      </c>
      <c r="F19" s="8" t="n">
        <f aca="false">IFERROR(__xludf.DUMMYFUNCTION("""COMPUTED_VALUE"""),219.796202)</f>
        <v>219.796202</v>
      </c>
      <c r="G19" s="8" t="n">
        <f aca="false">IFERROR(__xludf.DUMMYFUNCTION("""COMPUTED_VALUE"""),291.869853)</f>
        <v>291.869853</v>
      </c>
      <c r="H19" s="8" t="n">
        <f aca="false">IFERROR(__xludf.DUMMYFUNCTION("""COMPUTED_VALUE"""),368.844169)</f>
        <v>368.844169</v>
      </c>
      <c r="I19" s="8" t="n">
        <f aca="false">IFERROR(__xludf.DUMMYFUNCTION("""COMPUTED_VALUE"""),408.408953)</f>
        <v>408.408953</v>
      </c>
      <c r="J19" s="8" t="n">
        <f aca="false">IFERROR(__xludf.DUMMYFUNCTION("""COMPUTED_VALUE"""),445.781944)</f>
        <v>445.781944</v>
      </c>
      <c r="K19" s="8" t="n">
        <f aca="false">IFERROR(__xludf.DUMMYFUNCTION("""COMPUTED_VALUE"""),483.479203)</f>
        <v>483.479203</v>
      </c>
    </row>
    <row r="20" customFormat="false" ht="15" hidden="false" customHeight="false" outlineLevel="0" collapsed="false">
      <c r="A20" s="5" t="s">
        <v>35</v>
      </c>
      <c r="B20" s="8" t="n">
        <f aca="false">IFERROR(__xludf.DUMMYFUNCTION("""COMPUTED_VALUE"""),81.930207)</f>
        <v>81.930207</v>
      </c>
      <c r="C20" s="8" t="n">
        <f aca="false">IFERROR(__xludf.DUMMYFUNCTION("""COMPUTED_VALUE"""),335.398855)</f>
        <v>335.398855</v>
      </c>
      <c r="D20" s="8" t="n">
        <f aca="false">IFERROR(__xludf.DUMMYFUNCTION("""COMPUTED_VALUE"""),746.598352)</f>
        <v>746.598352</v>
      </c>
      <c r="E20" s="8" t="n">
        <f aca="false">IFERROR(__xludf.DUMMYFUNCTION("""COMPUTED_VALUE"""),1358.899837)</f>
        <v>1358.899837</v>
      </c>
      <c r="F20" s="8" t="n">
        <f aca="false">IFERROR(__xludf.DUMMYFUNCTION("""COMPUTED_VALUE"""),1961.125522)</f>
        <v>1961.125522</v>
      </c>
      <c r="G20" s="8" t="n">
        <f aca="false">IFERROR(__xludf.DUMMYFUNCTION("""COMPUTED_VALUE"""),2598.541412)</f>
        <v>2598.541412</v>
      </c>
      <c r="H20" s="8" t="n">
        <f aca="false">IFERROR(__xludf.DUMMYFUNCTION("""COMPUTED_VALUE"""),3197.263477)</f>
        <v>3197.263477</v>
      </c>
      <c r="I20" s="8" t="n">
        <f aca="false">IFERROR(__xludf.DUMMYFUNCTION("""COMPUTED_VALUE"""),3578.539452)</f>
        <v>3578.539452</v>
      </c>
      <c r="J20" s="8" t="n">
        <f aca="false">IFERROR(__xludf.DUMMYFUNCTION("""COMPUTED_VALUE"""),3870.747997)</f>
        <v>3870.747997</v>
      </c>
      <c r="K20" s="8" t="n">
        <f aca="false">IFERROR(__xludf.DUMMYFUNCTION("""COMPUTED_VALUE"""),4167.559622)</f>
        <v>4167.559622</v>
      </c>
    </row>
    <row r="21" customFormat="false" ht="15" hidden="false" customHeight="false" outlineLevel="0" collapsed="false">
      <c r="A21" s="5" t="s">
        <v>36</v>
      </c>
      <c r="B21" s="8" t="n">
        <f aca="false">IFERROR(__xludf.DUMMYFUNCTION("""COMPUTED_VALUE"""),450.616139)</f>
        <v>450.616139</v>
      </c>
      <c r="C21" s="8" t="n">
        <f aca="false">IFERROR(__xludf.DUMMYFUNCTION("""COMPUTED_VALUE"""),1697.18149)</f>
        <v>1697.18149</v>
      </c>
      <c r="D21" s="8" t="n">
        <f aca="false">IFERROR(__xludf.DUMMYFUNCTION("""COMPUTED_VALUE"""),3955.196858)</f>
        <v>3955.196858</v>
      </c>
      <c r="E21" s="8" t="n">
        <f aca="false">IFERROR(__xludf.DUMMYFUNCTION("""COMPUTED_VALUE"""),7561.26033)</f>
        <v>7561.26033</v>
      </c>
      <c r="F21" s="8" t="n">
        <f aca="false">IFERROR(__xludf.DUMMYFUNCTION("""COMPUTED_VALUE"""),10920.14481)</f>
        <v>10920.14481</v>
      </c>
      <c r="G21" s="8" t="n">
        <f aca="false">IFERROR(__xludf.DUMMYFUNCTION("""COMPUTED_VALUE"""),14514.88522)</f>
        <v>14514.88522</v>
      </c>
      <c r="H21" s="8" t="n">
        <f aca="false">IFERROR(__xludf.DUMMYFUNCTION("""COMPUTED_VALUE"""),17746.49927)</f>
        <v>17746.49927</v>
      </c>
      <c r="I21" s="8" t="n">
        <f aca="false">IFERROR(__xludf.DUMMYFUNCTION("""COMPUTED_VALUE"""),19617.20546)</f>
        <v>19617.20546</v>
      </c>
      <c r="J21" s="8" t="n">
        <f aca="false">IFERROR(__xludf.DUMMYFUNCTION("""COMPUTED_VALUE"""),21161.80625)</f>
        <v>21161.80625</v>
      </c>
      <c r="K21" s="8" t="n">
        <f aca="false">IFERROR(__xludf.DUMMYFUNCTION("""COMPUTED_VALUE"""),22734.50171)</f>
        <v>22734.50171</v>
      </c>
    </row>
    <row r="22" customFormat="false" ht="15" hidden="false" customHeight="false" outlineLevel="0" collapsed="false">
      <c r="A22" s="5" t="s">
        <v>37</v>
      </c>
      <c r="B22" s="8" t="n">
        <f aca="false">IFERROR(__xludf.DUMMYFUNCTION("""COMPUTED_VALUE"""),125.17115)</f>
        <v>125.17115</v>
      </c>
      <c r="C22" s="8" t="n">
        <f aca="false">IFERROR(__xludf.DUMMYFUNCTION("""COMPUTED_VALUE"""),643.630371)</f>
        <v>643.630371</v>
      </c>
      <c r="D22" s="8" t="n">
        <f aca="false">IFERROR(__xludf.DUMMYFUNCTION("""COMPUTED_VALUE"""),1375.626719)</f>
        <v>1375.626719</v>
      </c>
      <c r="E22" s="8" t="n">
        <f aca="false">IFERROR(__xludf.DUMMYFUNCTION("""COMPUTED_VALUE"""),2460.284265)</f>
        <v>2460.284265</v>
      </c>
      <c r="F22" s="8" t="n">
        <f aca="false">IFERROR(__xludf.DUMMYFUNCTION("""COMPUTED_VALUE"""),3545.257683)</f>
        <v>3545.257683</v>
      </c>
      <c r="G22" s="8" t="n">
        <f aca="false">IFERROR(__xludf.DUMMYFUNCTION("""COMPUTED_VALUE"""),4723.461784)</f>
        <v>4723.461784</v>
      </c>
      <c r="H22" s="8" t="n">
        <f aca="false">IFERROR(__xludf.DUMMYFUNCTION("""COMPUTED_VALUE"""),5853.905178)</f>
        <v>5853.905178</v>
      </c>
      <c r="I22" s="8" t="n">
        <f aca="false">IFERROR(__xludf.DUMMYFUNCTION("""COMPUTED_VALUE"""),6608.459909)</f>
        <v>6608.459909</v>
      </c>
      <c r="J22" s="8" t="n">
        <f aca="false">IFERROR(__xludf.DUMMYFUNCTION("""COMPUTED_VALUE"""),7185.708397)</f>
        <v>7185.708397</v>
      </c>
      <c r="K22" s="8" t="n">
        <f aca="false">IFERROR(__xludf.DUMMYFUNCTION("""COMPUTED_VALUE"""),7769.577127)</f>
        <v>7769.577127</v>
      </c>
    </row>
    <row r="23" customFormat="false" ht="15" hidden="false" customHeight="false" outlineLevel="0" collapsed="false">
      <c r="A23" s="5" t="s">
        <v>38</v>
      </c>
      <c r="B23" s="8" t="n">
        <f aca="false">IFERROR(__xludf.DUMMYFUNCTION("""COMPUTED_VALUE"""),18.206713)</f>
        <v>18.206713</v>
      </c>
      <c r="C23" s="8" t="n">
        <f aca="false">IFERROR(__xludf.DUMMYFUNCTION("""COMPUTED_VALUE"""),112.075122)</f>
        <v>112.075122</v>
      </c>
      <c r="D23" s="8" t="n">
        <f aca="false">IFERROR(__xludf.DUMMYFUNCTION("""COMPUTED_VALUE"""),230.854041)</f>
        <v>230.854041</v>
      </c>
      <c r="E23" s="8" t="n">
        <f aca="false">IFERROR(__xludf.DUMMYFUNCTION("""COMPUTED_VALUE"""),400.715334)</f>
        <v>400.715334</v>
      </c>
      <c r="F23" s="8" t="n">
        <f aca="false">IFERROR(__xludf.DUMMYFUNCTION("""COMPUTED_VALUE"""),574.507789)</f>
        <v>574.507789</v>
      </c>
      <c r="G23" s="8" t="n">
        <f aca="false">IFERROR(__xludf.DUMMYFUNCTION("""COMPUTED_VALUE"""),754.345623)</f>
        <v>754.345623</v>
      </c>
      <c r="H23" s="8" t="n">
        <f aca="false">IFERROR(__xludf.DUMMYFUNCTION("""COMPUTED_VALUE"""),944.84884)</f>
        <v>944.84884</v>
      </c>
      <c r="I23" s="8" t="n">
        <f aca="false">IFERROR(__xludf.DUMMYFUNCTION("""COMPUTED_VALUE"""),1072.234671)</f>
        <v>1072.234671</v>
      </c>
      <c r="J23" s="8" t="n">
        <f aca="false">IFERROR(__xludf.DUMMYFUNCTION("""COMPUTED_VALUE"""),1171.695753)</f>
        <v>1171.695753</v>
      </c>
      <c r="K23" s="8" t="n">
        <f aca="false">IFERROR(__xludf.DUMMYFUNCTION("""COMPUTED_VALUE"""),1271.941099)</f>
        <v>1271.941099</v>
      </c>
    </row>
    <row r="24" customFormat="false" ht="15" hidden="false" customHeight="false" outlineLevel="0" collapsed="false">
      <c r="A24" s="5" t="s">
        <v>39</v>
      </c>
      <c r="B24" s="8" t="n">
        <f aca="false">IFERROR(__xludf.DUMMYFUNCTION("""COMPUTED_VALUE"""),6.827517)</f>
        <v>6.827517</v>
      </c>
      <c r="C24" s="8" t="n">
        <f aca="false">IFERROR(__xludf.DUMMYFUNCTION("""COMPUTED_VALUE"""),47.073112)</f>
        <v>47.073112</v>
      </c>
      <c r="D24" s="8" t="n">
        <f aca="false">IFERROR(__xludf.DUMMYFUNCTION("""COMPUTED_VALUE"""),88.889676)</f>
        <v>88.889676</v>
      </c>
      <c r="E24" s="8" t="n">
        <f aca="false">IFERROR(__xludf.DUMMYFUNCTION("""COMPUTED_VALUE"""),148.279182)</f>
        <v>148.279182</v>
      </c>
      <c r="F24" s="8" t="n">
        <f aca="false">IFERROR(__xludf.DUMMYFUNCTION("""COMPUTED_VALUE"""),205.226053)</f>
        <v>205.226053</v>
      </c>
      <c r="G24" s="8" t="n">
        <f aca="false">IFERROR(__xludf.DUMMYFUNCTION("""COMPUTED_VALUE"""),255.765145)</f>
        <v>255.765145</v>
      </c>
      <c r="H24" s="8" t="n">
        <f aca="false">IFERROR(__xludf.DUMMYFUNCTION("""COMPUTED_VALUE"""),328.417902)</f>
        <v>328.417902</v>
      </c>
      <c r="I24" s="8" t="n">
        <f aca="false">IFERROR(__xludf.DUMMYFUNCTION("""COMPUTED_VALUE"""),366.908071)</f>
        <v>366.908071</v>
      </c>
      <c r="J24" s="8" t="n">
        <f aca="false">IFERROR(__xludf.DUMMYFUNCTION("""COMPUTED_VALUE"""),401.681707)</f>
        <v>401.681707</v>
      </c>
      <c r="K24" s="8" t="n">
        <f aca="false">IFERROR(__xludf.DUMMYFUNCTION("""COMPUTED_VALUE"""),436.686782)</f>
        <v>436.686782</v>
      </c>
    </row>
    <row r="25" customFormat="false" ht="15" hidden="false" customHeight="false" outlineLevel="0" collapsed="false">
      <c r="A25" s="5" t="s">
        <v>40</v>
      </c>
      <c r="B25" s="8" t="n">
        <f aca="false">IFERROR(__xludf.DUMMYFUNCTION("""COMPUTED_VALUE"""),17.637753)</f>
        <v>17.637753</v>
      </c>
      <c r="C25" s="8" t="n">
        <f aca="false">IFERROR(__xludf.DUMMYFUNCTION("""COMPUTED_VALUE"""),85.987819)</f>
        <v>85.987819</v>
      </c>
      <c r="D25" s="8" t="n">
        <f aca="false">IFERROR(__xludf.DUMMYFUNCTION("""COMPUTED_VALUE"""),186.869567)</f>
        <v>186.869567</v>
      </c>
      <c r="E25" s="8" t="n">
        <f aca="false">IFERROR(__xludf.DUMMYFUNCTION("""COMPUTED_VALUE"""),336.583621)</f>
        <v>336.583621</v>
      </c>
      <c r="F25" s="8" t="n">
        <f aca="false">IFERROR(__xludf.DUMMYFUNCTION("""COMPUTED_VALUE"""),484.132598)</f>
        <v>484.132598</v>
      </c>
      <c r="G25" s="8" t="n">
        <f aca="false">IFERROR(__xludf.DUMMYFUNCTION("""COMPUTED_VALUE"""),643.220385)</f>
        <v>643.220385</v>
      </c>
      <c r="H25" s="8" t="n">
        <f aca="false">IFERROR(__xludf.DUMMYFUNCTION("""COMPUTED_VALUE"""),792.431742)</f>
        <v>792.431742</v>
      </c>
      <c r="I25" s="8" t="n">
        <f aca="false">IFERROR(__xludf.DUMMYFUNCTION("""COMPUTED_VALUE"""),889.677707)</f>
        <v>889.677707</v>
      </c>
      <c r="J25" s="8" t="n">
        <f aca="false">IFERROR(__xludf.DUMMYFUNCTION("""COMPUTED_VALUE"""),965.31111)</f>
        <v>965.31111</v>
      </c>
      <c r="K25" s="8" t="n">
        <f aca="false">IFERROR(__xludf.DUMMYFUNCTION("""COMPUTED_VALUE"""),1041.939702)</f>
        <v>1041.939702</v>
      </c>
    </row>
    <row r="26" customFormat="false" ht="15" hidden="false" customHeight="false" outlineLevel="0" collapsed="false">
      <c r="A26" s="5" t="s">
        <v>41</v>
      </c>
      <c r="B26" s="8" t="n">
        <f aca="false">IFERROR(__xludf.DUMMYFUNCTION("""COMPUTED_VALUE"""),38.803056)</f>
        <v>38.803056</v>
      </c>
      <c r="C26" s="8" t="n">
        <f aca="false">IFERROR(__xludf.DUMMYFUNCTION("""COMPUTED_VALUE"""),189.173203)</f>
        <v>189.173203</v>
      </c>
      <c r="D26" s="8" t="n">
        <f aca="false">IFERROR(__xludf.DUMMYFUNCTION("""COMPUTED_VALUE"""),411.113048)</f>
        <v>411.113048</v>
      </c>
      <c r="E26" s="8" t="n">
        <f aca="false">IFERROR(__xludf.DUMMYFUNCTION("""COMPUTED_VALUE"""),740.483966)</f>
        <v>740.483966</v>
      </c>
      <c r="F26" s="8" t="n">
        <f aca="false">IFERROR(__xludf.DUMMYFUNCTION("""COMPUTED_VALUE"""),1065.091715)</f>
        <v>1065.091715</v>
      </c>
      <c r="G26" s="8" t="n">
        <f aca="false">IFERROR(__xludf.DUMMYFUNCTION("""COMPUTED_VALUE"""),1415.084848)</f>
        <v>1415.084848</v>
      </c>
      <c r="H26" s="8" t="n">
        <f aca="false">IFERROR(__xludf.DUMMYFUNCTION("""COMPUTED_VALUE"""),1743.349833)</f>
        <v>1743.349833</v>
      </c>
      <c r="I26" s="8" t="n">
        <f aca="false">IFERROR(__xludf.DUMMYFUNCTION("""COMPUTED_VALUE"""),1957.290955)</f>
        <v>1957.290955</v>
      </c>
      <c r="J26" s="8" t="n">
        <f aca="false">IFERROR(__xludf.DUMMYFUNCTION("""COMPUTED_VALUE"""),2123.684441)</f>
        <v>2123.684441</v>
      </c>
      <c r="K26" s="8" t="n">
        <f aca="false">IFERROR(__xludf.DUMMYFUNCTION("""COMPUTED_VALUE"""),2292.267343)</f>
        <v>2292.267343</v>
      </c>
    </row>
    <row r="27" customFormat="false" ht="15" hidden="false" customHeight="false" outlineLevel="0" collapsed="false">
      <c r="A27" s="5" t="s">
        <v>42</v>
      </c>
      <c r="B27" s="8" t="n">
        <f aca="false">IFERROR(__xludf.DUMMYFUNCTION("""COMPUTED_VALUE"""),8.466121)</f>
        <v>8.466121</v>
      </c>
      <c r="C27" s="8" t="n">
        <f aca="false">IFERROR(__xludf.DUMMYFUNCTION("""COMPUTED_VALUE"""),41.274153)</f>
        <v>41.274153</v>
      </c>
      <c r="D27" s="8" t="n">
        <f aca="false">IFERROR(__xludf.DUMMYFUNCTION("""COMPUTED_VALUE"""),89.697392)</f>
        <v>89.697392</v>
      </c>
      <c r="E27" s="8" t="n">
        <f aca="false">IFERROR(__xludf.DUMMYFUNCTION("""COMPUTED_VALUE"""),161.560138)</f>
        <v>161.560138</v>
      </c>
      <c r="F27" s="8" t="n">
        <f aca="false">IFERROR(__xludf.DUMMYFUNCTION("""COMPUTED_VALUE"""),232.383647)</f>
        <v>232.383647</v>
      </c>
      <c r="G27" s="8" t="n">
        <f aca="false">IFERROR(__xludf.DUMMYFUNCTION("""COMPUTED_VALUE"""),308.745785)</f>
        <v>308.745785</v>
      </c>
      <c r="H27" s="8" t="n">
        <f aca="false">IFERROR(__xludf.DUMMYFUNCTION("""COMPUTED_VALUE"""),380.367236)</f>
        <v>380.367236</v>
      </c>
      <c r="I27" s="8" t="n">
        <f aca="false">IFERROR(__xludf.DUMMYFUNCTION("""COMPUTED_VALUE"""),427.045299)</f>
        <v>427.045299</v>
      </c>
      <c r="J27" s="8" t="n">
        <f aca="false">IFERROR(__xludf.DUMMYFUNCTION("""COMPUTED_VALUE"""),463.349333)</f>
        <v>463.349333</v>
      </c>
      <c r="K27" s="8" t="n">
        <f aca="false">IFERROR(__xludf.DUMMYFUNCTION("""COMPUTED_VALUE"""),500.131057)</f>
        <v>500.131057</v>
      </c>
    </row>
    <row r="28" customFormat="false" ht="15" hidden="false" customHeight="false" outlineLevel="0" collapsed="false">
      <c r="A28" s="5" t="s">
        <v>43</v>
      </c>
      <c r="B28" s="8" t="n">
        <f aca="false">IFERROR(__xludf.DUMMYFUNCTION("""COMPUTED_VALUE"""),5.644081)</f>
        <v>5.644081</v>
      </c>
      <c r="C28" s="8" t="n">
        <f aca="false">IFERROR(__xludf.DUMMYFUNCTION("""COMPUTED_VALUE"""),27.516102)</f>
        <v>27.516102</v>
      </c>
      <c r="D28" s="8" t="n">
        <f aca="false">IFERROR(__xludf.DUMMYFUNCTION("""COMPUTED_VALUE"""),59.798262)</f>
        <v>59.798262</v>
      </c>
      <c r="E28" s="8" t="n">
        <f aca="false">IFERROR(__xludf.DUMMYFUNCTION("""COMPUTED_VALUE"""),107.706759)</f>
        <v>107.706759</v>
      </c>
      <c r="F28" s="8" t="n">
        <f aca="false">IFERROR(__xludf.DUMMYFUNCTION("""COMPUTED_VALUE"""),154.922431)</f>
        <v>154.922431</v>
      </c>
      <c r="G28" s="8" t="n">
        <f aca="false">IFERROR(__xludf.DUMMYFUNCTION("""COMPUTED_VALUE"""),205.830523)</f>
        <v>205.830523</v>
      </c>
      <c r="H28" s="8" t="n">
        <f aca="false">IFERROR(__xludf.DUMMYFUNCTION("""COMPUTED_VALUE"""),253.578158)</f>
        <v>253.578158</v>
      </c>
      <c r="I28" s="8" t="n">
        <f aca="false">IFERROR(__xludf.DUMMYFUNCTION("""COMPUTED_VALUE"""),284.696866)</f>
        <v>284.696866</v>
      </c>
      <c r="J28" s="8" t="n">
        <f aca="false">IFERROR(__xludf.DUMMYFUNCTION("""COMPUTED_VALUE"""),308.899555)</f>
        <v>308.899555</v>
      </c>
      <c r="K28" s="8" t="n">
        <f aca="false">IFERROR(__xludf.DUMMYFUNCTION("""COMPUTED_VALUE"""),333.420704)</f>
        <v>333.420704</v>
      </c>
    </row>
    <row r="30" customFormat="false" ht="15" hidden="false" customHeight="false" outlineLevel="0" collapsed="false">
      <c r="A30" s="7" t="s">
        <v>44</v>
      </c>
    </row>
    <row r="31" customFormat="false" ht="15" hidden="false" customHeight="false" outlineLevel="0" collapsed="false">
      <c r="A31" s="5" t="s">
        <v>45</v>
      </c>
      <c r="B31" s="9" t="n">
        <f aca="false">IFERROR(__xludf.DUMMYFUNCTION("IMPORTRANGE(Links!$B$4,""Indexado Dim Técnico!U61:U74"")"),0.0521797399)</f>
        <v>0.0521797399</v>
      </c>
    </row>
    <row r="32" customFormat="false" ht="15" hidden="false" customHeight="false" outlineLevel="0" collapsed="false">
      <c r="A32" s="5" t="s">
        <v>46</v>
      </c>
      <c r="B32" s="9" t="n">
        <f aca="false">IFERROR(__xludf.DUMMYFUNCTION("""COMPUTED_VALUE"""),0.0798836162)</f>
        <v>0.0798836162</v>
      </c>
    </row>
    <row r="33" customFormat="false" ht="15" hidden="false" customHeight="false" outlineLevel="0" collapsed="false">
      <c r="A33" s="5" t="s">
        <v>47</v>
      </c>
      <c r="B33" s="9" t="n">
        <f aca="false">IFERROR(__xludf.DUMMYFUNCTION("""COMPUTED_VALUE"""),0.059817286)</f>
        <v>0.059817286</v>
      </c>
    </row>
    <row r="34" customFormat="false" ht="15" hidden="false" customHeight="false" outlineLevel="0" collapsed="false">
      <c r="A34" s="5" t="s">
        <v>48</v>
      </c>
      <c r="B34" s="9" t="n">
        <f aca="false">IFERROR(__xludf.DUMMYFUNCTION("""COMPUTED_VALUE"""),0.0637650712)</f>
        <v>0.0637650712</v>
      </c>
    </row>
    <row r="35" customFormat="false" ht="15" hidden="false" customHeight="false" outlineLevel="0" collapsed="false">
      <c r="A35" s="5" t="s">
        <v>49</v>
      </c>
      <c r="B35" s="9" t="n">
        <f aca="false">IFERROR(__xludf.DUMMYFUNCTION("""COMPUTED_VALUE"""),0.0676801452)</f>
        <v>0.0676801452</v>
      </c>
    </row>
    <row r="36" customFormat="false" ht="15" hidden="false" customHeight="false" outlineLevel="0" collapsed="false">
      <c r="A36" s="5" t="s">
        <v>50</v>
      </c>
      <c r="B36" s="9" t="n">
        <f aca="false">IFERROR(__xludf.DUMMYFUNCTION("""COMPUTED_VALUE"""),0.0932172985)</f>
        <v>0.0932172985</v>
      </c>
    </row>
    <row r="37" customFormat="false" ht="15" hidden="false" customHeight="false" outlineLevel="0" collapsed="false">
      <c r="A37" s="5" t="s">
        <v>51</v>
      </c>
      <c r="B37" s="9" t="n">
        <f aca="false">IFERROR(__xludf.DUMMYFUNCTION("""COMPUTED_VALUE"""),0.0675217758)</f>
        <v>0.0675217758</v>
      </c>
    </row>
    <row r="38" customFormat="false" ht="15" hidden="false" customHeight="false" outlineLevel="0" collapsed="false">
      <c r="A38" s="5" t="s">
        <v>52</v>
      </c>
      <c r="B38" s="9" t="n">
        <f aca="false">IFERROR(__xludf.DUMMYFUNCTION("""COMPUTED_VALUE"""),0.0533558834)</f>
        <v>0.0533558834</v>
      </c>
    </row>
    <row r="39" customFormat="false" ht="15" hidden="false" customHeight="false" outlineLevel="0" collapsed="false">
      <c r="A39" s="5" t="s">
        <v>53</v>
      </c>
      <c r="B39" s="9" t="n">
        <f aca="false">IFERROR(__xludf.DUMMYFUNCTION("""COMPUTED_VALUE"""),0.0885682049)</f>
        <v>0.0885682049</v>
      </c>
    </row>
    <row r="40" customFormat="false" ht="15" hidden="false" customHeight="false" outlineLevel="0" collapsed="false">
      <c r="A40" s="5" t="s">
        <v>54</v>
      </c>
      <c r="B40" s="9" t="n">
        <f aca="false">IFERROR(__xludf.DUMMYFUNCTION("""COMPUTED_VALUE"""),0.0471361107)</f>
        <v>0.0471361107</v>
      </c>
    </row>
    <row r="41" customFormat="false" ht="15" hidden="false" customHeight="false" outlineLevel="0" collapsed="false">
      <c r="A41" s="5" t="s">
        <v>55</v>
      </c>
      <c r="B41" s="9" t="n">
        <f aca="false">IFERROR(__xludf.DUMMYFUNCTION("""COMPUTED_VALUE"""),0.0848900664)</f>
        <v>0.0848900664</v>
      </c>
    </row>
    <row r="42" customFormat="false" ht="15" hidden="false" customHeight="false" outlineLevel="0" collapsed="false">
      <c r="A42" s="5" t="s">
        <v>56</v>
      </c>
      <c r="B42" s="9" t="n">
        <f aca="false">IFERROR(__xludf.DUMMYFUNCTION("""COMPUTED_VALUE"""),0.0672643024)</f>
        <v>0.0672643024</v>
      </c>
    </row>
    <row r="43" customFormat="false" ht="15" hidden="false" customHeight="false" outlineLevel="0" collapsed="false">
      <c r="A43" s="5" t="s">
        <v>57</v>
      </c>
      <c r="B43" s="9" t="n">
        <f aca="false">IFERROR(__xludf.DUMMYFUNCTION("""COMPUTED_VALUE"""),0.0174767438)</f>
        <v>0.0174767438</v>
      </c>
    </row>
    <row r="44" customFormat="false" ht="15" hidden="false" customHeight="false" outlineLevel="0" collapsed="false">
      <c r="A44" s="5" t="s">
        <v>58</v>
      </c>
      <c r="B44" s="9" t="n">
        <f aca="false">IFERROR(__xludf.DUMMYFUNCTION("""COMPUTED_VALUE"""),0.1572437555)</f>
        <v>0.1572437555</v>
      </c>
    </row>
    <row r="46" customFormat="false" ht="15" hidden="false" customHeight="false" outlineLevel="0" collapsed="false">
      <c r="A46" s="7" t="s">
        <v>59</v>
      </c>
    </row>
    <row r="47" customFormat="false" ht="15" hidden="false" customHeight="false" outlineLevel="0" collapsed="false">
      <c r="A47" s="5" t="s">
        <v>60</v>
      </c>
      <c r="B47" s="9" t="n">
        <f aca="false">IFERROR(__xludf.DUMMYFUNCTION("IMPORTRANGE(Links!$B$4,""Indexado Dim Técnico!V61"")"),0.5545197389)</f>
        <v>0.5545197389</v>
      </c>
    </row>
    <row r="49" customFormat="false" ht="15" hidden="false" customHeight="false" outlineLevel="0" collapsed="false">
      <c r="A49" s="7" t="s">
        <v>61</v>
      </c>
    </row>
    <row r="50" customFormat="false" ht="15" hidden="false" customHeight="false" outlineLevel="0" collapsed="false">
      <c r="A50" s="5" t="s">
        <v>62</v>
      </c>
      <c r="B50" s="9" t="n">
        <f aca="false">IFERROR(__xludf.DUMMYFUNCTION("IMPORTRANGE(Links!$B$4,""Indexado Dim Técnico!V63"")"),0.2882365055)</f>
        <v>0.2882365055</v>
      </c>
    </row>
    <row r="52" customFormat="false" ht="15" hidden="false" customHeight="false" outlineLevel="0" collapsed="false">
      <c r="A52" s="7" t="s">
        <v>63</v>
      </c>
    </row>
    <row r="53" customFormat="false" ht="15" hidden="false" customHeight="false" outlineLevel="0" collapsed="false">
      <c r="A53" s="3"/>
      <c r="B53" s="3" t="s">
        <v>64</v>
      </c>
      <c r="C53" s="3" t="s">
        <v>65</v>
      </c>
      <c r="D53" s="3" t="s">
        <v>66</v>
      </c>
      <c r="E53" s="3" t="s">
        <v>67</v>
      </c>
      <c r="F53" s="3" t="s">
        <v>68</v>
      </c>
      <c r="G53" s="3" t="s">
        <v>69</v>
      </c>
      <c r="H53" s="3" t="s">
        <v>70</v>
      </c>
      <c r="I53" s="3" t="s">
        <v>71</v>
      </c>
      <c r="J53" s="3" t="s">
        <v>72</v>
      </c>
      <c r="K53" s="3" t="s">
        <v>73</v>
      </c>
      <c r="L53" s="3" t="s">
        <v>74</v>
      </c>
      <c r="M53" s="3" t="s">
        <v>75</v>
      </c>
    </row>
    <row r="54" customFormat="false" ht="15" hidden="false" customHeight="false" outlineLevel="0" collapsed="false">
      <c r="A54" s="5" t="s">
        <v>76</v>
      </c>
      <c r="B54" s="9" t="n">
        <f aca="false">IFERROR(__xludf.DUMMYFUNCTION("IMPORTRANGE(Links!$B$7,""ESTACIONALIDAD!C4:N4"")"),0.12)</f>
        <v>0.12</v>
      </c>
      <c r="C54" s="9" t="n">
        <f aca="false">IFERROR(__xludf.DUMMYFUNCTION("""COMPUTED_VALUE"""),0.09)</f>
        <v>0.09</v>
      </c>
      <c r="D54" s="9" t="n">
        <f aca="false">IFERROR(__xludf.DUMMYFUNCTION("""COMPUTED_VALUE"""),0.08)</f>
        <v>0.08</v>
      </c>
      <c r="E54" s="9" t="n">
        <f aca="false">IFERROR(__xludf.DUMMYFUNCTION("""COMPUTED_VALUE"""),0.075)</f>
        <v>0.075</v>
      </c>
      <c r="F54" s="9" t="n">
        <f aca="false">IFERROR(__xludf.DUMMYFUNCTION("""COMPUTED_VALUE"""),0.07)</f>
        <v>0.07</v>
      </c>
      <c r="G54" s="9" t="n">
        <f aca="false">IFERROR(__xludf.DUMMYFUNCTION("""COMPUTED_VALUE"""),0.07)</f>
        <v>0.07</v>
      </c>
      <c r="H54" s="9" t="n">
        <f aca="false">IFERROR(__xludf.DUMMYFUNCTION("""COMPUTED_VALUE"""),0.075)</f>
        <v>0.075</v>
      </c>
      <c r="I54" s="9" t="n">
        <f aca="false">IFERROR(__xludf.DUMMYFUNCTION("""COMPUTED_VALUE"""),0.075)</f>
        <v>0.075</v>
      </c>
      <c r="J54" s="9" t="n">
        <f aca="false">IFERROR(__xludf.DUMMYFUNCTION("""COMPUTED_VALUE"""),0.075)</f>
        <v>0.075</v>
      </c>
      <c r="K54" s="9" t="n">
        <f aca="false">IFERROR(__xludf.DUMMYFUNCTION("""COMPUTED_VALUE"""),0.075)</f>
        <v>0.075</v>
      </c>
      <c r="L54" s="9" t="n">
        <f aca="false">IFERROR(__xludf.DUMMYFUNCTION("""COMPUTED_VALUE"""),0.075)</f>
        <v>0.075</v>
      </c>
      <c r="M54" s="9" t="n">
        <f aca="false">IFERROR(__xludf.DUMMYFUNCTION("""COMPUTED_VALUE"""),0.12)</f>
        <v>0.12</v>
      </c>
    </row>
    <row r="56" customFormat="false" ht="15" hidden="false" customHeight="false" outlineLevel="0" collapsed="false">
      <c r="A56" s="7" t="s">
        <v>77</v>
      </c>
    </row>
    <row r="57" customFormat="false" ht="15" hidden="false" customHeight="false" outlineLevel="0" collapsed="false">
      <c r="A57" s="3"/>
      <c r="B57" s="3" t="s">
        <v>64</v>
      </c>
      <c r="C57" s="3" t="s">
        <v>65</v>
      </c>
      <c r="D57" s="3" t="s">
        <v>66</v>
      </c>
      <c r="E57" s="3" t="s">
        <v>67</v>
      </c>
      <c r="F57" s="3" t="s">
        <v>68</v>
      </c>
      <c r="G57" s="3" t="s">
        <v>69</v>
      </c>
      <c r="H57" s="3" t="s">
        <v>70</v>
      </c>
      <c r="I57" s="3" t="s">
        <v>71</v>
      </c>
      <c r="J57" s="3" t="s">
        <v>72</v>
      </c>
      <c r="K57" s="3" t="s">
        <v>73</v>
      </c>
      <c r="L57" s="3" t="s">
        <v>74</v>
      </c>
      <c r="M57" s="3" t="s">
        <v>75</v>
      </c>
    </row>
    <row r="58" customFormat="false" ht="15" hidden="false" customHeight="false" outlineLevel="0" collapsed="false">
      <c r="A58" s="5" t="s">
        <v>78</v>
      </c>
      <c r="B58" s="9" t="n">
        <f aca="false">IFERROR(__xludf.DUMMYFUNCTION("IMPORTRANGE(Links!$B$7,""ESTACIONALIDAD!C5:N5"")"),0.1)</f>
        <v>0.1</v>
      </c>
      <c r="C58" s="9" t="n">
        <f aca="false">IFERROR(__xludf.DUMMYFUNCTION("""COMPUTED_VALUE"""),0.08)</f>
        <v>0.08</v>
      </c>
      <c r="D58" s="9" t="n">
        <f aca="false">IFERROR(__xludf.DUMMYFUNCTION("""COMPUTED_VALUE"""),0.085)</f>
        <v>0.085</v>
      </c>
      <c r="E58" s="9" t="n">
        <f aca="false">IFERROR(__xludf.DUMMYFUNCTION("""COMPUTED_VALUE"""),0.085)</f>
        <v>0.085</v>
      </c>
      <c r="F58" s="9" t="n">
        <f aca="false">IFERROR(__xludf.DUMMYFUNCTION("""COMPUTED_VALUE"""),0.08)</f>
        <v>0.08</v>
      </c>
      <c r="G58" s="9" t="n">
        <f aca="false">IFERROR(__xludf.DUMMYFUNCTION("""COMPUTED_VALUE"""),0.075)</f>
        <v>0.075</v>
      </c>
      <c r="H58" s="9" t="n">
        <f aca="false">IFERROR(__xludf.DUMMYFUNCTION("""COMPUTED_VALUE"""),0.08)</f>
        <v>0.08</v>
      </c>
      <c r="I58" s="9" t="n">
        <f aca="false">IFERROR(__xludf.DUMMYFUNCTION("""COMPUTED_VALUE"""),0.08)</f>
        <v>0.08</v>
      </c>
      <c r="J58" s="9" t="n">
        <f aca="false">IFERROR(__xludf.DUMMYFUNCTION("""COMPUTED_VALUE"""),0.08)</f>
        <v>0.08</v>
      </c>
      <c r="K58" s="9" t="n">
        <f aca="false">IFERROR(__xludf.DUMMYFUNCTION("""COMPUTED_VALUE"""),0.075)</f>
        <v>0.075</v>
      </c>
      <c r="L58" s="9" t="n">
        <f aca="false">IFERROR(__xludf.DUMMYFUNCTION("""COMPUTED_VALUE"""),0.07)</f>
        <v>0.07</v>
      </c>
      <c r="M58" s="9" t="n">
        <f aca="false">IFERROR(__xludf.DUMMYFUNCTION("""COMPUTED_VALUE"""),0.11)</f>
        <v>0.11</v>
      </c>
    </row>
    <row r="60" customFormat="false" ht="15" hidden="false" customHeight="false" outlineLevel="0" collapsed="false">
      <c r="A60" s="7" t="s">
        <v>79</v>
      </c>
    </row>
    <row r="61" customFormat="false" ht="15" hidden="false" customHeight="false" outlineLevel="0" collapsed="false">
      <c r="A61" s="3"/>
      <c r="B61" s="3" t="s">
        <v>64</v>
      </c>
      <c r="C61" s="3" t="s">
        <v>65</v>
      </c>
      <c r="D61" s="3" t="s">
        <v>66</v>
      </c>
      <c r="E61" s="3" t="s">
        <v>67</v>
      </c>
      <c r="F61" s="3" t="s">
        <v>68</v>
      </c>
      <c r="G61" s="3" t="s">
        <v>69</v>
      </c>
      <c r="H61" s="3" t="s">
        <v>70</v>
      </c>
      <c r="I61" s="3" t="s">
        <v>71</v>
      </c>
      <c r="J61" s="3" t="s">
        <v>72</v>
      </c>
      <c r="K61" s="3" t="s">
        <v>73</v>
      </c>
      <c r="L61" s="3" t="s">
        <v>74</v>
      </c>
      <c r="M61" s="3" t="s">
        <v>75</v>
      </c>
    </row>
    <row r="62" customFormat="false" ht="15" hidden="false" customHeight="false" outlineLevel="0" collapsed="false">
      <c r="A62" s="5" t="s">
        <v>80</v>
      </c>
      <c r="B62" s="9" t="n">
        <f aca="false">IFERROR(__xludf.DUMMYFUNCTION("IMPORTRANGE(Links!$B$7,""ESTACIONALIDAD!C6:N6"")"),0.085)</f>
        <v>0.085</v>
      </c>
      <c r="C62" s="9" t="n">
        <f aca="false">IFERROR(__xludf.DUMMYFUNCTION("""COMPUTED_VALUE"""),0.075)</f>
        <v>0.075</v>
      </c>
      <c r="D62" s="9" t="n">
        <f aca="false">IFERROR(__xludf.DUMMYFUNCTION("""COMPUTED_VALUE"""),0.09)</f>
        <v>0.09</v>
      </c>
      <c r="E62" s="9" t="n">
        <f aca="false">IFERROR(__xludf.DUMMYFUNCTION("""COMPUTED_VALUE"""),0.09)</f>
        <v>0.09</v>
      </c>
      <c r="F62" s="9" t="n">
        <f aca="false">IFERROR(__xludf.DUMMYFUNCTION("""COMPUTED_VALUE"""),0.09)</f>
        <v>0.09</v>
      </c>
      <c r="G62" s="9" t="n">
        <f aca="false">IFERROR(__xludf.DUMMYFUNCTION("""COMPUTED_VALUE"""),0.08)</f>
        <v>0.08</v>
      </c>
      <c r="H62" s="9" t="n">
        <f aca="false">IFERROR(__xludf.DUMMYFUNCTION("""COMPUTED_VALUE"""),0.09)</f>
        <v>0.09</v>
      </c>
      <c r="I62" s="9" t="n">
        <f aca="false">IFERROR(__xludf.DUMMYFUNCTION("""COMPUTED_VALUE"""),0.09)</f>
        <v>0.09</v>
      </c>
      <c r="J62" s="9" t="n">
        <f aca="false">IFERROR(__xludf.DUMMYFUNCTION("""COMPUTED_VALUE"""),0.085)</f>
        <v>0.085</v>
      </c>
      <c r="K62" s="9" t="n">
        <f aca="false">IFERROR(__xludf.DUMMYFUNCTION("""COMPUTED_VALUE"""),0.075)</f>
        <v>0.075</v>
      </c>
      <c r="L62" s="9" t="n">
        <f aca="false">IFERROR(__xludf.DUMMYFUNCTION("""COMPUTED_VALUE"""),0.07)</f>
        <v>0.07</v>
      </c>
      <c r="M62" s="9" t="n">
        <f aca="false">IFERROR(__xludf.DUMMYFUNCTION("""COMPUTED_VALUE"""),0.08)</f>
        <v>0.08</v>
      </c>
    </row>
    <row r="64" customFormat="false" ht="15" hidden="false" customHeight="false" outlineLevel="0" collapsed="false">
      <c r="A64" s="7" t="s">
        <v>81</v>
      </c>
    </row>
    <row r="65" customFormat="false" ht="15" hidden="false" customHeight="false" outlineLevel="0" collapsed="false">
      <c r="A65" s="5" t="s">
        <v>82</v>
      </c>
      <c r="B65" s="10" t="n">
        <f aca="false">IFERROR(__xludf.DUMMYFUNCTION("IMPORTRANGE(Links!$B$5,""parametros_manuales!K33"")"),60)</f>
        <v>60</v>
      </c>
    </row>
    <row r="67" customFormat="false" ht="15" hidden="false" customHeight="false" outlineLevel="0" collapsed="false">
      <c r="A67" s="7" t="s">
        <v>83</v>
      </c>
    </row>
    <row r="68" customFormat="false" ht="15" hidden="false" customHeight="false" outlineLevel="0" collapsed="false">
      <c r="A68" s="5" t="s">
        <v>82</v>
      </c>
      <c r="B68" s="11" t="n">
        <f aca="false">IFERROR(__xludf.DUMMYFUNCTION("IMPORTRANGE(Links!$B$6,""parametros_carros!I29"")"),8.979935)</f>
        <v>8.979935</v>
      </c>
    </row>
    <row r="70" customFormat="false" ht="15" hidden="false" customHeight="false" outlineLevel="0" collapsed="false">
      <c r="A70" s="7" t="s">
        <v>84</v>
      </c>
    </row>
    <row r="71" customFormat="false" ht="15" hidden="false" customHeight="false" outlineLevel="0" collapsed="false">
      <c r="A71" s="5" t="s">
        <v>85</v>
      </c>
      <c r="B71" s="10" t="n">
        <f aca="false">IFERROR(__xludf.DUMMYFUNCTION("IMPORTRANGE(Links!$B$5,""parametros_manuales!K34"")"),120)</f>
        <v>120</v>
      </c>
    </row>
    <row r="73" customFormat="false" ht="15" hidden="false" customHeight="false" outlineLevel="0" collapsed="false">
      <c r="A73" s="7" t="s">
        <v>86</v>
      </c>
    </row>
    <row r="74" customFormat="false" ht="15" hidden="false" customHeight="false" outlineLevel="0" collapsed="false">
      <c r="A74" s="5" t="s">
        <v>85</v>
      </c>
      <c r="B74" s="11" t="n">
        <f aca="false">IFERROR(__xludf.DUMMYFUNCTION("IMPORTRANGE(Links!$B$6,""parametros_carros!I30"")"),10.058961)</f>
        <v>10.058961</v>
      </c>
    </row>
    <row r="76" customFormat="false" ht="15" hidden="false" customHeight="false" outlineLevel="0" collapsed="false">
      <c r="A76" s="7" t="s">
        <v>87</v>
      </c>
    </row>
    <row r="77" customFormat="false" ht="15" hidden="false" customHeight="false" outlineLevel="0" collapsed="false">
      <c r="A77" s="5" t="s">
        <v>88</v>
      </c>
      <c r="B77" s="10" t="n">
        <f aca="false">IFERROR(__xludf.DUMMYFUNCTION("IMPORTRANGE(Links!$B$5,""parametros_manuales!K39"")"),45)</f>
        <v>45</v>
      </c>
    </row>
    <row r="79" customFormat="false" ht="15" hidden="false" customHeight="false" outlineLevel="0" collapsed="false">
      <c r="A79" s="7" t="s">
        <v>89</v>
      </c>
    </row>
    <row r="80" customFormat="false" ht="15" hidden="false" customHeight="false" outlineLevel="0" collapsed="false">
      <c r="A80" s="5" t="s">
        <v>88</v>
      </c>
      <c r="B80" s="10" t="n">
        <f aca="false">IFERROR(__xludf.DUMMYFUNCTION("IMPORTRANGE(Links!$B$5,""parametros_manuales!K41"")"),30)</f>
        <v>30</v>
      </c>
    </row>
    <row r="82" customFormat="false" ht="15" hidden="false" customHeight="false" outlineLevel="0" collapsed="false">
      <c r="A82" s="7" t="s">
        <v>90</v>
      </c>
    </row>
    <row r="83" customFormat="false" ht="15" hidden="false" customHeight="false" outlineLevel="0" collapsed="false">
      <c r="A83" s="5" t="s">
        <v>88</v>
      </c>
      <c r="B83" s="11" t="n">
        <f aca="false">IFERROR(__xludf.DUMMYFUNCTION("IMPORTRANGE(Links!$B$6,""parametros_carros!I33"")"),11.33)</f>
        <v>11.33</v>
      </c>
    </row>
    <row r="85" customFormat="false" ht="15" hidden="false" customHeight="false" outlineLevel="0" collapsed="false">
      <c r="A85" s="7" t="s">
        <v>91</v>
      </c>
    </row>
    <row r="86" customFormat="false" ht="15" hidden="false" customHeight="false" outlineLevel="0" collapsed="false">
      <c r="A86" s="5" t="s">
        <v>92</v>
      </c>
      <c r="B86" s="10" t="n">
        <f aca="false">IFERROR(__xludf.DUMMYFUNCTION("IMPORTRANGE(Links!$B$5,""parametros_manuales!K40"")"),100)</f>
        <v>100</v>
      </c>
    </row>
    <row r="88" customFormat="false" ht="15" hidden="false" customHeight="false" outlineLevel="0" collapsed="false">
      <c r="A88" s="7" t="s">
        <v>93</v>
      </c>
    </row>
    <row r="89" customFormat="false" ht="15" hidden="false" customHeight="false" outlineLevel="0" collapsed="false">
      <c r="A89" s="5" t="s">
        <v>92</v>
      </c>
      <c r="B89" s="10" t="n">
        <f aca="false">IFERROR(__xludf.DUMMYFUNCTION("IMPORTRANGE(Links!$B$5,""parametros_manuales!K43"")"),60)</f>
        <v>60</v>
      </c>
    </row>
    <row r="91" customFormat="false" ht="15" hidden="false" customHeight="false" outlineLevel="0" collapsed="false">
      <c r="A91" s="7" t="s">
        <v>94</v>
      </c>
    </row>
    <row r="92" customFormat="false" ht="15" hidden="false" customHeight="false" outlineLevel="0" collapsed="false">
      <c r="A92" s="5" t="s">
        <v>92</v>
      </c>
      <c r="B92" s="11" t="n">
        <f aca="false">IFERROR(__xludf.DUMMYFUNCTION("IMPORTRANGE(Links!$B$6,""parametros_carros!I34"")"),6.32)</f>
        <v>6.32</v>
      </c>
    </row>
  </sheetData>
  <mergeCells count="10">
    <mergeCell ref="B3:F3"/>
    <mergeCell ref="G3:L3"/>
    <mergeCell ref="B4:F4"/>
    <mergeCell ref="G4:L4"/>
    <mergeCell ref="B5:F5"/>
    <mergeCell ref="G5:L5"/>
    <mergeCell ref="B6:F6"/>
    <mergeCell ref="G6:L6"/>
    <mergeCell ref="B7:F7"/>
    <mergeCell ref="G7:L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8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11" min="2" style="0" width="13"/>
    <col collapsed="false" customWidth="true" hidden="false" outlineLevel="0" max="12" min="12" style="0" width="50"/>
  </cols>
  <sheetData>
    <row r="1" customFormat="false" ht="15" hidden="false" customHeight="false" outlineLevel="0" collapsed="false">
      <c r="A1" s="1" t="s">
        <v>95</v>
      </c>
    </row>
    <row r="3" customFormat="false" ht="15" hidden="false" customHeight="false" outlineLevel="0" collapsed="false">
      <c r="A3" s="3" t="s">
        <v>96</v>
      </c>
      <c r="B3" s="3" t="n">
        <v>2026</v>
      </c>
      <c r="C3" s="3" t="n">
        <v>2027</v>
      </c>
      <c r="D3" s="3" t="n">
        <v>2028</v>
      </c>
      <c r="E3" s="3" t="n">
        <v>2029</v>
      </c>
      <c r="F3" s="3" t="n">
        <v>2030</v>
      </c>
      <c r="G3" s="3" t="n">
        <v>2031</v>
      </c>
      <c r="H3" s="3" t="n">
        <v>2032</v>
      </c>
      <c r="I3" s="3" t="n">
        <v>2033</v>
      </c>
      <c r="J3" s="3" t="n">
        <v>2034</v>
      </c>
      <c r="K3" s="3" t="n">
        <v>2035</v>
      </c>
    </row>
    <row r="4" customFormat="false" ht="15" hidden="false" customHeight="false" outlineLevel="0" collapsed="false">
      <c r="A4" s="5" t="s">
        <v>27</v>
      </c>
      <c r="B4" s="8" t="n">
        <f aca="false">Links!B12</f>
        <v>3477.482124</v>
      </c>
      <c r="C4" s="8" t="n">
        <f aca="false">Links!C12</f>
        <v>16970.58564</v>
      </c>
      <c r="D4" s="8" t="n">
        <f aca="false">Links!D12</f>
        <v>30546.08951</v>
      </c>
      <c r="E4" s="8" t="n">
        <f aca="false">Links!E12</f>
        <v>56048.31106</v>
      </c>
      <c r="F4" s="8" t="n">
        <f aca="false">Links!F12</f>
        <v>84270.22613</v>
      </c>
      <c r="G4" s="8" t="n">
        <f aca="false">Links!G12</f>
        <v>117407.8231</v>
      </c>
      <c r="H4" s="8" t="n">
        <f aca="false">Links!H12</f>
        <v>147610.6356</v>
      </c>
      <c r="I4" s="8" t="n">
        <f aca="false">Links!I12</f>
        <v>171404.3607</v>
      </c>
      <c r="J4" s="8" t="n">
        <f aca="false">Links!J12</f>
        <v>183690.566</v>
      </c>
      <c r="K4" s="8" t="n">
        <f aca="false">Links!K12</f>
        <v>196282.6907</v>
      </c>
    </row>
    <row r="5" customFormat="false" ht="15" hidden="false" customHeight="false" outlineLevel="0" collapsed="false">
      <c r="A5" s="5" t="s">
        <v>28</v>
      </c>
      <c r="B5" s="8" t="n">
        <f aca="false">Links!B13</f>
        <v>329.996668</v>
      </c>
      <c r="C5" s="8" t="n">
        <f aca="false">Links!C13</f>
        <v>1287.414024</v>
      </c>
      <c r="D5" s="8" t="n">
        <f aca="false">Links!D13</f>
        <v>2947.169216</v>
      </c>
      <c r="E5" s="8" t="n">
        <f aca="false">Links!E13</f>
        <v>5426.043269</v>
      </c>
      <c r="F5" s="8" t="n">
        <f aca="false">Links!F13</f>
        <v>7850.875806</v>
      </c>
      <c r="G5" s="8" t="n">
        <f aca="false">Links!G13</f>
        <v>10423.94365</v>
      </c>
      <c r="H5" s="8" t="n">
        <f aca="false">Links!H13</f>
        <v>12809.89571</v>
      </c>
      <c r="I5" s="8" t="n">
        <f aca="false">Links!I13</f>
        <v>14263.06831</v>
      </c>
      <c r="J5" s="8" t="n">
        <f aca="false">Links!J13</f>
        <v>15432.86983</v>
      </c>
      <c r="K5" s="8" t="n">
        <f aca="false">Links!K13</f>
        <v>16620.76117</v>
      </c>
    </row>
    <row r="6" customFormat="false" ht="15" hidden="false" customHeight="false" outlineLevel="0" collapsed="false">
      <c r="A6" s="5" t="s">
        <v>29</v>
      </c>
      <c r="B6" s="8" t="n">
        <f aca="false">Links!B14</f>
        <v>1950.394097</v>
      </c>
      <c r="C6" s="8" t="n">
        <f aca="false">Links!C14</f>
        <v>7852.61852</v>
      </c>
      <c r="D6" s="8" t="n">
        <f aca="false">Links!D14</f>
        <v>17775.85701</v>
      </c>
      <c r="E6" s="8" t="n">
        <f aca="false">Links!E14</f>
        <v>33605.56835</v>
      </c>
      <c r="F6" s="8" t="n">
        <f aca="false">Links!F14</f>
        <v>48407.57189</v>
      </c>
      <c r="G6" s="8" t="n">
        <f aca="false">Links!G14</f>
        <v>64323.04276</v>
      </c>
      <c r="H6" s="8" t="n">
        <f aca="false">Links!H14</f>
        <v>78721.10039</v>
      </c>
      <c r="I6" s="8" t="n">
        <f aca="false">Links!I14</f>
        <v>87237.2124</v>
      </c>
      <c r="J6" s="8" t="n">
        <f aca="false">Links!J14</f>
        <v>94103.66761</v>
      </c>
      <c r="K6" s="8" t="n">
        <f aca="false">Links!K14</f>
        <v>101095.1762</v>
      </c>
    </row>
    <row r="7" customFormat="false" ht="15" hidden="false" customHeight="false" outlineLevel="0" collapsed="false">
      <c r="A7" s="5" t="s">
        <v>30</v>
      </c>
      <c r="B7" s="8" t="n">
        <f aca="false">Links!B15</f>
        <v>118.343632</v>
      </c>
      <c r="C7" s="8" t="n">
        <f aca="false">Links!C15</f>
        <v>437.716578</v>
      </c>
      <c r="D7" s="8" t="n">
        <f aca="false">Links!D15</f>
        <v>1024.974821</v>
      </c>
      <c r="E7" s="8" t="n">
        <f aca="false">Links!E15</f>
        <v>1960.409862</v>
      </c>
      <c r="F7" s="8" t="n">
        <f aca="false">Links!F15</f>
        <v>2844.976846</v>
      </c>
      <c r="G7" s="8" t="n">
        <f aca="false">Links!G15</f>
        <v>3810.390622</v>
      </c>
      <c r="H7" s="8" t="n">
        <f aca="false">Links!H15</f>
        <v>4663.67807</v>
      </c>
      <c r="I7" s="8" t="n">
        <f aca="false">Links!I15</f>
        <v>5164.514584</v>
      </c>
      <c r="J7" s="8" t="n">
        <f aca="false">Links!J15</f>
        <v>5571.544328</v>
      </c>
      <c r="K7" s="8" t="n">
        <f aca="false">Links!K15</f>
        <v>5985.950855</v>
      </c>
    </row>
    <row r="8" customFormat="false" ht="15" hidden="false" customHeight="false" outlineLevel="0" collapsed="false">
      <c r="A8" s="5" t="s">
        <v>31</v>
      </c>
      <c r="B8" s="8" t="n">
        <f aca="false">Links!B16</f>
        <v>159.308736</v>
      </c>
      <c r="C8" s="8" t="n">
        <f aca="false">Links!C16</f>
        <v>643.423542</v>
      </c>
      <c r="D8" s="8" t="n">
        <f aca="false">Links!D16</f>
        <v>1474.362741</v>
      </c>
      <c r="E8" s="8" t="n">
        <f aca="false">Links!E16</f>
        <v>2766.451205</v>
      </c>
      <c r="F8" s="8" t="n">
        <f aca="false">Links!F16</f>
        <v>3991.465221</v>
      </c>
      <c r="G8" s="8" t="n">
        <f aca="false">Links!G16</f>
        <v>5335.75578</v>
      </c>
      <c r="H8" s="8" t="n">
        <f aca="false">Links!H16</f>
        <v>6538.958887</v>
      </c>
      <c r="I8" s="8" t="n">
        <f aca="false">Links!I16</f>
        <v>7269.819681</v>
      </c>
      <c r="J8" s="8" t="n">
        <f aca="false">Links!J16</f>
        <v>7855.44139</v>
      </c>
      <c r="K8" s="8" t="n">
        <f aca="false">Links!K16</f>
        <v>8450.814081</v>
      </c>
    </row>
    <row r="9" customFormat="false" ht="15" hidden="false" customHeight="false" outlineLevel="0" collapsed="false">
      <c r="A9" s="5" t="s">
        <v>32</v>
      </c>
      <c r="B9" s="8" t="n">
        <f aca="false">Links!B17</f>
        <v>22.758391</v>
      </c>
      <c r="C9" s="8" t="n">
        <f aca="false">Links!C17</f>
        <v>161.315751</v>
      </c>
      <c r="D9" s="8" t="n">
        <f aca="false">Links!D17</f>
        <v>316.607276</v>
      </c>
      <c r="E9" s="8" t="n">
        <f aca="false">Links!E17</f>
        <v>527.39462</v>
      </c>
      <c r="F9" s="8" t="n">
        <f aca="false">Links!F17</f>
        <v>743.788946</v>
      </c>
      <c r="G9" s="8" t="n">
        <f aca="false">Links!G17</f>
        <v>962.874335</v>
      </c>
      <c r="H9" s="8" t="n">
        <f aca="false">Links!H17</f>
        <v>1194.942207</v>
      </c>
      <c r="I9" s="8" t="n">
        <f aca="false">Links!I17</f>
        <v>1351.617183</v>
      </c>
      <c r="J9" s="8" t="n">
        <f aca="false">Links!J17</f>
        <v>1477.54886</v>
      </c>
      <c r="K9" s="8" t="n">
        <f aca="false">Links!K17</f>
        <v>1604.441422</v>
      </c>
    </row>
    <row r="10" customFormat="false" ht="15" hidden="false" customHeight="false" outlineLevel="0" collapsed="false">
      <c r="A10" s="5" t="s">
        <v>33</v>
      </c>
      <c r="B10" s="8" t="n">
        <f aca="false">Links!B18</f>
        <v>11.379195</v>
      </c>
      <c r="C10" s="8" t="n">
        <f aca="false">Links!C18</f>
        <v>83.22352</v>
      </c>
      <c r="D10" s="8" t="n">
        <f aca="false">Links!D18</f>
        <v>164.463834</v>
      </c>
      <c r="E10" s="8" t="n">
        <f aca="false">Links!E18</f>
        <v>281.341145</v>
      </c>
      <c r="F10" s="8" t="n">
        <f aca="false">Links!F18</f>
        <v>398.902509</v>
      </c>
      <c r="G10" s="8" t="n">
        <f aca="false">Links!G18</f>
        <v>514.527284</v>
      </c>
      <c r="H10" s="8" t="n">
        <f aca="false">Links!H18</f>
        <v>629.065505</v>
      </c>
      <c r="I10" s="8" t="n">
        <f aca="false">Links!I18</f>
        <v>711.178024</v>
      </c>
      <c r="J10" s="8" t="n">
        <f aca="false">Links!J18</f>
        <v>773.41098</v>
      </c>
      <c r="K10" s="8" t="n">
        <f aca="false">Links!K18</f>
        <v>836.350805</v>
      </c>
    </row>
    <row r="11" customFormat="false" ht="15" hidden="false" customHeight="false" outlineLevel="0" collapsed="false">
      <c r="A11" s="5" t="s">
        <v>34</v>
      </c>
      <c r="B11" s="8" t="n">
        <f aca="false">Links!B19</f>
        <v>6.827517</v>
      </c>
      <c r="C11" s="8" t="n">
        <f aca="false">Links!C19</f>
        <v>47.073112</v>
      </c>
      <c r="D11" s="8" t="n">
        <f aca="false">Links!D19</f>
        <v>88.889676</v>
      </c>
      <c r="E11" s="8" t="n">
        <f aca="false">Links!E19</f>
        <v>159.502491</v>
      </c>
      <c r="F11" s="8" t="n">
        <f aca="false">Links!F19</f>
        <v>219.796202</v>
      </c>
      <c r="G11" s="8" t="n">
        <f aca="false">Links!G19</f>
        <v>291.869853</v>
      </c>
      <c r="H11" s="8" t="n">
        <f aca="false">Links!H19</f>
        <v>368.844169</v>
      </c>
      <c r="I11" s="8" t="n">
        <f aca="false">Links!I19</f>
        <v>408.408953</v>
      </c>
      <c r="J11" s="8" t="n">
        <f aca="false">Links!J19</f>
        <v>445.781944</v>
      </c>
      <c r="K11" s="8" t="n">
        <f aca="false">Links!K19</f>
        <v>483.479203</v>
      </c>
    </row>
    <row r="12" customFormat="false" ht="15" hidden="false" customHeight="false" outlineLevel="0" collapsed="false">
      <c r="A12" s="5" t="s">
        <v>35</v>
      </c>
      <c r="B12" s="8" t="n">
        <f aca="false">Links!B20</f>
        <v>81.930207</v>
      </c>
      <c r="C12" s="8" t="n">
        <f aca="false">Links!C20</f>
        <v>335.398855</v>
      </c>
      <c r="D12" s="8" t="n">
        <f aca="false">Links!D20</f>
        <v>746.598352</v>
      </c>
      <c r="E12" s="8" t="n">
        <f aca="false">Links!E20</f>
        <v>1358.899837</v>
      </c>
      <c r="F12" s="8" t="n">
        <f aca="false">Links!F20</f>
        <v>1961.125522</v>
      </c>
      <c r="G12" s="8" t="n">
        <f aca="false">Links!G20</f>
        <v>2598.541412</v>
      </c>
      <c r="H12" s="8" t="n">
        <f aca="false">Links!H20</f>
        <v>3197.263477</v>
      </c>
      <c r="I12" s="8" t="n">
        <f aca="false">Links!I20</f>
        <v>3578.539452</v>
      </c>
      <c r="J12" s="8" t="n">
        <f aca="false">Links!J20</f>
        <v>3870.747997</v>
      </c>
      <c r="K12" s="8" t="n">
        <f aca="false">Links!K20</f>
        <v>4167.559622</v>
      </c>
    </row>
    <row r="13" customFormat="false" ht="15" hidden="false" customHeight="false" outlineLevel="0" collapsed="false">
      <c r="A13" s="5" t="s">
        <v>36</v>
      </c>
      <c r="B13" s="8" t="n">
        <f aca="false">Links!B21</f>
        <v>450.616139</v>
      </c>
      <c r="C13" s="8" t="n">
        <f aca="false">Links!C21</f>
        <v>1697.18149</v>
      </c>
      <c r="D13" s="8" t="n">
        <f aca="false">Links!D21</f>
        <v>3955.196858</v>
      </c>
      <c r="E13" s="8" t="n">
        <f aca="false">Links!E21</f>
        <v>7561.26033</v>
      </c>
      <c r="F13" s="8" t="n">
        <f aca="false">Links!F21</f>
        <v>10920.14481</v>
      </c>
      <c r="G13" s="8" t="n">
        <f aca="false">Links!G21</f>
        <v>14514.88522</v>
      </c>
      <c r="H13" s="8" t="n">
        <f aca="false">Links!H21</f>
        <v>17746.49927</v>
      </c>
      <c r="I13" s="8" t="n">
        <f aca="false">Links!I21</f>
        <v>19617.20546</v>
      </c>
      <c r="J13" s="8" t="n">
        <f aca="false">Links!J21</f>
        <v>21161.80625</v>
      </c>
      <c r="K13" s="8" t="n">
        <f aca="false">Links!K21</f>
        <v>22734.50171</v>
      </c>
    </row>
    <row r="14" customFormat="false" ht="15" hidden="false" customHeight="false" outlineLevel="0" collapsed="false">
      <c r="A14" s="5" t="s">
        <v>37</v>
      </c>
      <c r="B14" s="8" t="n">
        <f aca="false">Links!B22</f>
        <v>125.17115</v>
      </c>
      <c r="C14" s="8" t="n">
        <f aca="false">Links!C22</f>
        <v>643.630371</v>
      </c>
      <c r="D14" s="8" t="n">
        <f aca="false">Links!D22</f>
        <v>1375.626719</v>
      </c>
      <c r="E14" s="8" t="n">
        <f aca="false">Links!E22</f>
        <v>2460.284265</v>
      </c>
      <c r="F14" s="8" t="n">
        <f aca="false">Links!F22</f>
        <v>3545.257683</v>
      </c>
      <c r="G14" s="8" t="n">
        <f aca="false">Links!G22</f>
        <v>4723.461784</v>
      </c>
      <c r="H14" s="8" t="n">
        <f aca="false">Links!H22</f>
        <v>5853.905178</v>
      </c>
      <c r="I14" s="8" t="n">
        <f aca="false">Links!I22</f>
        <v>6608.459909</v>
      </c>
      <c r="J14" s="8" t="n">
        <f aca="false">Links!J22</f>
        <v>7185.708397</v>
      </c>
      <c r="K14" s="8" t="n">
        <f aca="false">Links!K22</f>
        <v>7769.577127</v>
      </c>
    </row>
    <row r="15" customFormat="false" ht="15" hidden="false" customHeight="false" outlineLevel="0" collapsed="false">
      <c r="A15" s="5" t="s">
        <v>38</v>
      </c>
      <c r="B15" s="8" t="n">
        <f aca="false">Links!B23</f>
        <v>18.206713</v>
      </c>
      <c r="C15" s="8" t="n">
        <f aca="false">Links!C23</f>
        <v>112.075122</v>
      </c>
      <c r="D15" s="8" t="n">
        <f aca="false">Links!D23</f>
        <v>230.854041</v>
      </c>
      <c r="E15" s="8" t="n">
        <f aca="false">Links!E23</f>
        <v>400.715334</v>
      </c>
      <c r="F15" s="8" t="n">
        <f aca="false">Links!F23</f>
        <v>574.507789</v>
      </c>
      <c r="G15" s="8" t="n">
        <f aca="false">Links!G23</f>
        <v>754.345623</v>
      </c>
      <c r="H15" s="8" t="n">
        <f aca="false">Links!H23</f>
        <v>944.84884</v>
      </c>
      <c r="I15" s="8" t="n">
        <f aca="false">Links!I23</f>
        <v>1072.234671</v>
      </c>
      <c r="J15" s="8" t="n">
        <f aca="false">Links!J23</f>
        <v>1171.695753</v>
      </c>
      <c r="K15" s="8" t="n">
        <f aca="false">Links!K23</f>
        <v>1271.941099</v>
      </c>
    </row>
    <row r="16" customFormat="false" ht="15" hidden="false" customHeight="false" outlineLevel="0" collapsed="false">
      <c r="A16" s="5" t="s">
        <v>39</v>
      </c>
      <c r="B16" s="8" t="n">
        <f aca="false">Links!B24</f>
        <v>6.827517</v>
      </c>
      <c r="C16" s="8" t="n">
        <f aca="false">Links!C24</f>
        <v>47.073112</v>
      </c>
      <c r="D16" s="8" t="n">
        <f aca="false">Links!D24</f>
        <v>88.889676</v>
      </c>
      <c r="E16" s="8" t="n">
        <f aca="false">Links!E24</f>
        <v>148.279182</v>
      </c>
      <c r="F16" s="8" t="n">
        <f aca="false">Links!F24</f>
        <v>205.226053</v>
      </c>
      <c r="G16" s="8" t="n">
        <f aca="false">Links!G24</f>
        <v>255.765145</v>
      </c>
      <c r="H16" s="8" t="n">
        <f aca="false">Links!H24</f>
        <v>328.417902</v>
      </c>
      <c r="I16" s="8" t="n">
        <f aca="false">Links!I24</f>
        <v>366.908071</v>
      </c>
      <c r="J16" s="8" t="n">
        <f aca="false">Links!J24</f>
        <v>401.681707</v>
      </c>
      <c r="K16" s="8" t="n">
        <f aca="false">Links!K24</f>
        <v>436.686782</v>
      </c>
    </row>
    <row r="17" customFormat="false" ht="15" hidden="false" customHeight="false" outlineLevel="0" collapsed="false">
      <c r="A17" s="5" t="s">
        <v>40</v>
      </c>
      <c r="B17" s="8" t="n">
        <f aca="false">Links!B25</f>
        <v>17.637753</v>
      </c>
      <c r="C17" s="8" t="n">
        <f aca="false">Links!C25</f>
        <v>85.987819</v>
      </c>
      <c r="D17" s="8" t="n">
        <f aca="false">Links!D25</f>
        <v>186.869567</v>
      </c>
      <c r="E17" s="8" t="n">
        <f aca="false">Links!E25</f>
        <v>336.583621</v>
      </c>
      <c r="F17" s="8" t="n">
        <f aca="false">Links!F25</f>
        <v>484.132598</v>
      </c>
      <c r="G17" s="8" t="n">
        <f aca="false">Links!G25</f>
        <v>643.220385</v>
      </c>
      <c r="H17" s="8" t="n">
        <f aca="false">Links!H25</f>
        <v>792.431742</v>
      </c>
      <c r="I17" s="8" t="n">
        <f aca="false">Links!I25</f>
        <v>889.677707</v>
      </c>
      <c r="J17" s="8" t="n">
        <f aca="false">Links!J25</f>
        <v>965.31111</v>
      </c>
      <c r="K17" s="8" t="n">
        <f aca="false">Links!K25</f>
        <v>1041.939702</v>
      </c>
    </row>
    <row r="18" customFormat="false" ht="15" hidden="false" customHeight="false" outlineLevel="0" collapsed="false">
      <c r="A18" s="5" t="s">
        <v>41</v>
      </c>
      <c r="B18" s="8" t="n">
        <f aca="false">Links!B26</f>
        <v>38.803056</v>
      </c>
      <c r="C18" s="8" t="n">
        <f aca="false">Links!C26</f>
        <v>189.173203</v>
      </c>
      <c r="D18" s="8" t="n">
        <f aca="false">Links!D26</f>
        <v>411.113048</v>
      </c>
      <c r="E18" s="8" t="n">
        <f aca="false">Links!E26</f>
        <v>740.483966</v>
      </c>
      <c r="F18" s="8" t="n">
        <f aca="false">Links!F26</f>
        <v>1065.091715</v>
      </c>
      <c r="G18" s="8" t="n">
        <f aca="false">Links!G26</f>
        <v>1415.084848</v>
      </c>
      <c r="H18" s="8" t="n">
        <f aca="false">Links!H26</f>
        <v>1743.349833</v>
      </c>
      <c r="I18" s="8" t="n">
        <f aca="false">Links!I26</f>
        <v>1957.290955</v>
      </c>
      <c r="J18" s="8" t="n">
        <f aca="false">Links!J26</f>
        <v>2123.684441</v>
      </c>
      <c r="K18" s="8" t="n">
        <f aca="false">Links!K26</f>
        <v>2292.267343</v>
      </c>
    </row>
    <row r="19" customFormat="false" ht="15" hidden="false" customHeight="false" outlineLevel="0" collapsed="false">
      <c r="A19" s="5" t="s">
        <v>42</v>
      </c>
      <c r="B19" s="8" t="n">
        <f aca="false">Links!B27</f>
        <v>8.466121</v>
      </c>
      <c r="C19" s="8" t="n">
        <f aca="false">Links!C27</f>
        <v>41.274153</v>
      </c>
      <c r="D19" s="8" t="n">
        <f aca="false">Links!D27</f>
        <v>89.697392</v>
      </c>
      <c r="E19" s="8" t="n">
        <f aca="false">Links!E27</f>
        <v>161.560138</v>
      </c>
      <c r="F19" s="8" t="n">
        <f aca="false">Links!F27</f>
        <v>232.383647</v>
      </c>
      <c r="G19" s="8" t="n">
        <f aca="false">Links!G27</f>
        <v>308.745785</v>
      </c>
      <c r="H19" s="8" t="n">
        <f aca="false">Links!H27</f>
        <v>380.367236</v>
      </c>
      <c r="I19" s="8" t="n">
        <f aca="false">Links!I27</f>
        <v>427.045299</v>
      </c>
      <c r="J19" s="8" t="n">
        <f aca="false">Links!J27</f>
        <v>463.349333</v>
      </c>
      <c r="K19" s="8" t="n">
        <f aca="false">Links!K27</f>
        <v>500.131057</v>
      </c>
    </row>
    <row r="20" customFormat="false" ht="15" hidden="false" customHeight="false" outlineLevel="0" collapsed="false">
      <c r="A20" s="5" t="s">
        <v>43</v>
      </c>
      <c r="B20" s="8" t="n">
        <f aca="false">Links!B28</f>
        <v>5.644081</v>
      </c>
      <c r="C20" s="8" t="n">
        <f aca="false">Links!C28</f>
        <v>27.516102</v>
      </c>
      <c r="D20" s="8" t="n">
        <f aca="false">Links!D28</f>
        <v>59.798262</v>
      </c>
      <c r="E20" s="8" t="n">
        <f aca="false">Links!E28</f>
        <v>107.706759</v>
      </c>
      <c r="F20" s="8" t="n">
        <f aca="false">Links!F28</f>
        <v>154.922431</v>
      </c>
      <c r="G20" s="8" t="n">
        <f aca="false">Links!G28</f>
        <v>205.830523</v>
      </c>
      <c r="H20" s="8" t="n">
        <f aca="false">Links!H28</f>
        <v>253.578158</v>
      </c>
      <c r="I20" s="8" t="n">
        <f aca="false">Links!I28</f>
        <v>284.696866</v>
      </c>
      <c r="J20" s="8" t="n">
        <f aca="false">Links!J28</f>
        <v>308.899555</v>
      </c>
      <c r="K20" s="8" t="n">
        <f aca="false">Links!K28</f>
        <v>333.420704</v>
      </c>
    </row>
    <row r="21" customFormat="false" ht="15" hidden="false" customHeight="false" outlineLevel="0" collapsed="false">
      <c r="A21" s="4" t="s">
        <v>97</v>
      </c>
      <c r="B21" s="12" t="n">
        <f aca="false">SUM(B4:B20)</f>
        <v>6829.793097</v>
      </c>
      <c r="C21" s="12" t="n">
        <f aca="false">SUM(C4:C20)</f>
        <v>30662.680914</v>
      </c>
      <c r="D21" s="12" t="n">
        <f aca="false">SUM(D4:D20)</f>
        <v>61483.057999</v>
      </c>
      <c r="E21" s="12" t="n">
        <f aca="false">SUM(E4:E20)</f>
        <v>114050.795434</v>
      </c>
      <c r="F21" s="12" t="n">
        <f aca="false">SUM(F4:F20)</f>
        <v>167870.395798</v>
      </c>
      <c r="G21" s="12" t="n">
        <f aca="false">SUM(G4:G20)</f>
        <v>228490.108109</v>
      </c>
      <c r="H21" s="12" t="n">
        <f aca="false">SUM(H4:H20)</f>
        <v>283777.782174</v>
      </c>
      <c r="I21" s="12" t="n">
        <f aca="false">SUM(I4:I20)</f>
        <v>322612.238225</v>
      </c>
      <c r="J21" s="12" t="n">
        <f aca="false">SUM(J4:J20)</f>
        <v>347003.715485</v>
      </c>
      <c r="K21" s="12" t="n">
        <f aca="false">SUM(K4:K20)</f>
        <v>371907.689582</v>
      </c>
    </row>
    <row r="23" customFormat="false" ht="15" hidden="false" customHeight="false" outlineLevel="0" collapsed="false">
      <c r="A23" s="1" t="s">
        <v>98</v>
      </c>
    </row>
    <row r="24" customFormat="false" ht="15" hidden="false" customHeight="false" outlineLevel="0" collapsed="false">
      <c r="A24" s="3" t="s">
        <v>99</v>
      </c>
      <c r="B24" s="3" t="s">
        <v>100</v>
      </c>
      <c r="C24" s="3" t="s">
        <v>101</v>
      </c>
    </row>
    <row r="25" customFormat="false" ht="15" hidden="false" customHeight="false" outlineLevel="0" collapsed="false">
      <c r="A25" s="5" t="s">
        <v>45</v>
      </c>
      <c r="B25" s="9" t="n">
        <f aca="false">Links!B31</f>
        <v>0.0521797399</v>
      </c>
      <c r="C25" s="6" t="s">
        <v>60</v>
      </c>
    </row>
    <row r="26" customFormat="false" ht="15" hidden="false" customHeight="false" outlineLevel="0" collapsed="false">
      <c r="A26" s="5" t="s">
        <v>46</v>
      </c>
      <c r="B26" s="9" t="n">
        <f aca="false">Links!B32</f>
        <v>0.0798836162</v>
      </c>
      <c r="C26" s="6" t="s">
        <v>60</v>
      </c>
    </row>
    <row r="27" customFormat="false" ht="15" hidden="false" customHeight="false" outlineLevel="0" collapsed="false">
      <c r="A27" s="5" t="s">
        <v>47</v>
      </c>
      <c r="B27" s="9" t="n">
        <f aca="false">Links!B33</f>
        <v>0.059817286</v>
      </c>
      <c r="C27" s="6" t="s">
        <v>62</v>
      </c>
    </row>
    <row r="28" customFormat="false" ht="15" hidden="false" customHeight="false" outlineLevel="0" collapsed="false">
      <c r="A28" s="5" t="s">
        <v>48</v>
      </c>
      <c r="B28" s="9" t="n">
        <f aca="false">Links!B34</f>
        <v>0.0637650712</v>
      </c>
      <c r="C28" s="6" t="s">
        <v>60</v>
      </c>
    </row>
    <row r="29" customFormat="false" ht="15" hidden="false" customHeight="false" outlineLevel="0" collapsed="false">
      <c r="A29" s="5" t="s">
        <v>49</v>
      </c>
      <c r="B29" s="9" t="n">
        <f aca="false">Links!B35</f>
        <v>0.0676801452</v>
      </c>
      <c r="C29" s="6" t="s">
        <v>62</v>
      </c>
    </row>
    <row r="30" customFormat="false" ht="15" hidden="false" customHeight="false" outlineLevel="0" collapsed="false">
      <c r="A30" s="5" t="s">
        <v>50</v>
      </c>
      <c r="B30" s="9" t="n">
        <f aca="false">Links!B36</f>
        <v>0.0932172985</v>
      </c>
      <c r="C30" s="6" t="s">
        <v>62</v>
      </c>
    </row>
    <row r="31" customFormat="false" ht="15" hidden="false" customHeight="false" outlineLevel="0" collapsed="false">
      <c r="A31" s="5" t="s">
        <v>51</v>
      </c>
      <c r="B31" s="9" t="n">
        <f aca="false">Links!B37</f>
        <v>0.0675217758</v>
      </c>
      <c r="C31" s="6" t="s">
        <v>62</v>
      </c>
    </row>
    <row r="32" customFormat="false" ht="15" hidden="false" customHeight="false" outlineLevel="0" collapsed="false">
      <c r="A32" s="5" t="s">
        <v>52</v>
      </c>
      <c r="B32" s="9" t="n">
        <f aca="false">Links!B38</f>
        <v>0.0533558834</v>
      </c>
      <c r="C32" s="6" t="s">
        <v>60</v>
      </c>
    </row>
    <row r="33" customFormat="false" ht="15" hidden="false" customHeight="false" outlineLevel="0" collapsed="false">
      <c r="A33" s="5" t="s">
        <v>53</v>
      </c>
      <c r="B33" s="9" t="n">
        <f aca="false">Links!B39</f>
        <v>0.0885682049</v>
      </c>
      <c r="C33" s="6" t="s">
        <v>60</v>
      </c>
    </row>
    <row r="34" customFormat="false" ht="15" hidden="false" customHeight="false" outlineLevel="0" collapsed="false">
      <c r="A34" s="5" t="s">
        <v>54</v>
      </c>
      <c r="B34" s="9" t="n">
        <f aca="false">Links!B40</f>
        <v>0.0471361107</v>
      </c>
      <c r="C34" s="6" t="s">
        <v>60</v>
      </c>
    </row>
    <row r="35" customFormat="false" ht="15" hidden="false" customHeight="false" outlineLevel="0" collapsed="false">
      <c r="A35" s="5" t="s">
        <v>55</v>
      </c>
      <c r="B35" s="9" t="n">
        <f aca="false">Links!B41</f>
        <v>0.0848900664</v>
      </c>
      <c r="C35" s="6" t="s">
        <v>60</v>
      </c>
    </row>
    <row r="36" customFormat="false" ht="15" hidden="false" customHeight="false" outlineLevel="0" collapsed="false">
      <c r="A36" s="5" t="s">
        <v>56</v>
      </c>
      <c r="B36" s="9" t="n">
        <f aca="false">Links!B42</f>
        <v>0.0672643024</v>
      </c>
      <c r="C36" s="6" t="s">
        <v>60</v>
      </c>
    </row>
    <row r="37" customFormat="false" ht="15" hidden="false" customHeight="false" outlineLevel="0" collapsed="false">
      <c r="A37" s="5" t="s">
        <v>57</v>
      </c>
      <c r="B37" s="9" t="n">
        <f aca="false">Links!B43</f>
        <v>0.0174767438</v>
      </c>
      <c r="C37" s="6" t="s">
        <v>60</v>
      </c>
    </row>
    <row r="38" customFormat="false" ht="15" hidden="false" customHeight="false" outlineLevel="0" collapsed="false">
      <c r="A38" s="5" t="s">
        <v>58</v>
      </c>
      <c r="B38" s="9" t="n">
        <f aca="false">Links!B44</f>
        <v>0.1572437555</v>
      </c>
      <c r="C38" s="6" t="s">
        <v>102</v>
      </c>
    </row>
    <row r="39" customFormat="false" ht="23.85" hidden="false" customHeight="false" outlineLevel="0" collapsed="false">
      <c r="A39" s="3" t="s">
        <v>101</v>
      </c>
      <c r="B39" s="3" t="s">
        <v>103</v>
      </c>
      <c r="C39" s="3" t="s">
        <v>104</v>
      </c>
    </row>
    <row r="40" customFormat="false" ht="15" hidden="false" customHeight="false" outlineLevel="0" collapsed="false">
      <c r="A40" s="4" t="s">
        <v>105</v>
      </c>
      <c r="B40" s="9" t="n">
        <f aca="false">Links!B47</f>
        <v>0.5545197389</v>
      </c>
      <c r="C40" s="9" t="n">
        <f aca="false">SUMIF($C$25:$C$38,"Comercial",$B$25:$B$38)</f>
        <v>0.5545197389</v>
      </c>
    </row>
    <row r="41" customFormat="false" ht="15" hidden="false" customHeight="false" outlineLevel="0" collapsed="false">
      <c r="A41" s="4" t="s">
        <v>106</v>
      </c>
      <c r="B41" s="9" t="n">
        <f aca="false">Links!B50</f>
        <v>0.2882365055</v>
      </c>
      <c r="C41" s="9" t="n">
        <f aca="false">SUMIF($C$25:$C$38,"Industrial",$B$25:$B$38)</f>
        <v>0.2882365055</v>
      </c>
    </row>
    <row r="42" customFormat="false" ht="15" hidden="false" customHeight="false" outlineLevel="0" collapsed="false">
      <c r="A42" s="5" t="s">
        <v>107</v>
      </c>
      <c r="B42" s="9" t="n">
        <f aca="false">SUMIF($C$25:$C$38,"Fuera",$B$25:$B$38)</f>
        <v>0.1572437555</v>
      </c>
    </row>
    <row r="43" customFormat="false" ht="15" hidden="false" customHeight="false" outlineLevel="0" collapsed="false">
      <c r="A43" s="5" t="s">
        <v>108</v>
      </c>
      <c r="B43" s="9" t="n">
        <f aca="false">SUM(B40:B42)</f>
        <v>0.9999999999</v>
      </c>
    </row>
    <row r="44" customFormat="false" ht="15" hidden="false" customHeight="false" outlineLevel="0" collapsed="false">
      <c r="A44" s="1" t="s">
        <v>109</v>
      </c>
    </row>
    <row r="45" customFormat="false" ht="15" hidden="false" customHeight="true" outlineLevel="0" collapsed="false">
      <c r="A45" s="3" t="s">
        <v>110</v>
      </c>
      <c r="B45" s="3" t="s">
        <v>111</v>
      </c>
      <c r="C45" s="3" t="s">
        <v>112</v>
      </c>
      <c r="D45" s="3"/>
      <c r="E45" s="3"/>
      <c r="F45" s="3"/>
      <c r="G45" s="3"/>
      <c r="H45" s="3"/>
      <c r="I45" s="3"/>
      <c r="J45" s="3"/>
      <c r="K45" s="3"/>
      <c r="L45" s="3"/>
    </row>
    <row r="46" customFormat="false" ht="15" hidden="false" customHeight="true" outlineLevel="0" collapsed="false">
      <c r="A46" s="5" t="s">
        <v>113</v>
      </c>
      <c r="B46" s="9" t="n">
        <v>0.05</v>
      </c>
      <c r="C46" s="5" t="s">
        <v>114</v>
      </c>
      <c r="D46" s="5"/>
      <c r="E46" s="5"/>
      <c r="F46" s="5"/>
      <c r="G46" s="5"/>
      <c r="H46" s="5"/>
      <c r="I46" s="5"/>
      <c r="J46" s="5"/>
      <c r="K46" s="5"/>
      <c r="L46" s="5"/>
    </row>
    <row r="47" customFormat="false" ht="15" hidden="false" customHeight="true" outlineLevel="0" collapsed="false">
      <c r="A47" s="5" t="s">
        <v>115</v>
      </c>
      <c r="B47" s="9" t="n">
        <v>0.02</v>
      </c>
      <c r="C47" s="5" t="s">
        <v>116</v>
      </c>
      <c r="D47" s="5"/>
      <c r="E47" s="5"/>
      <c r="F47" s="5"/>
      <c r="G47" s="5"/>
      <c r="H47" s="5"/>
      <c r="I47" s="5"/>
      <c r="J47" s="5"/>
      <c r="K47" s="5"/>
      <c r="L47" s="5"/>
    </row>
    <row r="48" customFormat="false" ht="15" hidden="false" customHeight="true" outlineLevel="0" collapsed="false">
      <c r="A48" s="5" t="s">
        <v>117</v>
      </c>
      <c r="B48" s="9" t="n">
        <v>0.01</v>
      </c>
      <c r="C48" s="5" t="s">
        <v>118</v>
      </c>
      <c r="D48" s="5"/>
      <c r="E48" s="5"/>
      <c r="F48" s="5"/>
      <c r="G48" s="5"/>
      <c r="H48" s="5"/>
      <c r="I48" s="5"/>
      <c r="J48" s="5"/>
      <c r="K48" s="5"/>
      <c r="L48" s="5"/>
    </row>
    <row r="49" customFormat="false" ht="15" hidden="false" customHeight="true" outlineLevel="0" collapsed="false">
      <c r="A49" s="5" t="s">
        <v>119</v>
      </c>
      <c r="B49" s="9" t="n">
        <v>0.0330204131377009</v>
      </c>
      <c r="C49" s="5" t="s">
        <v>120</v>
      </c>
      <c r="D49" s="5"/>
      <c r="E49" s="5"/>
      <c r="F49" s="5"/>
      <c r="G49" s="5"/>
      <c r="H49" s="5"/>
      <c r="I49" s="5"/>
      <c r="J49" s="5"/>
      <c r="K49" s="5"/>
      <c r="L49" s="5"/>
    </row>
    <row r="51" customFormat="false" ht="15" hidden="false" customHeight="false" outlineLevel="0" collapsed="false">
      <c r="A51" s="4" t="s">
        <v>121</v>
      </c>
      <c r="B51" s="6" t="s">
        <v>60</v>
      </c>
    </row>
    <row r="52" customFormat="false" ht="15" hidden="false" customHeight="false" outlineLevel="0" collapsed="false">
      <c r="A52" s="4" t="s">
        <v>122</v>
      </c>
      <c r="B52" s="13" t="n">
        <f aca="false">IF(B51="Comercial",B40,B41)</f>
        <v>0.5545197389</v>
      </c>
    </row>
    <row r="54" customFormat="false" ht="15" hidden="false" customHeight="false" outlineLevel="0" collapsed="false">
      <c r="A54" s="1" t="s">
        <v>123</v>
      </c>
    </row>
    <row r="56" customFormat="false" ht="23.85" hidden="false" customHeight="false" outlineLevel="0" collapsed="false">
      <c r="A56" s="3" t="s">
        <v>124</v>
      </c>
      <c r="B56" s="3" t="s">
        <v>125</v>
      </c>
      <c r="C56" s="3" t="s">
        <v>126</v>
      </c>
      <c r="D56" s="3" t="s">
        <v>127</v>
      </c>
      <c r="E56" s="3" t="s">
        <v>128</v>
      </c>
      <c r="F56" s="3" t="s">
        <v>129</v>
      </c>
      <c r="G56" s="3" t="s">
        <v>130</v>
      </c>
      <c r="H56" s="3" t="s">
        <v>131</v>
      </c>
      <c r="I56" s="3" t="s">
        <v>132</v>
      </c>
    </row>
    <row r="57" customFormat="false" ht="15" hidden="false" customHeight="false" outlineLevel="0" collapsed="false">
      <c r="A57" s="6" t="str">
        <f aca="false">A4</f>
        <v>ABC 1 kg</v>
      </c>
      <c r="B57" s="8" t="n">
        <v>2251135</v>
      </c>
      <c r="C57" s="8" t="n">
        <v>0</v>
      </c>
      <c r="D57" s="8" t="n">
        <v>0</v>
      </c>
      <c r="E57" s="8" t="n">
        <v>3578.5</v>
      </c>
      <c r="F57" s="8" t="n">
        <v>0</v>
      </c>
      <c r="G57" s="8" t="n">
        <v>0</v>
      </c>
      <c r="H57" s="8" t="n">
        <v>530</v>
      </c>
      <c r="I57" s="12" t="n">
        <f aca="false">SUM(B57:H57)</f>
        <v>2255243.5</v>
      </c>
    </row>
    <row r="58" customFormat="false" ht="15" hidden="false" customHeight="false" outlineLevel="0" collapsed="false">
      <c r="A58" s="6" t="str">
        <f aca="false">A5</f>
        <v>ABC 2,5 kg</v>
      </c>
      <c r="B58" s="8" t="n">
        <v>0</v>
      </c>
      <c r="C58" s="8" t="n">
        <v>100435.9</v>
      </c>
      <c r="D58" s="8" t="n">
        <v>14173.8</v>
      </c>
      <c r="E58" s="8" t="n">
        <v>45655.1</v>
      </c>
      <c r="F58" s="8" t="n">
        <v>0</v>
      </c>
      <c r="G58" s="8" t="n">
        <v>7336.9</v>
      </c>
      <c r="H58" s="8" t="n">
        <v>6153</v>
      </c>
      <c r="I58" s="12" t="n">
        <f aca="false">SUM(B58:H58)</f>
        <v>173754.7</v>
      </c>
    </row>
    <row r="59" customFormat="false" ht="15" hidden="false" customHeight="false" outlineLevel="0" collapsed="false">
      <c r="A59" s="6" t="str">
        <f aca="false">A6</f>
        <v>ABC 5 kg</v>
      </c>
      <c r="B59" s="8" t="n">
        <v>69628</v>
      </c>
      <c r="C59" s="8" t="n">
        <v>732591.4</v>
      </c>
      <c r="D59" s="8" t="n">
        <v>52786.7</v>
      </c>
      <c r="E59" s="8" t="n">
        <v>8847.8</v>
      </c>
      <c r="F59" s="8" t="n">
        <v>113431.7</v>
      </c>
      <c r="G59" s="8" t="n">
        <v>46903.8</v>
      </c>
      <c r="H59" s="8" t="n">
        <v>5342</v>
      </c>
      <c r="I59" s="12" t="n">
        <f aca="false">SUM(B59:H59)</f>
        <v>1029531.4</v>
      </c>
    </row>
    <row r="60" customFormat="false" ht="15" hidden="false" customHeight="false" outlineLevel="0" collapsed="false">
      <c r="A60" s="6" t="str">
        <f aca="false">A7</f>
        <v>ABC 10 kg</v>
      </c>
      <c r="B60" s="8" t="n">
        <v>0</v>
      </c>
      <c r="C60" s="8" t="n">
        <v>44900.8</v>
      </c>
      <c r="D60" s="8" t="n">
        <v>5673.3</v>
      </c>
      <c r="E60" s="8" t="n">
        <v>2123.5</v>
      </c>
      <c r="F60" s="8" t="n">
        <v>0</v>
      </c>
      <c r="G60" s="8" t="n">
        <v>6270.5</v>
      </c>
      <c r="H60" s="8" t="n">
        <v>0</v>
      </c>
      <c r="I60" s="12" t="n">
        <f aca="false">SUM(B60:H60)</f>
        <v>58968.1</v>
      </c>
    </row>
    <row r="61" customFormat="false" ht="15" hidden="false" customHeight="false" outlineLevel="0" collapsed="false">
      <c r="A61" s="6" t="str">
        <f aca="false">A8</f>
        <v>Agua 10 l</v>
      </c>
      <c r="B61" s="8" t="n">
        <v>0</v>
      </c>
      <c r="C61" s="8" t="n">
        <v>56716.8</v>
      </c>
      <c r="D61" s="8" t="n">
        <v>4876.4</v>
      </c>
      <c r="E61" s="8" t="n">
        <v>1415.6</v>
      </c>
      <c r="F61" s="8" t="n">
        <v>12568.5</v>
      </c>
      <c r="G61" s="8" t="n">
        <v>8958.8</v>
      </c>
      <c r="H61" s="8" t="n">
        <v>562</v>
      </c>
      <c r="I61" s="12" t="n">
        <f aca="false">SUM(B61:H61)</f>
        <v>85098.1</v>
      </c>
    </row>
    <row r="62" customFormat="false" ht="15" hidden="false" customHeight="false" outlineLevel="0" collapsed="false">
      <c r="A62" s="6" t="str">
        <f aca="false">A9</f>
        <v>AFFF 10 l</v>
      </c>
      <c r="B62" s="8" t="n">
        <v>0</v>
      </c>
      <c r="C62" s="8" t="n">
        <v>0</v>
      </c>
      <c r="D62" s="8" t="n">
        <v>0</v>
      </c>
      <c r="E62" s="8" t="n">
        <v>0</v>
      </c>
      <c r="F62" s="8" t="n">
        <v>15671.5</v>
      </c>
      <c r="G62" s="8" t="n">
        <v>0</v>
      </c>
      <c r="H62" s="8" t="n">
        <v>0</v>
      </c>
      <c r="I62" s="12" t="n">
        <f aca="false">SUM(B62:H62)</f>
        <v>15671.5</v>
      </c>
    </row>
    <row r="63" customFormat="false" ht="15" hidden="false" customHeight="false" outlineLevel="0" collapsed="false">
      <c r="A63" s="6" t="str">
        <f aca="false">A10</f>
        <v>AFFF 50 l s/ruedas</v>
      </c>
      <c r="B63" s="8" t="n">
        <v>0</v>
      </c>
      <c r="C63" s="8" t="n">
        <v>0</v>
      </c>
      <c r="D63" s="8" t="n">
        <v>0</v>
      </c>
      <c r="E63" s="8" t="n">
        <v>0</v>
      </c>
      <c r="F63" s="8" t="n">
        <v>9151.4</v>
      </c>
      <c r="G63" s="8" t="n">
        <v>0</v>
      </c>
      <c r="H63" s="8" t="n">
        <v>0</v>
      </c>
      <c r="I63" s="12" t="n">
        <f aca="false">SUM(B63:H63)</f>
        <v>9151.4</v>
      </c>
    </row>
    <row r="64" customFormat="false" ht="15" hidden="false" customHeight="false" outlineLevel="0" collapsed="false">
      <c r="A64" s="6" t="str">
        <f aca="false">A11</f>
        <v>BC 5 kg</v>
      </c>
      <c r="B64" s="8" t="n">
        <v>0</v>
      </c>
      <c r="C64" s="8" t="n">
        <v>0</v>
      </c>
      <c r="D64" s="8" t="n">
        <v>0</v>
      </c>
      <c r="E64" s="8" t="n">
        <v>0</v>
      </c>
      <c r="F64" s="8" t="n">
        <v>4634.7</v>
      </c>
      <c r="G64" s="8" t="n">
        <v>0</v>
      </c>
      <c r="H64" s="8" t="n">
        <v>0</v>
      </c>
      <c r="I64" s="12" t="n">
        <f aca="false">SUM(B64:H64)</f>
        <v>4634.7</v>
      </c>
    </row>
    <row r="65" customFormat="false" ht="15" hidden="false" customHeight="false" outlineLevel="0" collapsed="false">
      <c r="A65" s="6" t="str">
        <f aca="false">A12</f>
        <v>Sales K 6 l</v>
      </c>
      <c r="B65" s="8" t="n">
        <v>0</v>
      </c>
      <c r="C65" s="8" t="n">
        <v>20087.2</v>
      </c>
      <c r="D65" s="8" t="n">
        <v>4459</v>
      </c>
      <c r="E65" s="8" t="n">
        <v>3539.1</v>
      </c>
      <c r="F65" s="8" t="n">
        <v>8169.7</v>
      </c>
      <c r="G65" s="8" t="n">
        <v>2804.4</v>
      </c>
      <c r="H65" s="8" t="n">
        <v>0</v>
      </c>
      <c r="I65" s="12" t="n">
        <f aca="false">SUM(B65:H65)</f>
        <v>39059.4</v>
      </c>
    </row>
    <row r="66" customFormat="false" ht="15" hidden="false" customHeight="false" outlineLevel="0" collapsed="false">
      <c r="A66" s="6" t="str">
        <f aca="false">A13</f>
        <v>CO₂ 2 kg</v>
      </c>
      <c r="B66" s="8" t="n">
        <v>0</v>
      </c>
      <c r="C66" s="8" t="n">
        <v>183147.8</v>
      </c>
      <c r="D66" s="8" t="n">
        <v>19050.2</v>
      </c>
      <c r="E66" s="8" t="n">
        <v>3539.1</v>
      </c>
      <c r="F66" s="8" t="n">
        <v>6402.2</v>
      </c>
      <c r="G66" s="8" t="n">
        <v>10549.9</v>
      </c>
      <c r="H66" s="8" t="n">
        <v>0</v>
      </c>
      <c r="I66" s="12" t="n">
        <f aca="false">SUM(B66:H66)</f>
        <v>222689.2</v>
      </c>
    </row>
    <row r="67" customFormat="false" ht="15" hidden="false" customHeight="false" outlineLevel="0" collapsed="false">
      <c r="A67" s="6" t="str">
        <f aca="false">A14</f>
        <v>CO₂ 5 kg</v>
      </c>
      <c r="B67" s="8" t="n">
        <v>0</v>
      </c>
      <c r="C67" s="8" t="n">
        <v>25995.2</v>
      </c>
      <c r="D67" s="8" t="n">
        <v>891.8</v>
      </c>
      <c r="E67" s="8" t="n">
        <v>1769.6</v>
      </c>
      <c r="F67" s="8" t="n">
        <v>32678.6</v>
      </c>
      <c r="G67" s="8" t="n">
        <v>11830.5</v>
      </c>
      <c r="H67" s="8" t="n">
        <v>2530</v>
      </c>
      <c r="I67" s="12" t="n">
        <f aca="false">SUM(B67:H67)</f>
        <v>75695.7</v>
      </c>
    </row>
    <row r="68" customFormat="false" ht="15" hidden="false" customHeight="false" outlineLevel="0" collapsed="false">
      <c r="A68" s="6" t="str">
        <f aca="false">A15</f>
        <v>HCFC/HFC 5 kg</v>
      </c>
      <c r="B68" s="8" t="n">
        <v>0</v>
      </c>
      <c r="C68" s="8" t="n">
        <v>0</v>
      </c>
      <c r="D68" s="8" t="n">
        <v>0</v>
      </c>
      <c r="E68" s="8" t="n">
        <v>0</v>
      </c>
      <c r="F68" s="8" t="n">
        <v>9269.4</v>
      </c>
      <c r="G68" s="8" t="n">
        <v>2425.5</v>
      </c>
      <c r="H68" s="8" t="n">
        <v>0</v>
      </c>
      <c r="I68" s="12" t="n">
        <f aca="false">SUM(B68:H68)</f>
        <v>11694.9</v>
      </c>
    </row>
    <row r="69" customFormat="false" ht="15" hidden="false" customHeight="false" outlineLevel="0" collapsed="false">
      <c r="A69" s="6" t="str">
        <f aca="false">A16</f>
        <v>Clase D 9 l</v>
      </c>
      <c r="B69" s="8" t="n">
        <v>0</v>
      </c>
      <c r="C69" s="8" t="n">
        <v>0</v>
      </c>
      <c r="D69" s="8" t="n">
        <v>0</v>
      </c>
      <c r="E69" s="8" t="n">
        <v>0</v>
      </c>
      <c r="F69" s="8" t="n">
        <v>3535</v>
      </c>
      <c r="G69" s="8" t="n">
        <v>0</v>
      </c>
      <c r="H69" s="8" t="n">
        <v>0</v>
      </c>
      <c r="I69" s="12" t="n">
        <f aca="false">SUM(B69:H69)</f>
        <v>3535</v>
      </c>
    </row>
    <row r="70" customFormat="false" ht="15" hidden="false" customHeight="false" outlineLevel="0" collapsed="false">
      <c r="A70" s="6" t="str">
        <f aca="false">A17</f>
        <v>ABC 25 kg s/ruedas</v>
      </c>
      <c r="B70" s="8" t="n">
        <v>0</v>
      </c>
      <c r="C70" s="8" t="n">
        <v>4431</v>
      </c>
      <c r="D70" s="8" t="n">
        <v>199.2</v>
      </c>
      <c r="E70" s="8" t="n">
        <v>177</v>
      </c>
      <c r="F70" s="8" t="n">
        <v>4055.3</v>
      </c>
      <c r="G70" s="8" t="n">
        <v>1364.4</v>
      </c>
      <c r="H70" s="8" t="n">
        <v>0</v>
      </c>
      <c r="I70" s="12" t="n">
        <f aca="false">SUM(B70:H70)</f>
        <v>10226.9</v>
      </c>
    </row>
    <row r="71" customFormat="false" ht="15" hidden="false" customHeight="false" outlineLevel="0" collapsed="false">
      <c r="A71" s="6" t="str">
        <f aca="false">A18</f>
        <v>ABC 50 kg s/ruedas</v>
      </c>
      <c r="B71" s="8" t="n">
        <v>0</v>
      </c>
      <c r="C71" s="8" t="n">
        <v>9748.2</v>
      </c>
      <c r="D71" s="8" t="n">
        <v>438.3</v>
      </c>
      <c r="E71" s="8" t="n">
        <v>389.3</v>
      </c>
      <c r="F71" s="8" t="n">
        <v>8921.8</v>
      </c>
      <c r="G71" s="8" t="n">
        <v>3001.6</v>
      </c>
      <c r="H71" s="8" t="n">
        <v>0</v>
      </c>
      <c r="I71" s="12" t="n">
        <f aca="false">SUM(B71:H71)</f>
        <v>22499.2</v>
      </c>
    </row>
    <row r="72" customFormat="false" ht="15" hidden="false" customHeight="false" outlineLevel="0" collapsed="false">
      <c r="A72" s="6" t="str">
        <f aca="false">A19</f>
        <v>ABC 70 kg s/ruedas</v>
      </c>
      <c r="B72" s="8" t="n">
        <v>0</v>
      </c>
      <c r="C72" s="8" t="n">
        <v>2126.9</v>
      </c>
      <c r="D72" s="8" t="n">
        <v>95.6</v>
      </c>
      <c r="E72" s="8" t="n">
        <v>84.9</v>
      </c>
      <c r="F72" s="8" t="n">
        <v>1946.6</v>
      </c>
      <c r="G72" s="8" t="n">
        <v>654.9</v>
      </c>
      <c r="H72" s="8" t="n">
        <v>0</v>
      </c>
      <c r="I72" s="12" t="n">
        <f aca="false">SUM(B72:H72)</f>
        <v>4908.9</v>
      </c>
    </row>
    <row r="73" customFormat="false" ht="15" hidden="false" customHeight="false" outlineLevel="0" collapsed="false">
      <c r="A73" s="6" t="str">
        <f aca="false">A20</f>
        <v>ABC 100 kg s/ruedas</v>
      </c>
      <c r="B73" s="8" t="n">
        <v>0</v>
      </c>
      <c r="C73" s="8" t="n">
        <v>1417.9</v>
      </c>
      <c r="D73" s="8" t="n">
        <v>63.8</v>
      </c>
      <c r="E73" s="8" t="n">
        <v>56.6</v>
      </c>
      <c r="F73" s="8" t="n">
        <v>1297.7</v>
      </c>
      <c r="G73" s="8" t="n">
        <v>436.6</v>
      </c>
      <c r="H73" s="8" t="n">
        <v>0</v>
      </c>
      <c r="I73" s="12" t="n">
        <f aca="false">SUM(B73:H73)</f>
        <v>3272.6</v>
      </c>
    </row>
    <row r="74" customFormat="false" ht="15" hidden="false" customHeight="false" outlineLevel="0" collapsed="false">
      <c r="A74" s="2" t="s">
        <v>133</v>
      </c>
    </row>
    <row r="76" customFormat="false" ht="15" hidden="false" customHeight="false" outlineLevel="0" collapsed="false">
      <c r="A76" s="1" t="s">
        <v>134</v>
      </c>
    </row>
    <row r="77" customFormat="false" ht="23.85" hidden="false" customHeight="false" outlineLevel="0" collapsed="false">
      <c r="A77" s="3" t="s">
        <v>110</v>
      </c>
      <c r="B77" s="3" t="s">
        <v>125</v>
      </c>
      <c r="C77" s="3" t="s">
        <v>126</v>
      </c>
      <c r="D77" s="3" t="s">
        <v>127</v>
      </c>
      <c r="E77" s="3" t="s">
        <v>128</v>
      </c>
      <c r="F77" s="3" t="s">
        <v>129</v>
      </c>
      <c r="G77" s="3" t="s">
        <v>130</v>
      </c>
      <c r="H77" s="3" t="s">
        <v>131</v>
      </c>
    </row>
    <row r="78" customFormat="false" ht="15" hidden="false" customHeight="false" outlineLevel="0" collapsed="false">
      <c r="A78" s="5" t="s">
        <v>135</v>
      </c>
      <c r="B78" s="8" t="n">
        <v>5663021</v>
      </c>
      <c r="C78" s="8" t="n">
        <v>2058897</v>
      </c>
      <c r="D78" s="8" t="n">
        <v>157576</v>
      </c>
      <c r="E78" s="8" t="n">
        <v>58567</v>
      </c>
      <c r="F78" s="8" t="n">
        <v>292954</v>
      </c>
      <c r="G78" s="8" t="n">
        <v>888129</v>
      </c>
      <c r="H78" s="8" t="n">
        <v>22471</v>
      </c>
    </row>
    <row r="79" customFormat="false" ht="15" hidden="false" customHeight="false" outlineLevel="0" collapsed="false">
      <c r="A79" s="5" t="s">
        <v>136</v>
      </c>
      <c r="B79" s="8" t="n">
        <v>606749</v>
      </c>
      <c r="C79" s="8" t="n">
        <v>138482</v>
      </c>
      <c r="D79" s="8" t="n">
        <v>12835</v>
      </c>
      <c r="E79" s="8" t="n">
        <v>5369</v>
      </c>
      <c r="F79" s="8" t="n">
        <v>30463</v>
      </c>
      <c r="G79" s="8" t="n">
        <v>14475.2925</v>
      </c>
      <c r="H79" s="8" t="n">
        <v>7512</v>
      </c>
    </row>
    <row r="80" customFormat="false" ht="15" hidden="false" customHeight="false" outlineLevel="0" collapsed="false">
      <c r="A80" s="5" t="s">
        <v>137</v>
      </c>
      <c r="B80" s="14" t="n">
        <f aca="false">B78/B79</f>
        <v>9.33338332654854</v>
      </c>
      <c r="C80" s="14" t="n">
        <f aca="false">C78/C79</f>
        <v>14.8676145636256</v>
      </c>
      <c r="D80" s="14" t="n">
        <f aca="false">D78/D79</f>
        <v>12.2770549279314</v>
      </c>
      <c r="E80" s="14" t="n">
        <f aca="false">E78/E79</f>
        <v>10.9083628236171</v>
      </c>
      <c r="F80" s="14" t="n">
        <f aca="false">F78/F79</f>
        <v>9.61671535961659</v>
      </c>
      <c r="G80" s="14" t="n">
        <f aca="false">G78/G79</f>
        <v>61.3548223636932</v>
      </c>
      <c r="H80" s="14" t="n">
        <f aca="false">H78/H79</f>
        <v>2.99134717784878</v>
      </c>
    </row>
    <row r="81" customFormat="false" ht="15" hidden="false" customHeight="false" outlineLevel="0" collapsed="false">
      <c r="A81" s="5" t="s">
        <v>138</v>
      </c>
      <c r="B81" s="8"/>
      <c r="C81" s="8"/>
      <c r="D81" s="8"/>
      <c r="E81" s="8"/>
      <c r="F81" s="8"/>
      <c r="G81" s="8"/>
      <c r="H81" s="8" t="n">
        <v>1075</v>
      </c>
    </row>
    <row r="82" customFormat="false" ht="15" hidden="false" customHeight="false" outlineLevel="0" collapsed="false">
      <c r="A82" s="5" t="s">
        <v>139</v>
      </c>
      <c r="B82" s="10" t="n">
        <f aca="false">IF(B81="",0,ROUNDUP(B81/200,0))</f>
        <v>0</v>
      </c>
      <c r="C82" s="10" t="n">
        <f aca="false">IF(C81="",0,ROUNDUP(C81/200,0))</f>
        <v>0</v>
      </c>
      <c r="D82" s="10" t="n">
        <f aca="false">IF(D81="",0,ROUNDUP(D81/200,0))</f>
        <v>0</v>
      </c>
      <c r="E82" s="10" t="n">
        <f aca="false">IF(E81="",0,ROUNDUP(E81/200,0))</f>
        <v>0</v>
      </c>
      <c r="F82" s="10" t="n">
        <f aca="false">IF(F81="",0,ROUNDUP(F81/200,0))</f>
        <v>0</v>
      </c>
      <c r="G82" s="10" t="n">
        <f aca="false">IF(G81="",0,ROUNDUP(G81/200,0))</f>
        <v>0</v>
      </c>
      <c r="H82" s="10" t="n">
        <f aca="false">IF(H81="",0,ROUNDUP(H81/200,0))</f>
        <v>6</v>
      </c>
    </row>
    <row r="83" customFormat="false" ht="15" hidden="false" customHeight="false" outlineLevel="0" collapsed="false">
      <c r="A83" s="4" t="s">
        <v>140</v>
      </c>
      <c r="B83" s="15" t="n">
        <f aca="false">MAX(ROUND(B80,0),B82)</f>
        <v>9</v>
      </c>
      <c r="C83" s="15" t="n">
        <f aca="false">MAX(ROUND(C80,0),C82)</f>
        <v>15</v>
      </c>
      <c r="D83" s="15" t="n">
        <f aca="false">MAX(ROUND(D80,0),D82)</f>
        <v>12</v>
      </c>
      <c r="E83" s="15" t="n">
        <f aca="false">MAX(ROUND(E80,0),E82)</f>
        <v>11</v>
      </c>
      <c r="F83" s="15" t="n">
        <f aca="false">MAX(ROUND(F80,0),F82)</f>
        <v>10</v>
      </c>
      <c r="G83" s="15" t="n">
        <f aca="false">MAX(ROUND(G80,0),G82)</f>
        <v>61</v>
      </c>
      <c r="H83" s="15" t="n">
        <f aca="false">MAX(ROUND(H80,0),H82)</f>
        <v>6</v>
      </c>
    </row>
  </sheetData>
  <mergeCells count="5">
    <mergeCell ref="C45:L45"/>
    <mergeCell ref="C46:L46"/>
    <mergeCell ref="C47:L47"/>
    <mergeCell ref="C48:L48"/>
    <mergeCell ref="C49:L49"/>
  </mergeCells>
  <dataValidations count="1">
    <dataValidation allowBlank="false" errorStyle="stop" operator="between" showDropDown="false" showErrorMessage="false" showInputMessage="false" sqref="C25:C38" type="list">
      <formula1>"Comercial,Industrial,Fuera"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11" min="2" style="0" width="11"/>
  </cols>
  <sheetData>
    <row r="1" customFormat="false" ht="15" hidden="false" customHeight="false" outlineLevel="0" collapsed="false">
      <c r="A1" s="3" t="s">
        <v>141</v>
      </c>
      <c r="B1" s="3" t="n">
        <f aca="false">PROY_Indexado!B3</f>
        <v>2026</v>
      </c>
      <c r="C1" s="3" t="n">
        <f aca="false">PROY_Indexado!C3</f>
        <v>2027</v>
      </c>
      <c r="D1" s="3" t="n">
        <f aca="false">PROY_Indexado!D3</f>
        <v>2028</v>
      </c>
      <c r="E1" s="3" t="n">
        <f aca="false">PROY_Indexado!E3</f>
        <v>2029</v>
      </c>
      <c r="F1" s="3" t="n">
        <f aca="false">PROY_Indexado!F3</f>
        <v>2030</v>
      </c>
      <c r="G1" s="3" t="n">
        <f aca="false">PROY_Indexado!G3</f>
        <v>2031</v>
      </c>
      <c r="H1" s="3" t="n">
        <f aca="false">PROY_Indexado!H3</f>
        <v>2032</v>
      </c>
      <c r="I1" s="3" t="n">
        <f aca="false">PROY_Indexado!I3</f>
        <v>2033</v>
      </c>
      <c r="J1" s="3" t="n">
        <f aca="false">PROY_Indexado!J3</f>
        <v>2034</v>
      </c>
      <c r="K1" s="3" t="n">
        <f aca="false">PROY_Indexado!K3</f>
        <v>2035</v>
      </c>
    </row>
    <row r="2" customFormat="false" ht="15" hidden="false" customHeight="false" outlineLevel="0" collapsed="false">
      <c r="A2" s="6" t="str">
        <f aca="false">PROY_Indexado!A4</f>
        <v>ABC 1 kg</v>
      </c>
      <c r="B2" s="8" t="n">
        <f aca="false">PROY_Indexado!B4*PROY_Indexado!$B$52</f>
        <v>1928.3324794299</v>
      </c>
      <c r="C2" s="8" t="n">
        <f aca="false">PROY_Indexado!C4*PROY_Indexado!$B$52</f>
        <v>9410.52471807289</v>
      </c>
      <c r="D2" s="8" t="n">
        <f aca="false">PROY_Indexado!D4*PROY_Indexado!$B$52</f>
        <v>16938.4095795012</v>
      </c>
      <c r="E2" s="8" t="n">
        <f aca="false">PROY_Indexado!E4*PROY_Indexado!$B$52</f>
        <v>31079.8948147772</v>
      </c>
      <c r="F2" s="8" t="n">
        <f aca="false">PROY_Indexado!F4*PROY_Indexado!$B$52</f>
        <v>46729.5037906516</v>
      </c>
      <c r="G2" s="8" t="n">
        <f aca="false">PROY_Indexado!G4*PROY_Indexado!$B$52</f>
        <v>65104.9554102294</v>
      </c>
      <c r="H2" s="8" t="n">
        <f aca="false">PROY_Indexado!H4*PROY_Indexado!$B$52</f>
        <v>81853.011111775</v>
      </c>
      <c r="I2" s="8" t="n">
        <f aca="false">PROY_Indexado!I4*PROY_Indexado!$B$52</f>
        <v>95047.1013416854</v>
      </c>
      <c r="J2" s="8" t="n">
        <f aca="false">PROY_Indexado!J4*PROY_Indexado!$B$52</f>
        <v>101860.044696713</v>
      </c>
      <c r="K2" s="8" t="n">
        <f aca="false">PROY_Indexado!K4*PROY_Indexado!$B$52</f>
        <v>108842.626397553</v>
      </c>
    </row>
    <row r="3" customFormat="false" ht="15" hidden="false" customHeight="false" outlineLevel="0" collapsed="false">
      <c r="A3" s="6" t="str">
        <f aca="false">PROY_Indexado!A5</f>
        <v>ABC 2,5 kg</v>
      </c>
      <c r="B3" s="8" t="n">
        <f aca="false">PROY_Indexado!B5*PROY_Indexado!$B$52</f>
        <v>182.98966617723</v>
      </c>
      <c r="C3" s="8" t="n">
        <f aca="false">PROY_Indexado!C5*PROY_Indexado!$B$52</f>
        <v>713.896488444678</v>
      </c>
      <c r="D3" s="8" t="n">
        <f aca="false">PROY_Indexado!D5*PROY_Indexado!$B$52</f>
        <v>1634.26350415044</v>
      </c>
      <c r="E3" s="8" t="n">
        <f aca="false">PROY_Indexado!E5*PROY_Indexado!$B$52</f>
        <v>3008.84809678598</v>
      </c>
      <c r="F3" s="8" t="n">
        <f aca="false">PROY_Indexado!F5*PROY_Indexado!$B$52</f>
        <v>4353.46560207945</v>
      </c>
      <c r="G3" s="8" t="n">
        <f aca="false">PROY_Indexado!G5*PROY_Indexado!$B$52</f>
        <v>5780.28251110631</v>
      </c>
      <c r="H3" s="8" t="n">
        <f aca="false">PROY_Indexado!H5*PROY_Indexado!$B$52</f>
        <v>7103.34002444543</v>
      </c>
      <c r="I3" s="8" t="n">
        <f aca="false">PROY_Indexado!I5*PROY_Indexado!$B$52</f>
        <v>7909.15291517406</v>
      </c>
      <c r="J3" s="8" t="n">
        <f aca="false">PROY_Indexado!J5*PROY_Indexado!$B$52</f>
        <v>8557.83094860929</v>
      </c>
      <c r="K3" s="8" t="n">
        <f aca="false">PROY_Indexado!K5*PROY_Indexado!$B$52</f>
        <v>9216.54014430766</v>
      </c>
    </row>
    <row r="4" customFormat="false" ht="15" hidden="false" customHeight="false" outlineLevel="0" collapsed="false">
      <c r="A4" s="6" t="str">
        <f aca="false">PROY_Indexado!A6</f>
        <v>ABC 5 kg</v>
      </c>
      <c r="B4" s="8" t="n">
        <f aca="false">PROY_Indexado!B6*PROY_Indexado!$B$52</f>
        <v>1081.53202542054</v>
      </c>
      <c r="C4" s="8" t="n">
        <f aca="false">PROY_Indexado!C6*PROY_Indexado!$B$52</f>
        <v>4354.4319713917</v>
      </c>
      <c r="D4" s="8" t="n">
        <f aca="false">PROY_Indexado!D6*PROY_Indexado!$B$52</f>
        <v>9857.06358790893</v>
      </c>
      <c r="E4" s="8" t="n">
        <f aca="false">PROY_Indexado!E6*PROY_Indexado!$B$52</f>
        <v>18634.9509870281</v>
      </c>
      <c r="F4" s="8" t="n">
        <f aca="false">PROY_Indexado!F6*PROY_Indexado!$B$52</f>
        <v>26842.9541252258</v>
      </c>
      <c r="G4" s="8" t="n">
        <f aca="false">PROY_Indexado!G6*PROY_Indexado!$B$52</f>
        <v>35668.3968765287</v>
      </c>
      <c r="H4" s="8" t="n">
        <f aca="false">PROY_Indexado!H6*PROY_Indexado!$B$52</f>
        <v>43652.4040341835</v>
      </c>
      <c r="I4" s="8" t="n">
        <f aca="false">PROY_Indexado!I6*PROY_Indexado!$B$52</f>
        <v>48374.7562424118</v>
      </c>
      <c r="J4" s="8" t="n">
        <f aca="false">PROY_Indexado!J6*PROY_Indexado!$B$52</f>
        <v>52182.3411926296</v>
      </c>
      <c r="K4" s="8" t="n">
        <f aca="false">PROY_Indexado!K6*PROY_Indexado!$B$52</f>
        <v>56059.2707104735</v>
      </c>
    </row>
    <row r="5" customFormat="false" ht="15" hidden="false" customHeight="false" outlineLevel="0" collapsed="false">
      <c r="A5" s="6" t="str">
        <f aca="false">PROY_Indexado!A7</f>
        <v>ABC 10 kg</v>
      </c>
      <c r="B5" s="8" t="n">
        <f aca="false">PROY_Indexado!B7*PROY_Indexado!$B$52</f>
        <v>65.6238799171177</v>
      </c>
      <c r="C5" s="8" t="n">
        <f aca="false">PROY_Indexado!C7*PROY_Indexado!$B$52</f>
        <v>242.722482544761</v>
      </c>
      <c r="D5" s="8" t="n">
        <f aca="false">PROY_Indexado!D7*PROY_Indexado!$B$52</f>
        <v>568.368770119994</v>
      </c>
      <c r="E5" s="8" t="n">
        <f aca="false">PROY_Indexado!E7*PROY_Indexado!$B$52</f>
        <v>1087.08596481323</v>
      </c>
      <c r="F5" s="8" t="n">
        <f aca="false">PROY_Indexado!F7*PROY_Indexado!$B$52</f>
        <v>1577.59581782047</v>
      </c>
      <c r="G5" s="8" t="n">
        <f aca="false">PROY_Indexado!G7*PROY_Indexado!$B$52</f>
        <v>2112.93681281845</v>
      </c>
      <c r="H5" s="8" t="n">
        <f aca="false">PROY_Indexado!H7*PROY_Indexado!$B$52</f>
        <v>2586.10154569006</v>
      </c>
      <c r="I5" s="8" t="n">
        <f aca="false">PROY_Indexado!I7*PROY_Indexado!$B$52</f>
        <v>2863.82527866492</v>
      </c>
      <c r="J5" s="8" t="n">
        <f aca="false">PROY_Indexado!J7*PROY_Indexado!$B$52</f>
        <v>3089.53130603234</v>
      </c>
      <c r="K5" s="8" t="n">
        <f aca="false">PROY_Indexado!K7*PROY_Indexado!$B$52</f>
        <v>3319.32790518283</v>
      </c>
    </row>
    <row r="6" customFormat="false" ht="15" hidden="false" customHeight="false" outlineLevel="0" collapsed="false">
      <c r="A6" s="6" t="str">
        <f aca="false">PROY_Indexado!A8</f>
        <v>Agua 10 l</v>
      </c>
      <c r="B6" s="8" t="n">
        <f aca="false">PROY_Indexado!B8*PROY_Indexado!$B$52</f>
        <v>88.339838691209</v>
      </c>
      <c r="C6" s="8" t="n">
        <f aca="false">PROY_Indexado!C8*PROY_Indexado!$B$52</f>
        <v>356.791054511953</v>
      </c>
      <c r="D6" s="8" t="n">
        <f aca="false">PROY_Indexado!D8*PROY_Indexado!$B$52</f>
        <v>817.563242183208</v>
      </c>
      <c r="E6" s="8" t="n">
        <f aca="false">PROY_Indexado!E8*PROY_Indexado!$B$52</f>
        <v>1534.05179987619</v>
      </c>
      <c r="F6" s="8" t="n">
        <f aca="false">PROY_Indexado!F8*PROY_Indexado!$B$52</f>
        <v>2213.34625217735</v>
      </c>
      <c r="G6" s="8" t="n">
        <f aca="false">PROY_Indexado!G8*PROY_Indexado!$B$52</f>
        <v>2958.78190195977</v>
      </c>
      <c r="H6" s="8" t="n">
        <f aca="false">PROY_Indexado!H8*PROY_Indexado!$B$52</f>
        <v>3625.98177469707</v>
      </c>
      <c r="I6" s="8" t="n">
        <f aca="false">PROY_Indexado!I8*PROY_Indexado!$B$52</f>
        <v>4031.2585113582</v>
      </c>
      <c r="J6" s="8" t="n">
        <f aca="false">PROY_Indexado!J8*PROY_Indexado!$B$52</f>
        <v>4355.99730852705</v>
      </c>
      <c r="K6" s="8" t="n">
        <f aca="false">PROY_Indexado!K8*PROY_Indexado!$B$52</f>
        <v>4686.14321768856</v>
      </c>
    </row>
    <row r="7" customFormat="false" ht="15" hidden="false" customHeight="false" outlineLevel="0" collapsed="false">
      <c r="A7" s="6" t="str">
        <f aca="false">PROY_Indexado!A9</f>
        <v>AFFF 10 l</v>
      </c>
      <c r="B7" s="8" t="n">
        <f aca="false">PROY_Indexado!B9*PROY_Indexado!$B$52</f>
        <v>12.6199770351041</v>
      </c>
      <c r="C7" s="8" t="n">
        <f aca="false">PROY_Indexado!C9*PROY_Indexado!$B$52</f>
        <v>89.4527681249774</v>
      </c>
      <c r="D7" s="8" t="n">
        <f aca="false">PROY_Indexado!D9*PROY_Indexado!$B$52</f>
        <v>175.56498402136</v>
      </c>
      <c r="E7" s="8" t="n">
        <f aca="false">PROY_Indexado!E9*PROY_Indexado!$B$52</f>
        <v>292.450726979665</v>
      </c>
      <c r="F7" s="8" t="n">
        <f aca="false">PROY_Indexado!F9*PROY_Indexado!$B$52</f>
        <v>412.445652132626</v>
      </c>
      <c r="G7" s="8" t="n">
        <f aca="false">PROY_Indexado!G9*PROY_Indexado!$B$52</f>
        <v>533.932824837711</v>
      </c>
      <c r="H7" s="8" t="n">
        <f aca="false">PROY_Indexado!H9*PROY_Indexado!$B$52</f>
        <v>662.61904062623</v>
      </c>
      <c r="I7" s="8" t="n">
        <f aca="false">PROY_Indexado!I9*PROY_Indexado!$B$52</f>
        <v>749.498407409914</v>
      </c>
      <c r="J7" s="8" t="n">
        <f aca="false">PROY_Indexado!J9*PROY_Indexado!$B$52</f>
        <v>819.330008059193</v>
      </c>
      <c r="K7" s="8" t="n">
        <f aca="false">PROY_Indexado!K9*PROY_Indexado!$B$52</f>
        <v>889.694438407785</v>
      </c>
    </row>
    <row r="8" customFormat="false" ht="15" hidden="false" customHeight="false" outlineLevel="0" collapsed="false">
      <c r="A8" s="6" t="str">
        <f aca="false">PROY_Indexado!A10</f>
        <v>AFFF 50 l s/ruedas</v>
      </c>
      <c r="B8" s="8" t="n">
        <f aca="false">PROY_Indexado!B10*PROY_Indexado!$B$52</f>
        <v>6.30998824029218</v>
      </c>
      <c r="C8" s="8" t="n">
        <f aca="false">PROY_Indexado!C10*PROY_Indexado!$B$52</f>
        <v>46.1490845807389</v>
      </c>
      <c r="D8" s="8" t="n">
        <f aca="false">PROY_Indexado!D10*PROY_Indexado!$B$52</f>
        <v>91.1984422881729</v>
      </c>
      <c r="E8" s="8" t="n">
        <f aca="false">PROY_Indexado!E10*PROY_Indexado!$B$52</f>
        <v>156.009218267227</v>
      </c>
      <c r="F8" s="8" t="n">
        <f aca="false">PROY_Indexado!F10*PROY_Indexado!$B$52</f>
        <v>221.199315137235</v>
      </c>
      <c r="G8" s="8" t="n">
        <f aca="false">PROY_Indexado!G10*PROY_Indexado!$B$52</f>
        <v>285.315535180606</v>
      </c>
      <c r="H8" s="8" t="n">
        <f aca="false">PROY_Indexado!H10*PROY_Indexado!$B$52</f>
        <v>348.829239583597</v>
      </c>
      <c r="I8" s="8" t="n">
        <f aca="false">PROY_Indexado!I10*PROY_Indexado!$B$52</f>
        <v>394.362252179898</v>
      </c>
      <c r="J8" s="8" t="n">
        <f aca="false">PROY_Indexado!J10*PROY_Indexado!$B$52</f>
        <v>428.871654691993</v>
      </c>
      <c r="K8" s="8" t="n">
        <f aca="false">PROY_Indexado!K10*PROY_Indexado!$B$52</f>
        <v>463.773030017405</v>
      </c>
    </row>
    <row r="9" customFormat="false" ht="15" hidden="false" customHeight="false" outlineLevel="0" collapsed="false">
      <c r="A9" s="6" t="str">
        <f aca="false">PROY_Indexado!A11</f>
        <v>BC 5 kg</v>
      </c>
      <c r="B9" s="8" t="n">
        <f aca="false">PROY_Indexado!B11*PROY_Indexado!$B$52</f>
        <v>3.78599294417531</v>
      </c>
      <c r="C9" s="8" t="n">
        <f aca="false">PROY_Indexado!C11*PROY_Indexado!$B$52</f>
        <v>26.1029697754505</v>
      </c>
      <c r="D9" s="8" t="n">
        <f aca="false">PROY_Indexado!D11*PROY_Indexado!$B$52</f>
        <v>49.2910799264256</v>
      </c>
      <c r="E9" s="8" t="n">
        <f aca="false">PROY_Indexado!E11*PROY_Indexado!$B$52</f>
        <v>88.4472796632196</v>
      </c>
      <c r="F9" s="8" t="n">
        <f aca="false">PROY_Indexado!F11*PROY_Indexado!$B$52</f>
        <v>121.881332544252</v>
      </c>
      <c r="G9" s="8" t="n">
        <f aca="false">PROY_Indexado!G11*PROY_Indexado!$B$52</f>
        <v>161.847594678341</v>
      </c>
      <c r="H9" s="8" t="n">
        <f aca="false">PROY_Indexado!H11*PROY_Indexado!$B$52</f>
        <v>204.531372288667</v>
      </c>
      <c r="I9" s="8" t="n">
        <f aca="false">PROY_Indexado!I11*PROY_Indexado!$B$52</f>
        <v>226.470825981982</v>
      </c>
      <c r="J9" s="8" t="n">
        <f aca="false">PROY_Indexado!J11*PROY_Indexado!$B$52</f>
        <v>247.194887193214</v>
      </c>
      <c r="K9" s="8" t="n">
        <f aca="false">PROY_Indexado!K11*PROY_Indexado!$B$52</f>
        <v>268.09876141114</v>
      </c>
    </row>
    <row r="10" customFormat="false" ht="15" hidden="false" customHeight="false" outlineLevel="0" collapsed="false">
      <c r="A10" s="6" t="str">
        <f aca="false">PROY_Indexado!A12</f>
        <v>Sales K 6 l</v>
      </c>
      <c r="B10" s="8" t="n">
        <f aca="false">PROY_Indexado!B12*PROY_Indexado!$B$52</f>
        <v>45.4319169936629</v>
      </c>
      <c r="C10" s="8" t="n">
        <f aca="false">PROY_Indexado!C12*PROY_Indexado!$B$52</f>
        <v>185.985285501959</v>
      </c>
      <c r="D10" s="8" t="n">
        <f aca="false">PROY_Indexado!D12*PROY_Indexado!$B$52</f>
        <v>414.00352321421</v>
      </c>
      <c r="E10" s="8" t="n">
        <f aca="false">PROY_Indexado!E12*PROY_Indexado!$B$52</f>
        <v>753.536782804492</v>
      </c>
      <c r="F10" s="8" t="n">
        <f aca="false">PROY_Indexado!F12*PROY_Indexado!$B$52</f>
        <v>1087.48281240957</v>
      </c>
      <c r="G10" s="8" t="n">
        <f aca="false">PROY_Indexado!G12*PROY_Indexado!$B$52</f>
        <v>1440.94250530308</v>
      </c>
      <c r="H10" s="8" t="n">
        <f aca="false">PROY_Indexado!H12*PROY_Indexado!$B$52</f>
        <v>1772.94570846055</v>
      </c>
      <c r="I10" s="8" t="n">
        <f aca="false">PROY_Indexado!I12*PROY_Indexado!$B$52</f>
        <v>1984.37076256639</v>
      </c>
      <c r="J10" s="8" t="n">
        <f aca="false">PROY_Indexado!J12*PROY_Indexado!$B$52</f>
        <v>2146.40616864414</v>
      </c>
      <c r="K10" s="8" t="n">
        <f aca="false">PROY_Indexado!K12*PROY_Indexado!$B$52</f>
        <v>2310.99407344162</v>
      </c>
    </row>
    <row r="11" customFormat="false" ht="15" hidden="false" customHeight="false" outlineLevel="0" collapsed="false">
      <c r="A11" s="6" t="str">
        <f aca="false">PROY_Indexado!A13</f>
        <v>CO₂ 2 kg</v>
      </c>
      <c r="B11" s="8" t="n">
        <f aca="false">PROY_Indexado!B13*PROY_Indexado!$B$52</f>
        <v>249.875543742406</v>
      </c>
      <c r="C11" s="8" t="n">
        <f aca="false">PROY_Indexado!C13*PROY_Indexado!$B$52</f>
        <v>941.120636700713</v>
      </c>
      <c r="D11" s="8" t="n">
        <f aca="false">PROY_Indexado!D13*PROY_Indexado!$B$52</f>
        <v>2193.23472899626</v>
      </c>
      <c r="E11" s="8" t="n">
        <f aca="false">PROY_Indexado!E13*PROY_Indexado!$B$52</f>
        <v>4192.86810394653</v>
      </c>
      <c r="F11" s="8" t="n">
        <f aca="false">PROY_Indexado!F13*PROY_Indexado!$B$52</f>
        <v>6055.43584879139</v>
      </c>
      <c r="G11" s="8" t="n">
        <f aca="false">PROY_Indexado!G13*PROY_Indexado!$B$52</f>
        <v>8048.79036235787</v>
      </c>
      <c r="H11" s="8" t="n">
        <f aca="false">PROY_Indexado!H13*PROY_Indexado!$B$52</f>
        <v>9840.78414158944</v>
      </c>
      <c r="I11" s="8" t="n">
        <f aca="false">PROY_Indexado!I13*PROY_Indexado!$B$52</f>
        <v>10878.1276496269</v>
      </c>
      <c r="J11" s="8" t="n">
        <f aca="false">PROY_Indexado!J13*PROY_Indexado!$B$52</f>
        <v>11734.6392764024</v>
      </c>
      <c r="K11" s="8" t="n">
        <f aca="false">PROY_Indexado!K13*PROY_Indexado!$B$52</f>
        <v>12606.7299522508</v>
      </c>
    </row>
    <row r="12" customFormat="false" ht="15" hidden="false" customHeight="false" outlineLevel="0" collapsed="false">
      <c r="A12" s="6" t="str">
        <f aca="false">PROY_Indexado!A14</f>
        <v>CO₂ 5 kg</v>
      </c>
      <c r="B12" s="8" t="n">
        <f aca="false">PROY_Indexado!B14*PROY_Indexado!$B$52</f>
        <v>69.4098734158127</v>
      </c>
      <c r="C12" s="8" t="n">
        <f aca="false">PROY_Indexado!C14*PROY_Indexado!$B$52</f>
        <v>356.90574527503</v>
      </c>
      <c r="D12" s="8" t="n">
        <f aca="false">PROY_Indexado!D14*PROY_Indexado!$B$52</f>
        <v>762.812169043744</v>
      </c>
      <c r="E12" s="8" t="n">
        <f aca="false">PROY_Indexado!E14*PROY_Indexado!$B$52</f>
        <v>1364.27618824758</v>
      </c>
      <c r="F12" s="8" t="n">
        <f aca="false">PROY_Indexado!F14*PROY_Indexado!$B$52</f>
        <v>1965.91536471038</v>
      </c>
      <c r="G12" s="8" t="n">
        <f aca="false">PROY_Indexado!G14*PROY_Indexado!$B$52</f>
        <v>2619.25279516781</v>
      </c>
      <c r="H12" s="8" t="n">
        <f aca="false">PROY_Indexado!H14*PROY_Indexado!$B$52</f>
        <v>3246.10597084992</v>
      </c>
      <c r="I12" s="8" t="n">
        <f aca="false">PROY_Indexado!I14*PROY_Indexado!$B$52</f>
        <v>3664.5214632698</v>
      </c>
      <c r="J12" s="8" t="n">
        <f aca="false">PROY_Indexado!J14*PROY_Indexado!$B$52</f>
        <v>3984.61714411598</v>
      </c>
      <c r="K12" s="8" t="n">
        <f aca="false">PROY_Indexado!K14*PROY_Indexado!$B$52</f>
        <v>4308.38387982745</v>
      </c>
    </row>
    <row r="13" customFormat="false" ht="15" hidden="false" customHeight="false" outlineLevel="0" collapsed="false">
      <c r="A13" s="6" t="str">
        <f aca="false">PROY_Indexado!A15</f>
        <v>HCFC/HFC 5 kg</v>
      </c>
      <c r="B13" s="8" t="n">
        <f aca="false">PROY_Indexado!B15*PROY_Indexado!$B$52</f>
        <v>10.0959817389872</v>
      </c>
      <c r="C13" s="8" t="n">
        <f aca="false">PROY_Indexado!C15*PROY_Indexado!$B$52</f>
        <v>62.1478673886256</v>
      </c>
      <c r="D13" s="8" t="n">
        <f aca="false">PROY_Indexado!D15*PROY_Indexado!$B$52</f>
        <v>128.01312253933</v>
      </c>
      <c r="E13" s="8" t="n">
        <f aca="false">PROY_Indexado!E15*PROY_Indexado!$B$52</f>
        <v>222.204562382906</v>
      </c>
      <c r="F13" s="8" t="n">
        <f aca="false">PROY_Indexado!F15*PROY_Indexado!$B$52</f>
        <v>318.575909152296</v>
      </c>
      <c r="G13" s="8" t="n">
        <f aca="false">PROY_Indexado!G15*PROY_Indexado!$B$52</f>
        <v>418.299537906318</v>
      </c>
      <c r="H13" s="8" t="n">
        <f aca="false">PROY_Indexado!H15*PROY_Indexado!$B$52</f>
        <v>523.937332056768</v>
      </c>
      <c r="I13" s="8" t="n">
        <f aca="false">PROY_Indexado!I15*PROY_Indexado!$B$52</f>
        <v>594.575289802447</v>
      </c>
      <c r="J13" s="8" t="n">
        <f aca="false">PROY_Indexado!J15*PROY_Indexado!$B$52</f>
        <v>649.728423023799</v>
      </c>
      <c r="K13" s="8" t="n">
        <f aca="false">PROY_Indexado!K15*PROY_Indexado!$B$52</f>
        <v>705.316446113659</v>
      </c>
    </row>
    <row r="14" customFormat="false" ht="15" hidden="false" customHeight="false" outlineLevel="0" collapsed="false">
      <c r="A14" s="6" t="str">
        <f aca="false">PROY_Indexado!A16</f>
        <v>Clase D 9 l</v>
      </c>
      <c r="B14" s="8" t="n">
        <f aca="false">PROY_Indexado!B16*PROY_Indexado!$B$52</f>
        <v>3.78599294417531</v>
      </c>
      <c r="C14" s="8" t="n">
        <f aca="false">PROY_Indexado!C16*PROY_Indexado!$B$52</f>
        <v>26.1029697754505</v>
      </c>
      <c r="D14" s="8" t="n">
        <f aca="false">PROY_Indexado!D16*PROY_Indexado!$B$52</f>
        <v>49.2910799264256</v>
      </c>
      <c r="E14" s="8" t="n">
        <f aca="false">PROY_Indexado!E16*PROY_Indexado!$B$52</f>
        <v>82.2237332869456</v>
      </c>
      <c r="F14" s="8" t="n">
        <f aca="false">PROY_Indexado!F16*PROY_Indexado!$B$52</f>
        <v>113.801897325038</v>
      </c>
      <c r="G14" s="8" t="n">
        <f aca="false">PROY_Indexado!G16*PROY_Indexado!$B$52</f>
        <v>141.826821425121</v>
      </c>
      <c r="H14" s="8" t="n">
        <f aca="false">PROY_Indexado!H16*PROY_Indexado!$B$52</f>
        <v>182.114209267126</v>
      </c>
      <c r="I14" s="8" t="n">
        <f aca="false">PROY_Indexado!I16*PROY_Indexado!$B$52</f>
        <v>203.457767731223</v>
      </c>
      <c r="J14" s="8" t="n">
        <f aca="false">PROY_Indexado!J16*PROY_Indexado!$B$52</f>
        <v>222.740435286546</v>
      </c>
      <c r="K14" s="8" t="n">
        <f aca="false">PROY_Indexado!K16*PROY_Indexado!$B$52</f>
        <v>242.151440335721</v>
      </c>
    </row>
    <row r="15" customFormat="false" ht="15" hidden="false" customHeight="false" outlineLevel="0" collapsed="false">
      <c r="A15" s="6" t="str">
        <f aca="false">PROY_Indexado!A17</f>
        <v>ABC 25 kg s/ruedas</v>
      </c>
      <c r="B15" s="8" t="n">
        <f aca="false">PROY_Indexado!B17*PROY_Indexado!$B$52</f>
        <v>9.78048218834269</v>
      </c>
      <c r="C15" s="8" t="n">
        <f aca="false">PROY_Indexado!C17*PROY_Indexado!$B$52</f>
        <v>47.6819429404605</v>
      </c>
      <c r="D15" s="8" t="n">
        <f aca="false">PROY_Indexado!D17*PROY_Indexado!$B$52</f>
        <v>103.622863501196</v>
      </c>
      <c r="E15" s="8" t="n">
        <f aca="false">PROY_Indexado!E17*PROY_Indexado!$B$52</f>
        <v>186.642261634937</v>
      </c>
      <c r="F15" s="8" t="n">
        <f aca="false">PROY_Indexado!F17*PROY_Indexado!$B$52</f>
        <v>268.461081835939</v>
      </c>
      <c r="G15" s="8" t="n">
        <f aca="false">PROY_Indexado!G17*PROY_Indexado!$B$52</f>
        <v>356.678399945357</v>
      </c>
      <c r="H15" s="8" t="n">
        <f aca="false">PROY_Indexado!H17*PROY_Indexado!$B$52</f>
        <v>439.419042669912</v>
      </c>
      <c r="I15" s="8" t="n">
        <f aca="false">PROY_Indexado!I17*PROY_Indexado!$B$52</f>
        <v>493.343849790791</v>
      </c>
      <c r="J15" s="8" t="n">
        <f aca="false">PROY_Indexado!J17*PROY_Indexado!$B$52</f>
        <v>535.284064674469</v>
      </c>
      <c r="K15" s="8" t="n">
        <f aca="false">PROY_Indexado!K17*PROY_Indexado!$B$52</f>
        <v>577.776131502584</v>
      </c>
    </row>
    <row r="16" customFormat="false" ht="15" hidden="false" customHeight="false" outlineLevel="0" collapsed="false">
      <c r="A16" s="6" t="str">
        <f aca="false">PROY_Indexado!A18</f>
        <v>ABC 50 kg s/ruedas</v>
      </c>
      <c r="B16" s="8" t="n">
        <f aca="false">PROY_Indexado!B18*PROY_Indexado!$B$52</f>
        <v>21.5170604816421</v>
      </c>
      <c r="C16" s="8" t="n">
        <f aca="false">PROY_Indexado!C18*PROY_Indexado!$B$52</f>
        <v>104.900275134437</v>
      </c>
      <c r="D16" s="8" t="n">
        <f aca="false">PROY_Indexado!D18*PROY_Indexado!$B$52</f>
        <v>227.970300035343</v>
      </c>
      <c r="E16" s="8" t="n">
        <f aca="false">PROY_Indexado!E18*PROY_Indexado!$B$52</f>
        <v>410.612975485956</v>
      </c>
      <c r="F16" s="8" t="n">
        <f aca="false">PROY_Indexado!F18*PROY_Indexado!$B$52</f>
        <v>590.614379706353</v>
      </c>
      <c r="G16" s="8" t="n">
        <f aca="false">PROY_Indexado!G18*PROY_Indexado!$B$52</f>
        <v>784.692480434306</v>
      </c>
      <c r="H16" s="8" t="n">
        <f aca="false">PROY_Indexado!H18*PROY_Indexado!$B$52</f>
        <v>966.721894206519</v>
      </c>
      <c r="I16" s="8" t="n">
        <f aca="false">PROY_Indexado!I18*PROY_Indexado!$B$52</f>
        <v>1085.35646931793</v>
      </c>
      <c r="J16" s="8" t="n">
        <f aca="false">PROY_Indexado!J18*PROY_Indexado!$B$52</f>
        <v>1177.62494172931</v>
      </c>
      <c r="K16" s="8" t="n">
        <f aca="false">PROY_Indexado!K18*PROY_Indexado!$B$52</f>
        <v>1271.10748852936</v>
      </c>
    </row>
    <row r="17" customFormat="false" ht="15" hidden="false" customHeight="false" outlineLevel="0" collapsed="false">
      <c r="A17" s="6" t="str">
        <f aca="false">PROY_Indexado!A19</f>
        <v>ABC 70 kg s/ruedas</v>
      </c>
      <c r="B17" s="8" t="n">
        <f aca="false">PROY_Indexado!B19*PROY_Indexado!$B$52</f>
        <v>4.69463120641581</v>
      </c>
      <c r="C17" s="8" t="n">
        <f aca="false">PROY_Indexado!C19*PROY_Indexado!$B$52</f>
        <v>22.8873325448787</v>
      </c>
      <c r="D17" s="8" t="n">
        <f aca="false">PROY_Indexado!D19*PROY_Indexado!$B$52</f>
        <v>49.7389743918509</v>
      </c>
      <c r="E17" s="8" t="n">
        <f aca="false">PROY_Indexado!E19*PROY_Indexado!$B$52</f>
        <v>89.588285540408</v>
      </c>
      <c r="F17" s="8" t="n">
        <f aca="false">PROY_Indexado!F19*PROY_Indexado!$B$52</f>
        <v>128.86131925907</v>
      </c>
      <c r="G17" s="8" t="n">
        <f aca="false">PROY_Indexado!G19*PROY_Indexado!$B$52</f>
        <v>171.205632084676</v>
      </c>
      <c r="H17" s="8" t="n">
        <f aca="false">PROY_Indexado!H19*PROY_Indexado!$B$52</f>
        <v>210.921140392835</v>
      </c>
      <c r="I17" s="8" t="n">
        <f aca="false">PROY_Indexado!I19*PROY_Indexado!$B$52</f>
        <v>236.805047699952</v>
      </c>
      <c r="J17" s="8" t="n">
        <f aca="false">PROY_Indexado!J19*PROY_Indexado!$B$52</f>
        <v>256.936351154649</v>
      </c>
      <c r="K17" s="8" t="n">
        <f aca="false">PROY_Indexado!K19*PROY_Indexado!$B$52</f>
        <v>277.332543143421</v>
      </c>
    </row>
    <row r="18" customFormat="false" ht="15" hidden="false" customHeight="false" outlineLevel="0" collapsed="false">
      <c r="A18" s="6" t="str">
        <f aca="false">PROY_Indexado!A20</f>
        <v>ABC 100 kg s/ruedas</v>
      </c>
      <c r="B18" s="8" t="n">
        <f aca="false">PROY_Indexado!B20*PROY_Indexado!$B$52</f>
        <v>3.12975432245045</v>
      </c>
      <c r="C18" s="8" t="n">
        <f aca="false">PROY_Indexado!C20*PROY_Indexado!$B$52</f>
        <v>15.2582216965858</v>
      </c>
      <c r="D18" s="8" t="n">
        <f aca="false">PROY_Indexado!D20*PROY_Indexado!$B$52</f>
        <v>33.1593166309138</v>
      </c>
      <c r="E18" s="8" t="n">
        <f aca="false">PROY_Indexado!E20*PROY_Indexado!$B$52</f>
        <v>59.7255238784452</v>
      </c>
      <c r="F18" s="8" t="n">
        <f aca="false">PROY_Indexado!F20*PROY_Indexado!$B$52</f>
        <v>85.9075459878733</v>
      </c>
      <c r="G18" s="8" t="n">
        <f aca="false">PROY_Indexado!G20*PROY_Indexado!$B$52</f>
        <v>114.13708787161</v>
      </c>
      <c r="H18" s="8" t="n">
        <f aca="false">PROY_Indexado!H20*PROY_Indexado!$B$52</f>
        <v>140.614093964903</v>
      </c>
      <c r="I18" s="8" t="n">
        <f aca="false">PROY_Indexado!I20*PROY_Indexado!$B$52</f>
        <v>157.870031799968</v>
      </c>
      <c r="J18" s="8" t="n">
        <f aca="false">PROY_Indexado!J20*PROY_Indexado!$B$52</f>
        <v>171.290900584926</v>
      </c>
      <c r="K18" s="8" t="n">
        <f aca="false">PROY_Indexado!K20*PROY_Indexado!$B$52</f>
        <v>184.888361725934</v>
      </c>
    </row>
    <row r="19" customFormat="false" ht="15" hidden="false" customHeight="false" outlineLevel="0" collapsed="false">
      <c r="A19" s="4" t="s">
        <v>142</v>
      </c>
      <c r="B19" s="12" t="n">
        <f aca="false">SUM(B2:B18)</f>
        <v>3787.25508488946</v>
      </c>
      <c r="C19" s="12" t="n">
        <f aca="false">SUM(C2:C18)</f>
        <v>17003.0618144053</v>
      </c>
      <c r="D19" s="12" t="n">
        <f aca="false">SUM(D2:D18)</f>
        <v>34093.569268379</v>
      </c>
      <c r="E19" s="12" t="n">
        <f aca="false">SUM(E2:E18)</f>
        <v>63243.417305399</v>
      </c>
      <c r="F19" s="12" t="n">
        <f aca="false">SUM(F2:F18)</f>
        <v>93087.4480469466</v>
      </c>
      <c r="G19" s="12" t="n">
        <f aca="false">SUM(G2:G18)</f>
        <v>126702.275089835</v>
      </c>
      <c r="H19" s="12" t="n">
        <f aca="false">SUM(H2:H18)</f>
        <v>157360.381676748</v>
      </c>
      <c r="I19" s="12" t="n">
        <f aca="false">SUM(I2:I18)</f>
        <v>178894.854106472</v>
      </c>
      <c r="J19" s="12" t="n">
        <f aca="false">SUM(J2:J18)</f>
        <v>192420.409708072</v>
      </c>
      <c r="K19" s="12" t="n">
        <f aca="false">SUM(K2:K18)</f>
        <v>206230.154921913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30"/>
    <col collapsed="false" customWidth="true" hidden="false" outlineLevel="0" max="3" min="3" style="0" width="34"/>
    <col collapsed="false" customWidth="true" hidden="false" outlineLevel="0" max="4" min="4" style="0" width="11"/>
    <col collapsed="false" customWidth="true" hidden="false" outlineLevel="0" max="12" min="5" style="0" width="10"/>
    <col collapsed="false" customWidth="true" hidden="false" outlineLevel="0" max="14" min="13" style="0" width="11"/>
    <col collapsed="false" customWidth="true" hidden="false" outlineLevel="0" max="15" min="15" style="0" width="10"/>
    <col collapsed="false" customWidth="true" hidden="false" outlineLevel="0" max="16" min="16" style="0" width="11"/>
    <col collapsed="false" customWidth="true" hidden="false" outlineLevel="0" max="18" min="17" style="0" width="10"/>
  </cols>
  <sheetData>
    <row r="1" customFormat="false" ht="15" hidden="false" customHeight="true" outlineLevel="0" collapsed="false">
      <c r="A1" s="3" t="s">
        <v>143</v>
      </c>
      <c r="B1" s="3" t="s">
        <v>111</v>
      </c>
      <c r="C1" s="3" t="s">
        <v>144</v>
      </c>
      <c r="D1" s="3"/>
      <c r="E1" s="3"/>
      <c r="F1" s="3"/>
      <c r="G1" s="3"/>
      <c r="H1" s="3"/>
    </row>
    <row r="2" customFormat="false" ht="15" hidden="false" customHeight="true" outlineLevel="0" collapsed="false">
      <c r="A2" s="5" t="s">
        <v>145</v>
      </c>
      <c r="B2" s="10" t="n">
        <v>20</v>
      </c>
      <c r="C2" s="5" t="s">
        <v>146</v>
      </c>
      <c r="D2" s="5"/>
      <c r="E2" s="5"/>
      <c r="F2" s="5"/>
      <c r="G2" s="5"/>
      <c r="H2" s="5"/>
    </row>
    <row r="3" customFormat="false" ht="15" hidden="false" customHeight="true" outlineLevel="0" collapsed="false">
      <c r="A3" s="5" t="s">
        <v>147</v>
      </c>
      <c r="B3" s="10" t="n">
        <v>8</v>
      </c>
      <c r="C3" s="5" t="s">
        <v>148</v>
      </c>
      <c r="D3" s="5"/>
      <c r="E3" s="5"/>
      <c r="F3" s="5"/>
      <c r="G3" s="5"/>
      <c r="H3" s="5"/>
    </row>
    <row r="4" customFormat="false" ht="15" hidden="false" customHeight="true" outlineLevel="0" collapsed="false">
      <c r="A4" s="5" t="s">
        <v>149</v>
      </c>
      <c r="B4" s="10" t="n">
        <v>30</v>
      </c>
      <c r="C4" s="5" t="s">
        <v>150</v>
      </c>
      <c r="D4" s="5"/>
      <c r="E4" s="5"/>
      <c r="F4" s="5"/>
      <c r="G4" s="5"/>
      <c r="H4" s="5"/>
    </row>
    <row r="5" customFormat="false" ht="15" hidden="false" customHeight="false" outlineLevel="0" collapsed="false">
      <c r="A5" s="5" t="s">
        <v>151</v>
      </c>
      <c r="B5" s="16" t="n">
        <f aca="false">B3-B4/60</f>
        <v>7.5</v>
      </c>
      <c r="C5" s="5"/>
      <c r="D5" s="5"/>
      <c r="E5" s="5"/>
      <c r="F5" s="5"/>
      <c r="G5" s="5"/>
      <c r="H5" s="5"/>
    </row>
    <row r="6" customFormat="false" ht="15" hidden="false" customHeight="false" outlineLevel="0" collapsed="false">
      <c r="A6" s="5" t="s">
        <v>152</v>
      </c>
      <c r="B6" s="15" t="n">
        <f aca="false">B2*B5</f>
        <v>150</v>
      </c>
      <c r="C6" s="5"/>
      <c r="D6" s="5"/>
      <c r="E6" s="5"/>
      <c r="F6" s="5"/>
      <c r="G6" s="5"/>
      <c r="H6" s="5"/>
    </row>
    <row r="7" customFormat="false" ht="15" hidden="false" customHeight="true" outlineLevel="0" collapsed="false">
      <c r="A7" s="5" t="s">
        <v>153</v>
      </c>
      <c r="B7" s="17" t="n">
        <v>0.9</v>
      </c>
      <c r="C7" s="5" t="s">
        <v>154</v>
      </c>
      <c r="D7" s="5"/>
      <c r="E7" s="5"/>
      <c r="F7" s="5"/>
      <c r="G7" s="5"/>
      <c r="H7" s="5"/>
    </row>
    <row r="8" customFormat="false" ht="15" hidden="false" customHeight="true" outlineLevel="0" collapsed="false">
      <c r="A8" s="5" t="s">
        <v>155</v>
      </c>
      <c r="B8" s="10" t="n">
        <v>2</v>
      </c>
      <c r="C8" s="5" t="s">
        <v>156</v>
      </c>
      <c r="D8" s="5"/>
      <c r="E8" s="5"/>
      <c r="F8" s="5"/>
      <c r="G8" s="5"/>
      <c r="H8" s="5"/>
    </row>
    <row r="9" customFormat="false" ht="15" hidden="false" customHeight="true" outlineLevel="0" collapsed="false">
      <c r="A9" s="5" t="s">
        <v>157</v>
      </c>
      <c r="B9" s="18" t="n">
        <f aca="false">D120</f>
        <v>6.360853875</v>
      </c>
      <c r="C9" s="5" t="s">
        <v>158</v>
      </c>
      <c r="D9" s="5"/>
      <c r="E9" s="5"/>
      <c r="F9" s="5"/>
      <c r="G9" s="5"/>
      <c r="H9" s="5"/>
    </row>
    <row r="10" customFormat="false" ht="15" hidden="false" customHeight="true" outlineLevel="0" collapsed="false">
      <c r="A10" s="5" t="s">
        <v>159</v>
      </c>
      <c r="B10" s="10" t="n">
        <v>2032</v>
      </c>
      <c r="C10" s="5" t="s">
        <v>160</v>
      </c>
      <c r="D10" s="5"/>
      <c r="E10" s="5"/>
      <c r="F10" s="5"/>
      <c r="G10" s="5"/>
      <c r="H10" s="5"/>
    </row>
    <row r="11" customFormat="false" ht="15" hidden="false" customHeight="false" outlineLevel="0" collapsed="false">
      <c r="A11" s="1" t="s">
        <v>161</v>
      </c>
    </row>
    <row r="12" customFormat="false" ht="15" hidden="false" customHeight="false" outlineLevel="0" collapsed="false">
      <c r="A12" s="3" t="s">
        <v>162</v>
      </c>
      <c r="B12" s="3" t="s">
        <v>163</v>
      </c>
      <c r="C12" s="3" t="s">
        <v>164</v>
      </c>
      <c r="D12" s="3" t="s">
        <v>5</v>
      </c>
      <c r="E12" s="3" t="s">
        <v>165</v>
      </c>
      <c r="F12" s="3" t="s">
        <v>166</v>
      </c>
      <c r="G12" s="3" t="s">
        <v>167</v>
      </c>
      <c r="H12" s="3" t="s">
        <v>168</v>
      </c>
      <c r="I12" s="3" t="s">
        <v>169</v>
      </c>
      <c r="J12" s="3" t="s">
        <v>170</v>
      </c>
      <c r="K12" s="3" t="s">
        <v>171</v>
      </c>
      <c r="L12" s="3" t="s">
        <v>172</v>
      </c>
    </row>
    <row r="13" customFormat="false" ht="15" hidden="false" customHeight="false" outlineLevel="0" collapsed="false">
      <c r="A13" s="5" t="s">
        <v>173</v>
      </c>
      <c r="B13" s="6" t="s">
        <v>174</v>
      </c>
      <c r="C13" s="5" t="s">
        <v>175</v>
      </c>
      <c r="D13" s="6" t="s">
        <v>176</v>
      </c>
      <c r="E13" s="10" t="n">
        <v>5</v>
      </c>
      <c r="F13" s="10" t="n">
        <v>5</v>
      </c>
      <c r="G13" s="10" t="n">
        <v>5</v>
      </c>
      <c r="H13" s="10" t="n">
        <v>2</v>
      </c>
      <c r="I13" s="10" t="n">
        <v>2</v>
      </c>
      <c r="J13" s="10" t="n">
        <v>2</v>
      </c>
      <c r="K13" s="10" t="n">
        <v>5</v>
      </c>
      <c r="L13" s="10" t="n">
        <v>5</v>
      </c>
    </row>
    <row r="14" customFormat="false" ht="15" hidden="false" customHeight="false" outlineLevel="0" collapsed="false">
      <c r="A14" s="5" t="s">
        <v>177</v>
      </c>
      <c r="B14" s="6" t="s">
        <v>178</v>
      </c>
      <c r="C14" s="5" t="s">
        <v>179</v>
      </c>
      <c r="D14" s="6" t="s">
        <v>176</v>
      </c>
      <c r="E14" s="9" t="n">
        <f aca="false">1/E13</f>
        <v>0.2</v>
      </c>
      <c r="F14" s="9" t="n">
        <f aca="false">1/F13</f>
        <v>0.2</v>
      </c>
      <c r="G14" s="9" t="n">
        <f aca="false">1/G13</f>
        <v>0.2</v>
      </c>
      <c r="H14" s="9" t="n">
        <f aca="false">1/H13</f>
        <v>0.5</v>
      </c>
      <c r="I14" s="9" t="n">
        <f aca="false">1/I13</f>
        <v>0.5</v>
      </c>
      <c r="J14" s="9" t="n">
        <f aca="false">1/J13</f>
        <v>0.5</v>
      </c>
      <c r="K14" s="9" t="n">
        <f aca="false">1/K13</f>
        <v>0.2</v>
      </c>
      <c r="L14" s="9" t="n">
        <f aca="false">1/L13</f>
        <v>0.2</v>
      </c>
    </row>
    <row r="15" customFormat="false" ht="15" hidden="false" customHeight="false" outlineLevel="0" collapsed="false">
      <c r="A15" s="5" t="s">
        <v>180</v>
      </c>
      <c r="B15" s="6" t="s">
        <v>178</v>
      </c>
      <c r="C15" s="5" t="s">
        <v>181</v>
      </c>
      <c r="D15" s="6" t="s">
        <v>182</v>
      </c>
      <c r="E15" s="19" t="n">
        <v>0.05</v>
      </c>
      <c r="F15" s="19" t="n">
        <v>0.05</v>
      </c>
      <c r="G15" s="19" t="n">
        <v>0.05</v>
      </c>
      <c r="H15" s="19" t="n">
        <v>0.05</v>
      </c>
      <c r="I15" s="19" t="n">
        <v>0.05</v>
      </c>
      <c r="J15" s="19" t="n">
        <v>0.05</v>
      </c>
      <c r="K15" s="19" t="n">
        <v>0.05</v>
      </c>
      <c r="L15" s="19" t="n">
        <v>0.05</v>
      </c>
    </row>
    <row r="16" customFormat="false" ht="15" hidden="false" customHeight="false" outlineLevel="0" collapsed="false">
      <c r="A16" s="4" t="s">
        <v>183</v>
      </c>
      <c r="B16" s="6" t="s">
        <v>178</v>
      </c>
      <c r="C16" s="5" t="s">
        <v>184</v>
      </c>
      <c r="D16" s="6" t="s">
        <v>185</v>
      </c>
      <c r="E16" s="13" t="n">
        <f aca="false">E14+E15</f>
        <v>0.25</v>
      </c>
      <c r="F16" s="13" t="n">
        <f aca="false">F14+F15</f>
        <v>0.25</v>
      </c>
      <c r="G16" s="13" t="n">
        <f aca="false">G14+G15</f>
        <v>0.25</v>
      </c>
      <c r="H16" s="13" t="n">
        <f aca="false">H14+H15</f>
        <v>0.55</v>
      </c>
      <c r="I16" s="13" t="n">
        <f aca="false">I14+I15</f>
        <v>0.55</v>
      </c>
      <c r="J16" s="13" t="n">
        <f aca="false">J14+J15</f>
        <v>0.55</v>
      </c>
      <c r="K16" s="13" t="n">
        <f aca="false">K14+K15</f>
        <v>0.25</v>
      </c>
      <c r="L16" s="13" t="n">
        <f aca="false">L14+L15</f>
        <v>0.25</v>
      </c>
    </row>
    <row r="17" customFormat="false" ht="15" hidden="false" customHeight="false" outlineLevel="0" collapsed="false">
      <c r="A17" s="5" t="s">
        <v>186</v>
      </c>
      <c r="B17" s="6" t="s">
        <v>174</v>
      </c>
      <c r="C17" s="5" t="s">
        <v>175</v>
      </c>
      <c r="D17" s="6" t="s">
        <v>176</v>
      </c>
      <c r="E17" s="10" t="n">
        <v>20</v>
      </c>
      <c r="F17" s="10" t="n">
        <v>20</v>
      </c>
      <c r="G17" s="10" t="n">
        <v>20</v>
      </c>
      <c r="H17" s="10" t="n">
        <v>20</v>
      </c>
      <c r="I17" s="10" t="n">
        <v>20</v>
      </c>
      <c r="J17" s="10" t="n">
        <v>20</v>
      </c>
      <c r="K17" s="10" t="n">
        <v>30</v>
      </c>
      <c r="L17" s="10" t="n">
        <v>20</v>
      </c>
    </row>
    <row r="18" customFormat="false" ht="15" hidden="false" customHeight="false" outlineLevel="0" collapsed="false">
      <c r="A18" s="5" t="s">
        <v>187</v>
      </c>
      <c r="B18" s="6" t="s">
        <v>178</v>
      </c>
      <c r="C18" s="5" t="s">
        <v>188</v>
      </c>
      <c r="D18" s="6" t="s">
        <v>176</v>
      </c>
      <c r="E18" s="9" t="n">
        <f aca="false">1/E17</f>
        <v>0.05</v>
      </c>
      <c r="F18" s="9" t="n">
        <f aca="false">1/F17</f>
        <v>0.05</v>
      </c>
      <c r="G18" s="9" t="n">
        <f aca="false">1/G17</f>
        <v>0.05</v>
      </c>
      <c r="H18" s="9" t="n">
        <f aca="false">1/H17</f>
        <v>0.05</v>
      </c>
      <c r="I18" s="9" t="n">
        <f aca="false">1/I17</f>
        <v>0.05</v>
      </c>
      <c r="J18" s="9" t="n">
        <f aca="false">1/J17</f>
        <v>0.05</v>
      </c>
      <c r="K18" s="9" t="n">
        <f aca="false">1/K17</f>
        <v>0.0333333333333333</v>
      </c>
      <c r="L18" s="9" t="n">
        <f aca="false">1/L17</f>
        <v>0.05</v>
      </c>
    </row>
    <row r="19" customFormat="false" ht="15" hidden="false" customHeight="false" outlineLevel="0" collapsed="false">
      <c r="A19" s="5" t="s">
        <v>189</v>
      </c>
      <c r="B19" s="6" t="s">
        <v>178</v>
      </c>
      <c r="C19" s="5" t="s">
        <v>190</v>
      </c>
      <c r="D19" s="6" t="s">
        <v>191</v>
      </c>
      <c r="E19" s="9" t="n">
        <f aca="false">PROY_Indexado!$B$47</f>
        <v>0.02</v>
      </c>
      <c r="F19" s="9" t="n">
        <f aca="false">PROY_Indexado!$B$47</f>
        <v>0.02</v>
      </c>
      <c r="G19" s="9" t="n">
        <f aca="false">PROY_Indexado!$B$47</f>
        <v>0.02</v>
      </c>
      <c r="H19" s="9" t="n">
        <f aca="false">PROY_Indexado!$B$47</f>
        <v>0.02</v>
      </c>
      <c r="I19" s="9" t="n">
        <f aca="false">PROY_Indexado!$B$47</f>
        <v>0.02</v>
      </c>
      <c r="J19" s="9" t="n">
        <f aca="false">PROY_Indexado!$B$47</f>
        <v>0.02</v>
      </c>
      <c r="K19" s="9" t="n">
        <f aca="false">PROY_Indexado!$B$47</f>
        <v>0.02</v>
      </c>
      <c r="L19" s="9" t="n">
        <f aca="false">PROY_Indexado!$B$47</f>
        <v>0.02</v>
      </c>
    </row>
    <row r="20" customFormat="false" ht="15" hidden="false" customHeight="false" outlineLevel="0" collapsed="false">
      <c r="A20" s="5" t="s">
        <v>192</v>
      </c>
      <c r="B20" s="6" t="s">
        <v>178</v>
      </c>
      <c r="C20" s="5" t="s">
        <v>193</v>
      </c>
      <c r="D20" s="6" t="s">
        <v>191</v>
      </c>
      <c r="E20" s="9" t="n">
        <f aca="false">PROY_Indexado!$B$48</f>
        <v>0.01</v>
      </c>
      <c r="F20" s="9" t="n">
        <f aca="false">PROY_Indexado!$B$48</f>
        <v>0.01</v>
      </c>
      <c r="G20" s="9" t="n">
        <f aca="false">PROY_Indexado!$B$48</f>
        <v>0.01</v>
      </c>
      <c r="H20" s="9" t="n">
        <f aca="false">PROY_Indexado!$B$48</f>
        <v>0.01</v>
      </c>
      <c r="I20" s="9" t="n">
        <f aca="false">PROY_Indexado!$B$48</f>
        <v>0.01</v>
      </c>
      <c r="J20" s="9" t="n">
        <f aca="false">PROY_Indexado!$B$48</f>
        <v>0.01</v>
      </c>
      <c r="K20" s="9" t="n">
        <f aca="false">PROY_Indexado!$B$48</f>
        <v>0.01</v>
      </c>
      <c r="L20" s="9" t="n">
        <f aca="false">PROY_Indexado!$B$48</f>
        <v>0.01</v>
      </c>
    </row>
    <row r="21" customFormat="false" ht="15" hidden="false" customHeight="false" outlineLevel="0" collapsed="false">
      <c r="A21" s="4" t="s">
        <v>194</v>
      </c>
      <c r="B21" s="6" t="s">
        <v>178</v>
      </c>
      <c r="C21" s="5" t="s">
        <v>195</v>
      </c>
      <c r="D21" s="6" t="s">
        <v>185</v>
      </c>
      <c r="E21" s="13" t="n">
        <f aca="false">E18+E19+E20</f>
        <v>0.08</v>
      </c>
      <c r="F21" s="13" t="n">
        <f aca="false">F18+F19+F20</f>
        <v>0.08</v>
      </c>
      <c r="G21" s="13" t="n">
        <f aca="false">G18+G19+G20</f>
        <v>0.08</v>
      </c>
      <c r="H21" s="13" t="n">
        <f aca="false">H18+H19+H20</f>
        <v>0.08</v>
      </c>
      <c r="I21" s="13" t="n">
        <f aca="false">I18+I19+I20</f>
        <v>0.08</v>
      </c>
      <c r="J21" s="13" t="n">
        <f aca="false">J18+J19+J20</f>
        <v>0.08</v>
      </c>
      <c r="K21" s="13" t="n">
        <f aca="false">K18+K19+K20</f>
        <v>0.0633333333333333</v>
      </c>
      <c r="L21" s="13" t="n">
        <f aca="false">L18+L19+L20</f>
        <v>0.08</v>
      </c>
    </row>
    <row r="22" customFormat="false" ht="15" hidden="false" customHeight="false" outlineLevel="0" collapsed="false">
      <c r="A22" s="5" t="s">
        <v>196</v>
      </c>
      <c r="B22" s="6" t="s">
        <v>178</v>
      </c>
      <c r="C22" s="5" t="s">
        <v>197</v>
      </c>
      <c r="D22" s="6" t="s">
        <v>191</v>
      </c>
      <c r="E22" s="9" t="n">
        <f aca="false">PROY_Indexado!$B$46</f>
        <v>0.05</v>
      </c>
      <c r="F22" s="9" t="n">
        <f aca="false">PROY_Indexado!$B$46</f>
        <v>0.05</v>
      </c>
      <c r="G22" s="9" t="n">
        <f aca="false">PROY_Indexado!$B$46</f>
        <v>0.05</v>
      </c>
      <c r="H22" s="9" t="n">
        <f aca="false">PROY_Indexado!$B$46</f>
        <v>0.05</v>
      </c>
      <c r="I22" s="9" t="n">
        <f aca="false">PROY_Indexado!$B$46</f>
        <v>0.05</v>
      </c>
      <c r="J22" s="9" t="n">
        <f aca="false">PROY_Indexado!$B$46</f>
        <v>0.05</v>
      </c>
      <c r="K22" s="9" t="n">
        <f aca="false">PROY_Indexado!$B$46</f>
        <v>0.05</v>
      </c>
      <c r="L22" s="9" t="n">
        <f aca="false">PROY_Indexado!$B$46</f>
        <v>0.05</v>
      </c>
    </row>
    <row r="23" customFormat="false" ht="15" hidden="false" customHeight="false" outlineLevel="0" collapsed="false">
      <c r="A23" s="5" t="s">
        <v>198</v>
      </c>
      <c r="B23" s="6" t="s">
        <v>178</v>
      </c>
      <c r="C23" s="5" t="s">
        <v>199</v>
      </c>
      <c r="D23" s="6" t="s">
        <v>176</v>
      </c>
      <c r="E23" s="9" t="n">
        <f aca="false">1/10</f>
        <v>0.1</v>
      </c>
      <c r="F23" s="9" t="n">
        <v>1</v>
      </c>
      <c r="G23" s="9" t="n">
        <v>1</v>
      </c>
      <c r="H23" s="9" t="n">
        <v>1</v>
      </c>
      <c r="I23" s="9" t="n">
        <v>1</v>
      </c>
      <c r="J23" s="9" t="n">
        <v>1</v>
      </c>
      <c r="K23" s="9" t="n">
        <v>0</v>
      </c>
      <c r="L23" s="9" t="n">
        <v>0</v>
      </c>
    </row>
    <row r="24" customFormat="false" ht="15" hidden="false" customHeight="false" outlineLevel="0" collapsed="false">
      <c r="A24" s="5" t="s">
        <v>200</v>
      </c>
      <c r="B24" s="6" t="s">
        <v>178</v>
      </c>
      <c r="C24" s="5" t="s">
        <v>201</v>
      </c>
      <c r="D24" s="6" t="s">
        <v>182</v>
      </c>
      <c r="E24" s="19" t="n">
        <v>0</v>
      </c>
      <c r="F24" s="19" t="n">
        <v>0</v>
      </c>
      <c r="G24" s="19" t="n">
        <v>0</v>
      </c>
      <c r="H24" s="19" t="n">
        <v>0</v>
      </c>
      <c r="I24" s="19" t="n">
        <v>0</v>
      </c>
      <c r="J24" s="19" t="n">
        <v>0</v>
      </c>
      <c r="K24" s="19" t="n">
        <v>0.05</v>
      </c>
      <c r="L24" s="19" t="n">
        <v>0.05</v>
      </c>
    </row>
    <row r="25" customFormat="false" ht="15" hidden="false" customHeight="false" outlineLevel="0" collapsed="false">
      <c r="A25" s="5" t="s">
        <v>202</v>
      </c>
      <c r="B25" s="6" t="s">
        <v>178</v>
      </c>
      <c r="C25" s="5" t="s">
        <v>203</v>
      </c>
      <c r="D25" s="6" t="s">
        <v>182</v>
      </c>
      <c r="E25" s="19" t="n">
        <v>0.15</v>
      </c>
      <c r="F25" s="19" t="n">
        <v>0.15</v>
      </c>
      <c r="G25" s="19" t="n">
        <v>0.15</v>
      </c>
      <c r="H25" s="19" t="n">
        <v>0.15</v>
      </c>
      <c r="I25" s="19" t="n">
        <v>0.15</v>
      </c>
      <c r="J25" s="19" t="n">
        <v>0.15</v>
      </c>
      <c r="K25" s="19" t="n">
        <v>0.15</v>
      </c>
      <c r="L25" s="19" t="n">
        <v>0.15</v>
      </c>
    </row>
    <row r="26" customFormat="false" ht="15" hidden="false" customHeight="false" outlineLevel="0" collapsed="false">
      <c r="A26" s="5" t="s">
        <v>204</v>
      </c>
      <c r="B26" s="6" t="s">
        <v>178</v>
      </c>
      <c r="C26" s="5" t="s">
        <v>205</v>
      </c>
      <c r="D26" s="6" t="s">
        <v>182</v>
      </c>
      <c r="E26" s="19" t="n">
        <v>0.01</v>
      </c>
      <c r="F26" s="19" t="n">
        <v>0.01</v>
      </c>
      <c r="G26" s="19" t="n">
        <v>0.01</v>
      </c>
      <c r="H26" s="19" t="n">
        <v>0</v>
      </c>
      <c r="I26" s="19" t="n">
        <v>0</v>
      </c>
      <c r="J26" s="19" t="n">
        <v>0</v>
      </c>
      <c r="K26" s="19" t="n">
        <v>0</v>
      </c>
      <c r="L26" s="19" t="n">
        <v>0</v>
      </c>
    </row>
    <row r="27" customFormat="false" ht="15" hidden="false" customHeight="false" outlineLevel="0" collapsed="false">
      <c r="A27" s="5" t="s">
        <v>206</v>
      </c>
      <c r="B27" s="6" t="s">
        <v>207</v>
      </c>
      <c r="C27" s="5" t="s">
        <v>208</v>
      </c>
      <c r="D27" s="6" t="s">
        <v>191</v>
      </c>
      <c r="E27" s="10" t="n">
        <v>240</v>
      </c>
      <c r="F27" s="10" t="n">
        <v>0</v>
      </c>
      <c r="G27" s="10" t="n">
        <v>0</v>
      </c>
      <c r="H27" s="10" t="n">
        <v>0</v>
      </c>
      <c r="I27" s="10" t="n">
        <v>0</v>
      </c>
      <c r="J27" s="10" t="n">
        <v>0</v>
      </c>
      <c r="K27" s="10" t="n">
        <v>0</v>
      </c>
      <c r="L27" s="10" t="n">
        <v>0</v>
      </c>
    </row>
    <row r="28" customFormat="false" ht="15" hidden="false" customHeight="false" outlineLevel="0" collapsed="false">
      <c r="A28" s="4" t="s">
        <v>209</v>
      </c>
      <c r="B28" s="6" t="s">
        <v>210</v>
      </c>
      <c r="C28" s="5" t="s">
        <v>211</v>
      </c>
      <c r="D28" s="6" t="s">
        <v>185</v>
      </c>
      <c r="E28" s="20" t="n">
        <f aca="false">IF(E27=0,0,(1-E22)*(1-E23)*SUMPRODUCT(($B$55:$B$71=E$12)*datos_base!$K$2:$K$18*$R$55:$R$71)/SUMPRODUCT(($B$55:$B$71=E$12)*datos_base!$K$2:$K$18*$C$55:$C$71)/E27)</f>
        <v>0.0104067919524976</v>
      </c>
      <c r="F28" s="20" t="n">
        <f aca="false">IF(F27=0,0,(1-F22)*(1-F23)*SUMPRODUCT(($B$55:$B$71=F$12)*datos_base!$K$2:$K$18*$R$55:$R$71)/SUMPRODUCT(($B$55:$B$71=F$12)*datos_base!$K$2:$K$18*$C$55:$C$71)/F27)</f>
        <v>0</v>
      </c>
      <c r="G28" s="20" t="n">
        <f aca="false">IF(G27=0,0,(1-G22)*(1-G23)*SUMPRODUCT(($B$55:$B$71=G$12)*datos_base!$K$2:$K$18*$R$55:$R$71)/SUMPRODUCT(($B$55:$B$71=G$12)*datos_base!$K$2:$K$18*$C$55:$C$71)/G27)</f>
        <v>0</v>
      </c>
      <c r="H28" s="20" t="n">
        <f aca="false">IF(H27=0,0,(1-H22)*(1-H23)*SUMPRODUCT(($B$55:$B$71=H$12)*datos_base!$K$2:$K$18*$R$55:$R$71)/SUMPRODUCT(($B$55:$B$71=H$12)*datos_base!$K$2:$K$18*$C$55:$C$71)/H27)</f>
        <v>0</v>
      </c>
      <c r="I28" s="20" t="n">
        <f aca="false">IF(I27=0,0,(1-I22)*(1-I23)*SUMPRODUCT(($B$55:$B$71=I$12)*datos_base!$K$2:$K$18*$R$55:$R$71)/SUMPRODUCT(($B$55:$B$71=I$12)*datos_base!$K$2:$K$18*$C$55:$C$71)/I27)</f>
        <v>0</v>
      </c>
      <c r="J28" s="20" t="n">
        <f aca="false">IF(J27=0,0,(1-J22)*(1-J23)*SUMPRODUCT(($B$55:$B$71=J$12)*datos_base!$K$2:$K$18*$R$55:$R$71)/SUMPRODUCT(($B$55:$B$71=J$12)*datos_base!$K$2:$K$18*$C$55:$C$71)/J27)</f>
        <v>0</v>
      </c>
      <c r="K28" s="20" t="n">
        <f aca="false">IF(K27=0,0,(1-K22)*(1-K23)*SUMPRODUCT(($B$55:$B$71=K$12)*datos_base!$K$2:$K$18*$R$55:$R$71)/SUMPRODUCT(($B$55:$B$71=K$12)*datos_base!$K$2:$K$18*$C$55:$C$71)/K27)</f>
        <v>0</v>
      </c>
      <c r="L28" s="20" t="n">
        <f aca="false">IF(L27=0,0,(1-L22)*(1-L23)*SUMPRODUCT(($B$55:$B$71=L$12)*datos_base!$K$2:$K$18*$R$55:$R$71)/SUMPRODUCT(($B$55:$B$71=L$12)*datos_base!$K$2:$K$18*$C$55:$C$71)/L27)</f>
        <v>0</v>
      </c>
    </row>
    <row r="29" customFormat="false" ht="15" hidden="false" customHeight="false" outlineLevel="0" collapsed="false">
      <c r="A29" s="2" t="s">
        <v>212</v>
      </c>
    </row>
    <row r="32" customFormat="false" ht="15" hidden="false" customHeight="false" outlineLevel="0" collapsed="false">
      <c r="A32" s="1" t="s">
        <v>213</v>
      </c>
    </row>
    <row r="33" customFormat="false" ht="15" hidden="false" customHeight="false" outlineLevel="0" collapsed="false">
      <c r="A33" s="2" t="s">
        <v>214</v>
      </c>
    </row>
    <row r="34" customFormat="false" ht="15" hidden="false" customHeight="true" outlineLevel="0" collapsed="false">
      <c r="A34" s="3" t="s">
        <v>215</v>
      </c>
      <c r="B34" s="3" t="s">
        <v>144</v>
      </c>
      <c r="C34" s="3"/>
      <c r="D34" s="3"/>
      <c r="E34" s="3" t="s">
        <v>64</v>
      </c>
      <c r="F34" s="3" t="s">
        <v>65</v>
      </c>
      <c r="G34" s="3" t="s">
        <v>66</v>
      </c>
      <c r="H34" s="3" t="s">
        <v>67</v>
      </c>
      <c r="I34" s="3" t="s">
        <v>68</v>
      </c>
      <c r="J34" s="3" t="s">
        <v>69</v>
      </c>
      <c r="K34" s="3" t="s">
        <v>70</v>
      </c>
      <c r="L34" s="3" t="s">
        <v>71</v>
      </c>
      <c r="M34" s="3" t="s">
        <v>72</v>
      </c>
      <c r="N34" s="3" t="s">
        <v>73</v>
      </c>
      <c r="O34" s="3" t="s">
        <v>74</v>
      </c>
      <c r="P34" s="3" t="s">
        <v>75</v>
      </c>
      <c r="Q34" s="3" t="s">
        <v>132</v>
      </c>
    </row>
    <row r="35" customFormat="false" ht="15" hidden="false" customHeight="true" outlineLevel="0" collapsed="false">
      <c r="A35" s="4" t="s">
        <v>125</v>
      </c>
      <c r="B35" s="5" t="s">
        <v>216</v>
      </c>
      <c r="C35" s="5"/>
      <c r="D35" s="5"/>
      <c r="E35" s="9" t="n">
        <f aca="false">$B$44</f>
        <v>0.12</v>
      </c>
      <c r="F35" s="9" t="n">
        <f aca="false">$B$49</f>
        <v>0.0955555555555556</v>
      </c>
      <c r="G35" s="9" t="n">
        <f aca="false">$B$48</f>
        <v>0.0711111111111111</v>
      </c>
      <c r="H35" s="9" t="n">
        <f aca="false">$B$48</f>
        <v>0.0711111111111111</v>
      </c>
      <c r="I35" s="9" t="n">
        <f aca="false">$B$48</f>
        <v>0.0711111111111111</v>
      </c>
      <c r="J35" s="9" t="n">
        <f aca="false">$B$48</f>
        <v>0.0711111111111111</v>
      </c>
      <c r="K35" s="9" t="n">
        <f aca="false">$B$48</f>
        <v>0.0711111111111111</v>
      </c>
      <c r="L35" s="9" t="n">
        <f aca="false">$B$48</f>
        <v>0.0711111111111111</v>
      </c>
      <c r="M35" s="9" t="n">
        <f aca="false">$B$48</f>
        <v>0.0711111111111111</v>
      </c>
      <c r="N35" s="9" t="n">
        <f aca="false">$B$48</f>
        <v>0.0711111111111111</v>
      </c>
      <c r="O35" s="9" t="n">
        <f aca="false">$B$49</f>
        <v>0.0955555555555556</v>
      </c>
      <c r="P35" s="9" t="n">
        <f aca="false">$B$45</f>
        <v>0.12</v>
      </c>
      <c r="Q35" s="21" t="n">
        <f aca="false">SUM(E35:P35)</f>
        <v>1</v>
      </c>
    </row>
    <row r="36" customFormat="false" ht="15" hidden="false" customHeight="true" outlineLevel="0" collapsed="false">
      <c r="A36" s="4" t="s">
        <v>126</v>
      </c>
      <c r="B36" s="5" t="s">
        <v>217</v>
      </c>
      <c r="C36" s="5"/>
      <c r="D36" s="5"/>
      <c r="E36" s="9" t="n">
        <f aca="false">(1+$B$50*-1)/(12+$B$50*1)</f>
        <v>0.0540540540540541</v>
      </c>
      <c r="F36" s="9" t="n">
        <f aca="false">(1+$B$50*-1)/(12+$B$50*1)</f>
        <v>0.0540540540540541</v>
      </c>
      <c r="G36" s="9" t="n">
        <f aca="false">(1+$B$50*0)/(12+$B$50*1)</f>
        <v>0.0810810810810811</v>
      </c>
      <c r="H36" s="9" t="n">
        <f aca="false">(1+$B$50*1)/(12+$B$50*1)</f>
        <v>0.108108108108108</v>
      </c>
      <c r="I36" s="9" t="n">
        <f aca="false">(1+$B$50*1)/(12+$B$50*1)</f>
        <v>0.108108108108108</v>
      </c>
      <c r="J36" s="9" t="n">
        <f aca="false">(1+$B$50*1)/(12+$B$50*1)</f>
        <v>0.108108108108108</v>
      </c>
      <c r="K36" s="9" t="n">
        <f aca="false">(1+$B$50*0)/(12+$B$50*1)</f>
        <v>0.0810810810810811</v>
      </c>
      <c r="L36" s="9" t="n">
        <f aca="false">(1+$B$50*0)/(12+$B$50*1)</f>
        <v>0.0810810810810811</v>
      </c>
      <c r="M36" s="9" t="n">
        <f aca="false">(1+$B$50*0)/(12+$B$50*1)</f>
        <v>0.0810810810810811</v>
      </c>
      <c r="N36" s="9" t="n">
        <f aca="false">(1+$B$50*0)/(12+$B$50*1)</f>
        <v>0.0810810810810811</v>
      </c>
      <c r="O36" s="9" t="n">
        <f aca="false">(1+$B$50*0)/(12+$B$50*1)</f>
        <v>0.0810810810810811</v>
      </c>
      <c r="P36" s="9" t="n">
        <f aca="false">(1+$B$50*0)/(12+$B$50*1)</f>
        <v>0.0810810810810811</v>
      </c>
      <c r="Q36" s="21" t="n">
        <f aca="false">SUM(E36:P36)</f>
        <v>1</v>
      </c>
    </row>
    <row r="37" customFormat="false" ht="15" hidden="false" customHeight="true" outlineLevel="0" collapsed="false">
      <c r="A37" s="4" t="s">
        <v>127</v>
      </c>
      <c r="B37" s="5" t="s">
        <v>218</v>
      </c>
      <c r="C37" s="5"/>
      <c r="D37" s="5"/>
      <c r="E37" s="9" t="n">
        <f aca="false">(1+$B$50*1)/(12+$B$50*3.5)</f>
        <v>0.10126582278481</v>
      </c>
      <c r="F37" s="9" t="n">
        <f aca="false">(1+$B$50*1)/(12+$B$50*3.5)</f>
        <v>0.10126582278481</v>
      </c>
      <c r="G37" s="9" t="n">
        <f aca="false">(1+$B$50*1)/(12+$B$50*3.5)</f>
        <v>0.10126582278481</v>
      </c>
      <c r="H37" s="9" t="n">
        <f aca="false">(1+$B$50*0)/(12+$B$50*3.5)</f>
        <v>0.0759493670886076</v>
      </c>
      <c r="I37" s="9" t="n">
        <f aca="false">(1+$B$50*0)/(12+$B$50*3.5)</f>
        <v>0.0759493670886076</v>
      </c>
      <c r="J37" s="9" t="n">
        <f aca="false">(1+$B$50*0)/(12+$B$50*3.5)</f>
        <v>0.0759493670886076</v>
      </c>
      <c r="K37" s="9" t="n">
        <f aca="false">(1+$B$50*0.5)/(12+$B$50*3.5)</f>
        <v>0.0886075949367089</v>
      </c>
      <c r="L37" s="9" t="n">
        <f aca="false">(1+$B$50*0)/(12+$B$50*3.5)</f>
        <v>0.0759493670886076</v>
      </c>
      <c r="M37" s="9" t="n">
        <f aca="false">(1+$B$50*0)/(12+$B$50*3.5)</f>
        <v>0.0759493670886076</v>
      </c>
      <c r="N37" s="9" t="n">
        <f aca="false">(1+$B$50*0)/(12+$B$50*3.5)</f>
        <v>0.0759493670886076</v>
      </c>
      <c r="O37" s="9" t="n">
        <f aca="false">(1+$B$50*0)/(12+$B$50*3.5)</f>
        <v>0.0759493670886076</v>
      </c>
      <c r="P37" s="9" t="n">
        <f aca="false">(1+$B$50*0)/(12+$B$50*3.5)</f>
        <v>0.0759493670886076</v>
      </c>
      <c r="Q37" s="21" t="n">
        <f aca="false">SUM(E37:P37)</f>
        <v>1</v>
      </c>
    </row>
    <row r="38" customFormat="false" ht="15" hidden="false" customHeight="true" outlineLevel="0" collapsed="false">
      <c r="A38" s="4" t="s">
        <v>128</v>
      </c>
      <c r="B38" s="5" t="s">
        <v>219</v>
      </c>
      <c r="C38" s="5"/>
      <c r="D38" s="5"/>
      <c r="E38" s="9" t="n">
        <f aca="false">(1+$B$50*-1)/(12+$B$50*2)</f>
        <v>0.0526315789473684</v>
      </c>
      <c r="F38" s="9" t="n">
        <f aca="false">(1+$B$50*-1)/(12+$B$50*2)</f>
        <v>0.0526315789473684</v>
      </c>
      <c r="G38" s="9" t="n">
        <f aca="false">(1+$B$50*0)/(12+$B$50*2)</f>
        <v>0.0789473684210526</v>
      </c>
      <c r="H38" s="9" t="n">
        <f aca="false">(1+$B$50*0)/(12+$B$50*2)</f>
        <v>0.0789473684210526</v>
      </c>
      <c r="I38" s="9" t="n">
        <f aca="false">(1+$B$50*1)/(12+$B$50*2)</f>
        <v>0.105263157894737</v>
      </c>
      <c r="J38" s="9" t="n">
        <f aca="false">(1+$B$50*1)/(12+$B$50*2)</f>
        <v>0.105263157894737</v>
      </c>
      <c r="K38" s="9" t="n">
        <f aca="false">(1+$B$50*-1)/(12+$B$50*2)</f>
        <v>0.0526315789473684</v>
      </c>
      <c r="L38" s="9" t="n">
        <f aca="false">(1+$B$50*1)/(12+$B$50*2)</f>
        <v>0.105263157894737</v>
      </c>
      <c r="M38" s="9" t="n">
        <f aca="false">(1+$B$50*1)/(12+$B$50*2)</f>
        <v>0.105263157894737</v>
      </c>
      <c r="N38" s="9" t="n">
        <f aca="false">(1+$B$50*1)/(12+$B$50*2)</f>
        <v>0.105263157894737</v>
      </c>
      <c r="O38" s="9" t="n">
        <f aca="false">(1+$B$50*0)/(12+$B$50*2)</f>
        <v>0.0789473684210526</v>
      </c>
      <c r="P38" s="9" t="n">
        <f aca="false">(1+$B$50*0)/(12+$B$50*2)</f>
        <v>0.0789473684210526</v>
      </c>
      <c r="Q38" s="21" t="n">
        <f aca="false">SUM(E38:P38)</f>
        <v>1</v>
      </c>
    </row>
    <row r="39" customFormat="false" ht="15" hidden="false" customHeight="true" outlineLevel="0" collapsed="false">
      <c r="A39" s="4" t="s">
        <v>129</v>
      </c>
      <c r="B39" s="5" t="s">
        <v>220</v>
      </c>
      <c r="C39" s="5"/>
      <c r="D39" s="5"/>
      <c r="E39" s="9" t="n">
        <f aca="false">1/12</f>
        <v>0.0833333333333333</v>
      </c>
      <c r="F39" s="9" t="n">
        <f aca="false">1/12</f>
        <v>0.0833333333333333</v>
      </c>
      <c r="G39" s="9" t="n">
        <f aca="false">1/12</f>
        <v>0.0833333333333333</v>
      </c>
      <c r="H39" s="9" t="n">
        <f aca="false">1/12</f>
        <v>0.0833333333333333</v>
      </c>
      <c r="I39" s="9" t="n">
        <f aca="false">1/12</f>
        <v>0.0833333333333333</v>
      </c>
      <c r="J39" s="9" t="n">
        <f aca="false">1/12</f>
        <v>0.0833333333333333</v>
      </c>
      <c r="K39" s="9" t="n">
        <f aca="false">1/12</f>
        <v>0.0833333333333333</v>
      </c>
      <c r="L39" s="9" t="n">
        <f aca="false">1/12</f>
        <v>0.0833333333333333</v>
      </c>
      <c r="M39" s="9" t="n">
        <f aca="false">1/12</f>
        <v>0.0833333333333333</v>
      </c>
      <c r="N39" s="9" t="n">
        <f aca="false">1/12</f>
        <v>0.0833333333333333</v>
      </c>
      <c r="O39" s="9" t="n">
        <f aca="false">1/12</f>
        <v>0.0833333333333333</v>
      </c>
      <c r="P39" s="9" t="n">
        <f aca="false">1/12</f>
        <v>0.0833333333333333</v>
      </c>
      <c r="Q39" s="21" t="n">
        <f aca="false">SUM(E39:P39)</f>
        <v>1</v>
      </c>
    </row>
    <row r="40" customFormat="false" ht="15" hidden="false" customHeight="true" outlineLevel="0" collapsed="false">
      <c r="A40" s="4" t="s">
        <v>130</v>
      </c>
      <c r="B40" s="5" t="s">
        <v>221</v>
      </c>
      <c r="C40" s="5"/>
      <c r="D40" s="5"/>
      <c r="E40" s="9" t="n">
        <f aca="false">(1+$B$50*1)/(12+$B$50*0)</f>
        <v>0.111111111111111</v>
      </c>
      <c r="F40" s="9" t="n">
        <f aca="false">(1+$B$50*1)/(12+$B$50*0)</f>
        <v>0.111111111111111</v>
      </c>
      <c r="G40" s="9" t="n">
        <f aca="false">(1+$B$50*0)/(12+$B$50*0)</f>
        <v>0.0833333333333333</v>
      </c>
      <c r="H40" s="9" t="n">
        <f aca="false">(1+$B$50*0)/(12+$B$50*0)</f>
        <v>0.0833333333333333</v>
      </c>
      <c r="I40" s="9" t="n">
        <f aca="false">(1+$B$50*0)/(12+$B$50*0)</f>
        <v>0.0833333333333333</v>
      </c>
      <c r="J40" s="9" t="n">
        <f aca="false">(1+$B$50*-1)/(12+$B$50*0)</f>
        <v>0.0555555555555556</v>
      </c>
      <c r="K40" s="9" t="n">
        <f aca="false">(1+$B$50*-1)/(12+$B$50*0)</f>
        <v>0.0555555555555556</v>
      </c>
      <c r="L40" s="9" t="n">
        <f aca="false">(1+$B$50*-1)/(12+$B$50*0)</f>
        <v>0.0555555555555556</v>
      </c>
      <c r="M40" s="9" t="n">
        <f aca="false">(1+$B$50*0)/(12+$B$50*0)</f>
        <v>0.0833333333333333</v>
      </c>
      <c r="N40" s="9" t="n">
        <f aca="false">(1+$B$50*0)/(12+$B$50*0)</f>
        <v>0.0833333333333333</v>
      </c>
      <c r="O40" s="9" t="n">
        <f aca="false">(1+$B$50*0)/(12+$B$50*0)</f>
        <v>0.0833333333333333</v>
      </c>
      <c r="P40" s="9" t="n">
        <f aca="false">(1+$B$50*1)/(12+$B$50*0)</f>
        <v>0.111111111111111</v>
      </c>
      <c r="Q40" s="21" t="n">
        <f aca="false">SUM(E40:P40)</f>
        <v>1</v>
      </c>
    </row>
    <row r="41" customFormat="false" ht="15" hidden="false" customHeight="true" outlineLevel="0" collapsed="false">
      <c r="A41" s="4" t="s">
        <v>131</v>
      </c>
      <c r="B41" s="5" t="s">
        <v>222</v>
      </c>
      <c r="C41" s="5"/>
      <c r="D41" s="5"/>
      <c r="E41" s="9" t="n">
        <f aca="false">(1+$B$50*-1)/(12+$B$50*0)</f>
        <v>0.0555555555555556</v>
      </c>
      <c r="F41" s="9" t="n">
        <f aca="false">(1+$B$50*-1)/(12+$B$50*0)</f>
        <v>0.0555555555555556</v>
      </c>
      <c r="G41" s="9" t="n">
        <f aca="false">(1+$B$50*0)/(12+$B$50*0)</f>
        <v>0.0833333333333333</v>
      </c>
      <c r="H41" s="9" t="n">
        <f aca="false">(1+$B$50*0)/(12+$B$50*0)</f>
        <v>0.0833333333333333</v>
      </c>
      <c r="I41" s="9" t="n">
        <f aca="false">(1+$B$50*1)/(12+$B$50*0)</f>
        <v>0.111111111111111</v>
      </c>
      <c r="J41" s="9" t="n">
        <f aca="false">(1+$B$50*1)/(12+$B$50*0)</f>
        <v>0.111111111111111</v>
      </c>
      <c r="K41" s="9" t="n">
        <f aca="false">(1+$B$50*1)/(12+$B$50*0)</f>
        <v>0.111111111111111</v>
      </c>
      <c r="L41" s="9" t="n">
        <f aca="false">(1+$B$50*1)/(12+$B$50*0)</f>
        <v>0.111111111111111</v>
      </c>
      <c r="M41" s="9" t="n">
        <f aca="false">(1+$B$50*0)/(12+$B$50*0)</f>
        <v>0.0833333333333333</v>
      </c>
      <c r="N41" s="9" t="n">
        <f aca="false">(1+$B$50*0)/(12+$B$50*0)</f>
        <v>0.0833333333333333</v>
      </c>
      <c r="O41" s="9" t="n">
        <f aca="false">(1+$B$50*-1)/(12+$B$50*0)</f>
        <v>0.0555555555555556</v>
      </c>
      <c r="P41" s="9" t="n">
        <f aca="false">(1+$B$50*-1)/(12+$B$50*0)</f>
        <v>0.0555555555555556</v>
      </c>
      <c r="Q41" s="21" t="n">
        <f aca="false">SUM(E41:P41)</f>
        <v>1</v>
      </c>
    </row>
    <row r="43" customFormat="false" ht="15" hidden="false" customHeight="true" outlineLevel="0" collapsed="false">
      <c r="A43" s="3" t="s">
        <v>223</v>
      </c>
      <c r="B43" s="3" t="s">
        <v>111</v>
      </c>
      <c r="C43" s="3" t="s">
        <v>164</v>
      </c>
      <c r="D43" s="3"/>
    </row>
    <row r="44" customFormat="false" ht="15" hidden="false" customHeight="true" outlineLevel="0" collapsed="false">
      <c r="A44" s="5" t="s">
        <v>224</v>
      </c>
      <c r="B44" s="9" t="n">
        <v>0.12</v>
      </c>
      <c r="C44" s="5" t="s">
        <v>225</v>
      </c>
      <c r="D44" s="5"/>
    </row>
    <row r="45" customFormat="false" ht="15" hidden="false" customHeight="true" outlineLevel="0" collapsed="false">
      <c r="A45" s="5" t="s">
        <v>226</v>
      </c>
      <c r="B45" s="13" t="n">
        <f aca="false">B44</f>
        <v>0.12</v>
      </c>
      <c r="C45" s="5" t="s">
        <v>227</v>
      </c>
      <c r="D45" s="5"/>
    </row>
    <row r="46" customFormat="false" ht="15" hidden="false" customHeight="true" outlineLevel="0" collapsed="false">
      <c r="A46" s="5" t="s">
        <v>228</v>
      </c>
      <c r="B46" s="19" t="n">
        <v>0.5</v>
      </c>
      <c r="C46" s="5" t="s">
        <v>229</v>
      </c>
      <c r="D46" s="5"/>
    </row>
    <row r="47" customFormat="false" ht="15" hidden="false" customHeight="true" outlineLevel="0" collapsed="false">
      <c r="A47" s="5" t="s">
        <v>230</v>
      </c>
      <c r="B47" s="13" t="n">
        <f aca="false">(12*B44-1)/(10-2*B46)</f>
        <v>0.0488888888888889</v>
      </c>
      <c r="C47" s="5" t="s">
        <v>231</v>
      </c>
      <c r="D47" s="5"/>
    </row>
    <row r="48" customFormat="false" ht="15" hidden="false" customHeight="false" outlineLevel="0" collapsed="false">
      <c r="A48" s="5" t="s">
        <v>232</v>
      </c>
      <c r="B48" s="13" t="n">
        <f aca="false">B44-B47</f>
        <v>0.0711111111111111</v>
      </c>
      <c r="C48" s="5"/>
      <c r="D48" s="5"/>
    </row>
    <row r="49" customFormat="false" ht="15" hidden="false" customHeight="false" outlineLevel="0" collapsed="false">
      <c r="A49" s="5" t="s">
        <v>233</v>
      </c>
      <c r="B49" s="13" t="n">
        <f aca="false">B48+B46*B47</f>
        <v>0.0955555555555556</v>
      </c>
      <c r="C49" s="5"/>
      <c r="D49" s="5"/>
    </row>
    <row r="50" customFormat="false" ht="15" hidden="false" customHeight="true" outlineLevel="0" collapsed="false">
      <c r="A50" s="5" t="s">
        <v>234</v>
      </c>
      <c r="B50" s="19" t="n">
        <v>0.333333333333333</v>
      </c>
      <c r="C50" s="5" t="s">
        <v>235</v>
      </c>
      <c r="D50" s="5"/>
    </row>
    <row r="53" customFormat="false" ht="15" hidden="false" customHeight="false" outlineLevel="0" collapsed="false">
      <c r="A53" s="1" t="s">
        <v>236</v>
      </c>
    </row>
    <row r="54" customFormat="false" ht="35.05" hidden="false" customHeight="false" outlineLevel="0" collapsed="false">
      <c r="A54" s="3" t="s">
        <v>124</v>
      </c>
      <c r="B54" s="3" t="s">
        <v>237</v>
      </c>
      <c r="C54" s="3" t="s">
        <v>238</v>
      </c>
      <c r="D54" s="3" t="s">
        <v>239</v>
      </c>
      <c r="E54" s="3" t="s">
        <v>64</v>
      </c>
      <c r="F54" s="3" t="s">
        <v>65</v>
      </c>
      <c r="G54" s="3" t="s">
        <v>66</v>
      </c>
      <c r="H54" s="3" t="s">
        <v>67</v>
      </c>
      <c r="I54" s="3" t="s">
        <v>68</v>
      </c>
      <c r="J54" s="3" t="s">
        <v>69</v>
      </c>
      <c r="K54" s="3" t="s">
        <v>70</v>
      </c>
      <c r="L54" s="3" t="s">
        <v>71</v>
      </c>
      <c r="M54" s="3" t="s">
        <v>72</v>
      </c>
      <c r="N54" s="3" t="s">
        <v>73</v>
      </c>
      <c r="O54" s="3" t="s">
        <v>74</v>
      </c>
      <c r="P54" s="3" t="s">
        <v>75</v>
      </c>
      <c r="Q54" s="3" t="s">
        <v>240</v>
      </c>
      <c r="R54" s="3" t="s">
        <v>241</v>
      </c>
    </row>
    <row r="55" customFormat="false" ht="15" hidden="false" customHeight="false" outlineLevel="0" collapsed="false">
      <c r="A55" s="6" t="str">
        <f aca="false">datos_base!A2</f>
        <v>ABC 1 kg</v>
      </c>
      <c r="B55" s="6" t="s">
        <v>165</v>
      </c>
      <c r="C55" s="10" t="n">
        <v>1</v>
      </c>
      <c r="D55" s="10" t="n">
        <v>0</v>
      </c>
      <c r="E55" s="9" t="n">
        <f aca="false">IF(SUM(PROY_Indexado!$B$57:$H$57)=0,1/12,(PROY_Indexado!$B$57*E$35+PROY_Indexado!$C$57*E$36+PROY_Indexado!$D$57*E$37+PROY_Indexado!$E$57*E$38+PROY_Indexado!$F$57*E$39+PROY_Indexado!$G$57*E$40+PROY_Indexado!$H$57*E$41)/SUM(PROY_Indexado!$B$57:$H$57))</f>
        <v>0.119877958433184</v>
      </c>
      <c r="F55" s="9" t="n">
        <f aca="false">IF(SUM(PROY_Indexado!$B$57:$H$57)=0,1/12,(PROY_Indexado!$B$57*F$35+PROY_Indexado!$C$57*F$36+PROY_Indexado!$D$57*F$37+PROY_Indexado!$E$57*F$38+PROY_Indexado!$F$57*F$39+PROY_Indexado!$G$57*F$40+PROY_Indexado!$H$57*F$41)/SUM(PROY_Indexado!$B$57:$H$57))</f>
        <v>0.0954780457654631</v>
      </c>
      <c r="G55" s="9" t="n">
        <f aca="false">IF(SUM(PROY_Indexado!$B$57:$H$57)=0,1/12,(PROY_Indexado!$B$57*G$35+PROY_Indexado!$C$57*G$36+PROY_Indexado!$D$57*G$37+PROY_Indexado!$E$57*G$38+PROY_Indexado!$F$57*G$39+PROY_Indexado!$G$57*G$40+PROY_Indexado!$H$57*G$41)/SUM(PROY_Indexado!$B$57:$H$57))</f>
        <v>0.0711264175844748</v>
      </c>
      <c r="H55" s="9" t="n">
        <f aca="false">IF(SUM(PROY_Indexado!$B$57:$H$57)=0,1/12,(PROY_Indexado!$B$57*H$35+PROY_Indexado!$C$57*H$36+PROY_Indexado!$D$57*H$37+PROY_Indexado!$E$57*H$38+PROY_Indexado!$F$57*H$39+PROY_Indexado!$G$57*H$40+PROY_Indexado!$H$57*H$41)/SUM(PROY_Indexado!$B$57:$H$57))</f>
        <v>0.0711264175844748</v>
      </c>
      <c r="I55" s="9" t="n">
        <f aca="false">IF(SUM(PROY_Indexado!$B$57:$H$57)=0,1/12,(PROY_Indexado!$B$57*I$35+PROY_Indexado!$C$57*I$36+PROY_Indexado!$D$57*I$37+PROY_Indexado!$E$57*I$38+PROY_Indexado!$F$57*I$39+PROY_Indexado!$G$57*I$40+PROY_Indexado!$H$57*I$41)/SUM(PROY_Indexado!$B$57:$H$57))</f>
        <v>0.0711747020712071</v>
      </c>
      <c r="J55" s="9" t="n">
        <f aca="false">IF(SUM(PROY_Indexado!$B$57:$H$57)=0,1/12,(PROY_Indexado!$B$57*J$35+PROY_Indexado!$C$57*J$36+PROY_Indexado!$D$57*J$37+PROY_Indexado!$E$57*J$38+PROY_Indexado!$F$57*J$39+PROY_Indexado!$G$57*J$40+PROY_Indexado!$H$57*J$41)/SUM(PROY_Indexado!$B$57:$H$57))</f>
        <v>0.0711747020712071</v>
      </c>
      <c r="K55" s="9" t="n">
        <f aca="false">IF(SUM(PROY_Indexado!$B$57:$H$57)=0,1/12,(PROY_Indexado!$B$57*K$35+PROY_Indexado!$C$57*K$36+PROY_Indexado!$D$57*K$37+PROY_Indexado!$E$57*K$38+PROY_Indexado!$F$57*K$39+PROY_Indexado!$G$57*K$40+PROY_Indexado!$H$57*K$41)/SUM(PROY_Indexado!$B$57:$H$57))</f>
        <v>0.0710911890912281</v>
      </c>
      <c r="L55" s="9" t="n">
        <f aca="false">IF(SUM(PROY_Indexado!$B$57:$H$57)=0,1/12,(PROY_Indexado!$B$57*L$35+PROY_Indexado!$C$57*L$36+PROY_Indexado!$D$57*L$37+PROY_Indexado!$E$57*L$38+PROY_Indexado!$F$57*L$39+PROY_Indexado!$G$57*L$40+PROY_Indexado!$H$57*L$41)/SUM(PROY_Indexado!$B$57:$H$57))</f>
        <v>0.0711747020712071</v>
      </c>
      <c r="M55" s="9" t="n">
        <f aca="false">IF(SUM(PROY_Indexado!$B$57:$H$57)=0,1/12,(PROY_Indexado!$B$57*M$35+PROY_Indexado!$C$57*M$36+PROY_Indexado!$D$57*M$37+PROY_Indexado!$E$57*M$38+PROY_Indexado!$F$57*M$39+PROY_Indexado!$G$57*M$40+PROY_Indexado!$H$57*M$41)/SUM(PROY_Indexado!$B$57:$H$57))</f>
        <v>0.0711681740744643</v>
      </c>
      <c r="N55" s="9" t="n">
        <f aca="false">IF(SUM(PROY_Indexado!$B$57:$H$57)=0,1/12,(PROY_Indexado!$B$57*N$35+PROY_Indexado!$C$57*N$36+PROY_Indexado!$D$57*N$37+PROY_Indexado!$E$57*N$38+PROY_Indexado!$F$57*N$39+PROY_Indexado!$G$57*N$40+PROY_Indexado!$H$57*N$41)/SUM(PROY_Indexado!$B$57:$H$57))</f>
        <v>0.0711681740744643</v>
      </c>
      <c r="O55" s="9" t="n">
        <f aca="false">IF(SUM(PROY_Indexado!$B$57:$H$57)=0,1/12,(PROY_Indexado!$B$57*O$35+PROY_Indexado!$C$57*O$36+PROY_Indexado!$D$57*O$37+PROY_Indexado!$E$57*O$38+PROY_Indexado!$F$57*O$39+PROY_Indexado!$G$57*O$40+PROY_Indexado!$H$57*O$41)/SUM(PROY_Indexado!$B$57:$H$57))</f>
        <v>0.0955198022554526</v>
      </c>
      <c r="P55" s="9" t="n">
        <f aca="false">IF(SUM(PROY_Indexado!$B$57:$H$57)=0,1/12,(PROY_Indexado!$B$57*P$35+PROY_Indexado!$C$57*P$36+PROY_Indexado!$D$57*P$37+PROY_Indexado!$E$57*P$38+PROY_Indexado!$F$57*P$39+PROY_Indexado!$G$57*P$40+PROY_Indexado!$H$57*P$41)/SUM(PROY_Indexado!$B$57:$H$57))</f>
        <v>0.119919714923173</v>
      </c>
      <c r="Q55" s="13" t="n">
        <f aca="false">MAX(E55:P55)</f>
        <v>0.119919714923173</v>
      </c>
      <c r="R55" s="22" t="n">
        <v>1</v>
      </c>
    </row>
    <row r="56" customFormat="false" ht="15" hidden="false" customHeight="false" outlineLevel="0" collapsed="false">
      <c r="A56" s="6" t="str">
        <f aca="false">datos_base!A3</f>
        <v>ABC 2,5 kg</v>
      </c>
      <c r="B56" s="6" t="s">
        <v>165</v>
      </c>
      <c r="C56" s="10" t="n">
        <v>1</v>
      </c>
      <c r="D56" s="10" t="n">
        <v>0</v>
      </c>
      <c r="E56" s="9" t="n">
        <f aca="false">IF(SUM(PROY_Indexado!$B$58:$H$58)=0,1/12,(PROY_Indexado!$B$58*E$35+PROY_Indexado!$C$58*E$36+PROY_Indexado!$D$58*E$37+PROY_Indexado!$E$58*E$38+PROY_Indexado!$F$58*E$39+PROY_Indexado!$G$58*E$40+PROY_Indexado!$H$58*E$41)/SUM(PROY_Indexado!$B$58:$H$58))</f>
        <v>0.0599939658092665</v>
      </c>
      <c r="F56" s="9" t="n">
        <f aca="false">IF(SUM(PROY_Indexado!$B$58:$H$58)=0,1/12,(PROY_Indexado!$B$58*F$35+PROY_Indexado!$C$58*F$36+PROY_Indexado!$D$58*F$37+PROY_Indexado!$E$58*F$38+PROY_Indexado!$F$58*F$39+PROY_Indexado!$G$58*F$40+PROY_Indexado!$H$58*F$41)/SUM(PROY_Indexado!$B$58:$H$58))</f>
        <v>0.0599939658092665</v>
      </c>
      <c r="G56" s="9" t="n">
        <f aca="false">IF(SUM(PROY_Indexado!$B$58:$H$58)=0,1/12,(PROY_Indexado!$B$58*G$35+PROY_Indexado!$C$58*G$36+PROY_Indexado!$D$58*G$37+PROY_Indexado!$E$58*G$38+PROY_Indexado!$F$58*G$39+PROY_Indexado!$G$58*G$40+PROY_Indexado!$H$58*G$41)/SUM(PROY_Indexado!$B$58:$H$58))</f>
        <v>0.0823418371052526</v>
      </c>
      <c r="H56" s="9" t="n">
        <f aca="false">IF(SUM(PROY_Indexado!$B$58:$H$58)=0,1/12,(PROY_Indexado!$B$58*H$35+PROY_Indexado!$C$58*H$36+PROY_Indexado!$D$58*H$37+PROY_Indexado!$E$58*H$38+PROY_Indexado!$F$58*H$39+PROY_Indexado!$G$58*H$40+PROY_Indexado!$H$58*H$41)/SUM(PROY_Indexado!$B$58:$H$58))</f>
        <v>0.0958991878073455</v>
      </c>
      <c r="I56" s="9" t="n">
        <f aca="false">IF(SUM(PROY_Indexado!$B$58:$H$58)=0,1/12,(PROY_Indexado!$B$58*I$35+PROY_Indexado!$C$58*I$36+PROY_Indexado!$D$58*I$37+PROY_Indexado!$E$58*I$38+PROY_Indexado!$F$58*I$39+PROY_Indexado!$G$58*I$40+PROY_Indexado!$H$58*I$41)/SUM(PROY_Indexado!$B$58:$H$58))</f>
        <v>0.10379748734495</v>
      </c>
      <c r="J56" s="9" t="n">
        <f aca="false">IF(SUM(PROY_Indexado!$B$58:$H$58)=0,1/12,(PROY_Indexado!$B$58*J$35+PROY_Indexado!$C$58*J$36+PROY_Indexado!$D$58*J$37+PROY_Indexado!$E$58*J$38+PROY_Indexado!$F$58*J$39+PROY_Indexado!$G$58*J$40+PROY_Indexado!$H$58*J$41)/SUM(PROY_Indexado!$B$58:$H$58))</f>
        <v>0.102624553445736</v>
      </c>
      <c r="K56" s="9" t="n">
        <f aca="false">IF(SUM(PROY_Indexado!$B$58:$H$58)=0,1/12,(PROY_Indexado!$B$58*K$35+PROY_Indexado!$C$58*K$36+PROY_Indexado!$D$58*K$37+PROY_Indexado!$E$58*K$38+PROY_Indexado!$F$58*K$39+PROY_Indexado!$G$58*K$40+PROY_Indexado!$H$58*K$41)/SUM(PROY_Indexado!$B$58:$H$58))</f>
        <v>0.0742053590647476</v>
      </c>
      <c r="L56" s="9" t="n">
        <f aca="false">IF(SUM(PROY_Indexado!$B$58:$H$58)=0,1/12,(PROY_Indexado!$B$58*L$35+PROY_Indexado!$C$58*L$36+PROY_Indexado!$D$58*L$37+PROY_Indexado!$E$58*L$38+PROY_Indexado!$F$58*L$39+PROY_Indexado!$G$58*L$40+PROY_Indexado!$H$58*L$41)/SUM(PROY_Indexado!$B$58:$H$58))</f>
        <v>0.0870020477881409</v>
      </c>
      <c r="M56" s="9" t="n">
        <f aca="false">IF(SUM(PROY_Indexado!$B$58:$H$58)=0,1/12,(PROY_Indexado!$B$58*M$35+PROY_Indexado!$C$58*M$36+PROY_Indexado!$D$58*M$37+PROY_Indexado!$E$58*M$38+PROY_Indexado!$F$58*M$39+PROY_Indexado!$G$58*M$40+PROY_Indexado!$H$58*M$41)/SUM(PROY_Indexado!$B$58:$H$58))</f>
        <v>0.0871913152503224</v>
      </c>
      <c r="N56" s="9" t="n">
        <f aca="false">IF(SUM(PROY_Indexado!$B$58:$H$58)=0,1/12,(PROY_Indexado!$B$58*N$35+PROY_Indexado!$C$58*N$36+PROY_Indexado!$D$58*N$37+PROY_Indexado!$E$58*N$38+PROY_Indexado!$F$58*N$39+PROY_Indexado!$G$58*N$40+PROY_Indexado!$H$58*N$41)/SUM(PROY_Indexado!$B$58:$H$58))</f>
        <v>0.0871913152503224</v>
      </c>
      <c r="O56" s="9" t="n">
        <f aca="false">IF(SUM(PROY_Indexado!$B$58:$H$58)=0,1/12,(PROY_Indexado!$B$58*O$35+PROY_Indexado!$C$58*O$36+PROY_Indexado!$D$58*O$37+PROY_Indexado!$E$58*O$38+PROY_Indexado!$F$58*O$39+PROY_Indexado!$G$58*O$40+PROY_Indexado!$H$58*O$41)/SUM(PROY_Indexado!$B$58:$H$58))</f>
        <v>0.0792930157127176</v>
      </c>
      <c r="P56" s="9" t="n">
        <f aca="false">IF(SUM(PROY_Indexado!$B$58:$H$58)=0,1/12,(PROY_Indexado!$B$58*P$35+PROY_Indexado!$C$58*P$36+PROY_Indexado!$D$58*P$37+PROY_Indexado!$E$58*P$38+PROY_Indexado!$F$58*P$39+PROY_Indexado!$G$58*P$40+PROY_Indexado!$H$58*P$41)/SUM(PROY_Indexado!$B$58:$H$58))</f>
        <v>0.0804659496119317</v>
      </c>
      <c r="Q56" s="13" t="n">
        <f aca="false">MAX(E56:P56)</f>
        <v>0.10379748734495</v>
      </c>
      <c r="R56" s="22" t="n">
        <v>2.5</v>
      </c>
    </row>
    <row r="57" customFormat="false" ht="15" hidden="false" customHeight="false" outlineLevel="0" collapsed="false">
      <c r="A57" s="6" t="str">
        <f aca="false">datos_base!A4</f>
        <v>ABC 5 kg</v>
      </c>
      <c r="B57" s="6" t="s">
        <v>165</v>
      </c>
      <c r="C57" s="10" t="n">
        <v>1</v>
      </c>
      <c r="D57" s="10" t="n">
        <v>0</v>
      </c>
      <c r="E57" s="9" t="n">
        <f aca="false">IF(SUM(PROY_Indexado!$B$59:$H$59)=0,1/12,(PROY_Indexado!$B$59*E$35+PROY_Indexado!$C$59*E$36+PROY_Indexado!$D$59*E$37+PROY_Indexado!$E$59*E$38+PROY_Indexado!$F$59*E$39+PROY_Indexado!$G$59*E$40+PROY_Indexado!$H$59*E$41)/SUM(PROY_Indexado!$B$59:$H$59))</f>
        <v>0.0667556231939292</v>
      </c>
      <c r="F57" s="9" t="n">
        <f aca="false">IF(SUM(PROY_Indexado!$B$59:$H$59)=0,1/12,(PROY_Indexado!$B$59*F$35+PROY_Indexado!$C$59*F$36+PROY_Indexado!$D$59*F$37+PROY_Indexado!$E$59*F$38+PROY_Indexado!$F$59*F$39+PROY_Indexado!$G$59*F$40+PROY_Indexado!$H$59*F$41)/SUM(PROY_Indexado!$B$59:$H$59))</f>
        <v>0.0651024266252983</v>
      </c>
      <c r="G57" s="9" t="n">
        <f aca="false">IF(SUM(PROY_Indexado!$B$59:$H$59)=0,1/12,(PROY_Indexado!$B$59*G$35+PROY_Indexado!$C$59*G$36+PROY_Indexado!$D$59*G$37+PROY_Indexado!$E$59*G$38+PROY_Indexado!$F$59*G$39+PROY_Indexado!$G$59*G$40+PROY_Indexado!$H$59*G$41)/SUM(PROY_Indexado!$B$59:$H$59))</f>
        <v>0.0817858344236914</v>
      </c>
      <c r="H57" s="9" t="n">
        <f aca="false">IF(SUM(PROY_Indexado!$B$59:$H$59)=0,1/12,(PROY_Indexado!$B$59*H$35+PROY_Indexado!$C$59*H$36+PROY_Indexado!$D$59*H$37+PROY_Indexado!$E$59*H$38+PROY_Indexado!$F$59*H$39+PROY_Indexado!$G$59*H$40+PROY_Indexado!$H$59*H$41)/SUM(PROY_Indexado!$B$59:$H$59))</f>
        <v>0.0997196200427302</v>
      </c>
      <c r="I57" s="9" t="n">
        <f aca="false">IF(SUM(PROY_Indexado!$B$59:$H$59)=0,1/12,(PROY_Indexado!$B$59*I$35+PROY_Indexado!$C$59*I$36+PROY_Indexado!$D$59*I$37+PROY_Indexado!$E$59*I$38+PROY_Indexado!$F$59*I$39+PROY_Indexado!$G$59*I$40+PROY_Indexado!$H$59*I$41)/SUM(PROY_Indexado!$B$59:$H$59))</f>
        <v>0.100089910575874</v>
      </c>
      <c r="J57" s="9" t="n">
        <f aca="false">IF(SUM(PROY_Indexado!$B$59:$H$59)=0,1/12,(PROY_Indexado!$B$59*J$35+PROY_Indexado!$C$59*J$36+PROY_Indexado!$D$59*J$37+PROY_Indexado!$E$59*J$38+PROY_Indexado!$F$59*J$39+PROY_Indexado!$G$59*J$40+PROY_Indexado!$H$59*J$41)/SUM(PROY_Indexado!$B$59:$H$59))</f>
        <v>0.0988243995547109</v>
      </c>
      <c r="K57" s="9" t="n">
        <f aca="false">IF(SUM(PROY_Indexado!$B$59:$H$59)=0,1/12,(PROY_Indexado!$B$59*K$35+PROY_Indexado!$C$59*K$36+PROY_Indexado!$D$59*K$37+PROY_Indexado!$E$59*K$38+PROY_Indexado!$F$59*K$39+PROY_Indexado!$G$59*K$40+PROY_Indexado!$H$59*K$41)/SUM(PROY_Indexado!$B$59:$H$59))</f>
        <v>0.0797892781627565</v>
      </c>
      <c r="L57" s="9" t="n">
        <f aca="false">IF(SUM(PROY_Indexado!$B$59:$H$59)=0,1/12,(PROY_Indexado!$B$59*L$35+PROY_Indexado!$C$59*L$36+PROY_Indexado!$D$59*L$37+PROY_Indexado!$E$59*L$38+PROY_Indexado!$F$59*L$39+PROY_Indexado!$G$59*L$40+PROY_Indexado!$H$59*L$41)/SUM(PROY_Indexado!$B$59:$H$59))</f>
        <v>0.0795925746996675</v>
      </c>
      <c r="M57" s="9" t="n">
        <f aca="false">IF(SUM(PROY_Indexado!$B$59:$H$59)=0,1/12,(PROY_Indexado!$B$59*M$35+PROY_Indexado!$C$59*M$36+PROY_Indexado!$D$59*M$37+PROY_Indexado!$E$59*M$38+PROY_Indexado!$F$59*M$39+PROY_Indexado!$G$59*M$40+PROY_Indexado!$H$59*M$41)/SUM(PROY_Indexado!$B$59:$H$59))</f>
        <v>0.0807139532651435</v>
      </c>
      <c r="N57" s="9" t="n">
        <f aca="false">IF(SUM(PROY_Indexado!$B$59:$H$59)=0,1/12,(PROY_Indexado!$B$59*N$35+PROY_Indexado!$C$59*N$36+PROY_Indexado!$D$59*N$37+PROY_Indexado!$E$59*N$38+PROY_Indexado!$F$59*N$39+PROY_Indexado!$G$59*N$40+PROY_Indexado!$H$59*N$41)/SUM(PROY_Indexado!$B$59:$H$59))</f>
        <v>0.0807139532651435</v>
      </c>
      <c r="O57" s="9" t="n">
        <f aca="false">IF(SUM(PROY_Indexado!$B$59:$H$59)=0,1/12,(PROY_Indexado!$B$59*O$35+PROY_Indexado!$C$59*O$36+PROY_Indexado!$D$59*O$37+PROY_Indexado!$E$59*O$38+PROY_Indexado!$F$59*O$39+PROY_Indexado!$G$59*O$40+PROY_Indexado!$H$59*O$41)/SUM(PROY_Indexado!$B$59:$H$59))</f>
        <v>0.0819968593006307</v>
      </c>
      <c r="P57" s="9" t="n">
        <f aca="false">IF(SUM(PROY_Indexado!$B$59:$H$59)=0,1/12,(PROY_Indexado!$B$59*P$35+PROY_Indexado!$C$59*P$36+PROY_Indexado!$D$59*P$37+PROY_Indexado!$E$59*P$38+PROY_Indexado!$F$59*P$39+PROY_Indexado!$G$59*P$40+PROY_Indexado!$H$59*P$41)/SUM(PROY_Indexado!$B$59:$H$59))</f>
        <v>0.0849155668904246</v>
      </c>
      <c r="Q57" s="13" t="n">
        <f aca="false">MAX(E57:P57)</f>
        <v>0.100089910575874</v>
      </c>
      <c r="R57" s="22" t="n">
        <v>5</v>
      </c>
    </row>
    <row r="58" customFormat="false" ht="15" hidden="false" customHeight="false" outlineLevel="0" collapsed="false">
      <c r="A58" s="6" t="str">
        <f aca="false">datos_base!A5</f>
        <v>ABC 10 kg</v>
      </c>
      <c r="B58" s="6" t="s">
        <v>165</v>
      </c>
      <c r="C58" s="10" t="n">
        <v>1</v>
      </c>
      <c r="D58" s="10" t="n">
        <v>0</v>
      </c>
      <c r="E58" s="9" t="n">
        <f aca="false">IF(SUM(PROY_Indexado!$B$60:$H$60)=0,1/12,(PROY_Indexado!$B$60*E$35+PROY_Indexado!$C$60*E$36+PROY_Indexado!$D$60*E$37+PROY_Indexado!$E$60*E$38+PROY_Indexado!$F$60*E$39+PROY_Indexado!$G$60*E$40+PROY_Indexado!$H$60*E$41)/SUM(PROY_Indexado!$B$60:$H$60))</f>
        <v>0.064612341974598</v>
      </c>
      <c r="F58" s="9" t="n">
        <f aca="false">IF(SUM(PROY_Indexado!$B$60:$H$60)=0,1/12,(PROY_Indexado!$B$60*F$35+PROY_Indexado!$C$60*F$36+PROY_Indexado!$D$60*F$37+PROY_Indexado!$E$60*F$38+PROY_Indexado!$F$60*F$39+PROY_Indexado!$G$60*F$40+PROY_Indexado!$H$60*F$41)/SUM(PROY_Indexado!$B$60:$H$60))</f>
        <v>0.064612341974598</v>
      </c>
      <c r="G58" s="9" t="n">
        <f aca="false">IF(SUM(PROY_Indexado!$B$60:$H$60)=0,1/12,(PROY_Indexado!$B$60*G$35+PROY_Indexado!$C$60*G$36+PROY_Indexado!$D$60*G$37+PROY_Indexado!$E$60*G$38+PROY_Indexado!$F$60*G$39+PROY_Indexado!$G$60*G$40+PROY_Indexado!$H$60*G$41)/SUM(PROY_Indexado!$B$60:$H$60))</f>
        <v>0.0831857089056497</v>
      </c>
      <c r="H58" s="9" t="n">
        <f aca="false">IF(SUM(PROY_Indexado!$B$60:$H$60)=0,1/12,(PROY_Indexado!$B$60*H$35+PROY_Indexado!$C$60*H$36+PROY_Indexado!$D$60*H$37+PROY_Indexado!$E$60*H$38+PROY_Indexado!$F$60*H$39+PROY_Indexado!$G$60*H$40+PROY_Indexado!$H$60*H$41)/SUM(PROY_Indexado!$B$60:$H$60))</f>
        <v>0.101329540689849</v>
      </c>
      <c r="I58" s="9" t="n">
        <f aca="false">IF(SUM(PROY_Indexado!$B$60:$H$60)=0,1/12,(PROY_Indexado!$B$60*I$35+PROY_Indexado!$C$60*I$36+PROY_Indexado!$D$60*I$37+PROY_Indexado!$E$60*I$38+PROY_Indexado!$F$60*I$39+PROY_Indexado!$G$60*I$40+PROY_Indexado!$H$60*I$41)/SUM(PROY_Indexado!$B$60:$H$60))</f>
        <v>0.10227719847342</v>
      </c>
      <c r="J58" s="9" t="n">
        <f aca="false">IF(SUM(PROY_Indexado!$B$60:$H$60)=0,1/12,(PROY_Indexado!$B$60*J$35+PROY_Indexado!$C$60*J$36+PROY_Indexado!$D$60*J$37+PROY_Indexado!$E$60*J$38+PROY_Indexado!$F$60*J$39+PROY_Indexado!$G$60*J$40+PROY_Indexado!$H$60*J$41)/SUM(PROY_Indexado!$B$60:$H$60))</f>
        <v>0.0993233886074831</v>
      </c>
      <c r="K58" s="9" t="n">
        <f aca="false">IF(SUM(PROY_Indexado!$B$60:$H$60)=0,1/12,(PROY_Indexado!$B$60*K$35+PROY_Indexado!$C$60*K$36+PROY_Indexado!$D$60*K$37+PROY_Indexado!$E$60*K$38+PROY_Indexado!$F$60*K$39+PROY_Indexado!$G$60*K$40+PROY_Indexado!$H$60*K$41)/SUM(PROY_Indexado!$B$60:$H$60))</f>
        <v>0.078066397641533</v>
      </c>
      <c r="L58" s="9" t="n">
        <f aca="false">IF(SUM(PROY_Indexado!$B$60:$H$60)=0,1/12,(PROY_Indexado!$B$60*L$35+PROY_Indexado!$C$60*L$36+PROY_Indexado!$D$60*L$37+PROY_Indexado!$E$60*L$38+PROY_Indexado!$F$60*L$39+PROY_Indexado!$G$60*L$40+PROY_Indexado!$H$60*L$41)/SUM(PROY_Indexado!$B$60:$H$60))</f>
        <v>0.078743869594065</v>
      </c>
      <c r="M58" s="9" t="n">
        <f aca="false">IF(SUM(PROY_Indexado!$B$60:$H$60)=0,1/12,(PROY_Indexado!$B$60*M$35+PROY_Indexado!$C$60*M$36+PROY_Indexado!$D$60*M$37+PROY_Indexado!$E$60*M$38+PROY_Indexado!$F$60*M$39+PROY_Indexado!$G$60*M$40+PROY_Indexado!$H$60*M$41)/SUM(PROY_Indexado!$B$60:$H$60))</f>
        <v>0.081697679460002</v>
      </c>
      <c r="N58" s="9" t="n">
        <f aca="false">IF(SUM(PROY_Indexado!$B$60:$H$60)=0,1/12,(PROY_Indexado!$B$60*N$35+PROY_Indexado!$C$60*N$36+PROY_Indexado!$D$60*N$37+PROY_Indexado!$E$60*N$38+PROY_Indexado!$F$60*N$39+PROY_Indexado!$G$60*N$40+PROY_Indexado!$H$60*N$41)/SUM(PROY_Indexado!$B$60:$H$60))</f>
        <v>0.081697679460002</v>
      </c>
      <c r="O58" s="9" t="n">
        <f aca="false">IF(SUM(PROY_Indexado!$B$60:$H$60)=0,1/12,(PROY_Indexado!$B$60*O$35+PROY_Indexado!$C$60*O$36+PROY_Indexado!$D$60*O$37+PROY_Indexado!$E$60*O$38+PROY_Indexado!$F$60*O$39+PROY_Indexado!$G$60*O$40+PROY_Indexado!$H$60*O$41)/SUM(PROY_Indexado!$B$60:$H$60))</f>
        <v>0.0807500216764314</v>
      </c>
      <c r="P58" s="9" t="n">
        <f aca="false">IF(SUM(PROY_Indexado!$B$60:$H$60)=0,1/12,(PROY_Indexado!$B$60*P$35+PROY_Indexado!$C$60*P$36+PROY_Indexado!$D$60*P$37+PROY_Indexado!$E$60*P$38+PROY_Indexado!$F$60*P$39+PROY_Indexado!$G$60*P$40+PROY_Indexado!$H$60*P$41)/SUM(PROY_Indexado!$B$60:$H$60))</f>
        <v>0.0837038315423683</v>
      </c>
      <c r="Q58" s="13" t="n">
        <f aca="false">MAX(E58:P58)</f>
        <v>0.10227719847342</v>
      </c>
      <c r="R58" s="22" t="n">
        <v>10</v>
      </c>
    </row>
    <row r="59" customFormat="false" ht="15" hidden="false" customHeight="false" outlineLevel="0" collapsed="false">
      <c r="A59" s="6" t="str">
        <f aca="false">datos_base!A6</f>
        <v>Agua 10 l</v>
      </c>
      <c r="B59" s="6" t="s">
        <v>168</v>
      </c>
      <c r="C59" s="10" t="n">
        <v>1</v>
      </c>
      <c r="D59" s="10" t="n">
        <v>0</v>
      </c>
      <c r="E59" s="9" t="n">
        <f aca="false">IF(SUM(PROY_Indexado!$B$61:$H$61)=0,1/12,(PROY_Indexado!$B$61*E$35+PROY_Indexado!$C$61*E$36+PROY_Indexado!$D$61*E$37+PROY_Indexado!$E$61*E$38+PROY_Indexado!$F$61*E$39+PROY_Indexado!$G$61*E$40+PROY_Indexado!$H$61*E$41)/SUM(PROY_Indexado!$B$61:$H$61))</f>
        <v>0.0670768247329043</v>
      </c>
      <c r="F59" s="9" t="n">
        <f aca="false">IF(SUM(PROY_Indexado!$B$61:$H$61)=0,1/12,(PROY_Indexado!$B$61*F$35+PROY_Indexado!$C$61*F$36+PROY_Indexado!$D$61*F$37+PROY_Indexado!$E$61*F$38+PROY_Indexado!$F$61*F$39+PROY_Indexado!$G$61*F$40+PROY_Indexado!$H$61*F$41)/SUM(PROY_Indexado!$B$61:$H$61))</f>
        <v>0.0670768247329043</v>
      </c>
      <c r="G59" s="9" t="n">
        <f aca="false">IF(SUM(PROY_Indexado!$B$61:$H$61)=0,1/12,(PROY_Indexado!$B$61*G$35+PROY_Indexado!$C$61*G$36+PROY_Indexado!$D$61*G$37+PROY_Indexado!$E$61*G$38+PROY_Indexado!$F$61*G$39+PROY_Indexado!$G$61*G$40+PROY_Indexado!$H$61*G$41)/SUM(PROY_Indexado!$B$61:$H$61))</f>
        <v>0.0827868661277296</v>
      </c>
      <c r="H59" s="9" t="n">
        <f aca="false">IF(SUM(PROY_Indexado!$B$61:$H$61)=0,1/12,(PROY_Indexado!$B$61*H$35+PROY_Indexado!$C$61*H$36+PROY_Indexado!$D$61*H$37+PROY_Indexado!$E$61*H$38+PROY_Indexado!$F$61*H$39+PROY_Indexado!$G$61*H$40+PROY_Indexado!$H$61*H$41)/SUM(PROY_Indexado!$B$61:$H$61))</f>
        <v>0.0993493196011858</v>
      </c>
      <c r="I59" s="9" t="n">
        <f aca="false">IF(SUM(PROY_Indexado!$B$61:$H$61)=0,1/12,(PROY_Indexado!$B$61*I$35+PROY_Indexado!$C$61*I$36+PROY_Indexado!$D$61*I$37+PROY_Indexado!$E$61*I$38+PROY_Indexado!$F$61*I$39+PROY_Indexado!$G$61*I$40+PROY_Indexado!$H$61*I$41)/SUM(PROY_Indexado!$B$61:$H$61))</f>
        <v>0.0999705290370024</v>
      </c>
      <c r="J59" s="9" t="n">
        <f aca="false">IF(SUM(PROY_Indexado!$B$61:$H$61)=0,1/12,(PROY_Indexado!$B$61*J$35+PROY_Indexado!$C$61*J$36+PROY_Indexado!$D$61*J$37+PROY_Indexado!$E$61*J$38+PROY_Indexado!$F$61*J$39+PROY_Indexado!$G$61*J$40+PROY_Indexado!$H$61*J$41)/SUM(PROY_Indexado!$B$61:$H$61))</f>
        <v>0.0970461916480882</v>
      </c>
      <c r="K59" s="9" t="n">
        <f aca="false">IF(SUM(PROY_Indexado!$B$61:$H$61)=0,1/12,(PROY_Indexado!$B$61*K$35+PROY_Indexado!$C$61*K$36+PROY_Indexado!$D$61*K$37+PROY_Indexado!$E$61*K$38+PROY_Indexado!$F$61*K$39+PROY_Indexado!$G$61*K$40+PROY_Indexado!$H$61*K$41)/SUM(PROY_Indexado!$B$61:$H$61))</f>
        <v>0.0788828581851096</v>
      </c>
      <c r="L59" s="9" t="n">
        <f aca="false">IF(SUM(PROY_Indexado!$B$61:$H$61)=0,1/12,(PROY_Indexado!$B$61*L$35+PROY_Indexado!$C$61*L$36+PROY_Indexado!$D$61*L$37+PROY_Indexado!$E$61*L$38+PROY_Indexado!$F$61*L$39+PROY_Indexado!$G$61*L$40+PROY_Indexado!$H$61*L$41)/SUM(PROY_Indexado!$B$61:$H$61))</f>
        <v>0.0790330223001652</v>
      </c>
      <c r="M59" s="9" t="n">
        <f aca="false">IF(SUM(PROY_Indexado!$B$61:$H$61)=0,1/12,(PROY_Indexado!$B$61*M$35+PROY_Indexado!$C$61*M$36+PROY_Indexado!$D$61*M$37+PROY_Indexado!$E$61*M$38+PROY_Indexado!$F$61*M$39+PROY_Indexado!$G$61*M$40+PROY_Indexado!$H$61*M$41)/SUM(PROY_Indexado!$B$61:$H$61))</f>
        <v>0.0817739112794073</v>
      </c>
      <c r="N59" s="9" t="n">
        <f aca="false">IF(SUM(PROY_Indexado!$B$61:$H$61)=0,1/12,(PROY_Indexado!$B$61*N$35+PROY_Indexado!$C$61*N$36+PROY_Indexado!$D$61*N$37+PROY_Indexado!$E$61*N$38+PROY_Indexado!$F$61*N$39+PROY_Indexado!$G$61*N$40+PROY_Indexado!$H$61*N$41)/SUM(PROY_Indexado!$B$61:$H$61))</f>
        <v>0.0817739112794073</v>
      </c>
      <c r="O59" s="9" t="n">
        <f aca="false">IF(SUM(PROY_Indexado!$B$61:$H$61)=0,1/12,(PROY_Indexado!$B$61*O$35+PROY_Indexado!$C$61*O$36+PROY_Indexado!$D$61*O$37+PROY_Indexado!$E$61*O$38+PROY_Indexado!$F$61*O$39+PROY_Indexado!$G$61*O$40+PROY_Indexado!$H$61*O$41)/SUM(PROY_Indexado!$B$61:$H$61))</f>
        <v>0.0811527018435908</v>
      </c>
      <c r="P59" s="9" t="n">
        <f aca="false">IF(SUM(PROY_Indexado!$B$61:$H$61)=0,1/12,(PROY_Indexado!$B$61*P$35+PROY_Indexado!$C$61*P$36+PROY_Indexado!$D$61*P$37+PROY_Indexado!$E$61*P$38+PROY_Indexado!$F$61*P$39+PROY_Indexado!$G$61*P$40+PROY_Indexado!$H$61*P$41)/SUM(PROY_Indexado!$B$61:$H$61))</f>
        <v>0.084077039232505</v>
      </c>
      <c r="Q59" s="13" t="n">
        <f aca="false">MAX(E59:P59)</f>
        <v>0.0999705290370024</v>
      </c>
      <c r="R59" s="22" t="n">
        <v>10</v>
      </c>
    </row>
    <row r="60" customFormat="false" ht="15" hidden="false" customHeight="false" outlineLevel="0" collapsed="false">
      <c r="A60" s="6" t="str">
        <f aca="false">datos_base!A7</f>
        <v>AFFF 10 l</v>
      </c>
      <c r="B60" s="6" t="s">
        <v>169</v>
      </c>
      <c r="C60" s="10" t="n">
        <v>1</v>
      </c>
      <c r="D60" s="10" t="n">
        <v>0</v>
      </c>
      <c r="E60" s="9" t="n">
        <f aca="false">IF(SUM(PROY_Indexado!$B$62:$H$62)=0,1/12,(PROY_Indexado!$B$62*E$35+PROY_Indexado!$C$62*E$36+PROY_Indexado!$D$62*E$37+PROY_Indexado!$E$62*E$38+PROY_Indexado!$F$62*E$39+PROY_Indexado!$G$62*E$40+PROY_Indexado!$H$62*E$41)/SUM(PROY_Indexado!$B$62:$H$62))</f>
        <v>0.0833333333333333</v>
      </c>
      <c r="F60" s="9" t="n">
        <f aca="false">IF(SUM(PROY_Indexado!$B$62:$H$62)=0,1/12,(PROY_Indexado!$B$62*F$35+PROY_Indexado!$C$62*F$36+PROY_Indexado!$D$62*F$37+PROY_Indexado!$E$62*F$38+PROY_Indexado!$F$62*F$39+PROY_Indexado!$G$62*F$40+PROY_Indexado!$H$62*F$41)/SUM(PROY_Indexado!$B$62:$H$62))</f>
        <v>0.0833333333333333</v>
      </c>
      <c r="G60" s="9" t="n">
        <f aca="false">IF(SUM(PROY_Indexado!$B$62:$H$62)=0,1/12,(PROY_Indexado!$B$62*G$35+PROY_Indexado!$C$62*G$36+PROY_Indexado!$D$62*G$37+PROY_Indexado!$E$62*G$38+PROY_Indexado!$F$62*G$39+PROY_Indexado!$G$62*G$40+PROY_Indexado!$H$62*G$41)/SUM(PROY_Indexado!$B$62:$H$62))</f>
        <v>0.0833333333333333</v>
      </c>
      <c r="H60" s="9" t="n">
        <f aca="false">IF(SUM(PROY_Indexado!$B$62:$H$62)=0,1/12,(PROY_Indexado!$B$62*H$35+PROY_Indexado!$C$62*H$36+PROY_Indexado!$D$62*H$37+PROY_Indexado!$E$62*H$38+PROY_Indexado!$F$62*H$39+PROY_Indexado!$G$62*H$40+PROY_Indexado!$H$62*H$41)/SUM(PROY_Indexado!$B$62:$H$62))</f>
        <v>0.0833333333333333</v>
      </c>
      <c r="I60" s="9" t="n">
        <f aca="false">IF(SUM(PROY_Indexado!$B$62:$H$62)=0,1/12,(PROY_Indexado!$B$62*I$35+PROY_Indexado!$C$62*I$36+PROY_Indexado!$D$62*I$37+PROY_Indexado!$E$62*I$38+PROY_Indexado!$F$62*I$39+PROY_Indexado!$G$62*I$40+PROY_Indexado!$H$62*I$41)/SUM(PROY_Indexado!$B$62:$H$62))</f>
        <v>0.0833333333333333</v>
      </c>
      <c r="J60" s="9" t="n">
        <f aca="false">IF(SUM(PROY_Indexado!$B$62:$H$62)=0,1/12,(PROY_Indexado!$B$62*J$35+PROY_Indexado!$C$62*J$36+PROY_Indexado!$D$62*J$37+PROY_Indexado!$E$62*J$38+PROY_Indexado!$F$62*J$39+PROY_Indexado!$G$62*J$40+PROY_Indexado!$H$62*J$41)/SUM(PROY_Indexado!$B$62:$H$62))</f>
        <v>0.0833333333333333</v>
      </c>
      <c r="K60" s="9" t="n">
        <f aca="false">IF(SUM(PROY_Indexado!$B$62:$H$62)=0,1/12,(PROY_Indexado!$B$62*K$35+PROY_Indexado!$C$62*K$36+PROY_Indexado!$D$62*K$37+PROY_Indexado!$E$62*K$38+PROY_Indexado!$F$62*K$39+PROY_Indexado!$G$62*K$40+PROY_Indexado!$H$62*K$41)/SUM(PROY_Indexado!$B$62:$H$62))</f>
        <v>0.0833333333333333</v>
      </c>
      <c r="L60" s="9" t="n">
        <f aca="false">IF(SUM(PROY_Indexado!$B$62:$H$62)=0,1/12,(PROY_Indexado!$B$62*L$35+PROY_Indexado!$C$62*L$36+PROY_Indexado!$D$62*L$37+PROY_Indexado!$E$62*L$38+PROY_Indexado!$F$62*L$39+PROY_Indexado!$G$62*L$40+PROY_Indexado!$H$62*L$41)/SUM(PROY_Indexado!$B$62:$H$62))</f>
        <v>0.0833333333333333</v>
      </c>
      <c r="M60" s="9" t="n">
        <f aca="false">IF(SUM(PROY_Indexado!$B$62:$H$62)=0,1/12,(PROY_Indexado!$B$62*M$35+PROY_Indexado!$C$62*M$36+PROY_Indexado!$D$62*M$37+PROY_Indexado!$E$62*M$38+PROY_Indexado!$F$62*M$39+PROY_Indexado!$G$62*M$40+PROY_Indexado!$H$62*M$41)/SUM(PROY_Indexado!$B$62:$H$62))</f>
        <v>0.0833333333333333</v>
      </c>
      <c r="N60" s="9" t="n">
        <f aca="false">IF(SUM(PROY_Indexado!$B$62:$H$62)=0,1/12,(PROY_Indexado!$B$62*N$35+PROY_Indexado!$C$62*N$36+PROY_Indexado!$D$62*N$37+PROY_Indexado!$E$62*N$38+PROY_Indexado!$F$62*N$39+PROY_Indexado!$G$62*N$40+PROY_Indexado!$H$62*N$41)/SUM(PROY_Indexado!$B$62:$H$62))</f>
        <v>0.0833333333333333</v>
      </c>
      <c r="O60" s="9" t="n">
        <f aca="false">IF(SUM(PROY_Indexado!$B$62:$H$62)=0,1/12,(PROY_Indexado!$B$62*O$35+PROY_Indexado!$C$62*O$36+PROY_Indexado!$D$62*O$37+PROY_Indexado!$E$62*O$38+PROY_Indexado!$F$62*O$39+PROY_Indexado!$G$62*O$40+PROY_Indexado!$H$62*O$41)/SUM(PROY_Indexado!$B$62:$H$62))</f>
        <v>0.0833333333333333</v>
      </c>
      <c r="P60" s="9" t="n">
        <f aca="false">IF(SUM(PROY_Indexado!$B$62:$H$62)=0,1/12,(PROY_Indexado!$B$62*P$35+PROY_Indexado!$C$62*P$36+PROY_Indexado!$D$62*P$37+PROY_Indexado!$E$62*P$38+PROY_Indexado!$F$62*P$39+PROY_Indexado!$G$62*P$40+PROY_Indexado!$H$62*P$41)/SUM(PROY_Indexado!$B$62:$H$62))</f>
        <v>0.0833333333333333</v>
      </c>
      <c r="Q60" s="13" t="n">
        <f aca="false">MAX(E60:P60)</f>
        <v>0.0833333333333333</v>
      </c>
      <c r="R60" s="22" t="n">
        <v>10</v>
      </c>
    </row>
    <row r="61" customFormat="false" ht="15" hidden="false" customHeight="false" outlineLevel="0" collapsed="false">
      <c r="A61" s="6" t="str">
        <f aca="false">datos_base!A8</f>
        <v>AFFF 50 l s/ruedas</v>
      </c>
      <c r="B61" s="6" t="s">
        <v>169</v>
      </c>
      <c r="C61" s="18" t="n">
        <f aca="false">$B$9</f>
        <v>6.360853875</v>
      </c>
      <c r="D61" s="10" t="n">
        <v>1</v>
      </c>
      <c r="E61" s="9" t="n">
        <f aca="false">IF(SUM(PROY_Indexado!$B$63:$H$63)=0,1/12,(PROY_Indexado!$B$63*E$35+PROY_Indexado!$C$63*E$36+PROY_Indexado!$D$63*E$37+PROY_Indexado!$E$63*E$38+PROY_Indexado!$F$63*E$39+PROY_Indexado!$G$63*E$40+PROY_Indexado!$H$63*E$41)/SUM(PROY_Indexado!$B$63:$H$63))</f>
        <v>0.0833333333333333</v>
      </c>
      <c r="F61" s="9" t="n">
        <f aca="false">IF(SUM(PROY_Indexado!$B$63:$H$63)=0,1/12,(PROY_Indexado!$B$63*F$35+PROY_Indexado!$C$63*F$36+PROY_Indexado!$D$63*F$37+PROY_Indexado!$E$63*F$38+PROY_Indexado!$F$63*F$39+PROY_Indexado!$G$63*F$40+PROY_Indexado!$H$63*F$41)/SUM(PROY_Indexado!$B$63:$H$63))</f>
        <v>0.0833333333333333</v>
      </c>
      <c r="G61" s="9" t="n">
        <f aca="false">IF(SUM(PROY_Indexado!$B$63:$H$63)=0,1/12,(PROY_Indexado!$B$63*G$35+PROY_Indexado!$C$63*G$36+PROY_Indexado!$D$63*G$37+PROY_Indexado!$E$63*G$38+PROY_Indexado!$F$63*G$39+PROY_Indexado!$G$63*G$40+PROY_Indexado!$H$63*G$41)/SUM(PROY_Indexado!$B$63:$H$63))</f>
        <v>0.0833333333333333</v>
      </c>
      <c r="H61" s="9" t="n">
        <f aca="false">IF(SUM(PROY_Indexado!$B$63:$H$63)=0,1/12,(PROY_Indexado!$B$63*H$35+PROY_Indexado!$C$63*H$36+PROY_Indexado!$D$63*H$37+PROY_Indexado!$E$63*H$38+PROY_Indexado!$F$63*H$39+PROY_Indexado!$G$63*H$40+PROY_Indexado!$H$63*H$41)/SUM(PROY_Indexado!$B$63:$H$63))</f>
        <v>0.0833333333333333</v>
      </c>
      <c r="I61" s="9" t="n">
        <f aca="false">IF(SUM(PROY_Indexado!$B$63:$H$63)=0,1/12,(PROY_Indexado!$B$63*I$35+PROY_Indexado!$C$63*I$36+PROY_Indexado!$D$63*I$37+PROY_Indexado!$E$63*I$38+PROY_Indexado!$F$63*I$39+PROY_Indexado!$G$63*I$40+PROY_Indexado!$H$63*I$41)/SUM(PROY_Indexado!$B$63:$H$63))</f>
        <v>0.0833333333333333</v>
      </c>
      <c r="J61" s="9" t="n">
        <f aca="false">IF(SUM(PROY_Indexado!$B$63:$H$63)=0,1/12,(PROY_Indexado!$B$63*J$35+PROY_Indexado!$C$63*J$36+PROY_Indexado!$D$63*J$37+PROY_Indexado!$E$63*J$38+PROY_Indexado!$F$63*J$39+PROY_Indexado!$G$63*J$40+PROY_Indexado!$H$63*J$41)/SUM(PROY_Indexado!$B$63:$H$63))</f>
        <v>0.0833333333333333</v>
      </c>
      <c r="K61" s="9" t="n">
        <f aca="false">IF(SUM(PROY_Indexado!$B$63:$H$63)=0,1/12,(PROY_Indexado!$B$63*K$35+PROY_Indexado!$C$63*K$36+PROY_Indexado!$D$63*K$37+PROY_Indexado!$E$63*K$38+PROY_Indexado!$F$63*K$39+PROY_Indexado!$G$63*K$40+PROY_Indexado!$H$63*K$41)/SUM(PROY_Indexado!$B$63:$H$63))</f>
        <v>0.0833333333333333</v>
      </c>
      <c r="L61" s="9" t="n">
        <f aca="false">IF(SUM(PROY_Indexado!$B$63:$H$63)=0,1/12,(PROY_Indexado!$B$63*L$35+PROY_Indexado!$C$63*L$36+PROY_Indexado!$D$63*L$37+PROY_Indexado!$E$63*L$38+PROY_Indexado!$F$63*L$39+PROY_Indexado!$G$63*L$40+PROY_Indexado!$H$63*L$41)/SUM(PROY_Indexado!$B$63:$H$63))</f>
        <v>0.0833333333333333</v>
      </c>
      <c r="M61" s="9" t="n">
        <f aca="false">IF(SUM(PROY_Indexado!$B$63:$H$63)=0,1/12,(PROY_Indexado!$B$63*M$35+PROY_Indexado!$C$63*M$36+PROY_Indexado!$D$63*M$37+PROY_Indexado!$E$63*M$38+PROY_Indexado!$F$63*M$39+PROY_Indexado!$G$63*M$40+PROY_Indexado!$H$63*M$41)/SUM(PROY_Indexado!$B$63:$H$63))</f>
        <v>0.0833333333333333</v>
      </c>
      <c r="N61" s="9" t="n">
        <f aca="false">IF(SUM(PROY_Indexado!$B$63:$H$63)=0,1/12,(PROY_Indexado!$B$63*N$35+PROY_Indexado!$C$63*N$36+PROY_Indexado!$D$63*N$37+PROY_Indexado!$E$63*N$38+PROY_Indexado!$F$63*N$39+PROY_Indexado!$G$63*N$40+PROY_Indexado!$H$63*N$41)/SUM(PROY_Indexado!$B$63:$H$63))</f>
        <v>0.0833333333333333</v>
      </c>
      <c r="O61" s="9" t="n">
        <f aca="false">IF(SUM(PROY_Indexado!$B$63:$H$63)=0,1/12,(PROY_Indexado!$B$63*O$35+PROY_Indexado!$C$63*O$36+PROY_Indexado!$D$63*O$37+PROY_Indexado!$E$63*O$38+PROY_Indexado!$F$63*O$39+PROY_Indexado!$G$63*O$40+PROY_Indexado!$H$63*O$41)/SUM(PROY_Indexado!$B$63:$H$63))</f>
        <v>0.0833333333333333</v>
      </c>
      <c r="P61" s="9" t="n">
        <f aca="false">IF(SUM(PROY_Indexado!$B$63:$H$63)=0,1/12,(PROY_Indexado!$B$63*P$35+PROY_Indexado!$C$63*P$36+PROY_Indexado!$D$63*P$37+PROY_Indexado!$E$63*P$38+PROY_Indexado!$F$63*P$39+PROY_Indexado!$G$63*P$40+PROY_Indexado!$H$63*P$41)/SUM(PROY_Indexado!$B$63:$H$63))</f>
        <v>0.0833333333333333</v>
      </c>
      <c r="Q61" s="13" t="n">
        <f aca="false">MAX(E61:P61)</f>
        <v>0.0833333333333333</v>
      </c>
      <c r="R61" s="22" t="n">
        <v>50</v>
      </c>
    </row>
    <row r="62" customFormat="false" ht="15" hidden="false" customHeight="false" outlineLevel="0" collapsed="false">
      <c r="A62" s="6" t="str">
        <f aca="false">datos_base!A9</f>
        <v>BC 5 kg</v>
      </c>
      <c r="B62" s="6" t="s">
        <v>166</v>
      </c>
      <c r="C62" s="10" t="n">
        <v>1</v>
      </c>
      <c r="D62" s="10" t="n">
        <v>0</v>
      </c>
      <c r="E62" s="9" t="n">
        <f aca="false">IF(SUM(PROY_Indexado!$B$64:$H$64)=0,1/12,(PROY_Indexado!$B$64*E$35+PROY_Indexado!$C$64*E$36+PROY_Indexado!$D$64*E$37+PROY_Indexado!$E$64*E$38+PROY_Indexado!$F$64*E$39+PROY_Indexado!$G$64*E$40+PROY_Indexado!$H$64*E$41)/SUM(PROY_Indexado!$B$64:$H$64))</f>
        <v>0.0833333333333333</v>
      </c>
      <c r="F62" s="9" t="n">
        <f aca="false">IF(SUM(PROY_Indexado!$B$64:$H$64)=0,1/12,(PROY_Indexado!$B$64*F$35+PROY_Indexado!$C$64*F$36+PROY_Indexado!$D$64*F$37+PROY_Indexado!$E$64*F$38+PROY_Indexado!$F$64*F$39+PROY_Indexado!$G$64*F$40+PROY_Indexado!$H$64*F$41)/SUM(PROY_Indexado!$B$64:$H$64))</f>
        <v>0.0833333333333333</v>
      </c>
      <c r="G62" s="9" t="n">
        <f aca="false">IF(SUM(PROY_Indexado!$B$64:$H$64)=0,1/12,(PROY_Indexado!$B$64*G$35+PROY_Indexado!$C$64*G$36+PROY_Indexado!$D$64*G$37+PROY_Indexado!$E$64*G$38+PROY_Indexado!$F$64*G$39+PROY_Indexado!$G$64*G$40+PROY_Indexado!$H$64*G$41)/SUM(PROY_Indexado!$B$64:$H$64))</f>
        <v>0.0833333333333333</v>
      </c>
      <c r="H62" s="9" t="n">
        <f aca="false">IF(SUM(PROY_Indexado!$B$64:$H$64)=0,1/12,(PROY_Indexado!$B$64*H$35+PROY_Indexado!$C$64*H$36+PROY_Indexado!$D$64*H$37+PROY_Indexado!$E$64*H$38+PROY_Indexado!$F$64*H$39+PROY_Indexado!$G$64*H$40+PROY_Indexado!$H$64*H$41)/SUM(PROY_Indexado!$B$64:$H$64))</f>
        <v>0.0833333333333333</v>
      </c>
      <c r="I62" s="9" t="n">
        <f aca="false">IF(SUM(PROY_Indexado!$B$64:$H$64)=0,1/12,(PROY_Indexado!$B$64*I$35+PROY_Indexado!$C$64*I$36+PROY_Indexado!$D$64*I$37+PROY_Indexado!$E$64*I$38+PROY_Indexado!$F$64*I$39+PROY_Indexado!$G$64*I$40+PROY_Indexado!$H$64*I$41)/SUM(PROY_Indexado!$B$64:$H$64))</f>
        <v>0.0833333333333333</v>
      </c>
      <c r="J62" s="9" t="n">
        <f aca="false">IF(SUM(PROY_Indexado!$B$64:$H$64)=0,1/12,(PROY_Indexado!$B$64*J$35+PROY_Indexado!$C$64*J$36+PROY_Indexado!$D$64*J$37+PROY_Indexado!$E$64*J$38+PROY_Indexado!$F$64*J$39+PROY_Indexado!$G$64*J$40+PROY_Indexado!$H$64*J$41)/SUM(PROY_Indexado!$B$64:$H$64))</f>
        <v>0.0833333333333333</v>
      </c>
      <c r="K62" s="9" t="n">
        <f aca="false">IF(SUM(PROY_Indexado!$B$64:$H$64)=0,1/12,(PROY_Indexado!$B$64*K$35+PROY_Indexado!$C$64*K$36+PROY_Indexado!$D$64*K$37+PROY_Indexado!$E$64*K$38+PROY_Indexado!$F$64*K$39+PROY_Indexado!$G$64*K$40+PROY_Indexado!$H$64*K$41)/SUM(PROY_Indexado!$B$64:$H$64))</f>
        <v>0.0833333333333333</v>
      </c>
      <c r="L62" s="9" t="n">
        <f aca="false">IF(SUM(PROY_Indexado!$B$64:$H$64)=0,1/12,(PROY_Indexado!$B$64*L$35+PROY_Indexado!$C$64*L$36+PROY_Indexado!$D$64*L$37+PROY_Indexado!$E$64*L$38+PROY_Indexado!$F$64*L$39+PROY_Indexado!$G$64*L$40+PROY_Indexado!$H$64*L$41)/SUM(PROY_Indexado!$B$64:$H$64))</f>
        <v>0.0833333333333333</v>
      </c>
      <c r="M62" s="9" t="n">
        <f aca="false">IF(SUM(PROY_Indexado!$B$64:$H$64)=0,1/12,(PROY_Indexado!$B$64*M$35+PROY_Indexado!$C$64*M$36+PROY_Indexado!$D$64*M$37+PROY_Indexado!$E$64*M$38+PROY_Indexado!$F$64*M$39+PROY_Indexado!$G$64*M$40+PROY_Indexado!$H$64*M$41)/SUM(PROY_Indexado!$B$64:$H$64))</f>
        <v>0.0833333333333333</v>
      </c>
      <c r="N62" s="9" t="n">
        <f aca="false">IF(SUM(PROY_Indexado!$B$64:$H$64)=0,1/12,(PROY_Indexado!$B$64*N$35+PROY_Indexado!$C$64*N$36+PROY_Indexado!$D$64*N$37+PROY_Indexado!$E$64*N$38+PROY_Indexado!$F$64*N$39+PROY_Indexado!$G$64*N$40+PROY_Indexado!$H$64*N$41)/SUM(PROY_Indexado!$B$64:$H$64))</f>
        <v>0.0833333333333333</v>
      </c>
      <c r="O62" s="9" t="n">
        <f aca="false">IF(SUM(PROY_Indexado!$B$64:$H$64)=0,1/12,(PROY_Indexado!$B$64*O$35+PROY_Indexado!$C$64*O$36+PROY_Indexado!$D$64*O$37+PROY_Indexado!$E$64*O$38+PROY_Indexado!$F$64*O$39+PROY_Indexado!$G$64*O$40+PROY_Indexado!$H$64*O$41)/SUM(PROY_Indexado!$B$64:$H$64))</f>
        <v>0.0833333333333333</v>
      </c>
      <c r="P62" s="9" t="n">
        <f aca="false">IF(SUM(PROY_Indexado!$B$64:$H$64)=0,1/12,(PROY_Indexado!$B$64*P$35+PROY_Indexado!$C$64*P$36+PROY_Indexado!$D$64*P$37+PROY_Indexado!$E$64*P$38+PROY_Indexado!$F$64*P$39+PROY_Indexado!$G$64*P$40+PROY_Indexado!$H$64*P$41)/SUM(PROY_Indexado!$B$64:$H$64))</f>
        <v>0.0833333333333333</v>
      </c>
      <c r="Q62" s="13" t="n">
        <f aca="false">MAX(E62:P62)</f>
        <v>0.0833333333333333</v>
      </c>
      <c r="R62" s="22" t="n">
        <v>5</v>
      </c>
    </row>
    <row r="63" customFormat="false" ht="15" hidden="false" customHeight="false" outlineLevel="0" collapsed="false">
      <c r="A63" s="6" t="str">
        <f aca="false">datos_base!A10</f>
        <v>Sales K 6 l</v>
      </c>
      <c r="B63" s="6" t="s">
        <v>170</v>
      </c>
      <c r="C63" s="10" t="n">
        <v>1</v>
      </c>
      <c r="D63" s="10" t="n">
        <v>0</v>
      </c>
      <c r="E63" s="9" t="n">
        <f aca="false">IF(SUM(PROY_Indexado!$B$65:$H$65)=0,1/12,(PROY_Indexado!$B$65*E$35+PROY_Indexado!$C$65*E$36+PROY_Indexado!$D$65*E$37+PROY_Indexado!$E$65*E$38+PROY_Indexado!$F$65*E$39+PROY_Indexado!$G$65*E$40+PROY_Indexado!$H$65*E$41)/SUM(PROY_Indexado!$B$65:$H$65))</f>
        <v>0.0695355190499093</v>
      </c>
      <c r="F63" s="9" t="n">
        <f aca="false">IF(SUM(PROY_Indexado!$B$65:$H$65)=0,1/12,(PROY_Indexado!$B$65*F$35+PROY_Indexado!$C$65*F$36+PROY_Indexado!$D$65*F$37+PROY_Indexado!$E$65*F$38+PROY_Indexado!$F$65*F$39+PROY_Indexado!$G$65*F$40+PROY_Indexado!$H$65*F$41)/SUM(PROY_Indexado!$B$65:$H$65))</f>
        <v>0.0695355190499093</v>
      </c>
      <c r="G63" s="9" t="n">
        <f aca="false">IF(SUM(PROY_Indexado!$B$65:$H$65)=0,1/12,(PROY_Indexado!$B$65*G$35+PROY_Indexado!$C$65*G$36+PROY_Indexado!$D$65*G$37+PROY_Indexado!$E$65*G$38+PROY_Indexado!$F$65*G$39+PROY_Indexado!$G$65*G$40+PROY_Indexado!$H$65*G$41)/SUM(PROY_Indexado!$B$65:$H$65))</f>
        <v>0.0838248196490894</v>
      </c>
      <c r="H63" s="9" t="n">
        <f aca="false">IF(SUM(PROY_Indexado!$B$65:$H$65)=0,1/12,(PROY_Indexado!$B$65*H$35+PROY_Indexado!$C$65*H$36+PROY_Indexado!$D$65*H$37+PROY_Indexado!$E$65*H$38+PROY_Indexado!$F$65*H$39+PROY_Indexado!$G$65*H$40+PROY_Indexado!$H$65*H$41)/SUM(PROY_Indexado!$B$65:$H$65))</f>
        <v>0.0948339806026096</v>
      </c>
      <c r="I63" s="9" t="n">
        <f aca="false">IF(SUM(PROY_Indexado!$B$65:$H$65)=0,1/12,(PROY_Indexado!$B$65*I$35+PROY_Indexado!$C$65*I$36+PROY_Indexado!$D$65*I$37+PROY_Indexado!$E$65*I$38+PROY_Indexado!$F$65*I$39+PROY_Indexado!$G$65*I$40+PROY_Indexado!$H$65*I$41)/SUM(PROY_Indexado!$B$65:$H$65))</f>
        <v>0.0972184056200527</v>
      </c>
      <c r="J63" s="9" t="n">
        <f aca="false">IF(SUM(PROY_Indexado!$B$65:$H$65)=0,1/12,(PROY_Indexado!$B$65*J$35+PROY_Indexado!$C$65*J$36+PROY_Indexado!$D$65*J$37+PROY_Indexado!$E$65*J$38+PROY_Indexado!$F$65*J$39+PROY_Indexado!$G$65*J$40+PROY_Indexado!$H$65*J$41)/SUM(PROY_Indexado!$B$65:$H$65))</f>
        <v>0.0952240073446056</v>
      </c>
      <c r="K63" s="9" t="n">
        <f aca="false">IF(SUM(PROY_Indexado!$B$65:$H$65)=0,1/12,(PROY_Indexado!$B$65*K$35+PROY_Indexado!$C$65*K$36+PROY_Indexado!$D$65*K$37+PROY_Indexado!$E$65*K$38+PROY_Indexado!$F$65*K$39+PROY_Indexado!$G$65*K$40+PROY_Indexado!$H$65*K$41)/SUM(PROY_Indexado!$B$65:$H$65))</f>
        <v>0.0780009399043672</v>
      </c>
      <c r="L63" s="9" t="n">
        <f aca="false">IF(SUM(PROY_Indexado!$B$65:$H$65)=0,1/12,(PROY_Indexado!$B$65*L$35+PROY_Indexado!$C$65*L$36+PROY_Indexado!$D$65*L$37+PROY_Indexado!$E$65*L$38+PROY_Indexado!$F$65*L$39+PROY_Indexado!$G$65*L$40+PROY_Indexado!$H$65*L$41)/SUM(PROY_Indexado!$B$65:$H$65))</f>
        <v>0.0813247334874215</v>
      </c>
      <c r="M63" s="9" t="n">
        <f aca="false">IF(SUM(PROY_Indexado!$B$65:$H$65)=0,1/12,(PROY_Indexado!$B$65*M$35+PROY_Indexado!$C$65*M$36+PROY_Indexado!$D$65*M$37+PROY_Indexado!$E$65*M$38+PROY_Indexado!$F$65*M$39+PROY_Indexado!$G$65*M$40+PROY_Indexado!$H$65*M$41)/SUM(PROY_Indexado!$B$65:$H$65))</f>
        <v>0.0833191317628686</v>
      </c>
      <c r="N63" s="9" t="n">
        <f aca="false">IF(SUM(PROY_Indexado!$B$65:$H$65)=0,1/12,(PROY_Indexado!$B$65*N$35+PROY_Indexado!$C$65*N$36+PROY_Indexado!$D$65*N$37+PROY_Indexado!$E$65*N$38+PROY_Indexado!$F$65*N$39+PROY_Indexado!$G$65*N$40+PROY_Indexado!$H$65*N$41)/SUM(PROY_Indexado!$B$65:$H$65))</f>
        <v>0.0833191317628686</v>
      </c>
      <c r="O63" s="9" t="n">
        <f aca="false">IF(SUM(PROY_Indexado!$B$65:$H$65)=0,1/12,(PROY_Indexado!$B$65*O$35+PROY_Indexado!$C$65*O$36+PROY_Indexado!$D$65*O$37+PROY_Indexado!$E$65*O$38+PROY_Indexado!$F$65*O$39+PROY_Indexado!$G$65*O$40+PROY_Indexado!$H$65*O$41)/SUM(PROY_Indexado!$B$65:$H$65))</f>
        <v>0.0809347067454255</v>
      </c>
      <c r="P63" s="9" t="n">
        <f aca="false">IF(SUM(PROY_Indexado!$B$65:$H$65)=0,1/12,(PROY_Indexado!$B$65*P$35+PROY_Indexado!$C$65*P$36+PROY_Indexado!$D$65*P$37+PROY_Indexado!$E$65*P$38+PROY_Indexado!$F$65*P$39+PROY_Indexado!$G$65*P$40+PROY_Indexado!$H$65*P$41)/SUM(PROY_Indexado!$B$65:$H$65))</f>
        <v>0.0829291050208727</v>
      </c>
      <c r="Q63" s="13" t="n">
        <f aca="false">MAX(E63:P63)</f>
        <v>0.0972184056200527</v>
      </c>
      <c r="R63" s="22" t="n">
        <v>6</v>
      </c>
    </row>
    <row r="64" customFormat="false" ht="15" hidden="false" customHeight="false" outlineLevel="0" collapsed="false">
      <c r="A64" s="6" t="str">
        <f aca="false">datos_base!A11</f>
        <v>CO₂ 2 kg</v>
      </c>
      <c r="B64" s="6" t="s">
        <v>171</v>
      </c>
      <c r="C64" s="10" t="n">
        <v>1</v>
      </c>
      <c r="D64" s="10" t="n">
        <v>0</v>
      </c>
      <c r="E64" s="9" t="n">
        <f aca="false">IF(SUM(PROY_Indexado!$B$66:$H$66)=0,1/12,(PROY_Indexado!$B$66*E$35+PROY_Indexado!$C$66*E$36+PROY_Indexado!$D$66*E$37+PROY_Indexado!$E$66*E$38+PROY_Indexado!$F$66*E$39+PROY_Indexado!$G$66*E$40+PROY_Indexado!$H$66*E$41)/SUM(PROY_Indexado!$B$66:$H$66))</f>
        <v>0.0616150736413202</v>
      </c>
      <c r="F64" s="9" t="n">
        <f aca="false">IF(SUM(PROY_Indexado!$B$66:$H$66)=0,1/12,(PROY_Indexado!$B$66*F$35+PROY_Indexado!$C$66*F$36+PROY_Indexado!$D$66*F$37+PROY_Indexado!$E$66*F$38+PROY_Indexado!$F$66*F$39+PROY_Indexado!$G$66*F$40+PROY_Indexado!$H$66*F$41)/SUM(PROY_Indexado!$B$66:$H$66))</f>
        <v>0.0616150736413202</v>
      </c>
      <c r="G64" s="9" t="n">
        <f aca="false">IF(SUM(PROY_Indexado!$B$66:$H$66)=0,1/12,(PROY_Indexado!$B$66*G$35+PROY_Indexado!$C$66*G$36+PROY_Indexado!$D$66*G$37+PROY_Indexado!$E$66*G$38+PROY_Indexado!$F$66*G$39+PROY_Indexado!$G$66*G$40+PROY_Indexado!$H$66*G$41)/SUM(PROY_Indexado!$B$66:$H$66))</f>
        <v>0.0829453490803136</v>
      </c>
      <c r="H64" s="9" t="n">
        <f aca="false">IF(SUM(PROY_Indexado!$B$66:$H$66)=0,1/12,(PROY_Indexado!$B$66*H$35+PROY_Indexado!$C$66*H$36+PROY_Indexado!$D$66*H$37+PROY_Indexado!$E$66*H$38+PROY_Indexado!$F$66*H$39+PROY_Indexado!$G$66*H$40+PROY_Indexado!$H$66*H$41)/SUM(PROY_Indexado!$B$66:$H$66))</f>
        <v>0.103007646651263</v>
      </c>
      <c r="I64" s="9" t="n">
        <f aca="false">IF(SUM(PROY_Indexado!$B$66:$H$66)=0,1/12,(PROY_Indexado!$B$66*I$35+PROY_Indexado!$C$66*I$36+PROY_Indexado!$D$66*I$37+PROY_Indexado!$E$66*I$38+PROY_Indexado!$F$66*I$39+PROY_Indexado!$G$66*I$40+PROY_Indexado!$H$66*I$41)/SUM(PROY_Indexado!$B$66:$H$66))</f>
        <v>0.103425871740429</v>
      </c>
      <c r="J64" s="9" t="n">
        <f aca="false">IF(SUM(PROY_Indexado!$B$66:$H$66)=0,1/12,(PROY_Indexado!$B$66*J$35+PROY_Indexado!$C$66*J$36+PROY_Indexado!$D$66*J$37+PROY_Indexado!$E$66*J$38+PROY_Indexado!$F$66*J$39+PROY_Indexado!$G$66*J$40+PROY_Indexado!$H$66*J$41)/SUM(PROY_Indexado!$B$66:$H$66))</f>
        <v>0.102109899624234</v>
      </c>
      <c r="K64" s="9" t="n">
        <f aca="false">IF(SUM(PROY_Indexado!$B$66:$H$66)=0,1/12,(PROY_Indexado!$B$66*K$35+PROY_Indexado!$C$66*K$36+PROY_Indexado!$D$66*K$37+PROY_Indexado!$E$66*K$38+PROY_Indexado!$F$66*K$39+PROY_Indexado!$G$66*K$40+PROY_Indexado!$H$66*K$41)/SUM(PROY_Indexado!$B$66:$H$66))</f>
        <v>0.0801282894274162</v>
      </c>
      <c r="L64" s="9" t="n">
        <f aca="false">IF(SUM(PROY_Indexado!$B$66:$H$66)=0,1/12,(PROY_Indexado!$B$66*L$35+PROY_Indexado!$C$66*L$36+PROY_Indexado!$D$66*L$37+PROY_Indexado!$E$66*L$38+PROY_Indexado!$F$66*L$39+PROY_Indexado!$G$66*L$40+PROY_Indexado!$H$66*L$41)/SUM(PROY_Indexado!$B$66:$H$66))</f>
        <v>0.079881877158212</v>
      </c>
      <c r="M64" s="9" t="n">
        <f aca="false">IF(SUM(PROY_Indexado!$B$66:$H$66)=0,1/12,(PROY_Indexado!$B$66*M$35+PROY_Indexado!$C$66*M$36+PROY_Indexado!$D$66*M$37+PROY_Indexado!$E$66*M$38+PROY_Indexado!$F$66*M$39+PROY_Indexado!$G$66*M$40+PROY_Indexado!$H$66*M$41)/SUM(PROY_Indexado!$B$66:$H$66))</f>
        <v>0.081197849274407</v>
      </c>
      <c r="N64" s="9" t="n">
        <f aca="false">IF(SUM(PROY_Indexado!$B$66:$H$66)=0,1/12,(PROY_Indexado!$B$66*N$35+PROY_Indexado!$C$66*N$36+PROY_Indexado!$D$66*N$37+PROY_Indexado!$E$66*N$38+PROY_Indexado!$F$66*N$39+PROY_Indexado!$G$66*N$40+PROY_Indexado!$H$66*N$41)/SUM(PROY_Indexado!$B$66:$H$66))</f>
        <v>0.081197849274407</v>
      </c>
      <c r="O64" s="9" t="n">
        <f aca="false">IF(SUM(PROY_Indexado!$B$66:$H$66)=0,1/12,(PROY_Indexado!$B$66*O$35+PROY_Indexado!$C$66*O$36+PROY_Indexado!$D$66*O$37+PROY_Indexado!$E$66*O$38+PROY_Indexado!$F$66*O$39+PROY_Indexado!$G$66*O$40+PROY_Indexado!$H$66*O$41)/SUM(PROY_Indexado!$B$66:$H$66))</f>
        <v>0.080779624185241</v>
      </c>
      <c r="P64" s="9" t="n">
        <f aca="false">IF(SUM(PROY_Indexado!$B$66:$H$66)=0,1/12,(PROY_Indexado!$B$66*P$35+PROY_Indexado!$C$66*P$36+PROY_Indexado!$D$66*P$37+PROY_Indexado!$E$66*P$38+PROY_Indexado!$F$66*P$39+PROY_Indexado!$G$66*P$40+PROY_Indexado!$H$66*P$41)/SUM(PROY_Indexado!$B$66:$H$66))</f>
        <v>0.082095596301436</v>
      </c>
      <c r="Q64" s="13" t="n">
        <f aca="false">MAX(E64:P64)</f>
        <v>0.103425871740429</v>
      </c>
      <c r="R64" s="22" t="n">
        <v>2</v>
      </c>
    </row>
    <row r="65" customFormat="false" ht="15" hidden="false" customHeight="false" outlineLevel="0" collapsed="false">
      <c r="A65" s="6" t="str">
        <f aca="false">datos_base!A12</f>
        <v>CO₂ 5 kg</v>
      </c>
      <c r="B65" s="6" t="s">
        <v>171</v>
      </c>
      <c r="C65" s="10" t="n">
        <v>1</v>
      </c>
      <c r="D65" s="10" t="n">
        <v>1</v>
      </c>
      <c r="E65" s="9" t="n">
        <f aca="false">IF(SUM(PROY_Indexado!$B$67:$H$67)=0,1/12,(PROY_Indexado!$B$67*E$35+PROY_Indexado!$C$67*E$36+PROY_Indexado!$D$67*E$37+PROY_Indexado!$E$67*E$38+PROY_Indexado!$F$67*E$39+PROY_Indexado!$G$67*E$40+PROY_Indexado!$H$67*E$41)/SUM(PROY_Indexado!$B$67:$H$67))</f>
        <v>0.0761848278176029</v>
      </c>
      <c r="F65" s="9" t="n">
        <f aca="false">IF(SUM(PROY_Indexado!$B$67:$H$67)=0,1/12,(PROY_Indexado!$B$67*F$35+PROY_Indexado!$C$67*F$36+PROY_Indexado!$D$67*F$37+PROY_Indexado!$E$67*F$38+PROY_Indexado!$F$67*F$39+PROY_Indexado!$G$67*F$40+PROY_Indexado!$H$67*F$41)/SUM(PROY_Indexado!$B$67:$H$67))</f>
        <v>0.0761848278176029</v>
      </c>
      <c r="G65" s="9" t="n">
        <f aca="false">IF(SUM(PROY_Indexado!$B$67:$H$67)=0,1/12,(PROY_Indexado!$B$67*G$35+PROY_Indexado!$C$67*G$36+PROY_Indexado!$D$67*G$37+PROY_Indexado!$E$67*G$38+PROY_Indexado!$F$67*G$39+PROY_Indexado!$G$67*G$40+PROY_Indexado!$H$67*G$41)/SUM(PROY_Indexado!$B$67:$H$67))</f>
        <v>0.0826686065765467</v>
      </c>
      <c r="H65" s="9" t="n">
        <f aca="false">IF(SUM(PROY_Indexado!$B$67:$H$67)=0,1/12,(PROY_Indexado!$B$67*H$35+PROY_Indexado!$C$67*H$36+PROY_Indexado!$D$67*H$37+PROY_Indexado!$E$67*H$38+PROY_Indexado!$F$67*H$39+PROY_Indexado!$G$67*H$40+PROY_Indexado!$H$67*H$41)/SUM(PROY_Indexado!$B$67:$H$67))</f>
        <v>0.0916518877640263</v>
      </c>
      <c r="I65" s="9" t="n">
        <f aca="false">IF(SUM(PROY_Indexado!$B$67:$H$67)=0,1/12,(PROY_Indexado!$B$67*I$35+PROY_Indexado!$C$67*I$36+PROY_Indexado!$D$67*I$37+PROY_Indexado!$E$67*I$38+PROY_Indexado!$F$67*I$39+PROY_Indexado!$G$67*I$40+PROY_Indexado!$H$67*I$41)/SUM(PROY_Indexado!$B$67:$H$67))</f>
        <v>0.0931955183643168</v>
      </c>
      <c r="J65" s="9" t="n">
        <f aca="false">IF(SUM(PROY_Indexado!$B$67:$H$67)=0,1/12,(PROY_Indexado!$B$67*J$35+PROY_Indexado!$C$67*J$36+PROY_Indexado!$D$67*J$37+PROY_Indexado!$E$67*J$38+PROY_Indexado!$F$67*J$39+PROY_Indexado!$G$67*J$40+PROY_Indexado!$H$67*J$41)/SUM(PROY_Indexado!$B$67:$H$67))</f>
        <v>0.0888541224858191</v>
      </c>
      <c r="K65" s="9" t="n">
        <f aca="false">IF(SUM(PROY_Indexado!$B$67:$H$67)=0,1/12,(PROY_Indexado!$B$67*K$35+PROY_Indexado!$C$67*K$36+PROY_Indexado!$D$67*K$37+PROY_Indexado!$E$67*K$38+PROY_Indexado!$F$67*K$39+PROY_Indexado!$G$67*K$40+PROY_Indexado!$H$67*K$41)/SUM(PROY_Indexado!$B$67:$H$67))</f>
        <v>0.0784912986070083</v>
      </c>
      <c r="L65" s="9" t="n">
        <f aca="false">IF(SUM(PROY_Indexado!$B$67:$H$67)=0,1/12,(PROY_Indexado!$B$67*L$35+PROY_Indexado!$C$67*L$36+PROY_Indexado!$D$67*L$37+PROY_Indexado!$E$67*L$38+PROY_Indexado!$F$67*L$39+PROY_Indexado!$G$67*L$40+PROY_Indexado!$H$67*L$41)/SUM(PROY_Indexado!$B$67:$H$67))</f>
        <v>0.0795725784486681</v>
      </c>
      <c r="M65" s="9" t="n">
        <f aca="false">IF(SUM(PROY_Indexado!$B$67:$H$67)=0,1/12,(PROY_Indexado!$B$67*M$35+PROY_Indexado!$C$67*M$36+PROY_Indexado!$D$67*M$37+PROY_Indexado!$E$67*M$38+PROY_Indexado!$F$67*M$39+PROY_Indexado!$G$67*M$40+PROY_Indexado!$H$67*M$41)/SUM(PROY_Indexado!$B$67:$H$67))</f>
        <v>0.0829855493601231</v>
      </c>
      <c r="N65" s="9" t="n">
        <f aca="false">IF(SUM(PROY_Indexado!$B$67:$H$67)=0,1/12,(PROY_Indexado!$B$67*N$35+PROY_Indexado!$C$67*N$36+PROY_Indexado!$D$67*N$37+PROY_Indexado!$E$67*N$38+PROY_Indexado!$F$67*N$39+PROY_Indexado!$G$67*N$40+PROY_Indexado!$H$67*N$41)/SUM(PROY_Indexado!$B$67:$H$67))</f>
        <v>0.0829855493601231</v>
      </c>
      <c r="O65" s="9" t="n">
        <f aca="false">IF(SUM(PROY_Indexado!$B$67:$H$67)=0,1/12,(PROY_Indexado!$B$67*O$35+PROY_Indexado!$C$67*O$36+PROY_Indexado!$D$67*O$37+PROY_Indexado!$E$67*O$38+PROY_Indexado!$F$67*O$39+PROY_Indexado!$G$67*O$40+PROY_Indexado!$H$67*O$41)/SUM(PROY_Indexado!$B$67:$H$67))</f>
        <v>0.0814419187598326</v>
      </c>
      <c r="P65" s="9" t="n">
        <f aca="false">IF(SUM(PROY_Indexado!$B$67:$H$67)=0,1/12,(PROY_Indexado!$B$67*P$35+PROY_Indexado!$C$67*P$36+PROY_Indexado!$D$67*P$37+PROY_Indexado!$E$67*P$38+PROY_Indexado!$F$67*P$39+PROY_Indexado!$G$67*P$40+PROY_Indexado!$H$67*P$41)/SUM(PROY_Indexado!$B$67:$H$67))</f>
        <v>0.0857833146383303</v>
      </c>
      <c r="Q65" s="13" t="n">
        <f aca="false">MAX(E65:P65)</f>
        <v>0.0931955183643168</v>
      </c>
      <c r="R65" s="22" t="n">
        <v>5</v>
      </c>
    </row>
    <row r="66" customFormat="false" ht="15" hidden="false" customHeight="false" outlineLevel="0" collapsed="false">
      <c r="A66" s="6" t="str">
        <f aca="false">datos_base!A13</f>
        <v>HCFC/HFC 5 kg</v>
      </c>
      <c r="B66" s="6" t="s">
        <v>172</v>
      </c>
      <c r="C66" s="10" t="n">
        <v>1</v>
      </c>
      <c r="D66" s="10" t="n">
        <v>0</v>
      </c>
      <c r="E66" s="9" t="n">
        <f aca="false">IF(SUM(PROY_Indexado!$B$68:$H$68)=0,1/12,(PROY_Indexado!$B$68*E$35+PROY_Indexado!$C$68*E$36+PROY_Indexado!$D$68*E$37+PROY_Indexado!$E$68*E$38+PROY_Indexado!$F$68*E$39+PROY_Indexado!$G$68*E$40+PROY_Indexado!$H$68*E$41)/SUM(PROY_Indexado!$B$68:$H$68))</f>
        <v>0.0890943915723948</v>
      </c>
      <c r="F66" s="9" t="n">
        <f aca="false">IF(SUM(PROY_Indexado!$B$68:$H$68)=0,1/12,(PROY_Indexado!$B$68*F$35+PROY_Indexado!$C$68*F$36+PROY_Indexado!$D$68*F$37+PROY_Indexado!$E$68*F$38+PROY_Indexado!$F$68*F$39+PROY_Indexado!$G$68*F$40+PROY_Indexado!$H$68*F$41)/SUM(PROY_Indexado!$B$68:$H$68))</f>
        <v>0.0890943915723948</v>
      </c>
      <c r="G66" s="9" t="n">
        <f aca="false">IF(SUM(PROY_Indexado!$B$68:$H$68)=0,1/12,(PROY_Indexado!$B$68*G$35+PROY_Indexado!$C$68*G$36+PROY_Indexado!$D$68*G$37+PROY_Indexado!$E$68*G$38+PROY_Indexado!$F$68*G$39+PROY_Indexado!$G$68*G$40+PROY_Indexado!$H$68*G$41)/SUM(PROY_Indexado!$B$68:$H$68))</f>
        <v>0.0833333333333333</v>
      </c>
      <c r="H66" s="9" t="n">
        <f aca="false">IF(SUM(PROY_Indexado!$B$68:$H$68)=0,1/12,(PROY_Indexado!$B$68*H$35+PROY_Indexado!$C$68*H$36+PROY_Indexado!$D$68*H$37+PROY_Indexado!$E$68*H$38+PROY_Indexado!$F$68*H$39+PROY_Indexado!$G$68*H$40+PROY_Indexado!$H$68*H$41)/SUM(PROY_Indexado!$B$68:$H$68))</f>
        <v>0.0833333333333333</v>
      </c>
      <c r="I66" s="9" t="n">
        <f aca="false">IF(SUM(PROY_Indexado!$B$68:$H$68)=0,1/12,(PROY_Indexado!$B$68*I$35+PROY_Indexado!$C$68*I$36+PROY_Indexado!$D$68*I$37+PROY_Indexado!$E$68*I$38+PROY_Indexado!$F$68*I$39+PROY_Indexado!$G$68*I$40+PROY_Indexado!$H$68*I$41)/SUM(PROY_Indexado!$B$68:$H$68))</f>
        <v>0.0833333333333333</v>
      </c>
      <c r="J66" s="9" t="n">
        <f aca="false">IF(SUM(PROY_Indexado!$B$68:$H$68)=0,1/12,(PROY_Indexado!$B$68*J$35+PROY_Indexado!$C$68*J$36+PROY_Indexado!$D$68*J$37+PROY_Indexado!$E$68*J$38+PROY_Indexado!$F$68*J$39+PROY_Indexado!$G$68*J$40+PROY_Indexado!$H$68*J$41)/SUM(PROY_Indexado!$B$68:$H$68))</f>
        <v>0.0775722750942719</v>
      </c>
      <c r="K66" s="9" t="n">
        <f aca="false">IF(SUM(PROY_Indexado!$B$68:$H$68)=0,1/12,(PROY_Indexado!$B$68*K$35+PROY_Indexado!$C$68*K$36+PROY_Indexado!$D$68*K$37+PROY_Indexado!$E$68*K$38+PROY_Indexado!$F$68*K$39+PROY_Indexado!$G$68*K$40+PROY_Indexado!$H$68*K$41)/SUM(PROY_Indexado!$B$68:$H$68))</f>
        <v>0.0775722750942719</v>
      </c>
      <c r="L66" s="9" t="n">
        <f aca="false">IF(SUM(PROY_Indexado!$B$68:$H$68)=0,1/12,(PROY_Indexado!$B$68*L$35+PROY_Indexado!$C$68*L$36+PROY_Indexado!$D$68*L$37+PROY_Indexado!$E$68*L$38+PROY_Indexado!$F$68*L$39+PROY_Indexado!$G$68*L$40+PROY_Indexado!$H$68*L$41)/SUM(PROY_Indexado!$B$68:$H$68))</f>
        <v>0.0775722750942719</v>
      </c>
      <c r="M66" s="9" t="n">
        <f aca="false">IF(SUM(PROY_Indexado!$B$68:$H$68)=0,1/12,(PROY_Indexado!$B$68*M$35+PROY_Indexado!$C$68*M$36+PROY_Indexado!$D$68*M$37+PROY_Indexado!$E$68*M$38+PROY_Indexado!$F$68*M$39+PROY_Indexado!$G$68*M$40+PROY_Indexado!$H$68*M$41)/SUM(PROY_Indexado!$B$68:$H$68))</f>
        <v>0.0833333333333333</v>
      </c>
      <c r="N66" s="9" t="n">
        <f aca="false">IF(SUM(PROY_Indexado!$B$68:$H$68)=0,1/12,(PROY_Indexado!$B$68*N$35+PROY_Indexado!$C$68*N$36+PROY_Indexado!$D$68*N$37+PROY_Indexado!$E$68*N$38+PROY_Indexado!$F$68*N$39+PROY_Indexado!$G$68*N$40+PROY_Indexado!$H$68*N$41)/SUM(PROY_Indexado!$B$68:$H$68))</f>
        <v>0.0833333333333333</v>
      </c>
      <c r="O66" s="9" t="n">
        <f aca="false">IF(SUM(PROY_Indexado!$B$68:$H$68)=0,1/12,(PROY_Indexado!$B$68*O$35+PROY_Indexado!$C$68*O$36+PROY_Indexado!$D$68*O$37+PROY_Indexado!$E$68*O$38+PROY_Indexado!$F$68*O$39+PROY_Indexado!$G$68*O$40+PROY_Indexado!$H$68*O$41)/SUM(PROY_Indexado!$B$68:$H$68))</f>
        <v>0.0833333333333333</v>
      </c>
      <c r="P66" s="9" t="n">
        <f aca="false">IF(SUM(PROY_Indexado!$B$68:$H$68)=0,1/12,(PROY_Indexado!$B$68*P$35+PROY_Indexado!$C$68*P$36+PROY_Indexado!$D$68*P$37+PROY_Indexado!$E$68*P$38+PROY_Indexado!$F$68*P$39+PROY_Indexado!$G$68*P$40+PROY_Indexado!$H$68*P$41)/SUM(PROY_Indexado!$B$68:$H$68))</f>
        <v>0.0890943915723948</v>
      </c>
      <c r="Q66" s="13" t="n">
        <f aca="false">MAX(E66:P66)</f>
        <v>0.0890943915723948</v>
      </c>
      <c r="R66" s="22" t="n">
        <v>5</v>
      </c>
    </row>
    <row r="67" customFormat="false" ht="15" hidden="false" customHeight="false" outlineLevel="0" collapsed="false">
      <c r="A67" s="6" t="str">
        <f aca="false">datos_base!A14</f>
        <v>Clase D 9 l</v>
      </c>
      <c r="B67" s="6" t="s">
        <v>167</v>
      </c>
      <c r="C67" s="10" t="n">
        <v>1</v>
      </c>
      <c r="D67" s="10" t="n">
        <v>0</v>
      </c>
      <c r="E67" s="9" t="n">
        <f aca="false">IF(SUM(PROY_Indexado!$B$69:$H$69)=0,1/12,(PROY_Indexado!$B$69*E$35+PROY_Indexado!$C$69*E$36+PROY_Indexado!$D$69*E$37+PROY_Indexado!$E$69*E$38+PROY_Indexado!$F$69*E$39+PROY_Indexado!$G$69*E$40+PROY_Indexado!$H$69*E$41)/SUM(PROY_Indexado!$B$69:$H$69))</f>
        <v>0.0833333333333333</v>
      </c>
      <c r="F67" s="9" t="n">
        <f aca="false">IF(SUM(PROY_Indexado!$B$69:$H$69)=0,1/12,(PROY_Indexado!$B$69*F$35+PROY_Indexado!$C$69*F$36+PROY_Indexado!$D$69*F$37+PROY_Indexado!$E$69*F$38+PROY_Indexado!$F$69*F$39+PROY_Indexado!$G$69*F$40+PROY_Indexado!$H$69*F$41)/SUM(PROY_Indexado!$B$69:$H$69))</f>
        <v>0.0833333333333333</v>
      </c>
      <c r="G67" s="9" t="n">
        <f aca="false">IF(SUM(PROY_Indexado!$B$69:$H$69)=0,1/12,(PROY_Indexado!$B$69*G$35+PROY_Indexado!$C$69*G$36+PROY_Indexado!$D$69*G$37+PROY_Indexado!$E$69*G$38+PROY_Indexado!$F$69*G$39+PROY_Indexado!$G$69*G$40+PROY_Indexado!$H$69*G$41)/SUM(PROY_Indexado!$B$69:$H$69))</f>
        <v>0.0833333333333333</v>
      </c>
      <c r="H67" s="9" t="n">
        <f aca="false">IF(SUM(PROY_Indexado!$B$69:$H$69)=0,1/12,(PROY_Indexado!$B$69*H$35+PROY_Indexado!$C$69*H$36+PROY_Indexado!$D$69*H$37+PROY_Indexado!$E$69*H$38+PROY_Indexado!$F$69*H$39+PROY_Indexado!$G$69*H$40+PROY_Indexado!$H$69*H$41)/SUM(PROY_Indexado!$B$69:$H$69))</f>
        <v>0.0833333333333333</v>
      </c>
      <c r="I67" s="9" t="n">
        <f aca="false">IF(SUM(PROY_Indexado!$B$69:$H$69)=0,1/12,(PROY_Indexado!$B$69*I$35+PROY_Indexado!$C$69*I$36+PROY_Indexado!$D$69*I$37+PROY_Indexado!$E$69*I$38+PROY_Indexado!$F$69*I$39+PROY_Indexado!$G$69*I$40+PROY_Indexado!$H$69*I$41)/SUM(PROY_Indexado!$B$69:$H$69))</f>
        <v>0.0833333333333333</v>
      </c>
      <c r="J67" s="9" t="n">
        <f aca="false">IF(SUM(PROY_Indexado!$B$69:$H$69)=0,1/12,(PROY_Indexado!$B$69*J$35+PROY_Indexado!$C$69*J$36+PROY_Indexado!$D$69*J$37+PROY_Indexado!$E$69*J$38+PROY_Indexado!$F$69*J$39+PROY_Indexado!$G$69*J$40+PROY_Indexado!$H$69*J$41)/SUM(PROY_Indexado!$B$69:$H$69))</f>
        <v>0.0833333333333333</v>
      </c>
      <c r="K67" s="9" t="n">
        <f aca="false">IF(SUM(PROY_Indexado!$B$69:$H$69)=0,1/12,(PROY_Indexado!$B$69*K$35+PROY_Indexado!$C$69*K$36+PROY_Indexado!$D$69*K$37+PROY_Indexado!$E$69*K$38+PROY_Indexado!$F$69*K$39+PROY_Indexado!$G$69*K$40+PROY_Indexado!$H$69*K$41)/SUM(PROY_Indexado!$B$69:$H$69))</f>
        <v>0.0833333333333333</v>
      </c>
      <c r="L67" s="9" t="n">
        <f aca="false">IF(SUM(PROY_Indexado!$B$69:$H$69)=0,1/12,(PROY_Indexado!$B$69*L$35+PROY_Indexado!$C$69*L$36+PROY_Indexado!$D$69*L$37+PROY_Indexado!$E$69*L$38+PROY_Indexado!$F$69*L$39+PROY_Indexado!$G$69*L$40+PROY_Indexado!$H$69*L$41)/SUM(PROY_Indexado!$B$69:$H$69))</f>
        <v>0.0833333333333333</v>
      </c>
      <c r="M67" s="9" t="n">
        <f aca="false">IF(SUM(PROY_Indexado!$B$69:$H$69)=0,1/12,(PROY_Indexado!$B$69*M$35+PROY_Indexado!$C$69*M$36+PROY_Indexado!$D$69*M$37+PROY_Indexado!$E$69*M$38+PROY_Indexado!$F$69*M$39+PROY_Indexado!$G$69*M$40+PROY_Indexado!$H$69*M$41)/SUM(PROY_Indexado!$B$69:$H$69))</f>
        <v>0.0833333333333333</v>
      </c>
      <c r="N67" s="9" t="n">
        <f aca="false">IF(SUM(PROY_Indexado!$B$69:$H$69)=0,1/12,(PROY_Indexado!$B$69*N$35+PROY_Indexado!$C$69*N$36+PROY_Indexado!$D$69*N$37+PROY_Indexado!$E$69*N$38+PROY_Indexado!$F$69*N$39+PROY_Indexado!$G$69*N$40+PROY_Indexado!$H$69*N$41)/SUM(PROY_Indexado!$B$69:$H$69))</f>
        <v>0.0833333333333333</v>
      </c>
      <c r="O67" s="9" t="n">
        <f aca="false">IF(SUM(PROY_Indexado!$B$69:$H$69)=0,1/12,(PROY_Indexado!$B$69*O$35+PROY_Indexado!$C$69*O$36+PROY_Indexado!$D$69*O$37+PROY_Indexado!$E$69*O$38+PROY_Indexado!$F$69*O$39+PROY_Indexado!$G$69*O$40+PROY_Indexado!$H$69*O$41)/SUM(PROY_Indexado!$B$69:$H$69))</f>
        <v>0.0833333333333333</v>
      </c>
      <c r="P67" s="9" t="n">
        <f aca="false">IF(SUM(PROY_Indexado!$B$69:$H$69)=0,1/12,(PROY_Indexado!$B$69*P$35+PROY_Indexado!$C$69*P$36+PROY_Indexado!$D$69*P$37+PROY_Indexado!$E$69*P$38+PROY_Indexado!$F$69*P$39+PROY_Indexado!$G$69*P$40+PROY_Indexado!$H$69*P$41)/SUM(PROY_Indexado!$B$69:$H$69))</f>
        <v>0.0833333333333333</v>
      </c>
      <c r="Q67" s="13" t="n">
        <f aca="false">MAX(E67:P67)</f>
        <v>0.0833333333333333</v>
      </c>
      <c r="R67" s="22" t="n">
        <v>9</v>
      </c>
    </row>
    <row r="68" customFormat="false" ht="15" hidden="false" customHeight="false" outlineLevel="0" collapsed="false">
      <c r="A68" s="6" t="str">
        <f aca="false">datos_base!A15</f>
        <v>ABC 25 kg s/ruedas</v>
      </c>
      <c r="B68" s="6" t="s">
        <v>165</v>
      </c>
      <c r="C68" s="18" t="n">
        <f aca="false">$B$9</f>
        <v>6.360853875</v>
      </c>
      <c r="D68" s="10" t="n">
        <v>1</v>
      </c>
      <c r="E68" s="9" t="n">
        <f aca="false">IF(SUM(PROY_Indexado!$B$70:$H$70)=0,1/12,(PROY_Indexado!$B$70*E$35+PROY_Indexado!$C$70*E$36+PROY_Indexado!$D$70*E$37+PROY_Indexado!$E$70*E$38+PROY_Indexado!$F$70*E$39+PROY_Indexado!$G$70*E$40+PROY_Indexado!$H$70*E$41)/SUM(PROY_Indexado!$B$70:$H$70))</f>
        <v>0.0741713639081832</v>
      </c>
      <c r="F68" s="9" t="n">
        <f aca="false">IF(SUM(PROY_Indexado!$B$70:$H$70)=0,1/12,(PROY_Indexado!$B$70*F$35+PROY_Indexado!$C$70*F$36+PROY_Indexado!$D$70*F$37+PROY_Indexado!$E$70*F$38+PROY_Indexado!$F$70*F$39+PROY_Indexado!$G$70*F$40+PROY_Indexado!$H$70*F$41)/SUM(PROY_Indexado!$B$70:$H$70))</f>
        <v>0.0741713639081832</v>
      </c>
      <c r="G68" s="9" t="n">
        <f aca="false">IF(SUM(PROY_Indexado!$B$70:$H$70)=0,1/12,(PROY_Indexado!$B$70*G$35+PROY_Indexado!$C$70*G$36+PROY_Indexado!$D$70*G$37+PROY_Indexado!$E$70*G$38+PROY_Indexado!$F$70*G$39+PROY_Indexado!$G$70*G$40+PROY_Indexado!$H$70*G$41)/SUM(PROY_Indexado!$B$70:$H$70))</f>
        <v>0.0826308825789044</v>
      </c>
      <c r="H68" s="9" t="n">
        <f aca="false">IF(SUM(PROY_Indexado!$B$70:$H$70)=0,1/12,(PROY_Indexado!$B$70*H$35+PROY_Indexado!$C$70*H$36+PROY_Indexado!$D$70*H$37+PROY_Indexado!$E$70*H$38+PROY_Indexado!$F$70*H$39+PROY_Indexado!$G$70*H$40+PROY_Indexado!$H$70*H$41)/SUM(PROY_Indexado!$B$70:$H$70))</f>
        <v>0.0938477438743188</v>
      </c>
      <c r="I68" s="9" t="n">
        <f aca="false">IF(SUM(PROY_Indexado!$B$70:$H$70)=0,1/12,(PROY_Indexado!$B$70*I$35+PROY_Indexado!$C$70*I$36+PROY_Indexado!$D$70*I$37+PROY_Indexado!$E$70*I$38+PROY_Indexado!$F$70*I$39+PROY_Indexado!$G$70*I$40+PROY_Indexado!$H$70*I$41)/SUM(PROY_Indexado!$B$70:$H$70))</f>
        <v>0.0943031990696216</v>
      </c>
      <c r="J68" s="9" t="n">
        <f aca="false">IF(SUM(PROY_Indexado!$B$70:$H$70)=0,1/12,(PROY_Indexado!$B$70*J$35+PROY_Indexado!$C$70*J$36+PROY_Indexado!$D$70*J$37+PROY_Indexado!$E$70*J$38+PROY_Indexado!$F$70*J$39+PROY_Indexado!$G$70*J$40+PROY_Indexado!$H$70*J$41)/SUM(PROY_Indexado!$B$70:$H$70))</f>
        <v>0.0905972862319092</v>
      </c>
      <c r="K68" s="9" t="n">
        <f aca="false">IF(SUM(PROY_Indexado!$B$70:$H$70)=0,1/12,(PROY_Indexado!$B$70*K$35+PROY_Indexado!$C$70*K$36+PROY_Indexado!$D$70*K$37+PROY_Indexado!$E$70*K$38+PROY_Indexado!$F$70*K$39+PROY_Indexado!$G$70*K$40+PROY_Indexado!$H$70*K$41)/SUM(PROY_Indexado!$B$70:$H$70))</f>
        <v>0.0782229570370311</v>
      </c>
      <c r="L68" s="9" t="n">
        <f aca="false">IF(SUM(PROY_Indexado!$B$70:$H$70)=0,1/12,(PROY_Indexado!$B$70*L$35+PROY_Indexado!$C$70*L$36+PROY_Indexado!$D$70*L$37+PROY_Indexado!$E$70*L$38+PROY_Indexado!$F$70*L$39+PROY_Indexado!$G$70*L$40+PROY_Indexado!$H$70*L$41)/SUM(PROY_Indexado!$B$70:$H$70))</f>
        <v>0.0788873099187785</v>
      </c>
      <c r="M68" s="9" t="n">
        <f aca="false">IF(SUM(PROY_Indexado!$B$70:$H$70)=0,1/12,(PROY_Indexado!$B$70*M$35+PROY_Indexado!$C$70*M$36+PROY_Indexado!$D$70*M$37+PROY_Indexado!$E$70*M$38+PROY_Indexado!$F$70*M$39+PROY_Indexado!$G$70*M$40+PROY_Indexado!$H$70*M$41)/SUM(PROY_Indexado!$B$70:$H$70))</f>
        <v>0.0825932227564908</v>
      </c>
      <c r="N68" s="9" t="n">
        <f aca="false">IF(SUM(PROY_Indexado!$B$70:$H$70)=0,1/12,(PROY_Indexado!$B$70*N$35+PROY_Indexado!$C$70*N$36+PROY_Indexado!$D$70*N$37+PROY_Indexado!$E$70*N$38+PROY_Indexado!$F$70*N$39+PROY_Indexado!$G$70*N$40+PROY_Indexado!$H$70*N$41)/SUM(PROY_Indexado!$B$70:$H$70))</f>
        <v>0.0825932227564908</v>
      </c>
      <c r="O68" s="9" t="n">
        <f aca="false">IF(SUM(PROY_Indexado!$B$70:$H$70)=0,1/12,(PROY_Indexado!$B$70*O$35+PROY_Indexado!$C$70*O$36+PROY_Indexado!$D$70*O$37+PROY_Indexado!$E$70*O$38+PROY_Indexado!$F$70*O$39+PROY_Indexado!$G$70*O$40+PROY_Indexado!$H$70*O$41)/SUM(PROY_Indexado!$B$70:$H$70))</f>
        <v>0.082137767561188</v>
      </c>
      <c r="P68" s="9" t="n">
        <f aca="false">IF(SUM(PROY_Indexado!$B$70:$H$70)=0,1/12,(PROY_Indexado!$B$70*P$35+PROY_Indexado!$C$70*P$36+PROY_Indexado!$D$70*P$37+PROY_Indexado!$E$70*P$38+PROY_Indexado!$F$70*P$39+PROY_Indexado!$G$70*P$40+PROY_Indexado!$H$70*P$41)/SUM(PROY_Indexado!$B$70:$H$70))</f>
        <v>0.0858436803989003</v>
      </c>
      <c r="Q68" s="13" t="n">
        <f aca="false">MAX(E68:P68)</f>
        <v>0.0943031990696216</v>
      </c>
      <c r="R68" s="22" t="n">
        <v>25</v>
      </c>
    </row>
    <row r="69" customFormat="false" ht="15" hidden="false" customHeight="false" outlineLevel="0" collapsed="false">
      <c r="A69" s="6" t="str">
        <f aca="false">datos_base!A16</f>
        <v>ABC 50 kg s/ruedas</v>
      </c>
      <c r="B69" s="6" t="s">
        <v>165</v>
      </c>
      <c r="C69" s="18" t="n">
        <f aca="false">$B$9</f>
        <v>6.360853875</v>
      </c>
      <c r="D69" s="10" t="n">
        <v>1</v>
      </c>
      <c r="E69" s="9" t="n">
        <f aca="false">IF(SUM(PROY_Indexado!$B$71:$H$71)=0,1/12,(PROY_Indexado!$B$71*E$35+PROY_Indexado!$C$71*E$36+PROY_Indexado!$D$71*E$37+PROY_Indexado!$E$71*E$38+PROY_Indexado!$F$71*E$39+PROY_Indexado!$G$71*E$40+PROY_Indexado!$H$71*E$41)/SUM(PROY_Indexado!$B$71:$H$71))</f>
        <v>0.0741714575622674</v>
      </c>
      <c r="F69" s="9" t="n">
        <f aca="false">IF(SUM(PROY_Indexado!$B$71:$H$71)=0,1/12,(PROY_Indexado!$B$71*F$35+PROY_Indexado!$C$71*F$36+PROY_Indexado!$D$71*F$37+PROY_Indexado!$E$71*F$38+PROY_Indexado!$F$71*F$39+PROY_Indexado!$G$71*F$40+PROY_Indexado!$H$71*F$41)/SUM(PROY_Indexado!$B$71:$H$71))</f>
        <v>0.0741714575622674</v>
      </c>
      <c r="G69" s="9" t="n">
        <f aca="false">IF(SUM(PROY_Indexado!$B$71:$H$71)=0,1/12,(PROY_Indexado!$B$71*G$35+PROY_Indexado!$C$71*G$36+PROY_Indexado!$D$71*G$37+PROY_Indexado!$E$71*G$38+PROY_Indexado!$F$71*G$39+PROY_Indexado!$G$71*G$40+PROY_Indexado!$H$71*G$41)/SUM(PROY_Indexado!$B$71:$H$71))</f>
        <v>0.08263095051887</v>
      </c>
      <c r="H69" s="9" t="n">
        <f aca="false">IF(SUM(PROY_Indexado!$B$71:$H$71)=0,1/12,(PROY_Indexado!$B$71*H$35+PROY_Indexado!$C$71*H$36+PROY_Indexado!$D$71*H$37+PROY_Indexado!$E$71*H$38+PROY_Indexado!$F$71*H$39+PROY_Indexado!$G$71*H$40+PROY_Indexado!$H$71*H$41)/SUM(PROY_Indexado!$B$71:$H$71))</f>
        <v>0.0938477343304375</v>
      </c>
      <c r="I69" s="9" t="n">
        <f aca="false">IF(SUM(PROY_Indexado!$B$71:$H$71)=0,1/12,(PROY_Indexado!$B$71*I$35+PROY_Indexado!$C$71*I$36+PROY_Indexado!$D$71*I$37+PROY_Indexado!$E$71*I$38+PROY_Indexado!$F$71*I$39+PROY_Indexado!$G$71*I$40+PROY_Indexado!$H$71*I$41)/SUM(PROY_Indexado!$B$71:$H$71))</f>
        <v>0.0943030721576538</v>
      </c>
      <c r="J69" s="9" t="n">
        <f aca="false">IF(SUM(PROY_Indexado!$B$71:$H$71)=0,1/12,(PROY_Indexado!$B$71*J$35+PROY_Indexado!$C$71*J$36+PROY_Indexado!$D$71*J$37+PROY_Indexado!$E$71*J$38+PROY_Indexado!$F$71*J$39+PROY_Indexado!$G$71*J$40+PROY_Indexado!$H$71*J$41)/SUM(PROY_Indexado!$B$71:$H$71))</f>
        <v>0.0905972613831472</v>
      </c>
      <c r="K69" s="9" t="n">
        <f aca="false">IF(SUM(PROY_Indexado!$B$71:$H$71)=0,1/12,(PROY_Indexado!$B$71*K$35+PROY_Indexado!$C$71*K$36+PROY_Indexado!$D$71*K$37+PROY_Indexado!$E$71*K$38+PROY_Indexado!$F$71*K$39+PROY_Indexado!$G$71*K$40+PROY_Indexado!$H$71*K$41)/SUM(PROY_Indexado!$B$71:$H$71))</f>
        <v>0.0782232108709845</v>
      </c>
      <c r="L69" s="9" t="n">
        <f aca="false">IF(SUM(PROY_Indexado!$B$71:$H$71)=0,1/12,(PROY_Indexado!$B$71*L$35+PROY_Indexado!$C$71*L$36+PROY_Indexado!$D$71*L$37+PROY_Indexado!$E$71*L$38+PROY_Indexado!$F$71*L$39+PROY_Indexado!$G$71*L$40+PROY_Indexado!$H$71*L$41)/SUM(PROY_Indexado!$B$71:$H$71))</f>
        <v>0.0788872954792544</v>
      </c>
      <c r="M69" s="9" t="n">
        <f aca="false">IF(SUM(PROY_Indexado!$B$71:$H$71)=0,1/12,(PROY_Indexado!$B$71*M$35+PROY_Indexado!$C$71*M$36+PROY_Indexado!$D$71*M$37+PROY_Indexado!$E$71*M$38+PROY_Indexado!$F$71*M$39+PROY_Indexado!$G$71*M$40+PROY_Indexado!$H$71*M$41)/SUM(PROY_Indexado!$B$71:$H$71))</f>
        <v>0.082593106253761</v>
      </c>
      <c r="N69" s="9" t="n">
        <f aca="false">IF(SUM(PROY_Indexado!$B$71:$H$71)=0,1/12,(PROY_Indexado!$B$71*N$35+PROY_Indexado!$C$71*N$36+PROY_Indexado!$D$71*N$37+PROY_Indexado!$E$71*N$38+PROY_Indexado!$F$71*N$39+PROY_Indexado!$G$71*N$40+PROY_Indexado!$H$71*N$41)/SUM(PROY_Indexado!$B$71:$H$71))</f>
        <v>0.082593106253761</v>
      </c>
      <c r="O69" s="9" t="n">
        <f aca="false">IF(SUM(PROY_Indexado!$B$71:$H$71)=0,1/12,(PROY_Indexado!$B$71*O$35+PROY_Indexado!$C$71*O$36+PROY_Indexado!$D$71*O$37+PROY_Indexado!$E$71*O$38+PROY_Indexado!$F$71*O$39+PROY_Indexado!$G$71*O$40+PROY_Indexado!$H$71*O$41)/SUM(PROY_Indexado!$B$71:$H$71))</f>
        <v>0.0821377684265447</v>
      </c>
      <c r="P69" s="9" t="n">
        <f aca="false">IF(SUM(PROY_Indexado!$B$71:$H$71)=0,1/12,(PROY_Indexado!$B$71*P$35+PROY_Indexado!$C$71*P$36+PROY_Indexado!$D$71*P$37+PROY_Indexado!$E$71*P$38+PROY_Indexado!$F$71*P$39+PROY_Indexado!$G$71*P$40+PROY_Indexado!$H$71*P$41)/SUM(PROY_Indexado!$B$71:$H$71))</f>
        <v>0.0858435792010512</v>
      </c>
      <c r="Q69" s="13" t="n">
        <f aca="false">MAX(E69:P69)</f>
        <v>0.0943030721576538</v>
      </c>
      <c r="R69" s="22" t="n">
        <v>50</v>
      </c>
    </row>
    <row r="70" customFormat="false" ht="15" hidden="false" customHeight="false" outlineLevel="0" collapsed="false">
      <c r="A70" s="6" t="str">
        <f aca="false">datos_base!A17</f>
        <v>ABC 70 kg s/ruedas</v>
      </c>
      <c r="B70" s="6" t="s">
        <v>165</v>
      </c>
      <c r="C70" s="18" t="n">
        <f aca="false">$B$9</f>
        <v>6.360853875</v>
      </c>
      <c r="D70" s="10" t="n">
        <v>1</v>
      </c>
      <c r="E70" s="9" t="n">
        <f aca="false">IF(SUM(PROY_Indexado!$B$72:$H$72)=0,1/12,(PROY_Indexado!$B$72*E$35+PROY_Indexado!$C$72*E$36+PROY_Indexado!$D$72*E$37+PROY_Indexado!$E$72*E$38+PROY_Indexado!$F$72*E$39+PROY_Indexado!$G$72*E$40+PROY_Indexado!$H$72*E$41)/SUM(PROY_Indexado!$B$72:$H$72))</f>
        <v>0.0741714711262728</v>
      </c>
      <c r="F70" s="9" t="n">
        <f aca="false">IF(SUM(PROY_Indexado!$B$72:$H$72)=0,1/12,(PROY_Indexado!$B$72*F$35+PROY_Indexado!$C$72*F$36+PROY_Indexado!$D$72*F$37+PROY_Indexado!$E$72*F$38+PROY_Indexado!$F$72*F$39+PROY_Indexado!$G$72*F$40+PROY_Indexado!$H$72*F$41)/SUM(PROY_Indexado!$B$72:$H$72))</f>
        <v>0.0741714711262728</v>
      </c>
      <c r="G70" s="9" t="n">
        <f aca="false">IF(SUM(PROY_Indexado!$B$72:$H$72)=0,1/12,(PROY_Indexado!$B$72*G$35+PROY_Indexado!$C$72*G$36+PROY_Indexado!$D$72*G$37+PROY_Indexado!$E$72*G$38+PROY_Indexado!$F$72*G$39+PROY_Indexado!$G$72*G$40+PROY_Indexado!$H$72*G$41)/SUM(PROY_Indexado!$B$72:$H$72))</f>
        <v>0.0826308668449537</v>
      </c>
      <c r="H70" s="9" t="n">
        <f aca="false">IF(SUM(PROY_Indexado!$B$72:$H$72)=0,1/12,(PROY_Indexado!$B$72*H$35+PROY_Indexado!$C$72*H$36+PROY_Indexado!$D$72*H$37+PROY_Indexado!$E$72*H$38+PROY_Indexado!$F$72*H$39+PROY_Indexado!$G$72*H$40+PROY_Indexado!$H$72*H$41)/SUM(PROY_Indexado!$B$72:$H$72))</f>
        <v>0.0938479481909226</v>
      </c>
      <c r="I70" s="9" t="n">
        <f aca="false">IF(SUM(PROY_Indexado!$B$72:$H$72)=0,1/12,(PROY_Indexado!$B$72*I$35+PROY_Indexado!$C$72*I$36+PROY_Indexado!$D$72*I$37+PROY_Indexado!$E$72*I$38+PROY_Indexado!$F$72*I$39+PROY_Indexado!$G$72*I$40+PROY_Indexado!$H$72*I$41)/SUM(PROY_Indexado!$B$72:$H$72))</f>
        <v>0.0943030828496681</v>
      </c>
      <c r="J70" s="9" t="n">
        <f aca="false">IF(SUM(PROY_Indexado!$B$72:$H$72)=0,1/12,(PROY_Indexado!$B$72*J$35+PROY_Indexado!$C$72*J$36+PROY_Indexado!$D$72*J$37+PROY_Indexado!$E$72*J$38+PROY_Indexado!$F$72*J$39+PROY_Indexado!$G$72*J$40+PROY_Indexado!$H$72*J$41)/SUM(PROY_Indexado!$B$72:$H$72))</f>
        <v>0.0905972288565807</v>
      </c>
      <c r="K70" s="9" t="n">
        <f aca="false">IF(SUM(PROY_Indexado!$B$72:$H$72)=0,1/12,(PROY_Indexado!$B$72*K$35+PROY_Indexado!$C$72*K$36+PROY_Indexado!$D$72*K$37+PROY_Indexado!$E$72*K$38+PROY_Indexado!$F$72*K$39+PROY_Indexado!$G$72*K$40+PROY_Indexado!$H$72*K$41)/SUM(PROY_Indexado!$B$72:$H$72))</f>
        <v>0.0782233613395939</v>
      </c>
      <c r="L70" s="9" t="n">
        <f aca="false">IF(SUM(PROY_Indexado!$B$72:$H$72)=0,1/12,(PROY_Indexado!$B$72*L$35+PROY_Indexado!$C$72*L$36+PROY_Indexado!$D$72*L$37+PROY_Indexado!$E$72*L$38+PROY_Indexado!$F$72*L$39+PROY_Indexado!$G$72*L$40+PROY_Indexado!$H$72*L$41)/SUM(PROY_Indexado!$B$72:$H$72))</f>
        <v>0.0788871138035579</v>
      </c>
      <c r="M70" s="9" t="n">
        <f aca="false">IF(SUM(PROY_Indexado!$B$72:$H$72)=0,1/12,(PROY_Indexado!$B$72*M$35+PROY_Indexado!$C$72*M$36+PROY_Indexado!$D$72*M$37+PROY_Indexado!$E$72*M$38+PROY_Indexado!$F$72*M$39+PROY_Indexado!$G$72*M$40+PROY_Indexado!$H$72*M$41)/SUM(PROY_Indexado!$B$72:$H$72))</f>
        <v>0.0825929677966453</v>
      </c>
      <c r="N70" s="9" t="n">
        <f aca="false">IF(SUM(PROY_Indexado!$B$72:$H$72)=0,1/12,(PROY_Indexado!$B$72*N$35+PROY_Indexado!$C$72*N$36+PROY_Indexado!$D$72*N$37+PROY_Indexado!$E$72*N$38+PROY_Indexado!$F$72*N$39+PROY_Indexado!$G$72*N$40+PROY_Indexado!$H$72*N$41)/SUM(PROY_Indexado!$B$72:$H$72))</f>
        <v>0.0825929677966453</v>
      </c>
      <c r="O70" s="9" t="n">
        <f aca="false">IF(SUM(PROY_Indexado!$B$72:$H$72)=0,1/12,(PROY_Indexado!$B$72*O$35+PROY_Indexado!$C$72*O$36+PROY_Indexado!$D$72*O$37+PROY_Indexado!$E$72*O$38+PROY_Indexado!$F$72*O$39+PROY_Indexado!$G$72*O$40+PROY_Indexado!$H$72*O$41)/SUM(PROY_Indexado!$B$72:$H$72))</f>
        <v>0.0821378331378998</v>
      </c>
      <c r="P70" s="9" t="n">
        <f aca="false">IF(SUM(PROY_Indexado!$B$72:$H$72)=0,1/12,(PROY_Indexado!$B$72*P$35+PROY_Indexado!$C$72*P$36+PROY_Indexado!$D$72*P$37+PROY_Indexado!$E$72*P$38+PROY_Indexado!$F$72*P$39+PROY_Indexado!$G$72*P$40+PROY_Indexado!$H$72*P$41)/SUM(PROY_Indexado!$B$72:$H$72))</f>
        <v>0.0858436871309872</v>
      </c>
      <c r="Q70" s="13" t="n">
        <f aca="false">MAX(E70:P70)</f>
        <v>0.0943030828496681</v>
      </c>
      <c r="R70" s="22" t="n">
        <v>70</v>
      </c>
    </row>
    <row r="71" customFormat="false" ht="15" hidden="false" customHeight="false" outlineLevel="0" collapsed="false">
      <c r="A71" s="6" t="str">
        <f aca="false">datos_base!A18</f>
        <v>ABC 100 kg s/ruedas</v>
      </c>
      <c r="B71" s="6" t="s">
        <v>165</v>
      </c>
      <c r="C71" s="18" t="n">
        <f aca="false">$B$9</f>
        <v>6.360853875</v>
      </c>
      <c r="D71" s="10" t="n">
        <v>1</v>
      </c>
      <c r="E71" s="9" t="n">
        <f aca="false">IF(SUM(PROY_Indexado!$B$73:$H$73)=0,1/12,(PROY_Indexado!$B$73*E$35+PROY_Indexado!$C$73*E$36+PROY_Indexado!$D$73*E$37+PROY_Indexado!$E$73*E$38+PROY_Indexado!$F$73*E$39+PROY_Indexado!$G$73*E$40+PROY_Indexado!$H$73*E$41)/SUM(PROY_Indexado!$B$73:$H$73))</f>
        <v>0.0741721346584101</v>
      </c>
      <c r="F71" s="9" t="n">
        <f aca="false">IF(SUM(PROY_Indexado!$B$73:$H$73)=0,1/12,(PROY_Indexado!$B$73*F$35+PROY_Indexado!$C$73*F$36+PROY_Indexado!$D$73*F$37+PROY_Indexado!$E$73*F$38+PROY_Indexado!$F$73*F$39+PROY_Indexado!$G$73*F$40+PROY_Indexado!$H$73*F$41)/SUM(PROY_Indexado!$B$73:$H$73))</f>
        <v>0.0741721346584101</v>
      </c>
      <c r="G71" s="9" t="n">
        <f aca="false">IF(SUM(PROY_Indexado!$B$73:$H$73)=0,1/12,(PROY_Indexado!$B$73*G$35+PROY_Indexado!$C$73*G$36+PROY_Indexado!$D$73*G$37+PROY_Indexado!$E$73*G$38+PROY_Indexado!$F$73*G$39+PROY_Indexado!$G$73*G$40+PROY_Indexado!$H$73*G$41)/SUM(PROY_Indexado!$B$73:$H$73))</f>
        <v>0.0826312550911103</v>
      </c>
      <c r="H71" s="9" t="n">
        <f aca="false">IF(SUM(PROY_Indexado!$B$73:$H$73)=0,1/12,(PROY_Indexado!$B$73*H$35+PROY_Indexado!$C$73*H$36+PROY_Indexado!$D$73*H$37+PROY_Indexado!$E$73*H$38+PROY_Indexado!$F$73*H$39+PROY_Indexado!$G$73*H$40+PROY_Indexado!$H$73*H$41)/SUM(PROY_Indexado!$B$73:$H$73))</f>
        <v>0.0938475454254633</v>
      </c>
      <c r="I71" s="9" t="n">
        <f aca="false">IF(SUM(PROY_Indexado!$B$73:$H$73)=0,1/12,(PROY_Indexado!$B$73*I$35+PROY_Indexado!$C$73*I$36+PROY_Indexado!$D$73*I$37+PROY_Indexado!$E$73*I$38+PROY_Indexado!$F$73*I$39+PROY_Indexado!$G$73*I$40+PROY_Indexado!$H$73*I$41)/SUM(PROY_Indexado!$B$73:$H$73))</f>
        <v>0.0943026800842088</v>
      </c>
      <c r="J71" s="9" t="n">
        <f aca="false">IF(SUM(PROY_Indexado!$B$73:$H$73)=0,1/12,(PROY_Indexado!$B$73*J$35+PROY_Indexado!$C$73*J$36+PROY_Indexado!$D$73*J$37+PROY_Indexado!$E$73*J$38+PROY_Indexado!$F$73*J$39+PROY_Indexado!$G$73*J$40+PROY_Indexado!$H$73*J$41)/SUM(PROY_Indexado!$B$73:$H$73))</f>
        <v>0.0905968260911214</v>
      </c>
      <c r="K71" s="9" t="n">
        <f aca="false">IF(SUM(PROY_Indexado!$B$73:$H$73)=0,1/12,(PROY_Indexado!$B$73*K$35+PROY_Indexado!$C$73*K$36+PROY_Indexado!$D$73*K$37+PROY_Indexado!$E$73*K$38+PROY_Indexado!$F$73*K$39+PROY_Indexado!$G$73*K$40+PROY_Indexado!$H$73*K$41)/SUM(PROY_Indexado!$B$73:$H$73))</f>
        <v>0.0782234917229329</v>
      </c>
      <c r="L71" s="9" t="n">
        <f aca="false">IF(SUM(PROY_Indexado!$B$73:$H$73)=0,1/12,(PROY_Indexado!$B$73*L$35+PROY_Indexado!$C$73*L$36+PROY_Indexado!$D$73*L$37+PROY_Indexado!$E$73*L$38+PROY_Indexado!$F$73*L$39+PROY_Indexado!$G$73*L$40+PROY_Indexado!$H$73*L$41)/SUM(PROY_Indexado!$B$73:$H$73))</f>
        <v>0.0788869863240794</v>
      </c>
      <c r="M71" s="9" t="n">
        <f aca="false">IF(SUM(PROY_Indexado!$B$73:$H$73)=0,1/12,(PROY_Indexado!$B$73*M$35+PROY_Indexado!$C$73*M$36+PROY_Indexado!$D$73*M$37+PROY_Indexado!$E$73*M$38+PROY_Indexado!$F$73*M$39+PROY_Indexado!$G$73*M$40+PROY_Indexado!$H$73*M$41)/SUM(PROY_Indexado!$B$73:$H$73))</f>
        <v>0.0825928403171668</v>
      </c>
      <c r="N71" s="9" t="n">
        <f aca="false">IF(SUM(PROY_Indexado!$B$73:$H$73)=0,1/12,(PROY_Indexado!$B$73*N$35+PROY_Indexado!$C$73*N$36+PROY_Indexado!$D$73*N$37+PROY_Indexado!$E$73*N$38+PROY_Indexado!$F$73*N$39+PROY_Indexado!$G$73*N$40+PROY_Indexado!$H$73*N$41)/SUM(PROY_Indexado!$B$73:$H$73))</f>
        <v>0.0825928403171668</v>
      </c>
      <c r="O71" s="9" t="n">
        <f aca="false">IF(SUM(PROY_Indexado!$B$73:$H$73)=0,1/12,(PROY_Indexado!$B$73*O$35+PROY_Indexado!$C$73*O$36+PROY_Indexado!$D$73*O$37+PROY_Indexado!$E$73*O$38+PROY_Indexado!$F$73*O$39+PROY_Indexado!$G$73*O$40+PROY_Indexado!$H$73*O$41)/SUM(PROY_Indexado!$B$73:$H$73))</f>
        <v>0.0821377056584213</v>
      </c>
      <c r="P71" s="9" t="n">
        <f aca="false">IF(SUM(PROY_Indexado!$B$73:$H$73)=0,1/12,(PROY_Indexado!$B$73*P$35+PROY_Indexado!$C$73*P$36+PROY_Indexado!$D$73*P$37+PROY_Indexado!$E$73*P$38+PROY_Indexado!$F$73*P$39+PROY_Indexado!$G$73*P$40+PROY_Indexado!$H$73*P$41)/SUM(PROY_Indexado!$B$73:$H$73))</f>
        <v>0.0858435596515087</v>
      </c>
      <c r="Q71" s="13" t="n">
        <f aca="false">MAX(E71:P71)</f>
        <v>0.0943026800842088</v>
      </c>
      <c r="R71" s="22" t="n">
        <v>100</v>
      </c>
    </row>
    <row r="72" customFormat="false" ht="15" hidden="false" customHeight="false" outlineLevel="0" collapsed="false">
      <c r="A72" s="4" t="s">
        <v>242</v>
      </c>
      <c r="E72" s="13" t="n">
        <f aca="false">SUMPRODUCT(datos_base!$K$2:$K$18,E55:E71)/SUM(datos_base!$K$2:$K$18)</f>
        <v>0.094685974590863</v>
      </c>
      <c r="F72" s="13" t="n">
        <f aca="false">SUMPRODUCT(datos_base!$K$2:$K$18,F55:F71)/SUM(datos_base!$K$2:$K$18)</f>
        <v>0.0813589828439731</v>
      </c>
      <c r="G72" s="13" t="n">
        <f aca="false">SUMPRODUCT(datos_base!$K$2:$K$18,G55:G71)/SUM(datos_base!$K$2:$K$18)</f>
        <v>0.0763711312806997</v>
      </c>
      <c r="H72" s="13" t="n">
        <f aca="false">SUMPRODUCT(datos_base!$K$2:$K$18,H55:H71)/SUM(datos_base!$K$2:$K$18)</f>
        <v>0.084183445923961</v>
      </c>
      <c r="I72" s="13" t="n">
        <f aca="false">SUMPRODUCT(datos_base!$K$2:$K$18,I55:I71)/SUM(datos_base!$K$2:$K$18)</f>
        <v>0.0847815688752799</v>
      </c>
      <c r="J72" s="13" t="n">
        <f aca="false">SUMPRODUCT(datos_base!$K$2:$K$18,J55:J71)/SUM(datos_base!$K$2:$K$18)</f>
        <v>0.0840164331631308</v>
      </c>
      <c r="K72" s="13" t="n">
        <f aca="false">SUMPRODUCT(datos_base!$K$2:$K$18,K55:K71)/SUM(datos_base!$K$2:$K$18)</f>
        <v>0.0748812526033842</v>
      </c>
      <c r="L72" s="13" t="n">
        <f aca="false">SUMPRODUCT(datos_base!$K$2:$K$18,L55:L71)/SUM(datos_base!$K$2:$K$18)</f>
        <v>0.0755102802186843</v>
      </c>
      <c r="M72" s="13" t="n">
        <f aca="false">SUMPRODUCT(datos_base!$K$2:$K$18,M55:M71)/SUM(datos_base!$K$2:$K$18)</f>
        <v>0.0761652663624608</v>
      </c>
      <c r="N72" s="13" t="n">
        <f aca="false">SUMPRODUCT(datos_base!$K$2:$K$18,N55:N71)/SUM(datos_base!$K$2:$K$18)</f>
        <v>0.0761652663624608</v>
      </c>
      <c r="O72" s="13" t="n">
        <f aca="false">SUMPRODUCT(datos_base!$K$2:$K$18,O55:O71)/SUM(datos_base!$K$2:$K$18)</f>
        <v>0.0888941351580317</v>
      </c>
      <c r="P72" s="13" t="n">
        <f aca="false">SUMPRODUCT(datos_base!$K$2:$K$18,P55:P71)/SUM(datos_base!$K$2:$K$18)</f>
        <v>0.102986262617071</v>
      </c>
      <c r="Q72" s="13" t="n">
        <f aca="false">MAX(E72:P72)</f>
        <v>0.102986262617071</v>
      </c>
    </row>
    <row r="74" customFormat="false" ht="15" hidden="false" customHeight="false" outlineLevel="0" collapsed="false">
      <c r="A74" s="1" t="s">
        <v>243</v>
      </c>
    </row>
    <row r="75" customFormat="false" ht="35.05" hidden="false" customHeight="false" outlineLevel="0" collapsed="false">
      <c r="A75" s="3" t="s">
        <v>244</v>
      </c>
      <c r="B75" s="3" t="s">
        <v>245</v>
      </c>
      <c r="C75" s="3" t="s">
        <v>246</v>
      </c>
      <c r="D75" s="3" t="s">
        <v>247</v>
      </c>
      <c r="E75" s="3" t="s">
        <v>165</v>
      </c>
      <c r="F75" s="3" t="s">
        <v>166</v>
      </c>
      <c r="G75" s="3" t="s">
        <v>167</v>
      </c>
      <c r="H75" s="3" t="s">
        <v>168</v>
      </c>
      <c r="I75" s="3" t="s">
        <v>169</v>
      </c>
      <c r="J75" s="3" t="s">
        <v>170</v>
      </c>
      <c r="K75" s="3" t="s">
        <v>171</v>
      </c>
      <c r="L75" s="3" t="s">
        <v>172</v>
      </c>
      <c r="M75" s="3" t="s">
        <v>248</v>
      </c>
      <c r="N75" s="3" t="s">
        <v>249</v>
      </c>
      <c r="O75" s="3" t="s">
        <v>250</v>
      </c>
      <c r="P75" s="3" t="s">
        <v>251</v>
      </c>
      <c r="Q75" s="3" t="s">
        <v>252</v>
      </c>
    </row>
    <row r="76" customFormat="false" ht="23.85" hidden="false" customHeight="false" outlineLevel="0" collapsed="false">
      <c r="A76" s="23" t="n">
        <v>1</v>
      </c>
      <c r="B76" s="5" t="s">
        <v>253</v>
      </c>
      <c r="C76" s="5" t="s">
        <v>254</v>
      </c>
      <c r="D76" s="6" t="s">
        <v>255</v>
      </c>
      <c r="E76" s="9" t="n">
        <v>1</v>
      </c>
      <c r="F76" s="9" t="n">
        <v>1</v>
      </c>
      <c r="G76" s="9" t="n">
        <v>1</v>
      </c>
      <c r="H76" s="9" t="n">
        <v>1</v>
      </c>
      <c r="I76" s="9" t="n">
        <v>1</v>
      </c>
      <c r="J76" s="9" t="n">
        <v>1</v>
      </c>
      <c r="K76" s="9" t="n">
        <v>1</v>
      </c>
      <c r="L76" s="9" t="n">
        <v>1</v>
      </c>
      <c r="M76" s="10" t="n">
        <v>1</v>
      </c>
      <c r="N76" s="10" t="n">
        <f aca="false">12.5+12.5+40+10</f>
        <v>75</v>
      </c>
      <c r="O76" s="18" t="n">
        <f aca="false">IF(N76&gt;0,3600/N76,0)</f>
        <v>48</v>
      </c>
      <c r="P76" s="12" t="n">
        <f aca="false">O76*$B$6</f>
        <v>7200</v>
      </c>
      <c r="Q76" s="6" t="s">
        <v>256</v>
      </c>
    </row>
    <row r="77" customFormat="false" ht="15" hidden="false" customHeight="false" outlineLevel="0" collapsed="false">
      <c r="A77" s="23" t="n">
        <v>2</v>
      </c>
      <c r="B77" s="5" t="s">
        <v>257</v>
      </c>
      <c r="C77" s="5" t="s">
        <v>258</v>
      </c>
      <c r="D77" s="6" t="s">
        <v>255</v>
      </c>
      <c r="E77" s="9" t="n">
        <v>1</v>
      </c>
      <c r="F77" s="9" t="n">
        <v>1</v>
      </c>
      <c r="G77" s="9" t="n">
        <v>1</v>
      </c>
      <c r="H77" s="9" t="n">
        <v>1</v>
      </c>
      <c r="I77" s="9" t="n">
        <v>1</v>
      </c>
      <c r="J77" s="9" t="n">
        <v>1</v>
      </c>
      <c r="K77" s="9" t="n">
        <v>1</v>
      </c>
      <c r="L77" s="9" t="n">
        <v>1</v>
      </c>
      <c r="M77" s="10" t="n">
        <v>0</v>
      </c>
      <c r="N77" s="10" t="n">
        <f aca="false">5+30+25+10+15+5</f>
        <v>90</v>
      </c>
      <c r="O77" s="18" t="n">
        <f aca="false">IF(N77&gt;0,3600/N77,0)</f>
        <v>40</v>
      </c>
      <c r="P77" s="12" t="n">
        <f aca="false">O77*$B$6</f>
        <v>6000</v>
      </c>
      <c r="Q77" s="6" t="s">
        <v>259</v>
      </c>
    </row>
    <row r="78" customFormat="false" ht="15" hidden="false" customHeight="false" outlineLevel="0" collapsed="false">
      <c r="A78" s="23" t="n">
        <v>3</v>
      </c>
      <c r="B78" s="5" t="s">
        <v>260</v>
      </c>
      <c r="C78" s="5" t="s">
        <v>261</v>
      </c>
      <c r="D78" s="6" t="s">
        <v>262</v>
      </c>
      <c r="E78" s="9" t="n">
        <f aca="false">(1-E$22)*(1-E$23)</f>
        <v>0.855</v>
      </c>
      <c r="F78" s="9" t="n">
        <v>0</v>
      </c>
      <c r="G78" s="9" t="n">
        <v>0</v>
      </c>
      <c r="H78" s="9" t="n">
        <v>0</v>
      </c>
      <c r="I78" s="9" t="n">
        <v>0</v>
      </c>
      <c r="J78" s="9" t="n">
        <v>0</v>
      </c>
      <c r="K78" s="9" t="n">
        <v>0</v>
      </c>
      <c r="L78" s="9" t="n">
        <v>0</v>
      </c>
      <c r="M78" s="10" t="n">
        <v>0</v>
      </c>
      <c r="N78" s="10" t="n">
        <f aca="false">15+60+10</f>
        <v>85</v>
      </c>
      <c r="O78" s="18" t="n">
        <f aca="false">IF(N78&gt;0,3600/N78,0)</f>
        <v>42.3529411764706</v>
      </c>
      <c r="P78" s="12" t="n">
        <f aca="false">O78*$B$6</f>
        <v>6352.94117647059</v>
      </c>
      <c r="Q78" s="6" t="s">
        <v>263</v>
      </c>
    </row>
    <row r="79" customFormat="false" ht="23.85" hidden="false" customHeight="false" outlineLevel="0" collapsed="false">
      <c r="A79" s="23" t="n">
        <v>4</v>
      </c>
      <c r="B79" s="5" t="s">
        <v>264</v>
      </c>
      <c r="C79" s="5" t="s">
        <v>265</v>
      </c>
      <c r="D79" s="6" t="s">
        <v>262</v>
      </c>
      <c r="E79" s="9" t="n">
        <f aca="false">(1-E$22)*E$23</f>
        <v>0.095</v>
      </c>
      <c r="F79" s="9" t="n">
        <f aca="false">(1-F$22)*F$23</f>
        <v>0.95</v>
      </c>
      <c r="G79" s="9" t="n">
        <f aca="false">(1-G$22)*G$23</f>
        <v>0.95</v>
      </c>
      <c r="H79" s="9" t="n">
        <v>0</v>
      </c>
      <c r="I79" s="9" t="n">
        <v>0</v>
      </c>
      <c r="J79" s="9" t="n">
        <v>0</v>
      </c>
      <c r="K79" s="9" t="n">
        <v>0</v>
      </c>
      <c r="L79" s="9" t="n">
        <v>0</v>
      </c>
      <c r="M79" s="10" t="n">
        <v>0</v>
      </c>
      <c r="N79" s="10" t="n">
        <f aca="false">15+60+10</f>
        <v>85</v>
      </c>
      <c r="O79" s="18" t="n">
        <f aca="false">IF(N79&gt;0,3600/N79,0)</f>
        <v>42.3529411764706</v>
      </c>
      <c r="P79" s="12" t="n">
        <f aca="false">O79*$B$6</f>
        <v>6352.94117647059</v>
      </c>
      <c r="Q79" s="6" t="s">
        <v>266</v>
      </c>
    </row>
    <row r="80" customFormat="false" ht="23.85" hidden="false" customHeight="false" outlineLevel="0" collapsed="false">
      <c r="A80" s="23" t="n">
        <v>5</v>
      </c>
      <c r="B80" s="5" t="s">
        <v>267</v>
      </c>
      <c r="C80" s="5" t="s">
        <v>268</v>
      </c>
      <c r="D80" s="6" t="s">
        <v>262</v>
      </c>
      <c r="E80" s="9" t="n">
        <v>0</v>
      </c>
      <c r="F80" s="9" t="n">
        <v>0</v>
      </c>
      <c r="G80" s="9" t="n">
        <v>0</v>
      </c>
      <c r="H80" s="9" t="n">
        <f aca="false">(1-H$22)*H$23</f>
        <v>0.95</v>
      </c>
      <c r="I80" s="9" t="n">
        <f aca="false">(1-I$22)*I$23</f>
        <v>0.95</v>
      </c>
      <c r="J80" s="9" t="n">
        <f aca="false">(1-J$22)*J$23</f>
        <v>0.95</v>
      </c>
      <c r="K80" s="9" t="n">
        <v>0</v>
      </c>
      <c r="L80" s="9" t="n">
        <v>0</v>
      </c>
      <c r="M80" s="10" t="n">
        <v>0</v>
      </c>
      <c r="N80" s="10" t="n">
        <f aca="false">10+10+15+60+10+20+10+30+15+15+10</f>
        <v>205</v>
      </c>
      <c r="O80" s="18" t="n">
        <f aca="false">IF(N80&gt;0,3600/N80,0)</f>
        <v>17.5609756097561</v>
      </c>
      <c r="P80" s="12" t="n">
        <f aca="false">O80*$B$6</f>
        <v>2634.14634146342</v>
      </c>
      <c r="Q80" s="6" t="s">
        <v>269</v>
      </c>
    </row>
    <row r="81" customFormat="false" ht="23.85" hidden="false" customHeight="false" outlineLevel="0" collapsed="false">
      <c r="A81" s="23" t="n">
        <v>6</v>
      </c>
      <c r="B81" s="5" t="s">
        <v>270</v>
      </c>
      <c r="C81" s="5" t="s">
        <v>271</v>
      </c>
      <c r="D81" s="6" t="s">
        <v>262</v>
      </c>
      <c r="E81" s="9" t="n">
        <v>0</v>
      </c>
      <c r="F81" s="9" t="n">
        <v>0</v>
      </c>
      <c r="G81" s="9" t="n">
        <v>0</v>
      </c>
      <c r="H81" s="9" t="n">
        <v>0</v>
      </c>
      <c r="I81" s="9" t="n">
        <v>0</v>
      </c>
      <c r="J81" s="9" t="n">
        <v>0</v>
      </c>
      <c r="K81" s="9" t="n">
        <f aca="false">(K$16+K$24+K$22)+(K$16+K$24)*(20+20+120+20+15+10)/(30+10+15+150+25+10)</f>
        <v>0.60625</v>
      </c>
      <c r="L81" s="9" t="n">
        <v>0</v>
      </c>
      <c r="M81" s="10" t="n">
        <v>0</v>
      </c>
      <c r="N81" s="10" t="n">
        <f aca="false">30+10+15+150+25+10</f>
        <v>240</v>
      </c>
      <c r="O81" s="18" t="n">
        <f aca="false">IF(N81&gt;0,3600/N81,0)</f>
        <v>15</v>
      </c>
      <c r="P81" s="12" t="n">
        <f aca="false">O81*$B$6</f>
        <v>2250</v>
      </c>
      <c r="Q81" s="6" t="s">
        <v>272</v>
      </c>
    </row>
    <row r="82" customFormat="false" ht="15" hidden="false" customHeight="false" outlineLevel="0" collapsed="false">
      <c r="A82" s="23" t="n">
        <v>7</v>
      </c>
      <c r="B82" s="5" t="s">
        <v>273</v>
      </c>
      <c r="C82" s="5" t="s">
        <v>274</v>
      </c>
      <c r="D82" s="6" t="s">
        <v>262</v>
      </c>
      <c r="E82" s="9" t="n">
        <v>0</v>
      </c>
      <c r="F82" s="9" t="n">
        <v>0</v>
      </c>
      <c r="G82" s="9" t="n">
        <v>0</v>
      </c>
      <c r="H82" s="9" t="n">
        <v>0</v>
      </c>
      <c r="I82" s="9" t="n">
        <v>0</v>
      </c>
      <c r="J82" s="9" t="n">
        <v>0</v>
      </c>
      <c r="K82" s="9" t="n">
        <v>0</v>
      </c>
      <c r="L82" s="9" t="n">
        <f aca="false">L$16+L$22+L$24</f>
        <v>0.35</v>
      </c>
      <c r="M82" s="10" t="n">
        <v>0</v>
      </c>
      <c r="N82" s="10" t="n">
        <f aca="false">60+20+30+300+40+15+300+40+60+30</f>
        <v>895</v>
      </c>
      <c r="O82" s="18" t="n">
        <f aca="false">IF(N82&gt;0,3600/N82,0)</f>
        <v>4.02234636871508</v>
      </c>
      <c r="P82" s="12" t="n">
        <f aca="false">O82*$B$6</f>
        <v>603.351955307263</v>
      </c>
      <c r="Q82" s="6" t="s">
        <v>275</v>
      </c>
    </row>
    <row r="83" customFormat="false" ht="15" hidden="false" customHeight="false" outlineLevel="0" collapsed="false">
      <c r="A83" s="23" t="n">
        <v>8</v>
      </c>
      <c r="B83" s="5" t="s">
        <v>276</v>
      </c>
      <c r="C83" s="5" t="s">
        <v>277</v>
      </c>
      <c r="D83" s="6" t="s">
        <v>255</v>
      </c>
      <c r="E83" s="9" t="n">
        <v>1</v>
      </c>
      <c r="F83" s="9" t="n">
        <v>1</v>
      </c>
      <c r="G83" s="9" t="n">
        <v>1</v>
      </c>
      <c r="H83" s="9" t="n">
        <v>0</v>
      </c>
      <c r="I83" s="9" t="n">
        <v>0</v>
      </c>
      <c r="J83" s="9" t="n">
        <v>0</v>
      </c>
      <c r="K83" s="9" t="n">
        <v>0</v>
      </c>
      <c r="L83" s="9" t="n">
        <v>0</v>
      </c>
      <c r="M83" s="10" t="n">
        <v>0</v>
      </c>
      <c r="N83" s="10" t="n">
        <f aca="false">5+30+5+10+20+120*$E$16+5</f>
        <v>105</v>
      </c>
      <c r="O83" s="18" t="n">
        <f aca="false">IF(N83&gt;0,3600/N83,0)</f>
        <v>34.2857142857143</v>
      </c>
      <c r="P83" s="12" t="n">
        <f aca="false">O83*$B$6</f>
        <v>5142.85714285714</v>
      </c>
      <c r="Q83" s="6" t="s">
        <v>278</v>
      </c>
    </row>
    <row r="84" customFormat="false" ht="15" hidden="false" customHeight="false" outlineLevel="0" collapsed="false">
      <c r="A84" s="23" t="n">
        <v>9</v>
      </c>
      <c r="B84" s="5" t="s">
        <v>279</v>
      </c>
      <c r="C84" s="5" t="s">
        <v>280</v>
      </c>
      <c r="D84" s="6" t="s">
        <v>255</v>
      </c>
      <c r="E84" s="9" t="n">
        <v>0</v>
      </c>
      <c r="F84" s="9" t="n">
        <v>0</v>
      </c>
      <c r="G84" s="9" t="n">
        <v>0</v>
      </c>
      <c r="H84" s="9" t="n">
        <v>1</v>
      </c>
      <c r="I84" s="9" t="n">
        <v>1</v>
      </c>
      <c r="J84" s="9" t="n">
        <v>1</v>
      </c>
      <c r="K84" s="9" t="n">
        <f aca="false">K$16+K$24</f>
        <v>0.3</v>
      </c>
      <c r="L84" s="9" t="n">
        <f aca="false">L$16+L$22+L$24</f>
        <v>0.35</v>
      </c>
      <c r="M84" s="10" t="n">
        <v>0</v>
      </c>
      <c r="N84" s="10" t="n">
        <f aca="false">10+40+60+90*0.4+15+15</f>
        <v>176</v>
      </c>
      <c r="O84" s="18" t="n">
        <f aca="false">IF(N84&gt;0,3600/N84,0)</f>
        <v>20.4545454545455</v>
      </c>
      <c r="P84" s="12" t="n">
        <f aca="false">O84*$B$6</f>
        <v>3068.18181818182</v>
      </c>
      <c r="Q84" s="6" t="s">
        <v>281</v>
      </c>
    </row>
    <row r="85" customFormat="false" ht="15" hidden="false" customHeight="false" outlineLevel="0" collapsed="false">
      <c r="A85" s="23" t="n">
        <v>10</v>
      </c>
      <c r="B85" s="5" t="s">
        <v>282</v>
      </c>
      <c r="C85" s="5" t="s">
        <v>283</v>
      </c>
      <c r="D85" s="6" t="s">
        <v>262</v>
      </c>
      <c r="E85" s="9" t="n">
        <f aca="false">E$28</f>
        <v>0.0104067919524976</v>
      </c>
      <c r="F85" s="9" t="n">
        <f aca="false">F$28</f>
        <v>0</v>
      </c>
      <c r="G85" s="9" t="n">
        <v>0</v>
      </c>
      <c r="H85" s="9" t="n">
        <v>0</v>
      </c>
      <c r="I85" s="9" t="n">
        <v>0</v>
      </c>
      <c r="J85" s="9" t="n">
        <v>0</v>
      </c>
      <c r="K85" s="9" t="n">
        <v>0</v>
      </c>
      <c r="L85" s="9" t="n">
        <v>0</v>
      </c>
      <c r="M85" s="10" t="n">
        <v>0</v>
      </c>
      <c r="N85" s="10" t="n">
        <f aca="false">300+600+1800+60+120+300</f>
        <v>3180</v>
      </c>
      <c r="O85" s="18" t="n">
        <f aca="false">IF(N85&gt;0,3600/N85,0)</f>
        <v>1.13207547169811</v>
      </c>
      <c r="P85" s="12" t="n">
        <f aca="false">O85*$B$6</f>
        <v>169.811320754717</v>
      </c>
      <c r="Q85" s="6" t="s">
        <v>284</v>
      </c>
    </row>
    <row r="86" customFormat="false" ht="15" hidden="false" customHeight="false" outlineLevel="0" collapsed="false">
      <c r="A86" s="23" t="n">
        <v>11</v>
      </c>
      <c r="B86" s="5" t="s">
        <v>82</v>
      </c>
      <c r="C86" s="5" t="s">
        <v>285</v>
      </c>
      <c r="D86" s="6" t="s">
        <v>262</v>
      </c>
      <c r="E86" s="9" t="n">
        <f aca="false">E$16</f>
        <v>0.25</v>
      </c>
      <c r="F86" s="9" t="n">
        <f aca="false">F$16</f>
        <v>0.25</v>
      </c>
      <c r="G86" s="9" t="n">
        <f aca="false">G$16</f>
        <v>0.25</v>
      </c>
      <c r="H86" s="9" t="n">
        <f aca="false">H$16</f>
        <v>0.55</v>
      </c>
      <c r="I86" s="9" t="n">
        <f aca="false">I$16</f>
        <v>0.55</v>
      </c>
      <c r="J86" s="9" t="n">
        <f aca="false">J$16</f>
        <v>0.55</v>
      </c>
      <c r="K86" s="9" t="n">
        <f aca="false">K$16</f>
        <v>0.25</v>
      </c>
      <c r="L86" s="9" t="n">
        <f aca="false">L$16</f>
        <v>0.25</v>
      </c>
      <c r="M86" s="10" t="n">
        <v>0</v>
      </c>
      <c r="N86" s="10" t="n">
        <f aca="false">12+20+90+90+75+15</f>
        <v>302</v>
      </c>
      <c r="O86" s="18" t="n">
        <f aca="false">IF(N86&gt;0,3600/N86,0)</f>
        <v>11.9205298013245</v>
      </c>
      <c r="P86" s="12" t="n">
        <f aca="false">O86*$B$6</f>
        <v>1788.07947019868</v>
      </c>
      <c r="Q86" s="6" t="s">
        <v>286</v>
      </c>
    </row>
    <row r="87" customFormat="false" ht="15" hidden="false" customHeight="false" outlineLevel="0" collapsed="false">
      <c r="A87" s="23" t="n">
        <v>12</v>
      </c>
      <c r="B87" s="5" t="s">
        <v>85</v>
      </c>
      <c r="C87" s="5" t="s">
        <v>287</v>
      </c>
      <c r="D87" s="6" t="s">
        <v>262</v>
      </c>
      <c r="E87" s="9" t="n">
        <f aca="false">E$16+E$26</f>
        <v>0.26</v>
      </c>
      <c r="F87" s="9" t="n">
        <f aca="false">F$16+F$26</f>
        <v>0.26</v>
      </c>
      <c r="G87" s="9" t="n">
        <f aca="false">G$16+G$26</f>
        <v>0.26</v>
      </c>
      <c r="H87" s="9" t="n">
        <v>0</v>
      </c>
      <c r="I87" s="9" t="n">
        <v>0</v>
      </c>
      <c r="J87" s="9" t="n">
        <v>0</v>
      </c>
      <c r="K87" s="9" t="n">
        <f aca="false">K$16</f>
        <v>0.25</v>
      </c>
      <c r="L87" s="9" t="n">
        <f aca="false">L$16</f>
        <v>0.25</v>
      </c>
      <c r="M87" s="10" t="n">
        <v>0</v>
      </c>
      <c r="N87" s="10" t="n">
        <f aca="false">15+15*60/6+15</f>
        <v>180</v>
      </c>
      <c r="O87" s="18" t="n">
        <f aca="false">IF(N87&gt;0,3600/N87,0)</f>
        <v>20</v>
      </c>
      <c r="P87" s="12" t="n">
        <f aca="false">O87*$B$6</f>
        <v>3000</v>
      </c>
      <c r="Q87" s="6" t="s">
        <v>288</v>
      </c>
    </row>
    <row r="88" customFormat="false" ht="15" hidden="false" customHeight="false" outlineLevel="0" collapsed="false">
      <c r="A88" s="23" t="n">
        <v>13</v>
      </c>
      <c r="B88" s="5" t="s">
        <v>289</v>
      </c>
      <c r="C88" s="5" t="s">
        <v>290</v>
      </c>
      <c r="D88" s="6" t="s">
        <v>255</v>
      </c>
      <c r="E88" s="9" t="n">
        <f aca="false">E$16+E$26</f>
        <v>0.26</v>
      </c>
      <c r="F88" s="9" t="n">
        <f aca="false">F$16+F$26</f>
        <v>0.26</v>
      </c>
      <c r="G88" s="9" t="n">
        <f aca="false">G$16+G$26</f>
        <v>0.26</v>
      </c>
      <c r="H88" s="9" t="n">
        <v>0</v>
      </c>
      <c r="I88" s="9" t="n">
        <v>0</v>
      </c>
      <c r="J88" s="9" t="n">
        <v>0</v>
      </c>
      <c r="K88" s="9" t="n">
        <f aca="false">K$16</f>
        <v>0.25</v>
      </c>
      <c r="L88" s="9" t="n">
        <f aca="false">L$16</f>
        <v>0.25</v>
      </c>
      <c r="M88" s="10" t="n">
        <v>0</v>
      </c>
      <c r="N88" s="10" t="n">
        <f aca="false">60+15+10</f>
        <v>85</v>
      </c>
      <c r="O88" s="18" t="n">
        <f aca="false">IF(N88&gt;0,3600/N88,0)</f>
        <v>42.3529411764706</v>
      </c>
      <c r="P88" s="12" t="n">
        <f aca="false">O88*$B$6</f>
        <v>6352.94117647059</v>
      </c>
      <c r="Q88" s="6" t="s">
        <v>291</v>
      </c>
    </row>
    <row r="89" customFormat="false" ht="23.85" hidden="false" customHeight="false" outlineLevel="0" collapsed="false">
      <c r="A89" s="23" t="n">
        <v>14</v>
      </c>
      <c r="B89" s="5" t="s">
        <v>292</v>
      </c>
      <c r="C89" s="5" t="s">
        <v>293</v>
      </c>
      <c r="D89" s="6" t="s">
        <v>262</v>
      </c>
      <c r="E89" s="9" t="n">
        <f aca="false">E$25</f>
        <v>0.15</v>
      </c>
      <c r="F89" s="9" t="n">
        <f aca="false">F$25</f>
        <v>0.15</v>
      </c>
      <c r="G89" s="9" t="n">
        <f aca="false">G$25</f>
        <v>0.15</v>
      </c>
      <c r="H89" s="9" t="n">
        <f aca="false">H$25</f>
        <v>0.15</v>
      </c>
      <c r="I89" s="9" t="n">
        <f aca="false">I$25</f>
        <v>0.15</v>
      </c>
      <c r="J89" s="9" t="n">
        <f aca="false">J$25</f>
        <v>0.15</v>
      </c>
      <c r="K89" s="9" t="n">
        <f aca="false">K$25</f>
        <v>0.15</v>
      </c>
      <c r="L89" s="9" t="n">
        <f aca="false">L$25</f>
        <v>0.15</v>
      </c>
      <c r="M89" s="10" t="n">
        <v>0</v>
      </c>
      <c r="N89" s="10" t="n">
        <f aca="false">120+30+30+45+60+1800/6+30</f>
        <v>615</v>
      </c>
      <c r="O89" s="18" t="n">
        <f aca="false">IF(N89&gt;0,3600/N89,0)</f>
        <v>5.85365853658537</v>
      </c>
      <c r="P89" s="12" t="n">
        <f aca="false">O89*$B$6</f>
        <v>878.048780487805</v>
      </c>
      <c r="Q89" s="6" t="s">
        <v>294</v>
      </c>
    </row>
    <row r="90" customFormat="false" ht="35.05" hidden="false" customHeight="false" outlineLevel="0" collapsed="false">
      <c r="A90" s="23" t="n">
        <v>15</v>
      </c>
      <c r="B90" s="5" t="s">
        <v>295</v>
      </c>
      <c r="C90" s="5" t="s">
        <v>296</v>
      </c>
      <c r="D90" s="6" t="s">
        <v>262</v>
      </c>
      <c r="E90" s="9" t="n">
        <v>1</v>
      </c>
      <c r="F90" s="9" t="n">
        <f aca="false">(10+15+75+15+15+10)/(15+45+15+15+10)</f>
        <v>1.4</v>
      </c>
      <c r="G90" s="9" t="n">
        <f aca="false">(15+9*15+30+15+10)/(15+45+15+15+10)</f>
        <v>2.05</v>
      </c>
      <c r="H90" s="9" t="n">
        <v>0</v>
      </c>
      <c r="I90" s="9" t="n">
        <v>0</v>
      </c>
      <c r="J90" s="9" t="n">
        <v>0</v>
      </c>
      <c r="K90" s="9" t="n">
        <v>0</v>
      </c>
      <c r="L90" s="9" t="n">
        <v>0</v>
      </c>
      <c r="M90" s="10" t="n">
        <v>1</v>
      </c>
      <c r="N90" s="10" t="n">
        <f aca="false">15+45+15+15+10</f>
        <v>100</v>
      </c>
      <c r="O90" s="18" t="n">
        <f aca="false">IF(N90&gt;0,3600/N90,0)</f>
        <v>36</v>
      </c>
      <c r="P90" s="12" t="n">
        <f aca="false">O90*$B$6</f>
        <v>5400</v>
      </c>
      <c r="Q90" s="6" t="s">
        <v>297</v>
      </c>
    </row>
    <row r="91" customFormat="false" ht="15" hidden="false" customHeight="false" outlineLevel="0" collapsed="false">
      <c r="A91" s="23" t="n">
        <v>16</v>
      </c>
      <c r="B91" s="5" t="s">
        <v>298</v>
      </c>
      <c r="C91" s="5" t="s">
        <v>299</v>
      </c>
      <c r="D91" s="6" t="s">
        <v>255</v>
      </c>
      <c r="E91" s="9" t="n">
        <v>1</v>
      </c>
      <c r="F91" s="9" t="n">
        <v>1</v>
      </c>
      <c r="G91" s="9" t="n">
        <v>1</v>
      </c>
      <c r="H91" s="9" t="n">
        <v>0</v>
      </c>
      <c r="I91" s="9" t="n">
        <v>0</v>
      </c>
      <c r="J91" s="9" t="n">
        <v>0</v>
      </c>
      <c r="K91" s="9" t="n">
        <v>0</v>
      </c>
      <c r="L91" s="9" t="n">
        <v>0</v>
      </c>
      <c r="M91" s="10" t="n">
        <v>1</v>
      </c>
      <c r="N91" s="10" t="n">
        <f aca="false">10+30+20+10+30+20</f>
        <v>120</v>
      </c>
      <c r="O91" s="18" t="n">
        <f aca="false">IF(N91&gt;0,3600/N91,0)</f>
        <v>30</v>
      </c>
      <c r="P91" s="12" t="n">
        <f aca="false">O91*$B$6</f>
        <v>4500</v>
      </c>
      <c r="Q91" s="6" t="s">
        <v>300</v>
      </c>
    </row>
    <row r="92" customFormat="false" ht="15" hidden="false" customHeight="false" outlineLevel="0" collapsed="false">
      <c r="A92" s="23" t="n">
        <v>17</v>
      </c>
      <c r="B92" s="5" t="s">
        <v>301</v>
      </c>
      <c r="C92" s="5" t="s">
        <v>302</v>
      </c>
      <c r="D92" s="6" t="s">
        <v>262</v>
      </c>
      <c r="E92" s="9" t="n">
        <v>1</v>
      </c>
      <c r="F92" s="9" t="n">
        <v>1</v>
      </c>
      <c r="G92" s="9" t="n">
        <v>1</v>
      </c>
      <c r="H92" s="9" t="n">
        <v>0</v>
      </c>
      <c r="I92" s="9" t="n">
        <v>0</v>
      </c>
      <c r="J92" s="9" t="n">
        <v>0</v>
      </c>
      <c r="K92" s="9" t="n">
        <v>0</v>
      </c>
      <c r="L92" s="9" t="n">
        <v>0</v>
      </c>
      <c r="M92" s="10" t="n">
        <v>1</v>
      </c>
      <c r="N92" s="10" t="n">
        <f aca="false">3+15+10+20+15+10</f>
        <v>73</v>
      </c>
      <c r="O92" s="18" t="n">
        <f aca="false">IF(N92&gt;0,3600/N92,0)</f>
        <v>49.3150684931507</v>
      </c>
      <c r="P92" s="12" t="n">
        <f aca="false">O92*$B$6</f>
        <v>7397.2602739726</v>
      </c>
      <c r="Q92" s="6" t="s">
        <v>303</v>
      </c>
    </row>
    <row r="93" customFormat="false" ht="15" hidden="false" customHeight="false" outlineLevel="0" collapsed="false">
      <c r="A93" s="23" t="n">
        <v>18</v>
      </c>
      <c r="B93" s="5" t="s">
        <v>304</v>
      </c>
      <c r="C93" s="5" t="s">
        <v>305</v>
      </c>
      <c r="D93" s="6" t="s">
        <v>255</v>
      </c>
      <c r="E93" s="9" t="n">
        <v>0</v>
      </c>
      <c r="F93" s="9" t="n">
        <v>0</v>
      </c>
      <c r="G93" s="9" t="n">
        <v>0</v>
      </c>
      <c r="H93" s="9" t="n">
        <v>1</v>
      </c>
      <c r="I93" s="9" t="n">
        <v>1</v>
      </c>
      <c r="J93" s="9" t="n">
        <v>1</v>
      </c>
      <c r="K93" s="9" t="n">
        <f aca="false">K$16+K$24</f>
        <v>0.3</v>
      </c>
      <c r="L93" s="9" t="n">
        <f aca="false">L$16+L$22+L$24</f>
        <v>0.35</v>
      </c>
      <c r="M93" s="10" t="n">
        <v>0</v>
      </c>
      <c r="N93" s="10" t="n">
        <f aca="false">120+50</f>
        <v>170</v>
      </c>
      <c r="O93" s="18" t="n">
        <f aca="false">IF(N93&gt;0,3600/N93,0)</f>
        <v>21.1764705882353</v>
      </c>
      <c r="P93" s="12" t="n">
        <f aca="false">O93*$B$6</f>
        <v>3176.47058823529</v>
      </c>
      <c r="Q93" s="6" t="s">
        <v>306</v>
      </c>
    </row>
    <row r="94" customFormat="false" ht="23.85" hidden="false" customHeight="false" outlineLevel="0" collapsed="false">
      <c r="A94" s="23" t="n">
        <v>19</v>
      </c>
      <c r="B94" s="5" t="s">
        <v>307</v>
      </c>
      <c r="C94" s="5" t="s">
        <v>308</v>
      </c>
      <c r="D94" s="6" t="s">
        <v>255</v>
      </c>
      <c r="E94" s="9" t="n">
        <v>0</v>
      </c>
      <c r="F94" s="9" t="n">
        <v>0</v>
      </c>
      <c r="G94" s="9" t="n">
        <v>0</v>
      </c>
      <c r="H94" s="9" t="n">
        <v>0</v>
      </c>
      <c r="I94" s="9" t="n">
        <v>0</v>
      </c>
      <c r="J94" s="9" t="n">
        <v>0</v>
      </c>
      <c r="K94" s="9" t="n">
        <f aca="false">1-(K$16+K$24+K$22)</f>
        <v>0.65</v>
      </c>
      <c r="L94" s="9" t="n">
        <f aca="false">1-(L$16+L$22+L$24)</f>
        <v>0.65</v>
      </c>
      <c r="M94" s="10" t="n">
        <v>0</v>
      </c>
      <c r="N94" s="10" t="n">
        <f aca="false">30+10</f>
        <v>40</v>
      </c>
      <c r="O94" s="18" t="n">
        <f aca="false">IF(N94&gt;0,3600/N94,0)</f>
        <v>90</v>
      </c>
      <c r="P94" s="12" t="n">
        <f aca="false">O94*$B$6</f>
        <v>13500</v>
      </c>
      <c r="Q94" s="6" t="s">
        <v>309</v>
      </c>
    </row>
    <row r="95" customFormat="false" ht="23.85" hidden="false" customHeight="false" outlineLevel="0" collapsed="false">
      <c r="A95" s="23" t="n">
        <v>20</v>
      </c>
      <c r="B95" s="5" t="s">
        <v>310</v>
      </c>
      <c r="C95" s="5" t="s">
        <v>311</v>
      </c>
      <c r="D95" s="6" t="s">
        <v>262</v>
      </c>
      <c r="E95" s="9" t="n">
        <v>1</v>
      </c>
      <c r="F95" s="9" t="n">
        <v>1</v>
      </c>
      <c r="G95" s="9" t="n">
        <v>1</v>
      </c>
      <c r="H95" s="9" t="n">
        <v>1</v>
      </c>
      <c r="I95" s="9" t="n">
        <v>1</v>
      </c>
      <c r="J95" s="9" t="n">
        <v>1</v>
      </c>
      <c r="K95" s="9" t="n">
        <v>1</v>
      </c>
      <c r="L95" s="9" t="n">
        <v>1</v>
      </c>
      <c r="M95" s="10" t="n">
        <v>1</v>
      </c>
      <c r="N95" s="10" t="n">
        <f aca="false">5+45+10+10+10</f>
        <v>80</v>
      </c>
      <c r="O95" s="18" t="n">
        <f aca="false">IF(N95&gt;0,3600/N95,0)</f>
        <v>45</v>
      </c>
      <c r="P95" s="12" t="n">
        <f aca="false">O95*$B$6</f>
        <v>6750</v>
      </c>
      <c r="Q95" s="6" t="s">
        <v>312</v>
      </c>
    </row>
    <row r="96" customFormat="false" ht="15" hidden="false" customHeight="false" outlineLevel="0" collapsed="false">
      <c r="A96" s="23" t="n">
        <v>21</v>
      </c>
      <c r="B96" s="5" t="s">
        <v>313</v>
      </c>
      <c r="C96" s="5" t="s">
        <v>314</v>
      </c>
      <c r="D96" s="6" t="s">
        <v>255</v>
      </c>
      <c r="E96" s="9" t="n">
        <v>1</v>
      </c>
      <c r="F96" s="9" t="n">
        <v>1</v>
      </c>
      <c r="G96" s="9" t="n">
        <v>1</v>
      </c>
      <c r="H96" s="9" t="n">
        <v>1</v>
      </c>
      <c r="I96" s="9" t="n">
        <v>1</v>
      </c>
      <c r="J96" s="9" t="n">
        <v>1</v>
      </c>
      <c r="K96" s="9" t="n">
        <v>1</v>
      </c>
      <c r="L96" s="9" t="n">
        <v>1</v>
      </c>
      <c r="M96" s="10" t="n">
        <v>1</v>
      </c>
      <c r="N96" s="10" t="n">
        <f aca="false">15+25+15+10+15+6</f>
        <v>86</v>
      </c>
      <c r="O96" s="18" t="n">
        <f aca="false">IF(N96&gt;0,3600/N96,0)</f>
        <v>41.8604651162791</v>
      </c>
      <c r="P96" s="12" t="n">
        <f aca="false">O96*$B$6</f>
        <v>6279.06976744186</v>
      </c>
      <c r="Q96" s="6" t="s">
        <v>315</v>
      </c>
    </row>
    <row r="97" customFormat="false" ht="15" hidden="false" customHeight="false" outlineLevel="0" collapsed="false">
      <c r="A97" s="23" t="n">
        <v>22</v>
      </c>
      <c r="B97" s="5" t="s">
        <v>316</v>
      </c>
      <c r="C97" s="5" t="s">
        <v>317</v>
      </c>
      <c r="D97" s="6" t="s">
        <v>262</v>
      </c>
      <c r="E97" s="9" t="n">
        <f aca="false">E$21</f>
        <v>0.08</v>
      </c>
      <c r="F97" s="9" t="n">
        <f aca="false">F$21</f>
        <v>0.08</v>
      </c>
      <c r="G97" s="9" t="n">
        <f aca="false">G$21</f>
        <v>0.08</v>
      </c>
      <c r="H97" s="9" t="n">
        <f aca="false">H$21</f>
        <v>0.08</v>
      </c>
      <c r="I97" s="9" t="n">
        <f aca="false">I$21</f>
        <v>0.08</v>
      </c>
      <c r="J97" s="9" t="n">
        <f aca="false">J$21</f>
        <v>0.08</v>
      </c>
      <c r="K97" s="9" t="n">
        <f aca="false">K$21</f>
        <v>0.0633333333333333</v>
      </c>
      <c r="L97" s="9" t="n">
        <f aca="false">L$21</f>
        <v>0.08</v>
      </c>
      <c r="M97" s="10" t="n">
        <v>0</v>
      </c>
      <c r="N97" s="10" t="n">
        <f aca="false">30+120+90+60+90</f>
        <v>390</v>
      </c>
      <c r="O97" s="18" t="n">
        <f aca="false">IF(N97&gt;0,3600/N97,0)</f>
        <v>9.23076923076923</v>
      </c>
      <c r="P97" s="12" t="n">
        <f aca="false">O97*$B$6</f>
        <v>1384.61538461538</v>
      </c>
      <c r="Q97" s="6" t="s">
        <v>318</v>
      </c>
    </row>
    <row r="98" customFormat="false" ht="23.85" hidden="false" customHeight="false" outlineLevel="0" collapsed="false">
      <c r="A98" s="23" t="n">
        <v>23</v>
      </c>
      <c r="B98" s="5" t="s">
        <v>319</v>
      </c>
      <c r="C98" s="5" t="s">
        <v>320</v>
      </c>
      <c r="D98" s="6" t="s">
        <v>262</v>
      </c>
      <c r="E98" s="6" t="s">
        <v>321</v>
      </c>
      <c r="F98" s="6" t="s">
        <v>321</v>
      </c>
      <c r="G98" s="6" t="s">
        <v>321</v>
      </c>
      <c r="H98" s="6" t="s">
        <v>321</v>
      </c>
      <c r="I98" s="6" t="s">
        <v>321</v>
      </c>
      <c r="J98" s="6" t="s">
        <v>321</v>
      </c>
      <c r="K98" s="6" t="s">
        <v>321</v>
      </c>
      <c r="L98" s="6" t="s">
        <v>321</v>
      </c>
      <c r="M98" s="10" t="n">
        <v>0</v>
      </c>
      <c r="N98" s="10" t="n">
        <f aca="false">20+10+20+15+30+30+60+20+60+20+15</f>
        <v>300</v>
      </c>
      <c r="O98" s="18" t="n">
        <f aca="false">IF(N98&gt;0,3600/N98,0)</f>
        <v>12</v>
      </c>
      <c r="P98" s="12" t="n">
        <f aca="false">O98*$B$6</f>
        <v>1800</v>
      </c>
      <c r="Q98" s="6" t="s">
        <v>322</v>
      </c>
    </row>
    <row r="106" customFormat="false" ht="15" hidden="false" customHeight="false" outlineLevel="0" collapsed="false">
      <c r="A106" s="1" t="s">
        <v>323</v>
      </c>
    </row>
    <row r="107" customFormat="false" ht="15" hidden="false" customHeight="false" outlineLevel="0" collapsed="false">
      <c r="A107" s="2" t="s">
        <v>324</v>
      </c>
    </row>
    <row r="108" customFormat="false" ht="15" hidden="false" customHeight="true" outlineLevel="0" collapsed="false">
      <c r="A108" s="3" t="s">
        <v>325</v>
      </c>
      <c r="B108" s="3" t="s">
        <v>326</v>
      </c>
      <c r="C108" s="3"/>
      <c r="D108" s="3"/>
      <c r="E108" s="3" t="s">
        <v>64</v>
      </c>
      <c r="F108" s="3" t="s">
        <v>65</v>
      </c>
      <c r="G108" s="3" t="s">
        <v>66</v>
      </c>
      <c r="H108" s="3" t="s">
        <v>67</v>
      </c>
      <c r="I108" s="3" t="s">
        <v>68</v>
      </c>
      <c r="J108" s="3" t="s">
        <v>69</v>
      </c>
      <c r="K108" s="3" t="s">
        <v>70</v>
      </c>
      <c r="L108" s="3" t="s">
        <v>71</v>
      </c>
      <c r="M108" s="3" t="s">
        <v>72</v>
      </c>
      <c r="N108" s="3" t="s">
        <v>73</v>
      </c>
      <c r="O108" s="3" t="s">
        <v>74</v>
      </c>
      <c r="P108" s="3" t="s">
        <v>75</v>
      </c>
      <c r="Q108" s="3" t="s">
        <v>132</v>
      </c>
    </row>
    <row r="109" customFormat="false" ht="15" hidden="false" customHeight="true" outlineLevel="0" collapsed="false">
      <c r="A109" s="5" t="s">
        <v>76</v>
      </c>
      <c r="B109" s="5" t="s">
        <v>27</v>
      </c>
      <c r="C109" s="5"/>
      <c r="D109" s="5"/>
      <c r="E109" s="9" t="n">
        <f aca="false">Links!B54</f>
        <v>0.12</v>
      </c>
      <c r="F109" s="9" t="n">
        <f aca="false">Links!C54</f>
        <v>0.09</v>
      </c>
      <c r="G109" s="9" t="n">
        <f aca="false">Links!D54</f>
        <v>0.08</v>
      </c>
      <c r="H109" s="9" t="n">
        <f aca="false">Links!E54</f>
        <v>0.075</v>
      </c>
      <c r="I109" s="9" t="n">
        <f aca="false">Links!F54</f>
        <v>0.07</v>
      </c>
      <c r="J109" s="9" t="n">
        <f aca="false">Links!G54</f>
        <v>0.07</v>
      </c>
      <c r="K109" s="9" t="n">
        <f aca="false">Links!H54</f>
        <v>0.075</v>
      </c>
      <c r="L109" s="9" t="n">
        <f aca="false">Links!I54</f>
        <v>0.075</v>
      </c>
      <c r="M109" s="9" t="n">
        <f aca="false">Links!J54</f>
        <v>0.075</v>
      </c>
      <c r="N109" s="9" t="n">
        <f aca="false">Links!K54</f>
        <v>0.075</v>
      </c>
      <c r="O109" s="9" t="n">
        <f aca="false">Links!L54</f>
        <v>0.075</v>
      </c>
      <c r="P109" s="9" t="n">
        <f aca="false">Links!M54</f>
        <v>0.12</v>
      </c>
      <c r="Q109" s="21" t="n">
        <f aca="false">SUM(E109:P109)</f>
        <v>1</v>
      </c>
    </row>
    <row r="110" customFormat="false" ht="15" hidden="false" customHeight="true" outlineLevel="0" collapsed="false">
      <c r="A110" s="5" t="s">
        <v>78</v>
      </c>
      <c r="B110" s="5" t="s">
        <v>327</v>
      </c>
      <c r="C110" s="5"/>
      <c r="D110" s="5"/>
      <c r="E110" s="9" t="n">
        <f aca="false">Links!B58</f>
        <v>0.1</v>
      </c>
      <c r="F110" s="9" t="n">
        <f aca="false">Links!C58</f>
        <v>0.08</v>
      </c>
      <c r="G110" s="9" t="n">
        <f aca="false">Links!D58</f>
        <v>0.085</v>
      </c>
      <c r="H110" s="9" t="n">
        <f aca="false">Links!E58</f>
        <v>0.085</v>
      </c>
      <c r="I110" s="9" t="n">
        <f aca="false">Links!F58</f>
        <v>0.08</v>
      </c>
      <c r="J110" s="9" t="n">
        <f aca="false">Links!G58</f>
        <v>0.075</v>
      </c>
      <c r="K110" s="9" t="n">
        <f aca="false">Links!H58</f>
        <v>0.08</v>
      </c>
      <c r="L110" s="9" t="n">
        <f aca="false">Links!I58</f>
        <v>0.08</v>
      </c>
      <c r="M110" s="9" t="n">
        <f aca="false">Links!J58</f>
        <v>0.08</v>
      </c>
      <c r="N110" s="9" t="n">
        <f aca="false">Links!K58</f>
        <v>0.075</v>
      </c>
      <c r="O110" s="9" t="n">
        <f aca="false">Links!L58</f>
        <v>0.07</v>
      </c>
      <c r="P110" s="9" t="n">
        <f aca="false">Links!M58</f>
        <v>0.11</v>
      </c>
      <c r="Q110" s="21" t="n">
        <f aca="false">SUM(E110:P110)</f>
        <v>1</v>
      </c>
    </row>
    <row r="111" customFormat="false" ht="15" hidden="false" customHeight="true" outlineLevel="0" collapsed="false">
      <c r="A111" s="5" t="s">
        <v>80</v>
      </c>
      <c r="B111" s="5" t="s">
        <v>328</v>
      </c>
      <c r="C111" s="5"/>
      <c r="D111" s="5"/>
      <c r="E111" s="9" t="n">
        <f aca="false">Links!B62</f>
        <v>0.085</v>
      </c>
      <c r="F111" s="9" t="n">
        <f aca="false">Links!C62</f>
        <v>0.075</v>
      </c>
      <c r="G111" s="9" t="n">
        <f aca="false">Links!D62</f>
        <v>0.09</v>
      </c>
      <c r="H111" s="9" t="n">
        <f aca="false">Links!E62</f>
        <v>0.09</v>
      </c>
      <c r="I111" s="9" t="n">
        <f aca="false">Links!F62</f>
        <v>0.09</v>
      </c>
      <c r="J111" s="9" t="n">
        <f aca="false">Links!G62</f>
        <v>0.08</v>
      </c>
      <c r="K111" s="9" t="n">
        <f aca="false">Links!H62</f>
        <v>0.09</v>
      </c>
      <c r="L111" s="9" t="n">
        <f aca="false">Links!I62</f>
        <v>0.09</v>
      </c>
      <c r="M111" s="9" t="n">
        <f aca="false">Links!J62</f>
        <v>0.085</v>
      </c>
      <c r="N111" s="9" t="n">
        <f aca="false">Links!K62</f>
        <v>0.075</v>
      </c>
      <c r="O111" s="9" t="n">
        <f aca="false">Links!L62</f>
        <v>0.07</v>
      </c>
      <c r="P111" s="9" t="n">
        <f aca="false">Links!M62</f>
        <v>0.08</v>
      </c>
      <c r="Q111" s="21" t="n">
        <f aca="false">SUM(E111:P111)</f>
        <v>1</v>
      </c>
    </row>
    <row r="113" customFormat="false" ht="15" hidden="false" customHeight="false" outlineLevel="0" collapsed="false">
      <c r="A113" s="1" t="s">
        <v>329</v>
      </c>
    </row>
    <row r="114" customFormat="false" ht="15" hidden="false" customHeight="false" outlineLevel="0" collapsed="false">
      <c r="A114" s="2" t="s">
        <v>330</v>
      </c>
    </row>
    <row r="115" customFormat="false" ht="15" hidden="false" customHeight="true" outlineLevel="0" collapsed="false">
      <c r="A115" s="3" t="s">
        <v>331</v>
      </c>
      <c r="B115" s="3" t="s">
        <v>332</v>
      </c>
      <c r="C115" s="3" t="s">
        <v>333</v>
      </c>
      <c r="D115" s="3" t="s">
        <v>334</v>
      </c>
      <c r="E115" s="3" t="s">
        <v>335</v>
      </c>
      <c r="F115" s="3"/>
      <c r="G115" s="3"/>
      <c r="H115" s="3"/>
    </row>
    <row r="116" customFormat="false" ht="15" hidden="false" customHeight="true" outlineLevel="0" collapsed="false">
      <c r="A116" s="5" t="s">
        <v>82</v>
      </c>
      <c r="B116" s="10" t="n">
        <f aca="false">Links!B65</f>
        <v>60</v>
      </c>
      <c r="C116" s="11" t="n">
        <f aca="false">Links!B68</f>
        <v>8.979935</v>
      </c>
      <c r="D116" s="18" t="n">
        <f aca="false">IF(B116=0,0,C116*60/B116)</f>
        <v>8.979935</v>
      </c>
      <c r="E116" s="5" t="s">
        <v>336</v>
      </c>
      <c r="F116" s="5"/>
      <c r="G116" s="5"/>
      <c r="H116" s="5"/>
    </row>
    <row r="117" customFormat="false" ht="15" hidden="false" customHeight="true" outlineLevel="0" collapsed="false">
      <c r="A117" s="5" t="s">
        <v>85</v>
      </c>
      <c r="B117" s="10" t="n">
        <f aca="false">Links!B71</f>
        <v>120</v>
      </c>
      <c r="C117" s="11" t="n">
        <f aca="false">Links!B74</f>
        <v>10.058961</v>
      </c>
      <c r="D117" s="18" t="n">
        <f aca="false">IF(B117=0,0,C117*60/B117)</f>
        <v>5.0294805</v>
      </c>
      <c r="E117" s="5" t="s">
        <v>337</v>
      </c>
      <c r="F117" s="5"/>
      <c r="G117" s="5"/>
      <c r="H117" s="5"/>
    </row>
    <row r="118" customFormat="false" ht="15" hidden="false" customHeight="true" outlineLevel="0" collapsed="false">
      <c r="A118" s="5" t="s">
        <v>88</v>
      </c>
      <c r="B118" s="10" t="n">
        <f aca="false">Links!B77+Links!B80</f>
        <v>75</v>
      </c>
      <c r="C118" s="11" t="n">
        <f aca="false">Links!B83</f>
        <v>11.33</v>
      </c>
      <c r="D118" s="18" t="n">
        <f aca="false">IF(B118=0,0,C118*60/B118)</f>
        <v>9.064</v>
      </c>
      <c r="E118" s="5" t="s">
        <v>338</v>
      </c>
      <c r="F118" s="5"/>
      <c r="G118" s="5"/>
      <c r="H118" s="5"/>
    </row>
    <row r="119" customFormat="false" ht="15" hidden="false" customHeight="true" outlineLevel="0" collapsed="false">
      <c r="A119" s="5" t="s">
        <v>92</v>
      </c>
      <c r="B119" s="10" t="n">
        <f aca="false">Links!B86+Links!B89</f>
        <v>160</v>
      </c>
      <c r="C119" s="11" t="n">
        <f aca="false">Links!B92</f>
        <v>6.32</v>
      </c>
      <c r="D119" s="18" t="n">
        <f aca="false">IF(B119=0,0,C119*60/B119)</f>
        <v>2.37</v>
      </c>
      <c r="E119" s="5" t="s">
        <v>339</v>
      </c>
      <c r="F119" s="5"/>
      <c r="G119" s="5"/>
      <c r="H119" s="5"/>
    </row>
    <row r="120" customFormat="false" ht="15" hidden="false" customHeight="false" outlineLevel="0" collapsed="false">
      <c r="A120" s="4" t="s">
        <v>340</v>
      </c>
      <c r="D120" s="18" t="n">
        <f aca="false">AVERAGE(D116:D119)</f>
        <v>6.360853875</v>
      </c>
    </row>
  </sheetData>
  <mergeCells count="35">
    <mergeCell ref="C1:H1"/>
    <mergeCell ref="C2:H2"/>
    <mergeCell ref="C3:H3"/>
    <mergeCell ref="C4:H4"/>
    <mergeCell ref="C5:H5"/>
    <mergeCell ref="C6:H6"/>
    <mergeCell ref="C7:H7"/>
    <mergeCell ref="C8:H8"/>
    <mergeCell ref="C9:H9"/>
    <mergeCell ref="C10:H10"/>
    <mergeCell ref="B34:D34"/>
    <mergeCell ref="B35:D35"/>
    <mergeCell ref="B36:D36"/>
    <mergeCell ref="B37:D37"/>
    <mergeCell ref="B38:D38"/>
    <mergeCell ref="B39:D39"/>
    <mergeCell ref="B40:D40"/>
    <mergeCell ref="B41:D41"/>
    <mergeCell ref="C43:D43"/>
    <mergeCell ref="C44:D44"/>
    <mergeCell ref="C45:D45"/>
    <mergeCell ref="C46:D46"/>
    <mergeCell ref="C47:D47"/>
    <mergeCell ref="C48:D48"/>
    <mergeCell ref="C49:D49"/>
    <mergeCell ref="C50:D50"/>
    <mergeCell ref="B108:D108"/>
    <mergeCell ref="B109:D109"/>
    <mergeCell ref="B110:D110"/>
    <mergeCell ref="B111:D111"/>
    <mergeCell ref="E115:H115"/>
    <mergeCell ref="E116:H116"/>
    <mergeCell ref="E117:H117"/>
    <mergeCell ref="E118:H118"/>
    <mergeCell ref="E119:H119"/>
  </mergeCells>
  <dataValidations count="2">
    <dataValidation allowBlank="false" errorStyle="stop" operator="between" showDropDown="false" showErrorMessage="false" showInputMessage="false" sqref="B55:B71" type="list">
      <formula1>$E$75:$L$75</formula1>
      <formula2>0</formula2>
    </dataValidation>
    <dataValidation allowBlank="false" errorStyle="stop" operator="between" showDropDown="false" showErrorMessage="false" showInputMessage="false" sqref="D76:D98" type="list">
      <formula1>"Máquina,Manual,Tercerizado"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8" min="2" style="0" width="12"/>
    <col collapsed="false" customWidth="true" hidden="false" outlineLevel="0" max="11" min="9" style="0" width="11"/>
    <col collapsed="false" customWidth="true" hidden="false" outlineLevel="0" max="12" min="12" style="0" width="24"/>
  </cols>
  <sheetData>
    <row r="1" customFormat="false" ht="15" hidden="false" customHeight="false" outlineLevel="0" collapsed="false">
      <c r="A1" s="1" t="s">
        <v>341</v>
      </c>
    </row>
    <row r="2" customFormat="false" ht="15" hidden="false" customHeight="false" outlineLevel="0" collapsed="false">
      <c r="A2" s="2" t="s">
        <v>342</v>
      </c>
    </row>
    <row r="4" customFormat="false" ht="15" hidden="false" customHeight="true" outlineLevel="0" collapsed="false">
      <c r="A4" s="3" t="s">
        <v>143</v>
      </c>
      <c r="B4" s="3" t="s">
        <v>111</v>
      </c>
      <c r="C4" s="3" t="s">
        <v>144</v>
      </c>
      <c r="D4" s="3"/>
      <c r="E4" s="3"/>
      <c r="F4" s="3"/>
      <c r="G4" s="3"/>
      <c r="H4" s="3"/>
      <c r="I4" s="3"/>
      <c r="J4" s="3"/>
      <c r="K4" s="3"/>
      <c r="L4" s="3"/>
    </row>
    <row r="5" customFormat="false" ht="15" hidden="false" customHeight="false" outlineLevel="0" collapsed="false">
      <c r="A5" s="5" t="s">
        <v>145</v>
      </c>
      <c r="B5" s="24" t="n">
        <f aca="false">parametros_recargas!B2</f>
        <v>20</v>
      </c>
      <c r="C5" s="5"/>
      <c r="D5" s="5"/>
      <c r="E5" s="5"/>
      <c r="F5" s="5"/>
      <c r="G5" s="5"/>
      <c r="H5" s="5"/>
      <c r="I5" s="5"/>
      <c r="J5" s="5"/>
      <c r="K5" s="5"/>
      <c r="L5" s="5"/>
    </row>
    <row r="6" customFormat="false" ht="15" hidden="false" customHeight="true" outlineLevel="0" collapsed="false">
      <c r="A6" s="5" t="s">
        <v>343</v>
      </c>
      <c r="B6" s="23" t="n">
        <v>1</v>
      </c>
      <c r="C6" s="5" t="s">
        <v>344</v>
      </c>
      <c r="D6" s="5"/>
      <c r="E6" s="5"/>
      <c r="F6" s="5"/>
      <c r="G6" s="5"/>
      <c r="H6" s="5"/>
      <c r="I6" s="5"/>
      <c r="J6" s="5"/>
      <c r="K6" s="5"/>
      <c r="L6" s="5"/>
    </row>
    <row r="7" customFormat="false" ht="15" hidden="false" customHeight="true" outlineLevel="0" collapsed="false">
      <c r="A7" s="5" t="s">
        <v>345</v>
      </c>
      <c r="B7" s="23" t="n">
        <v>1</v>
      </c>
      <c r="C7" s="5" t="s">
        <v>346</v>
      </c>
      <c r="D7" s="5"/>
      <c r="E7" s="5"/>
      <c r="F7" s="5"/>
      <c r="G7" s="5"/>
      <c r="H7" s="5"/>
      <c r="I7" s="5"/>
      <c r="J7" s="5"/>
      <c r="K7" s="5"/>
      <c r="L7" s="5"/>
    </row>
    <row r="8" customFormat="false" ht="15" hidden="false" customHeight="false" outlineLevel="0" collapsed="false">
      <c r="A8" s="5" t="s">
        <v>347</v>
      </c>
      <c r="B8" s="24" t="n">
        <f aca="false">parametros_recargas!B5*60</f>
        <v>450</v>
      </c>
      <c r="C8" s="5"/>
      <c r="D8" s="5"/>
      <c r="E8" s="5"/>
      <c r="F8" s="5"/>
      <c r="G8" s="5"/>
      <c r="H8" s="5"/>
      <c r="I8" s="5"/>
      <c r="J8" s="5"/>
      <c r="K8" s="5"/>
      <c r="L8" s="5"/>
    </row>
    <row r="9" customFormat="false" ht="15" hidden="false" customHeight="true" outlineLevel="0" collapsed="false">
      <c r="A9" s="5" t="s">
        <v>101</v>
      </c>
      <c r="B9" s="25" t="str">
        <f aca="false">PROY_Indexado!B51</f>
        <v>Comercial</v>
      </c>
      <c r="C9" s="5" t="s">
        <v>348</v>
      </c>
      <c r="D9" s="5"/>
      <c r="E9" s="5"/>
      <c r="F9" s="5"/>
      <c r="G9" s="5"/>
      <c r="H9" s="5"/>
      <c r="I9" s="5"/>
      <c r="J9" s="5"/>
      <c r="K9" s="5"/>
      <c r="L9" s="5"/>
    </row>
    <row r="10" customFormat="false" ht="15" hidden="false" customHeight="true" outlineLevel="0" collapsed="false">
      <c r="A10" s="5" t="s">
        <v>349</v>
      </c>
      <c r="B10" s="24" t="n">
        <f aca="false">parametros_recargas!B8</f>
        <v>2</v>
      </c>
      <c r="C10" s="5" t="s">
        <v>350</v>
      </c>
      <c r="D10" s="5"/>
      <c r="E10" s="5"/>
      <c r="F10" s="5"/>
      <c r="G10" s="5"/>
      <c r="H10" s="5"/>
      <c r="I10" s="5"/>
      <c r="J10" s="5"/>
      <c r="K10" s="5"/>
      <c r="L10" s="5"/>
    </row>
    <row r="11" customFormat="false" ht="15" hidden="false" customHeight="true" outlineLevel="0" collapsed="false">
      <c r="A11" s="5" t="s">
        <v>351</v>
      </c>
      <c r="B11" s="24" t="n">
        <f aca="false">parametros_recargas!B10</f>
        <v>2032</v>
      </c>
      <c r="C11" s="5" t="s">
        <v>352</v>
      </c>
      <c r="D11" s="5"/>
      <c r="E11" s="5"/>
      <c r="F11" s="5"/>
      <c r="G11" s="5"/>
      <c r="H11" s="5"/>
      <c r="I11" s="5"/>
      <c r="J11" s="5"/>
      <c r="K11" s="5"/>
      <c r="L11" s="5"/>
    </row>
    <row r="12" customFormat="false" ht="15" hidden="false" customHeight="true" outlineLevel="0" collapsed="false">
      <c r="A12" s="5" t="s">
        <v>353</v>
      </c>
      <c r="B12" s="23" t="n">
        <v>200</v>
      </c>
      <c r="C12" s="5" t="s">
        <v>354</v>
      </c>
      <c r="D12" s="5"/>
      <c r="E12" s="5"/>
      <c r="F12" s="5"/>
      <c r="G12" s="5"/>
      <c r="H12" s="5"/>
      <c r="I12" s="5"/>
      <c r="J12" s="5"/>
      <c r="K12" s="5"/>
      <c r="L12" s="5"/>
    </row>
    <row r="14" customFormat="false" ht="15" hidden="false" customHeight="false" outlineLevel="0" collapsed="false">
      <c r="A14" s="1" t="s">
        <v>355</v>
      </c>
    </row>
    <row r="15" customFormat="false" ht="15" hidden="false" customHeight="false" outlineLevel="0" collapsed="false">
      <c r="A15" s="2" t="s">
        <v>356</v>
      </c>
    </row>
    <row r="16" customFormat="false" ht="23.85" hidden="false" customHeight="false" outlineLevel="0" collapsed="false">
      <c r="A16" s="3" t="s">
        <v>110</v>
      </c>
      <c r="B16" s="3" t="s">
        <v>125</v>
      </c>
      <c r="C16" s="3" t="s">
        <v>126</v>
      </c>
      <c r="D16" s="3" t="s">
        <v>127</v>
      </c>
      <c r="E16" s="3" t="s">
        <v>128</v>
      </c>
      <c r="F16" s="3" t="s">
        <v>129</v>
      </c>
      <c r="G16" s="3" t="s">
        <v>130</v>
      </c>
      <c r="H16" s="3" t="s">
        <v>131</v>
      </c>
    </row>
    <row r="17" customFormat="false" ht="15" hidden="false" customHeight="false" outlineLevel="0" collapsed="false">
      <c r="A17" s="5" t="s">
        <v>357</v>
      </c>
      <c r="B17" s="9" t="n">
        <f aca="false">SUM(PROY_Indexado!B$57:B$73)/SUM(PROY_Indexado!$B$57:$H$73)</f>
        <v>0.576496101782894</v>
      </c>
      <c r="C17" s="9" t="n">
        <f aca="false">SUM(PROY_Indexado!C$57:C$73)/SUM(PROY_Indexado!$B$57:$H$73)</f>
        <v>0.29351867253148</v>
      </c>
      <c r="D17" s="9" t="n">
        <f aca="false">SUM(PROY_Indexado!D$57:D$73)/SUM(PROY_Indexado!$B$57:$H$73)</f>
        <v>0.0255135139915311</v>
      </c>
      <c r="E17" s="9" t="n">
        <f aca="false">SUM(PROY_Indexado!E$57:E$73)/SUM(PROY_Indexado!$B$57:$H$73)</f>
        <v>0.0176807128475029</v>
      </c>
      <c r="F17" s="9" t="n">
        <f aca="false">SUM(PROY_Indexado!F$57:F$73)/SUM(PROY_Indexado!$B$57:$H$73)</f>
        <v>0.0575646049597341</v>
      </c>
      <c r="G17" s="9" t="n">
        <f aca="false">SUM(PROY_Indexado!G$57:G$73)/SUM(PROY_Indexado!$B$57:$H$73)</f>
        <v>0.0254712101086556</v>
      </c>
      <c r="H17" s="9" t="n">
        <f aca="false">SUM(PROY_Indexado!H$57:H$73)/SUM(PROY_Indexado!$B$57:$H$73)</f>
        <v>0.00375518377820226</v>
      </c>
    </row>
    <row r="18" customFormat="false" ht="15" hidden="false" customHeight="false" outlineLevel="0" collapsed="false">
      <c r="A18" s="5" t="s">
        <v>358</v>
      </c>
      <c r="B18" s="10" t="n">
        <f aca="false">PROY_Indexado!B83</f>
        <v>9</v>
      </c>
      <c r="C18" s="10" t="n">
        <f aca="false">PROY_Indexado!C83</f>
        <v>15</v>
      </c>
      <c r="D18" s="10" t="n">
        <f aca="false">PROY_Indexado!D83</f>
        <v>12</v>
      </c>
      <c r="E18" s="10" t="n">
        <f aca="false">PROY_Indexado!E83</f>
        <v>11</v>
      </c>
      <c r="F18" s="10" t="n">
        <f aca="false">PROY_Indexado!F83</f>
        <v>10</v>
      </c>
      <c r="G18" s="10" t="n">
        <f aca="false">PROY_Indexado!G83</f>
        <v>61</v>
      </c>
      <c r="H18" s="10" t="n">
        <f aca="false">PROY_Indexado!H83</f>
        <v>6</v>
      </c>
    </row>
    <row r="19" customFormat="false" ht="15" hidden="false" customHeight="false" outlineLevel="0" collapsed="false">
      <c r="A19" s="5" t="s">
        <v>359</v>
      </c>
      <c r="B19" s="8" t="n">
        <f aca="false">B18*$B$12</f>
        <v>1800</v>
      </c>
      <c r="C19" s="8" t="n">
        <f aca="false">C18*$B$12</f>
        <v>3000</v>
      </c>
      <c r="D19" s="8" t="n">
        <f aca="false">D18*$B$12</f>
        <v>2400</v>
      </c>
      <c r="E19" s="8" t="n">
        <f aca="false">E18*$B$12</f>
        <v>2200</v>
      </c>
      <c r="F19" s="8" t="n">
        <f aca="false">F18*$B$12</f>
        <v>2000</v>
      </c>
      <c r="G19" s="8" t="n">
        <f aca="false">G18*$B$12</f>
        <v>12200</v>
      </c>
      <c r="H19" s="8" t="n">
        <f aca="false">H18*$B$12</f>
        <v>1200</v>
      </c>
    </row>
    <row r="20" customFormat="false" ht="15" hidden="false" customHeight="false" outlineLevel="0" collapsed="false">
      <c r="A20" s="5" t="s">
        <v>360</v>
      </c>
      <c r="B20" s="14" t="n">
        <f aca="false">IF(SUM(PROY_Indexado!B$57:B$73)=0,0,SUMPRODUCT(PROY_Indexado!B$57:B$73,$C$30:$C$46)/SUM(PROY_Indexado!B$57:B$73))</f>
        <v>18.5115599734824</v>
      </c>
      <c r="C20" s="14" t="n">
        <f aca="false">IF(SUM(PROY_Indexado!C$57:C$73)=0,0,SUMPRODUCT(PROY_Indexado!C$57:C$73,$C$30:$C$46)/SUM(PROY_Indexado!C$57:C$73))</f>
        <v>19.5151554376693</v>
      </c>
      <c r="D20" s="14" t="n">
        <f aca="false">IF(SUM(PROY_Indexado!D$57:D$73)=0,0,SUMPRODUCT(PROY_Indexado!D$57:D$73,$C$30:$C$46)/SUM(PROY_Indexado!D$57:D$73))</f>
        <v>18.6453329186648</v>
      </c>
      <c r="E20" s="14" t="n">
        <f aca="false">IF(SUM(PROY_Indexado!E$57:E$73)=0,0,SUMPRODUCT(PROY_Indexado!E$57:E$73,$C$30:$C$46)/SUM(PROY_Indexado!E$57:E$73))</f>
        <v>19.4257421835686</v>
      </c>
      <c r="F20" s="14" t="n">
        <f aca="false">IF(SUM(PROY_Indexado!F$57:F$73)=0,0,SUMPRODUCT(PROY_Indexado!F$57:F$73,$C$30:$C$46)/SUM(PROY_Indexado!F$57:F$73))</f>
        <v>30.2680399560842</v>
      </c>
      <c r="G20" s="14" t="n">
        <f aca="false">IF(SUM(PROY_Indexado!G$57:G$73)=0,0,SUMPRODUCT(PROY_Indexado!G$57:G$73,$C$30:$C$46)/SUM(PROY_Indexado!G$57:G$73))</f>
        <v>23.8180671107378</v>
      </c>
      <c r="H20" s="14" t="n">
        <f aca="false">IF(SUM(PROY_Indexado!H$57:H$73)=0,0,SUMPRODUCT(PROY_Indexado!H$57:H$73,$C$30:$C$46)/SUM(PROY_Indexado!H$57:H$73))</f>
        <v>18.6943960671954</v>
      </c>
    </row>
    <row r="21" customFormat="false" ht="15" hidden="false" customHeight="false" outlineLevel="0" collapsed="false">
      <c r="A21" s="5" t="s">
        <v>361</v>
      </c>
      <c r="B21" s="8" t="n">
        <f aca="false">B18*B20</f>
        <v>166.604039761341</v>
      </c>
      <c r="C21" s="8" t="n">
        <f aca="false">C18*C20</f>
        <v>292.727331565039</v>
      </c>
      <c r="D21" s="8" t="n">
        <f aca="false">D18*D20</f>
        <v>223.743995023978</v>
      </c>
      <c r="E21" s="8" t="n">
        <f aca="false">E18*E20</f>
        <v>213.683164019254</v>
      </c>
      <c r="F21" s="8" t="n">
        <f aca="false">F18*F20</f>
        <v>302.680399560842</v>
      </c>
      <c r="G21" s="8" t="n">
        <f aca="false">G18*G20</f>
        <v>1452.902093755</v>
      </c>
      <c r="H21" s="8" t="n">
        <f aca="false">H18*H20</f>
        <v>112.166376403172</v>
      </c>
    </row>
    <row r="22" customFormat="false" ht="15" hidden="false" customHeight="false" outlineLevel="0" collapsed="false">
      <c r="A22" s="5" t="s">
        <v>362</v>
      </c>
      <c r="B22" s="10" t="n">
        <f aca="false">MAX(1,ROUNDUP(B21/$B$8,0))</f>
        <v>1</v>
      </c>
      <c r="C22" s="10" t="n">
        <f aca="false">MAX(1,ROUNDUP(C21/$B$8,0))</f>
        <v>1</v>
      </c>
      <c r="D22" s="10" t="n">
        <f aca="false">MAX(1,ROUNDUP(D21/$B$8,0))</f>
        <v>1</v>
      </c>
      <c r="E22" s="10" t="n">
        <f aca="false">MAX(1,ROUNDUP(E21/$B$8,0))</f>
        <v>1</v>
      </c>
      <c r="F22" s="10" t="n">
        <f aca="false">MAX(1,ROUNDUP(F21/$B$8,0))</f>
        <v>1</v>
      </c>
      <c r="G22" s="10" t="n">
        <f aca="false">MAX(1,ROUNDUP(G21/$B$8,0))</f>
        <v>4</v>
      </c>
      <c r="H22" s="10" t="n">
        <f aca="false">MAX(1,ROUNDUP(H21/$B$8,0))</f>
        <v>1</v>
      </c>
    </row>
    <row r="23" customFormat="false" ht="15" hidden="false" customHeight="false" outlineLevel="0" collapsed="false">
      <c r="A23" s="5" t="s">
        <v>363</v>
      </c>
      <c r="B23" s="10" t="n">
        <f aca="false">MAX(1,ROUNDUP(B21/($B$8*$B$10),0))</f>
        <v>1</v>
      </c>
      <c r="C23" s="10" t="n">
        <f aca="false">MAX(1,ROUNDUP(C21/($B$8*$B$10),0))</f>
        <v>1</v>
      </c>
      <c r="D23" s="10" t="n">
        <f aca="false">MAX(1,ROUNDUP(D21/($B$8*$B$10),0))</f>
        <v>1</v>
      </c>
      <c r="E23" s="10" t="n">
        <f aca="false">MAX(1,ROUNDUP(E21/($B$8*$B$10),0))</f>
        <v>1</v>
      </c>
      <c r="F23" s="10" t="n">
        <f aca="false">MAX(1,ROUNDUP(F21/($B$8*$B$10),0))</f>
        <v>1</v>
      </c>
      <c r="G23" s="10" t="n">
        <f aca="false">MAX(1,ROUNDUP(G21/($B$8*$B$10),0))</f>
        <v>2</v>
      </c>
      <c r="H23" s="10" t="n">
        <f aca="false">MAX(1,ROUNDUP(H21/($B$8*$B$10),0))</f>
        <v>1</v>
      </c>
    </row>
    <row r="24" customFormat="false" ht="15" hidden="false" customHeight="false" outlineLevel="0" collapsed="false">
      <c r="A24" s="4" t="s">
        <v>364</v>
      </c>
      <c r="B24" s="15" t="n">
        <f aca="false">$B$6+B22+$B$7</f>
        <v>3</v>
      </c>
      <c r="C24" s="15" t="n">
        <f aca="false">$B$6+C22+$B$7</f>
        <v>3</v>
      </c>
      <c r="D24" s="15" t="n">
        <f aca="false">$B$6+D22+$B$7</f>
        <v>3</v>
      </c>
      <c r="E24" s="15" t="n">
        <f aca="false">$B$6+E22+$B$7</f>
        <v>3</v>
      </c>
      <c r="F24" s="15" t="n">
        <f aca="false">$B$6+F22+$B$7</f>
        <v>3</v>
      </c>
      <c r="G24" s="15" t="n">
        <f aca="false">$B$6+G22+$B$7</f>
        <v>6</v>
      </c>
      <c r="H24" s="15" t="n">
        <f aca="false">$B$6+H22+$B$7</f>
        <v>3</v>
      </c>
    </row>
    <row r="25" customFormat="false" ht="15" hidden="false" customHeight="false" outlineLevel="0" collapsed="false">
      <c r="A25" s="4" t="s">
        <v>365</v>
      </c>
      <c r="B25" s="15" t="n">
        <f aca="false">$B$6+B23+$B$7</f>
        <v>3</v>
      </c>
      <c r="C25" s="15" t="n">
        <f aca="false">$B$6+C23+$B$7</f>
        <v>3</v>
      </c>
      <c r="D25" s="15" t="n">
        <f aca="false">$B$6+D23+$B$7</f>
        <v>3</v>
      </c>
      <c r="E25" s="15" t="n">
        <f aca="false">$B$6+E23+$B$7</f>
        <v>3</v>
      </c>
      <c r="F25" s="15" t="n">
        <f aca="false">$B$6+F23+$B$7</f>
        <v>3</v>
      </c>
      <c r="G25" s="15" t="n">
        <f aca="false">$B$6+G23+$B$7</f>
        <v>4</v>
      </c>
      <c r="H25" s="15" t="n">
        <f aca="false">$B$6+H23+$B$7</f>
        <v>3</v>
      </c>
    </row>
    <row r="28" customFormat="false" ht="15" hidden="false" customHeight="false" outlineLevel="0" collapsed="false">
      <c r="A28" s="1" t="s">
        <v>366</v>
      </c>
    </row>
    <row r="29" customFormat="false" ht="35.05" hidden="false" customHeight="true" outlineLevel="0" collapsed="false">
      <c r="A29" s="3" t="s">
        <v>124</v>
      </c>
      <c r="B29" s="3" t="s">
        <v>367</v>
      </c>
      <c r="C29" s="3" t="s">
        <v>368</v>
      </c>
      <c r="D29" s="3" t="s">
        <v>369</v>
      </c>
      <c r="E29" s="3" t="s">
        <v>370</v>
      </c>
      <c r="F29" s="3" t="s">
        <v>371</v>
      </c>
      <c r="G29" s="3" t="s">
        <v>372</v>
      </c>
      <c r="H29" s="3"/>
      <c r="I29" s="3"/>
      <c r="J29" s="3"/>
      <c r="K29" s="3"/>
      <c r="L29" s="3"/>
    </row>
    <row r="30" customFormat="false" ht="23.85" hidden="false" customHeight="true" outlineLevel="0" collapsed="false">
      <c r="A30" s="6" t="str">
        <f aca="false">datos_base!A2</f>
        <v>ABC 1 kg</v>
      </c>
      <c r="B30" s="10" t="n">
        <v>0</v>
      </c>
      <c r="C30" s="14" t="n">
        <f aca="false" t="array" ref="C30:C30">(SUMPRODUCT(INDEX(parametros_recargas!$E$76:$L$97,0,MATCH(parametros_recargas!$B$55,parametros_recargas!$E$75:$L$75,0)),parametros_recargas!$N$76:$N$97)*parametros_recargas!$C$55+parametros_recargas!$D$55*parametros_recargas!$N$98)/60</f>
        <v>18.5115599734824</v>
      </c>
      <c r="D30" s="18" t="n">
        <f aca="false">IF(SUM(PROY_Indexado!$B$57:$H$57)=0,$B$6+1+$B$7,SUMPRODUCT(PROY_Indexado!$B$57:$H$57,$B$24:$H$24)/SUM(PROY_Indexado!$B$57:$H$57))</f>
        <v>3</v>
      </c>
      <c r="E30" s="18" t="n">
        <f aca="false">IF(SUM(PROY_Indexado!$B$57:$H$57)=0,$B$6+1+$B$7,SUMPRODUCT(PROY_Indexado!$B$57:$H$57,$B$25:$H$25)/SUM(PROY_Indexado!$B$57:$H$57))</f>
        <v>3</v>
      </c>
      <c r="F30" s="6" t="str">
        <f aca="false">IF(LEFT(A30,3)="ABC",IF($B$9="Comercial","Fábrica: cilindro vacío","Fábrica: terminado"),"Compra")</f>
        <v>Fábrica: cilindro vacío</v>
      </c>
      <c r="G30" s="5" t="s">
        <v>373</v>
      </c>
      <c r="H30" s="5"/>
      <c r="I30" s="5"/>
      <c r="J30" s="5"/>
      <c r="K30" s="5"/>
      <c r="L30" s="5"/>
    </row>
    <row r="31" customFormat="false" ht="23.85" hidden="false" customHeight="false" outlineLevel="0" collapsed="false">
      <c r="A31" s="6" t="str">
        <f aca="false">datos_base!A3</f>
        <v>ABC 2,5 kg</v>
      </c>
      <c r="B31" s="10" t="n">
        <v>1</v>
      </c>
      <c r="C31" s="14" t="n">
        <f aca="false" t="array" ref="C31:C31">(SUMPRODUCT(INDEX(parametros_recargas!$E$76:$L$97,0,MATCH(parametros_recargas!$B$56,parametros_recargas!$E$75:$L$75,0)),parametros_recargas!$N$76:$N$97)*parametros_recargas!$C$56+parametros_recargas!$D$56*parametros_recargas!$N$98)/60</f>
        <v>18.5115599734824</v>
      </c>
      <c r="D31" s="18" t="n">
        <f aca="false">IF(SUM(PROY_Indexado!$B$58:$H$58)=0,$B$6+1+$B$7,SUMPRODUCT(PROY_Indexado!$B$58:$H$58,$B$24:$H$24)/SUM(PROY_Indexado!$B$58:$H$58))</f>
        <v>3.12667686111512</v>
      </c>
      <c r="E31" s="18" t="n">
        <f aca="false">IF(SUM(PROY_Indexado!$B$58:$H$58)=0,$B$6+1+$B$7,SUMPRODUCT(PROY_Indexado!$B$58:$H$58,$B$25:$H$25)/SUM(PROY_Indexado!$B$58:$H$58))</f>
        <v>3.04222562037171</v>
      </c>
      <c r="F31" s="6" t="str">
        <f aca="false">IF(LEFT(A31,3)="ABC",IF($B$9="Comercial","Fábrica: cilindro vacío","Fábrica: terminado"),"Compra")</f>
        <v>Fábrica: cilindro vacío</v>
      </c>
      <c r="G31" s="5"/>
      <c r="H31" s="5"/>
      <c r="I31" s="5"/>
      <c r="J31" s="5"/>
      <c r="K31" s="5"/>
      <c r="L31" s="5"/>
    </row>
    <row r="32" customFormat="false" ht="23.85" hidden="false" customHeight="false" outlineLevel="0" collapsed="false">
      <c r="A32" s="6" t="str">
        <f aca="false">datos_base!A4</f>
        <v>ABC 5 kg</v>
      </c>
      <c r="B32" s="10" t="n">
        <v>1</v>
      </c>
      <c r="C32" s="14" t="n">
        <f aca="false" t="array" ref="C32:C32">(SUMPRODUCT(INDEX(parametros_recargas!$E$76:$L$97,0,MATCH(parametros_recargas!$B$57,parametros_recargas!$E$75:$L$75,0)),parametros_recargas!$N$76:$N$97)*parametros_recargas!$C$57+parametros_recargas!$D$57*parametros_recargas!$N$98)/60</f>
        <v>18.5115599734824</v>
      </c>
      <c r="D32" s="18" t="n">
        <f aca="false">IF(SUM(PROY_Indexado!$B$59:$H$59)=0,$B$6+1+$B$7,SUMPRODUCT(PROY_Indexado!$B$59:$H$59,$B$24:$H$24)/SUM(PROY_Indexado!$B$59:$H$59))</f>
        <v>3.1366751902856</v>
      </c>
      <c r="E32" s="18" t="n">
        <f aca="false">IF(SUM(PROY_Indexado!$B$59:$H$59)=0,$B$6+1+$B$7,SUMPRODUCT(PROY_Indexado!$B$59:$H$59,$B$25:$H$25)/SUM(PROY_Indexado!$B$59:$H$59))</f>
        <v>3.04555839676187</v>
      </c>
      <c r="F32" s="6" t="str">
        <f aca="false">IF(LEFT(A32,3)="ABC",IF($B$9="Comercial","Fábrica: cilindro vacío","Fábrica: terminado"),"Compra")</f>
        <v>Fábrica: cilindro vacío</v>
      </c>
      <c r="G32" s="5"/>
      <c r="H32" s="5"/>
      <c r="I32" s="5"/>
      <c r="J32" s="5"/>
      <c r="K32" s="5"/>
      <c r="L32" s="5"/>
    </row>
    <row r="33" customFormat="false" ht="23.85" hidden="false" customHeight="false" outlineLevel="0" collapsed="false">
      <c r="A33" s="6" t="str">
        <f aca="false">datos_base!A5</f>
        <v>ABC 10 kg</v>
      </c>
      <c r="B33" s="10" t="n">
        <v>1</v>
      </c>
      <c r="C33" s="14" t="n">
        <f aca="false" t="array" ref="C33:C33">(SUMPRODUCT(INDEX(parametros_recargas!$E$76:$L$97,0,MATCH(parametros_recargas!$B$58,parametros_recargas!$E$75:$L$75,0)),parametros_recargas!$N$76:$N$97)*parametros_recargas!$C$58+parametros_recargas!$D$58*parametros_recargas!$N$98)/60</f>
        <v>18.5115599734824</v>
      </c>
      <c r="D33" s="18" t="n">
        <f aca="false">IF(SUM(PROY_Indexado!$B$60:$H$60)=0,$B$6+1+$B$7,SUMPRODUCT(PROY_Indexado!$B$60:$H$60,$B$24:$H$24)/SUM(PROY_Indexado!$B$60:$H$60))</f>
        <v>3.31901146552119</v>
      </c>
      <c r="E33" s="18" t="n">
        <f aca="false">IF(SUM(PROY_Indexado!$B$60:$H$60)=0,$B$6+1+$B$7,SUMPRODUCT(PROY_Indexado!$B$60:$H$60,$B$25:$H$25)/SUM(PROY_Indexado!$B$60:$H$60))</f>
        <v>3.10633715517373</v>
      </c>
      <c r="F33" s="6" t="str">
        <f aca="false">IF(LEFT(A33,3)="ABC",IF($B$9="Comercial","Fábrica: cilindro vacío","Fábrica: terminado"),"Compra")</f>
        <v>Fábrica: cilindro vacío</v>
      </c>
      <c r="G33" s="5"/>
      <c r="H33" s="5"/>
      <c r="I33" s="5"/>
      <c r="J33" s="5"/>
      <c r="K33" s="5"/>
      <c r="L33" s="5"/>
    </row>
    <row r="34" customFormat="false" ht="15" hidden="false" customHeight="false" outlineLevel="0" collapsed="false">
      <c r="A34" s="6" t="str">
        <f aca="false">datos_base!A6</f>
        <v>Agua 10 l</v>
      </c>
      <c r="B34" s="10" t="n">
        <v>1</v>
      </c>
      <c r="C34" s="14" t="n">
        <f aca="false" t="array" ref="C34:C34">(SUMPRODUCT(INDEX(parametros_recargas!$E$76:$L$97,0,MATCH(parametros_recargas!$B$59,parametros_recargas!$E$75:$L$75,0)),parametros_recargas!$N$76:$N$97)*parametros_recargas!$C$59+parametros_recargas!$D$59*parametros_recargas!$N$98)/60</f>
        <v>19.355</v>
      </c>
      <c r="D34" s="18" t="n">
        <f aca="false">IF(SUM(PROY_Indexado!$B$61:$H$61)=0,$B$6+1+$B$7,SUMPRODUCT(PROY_Indexado!$B$61:$H$61,$B$24:$H$24)/SUM(PROY_Indexado!$B$61:$H$61))</f>
        <v>3.31582843800273</v>
      </c>
      <c r="E34" s="18" t="n">
        <f aca="false">IF(SUM(PROY_Indexado!$B$61:$H$61)=0,$B$6+1+$B$7,SUMPRODUCT(PROY_Indexado!$B$61:$H$61,$B$25:$H$25)/SUM(PROY_Indexado!$B$61:$H$61))</f>
        <v>3.10527614600091</v>
      </c>
      <c r="F34" s="6" t="str">
        <f aca="false">IF(LEFT(A34,3)="ABC",IF($B$9="Comercial","Fábrica: cilindro vacío","Fábrica: terminado"),"Compra")</f>
        <v>Compra</v>
      </c>
      <c r="G34" s="5"/>
      <c r="H34" s="5"/>
      <c r="I34" s="5"/>
      <c r="J34" s="5"/>
      <c r="K34" s="5"/>
      <c r="L34" s="5"/>
    </row>
    <row r="35" customFormat="false" ht="15" hidden="false" customHeight="false" outlineLevel="0" collapsed="false">
      <c r="A35" s="6" t="str">
        <f aca="false">datos_base!A7</f>
        <v>AFFF 10 l</v>
      </c>
      <c r="B35" s="10" t="n">
        <v>1</v>
      </c>
      <c r="C35" s="14" t="n">
        <f aca="false" t="array" ref="C35:C35">(SUMPRODUCT(INDEX(parametros_recargas!$E$76:$L$97,0,MATCH(parametros_recargas!$B$60,parametros_recargas!$E$75:$L$75,0)),parametros_recargas!$N$76:$N$97)*parametros_recargas!$C$60+parametros_recargas!$D$60*parametros_recargas!$N$98)/60</f>
        <v>19.355</v>
      </c>
      <c r="D35" s="18" t="n">
        <f aca="false">IF(SUM(PROY_Indexado!$B$62:$H$62)=0,$B$6+1+$B$7,SUMPRODUCT(PROY_Indexado!$B$62:$H$62,$B$24:$H$24)/SUM(PROY_Indexado!$B$62:$H$62))</f>
        <v>3</v>
      </c>
      <c r="E35" s="18" t="n">
        <f aca="false">IF(SUM(PROY_Indexado!$B$62:$H$62)=0,$B$6+1+$B$7,SUMPRODUCT(PROY_Indexado!$B$62:$H$62,$B$25:$H$25)/SUM(PROY_Indexado!$B$62:$H$62))</f>
        <v>3</v>
      </c>
      <c r="F35" s="6" t="str">
        <f aca="false">IF(LEFT(A35,3)="ABC",IF($B$9="Comercial","Fábrica: cilindro vacío","Fábrica: terminado"),"Compra")</f>
        <v>Compra</v>
      </c>
      <c r="G35" s="5"/>
      <c r="H35" s="5"/>
      <c r="I35" s="5"/>
      <c r="J35" s="5"/>
      <c r="K35" s="5"/>
      <c r="L35" s="5"/>
    </row>
    <row r="36" customFormat="false" ht="15" hidden="false" customHeight="false" outlineLevel="0" collapsed="false">
      <c r="A36" s="6" t="str">
        <f aca="false">datos_base!A8</f>
        <v>AFFF 50 l s/ruedas</v>
      </c>
      <c r="B36" s="10" t="n">
        <v>1</v>
      </c>
      <c r="C36" s="14" t="n">
        <f aca="false" t="array" ref="C36:C36">(SUMPRODUCT(INDEX(parametros_recargas!$E$76:$L$97,0,MATCH(parametros_recargas!$B$61,parametros_recargas!$E$75:$L$75,0)),parametros_recargas!$N$76:$N$97)*parametros_recargas!$C$61+parametros_recargas!$D$61*parametros_recargas!$N$98)/60</f>
        <v>128.114326750625</v>
      </c>
      <c r="D36" s="18" t="n">
        <f aca="false">IF(SUM(PROY_Indexado!$B$63:$H$63)=0,$B$6+1+$B$7,SUMPRODUCT(PROY_Indexado!$B$63:$H$63,$B$24:$H$24)/SUM(PROY_Indexado!$B$63:$H$63))</f>
        <v>3</v>
      </c>
      <c r="E36" s="18" t="n">
        <f aca="false">IF(SUM(PROY_Indexado!$B$63:$H$63)=0,$B$6+1+$B$7,SUMPRODUCT(PROY_Indexado!$B$63:$H$63,$B$25:$H$25)/SUM(PROY_Indexado!$B$63:$H$63))</f>
        <v>3</v>
      </c>
      <c r="F36" s="6" t="str">
        <f aca="false">IF(LEFT(A36,3)="ABC",IF($B$9="Comercial","Fábrica: cilindro vacío","Fábrica: terminado"),"Compra")</f>
        <v>Compra</v>
      </c>
      <c r="G36" s="5"/>
      <c r="H36" s="5"/>
      <c r="I36" s="5"/>
      <c r="J36" s="5"/>
      <c r="K36" s="5"/>
      <c r="L36" s="5"/>
    </row>
    <row r="37" customFormat="false" ht="15" hidden="false" customHeight="false" outlineLevel="0" collapsed="false">
      <c r="A37" s="6" t="str">
        <f aca="false">datos_base!A9</f>
        <v>BC 5 kg</v>
      </c>
      <c r="B37" s="10" t="n">
        <v>1</v>
      </c>
      <c r="C37" s="14" t="n">
        <f aca="false" t="array" ref="C37:C37">(SUMPRODUCT(INDEX(parametros_recargas!$E$76:$L$97,0,MATCH(parametros_recargas!$B$62,parametros_recargas!$E$75:$L$75,0)),parametros_recargas!$N$76:$N$97)*parametros_recargas!$C$62+parametros_recargas!$D$62*parametros_recargas!$N$98)/60</f>
        <v>18.6266666666667</v>
      </c>
      <c r="D37" s="18" t="n">
        <f aca="false">IF(SUM(PROY_Indexado!$B$64:$H$64)=0,$B$6+1+$B$7,SUMPRODUCT(PROY_Indexado!$B$64:$H$64,$B$24:$H$24)/SUM(PROY_Indexado!$B$64:$H$64))</f>
        <v>3</v>
      </c>
      <c r="E37" s="18" t="n">
        <f aca="false">IF(SUM(PROY_Indexado!$B$64:$H$64)=0,$B$6+1+$B$7,SUMPRODUCT(PROY_Indexado!$B$64:$H$64,$B$25:$H$25)/SUM(PROY_Indexado!$B$64:$H$64))</f>
        <v>3</v>
      </c>
      <c r="F37" s="6" t="str">
        <f aca="false">IF(LEFT(A37,3)="ABC",IF($B$9="Comercial","Fábrica: cilindro vacío","Fábrica: terminado"),"Compra")</f>
        <v>Compra</v>
      </c>
      <c r="G37" s="5"/>
      <c r="H37" s="5"/>
      <c r="I37" s="5"/>
      <c r="J37" s="5"/>
      <c r="K37" s="5"/>
      <c r="L37" s="5"/>
    </row>
    <row r="38" customFormat="false" ht="15" hidden="false" customHeight="false" outlineLevel="0" collapsed="false">
      <c r="A38" s="6" t="str">
        <f aca="false">datos_base!A10</f>
        <v>Sales K 6 l</v>
      </c>
      <c r="B38" s="10" t="n">
        <v>1</v>
      </c>
      <c r="C38" s="14" t="n">
        <f aca="false" t="array" ref="C38:C38">(SUMPRODUCT(INDEX(parametros_recargas!$E$76:$L$97,0,MATCH(parametros_recargas!$B$63,parametros_recargas!$E$75:$L$75,0)),parametros_recargas!$N$76:$N$97)*parametros_recargas!$C$63+parametros_recargas!$D$63*parametros_recargas!$N$98)/60</f>
        <v>19.355</v>
      </c>
      <c r="D38" s="18" t="n">
        <f aca="false">IF(SUM(PROY_Indexado!$B$65:$H$65)=0,$B$6+1+$B$7,SUMPRODUCT(PROY_Indexado!$B$65:$H$65,$B$24:$H$24)/SUM(PROY_Indexado!$B$65:$H$65))</f>
        <v>3.21539501374829</v>
      </c>
      <c r="E38" s="18" t="n">
        <f aca="false">IF(SUM(PROY_Indexado!$B$65:$H$65)=0,$B$6+1+$B$7,SUMPRODUCT(PROY_Indexado!$B$65:$H$65,$B$25:$H$25)/SUM(PROY_Indexado!$B$65:$H$65))</f>
        <v>3.0717983379161</v>
      </c>
      <c r="F38" s="6" t="str">
        <f aca="false">IF(LEFT(A38,3)="ABC",IF($B$9="Comercial","Fábrica: cilindro vacío","Fábrica: terminado"),"Compra")</f>
        <v>Compra</v>
      </c>
      <c r="G38" s="5"/>
      <c r="H38" s="5"/>
      <c r="I38" s="5"/>
      <c r="J38" s="5"/>
      <c r="K38" s="5"/>
      <c r="L38" s="5"/>
    </row>
    <row r="39" customFormat="false" ht="15" hidden="false" customHeight="false" outlineLevel="0" collapsed="false">
      <c r="A39" s="6" t="str">
        <f aca="false">datos_base!A11</f>
        <v>CO₂ 2 kg</v>
      </c>
      <c r="B39" s="10" t="n">
        <v>1</v>
      </c>
      <c r="C39" s="14" t="n">
        <f aca="false" t="array" ref="C39:C39">(SUMPRODUCT(INDEX(parametros_recargas!$E$76:$L$97,0,MATCH(parametros_recargas!$B$64,parametros_recargas!$E$75:$L$75,0)),parametros_recargas!$N$76:$N$97)*parametros_recargas!$C$64+parametros_recargas!$D$64*parametros_recargas!$N$98)/60</f>
        <v>14.4166666666667</v>
      </c>
      <c r="D39" s="18" t="n">
        <f aca="false">IF(SUM(PROY_Indexado!$B$66:$H$66)=0,$B$6+1+$B$7,SUMPRODUCT(PROY_Indexado!$B$66:$H$66,$B$24:$H$24)/SUM(PROY_Indexado!$B$66:$H$66))</f>
        <v>3.14212498854906</v>
      </c>
      <c r="E39" s="18" t="n">
        <f aca="false">IF(SUM(PROY_Indexado!$B$66:$H$66)=0,$B$6+1+$B$7,SUMPRODUCT(PROY_Indexado!$B$66:$H$66,$B$25:$H$25)/SUM(PROY_Indexado!$B$66:$H$66))</f>
        <v>3.04737499618302</v>
      </c>
      <c r="F39" s="6" t="str">
        <f aca="false">IF(LEFT(A39,3)="ABC",IF($B$9="Comercial","Fábrica: cilindro vacío","Fábrica: terminado"),"Compra")</f>
        <v>Compra</v>
      </c>
      <c r="G39" s="5"/>
      <c r="H39" s="5"/>
      <c r="I39" s="5"/>
      <c r="J39" s="5"/>
      <c r="K39" s="5"/>
      <c r="L39" s="5"/>
    </row>
    <row r="40" customFormat="false" ht="15" hidden="false" customHeight="false" outlineLevel="0" collapsed="false">
      <c r="A40" s="6" t="str">
        <f aca="false">datos_base!A12</f>
        <v>CO₂ 5 kg</v>
      </c>
      <c r="B40" s="10" t="n">
        <v>1</v>
      </c>
      <c r="C40" s="14" t="n">
        <f aca="false" t="array" ref="C40:C40">(SUMPRODUCT(INDEX(parametros_recargas!$E$76:$L$97,0,MATCH(parametros_recargas!$B$65,parametros_recargas!$E$75:$L$75,0)),parametros_recargas!$N$76:$N$97)*parametros_recargas!$C$65+parametros_recargas!$D$65*parametros_recargas!$N$98)/60</f>
        <v>19.4166666666667</v>
      </c>
      <c r="D40" s="18" t="n">
        <f aca="false">IF(SUM(PROY_Indexado!$B$67:$H$67)=0,$B$6+1+$B$7,SUMPRODUCT(PROY_Indexado!$B$67:$H$67,$B$24:$H$24)/SUM(PROY_Indexado!$B$67:$H$67))</f>
        <v>3.46887075487775</v>
      </c>
      <c r="E40" s="18" t="n">
        <f aca="false">IF(SUM(PROY_Indexado!$B$67:$H$67)=0,$B$6+1+$B$7,SUMPRODUCT(PROY_Indexado!$B$67:$H$67,$B$25:$H$25)/SUM(PROY_Indexado!$B$67:$H$67))</f>
        <v>3.15629025162592</v>
      </c>
      <c r="F40" s="6" t="str">
        <f aca="false">IF(LEFT(A40,3)="ABC",IF($B$9="Comercial","Fábrica: cilindro vacío","Fábrica: terminado"),"Compra")</f>
        <v>Compra</v>
      </c>
      <c r="G40" s="5"/>
      <c r="H40" s="5"/>
      <c r="I40" s="5"/>
      <c r="J40" s="5"/>
      <c r="K40" s="5"/>
      <c r="L40" s="5"/>
    </row>
    <row r="41" customFormat="false" ht="15" hidden="false" customHeight="false" outlineLevel="0" collapsed="false">
      <c r="A41" s="6" t="str">
        <f aca="false">datos_base!A13</f>
        <v>HCFC/HFC 5 kg</v>
      </c>
      <c r="B41" s="10" t="n">
        <v>1</v>
      </c>
      <c r="C41" s="14" t="n">
        <f aca="false" t="array" ref="C41:C41">(SUMPRODUCT(INDEX(parametros_recargas!$E$76:$L$97,0,MATCH(parametros_recargas!$B$66,parametros_recargas!$E$75:$L$75,0)),parametros_recargas!$N$76:$N$97)*parametros_recargas!$C$66+parametros_recargas!$D$66*parametros_recargas!$N$98)/60</f>
        <v>17.6091666666667</v>
      </c>
      <c r="D41" s="18" t="n">
        <f aca="false">IF(SUM(PROY_Indexado!$B$68:$H$68)=0,$B$6+1+$B$7,SUMPRODUCT(PROY_Indexado!$B$68:$H$68,$B$24:$H$24)/SUM(PROY_Indexado!$B$68:$H$68))</f>
        <v>3.62219428981864</v>
      </c>
      <c r="E41" s="18" t="n">
        <f aca="false">IF(SUM(PROY_Indexado!$B$68:$H$68)=0,$B$6+1+$B$7,SUMPRODUCT(PROY_Indexado!$B$68:$H$68,$B$25:$H$25)/SUM(PROY_Indexado!$B$68:$H$68))</f>
        <v>3.20739809660621</v>
      </c>
      <c r="F41" s="6" t="str">
        <f aca="false">IF(LEFT(A41,3)="ABC",IF($B$9="Comercial","Fábrica: cilindro vacío","Fábrica: terminado"),"Compra")</f>
        <v>Compra</v>
      </c>
      <c r="G41" s="5"/>
      <c r="H41" s="5"/>
      <c r="I41" s="5"/>
      <c r="J41" s="5"/>
      <c r="K41" s="5"/>
      <c r="L41" s="5"/>
    </row>
    <row r="42" customFormat="false" ht="15" hidden="false" customHeight="false" outlineLevel="0" collapsed="false">
      <c r="A42" s="6" t="str">
        <f aca="false">datos_base!A14</f>
        <v>Clase D 9 l</v>
      </c>
      <c r="B42" s="10" t="n">
        <v>1</v>
      </c>
      <c r="C42" s="14" t="n">
        <f aca="false" t="array" ref="C42:C42">(SUMPRODUCT(INDEX(parametros_recargas!$E$76:$L$97,0,MATCH(parametros_recargas!$B$67,parametros_recargas!$E$75:$L$75,0)),parametros_recargas!$N$76:$N$97)*parametros_recargas!$C$67+parametros_recargas!$D$67*parametros_recargas!$N$98)/60</f>
        <v>19.71</v>
      </c>
      <c r="D42" s="18" t="n">
        <f aca="false">IF(SUM(PROY_Indexado!$B$69:$H$69)=0,$B$6+1+$B$7,SUMPRODUCT(PROY_Indexado!$B$69:$H$69,$B$24:$H$24)/SUM(PROY_Indexado!$B$69:$H$69))</f>
        <v>3</v>
      </c>
      <c r="E42" s="18" t="n">
        <f aca="false">IF(SUM(PROY_Indexado!$B$69:$H$69)=0,$B$6+1+$B$7,SUMPRODUCT(PROY_Indexado!$B$69:$H$69,$B$25:$H$25)/SUM(PROY_Indexado!$B$69:$H$69))</f>
        <v>3</v>
      </c>
      <c r="F42" s="6" t="str">
        <f aca="false">IF(LEFT(A42,3)="ABC",IF($B$9="Comercial","Fábrica: cilindro vacío","Fábrica: terminado"),"Compra")</f>
        <v>Compra</v>
      </c>
      <c r="G42" s="5"/>
      <c r="H42" s="5"/>
      <c r="I42" s="5"/>
      <c r="J42" s="5"/>
      <c r="K42" s="5"/>
      <c r="L42" s="5"/>
    </row>
    <row r="43" customFormat="false" ht="23.85" hidden="false" customHeight="false" outlineLevel="0" collapsed="false">
      <c r="A43" s="6" t="str">
        <f aca="false">datos_base!A15</f>
        <v>ABC 25 kg s/ruedas</v>
      </c>
      <c r="B43" s="10" t="n">
        <v>1</v>
      </c>
      <c r="C43" s="14" t="n">
        <f aca="false" t="array" ref="C43:C43">(SUMPRODUCT(INDEX(parametros_recargas!$E$76:$L$97,0,MATCH(parametros_recargas!$B$68,parametros_recargas!$E$75:$L$75,0)),parametros_recargas!$N$76:$N$97)*parametros_recargas!$C$68+parametros_recargas!$D$68*parametros_recargas!$N$98)/60</f>
        <v>122.74932798962</v>
      </c>
      <c r="D43" s="18" t="n">
        <f aca="false">IF(SUM(PROY_Indexado!$B$70:$H$70)=0,$B$6+1+$B$7,SUMPRODUCT(PROY_Indexado!$B$70:$H$70,$B$24:$H$24)/SUM(PROY_Indexado!$B$70:$H$70))</f>
        <v>3.40023858647293</v>
      </c>
      <c r="E43" s="18" t="n">
        <f aca="false">IF(SUM(PROY_Indexado!$B$70:$H$70)=0,$B$6+1+$B$7,SUMPRODUCT(PROY_Indexado!$B$70:$H$70,$B$25:$H$25)/SUM(PROY_Indexado!$B$70:$H$70))</f>
        <v>3.13341286215764</v>
      </c>
      <c r="F43" s="6" t="str">
        <f aca="false">IF(LEFT(A43,3)="ABC",IF($B$9="Comercial","Fábrica: cilindro vacío","Fábrica: terminado"),"Compra")</f>
        <v>Fábrica: cilindro vacío</v>
      </c>
      <c r="G43" s="5"/>
      <c r="H43" s="5"/>
      <c r="I43" s="5"/>
      <c r="J43" s="5"/>
      <c r="K43" s="5"/>
      <c r="L43" s="5"/>
    </row>
    <row r="44" customFormat="false" ht="23.85" hidden="false" customHeight="false" outlineLevel="0" collapsed="false">
      <c r="A44" s="6" t="str">
        <f aca="false">datos_base!A16</f>
        <v>ABC 50 kg s/ruedas</v>
      </c>
      <c r="B44" s="10" t="n">
        <v>1</v>
      </c>
      <c r="C44" s="14" t="n">
        <f aca="false" t="array" ref="C44:C44">(SUMPRODUCT(INDEX(parametros_recargas!$E$76:$L$97,0,MATCH(parametros_recargas!$B$69,parametros_recargas!$E$75:$L$75,0)),parametros_recargas!$N$76:$N$97)*parametros_recargas!$C$69+parametros_recargas!$D$69*parametros_recargas!$N$98)/60</f>
        <v>122.74932798962</v>
      </c>
      <c r="D44" s="18" t="n">
        <f aca="false">IF(SUM(PROY_Indexado!$B$71:$H$71)=0,$B$6+1+$B$7,SUMPRODUCT(PROY_Indexado!$B$71:$H$71,$B$24:$H$24)/SUM(PROY_Indexado!$B$71:$H$71))</f>
        <v>3.40022756364671</v>
      </c>
      <c r="E44" s="18" t="n">
        <f aca="false">IF(SUM(PROY_Indexado!$B$71:$H$71)=0,$B$6+1+$B$7,SUMPRODUCT(PROY_Indexado!$B$71:$H$71,$B$25:$H$25)/SUM(PROY_Indexado!$B$71:$H$71))</f>
        <v>3.13340918788224</v>
      </c>
      <c r="F44" s="6" t="str">
        <f aca="false">IF(LEFT(A44,3)="ABC",IF($B$9="Comercial","Fábrica: cilindro vacío","Fábrica: terminado"),"Compra")</f>
        <v>Fábrica: cilindro vacío</v>
      </c>
      <c r="G44" s="5"/>
      <c r="H44" s="5"/>
      <c r="I44" s="5"/>
      <c r="J44" s="5"/>
      <c r="K44" s="5"/>
      <c r="L44" s="5"/>
    </row>
    <row r="45" customFormat="false" ht="23.85" hidden="false" customHeight="false" outlineLevel="0" collapsed="false">
      <c r="A45" s="6" t="str">
        <f aca="false">datos_base!A17</f>
        <v>ABC 70 kg s/ruedas</v>
      </c>
      <c r="B45" s="10" t="n">
        <v>1</v>
      </c>
      <c r="C45" s="14" t="n">
        <f aca="false" t="array" ref="C45:C45">(SUMPRODUCT(INDEX(parametros_recargas!$E$76:$L$97,0,MATCH(parametros_recargas!$B$70,parametros_recargas!$E$75:$L$75,0)),parametros_recargas!$N$76:$N$97)*parametros_recargas!$C$70+parametros_recargas!$D$70*parametros_recargas!$N$98)/60</f>
        <v>122.74932798962</v>
      </c>
      <c r="D45" s="18" t="n">
        <f aca="false">IF(SUM(PROY_Indexado!$B$72:$H$72)=0,$B$6+1+$B$7,SUMPRODUCT(PROY_Indexado!$B$72:$H$72,$B$24:$H$24)/SUM(PROY_Indexado!$B$72:$H$72))</f>
        <v>3.40023223125344</v>
      </c>
      <c r="E45" s="18" t="n">
        <f aca="false">IF(SUM(PROY_Indexado!$B$72:$H$72)=0,$B$6+1+$B$7,SUMPRODUCT(PROY_Indexado!$B$72:$H$72,$B$25:$H$25)/SUM(PROY_Indexado!$B$72:$H$72))</f>
        <v>3.13341074375115</v>
      </c>
      <c r="F45" s="6" t="str">
        <f aca="false">IF(LEFT(A45,3)="ABC",IF($B$9="Comercial","Fábrica: cilindro vacío","Fábrica: terminado"),"Compra")</f>
        <v>Fábrica: cilindro vacío</v>
      </c>
      <c r="G45" s="5"/>
      <c r="H45" s="5"/>
      <c r="I45" s="5"/>
      <c r="J45" s="5"/>
      <c r="K45" s="5"/>
      <c r="L45" s="5"/>
    </row>
    <row r="46" customFormat="false" ht="23.85" hidden="false" customHeight="false" outlineLevel="0" collapsed="false">
      <c r="A46" s="6" t="str">
        <f aca="false">datos_base!A18</f>
        <v>ABC 100 kg s/ruedas</v>
      </c>
      <c r="B46" s="10" t="n">
        <v>1</v>
      </c>
      <c r="C46" s="14" t="n">
        <f aca="false" t="array" ref="C46:C46">(SUMPRODUCT(INDEX(parametros_recargas!$E$76:$L$97,0,MATCH(parametros_recargas!$B$71,parametros_recargas!$E$75:$L$75,0)),parametros_recargas!$N$76:$N$97)*parametros_recargas!$C$71+parametros_recargas!$D$71*parametros_recargas!$N$98)/60</f>
        <v>122.74932798962</v>
      </c>
      <c r="D46" s="18" t="n">
        <f aca="false">IF(SUM(PROY_Indexado!$B$73:$H$73)=0,$B$6+1+$B$7,SUMPRODUCT(PROY_Indexado!$B$73:$H$73,$B$24:$H$24)/SUM(PROY_Indexado!$B$73:$H$73))</f>
        <v>3.40023223125344</v>
      </c>
      <c r="E46" s="18" t="n">
        <f aca="false">IF(SUM(PROY_Indexado!$B$73:$H$73)=0,$B$6+1+$B$7,SUMPRODUCT(PROY_Indexado!$B$73:$H$73,$B$25:$H$25)/SUM(PROY_Indexado!$B$73:$H$73))</f>
        <v>3.13341074375115</v>
      </c>
      <c r="F46" s="6" t="str">
        <f aca="false">IF(LEFT(A46,3)="ABC",IF($B$9="Comercial","Fábrica: cilindro vacío","Fábrica: terminado"),"Compra")</f>
        <v>Fábrica: cilindro vacío</v>
      </c>
      <c r="G46" s="5"/>
      <c r="H46" s="5"/>
      <c r="I46" s="5"/>
      <c r="J46" s="5"/>
      <c r="K46" s="5"/>
      <c r="L46" s="5"/>
    </row>
    <row r="48" customFormat="false" ht="15" hidden="false" customHeight="false" outlineLevel="0" collapsed="false">
      <c r="A48" s="1" t="s">
        <v>374</v>
      </c>
    </row>
    <row r="49" customFormat="false" ht="15" hidden="false" customHeight="false" outlineLevel="0" collapsed="false">
      <c r="A49" s="2" t="s">
        <v>375</v>
      </c>
    </row>
    <row r="50" customFormat="false" ht="15" hidden="false" customHeight="false" outlineLevel="0" collapsed="false">
      <c r="A50" s="3" t="s">
        <v>124</v>
      </c>
      <c r="B50" s="3" t="n">
        <v>2026</v>
      </c>
      <c r="C50" s="3" t="n">
        <v>2027</v>
      </c>
      <c r="D50" s="3" t="n">
        <v>2028</v>
      </c>
      <c r="E50" s="3" t="n">
        <v>2029</v>
      </c>
      <c r="F50" s="3" t="n">
        <v>2030</v>
      </c>
      <c r="G50" s="3" t="n">
        <v>2031</v>
      </c>
      <c r="H50" s="3" t="n">
        <v>2032</v>
      </c>
      <c r="I50" s="3" t="n">
        <v>2033</v>
      </c>
      <c r="J50" s="3" t="n">
        <v>2034</v>
      </c>
      <c r="K50" s="3" t="n">
        <v>2035</v>
      </c>
    </row>
    <row r="51" customFormat="false" ht="15" hidden="false" customHeight="false" outlineLevel="0" collapsed="false">
      <c r="A51" s="6" t="str">
        <f aca="false">datos_base!A2</f>
        <v>ABC 1 kg</v>
      </c>
      <c r="B51" s="8" t="n">
        <f aca="false">ROUNDUP(datos_base!B2*$B$30*IF(B$50&gt;=$B$11,$E$30,$D$30)*parametros_recargas!$Q$55/$B$5,0)</f>
        <v>0</v>
      </c>
      <c r="C51" s="8" t="n">
        <f aca="false">ROUNDUP(datos_base!C2*$B$30*IF(C$50&gt;=$B$11,$E$30,$D$30)*parametros_recargas!$Q$55/$B$5,0)</f>
        <v>0</v>
      </c>
      <c r="D51" s="8" t="n">
        <f aca="false">ROUNDUP(datos_base!D2*$B$30*IF(D$50&gt;=$B$11,$E$30,$D$30)*parametros_recargas!$Q$55/$B$5,0)</f>
        <v>0</v>
      </c>
      <c r="E51" s="8" t="n">
        <f aca="false">ROUNDUP(datos_base!E2*$B$30*IF(E$50&gt;=$B$11,$E$30,$D$30)*parametros_recargas!$Q$55/$B$5,0)</f>
        <v>0</v>
      </c>
      <c r="F51" s="8" t="n">
        <f aca="false">ROUNDUP(datos_base!F2*$B$30*IF(F$50&gt;=$B$11,$E$30,$D$30)*parametros_recargas!$Q$55/$B$5,0)</f>
        <v>0</v>
      </c>
      <c r="G51" s="8" t="n">
        <f aca="false">ROUNDUP(datos_base!G2*$B$30*IF(G$50&gt;=$B$11,$E$30,$D$30)*parametros_recargas!$Q$55/$B$5,0)</f>
        <v>0</v>
      </c>
      <c r="H51" s="8" t="n">
        <f aca="false">ROUNDUP(datos_base!H2*$B$30*IF(H$50&gt;=$B$11,$E$30,$D$30)*parametros_recargas!$Q$55/$B$5,0)</f>
        <v>0</v>
      </c>
      <c r="I51" s="8" t="n">
        <f aca="false">ROUNDUP(datos_base!I2*$B$30*IF(I$50&gt;=$B$11,$E$30,$D$30)*parametros_recargas!$Q$55/$B$5,0)</f>
        <v>0</v>
      </c>
      <c r="J51" s="8" t="n">
        <f aca="false">ROUNDUP(datos_base!J2*$B$30*IF(J$50&gt;=$B$11,$E$30,$D$30)*parametros_recargas!$Q$55/$B$5,0)</f>
        <v>0</v>
      </c>
      <c r="K51" s="8" t="n">
        <f aca="false">ROUNDUP(datos_base!K2*$B$30*IF(K$50&gt;=$B$11,$E$30,$D$30)*parametros_recargas!$Q$55/$B$5,0)</f>
        <v>0</v>
      </c>
    </row>
    <row r="52" customFormat="false" ht="15" hidden="false" customHeight="false" outlineLevel="0" collapsed="false">
      <c r="A52" s="6" t="str">
        <f aca="false">datos_base!A3</f>
        <v>ABC 2,5 kg</v>
      </c>
      <c r="B52" s="8" t="n">
        <f aca="false">ROUNDUP(datos_base!B3*$B$31*IF(B$50&gt;=$B$11,$E$31,$D$31)*parametros_recargas!$Q$56/$B$5,0)</f>
        <v>3</v>
      </c>
      <c r="C52" s="8" t="n">
        <f aca="false">ROUNDUP(datos_base!C3*$B$31*IF(C$50&gt;=$B$11,$E$31,$D$31)*parametros_recargas!$Q$56/$B$5,0)</f>
        <v>12</v>
      </c>
      <c r="D52" s="8" t="n">
        <f aca="false">ROUNDUP(datos_base!D3*$B$31*IF(D$50&gt;=$B$11,$E$31,$D$31)*parametros_recargas!$Q$56/$B$5,0)</f>
        <v>27</v>
      </c>
      <c r="E52" s="8" t="n">
        <f aca="false">ROUNDUP(datos_base!E3*$B$31*IF(E$50&gt;=$B$11,$E$31,$D$31)*parametros_recargas!$Q$56/$B$5,0)</f>
        <v>49</v>
      </c>
      <c r="F52" s="8" t="n">
        <f aca="false">ROUNDUP(datos_base!F3*$B$31*IF(F$50&gt;=$B$11,$E$31,$D$31)*parametros_recargas!$Q$56/$B$5,0)</f>
        <v>71</v>
      </c>
      <c r="G52" s="8" t="n">
        <f aca="false">ROUNDUP(datos_base!G3*$B$31*IF(G$50&gt;=$B$11,$E$31,$D$31)*parametros_recargas!$Q$56/$B$5,0)</f>
        <v>94</v>
      </c>
      <c r="H52" s="8" t="n">
        <f aca="false">ROUNDUP(datos_base!H3*$B$31*IF(H$50&gt;=$B$11,$E$31,$D$31)*parametros_recargas!$Q$56/$B$5,0)</f>
        <v>113</v>
      </c>
      <c r="I52" s="8" t="n">
        <f aca="false">ROUNDUP(datos_base!I3*$B$31*IF(I$50&gt;=$B$11,$E$31,$D$31)*parametros_recargas!$Q$56/$B$5,0)</f>
        <v>125</v>
      </c>
      <c r="J52" s="8" t="n">
        <f aca="false">ROUNDUP(datos_base!J3*$B$31*IF(J$50&gt;=$B$11,$E$31,$D$31)*parametros_recargas!$Q$56/$B$5,0)</f>
        <v>136</v>
      </c>
      <c r="K52" s="8" t="n">
        <f aca="false">ROUNDUP(datos_base!K3*$B$31*IF(K$50&gt;=$B$11,$E$31,$D$31)*parametros_recargas!$Q$56/$B$5,0)</f>
        <v>146</v>
      </c>
    </row>
    <row r="53" customFormat="false" ht="15" hidden="false" customHeight="false" outlineLevel="0" collapsed="false">
      <c r="A53" s="6" t="str">
        <f aca="false">datos_base!A4</f>
        <v>ABC 5 kg</v>
      </c>
      <c r="B53" s="8" t="n">
        <f aca="false">ROUNDUP(datos_base!B4*$B$32*IF(B$50&gt;=$B$11,$E$32,$D$32)*parametros_recargas!$Q$57/$B$5,0)</f>
        <v>17</v>
      </c>
      <c r="C53" s="8" t="n">
        <f aca="false">ROUNDUP(datos_base!C4*$B$32*IF(C$50&gt;=$B$11,$E$32,$D$32)*parametros_recargas!$Q$57/$B$5,0)</f>
        <v>69</v>
      </c>
      <c r="D53" s="8" t="n">
        <f aca="false">ROUNDUP(datos_base!D4*$B$32*IF(D$50&gt;=$B$11,$E$32,$D$32)*parametros_recargas!$Q$57/$B$5,0)</f>
        <v>155</v>
      </c>
      <c r="E53" s="8" t="n">
        <f aca="false">ROUNDUP(datos_base!E4*$B$32*IF(E$50&gt;=$B$11,$E$32,$D$32)*parametros_recargas!$Q$57/$B$5,0)</f>
        <v>293</v>
      </c>
      <c r="F53" s="8" t="n">
        <f aca="false">ROUNDUP(datos_base!F4*$B$32*IF(F$50&gt;=$B$11,$E$32,$D$32)*parametros_recargas!$Q$57/$B$5,0)</f>
        <v>422</v>
      </c>
      <c r="G53" s="8" t="n">
        <f aca="false">ROUNDUP(datos_base!G4*$B$32*IF(G$50&gt;=$B$11,$E$32,$D$32)*parametros_recargas!$Q$57/$B$5,0)</f>
        <v>560</v>
      </c>
      <c r="H53" s="8" t="n">
        <f aca="false">ROUNDUP(datos_base!H4*$B$32*IF(H$50&gt;=$B$11,$E$32,$D$32)*parametros_recargas!$Q$57/$B$5,0)</f>
        <v>666</v>
      </c>
      <c r="I53" s="8" t="n">
        <f aca="false">ROUNDUP(datos_base!I4*$B$32*IF(I$50&gt;=$B$11,$E$32,$D$32)*parametros_recargas!$Q$57/$B$5,0)</f>
        <v>738</v>
      </c>
      <c r="J53" s="8" t="n">
        <f aca="false">ROUNDUP(datos_base!J4*$B$32*IF(J$50&gt;=$B$11,$E$32,$D$32)*parametros_recargas!$Q$57/$B$5,0)</f>
        <v>796</v>
      </c>
      <c r="K53" s="8" t="n">
        <f aca="false">ROUNDUP(datos_base!K4*$B$32*IF(K$50&gt;=$B$11,$E$32,$D$32)*parametros_recargas!$Q$57/$B$5,0)</f>
        <v>855</v>
      </c>
    </row>
    <row r="54" customFormat="false" ht="15" hidden="false" customHeight="false" outlineLevel="0" collapsed="false">
      <c r="A54" s="6" t="str">
        <f aca="false">datos_base!A5</f>
        <v>ABC 10 kg</v>
      </c>
      <c r="B54" s="8" t="n">
        <f aca="false">ROUNDUP(datos_base!B5*$B$33*IF(B$50&gt;=$B$11,$E$33,$D$33)*parametros_recargas!$Q$58/$B$5,0)</f>
        <v>2</v>
      </c>
      <c r="C54" s="8" t="n">
        <f aca="false">ROUNDUP(datos_base!C5*$B$33*IF(C$50&gt;=$B$11,$E$33,$D$33)*parametros_recargas!$Q$58/$B$5,0)</f>
        <v>5</v>
      </c>
      <c r="D54" s="8" t="n">
        <f aca="false">ROUNDUP(datos_base!D5*$B$33*IF(D$50&gt;=$B$11,$E$33,$D$33)*parametros_recargas!$Q$58/$B$5,0)</f>
        <v>10</v>
      </c>
      <c r="E54" s="8" t="n">
        <f aca="false">ROUNDUP(datos_base!E5*$B$33*IF(E$50&gt;=$B$11,$E$33,$D$33)*parametros_recargas!$Q$58/$B$5,0)</f>
        <v>19</v>
      </c>
      <c r="F54" s="8" t="n">
        <f aca="false">ROUNDUP(datos_base!F5*$B$33*IF(F$50&gt;=$B$11,$E$33,$D$33)*parametros_recargas!$Q$58/$B$5,0)</f>
        <v>27</v>
      </c>
      <c r="G54" s="8" t="n">
        <f aca="false">ROUNDUP(datos_base!G5*$B$33*IF(G$50&gt;=$B$11,$E$33,$D$33)*parametros_recargas!$Q$58/$B$5,0)</f>
        <v>36</v>
      </c>
      <c r="H54" s="8" t="n">
        <f aca="false">ROUNDUP(datos_base!H5*$B$33*IF(H$50&gt;=$B$11,$E$33,$D$33)*parametros_recargas!$Q$58/$B$5,0)</f>
        <v>42</v>
      </c>
      <c r="I54" s="8" t="n">
        <f aca="false">ROUNDUP(datos_base!I5*$B$33*IF(I$50&gt;=$B$11,$E$33,$D$33)*parametros_recargas!$Q$58/$B$5,0)</f>
        <v>46</v>
      </c>
      <c r="J54" s="8" t="n">
        <f aca="false">ROUNDUP(datos_base!J5*$B$33*IF(J$50&gt;=$B$11,$E$33,$D$33)*parametros_recargas!$Q$58/$B$5,0)</f>
        <v>50</v>
      </c>
      <c r="K54" s="8" t="n">
        <f aca="false">ROUNDUP(datos_base!K5*$B$33*IF(K$50&gt;=$B$11,$E$33,$D$33)*parametros_recargas!$Q$58/$B$5,0)</f>
        <v>53</v>
      </c>
    </row>
    <row r="55" customFormat="false" ht="15" hidden="false" customHeight="false" outlineLevel="0" collapsed="false">
      <c r="A55" s="6" t="str">
        <f aca="false">datos_base!A6</f>
        <v>Agua 10 l</v>
      </c>
      <c r="B55" s="8" t="n">
        <f aca="false">ROUNDUP(datos_base!B6*$B$34*IF(B$50&gt;=$B$11,$E$34,$D$34)*parametros_recargas!$Q$59/$B$5,0)</f>
        <v>2</v>
      </c>
      <c r="C55" s="8" t="n">
        <f aca="false">ROUNDUP(datos_base!C6*$B$34*IF(C$50&gt;=$B$11,$E$34,$D$34)*parametros_recargas!$Q$59/$B$5,0)</f>
        <v>6</v>
      </c>
      <c r="D55" s="8" t="n">
        <f aca="false">ROUNDUP(datos_base!D6*$B$34*IF(D$50&gt;=$B$11,$E$34,$D$34)*parametros_recargas!$Q$59/$B$5,0)</f>
        <v>14</v>
      </c>
      <c r="E55" s="8" t="n">
        <f aca="false">ROUNDUP(datos_base!E6*$B$34*IF(E$50&gt;=$B$11,$E$34,$D$34)*parametros_recargas!$Q$59/$B$5,0)</f>
        <v>26</v>
      </c>
      <c r="F55" s="8" t="n">
        <f aca="false">ROUNDUP(datos_base!F6*$B$34*IF(F$50&gt;=$B$11,$E$34,$D$34)*parametros_recargas!$Q$59/$B$5,0)</f>
        <v>37</v>
      </c>
      <c r="G55" s="8" t="n">
        <f aca="false">ROUNDUP(datos_base!G6*$B$34*IF(G$50&gt;=$B$11,$E$34,$D$34)*parametros_recargas!$Q$59/$B$5,0)</f>
        <v>50</v>
      </c>
      <c r="H55" s="8" t="n">
        <f aca="false">ROUNDUP(datos_base!H6*$B$34*IF(H$50&gt;=$B$11,$E$34,$D$34)*parametros_recargas!$Q$59/$B$5,0)</f>
        <v>57</v>
      </c>
      <c r="I55" s="8" t="n">
        <f aca="false">ROUNDUP(datos_base!I6*$B$34*IF(I$50&gt;=$B$11,$E$34,$D$34)*parametros_recargas!$Q$59/$B$5,0)</f>
        <v>63</v>
      </c>
      <c r="J55" s="8" t="n">
        <f aca="false">ROUNDUP(datos_base!J6*$B$34*IF(J$50&gt;=$B$11,$E$34,$D$34)*parametros_recargas!$Q$59/$B$5,0)</f>
        <v>68</v>
      </c>
      <c r="K55" s="8" t="n">
        <f aca="false">ROUNDUP(datos_base!K6*$B$34*IF(K$50&gt;=$B$11,$E$34,$D$34)*parametros_recargas!$Q$59/$B$5,0)</f>
        <v>73</v>
      </c>
    </row>
    <row r="56" customFormat="false" ht="15" hidden="false" customHeight="false" outlineLevel="0" collapsed="false">
      <c r="A56" s="6" t="str">
        <f aca="false">datos_base!A7</f>
        <v>AFFF 10 l</v>
      </c>
      <c r="B56" s="8" t="n">
        <f aca="false">ROUNDUP(datos_base!B7*$B$35*IF(B$50&gt;=$B$11,$E$35,$D$35)*parametros_recargas!$Q$60/$B$5,0)</f>
        <v>1</v>
      </c>
      <c r="C56" s="8" t="n">
        <f aca="false">ROUNDUP(datos_base!C7*$B$35*IF(C$50&gt;=$B$11,$E$35,$D$35)*parametros_recargas!$Q$60/$B$5,0)</f>
        <v>2</v>
      </c>
      <c r="D56" s="8" t="n">
        <f aca="false">ROUNDUP(datos_base!D7*$B$35*IF(D$50&gt;=$B$11,$E$35,$D$35)*parametros_recargas!$Q$60/$B$5,0)</f>
        <v>3</v>
      </c>
      <c r="E56" s="8" t="n">
        <f aca="false">ROUNDUP(datos_base!E7*$B$35*IF(E$50&gt;=$B$11,$E$35,$D$35)*parametros_recargas!$Q$60/$B$5,0)</f>
        <v>4</v>
      </c>
      <c r="F56" s="8" t="n">
        <f aca="false">ROUNDUP(datos_base!F7*$B$35*IF(F$50&gt;=$B$11,$E$35,$D$35)*parametros_recargas!$Q$60/$B$5,0)</f>
        <v>6</v>
      </c>
      <c r="G56" s="8" t="n">
        <f aca="false">ROUNDUP(datos_base!G7*$B$35*IF(G$50&gt;=$B$11,$E$35,$D$35)*parametros_recargas!$Q$60/$B$5,0)</f>
        <v>7</v>
      </c>
      <c r="H56" s="8" t="n">
        <f aca="false">ROUNDUP(datos_base!H7*$B$35*IF(H$50&gt;=$B$11,$E$35,$D$35)*parametros_recargas!$Q$60/$B$5,0)</f>
        <v>9</v>
      </c>
      <c r="I56" s="8" t="n">
        <f aca="false">ROUNDUP(datos_base!I7*$B$35*IF(I$50&gt;=$B$11,$E$35,$D$35)*parametros_recargas!$Q$60/$B$5,0)</f>
        <v>10</v>
      </c>
      <c r="J56" s="8" t="n">
        <f aca="false">ROUNDUP(datos_base!J7*$B$35*IF(J$50&gt;=$B$11,$E$35,$D$35)*parametros_recargas!$Q$60/$B$5,0)</f>
        <v>11</v>
      </c>
      <c r="K56" s="8" t="n">
        <f aca="false">ROUNDUP(datos_base!K7*$B$35*IF(K$50&gt;=$B$11,$E$35,$D$35)*parametros_recargas!$Q$60/$B$5,0)</f>
        <v>12</v>
      </c>
    </row>
    <row r="57" customFormat="false" ht="15" hidden="false" customHeight="false" outlineLevel="0" collapsed="false">
      <c r="A57" s="6" t="str">
        <f aca="false">datos_base!A8</f>
        <v>AFFF 50 l s/ruedas</v>
      </c>
      <c r="B57" s="8" t="n">
        <f aca="false">ROUNDUP(datos_base!B8*$B$36*IF(B$50&gt;=$B$11,$E$36,$D$36)*parametros_recargas!$Q$61/$B$5,0)</f>
        <v>1</v>
      </c>
      <c r="C57" s="8" t="n">
        <f aca="false">ROUNDUP(datos_base!C8*$B$36*IF(C$50&gt;=$B$11,$E$36,$D$36)*parametros_recargas!$Q$61/$B$5,0)</f>
        <v>1</v>
      </c>
      <c r="D57" s="8" t="n">
        <f aca="false">ROUNDUP(datos_base!D8*$B$36*IF(D$50&gt;=$B$11,$E$36,$D$36)*parametros_recargas!$Q$61/$B$5,0)</f>
        <v>2</v>
      </c>
      <c r="E57" s="8" t="n">
        <f aca="false">ROUNDUP(datos_base!E8*$B$36*IF(E$50&gt;=$B$11,$E$36,$D$36)*parametros_recargas!$Q$61/$B$5,0)</f>
        <v>2</v>
      </c>
      <c r="F57" s="8" t="n">
        <f aca="false">ROUNDUP(datos_base!F8*$B$36*IF(F$50&gt;=$B$11,$E$36,$D$36)*parametros_recargas!$Q$61/$B$5,0)</f>
        <v>3</v>
      </c>
      <c r="G57" s="8" t="n">
        <f aca="false">ROUNDUP(datos_base!G8*$B$36*IF(G$50&gt;=$B$11,$E$36,$D$36)*parametros_recargas!$Q$61/$B$5,0)</f>
        <v>4</v>
      </c>
      <c r="H57" s="8" t="n">
        <f aca="false">ROUNDUP(datos_base!H8*$B$36*IF(H$50&gt;=$B$11,$E$36,$D$36)*parametros_recargas!$Q$61/$B$5,0)</f>
        <v>5</v>
      </c>
      <c r="I57" s="8" t="n">
        <f aca="false">ROUNDUP(datos_base!I8*$B$36*IF(I$50&gt;=$B$11,$E$36,$D$36)*parametros_recargas!$Q$61/$B$5,0)</f>
        <v>5</v>
      </c>
      <c r="J57" s="8" t="n">
        <f aca="false">ROUNDUP(datos_base!J8*$B$36*IF(J$50&gt;=$B$11,$E$36,$D$36)*parametros_recargas!$Q$61/$B$5,0)</f>
        <v>6</v>
      </c>
      <c r="K57" s="8" t="n">
        <f aca="false">ROUNDUP(datos_base!K8*$B$36*IF(K$50&gt;=$B$11,$E$36,$D$36)*parametros_recargas!$Q$61/$B$5,0)</f>
        <v>6</v>
      </c>
    </row>
    <row r="58" customFormat="false" ht="15" hidden="false" customHeight="false" outlineLevel="0" collapsed="false">
      <c r="A58" s="6" t="str">
        <f aca="false">datos_base!A9</f>
        <v>BC 5 kg</v>
      </c>
      <c r="B58" s="8" t="n">
        <f aca="false">ROUNDUP(datos_base!B9*$B$37*IF(B$50&gt;=$B$11,$E$37,$D$37)*parametros_recargas!$Q$62/$B$5,0)</f>
        <v>1</v>
      </c>
      <c r="C58" s="8" t="n">
        <f aca="false">ROUNDUP(datos_base!C9*$B$37*IF(C$50&gt;=$B$11,$E$37,$D$37)*parametros_recargas!$Q$62/$B$5,0)</f>
        <v>1</v>
      </c>
      <c r="D58" s="8" t="n">
        <f aca="false">ROUNDUP(datos_base!D9*$B$37*IF(D$50&gt;=$B$11,$E$37,$D$37)*parametros_recargas!$Q$62/$B$5,0)</f>
        <v>1</v>
      </c>
      <c r="E58" s="8" t="n">
        <f aca="false">ROUNDUP(datos_base!E9*$B$37*IF(E$50&gt;=$B$11,$E$37,$D$37)*parametros_recargas!$Q$62/$B$5,0)</f>
        <v>2</v>
      </c>
      <c r="F58" s="8" t="n">
        <f aca="false">ROUNDUP(datos_base!F9*$B$37*IF(F$50&gt;=$B$11,$E$37,$D$37)*parametros_recargas!$Q$62/$B$5,0)</f>
        <v>2</v>
      </c>
      <c r="G58" s="8" t="n">
        <f aca="false">ROUNDUP(datos_base!G9*$B$37*IF(G$50&gt;=$B$11,$E$37,$D$37)*parametros_recargas!$Q$62/$B$5,0)</f>
        <v>3</v>
      </c>
      <c r="H58" s="8" t="n">
        <f aca="false">ROUNDUP(datos_base!H9*$B$37*IF(H$50&gt;=$B$11,$E$37,$D$37)*parametros_recargas!$Q$62/$B$5,0)</f>
        <v>3</v>
      </c>
      <c r="I58" s="8" t="n">
        <f aca="false">ROUNDUP(datos_base!I9*$B$37*IF(I$50&gt;=$B$11,$E$37,$D$37)*parametros_recargas!$Q$62/$B$5,0)</f>
        <v>3</v>
      </c>
      <c r="J58" s="8" t="n">
        <f aca="false">ROUNDUP(datos_base!J9*$B$37*IF(J$50&gt;=$B$11,$E$37,$D$37)*parametros_recargas!$Q$62/$B$5,0)</f>
        <v>4</v>
      </c>
      <c r="K58" s="8" t="n">
        <f aca="false">ROUNDUP(datos_base!K9*$B$37*IF(K$50&gt;=$B$11,$E$37,$D$37)*parametros_recargas!$Q$62/$B$5,0)</f>
        <v>4</v>
      </c>
    </row>
    <row r="59" customFormat="false" ht="15" hidden="false" customHeight="false" outlineLevel="0" collapsed="false">
      <c r="A59" s="6" t="str">
        <f aca="false">datos_base!A10</f>
        <v>Sales K 6 l</v>
      </c>
      <c r="B59" s="8" t="n">
        <f aca="false">ROUNDUP(datos_base!B10*$B$38*IF(B$50&gt;=$B$11,$E$38,$D$38)*parametros_recargas!$Q$63/$B$5,0)</f>
        <v>1</v>
      </c>
      <c r="C59" s="8" t="n">
        <f aca="false">ROUNDUP(datos_base!C10*$B$38*IF(C$50&gt;=$B$11,$E$38,$D$38)*parametros_recargas!$Q$63/$B$5,0)</f>
        <v>3</v>
      </c>
      <c r="D59" s="8" t="n">
        <f aca="false">ROUNDUP(datos_base!D10*$B$38*IF(D$50&gt;=$B$11,$E$38,$D$38)*parametros_recargas!$Q$63/$B$5,0)</f>
        <v>7</v>
      </c>
      <c r="E59" s="8" t="n">
        <f aca="false">ROUNDUP(datos_base!E10*$B$38*IF(E$50&gt;=$B$11,$E$38,$D$38)*parametros_recargas!$Q$63/$B$5,0)</f>
        <v>12</v>
      </c>
      <c r="F59" s="8" t="n">
        <f aca="false">ROUNDUP(datos_base!F10*$B$38*IF(F$50&gt;=$B$11,$E$38,$D$38)*parametros_recargas!$Q$63/$B$5,0)</f>
        <v>17</v>
      </c>
      <c r="G59" s="8" t="n">
        <f aca="false">ROUNDUP(datos_base!G10*$B$38*IF(G$50&gt;=$B$11,$E$38,$D$38)*parametros_recargas!$Q$63/$B$5,0)</f>
        <v>23</v>
      </c>
      <c r="H59" s="8" t="n">
        <f aca="false">ROUNDUP(datos_base!H10*$B$38*IF(H$50&gt;=$B$11,$E$38,$D$38)*parametros_recargas!$Q$63/$B$5,0)</f>
        <v>27</v>
      </c>
      <c r="I59" s="8" t="n">
        <f aca="false">ROUNDUP(datos_base!I10*$B$38*IF(I$50&gt;=$B$11,$E$38,$D$38)*parametros_recargas!$Q$63/$B$5,0)</f>
        <v>30</v>
      </c>
      <c r="J59" s="8" t="n">
        <f aca="false">ROUNDUP(datos_base!J10*$B$38*IF(J$50&gt;=$B$11,$E$38,$D$38)*parametros_recargas!$Q$63/$B$5,0)</f>
        <v>33</v>
      </c>
      <c r="K59" s="8" t="n">
        <f aca="false">ROUNDUP(datos_base!K10*$B$38*IF(K$50&gt;=$B$11,$E$38,$D$38)*parametros_recargas!$Q$63/$B$5,0)</f>
        <v>35</v>
      </c>
    </row>
    <row r="60" customFormat="false" ht="15" hidden="false" customHeight="false" outlineLevel="0" collapsed="false">
      <c r="A60" s="6" t="str">
        <f aca="false">datos_base!A11</f>
        <v>CO₂ 2 kg</v>
      </c>
      <c r="B60" s="8" t="n">
        <f aca="false">ROUNDUP(datos_base!B11*$B$39*IF(B$50&gt;=$B$11,$E$39,$D$39)*parametros_recargas!$Q$64/$B$5,0)</f>
        <v>5</v>
      </c>
      <c r="C60" s="8" t="n">
        <f aca="false">ROUNDUP(datos_base!C11*$B$39*IF(C$50&gt;=$B$11,$E$39,$D$39)*parametros_recargas!$Q$64/$B$5,0)</f>
        <v>16</v>
      </c>
      <c r="D60" s="8" t="n">
        <f aca="false">ROUNDUP(datos_base!D11*$B$39*IF(D$50&gt;=$B$11,$E$39,$D$39)*parametros_recargas!$Q$64/$B$5,0)</f>
        <v>36</v>
      </c>
      <c r="E60" s="8" t="n">
        <f aca="false">ROUNDUP(datos_base!E11*$B$39*IF(E$50&gt;=$B$11,$E$39,$D$39)*parametros_recargas!$Q$64/$B$5,0)</f>
        <v>69</v>
      </c>
      <c r="F60" s="8" t="n">
        <f aca="false">ROUNDUP(datos_base!F11*$B$39*IF(F$50&gt;=$B$11,$E$39,$D$39)*parametros_recargas!$Q$64/$B$5,0)</f>
        <v>99</v>
      </c>
      <c r="G60" s="8" t="n">
        <f aca="false">ROUNDUP(datos_base!G11*$B$39*IF(G$50&gt;=$B$11,$E$39,$D$39)*parametros_recargas!$Q$64/$B$5,0)</f>
        <v>131</v>
      </c>
      <c r="H60" s="8" t="n">
        <f aca="false">ROUNDUP(datos_base!H11*$B$39*IF(H$50&gt;=$B$11,$E$39,$D$39)*parametros_recargas!$Q$64/$B$5,0)</f>
        <v>156</v>
      </c>
      <c r="I60" s="8" t="n">
        <f aca="false">ROUNDUP(datos_base!I11*$B$39*IF(I$50&gt;=$B$11,$E$39,$D$39)*parametros_recargas!$Q$64/$B$5,0)</f>
        <v>172</v>
      </c>
      <c r="J60" s="8" t="n">
        <f aca="false">ROUNDUP(datos_base!J11*$B$39*IF(J$50&gt;=$B$11,$E$39,$D$39)*parametros_recargas!$Q$64/$B$5,0)</f>
        <v>185</v>
      </c>
      <c r="K60" s="8" t="n">
        <f aca="false">ROUNDUP(datos_base!K11*$B$39*IF(K$50&gt;=$B$11,$E$39,$D$39)*parametros_recargas!$Q$64/$B$5,0)</f>
        <v>199</v>
      </c>
    </row>
    <row r="61" customFormat="false" ht="15" hidden="false" customHeight="false" outlineLevel="0" collapsed="false">
      <c r="A61" s="6" t="str">
        <f aca="false">datos_base!A12</f>
        <v>CO₂ 5 kg</v>
      </c>
      <c r="B61" s="8" t="n">
        <f aca="false">ROUNDUP(datos_base!B12*$B$40*IF(B$50&gt;=$B$11,$E$40,$D$40)*parametros_recargas!$Q$65/$B$5,0)</f>
        <v>2</v>
      </c>
      <c r="C61" s="8" t="n">
        <f aca="false">ROUNDUP(datos_base!C12*$B$40*IF(C$50&gt;=$B$11,$E$40,$D$40)*parametros_recargas!$Q$65/$B$5,0)</f>
        <v>6</v>
      </c>
      <c r="D61" s="8" t="n">
        <f aca="false">ROUNDUP(datos_base!D12*$B$40*IF(D$50&gt;=$B$11,$E$40,$D$40)*parametros_recargas!$Q$65/$B$5,0)</f>
        <v>13</v>
      </c>
      <c r="E61" s="8" t="n">
        <f aca="false">ROUNDUP(datos_base!E12*$B$40*IF(E$50&gt;=$B$11,$E$40,$D$40)*parametros_recargas!$Q$65/$B$5,0)</f>
        <v>23</v>
      </c>
      <c r="F61" s="8" t="n">
        <f aca="false">ROUNDUP(datos_base!F12*$B$40*IF(F$50&gt;=$B$11,$E$40,$D$40)*parametros_recargas!$Q$65/$B$5,0)</f>
        <v>32</v>
      </c>
      <c r="G61" s="8" t="n">
        <f aca="false">ROUNDUP(datos_base!G12*$B$40*IF(G$50&gt;=$B$11,$E$40,$D$40)*parametros_recargas!$Q$65/$B$5,0)</f>
        <v>43</v>
      </c>
      <c r="H61" s="8" t="n">
        <f aca="false">ROUNDUP(datos_base!H12*$B$40*IF(H$50&gt;=$B$11,$E$40,$D$40)*parametros_recargas!$Q$65/$B$5,0)</f>
        <v>48</v>
      </c>
      <c r="I61" s="8" t="n">
        <f aca="false">ROUNDUP(datos_base!I12*$B$40*IF(I$50&gt;=$B$11,$E$40,$D$40)*parametros_recargas!$Q$65/$B$5,0)</f>
        <v>54</v>
      </c>
      <c r="J61" s="8" t="n">
        <f aca="false">ROUNDUP(datos_base!J12*$B$40*IF(J$50&gt;=$B$11,$E$40,$D$40)*parametros_recargas!$Q$65/$B$5,0)</f>
        <v>59</v>
      </c>
      <c r="K61" s="8" t="n">
        <f aca="false">ROUNDUP(datos_base!K12*$B$40*IF(K$50&gt;=$B$11,$E$40,$D$40)*parametros_recargas!$Q$65/$B$5,0)</f>
        <v>64</v>
      </c>
    </row>
    <row r="62" customFormat="false" ht="15" hidden="false" customHeight="false" outlineLevel="0" collapsed="false">
      <c r="A62" s="6" t="str">
        <f aca="false">datos_base!A13</f>
        <v>HCFC/HFC 5 kg</v>
      </c>
      <c r="B62" s="8" t="n">
        <f aca="false">ROUNDUP(datos_base!B13*$B$41*IF(B$50&gt;=$B$11,$E$41,$D$41)*parametros_recargas!$Q$66/$B$5,0)</f>
        <v>1</v>
      </c>
      <c r="C62" s="8" t="n">
        <f aca="false">ROUNDUP(datos_base!C13*$B$41*IF(C$50&gt;=$B$11,$E$41,$D$41)*parametros_recargas!$Q$66/$B$5,0)</f>
        <v>2</v>
      </c>
      <c r="D62" s="8" t="n">
        <f aca="false">ROUNDUP(datos_base!D13*$B$41*IF(D$50&gt;=$B$11,$E$41,$D$41)*parametros_recargas!$Q$66/$B$5,0)</f>
        <v>3</v>
      </c>
      <c r="E62" s="8" t="n">
        <f aca="false">ROUNDUP(datos_base!E13*$B$41*IF(E$50&gt;=$B$11,$E$41,$D$41)*parametros_recargas!$Q$66/$B$5,0)</f>
        <v>4</v>
      </c>
      <c r="F62" s="8" t="n">
        <f aca="false">ROUNDUP(datos_base!F13*$B$41*IF(F$50&gt;=$B$11,$E$41,$D$41)*parametros_recargas!$Q$66/$B$5,0)</f>
        <v>6</v>
      </c>
      <c r="G62" s="8" t="n">
        <f aca="false">ROUNDUP(datos_base!G13*$B$41*IF(G$50&gt;=$B$11,$E$41,$D$41)*parametros_recargas!$Q$66/$B$5,0)</f>
        <v>7</v>
      </c>
      <c r="H62" s="8" t="n">
        <f aca="false">ROUNDUP(datos_base!H13*$B$41*IF(H$50&gt;=$B$11,$E$41,$D$41)*parametros_recargas!$Q$66/$B$5,0)</f>
        <v>8</v>
      </c>
      <c r="I62" s="8" t="n">
        <f aca="false">ROUNDUP(datos_base!I13*$B$41*IF(I$50&gt;=$B$11,$E$41,$D$41)*parametros_recargas!$Q$66/$B$5,0)</f>
        <v>9</v>
      </c>
      <c r="J62" s="8" t="n">
        <f aca="false">ROUNDUP(datos_base!J13*$B$41*IF(J$50&gt;=$B$11,$E$41,$D$41)*parametros_recargas!$Q$66/$B$5,0)</f>
        <v>10</v>
      </c>
      <c r="K62" s="8" t="n">
        <f aca="false">ROUNDUP(datos_base!K13*$B$41*IF(K$50&gt;=$B$11,$E$41,$D$41)*parametros_recargas!$Q$66/$B$5,0)</f>
        <v>11</v>
      </c>
    </row>
    <row r="63" customFormat="false" ht="15" hidden="false" customHeight="false" outlineLevel="0" collapsed="false">
      <c r="A63" s="6" t="str">
        <f aca="false">datos_base!A14</f>
        <v>Clase D 9 l</v>
      </c>
      <c r="B63" s="8" t="n">
        <f aca="false">ROUNDUP(datos_base!B14*$B$42*IF(B$50&gt;=$B$11,$E$42,$D$42)*parametros_recargas!$Q$67/$B$5,0)</f>
        <v>1</v>
      </c>
      <c r="C63" s="8" t="n">
        <f aca="false">ROUNDUP(datos_base!C14*$B$42*IF(C$50&gt;=$B$11,$E$42,$D$42)*parametros_recargas!$Q$67/$B$5,0)</f>
        <v>1</v>
      </c>
      <c r="D63" s="8" t="n">
        <f aca="false">ROUNDUP(datos_base!D14*$B$42*IF(D$50&gt;=$B$11,$E$42,$D$42)*parametros_recargas!$Q$67/$B$5,0)</f>
        <v>1</v>
      </c>
      <c r="E63" s="8" t="n">
        <f aca="false">ROUNDUP(datos_base!E14*$B$42*IF(E$50&gt;=$B$11,$E$42,$D$42)*parametros_recargas!$Q$67/$B$5,0)</f>
        <v>2</v>
      </c>
      <c r="F63" s="8" t="n">
        <f aca="false">ROUNDUP(datos_base!F14*$B$42*IF(F$50&gt;=$B$11,$E$42,$D$42)*parametros_recargas!$Q$67/$B$5,0)</f>
        <v>2</v>
      </c>
      <c r="G63" s="8" t="n">
        <f aca="false">ROUNDUP(datos_base!G14*$B$42*IF(G$50&gt;=$B$11,$E$42,$D$42)*parametros_recargas!$Q$67/$B$5,0)</f>
        <v>2</v>
      </c>
      <c r="H63" s="8" t="n">
        <f aca="false">ROUNDUP(datos_base!H14*$B$42*IF(H$50&gt;=$B$11,$E$42,$D$42)*parametros_recargas!$Q$67/$B$5,0)</f>
        <v>3</v>
      </c>
      <c r="I63" s="8" t="n">
        <f aca="false">ROUNDUP(datos_base!I14*$B$42*IF(I$50&gt;=$B$11,$E$42,$D$42)*parametros_recargas!$Q$67/$B$5,0)</f>
        <v>3</v>
      </c>
      <c r="J63" s="8" t="n">
        <f aca="false">ROUNDUP(datos_base!J14*$B$42*IF(J$50&gt;=$B$11,$E$42,$D$42)*parametros_recargas!$Q$67/$B$5,0)</f>
        <v>3</v>
      </c>
      <c r="K63" s="8" t="n">
        <f aca="false">ROUNDUP(datos_base!K14*$B$42*IF(K$50&gt;=$B$11,$E$42,$D$42)*parametros_recargas!$Q$67/$B$5,0)</f>
        <v>4</v>
      </c>
    </row>
    <row r="64" customFormat="false" ht="15" hidden="false" customHeight="false" outlineLevel="0" collapsed="false">
      <c r="A64" s="6" t="str">
        <f aca="false">datos_base!A15</f>
        <v>ABC 25 kg s/ruedas</v>
      </c>
      <c r="B64" s="8" t="n">
        <f aca="false">ROUNDUP(datos_base!B15*$B$43*IF(B$50&gt;=$B$11,$E$43,$D$43)*parametros_recargas!$Q$68/$B$5,0)</f>
        <v>1</v>
      </c>
      <c r="C64" s="8" t="n">
        <f aca="false">ROUNDUP(datos_base!C15*$B$43*IF(C$50&gt;=$B$11,$E$43,$D$43)*parametros_recargas!$Q$68/$B$5,0)</f>
        <v>1</v>
      </c>
      <c r="D64" s="8" t="n">
        <f aca="false">ROUNDUP(datos_base!D15*$B$43*IF(D$50&gt;=$B$11,$E$43,$D$43)*parametros_recargas!$Q$68/$B$5,0)</f>
        <v>2</v>
      </c>
      <c r="E64" s="8" t="n">
        <f aca="false">ROUNDUP(datos_base!E15*$B$43*IF(E$50&gt;=$B$11,$E$43,$D$43)*parametros_recargas!$Q$68/$B$5,0)</f>
        <v>3</v>
      </c>
      <c r="F64" s="8" t="n">
        <f aca="false">ROUNDUP(datos_base!F15*$B$43*IF(F$50&gt;=$B$11,$E$43,$D$43)*parametros_recargas!$Q$68/$B$5,0)</f>
        <v>5</v>
      </c>
      <c r="G64" s="8" t="n">
        <f aca="false">ROUNDUP(datos_base!G15*$B$43*IF(G$50&gt;=$B$11,$E$43,$D$43)*parametros_recargas!$Q$68/$B$5,0)</f>
        <v>6</v>
      </c>
      <c r="H64" s="8" t="n">
        <f aca="false">ROUNDUP(datos_base!H15*$B$43*IF(H$50&gt;=$B$11,$E$43,$D$43)*parametros_recargas!$Q$68/$B$5,0)</f>
        <v>7</v>
      </c>
      <c r="I64" s="8" t="n">
        <f aca="false">ROUNDUP(datos_base!I15*$B$43*IF(I$50&gt;=$B$11,$E$43,$D$43)*parametros_recargas!$Q$68/$B$5,0)</f>
        <v>8</v>
      </c>
      <c r="J64" s="8" t="n">
        <f aca="false">ROUNDUP(datos_base!J15*$B$43*IF(J$50&gt;=$B$11,$E$43,$D$43)*parametros_recargas!$Q$68/$B$5,0)</f>
        <v>8</v>
      </c>
      <c r="K64" s="8" t="n">
        <f aca="false">ROUNDUP(datos_base!K15*$B$43*IF(K$50&gt;=$B$11,$E$43,$D$43)*parametros_recargas!$Q$68/$B$5,0)</f>
        <v>9</v>
      </c>
    </row>
    <row r="65" customFormat="false" ht="15" hidden="false" customHeight="false" outlineLevel="0" collapsed="false">
      <c r="A65" s="6" t="str">
        <f aca="false">datos_base!A16</f>
        <v>ABC 50 kg s/ruedas</v>
      </c>
      <c r="B65" s="8" t="n">
        <f aca="false">ROUNDUP(datos_base!B16*$B$44*IF(B$50&gt;=$B$11,$E$44,$D$44)*parametros_recargas!$Q$69/$B$5,0)</f>
        <v>1</v>
      </c>
      <c r="C65" s="8" t="n">
        <f aca="false">ROUNDUP(datos_base!C16*$B$44*IF(C$50&gt;=$B$11,$E$44,$D$44)*parametros_recargas!$Q$69/$B$5,0)</f>
        <v>2</v>
      </c>
      <c r="D65" s="8" t="n">
        <f aca="false">ROUNDUP(datos_base!D16*$B$44*IF(D$50&gt;=$B$11,$E$44,$D$44)*parametros_recargas!$Q$69/$B$5,0)</f>
        <v>4</v>
      </c>
      <c r="E65" s="8" t="n">
        <f aca="false">ROUNDUP(datos_base!E16*$B$44*IF(E$50&gt;=$B$11,$E$44,$D$44)*parametros_recargas!$Q$69/$B$5,0)</f>
        <v>7</v>
      </c>
      <c r="F65" s="8" t="n">
        <f aca="false">ROUNDUP(datos_base!F16*$B$44*IF(F$50&gt;=$B$11,$E$44,$D$44)*parametros_recargas!$Q$69/$B$5,0)</f>
        <v>10</v>
      </c>
      <c r="G65" s="8" t="n">
        <f aca="false">ROUNDUP(datos_base!G16*$B$44*IF(G$50&gt;=$B$11,$E$44,$D$44)*parametros_recargas!$Q$69/$B$5,0)</f>
        <v>13</v>
      </c>
      <c r="H65" s="8" t="n">
        <f aca="false">ROUNDUP(datos_base!H16*$B$44*IF(H$50&gt;=$B$11,$E$44,$D$44)*parametros_recargas!$Q$69/$B$5,0)</f>
        <v>15</v>
      </c>
      <c r="I65" s="8" t="n">
        <f aca="false">ROUNDUP(datos_base!I16*$B$44*IF(I$50&gt;=$B$11,$E$44,$D$44)*parametros_recargas!$Q$69/$B$5,0)</f>
        <v>17</v>
      </c>
      <c r="J65" s="8" t="n">
        <f aca="false">ROUNDUP(datos_base!J16*$B$44*IF(J$50&gt;=$B$11,$E$44,$D$44)*parametros_recargas!$Q$69/$B$5,0)</f>
        <v>18</v>
      </c>
      <c r="K65" s="8" t="n">
        <f aca="false">ROUNDUP(datos_base!K16*$B$44*IF(K$50&gt;=$B$11,$E$44,$D$44)*parametros_recargas!$Q$69/$B$5,0)</f>
        <v>19</v>
      </c>
    </row>
    <row r="66" customFormat="false" ht="15" hidden="false" customHeight="false" outlineLevel="0" collapsed="false">
      <c r="A66" s="6" t="str">
        <f aca="false">datos_base!A17</f>
        <v>ABC 70 kg s/ruedas</v>
      </c>
      <c r="B66" s="8" t="n">
        <f aca="false">ROUNDUP(datos_base!B17*$B$45*IF(B$50&gt;=$B$11,$E$45,$D$45)*parametros_recargas!$Q$70/$B$5,0)</f>
        <v>1</v>
      </c>
      <c r="C66" s="8" t="n">
        <f aca="false">ROUNDUP(datos_base!C17*$B$45*IF(C$50&gt;=$B$11,$E$45,$D$45)*parametros_recargas!$Q$70/$B$5,0)</f>
        <v>1</v>
      </c>
      <c r="D66" s="8" t="n">
        <f aca="false">ROUNDUP(datos_base!D17*$B$45*IF(D$50&gt;=$B$11,$E$45,$D$45)*parametros_recargas!$Q$70/$B$5,0)</f>
        <v>1</v>
      </c>
      <c r="E66" s="8" t="n">
        <f aca="false">ROUNDUP(datos_base!E17*$B$45*IF(E$50&gt;=$B$11,$E$45,$D$45)*parametros_recargas!$Q$70/$B$5,0)</f>
        <v>2</v>
      </c>
      <c r="F66" s="8" t="n">
        <f aca="false">ROUNDUP(datos_base!F17*$B$45*IF(F$50&gt;=$B$11,$E$45,$D$45)*parametros_recargas!$Q$70/$B$5,0)</f>
        <v>3</v>
      </c>
      <c r="G66" s="8" t="n">
        <f aca="false">ROUNDUP(datos_base!G17*$B$45*IF(G$50&gt;=$B$11,$E$45,$D$45)*parametros_recargas!$Q$70/$B$5,0)</f>
        <v>3</v>
      </c>
      <c r="H66" s="8" t="n">
        <f aca="false">ROUNDUP(datos_base!H17*$B$45*IF(H$50&gt;=$B$11,$E$45,$D$45)*parametros_recargas!$Q$70/$B$5,0)</f>
        <v>4</v>
      </c>
      <c r="I66" s="8" t="n">
        <f aca="false">ROUNDUP(datos_base!I17*$B$45*IF(I$50&gt;=$B$11,$E$45,$D$45)*parametros_recargas!$Q$70/$B$5,0)</f>
        <v>4</v>
      </c>
      <c r="J66" s="8" t="n">
        <f aca="false">ROUNDUP(datos_base!J17*$B$45*IF(J$50&gt;=$B$11,$E$45,$D$45)*parametros_recargas!$Q$70/$B$5,0)</f>
        <v>4</v>
      </c>
      <c r="K66" s="8" t="n">
        <f aca="false">ROUNDUP(datos_base!K17*$B$45*IF(K$50&gt;=$B$11,$E$45,$D$45)*parametros_recargas!$Q$70/$B$5,0)</f>
        <v>5</v>
      </c>
    </row>
    <row r="67" customFormat="false" ht="15" hidden="false" customHeight="false" outlineLevel="0" collapsed="false">
      <c r="A67" s="6" t="str">
        <f aca="false">datos_base!A18</f>
        <v>ABC 100 kg s/ruedas</v>
      </c>
      <c r="B67" s="8" t="n">
        <f aca="false">ROUNDUP(datos_base!B18*$B$46*IF(B$50&gt;=$B$11,$E$46,$D$46)*parametros_recargas!$Q$71/$B$5,0)</f>
        <v>1</v>
      </c>
      <c r="C67" s="8" t="n">
        <f aca="false">ROUNDUP(datos_base!C18*$B$46*IF(C$50&gt;=$B$11,$E$46,$D$46)*parametros_recargas!$Q$71/$B$5,0)</f>
        <v>1</v>
      </c>
      <c r="D67" s="8" t="n">
        <f aca="false">ROUNDUP(datos_base!D18*$B$46*IF(D$50&gt;=$B$11,$E$46,$D$46)*parametros_recargas!$Q$71/$B$5,0)</f>
        <v>1</v>
      </c>
      <c r="E67" s="8" t="n">
        <f aca="false">ROUNDUP(datos_base!E18*$B$46*IF(E$50&gt;=$B$11,$E$46,$D$46)*parametros_recargas!$Q$71/$B$5,0)</f>
        <v>1</v>
      </c>
      <c r="F67" s="8" t="n">
        <f aca="false">ROUNDUP(datos_base!F18*$B$46*IF(F$50&gt;=$B$11,$E$46,$D$46)*parametros_recargas!$Q$71/$B$5,0)</f>
        <v>2</v>
      </c>
      <c r="G67" s="8" t="n">
        <f aca="false">ROUNDUP(datos_base!G18*$B$46*IF(G$50&gt;=$B$11,$E$46,$D$46)*parametros_recargas!$Q$71/$B$5,0)</f>
        <v>2</v>
      </c>
      <c r="H67" s="8" t="n">
        <f aca="false">ROUNDUP(datos_base!H18*$B$46*IF(H$50&gt;=$B$11,$E$46,$D$46)*parametros_recargas!$Q$71/$B$5,0)</f>
        <v>3</v>
      </c>
      <c r="I67" s="8" t="n">
        <f aca="false">ROUNDUP(datos_base!I18*$B$46*IF(I$50&gt;=$B$11,$E$46,$D$46)*parametros_recargas!$Q$71/$B$5,0)</f>
        <v>3</v>
      </c>
      <c r="J67" s="8" t="n">
        <f aca="false">ROUNDUP(datos_base!J18*$B$46*IF(J$50&gt;=$B$11,$E$46,$D$46)*parametros_recargas!$Q$71/$B$5,0)</f>
        <v>3</v>
      </c>
      <c r="K67" s="8" t="n">
        <f aca="false">ROUNDUP(datos_base!K18*$B$46*IF(K$50&gt;=$B$11,$E$46,$D$46)*parametros_recargas!$Q$71/$B$5,0)</f>
        <v>3</v>
      </c>
    </row>
    <row r="68" customFormat="false" ht="15" hidden="false" customHeight="false" outlineLevel="0" collapsed="false">
      <c r="A68" s="4" t="s">
        <v>132</v>
      </c>
      <c r="B68" s="12" t="n">
        <f aca="false">SUM(B51:B67)</f>
        <v>41</v>
      </c>
      <c r="C68" s="12" t="n">
        <f aca="false">SUM(C51:C67)</f>
        <v>129</v>
      </c>
      <c r="D68" s="12" t="n">
        <f aca="false">SUM(D51:D67)</f>
        <v>280</v>
      </c>
      <c r="E68" s="12" t="n">
        <f aca="false">SUM(E51:E67)</f>
        <v>518</v>
      </c>
      <c r="F68" s="12" t="n">
        <f aca="false">SUM(F51:F67)</f>
        <v>744</v>
      </c>
      <c r="G68" s="12" t="n">
        <f aca="false">SUM(G51:G67)</f>
        <v>984</v>
      </c>
      <c r="H68" s="12" t="n">
        <f aca="false">SUM(H51:H67)</f>
        <v>1166</v>
      </c>
      <c r="I68" s="12" t="n">
        <f aca="false">SUM(I51:I67)</f>
        <v>1290</v>
      </c>
      <c r="J68" s="12" t="n">
        <f aca="false">SUM(J51:J67)</f>
        <v>1394</v>
      </c>
      <c r="K68" s="12" t="n">
        <f aca="false">SUM(K51:K67)</f>
        <v>1498</v>
      </c>
    </row>
    <row r="70" customFormat="false" ht="15" hidden="false" customHeight="false" outlineLevel="0" collapsed="false">
      <c r="A70" s="1" t="s">
        <v>376</v>
      </c>
    </row>
    <row r="71" customFormat="false" ht="15" hidden="false" customHeight="false" outlineLevel="0" collapsed="false">
      <c r="A71" s="2" t="s">
        <v>377</v>
      </c>
    </row>
    <row r="72" customFormat="false" ht="15" hidden="false" customHeight="false" outlineLevel="0" collapsed="false">
      <c r="A72" s="3" t="s">
        <v>124</v>
      </c>
      <c r="B72" s="3" t="n">
        <v>2026</v>
      </c>
      <c r="C72" s="3" t="n">
        <v>2027</v>
      </c>
      <c r="D72" s="3" t="n">
        <v>2028</v>
      </c>
      <c r="E72" s="3" t="n">
        <v>2029</v>
      </c>
      <c r="F72" s="3" t="n">
        <v>2030</v>
      </c>
      <c r="G72" s="3" t="n">
        <v>2031</v>
      </c>
      <c r="H72" s="3" t="n">
        <v>2032</v>
      </c>
      <c r="I72" s="3" t="n">
        <v>2033</v>
      </c>
      <c r="J72" s="3" t="n">
        <v>2034</v>
      </c>
      <c r="K72" s="3" t="n">
        <v>2035</v>
      </c>
    </row>
    <row r="73" customFormat="false" ht="15" hidden="false" customHeight="false" outlineLevel="0" collapsed="false">
      <c r="A73" s="6" t="str">
        <f aca="false">datos_base!A2</f>
        <v>ABC 1 kg</v>
      </c>
      <c r="B73" s="26" t="n">
        <f aca="false">B51</f>
        <v>0</v>
      </c>
      <c r="C73" s="26" t="n">
        <f aca="false">MAX(0,C51-B51)+B51*INDEX(parametros_recargas!$E$21:$L$21,MATCH(parametros_recargas!$B$55,parametros_recargas!$E$12:$L$12,0))</f>
        <v>0</v>
      </c>
      <c r="D73" s="26" t="n">
        <f aca="false">MAX(0,D51-C51)+C51*INDEX(parametros_recargas!$E$21:$L$21,MATCH(parametros_recargas!$B$55,parametros_recargas!$E$12:$L$12,0))</f>
        <v>0</v>
      </c>
      <c r="E73" s="26" t="n">
        <f aca="false">MAX(0,E51-D51)+D51*INDEX(parametros_recargas!$E$21:$L$21,MATCH(parametros_recargas!$B$55,parametros_recargas!$E$12:$L$12,0))</f>
        <v>0</v>
      </c>
      <c r="F73" s="26" t="n">
        <f aca="false">MAX(0,F51-E51)+E51*INDEX(parametros_recargas!$E$21:$L$21,MATCH(parametros_recargas!$B$55,parametros_recargas!$E$12:$L$12,0))</f>
        <v>0</v>
      </c>
      <c r="G73" s="26" t="n">
        <f aca="false">MAX(0,G51-F51)+F51*INDEX(parametros_recargas!$E$21:$L$21,MATCH(parametros_recargas!$B$55,parametros_recargas!$E$12:$L$12,0))</f>
        <v>0</v>
      </c>
      <c r="H73" s="26" t="n">
        <f aca="false">MAX(0,H51-G51)+G51*INDEX(parametros_recargas!$E$21:$L$21,MATCH(parametros_recargas!$B$55,parametros_recargas!$E$12:$L$12,0))</f>
        <v>0</v>
      </c>
      <c r="I73" s="26" t="n">
        <f aca="false">MAX(0,I51-H51)+H51*INDEX(parametros_recargas!$E$21:$L$21,MATCH(parametros_recargas!$B$55,parametros_recargas!$E$12:$L$12,0))</f>
        <v>0</v>
      </c>
      <c r="J73" s="26" t="n">
        <f aca="false">MAX(0,J51-I51)+I51*INDEX(parametros_recargas!$E$21:$L$21,MATCH(parametros_recargas!$B$55,parametros_recargas!$E$12:$L$12,0))</f>
        <v>0</v>
      </c>
      <c r="K73" s="26" t="n">
        <f aca="false">MAX(0,K51-J51)+J51*INDEX(parametros_recargas!$E$21:$L$21,MATCH(parametros_recargas!$B$55,parametros_recargas!$E$12:$L$12,0))</f>
        <v>0</v>
      </c>
    </row>
    <row r="74" customFormat="false" ht="15" hidden="false" customHeight="false" outlineLevel="0" collapsed="false">
      <c r="A74" s="6" t="str">
        <f aca="false">datos_base!A3</f>
        <v>ABC 2,5 kg</v>
      </c>
      <c r="B74" s="26" t="n">
        <f aca="false">B52</f>
        <v>3</v>
      </c>
      <c r="C74" s="26" t="n">
        <f aca="false">MAX(0,C52-B52)+B52*INDEX(parametros_recargas!$E$21:$L$21,MATCH(parametros_recargas!$B$56,parametros_recargas!$E$12:$L$12,0))</f>
        <v>9.24</v>
      </c>
      <c r="D74" s="26" t="n">
        <f aca="false">MAX(0,D52-C52)+C52*INDEX(parametros_recargas!$E$21:$L$21,MATCH(parametros_recargas!$B$56,parametros_recargas!$E$12:$L$12,0))</f>
        <v>15.96</v>
      </c>
      <c r="E74" s="26" t="n">
        <f aca="false">MAX(0,E52-D52)+D52*INDEX(parametros_recargas!$E$21:$L$21,MATCH(parametros_recargas!$B$56,parametros_recargas!$E$12:$L$12,0))</f>
        <v>24.16</v>
      </c>
      <c r="F74" s="26" t="n">
        <f aca="false">MAX(0,F52-E52)+E52*INDEX(parametros_recargas!$E$21:$L$21,MATCH(parametros_recargas!$B$56,parametros_recargas!$E$12:$L$12,0))</f>
        <v>25.92</v>
      </c>
      <c r="G74" s="26" t="n">
        <f aca="false">MAX(0,G52-F52)+F52*INDEX(parametros_recargas!$E$21:$L$21,MATCH(parametros_recargas!$B$56,parametros_recargas!$E$12:$L$12,0))</f>
        <v>28.68</v>
      </c>
      <c r="H74" s="26" t="n">
        <f aca="false">MAX(0,H52-G52)+G52*INDEX(parametros_recargas!$E$21:$L$21,MATCH(parametros_recargas!$B$56,parametros_recargas!$E$12:$L$12,0))</f>
        <v>26.52</v>
      </c>
      <c r="I74" s="26" t="n">
        <f aca="false">MAX(0,I52-H52)+H52*INDEX(parametros_recargas!$E$21:$L$21,MATCH(parametros_recargas!$B$56,parametros_recargas!$E$12:$L$12,0))</f>
        <v>21.04</v>
      </c>
      <c r="J74" s="26" t="n">
        <f aca="false">MAX(0,J52-I52)+I52*INDEX(parametros_recargas!$E$21:$L$21,MATCH(parametros_recargas!$B$56,parametros_recargas!$E$12:$L$12,0))</f>
        <v>21</v>
      </c>
      <c r="K74" s="26" t="n">
        <f aca="false">MAX(0,K52-J52)+J52*INDEX(parametros_recargas!$E$21:$L$21,MATCH(parametros_recargas!$B$56,parametros_recargas!$E$12:$L$12,0))</f>
        <v>20.88</v>
      </c>
    </row>
    <row r="75" customFormat="false" ht="15" hidden="false" customHeight="false" outlineLevel="0" collapsed="false">
      <c r="A75" s="6" t="str">
        <f aca="false">datos_base!A4</f>
        <v>ABC 5 kg</v>
      </c>
      <c r="B75" s="26" t="n">
        <f aca="false">B53</f>
        <v>17</v>
      </c>
      <c r="C75" s="26" t="n">
        <f aca="false">MAX(0,C53-B53)+B53*INDEX(parametros_recargas!$E$21:$L$21,MATCH(parametros_recargas!$B$57,parametros_recargas!$E$12:$L$12,0))</f>
        <v>53.36</v>
      </c>
      <c r="D75" s="26" t="n">
        <f aca="false">MAX(0,D53-C53)+C53*INDEX(parametros_recargas!$E$21:$L$21,MATCH(parametros_recargas!$B$57,parametros_recargas!$E$12:$L$12,0))</f>
        <v>91.52</v>
      </c>
      <c r="E75" s="26" t="n">
        <f aca="false">MAX(0,E53-D53)+D53*INDEX(parametros_recargas!$E$21:$L$21,MATCH(parametros_recargas!$B$57,parametros_recargas!$E$12:$L$12,0))</f>
        <v>150.4</v>
      </c>
      <c r="F75" s="26" t="n">
        <f aca="false">MAX(0,F53-E53)+E53*INDEX(parametros_recargas!$E$21:$L$21,MATCH(parametros_recargas!$B$57,parametros_recargas!$E$12:$L$12,0))</f>
        <v>152.44</v>
      </c>
      <c r="G75" s="26" t="n">
        <f aca="false">MAX(0,G53-F53)+F53*INDEX(parametros_recargas!$E$21:$L$21,MATCH(parametros_recargas!$B$57,parametros_recargas!$E$12:$L$12,0))</f>
        <v>171.76</v>
      </c>
      <c r="H75" s="26" t="n">
        <f aca="false">MAX(0,H53-G53)+G53*INDEX(parametros_recargas!$E$21:$L$21,MATCH(parametros_recargas!$B$57,parametros_recargas!$E$12:$L$12,0))</f>
        <v>150.8</v>
      </c>
      <c r="I75" s="26" t="n">
        <f aca="false">MAX(0,I53-H53)+H53*INDEX(parametros_recargas!$E$21:$L$21,MATCH(parametros_recargas!$B$57,parametros_recargas!$E$12:$L$12,0))</f>
        <v>125.28</v>
      </c>
      <c r="J75" s="26" t="n">
        <f aca="false">MAX(0,J53-I53)+I53*INDEX(parametros_recargas!$E$21:$L$21,MATCH(parametros_recargas!$B$57,parametros_recargas!$E$12:$L$12,0))</f>
        <v>117.04</v>
      </c>
      <c r="K75" s="26" t="n">
        <f aca="false">MAX(0,K53-J53)+J53*INDEX(parametros_recargas!$E$21:$L$21,MATCH(parametros_recargas!$B$57,parametros_recargas!$E$12:$L$12,0))</f>
        <v>122.68</v>
      </c>
    </row>
    <row r="76" customFormat="false" ht="15" hidden="false" customHeight="false" outlineLevel="0" collapsed="false">
      <c r="A76" s="6" t="str">
        <f aca="false">datos_base!A5</f>
        <v>ABC 10 kg</v>
      </c>
      <c r="B76" s="26" t="n">
        <f aca="false">B54</f>
        <v>2</v>
      </c>
      <c r="C76" s="26" t="n">
        <f aca="false">MAX(0,C54-B54)+B54*INDEX(parametros_recargas!$E$21:$L$21,MATCH(parametros_recargas!$B$58,parametros_recargas!$E$12:$L$12,0))</f>
        <v>3.16</v>
      </c>
      <c r="D76" s="26" t="n">
        <f aca="false">MAX(0,D54-C54)+C54*INDEX(parametros_recargas!$E$21:$L$21,MATCH(parametros_recargas!$B$58,parametros_recargas!$E$12:$L$12,0))</f>
        <v>5.4</v>
      </c>
      <c r="E76" s="26" t="n">
        <f aca="false">MAX(0,E54-D54)+D54*INDEX(parametros_recargas!$E$21:$L$21,MATCH(parametros_recargas!$B$58,parametros_recargas!$E$12:$L$12,0))</f>
        <v>9.8</v>
      </c>
      <c r="F76" s="26" t="n">
        <f aca="false">MAX(0,F54-E54)+E54*INDEX(parametros_recargas!$E$21:$L$21,MATCH(parametros_recargas!$B$58,parametros_recargas!$E$12:$L$12,0))</f>
        <v>9.52</v>
      </c>
      <c r="G76" s="26" t="n">
        <f aca="false">MAX(0,G54-F54)+F54*INDEX(parametros_recargas!$E$21:$L$21,MATCH(parametros_recargas!$B$58,parametros_recargas!$E$12:$L$12,0))</f>
        <v>11.16</v>
      </c>
      <c r="H76" s="26" t="n">
        <f aca="false">MAX(0,H54-G54)+G54*INDEX(parametros_recargas!$E$21:$L$21,MATCH(parametros_recargas!$B$58,parametros_recargas!$E$12:$L$12,0))</f>
        <v>8.88</v>
      </c>
      <c r="I76" s="26" t="n">
        <f aca="false">MAX(0,I54-H54)+H54*INDEX(parametros_recargas!$E$21:$L$21,MATCH(parametros_recargas!$B$58,parametros_recargas!$E$12:$L$12,0))</f>
        <v>7.36</v>
      </c>
      <c r="J76" s="26" t="n">
        <f aca="false">MAX(0,J54-I54)+I54*INDEX(parametros_recargas!$E$21:$L$21,MATCH(parametros_recargas!$B$58,parametros_recargas!$E$12:$L$12,0))</f>
        <v>7.68</v>
      </c>
      <c r="K76" s="26" t="n">
        <f aca="false">MAX(0,K54-J54)+J54*INDEX(parametros_recargas!$E$21:$L$21,MATCH(parametros_recargas!$B$58,parametros_recargas!$E$12:$L$12,0))</f>
        <v>7</v>
      </c>
    </row>
    <row r="77" customFormat="false" ht="15" hidden="false" customHeight="false" outlineLevel="0" collapsed="false">
      <c r="A77" s="6" t="str">
        <f aca="false">datos_base!A6</f>
        <v>Agua 10 l</v>
      </c>
      <c r="B77" s="26" t="n">
        <f aca="false">B55</f>
        <v>2</v>
      </c>
      <c r="C77" s="26" t="n">
        <f aca="false">MAX(0,C55-B55)+B55*INDEX(parametros_recargas!$E$21:$L$21,MATCH(parametros_recargas!$B$59,parametros_recargas!$E$12:$L$12,0))</f>
        <v>4.16</v>
      </c>
      <c r="D77" s="26" t="n">
        <f aca="false">MAX(0,D55-C55)+C55*INDEX(parametros_recargas!$E$21:$L$21,MATCH(parametros_recargas!$B$59,parametros_recargas!$E$12:$L$12,0))</f>
        <v>8.48</v>
      </c>
      <c r="E77" s="26" t="n">
        <f aca="false">MAX(0,E55-D55)+D55*INDEX(parametros_recargas!$E$21:$L$21,MATCH(parametros_recargas!$B$59,parametros_recargas!$E$12:$L$12,0))</f>
        <v>13.12</v>
      </c>
      <c r="F77" s="26" t="n">
        <f aca="false">MAX(0,F55-E55)+E55*INDEX(parametros_recargas!$E$21:$L$21,MATCH(parametros_recargas!$B$59,parametros_recargas!$E$12:$L$12,0))</f>
        <v>13.08</v>
      </c>
      <c r="G77" s="26" t="n">
        <f aca="false">MAX(0,G55-F55)+F55*INDEX(parametros_recargas!$E$21:$L$21,MATCH(parametros_recargas!$B$59,parametros_recargas!$E$12:$L$12,0))</f>
        <v>15.96</v>
      </c>
      <c r="H77" s="26" t="n">
        <f aca="false">MAX(0,H55-G55)+G55*INDEX(parametros_recargas!$E$21:$L$21,MATCH(parametros_recargas!$B$59,parametros_recargas!$E$12:$L$12,0))</f>
        <v>11</v>
      </c>
      <c r="I77" s="26" t="n">
        <f aca="false">MAX(0,I55-H55)+H55*INDEX(parametros_recargas!$E$21:$L$21,MATCH(parametros_recargas!$B$59,parametros_recargas!$E$12:$L$12,0))</f>
        <v>10.56</v>
      </c>
      <c r="J77" s="26" t="n">
        <f aca="false">MAX(0,J55-I55)+I55*INDEX(parametros_recargas!$E$21:$L$21,MATCH(parametros_recargas!$B$59,parametros_recargas!$E$12:$L$12,0))</f>
        <v>10.04</v>
      </c>
      <c r="K77" s="26" t="n">
        <f aca="false">MAX(0,K55-J55)+J55*INDEX(parametros_recargas!$E$21:$L$21,MATCH(parametros_recargas!$B$59,parametros_recargas!$E$12:$L$12,0))</f>
        <v>10.44</v>
      </c>
    </row>
    <row r="78" customFormat="false" ht="15" hidden="false" customHeight="false" outlineLevel="0" collapsed="false">
      <c r="A78" s="6" t="str">
        <f aca="false">datos_base!A7</f>
        <v>AFFF 10 l</v>
      </c>
      <c r="B78" s="26" t="n">
        <f aca="false">B56</f>
        <v>1</v>
      </c>
      <c r="C78" s="26" t="n">
        <f aca="false">MAX(0,C56-B56)+B56*INDEX(parametros_recargas!$E$21:$L$21,MATCH(parametros_recargas!$B$60,parametros_recargas!$E$12:$L$12,0))</f>
        <v>1.08</v>
      </c>
      <c r="D78" s="26" t="n">
        <f aca="false">MAX(0,D56-C56)+C56*INDEX(parametros_recargas!$E$21:$L$21,MATCH(parametros_recargas!$B$60,parametros_recargas!$E$12:$L$12,0))</f>
        <v>1.16</v>
      </c>
      <c r="E78" s="26" t="n">
        <f aca="false">MAX(0,E56-D56)+D56*INDEX(parametros_recargas!$E$21:$L$21,MATCH(parametros_recargas!$B$60,parametros_recargas!$E$12:$L$12,0))</f>
        <v>1.24</v>
      </c>
      <c r="F78" s="26" t="n">
        <f aca="false">MAX(0,F56-E56)+E56*INDEX(parametros_recargas!$E$21:$L$21,MATCH(parametros_recargas!$B$60,parametros_recargas!$E$12:$L$12,0))</f>
        <v>2.32</v>
      </c>
      <c r="G78" s="26" t="n">
        <f aca="false">MAX(0,G56-F56)+F56*INDEX(parametros_recargas!$E$21:$L$21,MATCH(parametros_recargas!$B$60,parametros_recargas!$E$12:$L$12,0))</f>
        <v>1.48</v>
      </c>
      <c r="H78" s="26" t="n">
        <f aca="false">MAX(0,H56-G56)+G56*INDEX(parametros_recargas!$E$21:$L$21,MATCH(parametros_recargas!$B$60,parametros_recargas!$E$12:$L$12,0))</f>
        <v>2.56</v>
      </c>
      <c r="I78" s="26" t="n">
        <f aca="false">MAX(0,I56-H56)+H56*INDEX(parametros_recargas!$E$21:$L$21,MATCH(parametros_recargas!$B$60,parametros_recargas!$E$12:$L$12,0))</f>
        <v>1.72</v>
      </c>
      <c r="J78" s="26" t="n">
        <f aca="false">MAX(0,J56-I56)+I56*INDEX(parametros_recargas!$E$21:$L$21,MATCH(parametros_recargas!$B$60,parametros_recargas!$E$12:$L$12,0))</f>
        <v>1.8</v>
      </c>
      <c r="K78" s="26" t="n">
        <f aca="false">MAX(0,K56-J56)+J56*INDEX(parametros_recargas!$E$21:$L$21,MATCH(parametros_recargas!$B$60,parametros_recargas!$E$12:$L$12,0))</f>
        <v>1.88</v>
      </c>
    </row>
    <row r="79" customFormat="false" ht="15" hidden="false" customHeight="false" outlineLevel="0" collapsed="false">
      <c r="A79" s="6" t="str">
        <f aca="false">datos_base!A8</f>
        <v>AFFF 50 l s/ruedas</v>
      </c>
      <c r="B79" s="26" t="n">
        <f aca="false">B57</f>
        <v>1</v>
      </c>
      <c r="C79" s="26" t="n">
        <f aca="false">MAX(0,C57-B57)+B57*INDEX(parametros_recargas!$E$21:$L$21,MATCH(parametros_recargas!$B$61,parametros_recargas!$E$12:$L$12,0))</f>
        <v>0.08</v>
      </c>
      <c r="D79" s="26" t="n">
        <f aca="false">MAX(0,D57-C57)+C57*INDEX(parametros_recargas!$E$21:$L$21,MATCH(parametros_recargas!$B$61,parametros_recargas!$E$12:$L$12,0))</f>
        <v>1.08</v>
      </c>
      <c r="E79" s="26" t="n">
        <f aca="false">MAX(0,E57-D57)+D57*INDEX(parametros_recargas!$E$21:$L$21,MATCH(parametros_recargas!$B$61,parametros_recargas!$E$12:$L$12,0))</f>
        <v>0.16</v>
      </c>
      <c r="F79" s="26" t="n">
        <f aca="false">MAX(0,F57-E57)+E57*INDEX(parametros_recargas!$E$21:$L$21,MATCH(parametros_recargas!$B$61,parametros_recargas!$E$12:$L$12,0))</f>
        <v>1.16</v>
      </c>
      <c r="G79" s="26" t="n">
        <f aca="false">MAX(0,G57-F57)+F57*INDEX(parametros_recargas!$E$21:$L$21,MATCH(parametros_recargas!$B$61,parametros_recargas!$E$12:$L$12,0))</f>
        <v>1.24</v>
      </c>
      <c r="H79" s="26" t="n">
        <f aca="false">MAX(0,H57-G57)+G57*INDEX(parametros_recargas!$E$21:$L$21,MATCH(parametros_recargas!$B$61,parametros_recargas!$E$12:$L$12,0))</f>
        <v>1.32</v>
      </c>
      <c r="I79" s="26" t="n">
        <f aca="false">MAX(0,I57-H57)+H57*INDEX(parametros_recargas!$E$21:$L$21,MATCH(parametros_recargas!$B$61,parametros_recargas!$E$12:$L$12,0))</f>
        <v>0.4</v>
      </c>
      <c r="J79" s="26" t="n">
        <f aca="false">MAX(0,J57-I57)+I57*INDEX(parametros_recargas!$E$21:$L$21,MATCH(parametros_recargas!$B$61,parametros_recargas!$E$12:$L$12,0))</f>
        <v>1.4</v>
      </c>
      <c r="K79" s="26" t="n">
        <f aca="false">MAX(0,K57-J57)+J57*INDEX(parametros_recargas!$E$21:$L$21,MATCH(parametros_recargas!$B$61,parametros_recargas!$E$12:$L$12,0))</f>
        <v>0.48</v>
      </c>
    </row>
    <row r="80" customFormat="false" ht="15" hidden="false" customHeight="false" outlineLevel="0" collapsed="false">
      <c r="A80" s="6" t="str">
        <f aca="false">datos_base!A9</f>
        <v>BC 5 kg</v>
      </c>
      <c r="B80" s="26" t="n">
        <f aca="false">B58</f>
        <v>1</v>
      </c>
      <c r="C80" s="26" t="n">
        <f aca="false">MAX(0,C58-B58)+B58*INDEX(parametros_recargas!$E$21:$L$21,MATCH(parametros_recargas!$B$62,parametros_recargas!$E$12:$L$12,0))</f>
        <v>0.08</v>
      </c>
      <c r="D80" s="26" t="n">
        <f aca="false">MAX(0,D58-C58)+C58*INDEX(parametros_recargas!$E$21:$L$21,MATCH(parametros_recargas!$B$62,parametros_recargas!$E$12:$L$12,0))</f>
        <v>0.08</v>
      </c>
      <c r="E80" s="26" t="n">
        <f aca="false">MAX(0,E58-D58)+D58*INDEX(parametros_recargas!$E$21:$L$21,MATCH(parametros_recargas!$B$62,parametros_recargas!$E$12:$L$12,0))</f>
        <v>1.08</v>
      </c>
      <c r="F80" s="26" t="n">
        <f aca="false">MAX(0,F58-E58)+E58*INDEX(parametros_recargas!$E$21:$L$21,MATCH(parametros_recargas!$B$62,parametros_recargas!$E$12:$L$12,0))</f>
        <v>0.16</v>
      </c>
      <c r="G80" s="26" t="n">
        <f aca="false">MAX(0,G58-F58)+F58*INDEX(parametros_recargas!$E$21:$L$21,MATCH(parametros_recargas!$B$62,parametros_recargas!$E$12:$L$12,0))</f>
        <v>1.16</v>
      </c>
      <c r="H80" s="26" t="n">
        <f aca="false">MAX(0,H58-G58)+G58*INDEX(parametros_recargas!$E$21:$L$21,MATCH(parametros_recargas!$B$62,parametros_recargas!$E$12:$L$12,0))</f>
        <v>0.24</v>
      </c>
      <c r="I80" s="26" t="n">
        <f aca="false">MAX(0,I58-H58)+H58*INDEX(parametros_recargas!$E$21:$L$21,MATCH(parametros_recargas!$B$62,parametros_recargas!$E$12:$L$12,0))</f>
        <v>0.24</v>
      </c>
      <c r="J80" s="26" t="n">
        <f aca="false">MAX(0,J58-I58)+I58*INDEX(parametros_recargas!$E$21:$L$21,MATCH(parametros_recargas!$B$62,parametros_recargas!$E$12:$L$12,0))</f>
        <v>1.24</v>
      </c>
      <c r="K80" s="26" t="n">
        <f aca="false">MAX(0,K58-J58)+J58*INDEX(parametros_recargas!$E$21:$L$21,MATCH(parametros_recargas!$B$62,parametros_recargas!$E$12:$L$12,0))</f>
        <v>0.32</v>
      </c>
    </row>
    <row r="81" customFormat="false" ht="15" hidden="false" customHeight="false" outlineLevel="0" collapsed="false">
      <c r="A81" s="6" t="str">
        <f aca="false">datos_base!A10</f>
        <v>Sales K 6 l</v>
      </c>
      <c r="B81" s="26" t="n">
        <f aca="false">B59</f>
        <v>1</v>
      </c>
      <c r="C81" s="26" t="n">
        <f aca="false">MAX(0,C59-B59)+B59*INDEX(parametros_recargas!$E$21:$L$21,MATCH(parametros_recargas!$B$63,parametros_recargas!$E$12:$L$12,0))</f>
        <v>2.08</v>
      </c>
      <c r="D81" s="26" t="n">
        <f aca="false">MAX(0,D59-C59)+C59*INDEX(parametros_recargas!$E$21:$L$21,MATCH(parametros_recargas!$B$63,parametros_recargas!$E$12:$L$12,0))</f>
        <v>4.24</v>
      </c>
      <c r="E81" s="26" t="n">
        <f aca="false">MAX(0,E59-D59)+D59*INDEX(parametros_recargas!$E$21:$L$21,MATCH(parametros_recargas!$B$63,parametros_recargas!$E$12:$L$12,0))</f>
        <v>5.56</v>
      </c>
      <c r="F81" s="26" t="n">
        <f aca="false">MAX(0,F59-E59)+E59*INDEX(parametros_recargas!$E$21:$L$21,MATCH(parametros_recargas!$B$63,parametros_recargas!$E$12:$L$12,0))</f>
        <v>5.96</v>
      </c>
      <c r="G81" s="26" t="n">
        <f aca="false">MAX(0,G59-F59)+F59*INDEX(parametros_recargas!$E$21:$L$21,MATCH(parametros_recargas!$B$63,parametros_recargas!$E$12:$L$12,0))</f>
        <v>7.36</v>
      </c>
      <c r="H81" s="26" t="n">
        <f aca="false">MAX(0,H59-G59)+G59*INDEX(parametros_recargas!$E$21:$L$21,MATCH(parametros_recargas!$B$63,parametros_recargas!$E$12:$L$12,0))</f>
        <v>5.84</v>
      </c>
      <c r="I81" s="26" t="n">
        <f aca="false">MAX(0,I59-H59)+H59*INDEX(parametros_recargas!$E$21:$L$21,MATCH(parametros_recargas!$B$63,parametros_recargas!$E$12:$L$12,0))</f>
        <v>5.16</v>
      </c>
      <c r="J81" s="26" t="n">
        <f aca="false">MAX(0,J59-I59)+I59*INDEX(parametros_recargas!$E$21:$L$21,MATCH(parametros_recargas!$B$63,parametros_recargas!$E$12:$L$12,0))</f>
        <v>5.4</v>
      </c>
      <c r="K81" s="26" t="n">
        <f aca="false">MAX(0,K59-J59)+J59*INDEX(parametros_recargas!$E$21:$L$21,MATCH(parametros_recargas!$B$63,parametros_recargas!$E$12:$L$12,0))</f>
        <v>4.64</v>
      </c>
    </row>
    <row r="82" customFormat="false" ht="15" hidden="false" customHeight="false" outlineLevel="0" collapsed="false">
      <c r="A82" s="6" t="str">
        <f aca="false">datos_base!A11</f>
        <v>CO₂ 2 kg</v>
      </c>
      <c r="B82" s="26" t="n">
        <f aca="false">B60</f>
        <v>5</v>
      </c>
      <c r="C82" s="26" t="n">
        <f aca="false">MAX(0,C60-B60)+B60*INDEX(parametros_recargas!$E$21:$L$21,MATCH(parametros_recargas!$B$64,parametros_recargas!$E$12:$L$12,0))</f>
        <v>11.3166666666667</v>
      </c>
      <c r="D82" s="26" t="n">
        <f aca="false">MAX(0,D60-C60)+C60*INDEX(parametros_recargas!$E$21:$L$21,MATCH(parametros_recargas!$B$64,parametros_recargas!$E$12:$L$12,0))</f>
        <v>21.0133333333333</v>
      </c>
      <c r="E82" s="26" t="n">
        <f aca="false">MAX(0,E60-D60)+D60*INDEX(parametros_recargas!$E$21:$L$21,MATCH(parametros_recargas!$B$64,parametros_recargas!$E$12:$L$12,0))</f>
        <v>35.28</v>
      </c>
      <c r="F82" s="26" t="n">
        <f aca="false">MAX(0,F60-E60)+E60*INDEX(parametros_recargas!$E$21:$L$21,MATCH(parametros_recargas!$B$64,parametros_recargas!$E$12:$L$12,0))</f>
        <v>34.37</v>
      </c>
      <c r="G82" s="26" t="n">
        <f aca="false">MAX(0,G60-F60)+F60*INDEX(parametros_recargas!$E$21:$L$21,MATCH(parametros_recargas!$B$64,parametros_recargas!$E$12:$L$12,0))</f>
        <v>38.27</v>
      </c>
      <c r="H82" s="26" t="n">
        <f aca="false">MAX(0,H60-G60)+G60*INDEX(parametros_recargas!$E$21:$L$21,MATCH(parametros_recargas!$B$64,parametros_recargas!$E$12:$L$12,0))</f>
        <v>33.2966666666667</v>
      </c>
      <c r="I82" s="26" t="n">
        <f aca="false">MAX(0,I60-H60)+H60*INDEX(parametros_recargas!$E$21:$L$21,MATCH(parametros_recargas!$B$64,parametros_recargas!$E$12:$L$12,0))</f>
        <v>25.88</v>
      </c>
      <c r="J82" s="26" t="n">
        <f aca="false">MAX(0,J60-I60)+I60*INDEX(parametros_recargas!$E$21:$L$21,MATCH(parametros_recargas!$B$64,parametros_recargas!$E$12:$L$12,0))</f>
        <v>23.8933333333333</v>
      </c>
      <c r="K82" s="26" t="n">
        <f aca="false">MAX(0,K60-J60)+J60*INDEX(parametros_recargas!$E$21:$L$21,MATCH(parametros_recargas!$B$64,parametros_recargas!$E$12:$L$12,0))</f>
        <v>25.7166666666667</v>
      </c>
    </row>
    <row r="83" customFormat="false" ht="15" hidden="false" customHeight="false" outlineLevel="0" collapsed="false">
      <c r="A83" s="6" t="str">
        <f aca="false">datos_base!A12</f>
        <v>CO₂ 5 kg</v>
      </c>
      <c r="B83" s="26" t="n">
        <f aca="false">B61</f>
        <v>2</v>
      </c>
      <c r="C83" s="26" t="n">
        <f aca="false">MAX(0,C61-B61)+B61*INDEX(parametros_recargas!$E$21:$L$21,MATCH(parametros_recargas!$B$65,parametros_recargas!$E$12:$L$12,0))</f>
        <v>4.12666666666667</v>
      </c>
      <c r="D83" s="26" t="n">
        <f aca="false">MAX(0,D61-C61)+C61*INDEX(parametros_recargas!$E$21:$L$21,MATCH(parametros_recargas!$B$65,parametros_recargas!$E$12:$L$12,0))</f>
        <v>7.38</v>
      </c>
      <c r="E83" s="26" t="n">
        <f aca="false">MAX(0,E61-D61)+D61*INDEX(parametros_recargas!$E$21:$L$21,MATCH(parametros_recargas!$B$65,parametros_recargas!$E$12:$L$12,0))</f>
        <v>10.8233333333333</v>
      </c>
      <c r="F83" s="26" t="n">
        <f aca="false">MAX(0,F61-E61)+E61*INDEX(parametros_recargas!$E$21:$L$21,MATCH(parametros_recargas!$B$65,parametros_recargas!$E$12:$L$12,0))</f>
        <v>10.4566666666667</v>
      </c>
      <c r="G83" s="26" t="n">
        <f aca="false">MAX(0,G61-F61)+F61*INDEX(parametros_recargas!$E$21:$L$21,MATCH(parametros_recargas!$B$65,parametros_recargas!$E$12:$L$12,0))</f>
        <v>13.0266666666667</v>
      </c>
      <c r="H83" s="26" t="n">
        <f aca="false">MAX(0,H61-G61)+G61*INDEX(parametros_recargas!$E$21:$L$21,MATCH(parametros_recargas!$B$65,parametros_recargas!$E$12:$L$12,0))</f>
        <v>7.72333333333333</v>
      </c>
      <c r="I83" s="26" t="n">
        <f aca="false">MAX(0,I61-H61)+H61*INDEX(parametros_recargas!$E$21:$L$21,MATCH(parametros_recargas!$B$65,parametros_recargas!$E$12:$L$12,0))</f>
        <v>9.04</v>
      </c>
      <c r="J83" s="26" t="n">
        <f aca="false">MAX(0,J61-I61)+I61*INDEX(parametros_recargas!$E$21:$L$21,MATCH(parametros_recargas!$B$65,parametros_recargas!$E$12:$L$12,0))</f>
        <v>8.42</v>
      </c>
      <c r="K83" s="26" t="n">
        <f aca="false">MAX(0,K61-J61)+J61*INDEX(parametros_recargas!$E$21:$L$21,MATCH(parametros_recargas!$B$65,parametros_recargas!$E$12:$L$12,0))</f>
        <v>8.73666666666667</v>
      </c>
    </row>
    <row r="84" customFormat="false" ht="15" hidden="false" customHeight="false" outlineLevel="0" collapsed="false">
      <c r="A84" s="6" t="str">
        <f aca="false">datos_base!A13</f>
        <v>HCFC/HFC 5 kg</v>
      </c>
      <c r="B84" s="26" t="n">
        <f aca="false">B62</f>
        <v>1</v>
      </c>
      <c r="C84" s="26" t="n">
        <f aca="false">MAX(0,C62-B62)+B62*INDEX(parametros_recargas!$E$21:$L$21,MATCH(parametros_recargas!$B$66,parametros_recargas!$E$12:$L$12,0))</f>
        <v>1.08</v>
      </c>
      <c r="D84" s="26" t="n">
        <f aca="false">MAX(0,D62-C62)+C62*INDEX(parametros_recargas!$E$21:$L$21,MATCH(parametros_recargas!$B$66,parametros_recargas!$E$12:$L$12,0))</f>
        <v>1.16</v>
      </c>
      <c r="E84" s="26" t="n">
        <f aca="false">MAX(0,E62-D62)+D62*INDEX(parametros_recargas!$E$21:$L$21,MATCH(parametros_recargas!$B$66,parametros_recargas!$E$12:$L$12,0))</f>
        <v>1.24</v>
      </c>
      <c r="F84" s="26" t="n">
        <f aca="false">MAX(0,F62-E62)+E62*INDEX(parametros_recargas!$E$21:$L$21,MATCH(parametros_recargas!$B$66,parametros_recargas!$E$12:$L$12,0))</f>
        <v>2.32</v>
      </c>
      <c r="G84" s="26" t="n">
        <f aca="false">MAX(0,G62-F62)+F62*INDEX(parametros_recargas!$E$21:$L$21,MATCH(parametros_recargas!$B$66,parametros_recargas!$E$12:$L$12,0))</f>
        <v>1.48</v>
      </c>
      <c r="H84" s="26" t="n">
        <f aca="false">MAX(0,H62-G62)+G62*INDEX(parametros_recargas!$E$21:$L$21,MATCH(parametros_recargas!$B$66,parametros_recargas!$E$12:$L$12,0))</f>
        <v>1.56</v>
      </c>
      <c r="I84" s="26" t="n">
        <f aca="false">MAX(0,I62-H62)+H62*INDEX(parametros_recargas!$E$21:$L$21,MATCH(parametros_recargas!$B$66,parametros_recargas!$E$12:$L$12,0))</f>
        <v>1.64</v>
      </c>
      <c r="J84" s="26" t="n">
        <f aca="false">MAX(0,J62-I62)+I62*INDEX(parametros_recargas!$E$21:$L$21,MATCH(parametros_recargas!$B$66,parametros_recargas!$E$12:$L$12,0))</f>
        <v>1.72</v>
      </c>
      <c r="K84" s="26" t="n">
        <f aca="false">MAX(0,K62-J62)+J62*INDEX(parametros_recargas!$E$21:$L$21,MATCH(parametros_recargas!$B$66,parametros_recargas!$E$12:$L$12,0))</f>
        <v>1.8</v>
      </c>
    </row>
    <row r="85" customFormat="false" ht="15" hidden="false" customHeight="false" outlineLevel="0" collapsed="false">
      <c r="A85" s="6" t="str">
        <f aca="false">datos_base!A14</f>
        <v>Clase D 9 l</v>
      </c>
      <c r="B85" s="26" t="n">
        <f aca="false">B63</f>
        <v>1</v>
      </c>
      <c r="C85" s="26" t="n">
        <f aca="false">MAX(0,C63-B63)+B63*INDEX(parametros_recargas!$E$21:$L$21,MATCH(parametros_recargas!$B$67,parametros_recargas!$E$12:$L$12,0))</f>
        <v>0.08</v>
      </c>
      <c r="D85" s="26" t="n">
        <f aca="false">MAX(0,D63-C63)+C63*INDEX(parametros_recargas!$E$21:$L$21,MATCH(parametros_recargas!$B$67,parametros_recargas!$E$12:$L$12,0))</f>
        <v>0.08</v>
      </c>
      <c r="E85" s="26" t="n">
        <f aca="false">MAX(0,E63-D63)+D63*INDEX(parametros_recargas!$E$21:$L$21,MATCH(parametros_recargas!$B$67,parametros_recargas!$E$12:$L$12,0))</f>
        <v>1.08</v>
      </c>
      <c r="F85" s="26" t="n">
        <f aca="false">MAX(0,F63-E63)+E63*INDEX(parametros_recargas!$E$21:$L$21,MATCH(parametros_recargas!$B$67,parametros_recargas!$E$12:$L$12,0))</f>
        <v>0.16</v>
      </c>
      <c r="G85" s="26" t="n">
        <f aca="false">MAX(0,G63-F63)+F63*INDEX(parametros_recargas!$E$21:$L$21,MATCH(parametros_recargas!$B$67,parametros_recargas!$E$12:$L$12,0))</f>
        <v>0.16</v>
      </c>
      <c r="H85" s="26" t="n">
        <f aca="false">MAX(0,H63-G63)+G63*INDEX(parametros_recargas!$E$21:$L$21,MATCH(parametros_recargas!$B$67,parametros_recargas!$E$12:$L$12,0))</f>
        <v>1.16</v>
      </c>
      <c r="I85" s="26" t="n">
        <f aca="false">MAX(0,I63-H63)+H63*INDEX(parametros_recargas!$E$21:$L$21,MATCH(parametros_recargas!$B$67,parametros_recargas!$E$12:$L$12,0))</f>
        <v>0.24</v>
      </c>
      <c r="J85" s="26" t="n">
        <f aca="false">MAX(0,J63-I63)+I63*INDEX(parametros_recargas!$E$21:$L$21,MATCH(parametros_recargas!$B$67,parametros_recargas!$E$12:$L$12,0))</f>
        <v>0.24</v>
      </c>
      <c r="K85" s="26" t="n">
        <f aca="false">MAX(0,K63-J63)+J63*INDEX(parametros_recargas!$E$21:$L$21,MATCH(parametros_recargas!$B$67,parametros_recargas!$E$12:$L$12,0))</f>
        <v>1.24</v>
      </c>
    </row>
    <row r="86" customFormat="false" ht="15" hidden="false" customHeight="false" outlineLevel="0" collapsed="false">
      <c r="A86" s="6" t="str">
        <f aca="false">datos_base!A15</f>
        <v>ABC 25 kg s/ruedas</v>
      </c>
      <c r="B86" s="26" t="n">
        <f aca="false">B64</f>
        <v>1</v>
      </c>
      <c r="C86" s="26" t="n">
        <f aca="false">MAX(0,C64-B64)+B64*INDEX(parametros_recargas!$E$21:$L$21,MATCH(parametros_recargas!$B$68,parametros_recargas!$E$12:$L$12,0))</f>
        <v>0.08</v>
      </c>
      <c r="D86" s="26" t="n">
        <f aca="false">MAX(0,D64-C64)+C64*INDEX(parametros_recargas!$E$21:$L$21,MATCH(parametros_recargas!$B$68,parametros_recargas!$E$12:$L$12,0))</f>
        <v>1.08</v>
      </c>
      <c r="E86" s="26" t="n">
        <f aca="false">MAX(0,E64-D64)+D64*INDEX(parametros_recargas!$E$21:$L$21,MATCH(parametros_recargas!$B$68,parametros_recargas!$E$12:$L$12,0))</f>
        <v>1.16</v>
      </c>
      <c r="F86" s="26" t="n">
        <f aca="false">MAX(0,F64-E64)+E64*INDEX(parametros_recargas!$E$21:$L$21,MATCH(parametros_recargas!$B$68,parametros_recargas!$E$12:$L$12,0))</f>
        <v>2.24</v>
      </c>
      <c r="G86" s="26" t="n">
        <f aca="false">MAX(0,G64-F64)+F64*INDEX(parametros_recargas!$E$21:$L$21,MATCH(parametros_recargas!$B$68,parametros_recargas!$E$12:$L$12,0))</f>
        <v>1.4</v>
      </c>
      <c r="H86" s="26" t="n">
        <f aca="false">MAX(0,H64-G64)+G64*INDEX(parametros_recargas!$E$21:$L$21,MATCH(parametros_recargas!$B$68,parametros_recargas!$E$12:$L$12,0))</f>
        <v>1.48</v>
      </c>
      <c r="I86" s="26" t="n">
        <f aca="false">MAX(0,I64-H64)+H64*INDEX(parametros_recargas!$E$21:$L$21,MATCH(parametros_recargas!$B$68,parametros_recargas!$E$12:$L$12,0))</f>
        <v>1.56</v>
      </c>
      <c r="J86" s="26" t="n">
        <f aca="false">MAX(0,J64-I64)+I64*INDEX(parametros_recargas!$E$21:$L$21,MATCH(parametros_recargas!$B$68,parametros_recargas!$E$12:$L$12,0))</f>
        <v>0.64</v>
      </c>
      <c r="K86" s="26" t="n">
        <f aca="false">MAX(0,K64-J64)+J64*INDEX(parametros_recargas!$E$21:$L$21,MATCH(parametros_recargas!$B$68,parametros_recargas!$E$12:$L$12,0))</f>
        <v>1.64</v>
      </c>
    </row>
    <row r="87" customFormat="false" ht="15" hidden="false" customHeight="false" outlineLevel="0" collapsed="false">
      <c r="A87" s="6" t="str">
        <f aca="false">datos_base!A16</f>
        <v>ABC 50 kg s/ruedas</v>
      </c>
      <c r="B87" s="26" t="n">
        <f aca="false">B65</f>
        <v>1</v>
      </c>
      <c r="C87" s="26" t="n">
        <f aca="false">MAX(0,C65-B65)+B65*INDEX(parametros_recargas!$E$21:$L$21,MATCH(parametros_recargas!$B$69,parametros_recargas!$E$12:$L$12,0))</f>
        <v>1.08</v>
      </c>
      <c r="D87" s="26" t="n">
        <f aca="false">MAX(0,D65-C65)+C65*INDEX(parametros_recargas!$E$21:$L$21,MATCH(parametros_recargas!$B$69,parametros_recargas!$E$12:$L$12,0))</f>
        <v>2.16</v>
      </c>
      <c r="E87" s="26" t="n">
        <f aca="false">MAX(0,E65-D65)+D65*INDEX(parametros_recargas!$E$21:$L$21,MATCH(parametros_recargas!$B$69,parametros_recargas!$E$12:$L$12,0))</f>
        <v>3.32</v>
      </c>
      <c r="F87" s="26" t="n">
        <f aca="false">MAX(0,F65-E65)+E65*INDEX(parametros_recargas!$E$21:$L$21,MATCH(parametros_recargas!$B$69,parametros_recargas!$E$12:$L$12,0))</f>
        <v>3.56</v>
      </c>
      <c r="G87" s="26" t="n">
        <f aca="false">MAX(0,G65-F65)+F65*INDEX(parametros_recargas!$E$21:$L$21,MATCH(parametros_recargas!$B$69,parametros_recargas!$E$12:$L$12,0))</f>
        <v>3.8</v>
      </c>
      <c r="H87" s="26" t="n">
        <f aca="false">MAX(0,H65-G65)+G65*INDEX(parametros_recargas!$E$21:$L$21,MATCH(parametros_recargas!$B$69,parametros_recargas!$E$12:$L$12,0))</f>
        <v>3.04</v>
      </c>
      <c r="I87" s="26" t="n">
        <f aca="false">MAX(0,I65-H65)+H65*INDEX(parametros_recargas!$E$21:$L$21,MATCH(parametros_recargas!$B$69,parametros_recargas!$E$12:$L$12,0))</f>
        <v>3.2</v>
      </c>
      <c r="J87" s="26" t="n">
        <f aca="false">MAX(0,J65-I65)+I65*INDEX(parametros_recargas!$E$21:$L$21,MATCH(parametros_recargas!$B$69,parametros_recargas!$E$12:$L$12,0))</f>
        <v>2.36</v>
      </c>
      <c r="K87" s="26" t="n">
        <f aca="false">MAX(0,K65-J65)+J65*INDEX(parametros_recargas!$E$21:$L$21,MATCH(parametros_recargas!$B$69,parametros_recargas!$E$12:$L$12,0))</f>
        <v>2.44</v>
      </c>
    </row>
    <row r="88" customFormat="false" ht="15" hidden="false" customHeight="false" outlineLevel="0" collapsed="false">
      <c r="A88" s="6" t="str">
        <f aca="false">datos_base!A17</f>
        <v>ABC 70 kg s/ruedas</v>
      </c>
      <c r="B88" s="26" t="n">
        <f aca="false">B66</f>
        <v>1</v>
      </c>
      <c r="C88" s="26" t="n">
        <f aca="false">MAX(0,C66-B66)+B66*INDEX(parametros_recargas!$E$21:$L$21,MATCH(parametros_recargas!$B$70,parametros_recargas!$E$12:$L$12,0))</f>
        <v>0.08</v>
      </c>
      <c r="D88" s="26" t="n">
        <f aca="false">MAX(0,D66-C66)+C66*INDEX(parametros_recargas!$E$21:$L$21,MATCH(parametros_recargas!$B$70,parametros_recargas!$E$12:$L$12,0))</f>
        <v>0.08</v>
      </c>
      <c r="E88" s="26" t="n">
        <f aca="false">MAX(0,E66-D66)+D66*INDEX(parametros_recargas!$E$21:$L$21,MATCH(parametros_recargas!$B$70,parametros_recargas!$E$12:$L$12,0))</f>
        <v>1.08</v>
      </c>
      <c r="F88" s="26" t="n">
        <f aca="false">MAX(0,F66-E66)+E66*INDEX(parametros_recargas!$E$21:$L$21,MATCH(parametros_recargas!$B$70,parametros_recargas!$E$12:$L$12,0))</f>
        <v>1.16</v>
      </c>
      <c r="G88" s="26" t="n">
        <f aca="false">MAX(0,G66-F66)+F66*INDEX(parametros_recargas!$E$21:$L$21,MATCH(parametros_recargas!$B$70,parametros_recargas!$E$12:$L$12,0))</f>
        <v>0.24</v>
      </c>
      <c r="H88" s="26" t="n">
        <f aca="false">MAX(0,H66-G66)+G66*INDEX(parametros_recargas!$E$21:$L$21,MATCH(parametros_recargas!$B$70,parametros_recargas!$E$12:$L$12,0))</f>
        <v>1.24</v>
      </c>
      <c r="I88" s="26" t="n">
        <f aca="false">MAX(0,I66-H66)+H66*INDEX(parametros_recargas!$E$21:$L$21,MATCH(parametros_recargas!$B$70,parametros_recargas!$E$12:$L$12,0))</f>
        <v>0.32</v>
      </c>
      <c r="J88" s="26" t="n">
        <f aca="false">MAX(0,J66-I66)+I66*INDEX(parametros_recargas!$E$21:$L$21,MATCH(parametros_recargas!$B$70,parametros_recargas!$E$12:$L$12,0))</f>
        <v>0.32</v>
      </c>
      <c r="K88" s="26" t="n">
        <f aca="false">MAX(0,K66-J66)+J66*INDEX(parametros_recargas!$E$21:$L$21,MATCH(parametros_recargas!$B$70,parametros_recargas!$E$12:$L$12,0))</f>
        <v>1.32</v>
      </c>
    </row>
    <row r="89" customFormat="false" ht="15" hidden="false" customHeight="false" outlineLevel="0" collapsed="false">
      <c r="A89" s="6" t="str">
        <f aca="false">datos_base!A18</f>
        <v>ABC 100 kg s/ruedas</v>
      </c>
      <c r="B89" s="26" t="n">
        <f aca="false">B67</f>
        <v>1</v>
      </c>
      <c r="C89" s="26" t="n">
        <f aca="false">MAX(0,C67-B67)+B67*INDEX(parametros_recargas!$E$21:$L$21,MATCH(parametros_recargas!$B$71,parametros_recargas!$E$12:$L$12,0))</f>
        <v>0.08</v>
      </c>
      <c r="D89" s="26" t="n">
        <f aca="false">MAX(0,D67-C67)+C67*INDEX(parametros_recargas!$E$21:$L$21,MATCH(parametros_recargas!$B$71,parametros_recargas!$E$12:$L$12,0))</f>
        <v>0.08</v>
      </c>
      <c r="E89" s="26" t="n">
        <f aca="false">MAX(0,E67-D67)+D67*INDEX(parametros_recargas!$E$21:$L$21,MATCH(parametros_recargas!$B$71,parametros_recargas!$E$12:$L$12,0))</f>
        <v>0.08</v>
      </c>
      <c r="F89" s="26" t="n">
        <f aca="false">MAX(0,F67-E67)+E67*INDEX(parametros_recargas!$E$21:$L$21,MATCH(parametros_recargas!$B$71,parametros_recargas!$E$12:$L$12,0))</f>
        <v>1.08</v>
      </c>
      <c r="G89" s="26" t="n">
        <f aca="false">MAX(0,G67-F67)+F67*INDEX(parametros_recargas!$E$21:$L$21,MATCH(parametros_recargas!$B$71,parametros_recargas!$E$12:$L$12,0))</f>
        <v>0.16</v>
      </c>
      <c r="H89" s="26" t="n">
        <f aca="false">MAX(0,H67-G67)+G67*INDEX(parametros_recargas!$E$21:$L$21,MATCH(parametros_recargas!$B$71,parametros_recargas!$E$12:$L$12,0))</f>
        <v>1.16</v>
      </c>
      <c r="I89" s="26" t="n">
        <f aca="false">MAX(0,I67-H67)+H67*INDEX(parametros_recargas!$E$21:$L$21,MATCH(parametros_recargas!$B$71,parametros_recargas!$E$12:$L$12,0))</f>
        <v>0.24</v>
      </c>
      <c r="J89" s="26" t="n">
        <f aca="false">MAX(0,J67-I67)+I67*INDEX(parametros_recargas!$E$21:$L$21,MATCH(parametros_recargas!$B$71,parametros_recargas!$E$12:$L$12,0))</f>
        <v>0.24</v>
      </c>
      <c r="K89" s="26" t="n">
        <f aca="false">MAX(0,K67-J67)+J67*INDEX(parametros_recargas!$E$21:$L$21,MATCH(parametros_recargas!$B$71,parametros_recargas!$E$12:$L$12,0))</f>
        <v>0.24</v>
      </c>
    </row>
    <row r="90" customFormat="false" ht="15" hidden="false" customHeight="false" outlineLevel="0" collapsed="false">
      <c r="A90" s="4" t="s">
        <v>378</v>
      </c>
      <c r="B90" s="27" t="n">
        <f aca="false">SUMIF($F$30:$F$46,"Fábrica: cilindro vacío",B73:B89)</f>
        <v>26</v>
      </c>
      <c r="C90" s="27" t="n">
        <f aca="false">SUMIF($F$30:$F$46,"Fábrica: cilindro vacío",C73:C89)</f>
        <v>67.08</v>
      </c>
      <c r="D90" s="27" t="n">
        <f aca="false">SUMIF($F$30:$F$46,"Fábrica: cilindro vacío",D73:D89)</f>
        <v>116.28</v>
      </c>
      <c r="E90" s="27" t="n">
        <f aca="false">SUMIF($F$30:$F$46,"Fábrica: cilindro vacío",E73:E89)</f>
        <v>190</v>
      </c>
      <c r="F90" s="27" t="n">
        <f aca="false">SUMIF($F$30:$F$46,"Fábrica: cilindro vacío",F73:F89)</f>
        <v>195.92</v>
      </c>
      <c r="G90" s="27" t="n">
        <f aca="false">SUMIF($F$30:$F$46,"Fábrica: cilindro vacío",G73:G89)</f>
        <v>217.2</v>
      </c>
      <c r="H90" s="27" t="n">
        <f aca="false">SUMIF($F$30:$F$46,"Fábrica: cilindro vacío",H73:H89)</f>
        <v>193.12</v>
      </c>
      <c r="I90" s="27" t="n">
        <f aca="false">SUMIF($F$30:$F$46,"Fábrica: cilindro vacío",I73:I89)</f>
        <v>159</v>
      </c>
      <c r="J90" s="27" t="n">
        <f aca="false">SUMIF($F$30:$F$46,"Fábrica: cilindro vacío",J73:J89)</f>
        <v>149.28</v>
      </c>
      <c r="K90" s="27" t="n">
        <f aca="false">SUMIF($F$30:$F$46,"Fábrica: cilindro vacío",K73:K89)</f>
        <v>156.2</v>
      </c>
    </row>
    <row r="91" customFormat="false" ht="15" hidden="false" customHeight="false" outlineLevel="0" collapsed="false">
      <c r="A91" s="4" t="s">
        <v>379</v>
      </c>
      <c r="B91" s="27" t="n">
        <f aca="false">SUMIF($F$30:$F$46,"Fábrica: terminado",B73:B89)</f>
        <v>0</v>
      </c>
      <c r="C91" s="27" t="n">
        <f aca="false">SUMIF($F$30:$F$46,"Fábrica: terminado",C73:C89)</f>
        <v>0</v>
      </c>
      <c r="D91" s="27" t="n">
        <f aca="false">SUMIF($F$30:$F$46,"Fábrica: terminado",D73:D89)</f>
        <v>0</v>
      </c>
      <c r="E91" s="27" t="n">
        <f aca="false">SUMIF($F$30:$F$46,"Fábrica: terminado",E73:E89)</f>
        <v>0</v>
      </c>
      <c r="F91" s="27" t="n">
        <f aca="false">SUMIF($F$30:$F$46,"Fábrica: terminado",F73:F89)</f>
        <v>0</v>
      </c>
      <c r="G91" s="27" t="n">
        <f aca="false">SUMIF($F$30:$F$46,"Fábrica: terminado",G73:G89)</f>
        <v>0</v>
      </c>
      <c r="H91" s="27" t="n">
        <f aca="false">SUMIF($F$30:$F$46,"Fábrica: terminado",H73:H89)</f>
        <v>0</v>
      </c>
      <c r="I91" s="27" t="n">
        <f aca="false">SUMIF($F$30:$F$46,"Fábrica: terminado",I73:I89)</f>
        <v>0</v>
      </c>
      <c r="J91" s="27" t="n">
        <f aca="false">SUMIF($F$30:$F$46,"Fábrica: terminado",J73:J89)</f>
        <v>0</v>
      </c>
      <c r="K91" s="27" t="n">
        <f aca="false">SUMIF($F$30:$F$46,"Fábrica: terminado",K73:K89)</f>
        <v>0</v>
      </c>
    </row>
    <row r="92" customFormat="false" ht="15" hidden="false" customHeight="false" outlineLevel="0" collapsed="false">
      <c r="A92" s="4" t="s">
        <v>380</v>
      </c>
      <c r="B92" s="27" t="n">
        <f aca="false">SUMIF($F$30:$F$46,"Compra",B73:B89)</f>
        <v>15</v>
      </c>
      <c r="C92" s="27" t="n">
        <f aca="false">SUMIF($F$30:$F$46,"Compra",C73:C89)</f>
        <v>24.0833333333333</v>
      </c>
      <c r="D92" s="27" t="n">
        <f aca="false">SUMIF($F$30:$F$46,"Compra",D73:D89)</f>
        <v>44.6733333333333</v>
      </c>
      <c r="E92" s="27" t="n">
        <f aca="false">SUMIF($F$30:$F$46,"Compra",E73:E89)</f>
        <v>69.5833333333333</v>
      </c>
      <c r="F92" s="27" t="n">
        <f aca="false">SUMIF($F$30:$F$46,"Compra",F73:F89)</f>
        <v>69.9866666666667</v>
      </c>
      <c r="G92" s="27" t="n">
        <f aca="false">SUMIF($F$30:$F$46,"Compra",G73:G89)</f>
        <v>80.1366666666667</v>
      </c>
      <c r="H92" s="27" t="n">
        <f aca="false">SUMIF($F$30:$F$46,"Compra",H73:H89)</f>
        <v>64.7</v>
      </c>
      <c r="I92" s="27" t="n">
        <f aca="false">SUMIF($F$30:$F$46,"Compra",I73:I89)</f>
        <v>54.88</v>
      </c>
      <c r="J92" s="27" t="n">
        <f aca="false">SUMIF($F$30:$F$46,"Compra",J73:J89)</f>
        <v>54.1533333333333</v>
      </c>
      <c r="K92" s="27" t="n">
        <f aca="false">SUMIF($F$30:$F$46,"Compra",K73:K89)</f>
        <v>55.2533333333333</v>
      </c>
    </row>
    <row r="93" customFormat="false" ht="15" hidden="false" customHeight="false" outlineLevel="0" collapsed="false">
      <c r="A93" s="4" t="s">
        <v>381</v>
      </c>
      <c r="B93" s="27" t="n">
        <f aca="false">SUM(B73:B89)</f>
        <v>41</v>
      </c>
      <c r="C93" s="27" t="n">
        <f aca="false">SUM(C73:C89)</f>
        <v>91.1633333333333</v>
      </c>
      <c r="D93" s="27" t="n">
        <f aca="false">SUM(D73:D89)</f>
        <v>160.953333333333</v>
      </c>
      <c r="E93" s="27" t="n">
        <f aca="false">SUM(E73:E89)</f>
        <v>259.583333333333</v>
      </c>
      <c r="F93" s="27" t="n">
        <f aca="false">SUM(F73:F89)</f>
        <v>265.906666666667</v>
      </c>
      <c r="G93" s="27" t="n">
        <f aca="false">SUM(G73:G89)</f>
        <v>297.336666666667</v>
      </c>
      <c r="H93" s="27" t="n">
        <f aca="false">SUM(H73:H89)</f>
        <v>257.82</v>
      </c>
      <c r="I93" s="27" t="n">
        <f aca="false">SUM(I73:I89)</f>
        <v>213.88</v>
      </c>
      <c r="J93" s="27" t="n">
        <f aca="false">SUM(J73:J89)</f>
        <v>203.433333333333</v>
      </c>
      <c r="K93" s="27" t="n">
        <f aca="false">SUM(K73:K89)</f>
        <v>211.453333333333</v>
      </c>
    </row>
    <row r="95" customFormat="false" ht="15" hidden="false" customHeight="false" outlineLevel="0" collapsed="false">
      <c r="A95" s="2" t="s">
        <v>382</v>
      </c>
    </row>
  </sheetData>
  <mergeCells count="27">
    <mergeCell ref="C4:L4"/>
    <mergeCell ref="C5:L5"/>
    <mergeCell ref="C6:L6"/>
    <mergeCell ref="C7:L7"/>
    <mergeCell ref="C8:L8"/>
    <mergeCell ref="C9:L9"/>
    <mergeCell ref="C10:L10"/>
    <mergeCell ref="C11:L11"/>
    <mergeCell ref="C12:L12"/>
    <mergeCell ref="G29:L29"/>
    <mergeCell ref="G30:L30"/>
    <mergeCell ref="G31:L31"/>
    <mergeCell ref="G32:L32"/>
    <mergeCell ref="G33:L33"/>
    <mergeCell ref="G34:L34"/>
    <mergeCell ref="G35:L35"/>
    <mergeCell ref="G36:L36"/>
    <mergeCell ref="G37:L37"/>
    <mergeCell ref="G38:L38"/>
    <mergeCell ref="G39:L39"/>
    <mergeCell ref="G40:L40"/>
    <mergeCell ref="G41:L41"/>
    <mergeCell ref="G42:L42"/>
    <mergeCell ref="G43:L43"/>
    <mergeCell ref="G44:L44"/>
    <mergeCell ref="G45:L45"/>
    <mergeCell ref="G46:L4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2"/>
    <col collapsed="false" customWidth="true" hidden="false" outlineLevel="0" max="15" min="3" style="0" width="9"/>
    <col collapsed="false" customWidth="true" hidden="false" outlineLevel="0" max="16" min="16" style="0" width="10"/>
  </cols>
  <sheetData>
    <row r="1" customFormat="false" ht="15" hidden="false" customHeight="false" outlineLevel="0" collapsed="false">
      <c r="A1" s="28" t="n">
        <v>2026</v>
      </c>
      <c r="B1" s="3" t="s">
        <v>383</v>
      </c>
      <c r="C1" s="3" t="s">
        <v>384</v>
      </c>
      <c r="D1" s="3" t="s">
        <v>64</v>
      </c>
      <c r="E1" s="3" t="s">
        <v>65</v>
      </c>
      <c r="F1" s="3" t="s">
        <v>66</v>
      </c>
      <c r="G1" s="3" t="s">
        <v>67</v>
      </c>
      <c r="H1" s="3" t="s">
        <v>68</v>
      </c>
      <c r="I1" s="3" t="s">
        <v>69</v>
      </c>
      <c r="J1" s="3" t="s">
        <v>70</v>
      </c>
      <c r="K1" s="3" t="s">
        <v>71</v>
      </c>
      <c r="L1" s="3" t="s">
        <v>72</v>
      </c>
      <c r="M1" s="3" t="s">
        <v>73</v>
      </c>
      <c r="N1" s="3" t="s">
        <v>74</v>
      </c>
      <c r="O1" s="3" t="s">
        <v>75</v>
      </c>
      <c r="P1" s="3" t="s">
        <v>132</v>
      </c>
    </row>
    <row r="2" customFormat="false" ht="15" hidden="false" customHeight="false" outlineLevel="0" collapsed="false">
      <c r="A2" s="6" t="str">
        <f aca="false">parametros_recargas!A55</f>
        <v>ABC 1 kg</v>
      </c>
      <c r="B2" s="6" t="str">
        <f aca="false">parametros_recargas!B55</f>
        <v>ABC</v>
      </c>
      <c r="C2" s="14" t="n">
        <f aca="false">parametros_recargas!C55</f>
        <v>1</v>
      </c>
      <c r="D2" s="26" t="n">
        <f aca="false">datos_base!$B$2*parametros_recargas!E$55</f>
        <v>231.164560814455</v>
      </c>
      <c r="E2" s="26" t="n">
        <f aca="false">datos_base!$B$2*parametros_recargas!F$55</f>
        <v>184.113416722037</v>
      </c>
      <c r="F2" s="26" t="n">
        <f aca="false">datos_base!$B$2*parametros_recargas!G$55</f>
        <v>137.155381173637</v>
      </c>
      <c r="G2" s="26" t="n">
        <f aca="false">datos_base!$B$2*parametros_recargas!H$55</f>
        <v>137.155381173637</v>
      </c>
      <c r="H2" s="26" t="n">
        <f aca="false">datos_base!$B$2*parametros_recargas!I$55</f>
        <v>137.248489717655</v>
      </c>
      <c r="I2" s="26" t="n">
        <f aca="false">datos_base!$B$2*parametros_recargas!J$55</f>
        <v>137.248489717655</v>
      </c>
      <c r="J2" s="26" t="n">
        <f aca="false">datos_base!$B$2*parametros_recargas!K$55</f>
        <v>137.087448925908</v>
      </c>
      <c r="K2" s="26" t="n">
        <f aca="false">datos_base!$B$2*parametros_recargas!L$55</f>
        <v>137.248489717655</v>
      </c>
      <c r="L2" s="26" t="n">
        <f aca="false">datos_base!$B$2*parametros_recargas!M$55</f>
        <v>137.23590156951</v>
      </c>
      <c r="M2" s="26" t="n">
        <f aca="false">datos_base!$B$2*parametros_recargas!N$55</f>
        <v>137.23590156951</v>
      </c>
      <c r="N2" s="26" t="n">
        <f aca="false">datos_base!$B$2*parametros_recargas!O$55</f>
        <v>184.19393711791</v>
      </c>
      <c r="O2" s="26" t="n">
        <f aca="false">datos_base!$B$2*parametros_recargas!P$55</f>
        <v>231.245081210329</v>
      </c>
      <c r="P2" s="12" t="n">
        <f aca="false">SUM(D2:O2)</f>
        <v>1928.3324794299</v>
      </c>
    </row>
    <row r="3" customFormat="false" ht="15" hidden="false" customHeight="false" outlineLevel="0" collapsed="false">
      <c r="A3" s="6" t="str">
        <f aca="false">parametros_recargas!A56</f>
        <v>ABC 2,5 kg</v>
      </c>
      <c r="B3" s="6" t="str">
        <f aca="false">parametros_recargas!B56</f>
        <v>ABC</v>
      </c>
      <c r="C3" s="14" t="n">
        <f aca="false">parametros_recargas!C56</f>
        <v>1</v>
      </c>
      <c r="D3" s="26" t="n">
        <f aca="false">datos_base!$B$3*parametros_recargas!E$56</f>
        <v>10.9782757760858</v>
      </c>
      <c r="E3" s="26" t="n">
        <f aca="false">datos_base!$B$3*parametros_recargas!F$56</f>
        <v>10.9782757760858</v>
      </c>
      <c r="F3" s="26" t="n">
        <f aca="false">datos_base!$B$3*parametros_recargas!G$56</f>
        <v>15.06770528431</v>
      </c>
      <c r="G3" s="26" t="n">
        <f aca="false">datos_base!$B$3*parametros_recargas!H$56</f>
        <v>17.5485603635336</v>
      </c>
      <c r="H3" s="26" t="n">
        <f aca="false">datos_base!$B$3*parametros_recargas!I$56</f>
        <v>18.9938675592877</v>
      </c>
      <c r="I3" s="26" t="n">
        <f aca="false">datos_base!$B$3*parametros_recargas!J$56</f>
        <v>18.7792327766226</v>
      </c>
      <c r="J3" s="26" t="n">
        <f aca="false">datos_base!$B$3*parametros_recargas!K$56</f>
        <v>13.5788138838196</v>
      </c>
      <c r="K3" s="26" t="n">
        <f aca="false">datos_base!$B$3*parametros_recargas!L$56</f>
        <v>15.9204756814873</v>
      </c>
      <c r="L3" s="26" t="n">
        <f aca="false">datos_base!$B$3*parametros_recargas!M$56</f>
        <v>15.9551096712101</v>
      </c>
      <c r="M3" s="26" t="n">
        <f aca="false">datos_base!$B$3*parametros_recargas!N$56</f>
        <v>15.9551096712101</v>
      </c>
      <c r="N3" s="26" t="n">
        <f aca="false">datos_base!$B$3*parametros_recargas!O$56</f>
        <v>14.509802475456</v>
      </c>
      <c r="O3" s="26" t="n">
        <f aca="false">datos_base!$B$3*parametros_recargas!P$56</f>
        <v>14.7244372581212</v>
      </c>
      <c r="P3" s="12" t="n">
        <f aca="false">SUM(D3:O3)</f>
        <v>182.98966617723</v>
      </c>
    </row>
    <row r="4" customFormat="false" ht="15" hidden="false" customHeight="false" outlineLevel="0" collapsed="false">
      <c r="A4" s="6" t="str">
        <f aca="false">parametros_recargas!A57</f>
        <v>ABC 5 kg</v>
      </c>
      <c r="B4" s="6" t="str">
        <f aca="false">parametros_recargas!B57</f>
        <v>ABC</v>
      </c>
      <c r="C4" s="14" t="n">
        <f aca="false">parametros_recargas!C57</f>
        <v>1</v>
      </c>
      <c r="D4" s="26" t="n">
        <f aca="false">datos_base!$B$4*parametros_recargas!E$57</f>
        <v>72.1983443611407</v>
      </c>
      <c r="E4" s="26" t="n">
        <f aca="false">datos_base!$B$4*parametros_recargas!F$57</f>
        <v>70.410359327851</v>
      </c>
      <c r="F4" s="26" t="n">
        <f aca="false">datos_base!$B$4*parametros_recargas!G$57</f>
        <v>88.453999154964</v>
      </c>
      <c r="G4" s="26" t="n">
        <f aca="false">datos_base!$B$4*parametros_recargas!H$57</f>
        <v>107.849962638981</v>
      </c>
      <c r="H4" s="26" t="n">
        <f aca="false">datos_base!$B$4*parametros_recargas!I$57</f>
        <v>108.250443709286</v>
      </c>
      <c r="I4" s="26" t="n">
        <f aca="false">datos_base!$B$4*parametros_recargas!J$57</f>
        <v>106.881753011375</v>
      </c>
      <c r="J4" s="26" t="n">
        <f aca="false">datos_base!$B$4*parametros_recargas!K$57</f>
        <v>86.294659618209</v>
      </c>
      <c r="K4" s="26" t="n">
        <f aca="false">datos_base!$B$4*parametros_recargas!L$57</f>
        <v>86.0819185233671</v>
      </c>
      <c r="L4" s="26" t="n">
        <f aca="false">datos_base!$B$4*parametros_recargas!M$57</f>
        <v>87.2947253545495</v>
      </c>
      <c r="M4" s="26" t="n">
        <f aca="false">datos_base!$B$4*parametros_recargas!N$57</f>
        <v>87.2947253545495</v>
      </c>
      <c r="N4" s="26" t="n">
        <f aca="false">datos_base!$B$4*parametros_recargas!O$57</f>
        <v>88.6822293175343</v>
      </c>
      <c r="O4" s="26" t="n">
        <f aca="false">datos_base!$B$4*parametros_recargas!P$57</f>
        <v>91.8389050487344</v>
      </c>
      <c r="P4" s="12" t="n">
        <f aca="false">SUM(D4:O4)</f>
        <v>1081.53202542054</v>
      </c>
    </row>
    <row r="5" customFormat="false" ht="15" hidden="false" customHeight="false" outlineLevel="0" collapsed="false">
      <c r="A5" s="6" t="str">
        <f aca="false">parametros_recargas!A58</f>
        <v>ABC 10 kg</v>
      </c>
      <c r="B5" s="6" t="str">
        <f aca="false">parametros_recargas!B58</f>
        <v>ABC</v>
      </c>
      <c r="C5" s="14" t="n">
        <f aca="false">parametros_recargas!C58</f>
        <v>1</v>
      </c>
      <c r="D5" s="26" t="n">
        <f aca="false">datos_base!$B$5*parametros_recargas!E$58</f>
        <v>4.24011257090476</v>
      </c>
      <c r="E5" s="26" t="n">
        <f aca="false">datos_base!$B$5*parametros_recargas!F$58</f>
        <v>4.24011257090476</v>
      </c>
      <c r="F5" s="26" t="n">
        <f aca="false">datos_base!$B$5*parametros_recargas!G$58</f>
        <v>5.45896897204466</v>
      </c>
      <c r="G5" s="26" t="n">
        <f aca="false">datos_base!$B$5*parametros_recargas!H$58</f>
        <v>6.64963761028737</v>
      </c>
      <c r="H5" s="26" t="n">
        <f aca="false">datos_base!$B$5*parametros_recargas!I$58</f>
        <v>6.71182659087893</v>
      </c>
      <c r="I5" s="26" t="n">
        <f aca="false">datos_base!$B$5*parametros_recargas!J$58</f>
        <v>6.51798612693868</v>
      </c>
      <c r="J5" s="26" t="n">
        <f aca="false">datos_base!$B$5*parametros_recargas!K$58</f>
        <v>5.12301990438992</v>
      </c>
      <c r="K5" s="26" t="n">
        <f aca="false">datos_base!$B$5*parametros_recargas!L$58</f>
        <v>5.1674782424501</v>
      </c>
      <c r="L5" s="26" t="n">
        <f aca="false">datos_base!$B$5*parametros_recargas!M$58</f>
        <v>5.36131870639034</v>
      </c>
      <c r="M5" s="26" t="n">
        <f aca="false">datos_base!$B$5*parametros_recargas!N$58</f>
        <v>5.36131870639034</v>
      </c>
      <c r="N5" s="26" t="n">
        <f aca="false">datos_base!$B$5*parametros_recargas!O$58</f>
        <v>5.29912972579878</v>
      </c>
      <c r="O5" s="26" t="n">
        <f aca="false">datos_base!$B$5*parametros_recargas!P$58</f>
        <v>5.49297018973903</v>
      </c>
      <c r="P5" s="12" t="n">
        <f aca="false">SUM(D5:O5)</f>
        <v>65.6238799171177</v>
      </c>
    </row>
    <row r="6" customFormat="false" ht="15" hidden="false" customHeight="false" outlineLevel="0" collapsed="false">
      <c r="A6" s="6" t="str">
        <f aca="false">parametros_recargas!A59</f>
        <v>Agua 10 l</v>
      </c>
      <c r="B6" s="6" t="str">
        <f aca="false">parametros_recargas!B59</f>
        <v>Agua</v>
      </c>
      <c r="C6" s="14" t="n">
        <f aca="false">parametros_recargas!C59</f>
        <v>1</v>
      </c>
      <c r="D6" s="26" t="n">
        <f aca="false">datos_base!$B$6*parametros_recargas!E$59</f>
        <v>5.92555587682326</v>
      </c>
      <c r="E6" s="26" t="n">
        <f aca="false">datos_base!$B$6*parametros_recargas!F$59</f>
        <v>5.92555587682326</v>
      </c>
      <c r="F6" s="26" t="n">
        <f aca="false">datos_base!$B$6*parametros_recargas!G$59</f>
        <v>7.31337839947435</v>
      </c>
      <c r="G6" s="26" t="n">
        <f aca="false">datos_base!$B$6*parametros_recargas!H$59</f>
        <v>8.77650286765013</v>
      </c>
      <c r="H6" s="26" t="n">
        <f aca="false">datos_base!$B$6*parametros_recargas!I$59</f>
        <v>8.83138040900362</v>
      </c>
      <c r="I6" s="26" t="n">
        <f aca="false">datos_base!$B$6*parametros_recargas!J$59</f>
        <v>8.57304491578827</v>
      </c>
      <c r="J6" s="26" t="n">
        <f aca="false">datos_base!$B$6*parametros_recargas!K$59</f>
        <v>6.9684989675741</v>
      </c>
      <c r="K6" s="26" t="n">
        <f aca="false">datos_base!$B$6*parametros_recargas!L$59</f>
        <v>6.98176444127532</v>
      </c>
      <c r="L6" s="26" t="n">
        <f aca="false">datos_base!$B$6*parametros_recargas!M$59</f>
        <v>7.22389413157208</v>
      </c>
      <c r="M6" s="26" t="n">
        <f aca="false">datos_base!$B$6*parametros_recargas!N$59</f>
        <v>7.22389413157208</v>
      </c>
      <c r="N6" s="26" t="n">
        <f aca="false">datos_base!$B$6*parametros_recargas!O$59</f>
        <v>7.16901659021859</v>
      </c>
      <c r="O6" s="26" t="n">
        <f aca="false">datos_base!$B$6*parametros_recargas!P$59</f>
        <v>7.42735208343394</v>
      </c>
      <c r="P6" s="12" t="n">
        <f aca="false">SUM(D6:O6)</f>
        <v>88.339838691209</v>
      </c>
    </row>
    <row r="7" customFormat="false" ht="15" hidden="false" customHeight="false" outlineLevel="0" collapsed="false">
      <c r="A7" s="6" t="str">
        <f aca="false">parametros_recargas!A60</f>
        <v>AFFF 10 l</v>
      </c>
      <c r="B7" s="6" t="str">
        <f aca="false">parametros_recargas!B60</f>
        <v>AFFF</v>
      </c>
      <c r="C7" s="14" t="n">
        <f aca="false">parametros_recargas!C60</f>
        <v>1</v>
      </c>
      <c r="D7" s="26" t="n">
        <f aca="false">datos_base!$B$7*parametros_recargas!E$60</f>
        <v>1.05166475292534</v>
      </c>
      <c r="E7" s="26" t="n">
        <f aca="false">datos_base!$B$7*parametros_recargas!F$60</f>
        <v>1.05166475292534</v>
      </c>
      <c r="F7" s="26" t="n">
        <f aca="false">datos_base!$B$7*parametros_recargas!G$60</f>
        <v>1.05166475292534</v>
      </c>
      <c r="G7" s="26" t="n">
        <f aca="false">datos_base!$B$7*parametros_recargas!H$60</f>
        <v>1.05166475292534</v>
      </c>
      <c r="H7" s="26" t="n">
        <f aca="false">datos_base!$B$7*parametros_recargas!I$60</f>
        <v>1.05166475292534</v>
      </c>
      <c r="I7" s="26" t="n">
        <f aca="false">datos_base!$B$7*parametros_recargas!J$60</f>
        <v>1.05166475292534</v>
      </c>
      <c r="J7" s="26" t="n">
        <f aca="false">datos_base!$B$7*parametros_recargas!K$60</f>
        <v>1.05166475292534</v>
      </c>
      <c r="K7" s="26" t="n">
        <f aca="false">datos_base!$B$7*parametros_recargas!L$60</f>
        <v>1.05166475292534</v>
      </c>
      <c r="L7" s="26" t="n">
        <f aca="false">datos_base!$B$7*parametros_recargas!M$60</f>
        <v>1.05166475292534</v>
      </c>
      <c r="M7" s="26" t="n">
        <f aca="false">datos_base!$B$7*parametros_recargas!N$60</f>
        <v>1.05166475292534</v>
      </c>
      <c r="N7" s="26" t="n">
        <f aca="false">datos_base!$B$7*parametros_recargas!O$60</f>
        <v>1.05166475292534</v>
      </c>
      <c r="O7" s="26" t="n">
        <f aca="false">datos_base!$B$7*parametros_recargas!P$60</f>
        <v>1.05166475292534</v>
      </c>
      <c r="P7" s="12" t="n">
        <f aca="false">SUM(D7:O7)</f>
        <v>12.6199770351041</v>
      </c>
    </row>
    <row r="8" customFormat="false" ht="15" hidden="false" customHeight="false" outlineLevel="0" collapsed="false">
      <c r="A8" s="6" t="str">
        <f aca="false">parametros_recargas!A61</f>
        <v>AFFF 50 l s/ruedas</v>
      </c>
      <c r="B8" s="6" t="str">
        <f aca="false">parametros_recargas!B61</f>
        <v>AFFF</v>
      </c>
      <c r="C8" s="14" t="n">
        <f aca="false">parametros_recargas!C61</f>
        <v>6.360853875</v>
      </c>
      <c r="D8" s="26" t="n">
        <f aca="false">datos_base!$B$8*parametros_recargas!E$61</f>
        <v>0.525832353357682</v>
      </c>
      <c r="E8" s="26" t="n">
        <f aca="false">datos_base!$B$8*parametros_recargas!F$61</f>
        <v>0.525832353357682</v>
      </c>
      <c r="F8" s="26" t="n">
        <f aca="false">datos_base!$B$8*parametros_recargas!G$61</f>
        <v>0.525832353357682</v>
      </c>
      <c r="G8" s="26" t="n">
        <f aca="false">datos_base!$B$8*parametros_recargas!H$61</f>
        <v>0.525832353357682</v>
      </c>
      <c r="H8" s="26" t="n">
        <f aca="false">datos_base!$B$8*parametros_recargas!I$61</f>
        <v>0.525832353357682</v>
      </c>
      <c r="I8" s="26" t="n">
        <f aca="false">datos_base!$B$8*parametros_recargas!J$61</f>
        <v>0.525832353357682</v>
      </c>
      <c r="J8" s="26" t="n">
        <f aca="false">datos_base!$B$8*parametros_recargas!K$61</f>
        <v>0.525832353357682</v>
      </c>
      <c r="K8" s="26" t="n">
        <f aca="false">datos_base!$B$8*parametros_recargas!L$61</f>
        <v>0.525832353357682</v>
      </c>
      <c r="L8" s="26" t="n">
        <f aca="false">datos_base!$B$8*parametros_recargas!M$61</f>
        <v>0.525832353357682</v>
      </c>
      <c r="M8" s="26" t="n">
        <f aca="false">datos_base!$B$8*parametros_recargas!N$61</f>
        <v>0.525832353357682</v>
      </c>
      <c r="N8" s="26" t="n">
        <f aca="false">datos_base!$B$8*parametros_recargas!O$61</f>
        <v>0.525832353357682</v>
      </c>
      <c r="O8" s="26" t="n">
        <f aca="false">datos_base!$B$8*parametros_recargas!P$61</f>
        <v>0.525832353357682</v>
      </c>
      <c r="P8" s="12" t="n">
        <f aca="false">SUM(D8:O8)</f>
        <v>6.30998824029218</v>
      </c>
    </row>
    <row r="9" customFormat="false" ht="15" hidden="false" customHeight="false" outlineLevel="0" collapsed="false">
      <c r="A9" s="6" t="str">
        <f aca="false">parametros_recargas!A62</f>
        <v>BC 5 kg</v>
      </c>
      <c r="B9" s="6" t="str">
        <f aca="false">parametros_recargas!B62</f>
        <v>BC</v>
      </c>
      <c r="C9" s="14" t="n">
        <f aca="false">parametros_recargas!C62</f>
        <v>1</v>
      </c>
      <c r="D9" s="26" t="n">
        <f aca="false">datos_base!$B$9*parametros_recargas!E$62</f>
        <v>0.315499412014609</v>
      </c>
      <c r="E9" s="26" t="n">
        <f aca="false">datos_base!$B$9*parametros_recargas!F$62</f>
        <v>0.315499412014609</v>
      </c>
      <c r="F9" s="26" t="n">
        <f aca="false">datos_base!$B$9*parametros_recargas!G$62</f>
        <v>0.315499412014609</v>
      </c>
      <c r="G9" s="26" t="n">
        <f aca="false">datos_base!$B$9*parametros_recargas!H$62</f>
        <v>0.315499412014609</v>
      </c>
      <c r="H9" s="26" t="n">
        <f aca="false">datos_base!$B$9*parametros_recargas!I$62</f>
        <v>0.315499412014609</v>
      </c>
      <c r="I9" s="26" t="n">
        <f aca="false">datos_base!$B$9*parametros_recargas!J$62</f>
        <v>0.315499412014609</v>
      </c>
      <c r="J9" s="26" t="n">
        <f aca="false">datos_base!$B$9*parametros_recargas!K$62</f>
        <v>0.315499412014609</v>
      </c>
      <c r="K9" s="26" t="n">
        <f aca="false">datos_base!$B$9*parametros_recargas!L$62</f>
        <v>0.315499412014609</v>
      </c>
      <c r="L9" s="26" t="n">
        <f aca="false">datos_base!$B$9*parametros_recargas!M$62</f>
        <v>0.315499412014609</v>
      </c>
      <c r="M9" s="26" t="n">
        <f aca="false">datos_base!$B$9*parametros_recargas!N$62</f>
        <v>0.315499412014609</v>
      </c>
      <c r="N9" s="26" t="n">
        <f aca="false">datos_base!$B$9*parametros_recargas!O$62</f>
        <v>0.315499412014609</v>
      </c>
      <c r="O9" s="26" t="n">
        <f aca="false">datos_base!$B$9*parametros_recargas!P$62</f>
        <v>0.315499412014609</v>
      </c>
      <c r="P9" s="12" t="n">
        <f aca="false">SUM(D9:O9)</f>
        <v>3.78599294417531</v>
      </c>
    </row>
    <row r="10" customFormat="false" ht="15" hidden="false" customHeight="false" outlineLevel="0" collapsed="false">
      <c r="A10" s="6" t="str">
        <f aca="false">parametros_recargas!A63</f>
        <v>Sales K 6 l</v>
      </c>
      <c r="B10" s="6" t="str">
        <f aca="false">parametros_recargas!B63</f>
        <v>Sales K</v>
      </c>
      <c r="C10" s="14" t="n">
        <f aca="false">parametros_recargas!C63</f>
        <v>1</v>
      </c>
      <c r="D10" s="26" t="n">
        <f aca="false">datos_base!$B$10*parametros_recargas!E$63</f>
        <v>3.15913192958675</v>
      </c>
      <c r="E10" s="26" t="n">
        <f aca="false">datos_base!$B$10*parametros_recargas!F$63</f>
        <v>3.15913192958675</v>
      </c>
      <c r="F10" s="26" t="n">
        <f aca="false">datos_base!$B$10*parametros_recargas!G$63</f>
        <v>3.80832224830619</v>
      </c>
      <c r="G10" s="26" t="n">
        <f aca="false">datos_base!$B$10*parametros_recargas!H$63</f>
        <v>4.3084895349164</v>
      </c>
      <c r="H10" s="26" t="n">
        <f aca="false">datos_base!$B$10*parametros_recargas!I$63</f>
        <v>4.41681853438649</v>
      </c>
      <c r="I10" s="26" t="n">
        <f aca="false">datos_base!$B$10*parametros_recargas!J$63</f>
        <v>4.32620919748407</v>
      </c>
      <c r="J10" s="26" t="n">
        <f aca="false">datos_base!$B$10*parametros_recargas!K$63</f>
        <v>3.5437322271629</v>
      </c>
      <c r="K10" s="26" t="n">
        <f aca="false">datos_base!$B$10*parametros_recargas!L$63</f>
        <v>3.69473854133229</v>
      </c>
      <c r="L10" s="26" t="n">
        <f aca="false">datos_base!$B$10*parametros_recargas!M$63</f>
        <v>3.78534787823471</v>
      </c>
      <c r="M10" s="26" t="n">
        <f aca="false">datos_base!$B$10*parametros_recargas!N$63</f>
        <v>3.78534787823471</v>
      </c>
      <c r="N10" s="26" t="n">
        <f aca="false">datos_base!$B$10*parametros_recargas!O$63</f>
        <v>3.67701887876463</v>
      </c>
      <c r="O10" s="26" t="n">
        <f aca="false">datos_base!$B$10*parametros_recargas!P$63</f>
        <v>3.76762821566704</v>
      </c>
      <c r="P10" s="12" t="n">
        <f aca="false">SUM(D10:O10)</f>
        <v>45.4319169936629</v>
      </c>
    </row>
    <row r="11" customFormat="false" ht="15" hidden="false" customHeight="false" outlineLevel="0" collapsed="false">
      <c r="A11" s="6" t="str">
        <f aca="false">parametros_recargas!A64</f>
        <v>CO₂ 2 kg</v>
      </c>
      <c r="B11" s="6" t="str">
        <f aca="false">parametros_recargas!B64</f>
        <v>CO₂</v>
      </c>
      <c r="C11" s="14" t="n">
        <f aca="false">parametros_recargas!C64</f>
        <v>1</v>
      </c>
      <c r="D11" s="26" t="n">
        <f aca="false">datos_base!$B$11*parametros_recargas!E$64</f>
        <v>15.3961000288533</v>
      </c>
      <c r="E11" s="26" t="n">
        <f aca="false">datos_base!$B$11*parametros_recargas!F$64</f>
        <v>15.3961000288533</v>
      </c>
      <c r="F11" s="26" t="n">
        <f aca="false">datos_base!$B$11*parametros_recargas!G$64</f>
        <v>20.726014202347</v>
      </c>
      <c r="G11" s="26" t="n">
        <f aca="false">datos_base!$B$11*parametros_recargas!H$64</f>
        <v>25.73909171661</v>
      </c>
      <c r="H11" s="26" t="n">
        <f aca="false">datos_base!$B$11*parametros_recargas!I$64</f>
        <v>25.8435959381721</v>
      </c>
      <c r="I11" s="26" t="n">
        <f aca="false">datos_base!$B$11*parametros_recargas!J$64</f>
        <v>25.5147666900881</v>
      </c>
      <c r="J11" s="26" t="n">
        <f aca="false">datos_base!$B$11*parametros_recargas!K$64</f>
        <v>20.0220998898245</v>
      </c>
      <c r="K11" s="26" t="n">
        <f aca="false">datos_base!$B$11*parametros_recargas!L$64</f>
        <v>19.9605274900723</v>
      </c>
      <c r="L11" s="26" t="n">
        <f aca="false">datos_base!$B$11*parametros_recargas!M$64</f>
        <v>20.2893567381564</v>
      </c>
      <c r="M11" s="26" t="n">
        <f aca="false">datos_base!$B$11*parametros_recargas!N$64</f>
        <v>20.2893567381564</v>
      </c>
      <c r="N11" s="26" t="n">
        <f aca="false">datos_base!$B$11*parametros_recargas!O$64</f>
        <v>20.1848525165943</v>
      </c>
      <c r="O11" s="26" t="n">
        <f aca="false">datos_base!$B$11*parametros_recargas!P$64</f>
        <v>20.5136817646784</v>
      </c>
      <c r="P11" s="12" t="n">
        <f aca="false">SUM(D11:O11)</f>
        <v>249.875543742406</v>
      </c>
    </row>
    <row r="12" customFormat="false" ht="15" hidden="false" customHeight="false" outlineLevel="0" collapsed="false">
      <c r="A12" s="6" t="str">
        <f aca="false">parametros_recargas!A65</f>
        <v>CO₂ 5 kg</v>
      </c>
      <c r="B12" s="6" t="str">
        <f aca="false">parametros_recargas!B65</f>
        <v>CO₂</v>
      </c>
      <c r="C12" s="14" t="n">
        <f aca="false">parametros_recargas!C65</f>
        <v>1</v>
      </c>
      <c r="D12" s="26" t="n">
        <f aca="false">datos_base!$B$12*parametros_recargas!E$65</f>
        <v>5.28797925502531</v>
      </c>
      <c r="E12" s="26" t="n">
        <f aca="false">datos_base!$B$12*parametros_recargas!F$65</f>
        <v>5.28797925502531</v>
      </c>
      <c r="F12" s="26" t="n">
        <f aca="false">datos_base!$B$12*parametros_recargas!G$65</f>
        <v>5.73801751793973</v>
      </c>
      <c r="G12" s="26" t="n">
        <f aca="false">datos_base!$B$12*parametros_recargas!H$65</f>
        <v>6.36154592802134</v>
      </c>
      <c r="H12" s="26" t="n">
        <f aca="false">datos_base!$B$12*parametros_recargas!I$65</f>
        <v>6.46868913258828</v>
      </c>
      <c r="I12" s="26" t="n">
        <f aca="false">datos_base!$B$12*parametros_recargas!J$65</f>
        <v>6.16735339421382</v>
      </c>
      <c r="J12" s="26" t="n">
        <f aca="false">datos_base!$B$12*parametros_recargas!K$65</f>
        <v>5.4480711005552</v>
      </c>
      <c r="K12" s="26" t="n">
        <f aca="false">datos_base!$B$12*parametros_recargas!L$65</f>
        <v>5.52312259749188</v>
      </c>
      <c r="L12" s="26" t="n">
        <f aca="false">datos_base!$B$12*parametros_recargas!M$65</f>
        <v>5.76001647642782</v>
      </c>
      <c r="M12" s="26" t="n">
        <f aca="false">datos_base!$B$12*parametros_recargas!N$65</f>
        <v>5.76001647642782</v>
      </c>
      <c r="N12" s="26" t="n">
        <f aca="false">datos_base!$B$12*parametros_recargas!O$65</f>
        <v>5.65287327186088</v>
      </c>
      <c r="O12" s="26" t="n">
        <f aca="false">datos_base!$B$12*parametros_recargas!P$65</f>
        <v>5.95420901023534</v>
      </c>
      <c r="P12" s="12" t="n">
        <f aca="false">SUM(D12:O12)</f>
        <v>69.4098734158127</v>
      </c>
    </row>
    <row r="13" customFormat="false" ht="15" hidden="false" customHeight="false" outlineLevel="0" collapsed="false">
      <c r="A13" s="6" t="str">
        <f aca="false">parametros_recargas!A66</f>
        <v>HCFC/HFC 5 kg</v>
      </c>
      <c r="B13" s="6" t="str">
        <f aca="false">parametros_recargas!B66</f>
        <v>Halogenado</v>
      </c>
      <c r="C13" s="14" t="n">
        <f aca="false">parametros_recargas!C66</f>
        <v>1</v>
      </c>
      <c r="D13" s="26" t="n">
        <f aca="false">datos_base!$B$13*parametros_recargas!E$66</f>
        <v>0.899495350361076</v>
      </c>
      <c r="E13" s="26" t="n">
        <f aca="false">datos_base!$B$13*parametros_recargas!F$66</f>
        <v>0.899495350361076</v>
      </c>
      <c r="F13" s="26" t="n">
        <f aca="false">datos_base!$B$13*parametros_recargas!G$66</f>
        <v>0.84133181158227</v>
      </c>
      <c r="G13" s="26" t="n">
        <f aca="false">datos_base!$B$13*parametros_recargas!H$66</f>
        <v>0.84133181158227</v>
      </c>
      <c r="H13" s="26" t="n">
        <f aca="false">datos_base!$B$13*parametros_recargas!I$66</f>
        <v>0.84133181158227</v>
      </c>
      <c r="I13" s="26" t="n">
        <f aca="false">datos_base!$B$13*parametros_recargas!J$66</f>
        <v>0.783168272803463</v>
      </c>
      <c r="J13" s="26" t="n">
        <f aca="false">datos_base!$B$13*parametros_recargas!K$66</f>
        <v>0.783168272803463</v>
      </c>
      <c r="K13" s="26" t="n">
        <f aca="false">datos_base!$B$13*parametros_recargas!L$66</f>
        <v>0.783168272803463</v>
      </c>
      <c r="L13" s="26" t="n">
        <f aca="false">datos_base!$B$13*parametros_recargas!M$66</f>
        <v>0.84133181158227</v>
      </c>
      <c r="M13" s="26" t="n">
        <f aca="false">datos_base!$B$13*parametros_recargas!N$66</f>
        <v>0.84133181158227</v>
      </c>
      <c r="N13" s="26" t="n">
        <f aca="false">datos_base!$B$13*parametros_recargas!O$66</f>
        <v>0.84133181158227</v>
      </c>
      <c r="O13" s="26" t="n">
        <f aca="false">datos_base!$B$13*parametros_recargas!P$66</f>
        <v>0.899495350361076</v>
      </c>
      <c r="P13" s="12" t="n">
        <f aca="false">SUM(D13:O13)</f>
        <v>10.0959817389872</v>
      </c>
    </row>
    <row r="14" customFormat="false" ht="15" hidden="false" customHeight="false" outlineLevel="0" collapsed="false">
      <c r="A14" s="6" t="str">
        <f aca="false">parametros_recargas!A67</f>
        <v>Clase D 9 l</v>
      </c>
      <c r="B14" s="6" t="str">
        <f aca="false">parametros_recargas!B67</f>
        <v>Clase D</v>
      </c>
      <c r="C14" s="14" t="n">
        <f aca="false">parametros_recargas!C67</f>
        <v>1</v>
      </c>
      <c r="D14" s="26" t="n">
        <f aca="false">datos_base!$B$14*parametros_recargas!E$67</f>
        <v>0.315499412014609</v>
      </c>
      <c r="E14" s="26" t="n">
        <f aca="false">datos_base!$B$14*parametros_recargas!F$67</f>
        <v>0.315499412014609</v>
      </c>
      <c r="F14" s="26" t="n">
        <f aca="false">datos_base!$B$14*parametros_recargas!G$67</f>
        <v>0.315499412014609</v>
      </c>
      <c r="G14" s="26" t="n">
        <f aca="false">datos_base!$B$14*parametros_recargas!H$67</f>
        <v>0.315499412014609</v>
      </c>
      <c r="H14" s="26" t="n">
        <f aca="false">datos_base!$B$14*parametros_recargas!I$67</f>
        <v>0.315499412014609</v>
      </c>
      <c r="I14" s="26" t="n">
        <f aca="false">datos_base!$B$14*parametros_recargas!J$67</f>
        <v>0.315499412014609</v>
      </c>
      <c r="J14" s="26" t="n">
        <f aca="false">datos_base!$B$14*parametros_recargas!K$67</f>
        <v>0.315499412014609</v>
      </c>
      <c r="K14" s="26" t="n">
        <f aca="false">datos_base!$B$14*parametros_recargas!L$67</f>
        <v>0.315499412014609</v>
      </c>
      <c r="L14" s="26" t="n">
        <f aca="false">datos_base!$B$14*parametros_recargas!M$67</f>
        <v>0.315499412014609</v>
      </c>
      <c r="M14" s="26" t="n">
        <f aca="false">datos_base!$B$14*parametros_recargas!N$67</f>
        <v>0.315499412014609</v>
      </c>
      <c r="N14" s="26" t="n">
        <f aca="false">datos_base!$B$14*parametros_recargas!O$67</f>
        <v>0.315499412014609</v>
      </c>
      <c r="O14" s="26" t="n">
        <f aca="false">datos_base!$B$14*parametros_recargas!P$67</f>
        <v>0.315499412014609</v>
      </c>
      <c r="P14" s="12" t="n">
        <f aca="false">SUM(D14:O14)</f>
        <v>3.78599294417531</v>
      </c>
    </row>
    <row r="15" customFormat="false" ht="15" hidden="false" customHeight="false" outlineLevel="0" collapsed="false">
      <c r="A15" s="6" t="str">
        <f aca="false">parametros_recargas!A68</f>
        <v>ABC 25 kg s/ruedas</v>
      </c>
      <c r="B15" s="6" t="str">
        <f aca="false">parametros_recargas!B68</f>
        <v>ABC</v>
      </c>
      <c r="C15" s="14" t="n">
        <f aca="false">parametros_recargas!C68</f>
        <v>6.360853875</v>
      </c>
      <c r="D15" s="26" t="n">
        <f aca="false">datos_base!$B$15*parametros_recargas!E$68</f>
        <v>0.72543170358907</v>
      </c>
      <c r="E15" s="26" t="n">
        <f aca="false">datos_base!$B$15*parametros_recargas!F$68</f>
        <v>0.72543170358907</v>
      </c>
      <c r="F15" s="26" t="n">
        <f aca="false">datos_base!$B$15*parametros_recargas!G$68</f>
        <v>0.808169875270011</v>
      </c>
      <c r="G15" s="26" t="n">
        <f aca="false">datos_base!$B$15*parametros_recargas!H$68</f>
        <v>0.917876187378922</v>
      </c>
      <c r="H15" s="26" t="n">
        <f aca="false">datos_base!$B$15*parametros_recargas!I$68</f>
        <v>0.922330758804169</v>
      </c>
      <c r="I15" s="26" t="n">
        <f aca="false">datos_base!$B$15*parametros_recargas!J$68</f>
        <v>0.886085144303373</v>
      </c>
      <c r="J15" s="26" t="n">
        <f aca="false">datos_base!$B$15*parametros_recargas!K$68</f>
        <v>0.765058238020178</v>
      </c>
      <c r="K15" s="26" t="n">
        <f aca="false">datos_base!$B$15*parametros_recargas!L$68</f>
        <v>0.771555929546883</v>
      </c>
      <c r="L15" s="26" t="n">
        <f aca="false">datos_base!$B$15*parametros_recargas!M$68</f>
        <v>0.807801544047679</v>
      </c>
      <c r="M15" s="26" t="n">
        <f aca="false">datos_base!$B$15*parametros_recargas!N$68</f>
        <v>0.807801544047679</v>
      </c>
      <c r="N15" s="26" t="n">
        <f aca="false">datos_base!$B$15*parametros_recargas!O$68</f>
        <v>0.803346972622432</v>
      </c>
      <c r="O15" s="26" t="n">
        <f aca="false">datos_base!$B$15*parametros_recargas!P$68</f>
        <v>0.839592587123227</v>
      </c>
      <c r="P15" s="12" t="n">
        <f aca="false">SUM(D15:O15)</f>
        <v>9.78048218834269</v>
      </c>
    </row>
    <row r="16" customFormat="false" ht="15" hidden="false" customHeight="false" outlineLevel="0" collapsed="false">
      <c r="A16" s="6" t="str">
        <f aca="false">parametros_recargas!A69</f>
        <v>ABC 50 kg s/ruedas</v>
      </c>
      <c r="B16" s="6" t="str">
        <f aca="false">parametros_recargas!B69</f>
        <v>ABC</v>
      </c>
      <c r="C16" s="14" t="n">
        <f aca="false">parametros_recargas!C69</f>
        <v>6.360853875</v>
      </c>
      <c r="D16" s="26" t="n">
        <f aca="false">datos_base!$B$16*parametros_recargas!E$69</f>
        <v>1.59595173837886</v>
      </c>
      <c r="E16" s="26" t="n">
        <f aca="false">datos_base!$B$16*parametros_recargas!F$69</f>
        <v>1.59595173837886</v>
      </c>
      <c r="F16" s="26" t="n">
        <f aca="false">datos_base!$B$16*parametros_recargas!G$69</f>
        <v>1.7779751599701</v>
      </c>
      <c r="G16" s="26" t="n">
        <f aca="false">datos_base!$B$16*parametros_recargas!H$69</f>
        <v>2.0193273756531</v>
      </c>
      <c r="H16" s="26" t="n">
        <f aca="false">datos_base!$B$16*parametros_recargas!I$69</f>
        <v>2.02912490722089</v>
      </c>
      <c r="I16" s="26" t="n">
        <f aca="false">datos_base!$B$16*parametros_recargas!J$69</f>
        <v>1.94938675265232</v>
      </c>
      <c r="J16" s="26" t="n">
        <f aca="false">datos_base!$B$16*parametros_recargas!K$69</f>
        <v>1.68313355937921</v>
      </c>
      <c r="K16" s="26" t="n">
        <f aca="false">datos_base!$B$16*parametros_recargas!L$69</f>
        <v>1.69742270806029</v>
      </c>
      <c r="L16" s="26" t="n">
        <f aca="false">datos_base!$B$16*parametros_recargas!M$69</f>
        <v>1.77716086262887</v>
      </c>
      <c r="M16" s="26" t="n">
        <f aca="false">datos_base!$B$16*parametros_recargas!N$69</f>
        <v>1.77716086262887</v>
      </c>
      <c r="N16" s="26" t="n">
        <f aca="false">datos_base!$B$16*parametros_recargas!O$69</f>
        <v>1.76736333106107</v>
      </c>
      <c r="O16" s="26" t="n">
        <f aca="false">datos_base!$B$16*parametros_recargas!P$69</f>
        <v>1.84710148562965</v>
      </c>
      <c r="P16" s="12" t="n">
        <f aca="false">SUM(D16:O16)</f>
        <v>21.5170604816421</v>
      </c>
    </row>
    <row r="17" customFormat="false" ht="15" hidden="false" customHeight="false" outlineLevel="0" collapsed="false">
      <c r="A17" s="6" t="str">
        <f aca="false">parametros_recargas!A70</f>
        <v>ABC 70 kg s/ruedas</v>
      </c>
      <c r="B17" s="6" t="str">
        <f aca="false">parametros_recargas!B70</f>
        <v>ABC</v>
      </c>
      <c r="C17" s="14" t="n">
        <f aca="false">parametros_recargas!C70</f>
        <v>6.360853875</v>
      </c>
      <c r="D17" s="26" t="n">
        <f aca="false">datos_base!$B$17*parametros_recargas!E$70</f>
        <v>0.348207702975169</v>
      </c>
      <c r="E17" s="26" t="n">
        <f aca="false">datos_base!$B$17*parametros_recargas!F$70</f>
        <v>0.348207702975169</v>
      </c>
      <c r="F17" s="26" t="n">
        <f aca="false">datos_base!$B$17*parametros_recargas!G$70</f>
        <v>0.387921446103509</v>
      </c>
      <c r="G17" s="26" t="n">
        <f aca="false">datos_base!$B$17*parametros_recargas!H$70</f>
        <v>0.440581506235199</v>
      </c>
      <c r="H17" s="26" t="n">
        <f aca="false">datos_base!$B$17*parametros_recargas!I$70</f>
        <v>0.442718195607267</v>
      </c>
      <c r="I17" s="26" t="n">
        <f aca="false">datos_base!$B$17*parametros_recargas!J$70</f>
        <v>0.425320577804899</v>
      </c>
      <c r="J17" s="26" t="n">
        <f aca="false">datos_base!$B$17*parametros_recargas!K$70</f>
        <v>0.367229833215597</v>
      </c>
      <c r="K17" s="26" t="n">
        <f aca="false">datos_base!$B$17*parametros_recargas!L$70</f>
        <v>0.370345906246258</v>
      </c>
      <c r="L17" s="26" t="n">
        <f aca="false">datos_base!$B$17*parametros_recargas!M$70</f>
        <v>0.387743524048627</v>
      </c>
      <c r="M17" s="26" t="n">
        <f aca="false">datos_base!$B$17*parametros_recargas!N$70</f>
        <v>0.387743524048627</v>
      </c>
      <c r="N17" s="26" t="n">
        <f aca="false">datos_base!$B$17*parametros_recargas!O$70</f>
        <v>0.385606834676559</v>
      </c>
      <c r="O17" s="26" t="n">
        <f aca="false">datos_base!$B$17*parametros_recargas!P$70</f>
        <v>0.403004452478927</v>
      </c>
      <c r="P17" s="12" t="n">
        <f aca="false">SUM(D17:O17)</f>
        <v>4.69463120641581</v>
      </c>
    </row>
    <row r="18" customFormat="false" ht="15" hidden="false" customHeight="false" outlineLevel="0" collapsed="false">
      <c r="A18" s="6" t="str">
        <f aca="false">parametros_recargas!A71</f>
        <v>ABC 100 kg s/ruedas</v>
      </c>
      <c r="B18" s="6" t="str">
        <f aca="false">parametros_recargas!B71</f>
        <v>ABC</v>
      </c>
      <c r="C18" s="14" t="n">
        <f aca="false">parametros_recargas!C71</f>
        <v>6.360853875</v>
      </c>
      <c r="D18" s="26" t="n">
        <f aca="false">datos_base!$B$18*parametros_recargas!E$71</f>
        <v>0.232140559052536</v>
      </c>
      <c r="E18" s="26" t="n">
        <f aca="false">datos_base!$B$18*parametros_recargas!F$71</f>
        <v>0.232140559052536</v>
      </c>
      <c r="F18" s="26" t="n">
        <f aca="false">datos_base!$B$18*parametros_recargas!G$71</f>
        <v>0.258615527790908</v>
      </c>
      <c r="G18" s="26" t="n">
        <f aca="false">datos_base!$B$18*parametros_recargas!H$71</f>
        <v>0.293719760946709</v>
      </c>
      <c r="H18" s="26" t="n">
        <f aca="false">datos_base!$B$18*parametros_recargas!I$71</f>
        <v>0.295144220612215</v>
      </c>
      <c r="I18" s="26" t="n">
        <f aca="false">datos_base!$B$18*parametros_recargas!J$71</f>
        <v>0.283545808058979</v>
      </c>
      <c r="J18" s="26" t="n">
        <f aca="false">datos_base!$B$18*parametros_recargas!K$71</f>
        <v>0.244820311337016</v>
      </c>
      <c r="K18" s="26" t="n">
        <f aca="false">datos_base!$B$18*parametros_recargas!L$71</f>
        <v>0.246896886432877</v>
      </c>
      <c r="L18" s="26" t="n">
        <f aca="false">datos_base!$B$18*parametros_recargas!M$71</f>
        <v>0.258495298986113</v>
      </c>
      <c r="M18" s="26" t="n">
        <f aca="false">datos_base!$B$18*parametros_recargas!N$71</f>
        <v>0.258495298986113</v>
      </c>
      <c r="N18" s="26" t="n">
        <f aca="false">datos_base!$B$18*parametros_recargas!O$71</f>
        <v>0.257070839320607</v>
      </c>
      <c r="O18" s="26" t="n">
        <f aca="false">datos_base!$B$18*parametros_recargas!P$71</f>
        <v>0.268669251873842</v>
      </c>
      <c r="P18" s="12" t="n">
        <f aca="false">SUM(D18:O18)</f>
        <v>3.12975432245045</v>
      </c>
    </row>
    <row r="19" customFormat="false" ht="15" hidden="false" customHeight="false" outlineLevel="0" collapsed="false">
      <c r="A19" s="4" t="s">
        <v>385</v>
      </c>
      <c r="D19" s="12" t="n">
        <f aca="false">SUM(D2:D18)</f>
        <v>354.359783597544</v>
      </c>
      <c r="E19" s="12" t="n">
        <f aca="false">SUM(E2:E18)</f>
        <v>305.520654471836</v>
      </c>
      <c r="F19" s="12" t="n">
        <f aca="false">SUM(F2:F18)</f>
        <v>290.004296704052</v>
      </c>
      <c r="G19" s="12" t="n">
        <f aca="false">SUM(G2:G18)</f>
        <v>321.110504405745</v>
      </c>
      <c r="H19" s="12" t="n">
        <f aca="false">SUM(H2:H18)</f>
        <v>323.504257415397</v>
      </c>
      <c r="I19" s="12" t="n">
        <f aca="false">SUM(I2:I18)</f>
        <v>320.544838316101</v>
      </c>
      <c r="J19" s="12" t="n">
        <f aca="false">SUM(J2:J18)</f>
        <v>284.118250662511</v>
      </c>
      <c r="K19" s="12" t="n">
        <f aca="false">SUM(K2:K18)</f>
        <v>286.656400868533</v>
      </c>
      <c r="L19" s="12" t="n">
        <f aca="false">SUM(L2:L18)</f>
        <v>289.186699497657</v>
      </c>
      <c r="M19" s="12" t="n">
        <f aca="false">SUM(M2:M18)</f>
        <v>289.186699497657</v>
      </c>
      <c r="N19" s="12" t="n">
        <f aca="false">SUM(N2:N18)</f>
        <v>335.632075613713</v>
      </c>
      <c r="O19" s="12" t="n">
        <f aca="false">SUM(O2:O18)</f>
        <v>387.430623838717</v>
      </c>
      <c r="P19" s="12" t="n">
        <f aca="false">SUM(P2:P18)</f>
        <v>3787.25508488946</v>
      </c>
    </row>
    <row r="20" customFormat="false" ht="15" hidden="false" customHeight="false" outlineLevel="0" collapsed="false">
      <c r="A20" s="4" t="s">
        <v>386</v>
      </c>
    </row>
    <row r="21" customFormat="false" ht="15" hidden="false" customHeight="false" outlineLevel="0" collapsed="false">
      <c r="A21" s="5" t="s">
        <v>165</v>
      </c>
      <c r="D21" s="26" t="n">
        <f aca="false">SUMPRODUCT(($B$2:$B$18=$A21)*D$2:D$18*$C$2:$C$18)</f>
        <v>337.038784876157</v>
      </c>
      <c r="E21" s="26" t="n">
        <f aca="false">SUMPRODUCT(($B$2:$B$18=$A21)*E$2:E$18*$C$2:$C$18)</f>
        <v>288.199655750449</v>
      </c>
      <c r="F21" s="26" t="n">
        <f aca="false">SUMPRODUCT(($B$2:$B$18=$A21)*F$2:F$18*$C$2:$C$18)</f>
        <v>266.698672469401</v>
      </c>
      <c r="G21" s="26" t="n">
        <f aca="false">SUMPRODUCT(($B$2:$B$18=$A21)*G$2:G$18*$C$2:$C$18)</f>
        <v>292.557447512786</v>
      </c>
      <c r="H21" s="26" t="n">
        <f aca="false">SUMPRODUCT(($B$2:$B$18=$A21)*H$2:H$18*$C$2:$C$18)</f>
        <v>294.67184079666</v>
      </c>
      <c r="I21" s="26" t="n">
        <f aca="false">SUMPRODUCT(($B$2:$B$18=$A21)*I$2:I$18*$C$2:$C$18)</f>
        <v>291.972479533175</v>
      </c>
      <c r="J21" s="26" t="n">
        <f aca="false">SUMPRODUCT(($B$2:$B$18=$A21)*J$2:J$18*$C$2:$C$18)</f>
        <v>261.549694147229</v>
      </c>
      <c r="K21" s="26" t="n">
        <f aca="false">SUMPRODUCT(($B$2:$B$18=$A21)*K$2:K$18*$C$2:$C$18)</f>
        <v>264.049365708904</v>
      </c>
      <c r="L21" s="26" t="n">
        <f aca="false">SUMPRODUCT(($B$2:$B$18=$A21)*L$2:L$18*$C$2:$C$18)</f>
        <v>266.400254164574</v>
      </c>
      <c r="M21" s="26" t="n">
        <f aca="false">SUMPRODUCT(($B$2:$B$18=$A21)*M$2:M$18*$C$2:$C$18)</f>
        <v>266.400254164574</v>
      </c>
      <c r="N21" s="26" t="n">
        <f aca="false">SUMPRODUCT(($B$2:$B$18=$A21)*N$2:N$18*$C$2:$C$18)</f>
        <v>313.124990006408</v>
      </c>
      <c r="O21" s="26" t="n">
        <f aca="false">SUMPRODUCT(($B$2:$B$18=$A21)*O$2:O$18*$C$2:$C$18)</f>
        <v>364.663480395601</v>
      </c>
      <c r="P21" s="26" t="n">
        <f aca="false">SUMPRODUCT(($B$2:$B$18=$A21)*P$2:P$18*$C$2:$C$18)</f>
        <v>3507.32691952592</v>
      </c>
    </row>
    <row r="22" customFormat="false" ht="15" hidden="false" customHeight="false" outlineLevel="0" collapsed="false">
      <c r="A22" s="5" t="s">
        <v>166</v>
      </c>
      <c r="D22" s="26" t="n">
        <f aca="false">SUMPRODUCT(($B$2:$B$18=$A22)*D$2:D$18*$C$2:$C$18)</f>
        <v>0.315499412014609</v>
      </c>
      <c r="E22" s="26" t="n">
        <f aca="false">SUMPRODUCT(($B$2:$B$18=$A22)*E$2:E$18*$C$2:$C$18)</f>
        <v>0.315499412014609</v>
      </c>
      <c r="F22" s="26" t="n">
        <f aca="false">SUMPRODUCT(($B$2:$B$18=$A22)*F$2:F$18*$C$2:$C$18)</f>
        <v>0.315499412014609</v>
      </c>
      <c r="G22" s="26" t="n">
        <f aca="false">SUMPRODUCT(($B$2:$B$18=$A22)*G$2:G$18*$C$2:$C$18)</f>
        <v>0.315499412014609</v>
      </c>
      <c r="H22" s="26" t="n">
        <f aca="false">SUMPRODUCT(($B$2:$B$18=$A22)*H$2:H$18*$C$2:$C$18)</f>
        <v>0.315499412014609</v>
      </c>
      <c r="I22" s="26" t="n">
        <f aca="false">SUMPRODUCT(($B$2:$B$18=$A22)*I$2:I$18*$C$2:$C$18)</f>
        <v>0.315499412014609</v>
      </c>
      <c r="J22" s="26" t="n">
        <f aca="false">SUMPRODUCT(($B$2:$B$18=$A22)*J$2:J$18*$C$2:$C$18)</f>
        <v>0.315499412014609</v>
      </c>
      <c r="K22" s="26" t="n">
        <f aca="false">SUMPRODUCT(($B$2:$B$18=$A22)*K$2:K$18*$C$2:$C$18)</f>
        <v>0.315499412014609</v>
      </c>
      <c r="L22" s="26" t="n">
        <f aca="false">SUMPRODUCT(($B$2:$B$18=$A22)*L$2:L$18*$C$2:$C$18)</f>
        <v>0.315499412014609</v>
      </c>
      <c r="M22" s="26" t="n">
        <f aca="false">SUMPRODUCT(($B$2:$B$18=$A22)*M$2:M$18*$C$2:$C$18)</f>
        <v>0.315499412014609</v>
      </c>
      <c r="N22" s="26" t="n">
        <f aca="false">SUMPRODUCT(($B$2:$B$18=$A22)*N$2:N$18*$C$2:$C$18)</f>
        <v>0.315499412014609</v>
      </c>
      <c r="O22" s="26" t="n">
        <f aca="false">SUMPRODUCT(($B$2:$B$18=$A22)*O$2:O$18*$C$2:$C$18)</f>
        <v>0.315499412014609</v>
      </c>
      <c r="P22" s="26" t="n">
        <f aca="false">SUMPRODUCT(($B$2:$B$18=$A22)*P$2:P$18*$C$2:$C$18)</f>
        <v>3.78599294417531</v>
      </c>
    </row>
    <row r="23" customFormat="false" ht="15" hidden="false" customHeight="false" outlineLevel="0" collapsed="false">
      <c r="A23" s="5" t="s">
        <v>167</v>
      </c>
      <c r="D23" s="26" t="n">
        <f aca="false">SUMPRODUCT(($B$2:$B$18=$A23)*D$2:D$18*$C$2:$C$18)</f>
        <v>0.315499412014609</v>
      </c>
      <c r="E23" s="26" t="n">
        <f aca="false">SUMPRODUCT(($B$2:$B$18=$A23)*E$2:E$18*$C$2:$C$18)</f>
        <v>0.315499412014609</v>
      </c>
      <c r="F23" s="26" t="n">
        <f aca="false">SUMPRODUCT(($B$2:$B$18=$A23)*F$2:F$18*$C$2:$C$18)</f>
        <v>0.315499412014609</v>
      </c>
      <c r="G23" s="26" t="n">
        <f aca="false">SUMPRODUCT(($B$2:$B$18=$A23)*G$2:G$18*$C$2:$C$18)</f>
        <v>0.315499412014609</v>
      </c>
      <c r="H23" s="26" t="n">
        <f aca="false">SUMPRODUCT(($B$2:$B$18=$A23)*H$2:H$18*$C$2:$C$18)</f>
        <v>0.315499412014609</v>
      </c>
      <c r="I23" s="26" t="n">
        <f aca="false">SUMPRODUCT(($B$2:$B$18=$A23)*I$2:I$18*$C$2:$C$18)</f>
        <v>0.315499412014609</v>
      </c>
      <c r="J23" s="26" t="n">
        <f aca="false">SUMPRODUCT(($B$2:$B$18=$A23)*J$2:J$18*$C$2:$C$18)</f>
        <v>0.315499412014609</v>
      </c>
      <c r="K23" s="26" t="n">
        <f aca="false">SUMPRODUCT(($B$2:$B$18=$A23)*K$2:K$18*$C$2:$C$18)</f>
        <v>0.315499412014609</v>
      </c>
      <c r="L23" s="26" t="n">
        <f aca="false">SUMPRODUCT(($B$2:$B$18=$A23)*L$2:L$18*$C$2:$C$18)</f>
        <v>0.315499412014609</v>
      </c>
      <c r="M23" s="26" t="n">
        <f aca="false">SUMPRODUCT(($B$2:$B$18=$A23)*M$2:M$18*$C$2:$C$18)</f>
        <v>0.315499412014609</v>
      </c>
      <c r="N23" s="26" t="n">
        <f aca="false">SUMPRODUCT(($B$2:$B$18=$A23)*N$2:N$18*$C$2:$C$18)</f>
        <v>0.315499412014609</v>
      </c>
      <c r="O23" s="26" t="n">
        <f aca="false">SUMPRODUCT(($B$2:$B$18=$A23)*O$2:O$18*$C$2:$C$18)</f>
        <v>0.315499412014609</v>
      </c>
      <c r="P23" s="26" t="n">
        <f aca="false">SUMPRODUCT(($B$2:$B$18=$A23)*P$2:P$18*$C$2:$C$18)</f>
        <v>3.78599294417531</v>
      </c>
    </row>
    <row r="24" customFormat="false" ht="15" hidden="false" customHeight="false" outlineLevel="0" collapsed="false">
      <c r="A24" s="5" t="s">
        <v>168</v>
      </c>
      <c r="D24" s="26" t="n">
        <f aca="false">SUMPRODUCT(($B$2:$B$18=$A24)*D$2:D$18*$C$2:$C$18)</f>
        <v>5.92555587682326</v>
      </c>
      <c r="E24" s="26" t="n">
        <f aca="false">SUMPRODUCT(($B$2:$B$18=$A24)*E$2:E$18*$C$2:$C$18)</f>
        <v>5.92555587682326</v>
      </c>
      <c r="F24" s="26" t="n">
        <f aca="false">SUMPRODUCT(($B$2:$B$18=$A24)*F$2:F$18*$C$2:$C$18)</f>
        <v>7.31337839947435</v>
      </c>
      <c r="G24" s="26" t="n">
        <f aca="false">SUMPRODUCT(($B$2:$B$18=$A24)*G$2:G$18*$C$2:$C$18)</f>
        <v>8.77650286765013</v>
      </c>
      <c r="H24" s="26" t="n">
        <f aca="false">SUMPRODUCT(($B$2:$B$18=$A24)*H$2:H$18*$C$2:$C$18)</f>
        <v>8.83138040900362</v>
      </c>
      <c r="I24" s="26" t="n">
        <f aca="false">SUMPRODUCT(($B$2:$B$18=$A24)*I$2:I$18*$C$2:$C$18)</f>
        <v>8.57304491578827</v>
      </c>
      <c r="J24" s="26" t="n">
        <f aca="false">SUMPRODUCT(($B$2:$B$18=$A24)*J$2:J$18*$C$2:$C$18)</f>
        <v>6.9684989675741</v>
      </c>
      <c r="K24" s="26" t="n">
        <f aca="false">SUMPRODUCT(($B$2:$B$18=$A24)*K$2:K$18*$C$2:$C$18)</f>
        <v>6.98176444127532</v>
      </c>
      <c r="L24" s="26" t="n">
        <f aca="false">SUMPRODUCT(($B$2:$B$18=$A24)*L$2:L$18*$C$2:$C$18)</f>
        <v>7.22389413157208</v>
      </c>
      <c r="M24" s="26" t="n">
        <f aca="false">SUMPRODUCT(($B$2:$B$18=$A24)*M$2:M$18*$C$2:$C$18)</f>
        <v>7.22389413157208</v>
      </c>
      <c r="N24" s="26" t="n">
        <f aca="false">SUMPRODUCT(($B$2:$B$18=$A24)*N$2:N$18*$C$2:$C$18)</f>
        <v>7.16901659021859</v>
      </c>
      <c r="O24" s="26" t="n">
        <f aca="false">SUMPRODUCT(($B$2:$B$18=$A24)*O$2:O$18*$C$2:$C$18)</f>
        <v>7.42735208343394</v>
      </c>
      <c r="P24" s="26" t="n">
        <f aca="false">SUMPRODUCT(($B$2:$B$18=$A24)*P$2:P$18*$C$2:$C$18)</f>
        <v>88.339838691209</v>
      </c>
    </row>
    <row r="25" customFormat="false" ht="15" hidden="false" customHeight="false" outlineLevel="0" collapsed="false">
      <c r="A25" s="5" t="s">
        <v>169</v>
      </c>
      <c r="D25" s="26" t="n">
        <f aca="false">SUMPRODUCT(($B$2:$B$18=$A25)*D$2:D$18*$C$2:$C$18)</f>
        <v>4.39640751538092</v>
      </c>
      <c r="E25" s="26" t="n">
        <f aca="false">SUMPRODUCT(($B$2:$B$18=$A25)*E$2:E$18*$C$2:$C$18)</f>
        <v>4.39640751538092</v>
      </c>
      <c r="F25" s="26" t="n">
        <f aca="false">SUMPRODUCT(($B$2:$B$18=$A25)*F$2:F$18*$C$2:$C$18)</f>
        <v>4.39640751538092</v>
      </c>
      <c r="G25" s="26" t="n">
        <f aca="false">SUMPRODUCT(($B$2:$B$18=$A25)*G$2:G$18*$C$2:$C$18)</f>
        <v>4.39640751538092</v>
      </c>
      <c r="H25" s="26" t="n">
        <f aca="false">SUMPRODUCT(($B$2:$B$18=$A25)*H$2:H$18*$C$2:$C$18)</f>
        <v>4.39640751538092</v>
      </c>
      <c r="I25" s="26" t="n">
        <f aca="false">SUMPRODUCT(($B$2:$B$18=$A25)*I$2:I$18*$C$2:$C$18)</f>
        <v>4.39640751538092</v>
      </c>
      <c r="J25" s="26" t="n">
        <f aca="false">SUMPRODUCT(($B$2:$B$18=$A25)*J$2:J$18*$C$2:$C$18)</f>
        <v>4.39640751538092</v>
      </c>
      <c r="K25" s="26" t="n">
        <f aca="false">SUMPRODUCT(($B$2:$B$18=$A25)*K$2:K$18*$C$2:$C$18)</f>
        <v>4.39640751538092</v>
      </c>
      <c r="L25" s="26" t="n">
        <f aca="false">SUMPRODUCT(($B$2:$B$18=$A25)*L$2:L$18*$C$2:$C$18)</f>
        <v>4.39640751538092</v>
      </c>
      <c r="M25" s="26" t="n">
        <f aca="false">SUMPRODUCT(($B$2:$B$18=$A25)*M$2:M$18*$C$2:$C$18)</f>
        <v>4.39640751538092</v>
      </c>
      <c r="N25" s="26" t="n">
        <f aca="false">SUMPRODUCT(($B$2:$B$18=$A25)*N$2:N$18*$C$2:$C$18)</f>
        <v>4.39640751538092</v>
      </c>
      <c r="O25" s="26" t="n">
        <f aca="false">SUMPRODUCT(($B$2:$B$18=$A25)*O$2:O$18*$C$2:$C$18)</f>
        <v>4.39640751538092</v>
      </c>
      <c r="P25" s="26" t="n">
        <f aca="false">SUMPRODUCT(($B$2:$B$18=$A25)*P$2:P$18*$C$2:$C$18)</f>
        <v>52.7568901845711</v>
      </c>
    </row>
    <row r="26" customFormat="false" ht="15" hidden="false" customHeight="false" outlineLevel="0" collapsed="false">
      <c r="A26" s="5" t="s">
        <v>170</v>
      </c>
      <c r="D26" s="26" t="n">
        <f aca="false">SUMPRODUCT(($B$2:$B$18=$A26)*D$2:D$18*$C$2:$C$18)</f>
        <v>3.15913192958675</v>
      </c>
      <c r="E26" s="26" t="n">
        <f aca="false">SUMPRODUCT(($B$2:$B$18=$A26)*E$2:E$18*$C$2:$C$18)</f>
        <v>3.15913192958675</v>
      </c>
      <c r="F26" s="26" t="n">
        <f aca="false">SUMPRODUCT(($B$2:$B$18=$A26)*F$2:F$18*$C$2:$C$18)</f>
        <v>3.80832224830619</v>
      </c>
      <c r="G26" s="26" t="n">
        <f aca="false">SUMPRODUCT(($B$2:$B$18=$A26)*G$2:G$18*$C$2:$C$18)</f>
        <v>4.3084895349164</v>
      </c>
      <c r="H26" s="26" t="n">
        <f aca="false">SUMPRODUCT(($B$2:$B$18=$A26)*H$2:H$18*$C$2:$C$18)</f>
        <v>4.41681853438649</v>
      </c>
      <c r="I26" s="26" t="n">
        <f aca="false">SUMPRODUCT(($B$2:$B$18=$A26)*I$2:I$18*$C$2:$C$18)</f>
        <v>4.32620919748407</v>
      </c>
      <c r="J26" s="26" t="n">
        <f aca="false">SUMPRODUCT(($B$2:$B$18=$A26)*J$2:J$18*$C$2:$C$18)</f>
        <v>3.5437322271629</v>
      </c>
      <c r="K26" s="26" t="n">
        <f aca="false">SUMPRODUCT(($B$2:$B$18=$A26)*K$2:K$18*$C$2:$C$18)</f>
        <v>3.69473854133229</v>
      </c>
      <c r="L26" s="26" t="n">
        <f aca="false">SUMPRODUCT(($B$2:$B$18=$A26)*L$2:L$18*$C$2:$C$18)</f>
        <v>3.78534787823471</v>
      </c>
      <c r="M26" s="26" t="n">
        <f aca="false">SUMPRODUCT(($B$2:$B$18=$A26)*M$2:M$18*$C$2:$C$18)</f>
        <v>3.78534787823471</v>
      </c>
      <c r="N26" s="26" t="n">
        <f aca="false">SUMPRODUCT(($B$2:$B$18=$A26)*N$2:N$18*$C$2:$C$18)</f>
        <v>3.67701887876463</v>
      </c>
      <c r="O26" s="26" t="n">
        <f aca="false">SUMPRODUCT(($B$2:$B$18=$A26)*O$2:O$18*$C$2:$C$18)</f>
        <v>3.76762821566704</v>
      </c>
      <c r="P26" s="26" t="n">
        <f aca="false">SUMPRODUCT(($B$2:$B$18=$A26)*P$2:P$18*$C$2:$C$18)</f>
        <v>45.4319169936629</v>
      </c>
    </row>
    <row r="27" customFormat="false" ht="15" hidden="false" customHeight="false" outlineLevel="0" collapsed="false">
      <c r="A27" s="5" t="s">
        <v>171</v>
      </c>
      <c r="D27" s="26" t="n">
        <f aca="false">SUMPRODUCT(($B$2:$B$18=$A27)*D$2:D$18*$C$2:$C$18)</f>
        <v>20.6840792838786</v>
      </c>
      <c r="E27" s="26" t="n">
        <f aca="false">SUMPRODUCT(($B$2:$B$18=$A27)*E$2:E$18*$C$2:$C$18)</f>
        <v>20.6840792838786</v>
      </c>
      <c r="F27" s="26" t="n">
        <f aca="false">SUMPRODUCT(($B$2:$B$18=$A27)*F$2:F$18*$C$2:$C$18)</f>
        <v>26.4640317202868</v>
      </c>
      <c r="G27" s="26" t="n">
        <f aca="false">SUMPRODUCT(($B$2:$B$18=$A27)*G$2:G$18*$C$2:$C$18)</f>
        <v>32.1006376446314</v>
      </c>
      <c r="H27" s="26" t="n">
        <f aca="false">SUMPRODUCT(($B$2:$B$18=$A27)*H$2:H$18*$C$2:$C$18)</f>
        <v>32.3122850707604</v>
      </c>
      <c r="I27" s="26" t="n">
        <f aca="false">SUMPRODUCT(($B$2:$B$18=$A27)*I$2:I$18*$C$2:$C$18)</f>
        <v>31.6821200843019</v>
      </c>
      <c r="J27" s="26" t="n">
        <f aca="false">SUMPRODUCT(($B$2:$B$18=$A27)*J$2:J$18*$C$2:$C$18)</f>
        <v>25.4701709903797</v>
      </c>
      <c r="K27" s="26" t="n">
        <f aca="false">SUMPRODUCT(($B$2:$B$18=$A27)*K$2:K$18*$C$2:$C$18)</f>
        <v>25.4836500875642</v>
      </c>
      <c r="L27" s="26" t="n">
        <f aca="false">SUMPRODUCT(($B$2:$B$18=$A27)*L$2:L$18*$C$2:$C$18)</f>
        <v>26.0493732145842</v>
      </c>
      <c r="M27" s="26" t="n">
        <f aca="false">SUMPRODUCT(($B$2:$B$18=$A27)*M$2:M$18*$C$2:$C$18)</f>
        <v>26.0493732145842</v>
      </c>
      <c r="N27" s="26" t="n">
        <f aca="false">SUMPRODUCT(($B$2:$B$18=$A27)*N$2:N$18*$C$2:$C$18)</f>
        <v>25.8377257884552</v>
      </c>
      <c r="O27" s="26" t="n">
        <f aca="false">SUMPRODUCT(($B$2:$B$18=$A27)*O$2:O$18*$C$2:$C$18)</f>
        <v>26.4678907749137</v>
      </c>
      <c r="P27" s="26" t="n">
        <f aca="false">SUMPRODUCT(($B$2:$B$18=$A27)*P$2:P$18*$C$2:$C$18)</f>
        <v>319.285417158219</v>
      </c>
    </row>
    <row r="28" customFormat="false" ht="15" hidden="false" customHeight="false" outlineLevel="0" collapsed="false">
      <c r="A28" s="5" t="s">
        <v>172</v>
      </c>
      <c r="D28" s="26" t="n">
        <f aca="false">SUMPRODUCT(($B$2:$B$18=$A28)*D$2:D$18*$C$2:$C$18)</f>
        <v>0.899495350361076</v>
      </c>
      <c r="E28" s="26" t="n">
        <f aca="false">SUMPRODUCT(($B$2:$B$18=$A28)*E$2:E$18*$C$2:$C$18)</f>
        <v>0.899495350361076</v>
      </c>
      <c r="F28" s="26" t="n">
        <f aca="false">SUMPRODUCT(($B$2:$B$18=$A28)*F$2:F$18*$C$2:$C$18)</f>
        <v>0.84133181158227</v>
      </c>
      <c r="G28" s="26" t="n">
        <f aca="false">SUMPRODUCT(($B$2:$B$18=$A28)*G$2:G$18*$C$2:$C$18)</f>
        <v>0.84133181158227</v>
      </c>
      <c r="H28" s="26" t="n">
        <f aca="false">SUMPRODUCT(($B$2:$B$18=$A28)*H$2:H$18*$C$2:$C$18)</f>
        <v>0.84133181158227</v>
      </c>
      <c r="I28" s="26" t="n">
        <f aca="false">SUMPRODUCT(($B$2:$B$18=$A28)*I$2:I$18*$C$2:$C$18)</f>
        <v>0.783168272803463</v>
      </c>
      <c r="J28" s="26" t="n">
        <f aca="false">SUMPRODUCT(($B$2:$B$18=$A28)*J$2:J$18*$C$2:$C$18)</f>
        <v>0.783168272803463</v>
      </c>
      <c r="K28" s="26" t="n">
        <f aca="false">SUMPRODUCT(($B$2:$B$18=$A28)*K$2:K$18*$C$2:$C$18)</f>
        <v>0.783168272803463</v>
      </c>
      <c r="L28" s="26" t="n">
        <f aca="false">SUMPRODUCT(($B$2:$B$18=$A28)*L$2:L$18*$C$2:$C$18)</f>
        <v>0.84133181158227</v>
      </c>
      <c r="M28" s="26" t="n">
        <f aca="false">SUMPRODUCT(($B$2:$B$18=$A28)*M$2:M$18*$C$2:$C$18)</f>
        <v>0.84133181158227</v>
      </c>
      <c r="N28" s="26" t="n">
        <f aca="false">SUMPRODUCT(($B$2:$B$18=$A28)*N$2:N$18*$C$2:$C$18)</f>
        <v>0.84133181158227</v>
      </c>
      <c r="O28" s="26" t="n">
        <f aca="false">SUMPRODUCT(($B$2:$B$18=$A28)*O$2:O$18*$C$2:$C$18)</f>
        <v>0.899495350361076</v>
      </c>
      <c r="P28" s="26" t="n">
        <f aca="false">SUMPRODUCT(($B$2:$B$18=$A28)*P$2:P$18*$C$2:$C$18)</f>
        <v>10.0959817389872</v>
      </c>
    </row>
    <row r="29" customFormat="false" ht="15" hidden="false" customHeight="false" outlineLevel="0" collapsed="false">
      <c r="A29" s="4" t="s">
        <v>387</v>
      </c>
      <c r="D29" s="27" t="n">
        <f aca="false">SUMPRODUCT(D$2:D$18*parametros_recargas!$D$55:$D$71)</f>
        <v>8.71554331237862</v>
      </c>
      <c r="E29" s="27" t="n">
        <f aca="false">SUMPRODUCT(E$2:E$18*parametros_recargas!$D$55:$D$71)</f>
        <v>8.71554331237862</v>
      </c>
      <c r="F29" s="27" t="n">
        <f aca="false">SUMPRODUCT(F$2:F$18*parametros_recargas!$D$55:$D$71)</f>
        <v>9.49653188043194</v>
      </c>
      <c r="G29" s="27" t="n">
        <f aca="false">SUMPRODUCT(G$2:G$18*parametros_recargas!$D$55:$D$71)</f>
        <v>10.558883111593</v>
      </c>
      <c r="H29" s="27" t="n">
        <f aca="false">SUMPRODUCT(H$2:H$18*parametros_recargas!$D$55:$D$71)</f>
        <v>10.6838395681905</v>
      </c>
      <c r="I29" s="27" t="n">
        <f aca="false">SUMPRODUCT(I$2:I$18*parametros_recargas!$D$55:$D$71)</f>
        <v>10.2375240303911</v>
      </c>
      <c r="J29" s="27" t="n">
        <f aca="false">SUMPRODUCT(J$2:J$18*parametros_recargas!$D$55:$D$71)</f>
        <v>9.03414539586489</v>
      </c>
      <c r="K29" s="27" t="n">
        <f aca="false">SUMPRODUCT(K$2:K$18*parametros_recargas!$D$55:$D$71)</f>
        <v>9.13517638113587</v>
      </c>
      <c r="L29" s="27" t="n">
        <f aca="false">SUMPRODUCT(L$2:L$18*parametros_recargas!$D$55:$D$71)</f>
        <v>9.51705005949679</v>
      </c>
      <c r="M29" s="27" t="n">
        <f aca="false">SUMPRODUCT(M$2:M$18*parametros_recargas!$D$55:$D$71)</f>
        <v>9.51705005949679</v>
      </c>
      <c r="N29" s="27" t="n">
        <f aca="false">SUMPRODUCT(N$2:N$18*parametros_recargas!$D$55:$D$71)</f>
        <v>9.39209360289923</v>
      </c>
      <c r="O29" s="27" t="n">
        <f aca="false">SUMPRODUCT(O$2:O$18*parametros_recargas!$D$55:$D$71)</f>
        <v>9.83840914069867</v>
      </c>
      <c r="P29" s="27" t="n">
        <f aca="false">SUMPRODUCT(P$2:P$18*parametros_recargas!$D$55:$D$71)</f>
        <v>114.841789854956</v>
      </c>
    </row>
    <row r="30" customFormat="false" ht="15" hidden="false" customHeight="false" outlineLevel="0" collapsed="false">
      <c r="A30" s="4" t="s">
        <v>388</v>
      </c>
      <c r="D30" s="27" t="n">
        <f aca="false">SUMPRODUCT(sobrestock_sustitutos!$B$73:$B$73,--(sobrestock_sustitutos!$F$30:$F$30="Fábrica: cilindro vacío"),parametros_recargas!$C$55:$C$55)*parametros_recargas!E$109+SUMPRODUCT(sobrestock_sustitutos!$B$74:$B$76,--(sobrestock_sustitutos!$F$31:$F$33="Fábrica: cilindro vacío"),parametros_recargas!$C$56:$C$58)*parametros_recargas!E$110+SUMPRODUCT(sobrestock_sustitutos!$B$86:$B$89,--(sobrestock_sustitutos!$F$43:$F$46="Fábrica: cilindro vacío"),parametros_recargas!$C$68:$C$71)*parametros_recargas!E$111</f>
        <v>4.3626903175</v>
      </c>
      <c r="E30" s="27" t="n">
        <f aca="false">SUMPRODUCT(sobrestock_sustitutos!$B$73:$B$73,--(sobrestock_sustitutos!$F$30:$F$30="Fábrica: cilindro vacío"),parametros_recargas!$C$55:$C$55)*parametros_recargas!F$109+SUMPRODUCT(sobrestock_sustitutos!$B$74:$B$76,--(sobrestock_sustitutos!$F$31:$F$33="Fábrica: cilindro vacío"),parametros_recargas!$C$56:$C$58)*parametros_recargas!F$110+SUMPRODUCT(sobrestock_sustitutos!$B$86:$B$89,--(sobrestock_sustitutos!$F$43:$F$46="Fábrica: cilindro vacío"),parametros_recargas!$C$68:$C$71)*parametros_recargas!F$111</f>
        <v>3.6682561625</v>
      </c>
      <c r="F30" s="27" t="n">
        <f aca="false">SUMPRODUCT(sobrestock_sustitutos!$B$73:$B$73,--(sobrestock_sustitutos!$F$30:$F$30="Fábrica: cilindro vacío"),parametros_recargas!$C$55:$C$55)*parametros_recargas!G$109+SUMPRODUCT(sobrestock_sustitutos!$B$74:$B$76,--(sobrestock_sustitutos!$F$31:$F$33="Fábrica: cilindro vacío"),parametros_recargas!$C$56:$C$58)*parametros_recargas!G$110+SUMPRODUCT(sobrestock_sustitutos!$B$86:$B$89,--(sobrestock_sustitutos!$F$43:$F$46="Fábrica: cilindro vacío"),parametros_recargas!$C$68:$C$71)*parametros_recargas!G$111</f>
        <v>4.159907395</v>
      </c>
      <c r="G30" s="27" t="n">
        <f aca="false">SUMPRODUCT(sobrestock_sustitutos!$B$73:$B$73,--(sobrestock_sustitutos!$F$30:$F$30="Fábrica: cilindro vacío"),parametros_recargas!$C$55:$C$55)*parametros_recargas!H$109+SUMPRODUCT(sobrestock_sustitutos!$B$74:$B$76,--(sobrestock_sustitutos!$F$31:$F$33="Fábrica: cilindro vacío"),parametros_recargas!$C$56:$C$58)*parametros_recargas!H$110+SUMPRODUCT(sobrestock_sustitutos!$B$86:$B$89,--(sobrestock_sustitutos!$F$43:$F$46="Fábrica: cilindro vacío"),parametros_recargas!$C$68:$C$71)*parametros_recargas!H$111</f>
        <v>4.159907395</v>
      </c>
      <c r="H30" s="27" t="n">
        <f aca="false">SUMPRODUCT(sobrestock_sustitutos!$B$73:$B$73,--(sobrestock_sustitutos!$F$30:$F$30="Fábrica: cilindro vacío"),parametros_recargas!$C$55:$C$55)*parametros_recargas!I$109+SUMPRODUCT(sobrestock_sustitutos!$B$74:$B$76,--(sobrestock_sustitutos!$F$31:$F$33="Fábrica: cilindro vacío"),parametros_recargas!$C$56:$C$58)*parametros_recargas!I$110+SUMPRODUCT(sobrestock_sustitutos!$B$86:$B$89,--(sobrestock_sustitutos!$F$43:$F$46="Fábrica: cilindro vacío"),parametros_recargas!$C$68:$C$71)*parametros_recargas!I$111</f>
        <v>4.049907395</v>
      </c>
      <c r="I30" s="27" t="n">
        <f aca="false">SUMPRODUCT(sobrestock_sustitutos!$B$73:$B$73,--(sobrestock_sustitutos!$F$30:$F$30="Fábrica: cilindro vacío"),parametros_recargas!$C$55:$C$55)*parametros_recargas!J$109+SUMPRODUCT(sobrestock_sustitutos!$B$74:$B$76,--(sobrestock_sustitutos!$F$31:$F$33="Fábrica: cilindro vacío"),parametros_recargas!$C$56:$C$58)*parametros_recargas!J$110+SUMPRODUCT(sobrestock_sustitutos!$B$86:$B$89,--(sobrestock_sustitutos!$F$43:$F$46="Fábrica: cilindro vacío"),parametros_recargas!$C$68:$C$71)*parametros_recargas!J$111</f>
        <v>3.68547324</v>
      </c>
      <c r="J30" s="27" t="n">
        <f aca="false">SUMPRODUCT(sobrestock_sustitutos!$B$73:$B$73,--(sobrestock_sustitutos!$F$30:$F$30="Fábrica: cilindro vacío"),parametros_recargas!$C$55:$C$55)*parametros_recargas!K$109+SUMPRODUCT(sobrestock_sustitutos!$B$74:$B$76,--(sobrestock_sustitutos!$F$31:$F$33="Fábrica: cilindro vacío"),parametros_recargas!$C$56:$C$58)*parametros_recargas!K$110+SUMPRODUCT(sobrestock_sustitutos!$B$86:$B$89,--(sobrestock_sustitutos!$F$43:$F$46="Fábrica: cilindro vacío"),parametros_recargas!$C$68:$C$71)*parametros_recargas!K$111</f>
        <v>4.049907395</v>
      </c>
      <c r="K30" s="27" t="n">
        <f aca="false">SUMPRODUCT(sobrestock_sustitutos!$B$73:$B$73,--(sobrestock_sustitutos!$F$30:$F$30="Fábrica: cilindro vacío"),parametros_recargas!$C$55:$C$55)*parametros_recargas!L$109+SUMPRODUCT(sobrestock_sustitutos!$B$74:$B$76,--(sobrestock_sustitutos!$F$31:$F$33="Fábrica: cilindro vacío"),parametros_recargas!$C$56:$C$58)*parametros_recargas!L$110+SUMPRODUCT(sobrestock_sustitutos!$B$86:$B$89,--(sobrestock_sustitutos!$F$43:$F$46="Fábrica: cilindro vacío"),parametros_recargas!$C$68:$C$71)*parametros_recargas!L$111</f>
        <v>4.049907395</v>
      </c>
      <c r="L30" s="27" t="n">
        <f aca="false">SUMPRODUCT(sobrestock_sustitutos!$B$73:$B$73,--(sobrestock_sustitutos!$F$30:$F$30="Fábrica: cilindro vacío"),parametros_recargas!$C$55:$C$55)*parametros_recargas!M$109+SUMPRODUCT(sobrestock_sustitutos!$B$74:$B$76,--(sobrestock_sustitutos!$F$31:$F$33="Fábrica: cilindro vacío"),parametros_recargas!$C$56:$C$58)*parametros_recargas!M$110+SUMPRODUCT(sobrestock_sustitutos!$B$86:$B$89,--(sobrestock_sustitutos!$F$43:$F$46="Fábrica: cilindro vacío"),parametros_recargas!$C$68:$C$71)*parametros_recargas!M$111</f>
        <v>3.9226903175</v>
      </c>
      <c r="M30" s="27" t="n">
        <f aca="false">SUMPRODUCT(sobrestock_sustitutos!$B$73:$B$73,--(sobrestock_sustitutos!$F$30:$F$30="Fábrica: cilindro vacío"),parametros_recargas!$C$55:$C$55)*parametros_recargas!N$109+SUMPRODUCT(sobrestock_sustitutos!$B$74:$B$76,--(sobrestock_sustitutos!$F$31:$F$33="Fábrica: cilindro vacío"),parametros_recargas!$C$56:$C$58)*parametros_recargas!N$110+SUMPRODUCT(sobrestock_sustitutos!$B$86:$B$89,--(sobrestock_sustitutos!$F$43:$F$46="Fábrica: cilindro vacío"),parametros_recargas!$C$68:$C$71)*parametros_recargas!N$111</f>
        <v>3.5582561625</v>
      </c>
      <c r="N30" s="27" t="n">
        <f aca="false">SUMPRODUCT(sobrestock_sustitutos!$B$73:$B$73,--(sobrestock_sustitutos!$F$30:$F$30="Fábrica: cilindro vacío"),parametros_recargas!$C$55:$C$55)*parametros_recargas!O$109+SUMPRODUCT(sobrestock_sustitutos!$B$74:$B$76,--(sobrestock_sustitutos!$F$31:$F$33="Fábrica: cilindro vacío"),parametros_recargas!$C$56:$C$58)*parametros_recargas!O$110+SUMPRODUCT(sobrestock_sustitutos!$B$86:$B$89,--(sobrestock_sustitutos!$F$43:$F$46="Fábrica: cilindro vacío"),parametros_recargas!$C$68:$C$71)*parametros_recargas!O$111</f>
        <v>3.321039085</v>
      </c>
      <c r="O30" s="27" t="n">
        <f aca="false">SUMPRODUCT(sobrestock_sustitutos!$B$73:$B$73,--(sobrestock_sustitutos!$F$30:$F$30="Fábrica: cilindro vacío"),parametros_recargas!$C$55:$C$55)*parametros_recargas!P$109+SUMPRODUCT(sobrestock_sustitutos!$B$74:$B$76,--(sobrestock_sustitutos!$F$31:$F$33="Fábrica: cilindro vacío"),parametros_recargas!$C$56:$C$58)*parametros_recargas!P$110+SUMPRODUCT(sobrestock_sustitutos!$B$86:$B$89,--(sobrestock_sustitutos!$F$43:$F$46="Fábrica: cilindro vacío"),parametros_recargas!$C$68:$C$71)*parametros_recargas!P$111</f>
        <v>4.45547324</v>
      </c>
      <c r="P30" s="12" t="n">
        <f aca="false">SUM(D30:O30)</f>
        <v>47.4434155</v>
      </c>
    </row>
    <row r="33" customFormat="false" ht="15" hidden="false" customHeight="false" outlineLevel="0" collapsed="false">
      <c r="A33" s="28" t="n">
        <v>2027</v>
      </c>
      <c r="B33" s="3" t="s">
        <v>383</v>
      </c>
      <c r="C33" s="3" t="s">
        <v>384</v>
      </c>
      <c r="D33" s="3" t="s">
        <v>64</v>
      </c>
      <c r="E33" s="3" t="s">
        <v>65</v>
      </c>
      <c r="F33" s="3" t="s">
        <v>66</v>
      </c>
      <c r="G33" s="3" t="s">
        <v>67</v>
      </c>
      <c r="H33" s="3" t="s">
        <v>68</v>
      </c>
      <c r="I33" s="3" t="s">
        <v>69</v>
      </c>
      <c r="J33" s="3" t="s">
        <v>70</v>
      </c>
      <c r="K33" s="3" t="s">
        <v>71</v>
      </c>
      <c r="L33" s="3" t="s">
        <v>72</v>
      </c>
      <c r="M33" s="3" t="s">
        <v>73</v>
      </c>
      <c r="N33" s="3" t="s">
        <v>74</v>
      </c>
      <c r="O33" s="3" t="s">
        <v>75</v>
      </c>
      <c r="P33" s="3" t="s">
        <v>132</v>
      </c>
    </row>
    <row r="34" customFormat="false" ht="15" hidden="false" customHeight="false" outlineLevel="0" collapsed="false">
      <c r="A34" s="6" t="str">
        <f aca="false">parametros_recargas!A55</f>
        <v>ABC 1 kg</v>
      </c>
      <c r="B34" s="6" t="str">
        <f aca="false">parametros_recargas!B55</f>
        <v>ABC</v>
      </c>
      <c r="C34" s="14" t="n">
        <f aca="false">parametros_recargas!C55</f>
        <v>1</v>
      </c>
      <c r="D34" s="26" t="n">
        <f aca="false">datos_base!$C$2*parametros_recargas!E$55+sobrestock_sustitutos!$B$51/12</f>
        <v>1128.11449098759</v>
      </c>
      <c r="E34" s="26" t="n">
        <f aca="false">datos_base!$C$2*parametros_recargas!F$55+sobrestock_sustitutos!$B$51/12</f>
        <v>898.498509709185</v>
      </c>
      <c r="F34" s="26" t="n">
        <f aca="false">datos_base!$C$2*parametros_recargas!G$55+sobrestock_sustitutos!$B$51/12</f>
        <v>669.336910786674</v>
      </c>
      <c r="G34" s="26" t="n">
        <f aca="false">datos_base!$C$2*parametros_recargas!H$55+sobrestock_sustitutos!$B$51/12</f>
        <v>669.336910786674</v>
      </c>
      <c r="H34" s="26" t="n">
        <f aca="false">datos_base!$C$2*parametros_recargas!I$55+sobrestock_sustitutos!$B$51/12</f>
        <v>669.791293142568</v>
      </c>
      <c r="I34" s="26" t="n">
        <f aca="false">datos_base!$C$2*parametros_recargas!J$55+sobrestock_sustitutos!$B$51/12</f>
        <v>669.791293142568</v>
      </c>
      <c r="J34" s="26" t="n">
        <f aca="false">datos_base!$C$2*parametros_recargas!K$55+sobrestock_sustitutos!$B$51/12</f>
        <v>669.005392180196</v>
      </c>
      <c r="K34" s="26" t="n">
        <f aca="false">datos_base!$C$2*parametros_recargas!L$55+sobrestock_sustitutos!$B$51/12</f>
        <v>669.791293142568</v>
      </c>
      <c r="L34" s="26" t="n">
        <f aca="false">datos_base!$C$2*parametros_recargas!M$55+sobrestock_sustitutos!$B$51/12</f>
        <v>669.72986126786</v>
      </c>
      <c r="M34" s="26" t="n">
        <f aca="false">datos_base!$C$2*parametros_recargas!N$55+sobrestock_sustitutos!$B$51/12</f>
        <v>669.72986126786</v>
      </c>
      <c r="N34" s="26" t="n">
        <f aca="false">datos_base!$C$2*parametros_recargas!O$55+sobrestock_sustitutos!$B$51/12</f>
        <v>898.891460190371</v>
      </c>
      <c r="O34" s="26" t="n">
        <f aca="false">datos_base!$C$2*parametros_recargas!P$55+sobrestock_sustitutos!$B$51/12</f>
        <v>1128.50744146878</v>
      </c>
      <c r="P34" s="12" t="n">
        <f aca="false">SUM(D34:O34)</f>
        <v>9410.52471807289</v>
      </c>
    </row>
    <row r="35" customFormat="false" ht="15" hidden="false" customHeight="false" outlineLevel="0" collapsed="false">
      <c r="A35" s="6" t="str">
        <f aca="false">parametros_recargas!A56</f>
        <v>ABC 2,5 kg</v>
      </c>
      <c r="B35" s="6" t="str">
        <f aca="false">parametros_recargas!B56</f>
        <v>ABC</v>
      </c>
      <c r="C35" s="14" t="n">
        <f aca="false">parametros_recargas!C56</f>
        <v>1</v>
      </c>
      <c r="D35" s="26" t="n">
        <f aca="false">datos_base!$C$3*parametros_recargas!E$56+sobrestock_sustitutos!$B$52/12</f>
        <v>43.0794815191054</v>
      </c>
      <c r="E35" s="26" t="n">
        <f aca="false">datos_base!$C$3*parametros_recargas!F$56+sobrestock_sustitutos!$B$52/12</f>
        <v>43.0794815191054</v>
      </c>
      <c r="F35" s="26" t="n">
        <f aca="false">datos_base!$C$3*parametros_recargas!G$56+sobrestock_sustitutos!$B$52/12</f>
        <v>59.0335483615235</v>
      </c>
      <c r="G35" s="26" t="n">
        <f aca="false">datos_base!$C$3*parametros_recargas!H$56+sobrestock_sustitutos!$B$52/12</f>
        <v>68.7120934203607</v>
      </c>
      <c r="H35" s="26" t="n">
        <f aca="false">datos_base!$C$3*parametros_recargas!I$56+sobrestock_sustitutos!$B$52/12</f>
        <v>74.350661724941</v>
      </c>
      <c r="I35" s="26" t="n">
        <f aca="false">datos_base!$C$3*parametros_recargas!J$56+sobrestock_sustitutos!$B$52/12</f>
        <v>73.5133083331143</v>
      </c>
      <c r="J35" s="26" t="n">
        <f aca="false">datos_base!$C$3*parametros_recargas!K$56+sobrestock_sustitutos!$B$52/12</f>
        <v>53.2249452600998</v>
      </c>
      <c r="K35" s="26" t="n">
        <f aca="false">datos_base!$C$3*parametros_recargas!L$56+sobrestock_sustitutos!$B$52/12</f>
        <v>62.3604564034499</v>
      </c>
      <c r="L35" s="26" t="n">
        <f aca="false">datos_base!$C$3*parametros_recargas!M$56+sobrestock_sustitutos!$B$52/12</f>
        <v>62.4955737800781</v>
      </c>
      <c r="M35" s="26" t="n">
        <f aca="false">datos_base!$C$3*parametros_recargas!N$56+sobrestock_sustitutos!$B$52/12</f>
        <v>62.4955737800781</v>
      </c>
      <c r="N35" s="26" t="n">
        <f aca="false">datos_base!$C$3*parametros_recargas!O$56+sobrestock_sustitutos!$B$52/12</f>
        <v>56.8570054754978</v>
      </c>
      <c r="O35" s="26" t="n">
        <f aca="false">datos_base!$C$3*parametros_recargas!P$56+sobrestock_sustitutos!$B$52/12</f>
        <v>57.6943588673244</v>
      </c>
      <c r="P35" s="12" t="n">
        <f aca="false">SUM(D35:O35)</f>
        <v>716.896488444678</v>
      </c>
    </row>
    <row r="36" customFormat="false" ht="15" hidden="false" customHeight="false" outlineLevel="0" collapsed="false">
      <c r="A36" s="6" t="str">
        <f aca="false">parametros_recargas!A57</f>
        <v>ABC 5 kg</v>
      </c>
      <c r="B36" s="6" t="str">
        <f aca="false">parametros_recargas!B57</f>
        <v>ABC</v>
      </c>
      <c r="C36" s="14" t="n">
        <f aca="false">parametros_recargas!C57</f>
        <v>1</v>
      </c>
      <c r="D36" s="26" t="n">
        <f aca="false">datos_base!$C$4*parametros_recargas!E$57+sobrestock_sustitutos!$B$53/12</f>
        <v>292.09948657249</v>
      </c>
      <c r="E36" s="26" t="n">
        <f aca="false">datos_base!$C$4*parametros_recargas!F$57+sobrestock_sustitutos!$B$53/12</f>
        <v>284.900754579048</v>
      </c>
      <c r="F36" s="26" t="n">
        <f aca="false">datos_base!$C$4*parametros_recargas!G$57+sobrestock_sustitutos!$B$53/12</f>
        <v>357.547518888137</v>
      </c>
      <c r="G36" s="26" t="n">
        <f aca="false">datos_base!$C$4*parametros_recargas!H$57+sobrestock_sustitutos!$B$53/12</f>
        <v>435.638968355764</v>
      </c>
      <c r="H36" s="26" t="n">
        <f aca="false">datos_base!$C$4*parametros_recargas!I$57+sobrestock_sustitutos!$B$53/12</f>
        <v>437.251373291988</v>
      </c>
      <c r="I36" s="26" t="n">
        <f aca="false">datos_base!$C$4*parametros_recargas!J$57+sobrestock_sustitutos!$B$53/12</f>
        <v>431.740791641288</v>
      </c>
      <c r="J36" s="26" t="n">
        <f aca="false">datos_base!$C$4*parametros_recargas!K$57+sobrestock_sustitutos!$B$53/12</f>
        <v>348.85365047284</v>
      </c>
      <c r="K36" s="26" t="n">
        <f aca="false">datos_base!$C$4*parametros_recargas!L$57+sobrestock_sustitutos!$B$53/12</f>
        <v>347.997118624281</v>
      </c>
      <c r="L36" s="26" t="n">
        <f aca="false">datos_base!$C$4*parametros_recargas!M$57+sobrestock_sustitutos!$B$53/12</f>
        <v>352.880085301823</v>
      </c>
      <c r="M36" s="26" t="n">
        <f aca="false">datos_base!$C$4*parametros_recargas!N$57+sobrestock_sustitutos!$B$53/12</f>
        <v>352.880085301823</v>
      </c>
      <c r="N36" s="26" t="n">
        <f aca="false">datos_base!$C$4*parametros_recargas!O$57+sobrestock_sustitutos!$B$53/12</f>
        <v>358.46641235904</v>
      </c>
      <c r="O36" s="26" t="n">
        <f aca="false">datos_base!$C$4*parametros_recargas!P$57+sobrestock_sustitutos!$B$53/12</f>
        <v>371.175726003182</v>
      </c>
      <c r="P36" s="12" t="n">
        <f aca="false">SUM(D36:O36)</f>
        <v>4371.4319713917</v>
      </c>
    </row>
    <row r="37" customFormat="false" ht="15" hidden="false" customHeight="false" outlineLevel="0" collapsed="false">
      <c r="A37" s="6" t="str">
        <f aca="false">parametros_recargas!A58</f>
        <v>ABC 10 kg</v>
      </c>
      <c r="B37" s="6" t="str">
        <f aca="false">parametros_recargas!B58</f>
        <v>ABC</v>
      </c>
      <c r="C37" s="14" t="n">
        <f aca="false">parametros_recargas!C58</f>
        <v>1</v>
      </c>
      <c r="D37" s="26" t="n">
        <f aca="false">datos_base!$C$5*parametros_recargas!E$58+sobrestock_sustitutos!$B$54/12</f>
        <v>15.8495347137722</v>
      </c>
      <c r="E37" s="26" t="n">
        <f aca="false">datos_base!$C$5*parametros_recargas!F$58+sobrestock_sustitutos!$B$54/12</f>
        <v>15.8495347137722</v>
      </c>
      <c r="F37" s="26" t="n">
        <f aca="false">datos_base!$C$5*parametros_recargas!G$58+sobrestock_sustitutos!$B$54/12</f>
        <v>20.3577084444918</v>
      </c>
      <c r="G37" s="26" t="n">
        <f aca="false">datos_base!$C$5*parametros_recargas!H$58+sobrestock_sustitutos!$B$54/12</f>
        <v>24.7616243380273</v>
      </c>
      <c r="H37" s="26" t="n">
        <f aca="false">datos_base!$C$5*parametros_recargas!I$58+sobrestock_sustitutos!$B$54/12</f>
        <v>24.9916421878585</v>
      </c>
      <c r="I37" s="26" t="n">
        <f aca="false">datos_base!$C$5*parametros_recargas!J$58+sobrestock_sustitutos!$B$54/12</f>
        <v>24.274686124233</v>
      </c>
      <c r="J37" s="26" t="n">
        <f aca="false">datos_base!$C$5*parametros_recargas!K$58+sobrestock_sustitutos!$B$54/12</f>
        <v>19.1151365055461</v>
      </c>
      <c r="K37" s="26" t="n">
        <f aca="false">datos_base!$C$5*parametros_recargas!L$58+sobrestock_sustitutos!$B$54/12</f>
        <v>19.2795741797191</v>
      </c>
      <c r="L37" s="26" t="n">
        <f aca="false">datos_base!$C$5*parametros_recargas!M$58+sobrestock_sustitutos!$B$54/12</f>
        <v>19.9965302433445</v>
      </c>
      <c r="M37" s="26" t="n">
        <f aca="false">datos_base!$C$5*parametros_recargas!N$58+sobrestock_sustitutos!$B$54/12</f>
        <v>19.9965302433445</v>
      </c>
      <c r="N37" s="26" t="n">
        <f aca="false">datos_base!$C$5*parametros_recargas!O$58+sobrestock_sustitutos!$B$54/12</f>
        <v>19.7665123935134</v>
      </c>
      <c r="O37" s="26" t="n">
        <f aca="false">datos_base!$C$5*parametros_recargas!P$58+sobrestock_sustitutos!$B$54/12</f>
        <v>20.4834684571388</v>
      </c>
      <c r="P37" s="12" t="n">
        <f aca="false">SUM(D37:O37)</f>
        <v>244.722482544761</v>
      </c>
    </row>
    <row r="38" customFormat="false" ht="15" hidden="false" customHeight="false" outlineLevel="0" collapsed="false">
      <c r="A38" s="6" t="str">
        <f aca="false">parametros_recargas!A59</f>
        <v>Agua 10 l</v>
      </c>
      <c r="B38" s="6" t="str">
        <f aca="false">parametros_recargas!B59</f>
        <v>Agua</v>
      </c>
      <c r="C38" s="14" t="n">
        <f aca="false">parametros_recargas!C59</f>
        <v>1</v>
      </c>
      <c r="D38" s="26" t="n">
        <f aca="false">datos_base!$C$6*parametros_recargas!E$59+sobrestock_sustitutos!$B$55/12</f>
        <v>24.099077696433</v>
      </c>
      <c r="E38" s="26" t="n">
        <f aca="false">datos_base!$C$6*parametros_recargas!F$59+sobrestock_sustitutos!$B$55/12</f>
        <v>24.099077696433</v>
      </c>
      <c r="F38" s="26" t="n">
        <f aca="false">datos_base!$C$6*parametros_recargas!G$59+sobrestock_sustitutos!$B$55/12</f>
        <v>29.7042799321192</v>
      </c>
      <c r="G38" s="26" t="n">
        <f aca="false">datos_base!$C$6*parametros_recargas!H$59+sobrestock_sustitutos!$B$55/12</f>
        <v>35.6136151722188</v>
      </c>
      <c r="H38" s="26" t="n">
        <f aca="false">datos_base!$C$6*parametros_recargas!I$59+sobrestock_sustitutos!$B$55/12</f>
        <v>35.8352571418966</v>
      </c>
      <c r="I38" s="26" t="n">
        <f aca="false">datos_base!$C$6*parametros_recargas!J$59+sobrestock_sustitutos!$B$55/12</f>
        <v>34.7918797211572</v>
      </c>
      <c r="J38" s="26" t="n">
        <f aca="false">datos_base!$C$6*parametros_recargas!K$59+sobrestock_sustitutos!$B$55/12</f>
        <v>28.3113648214488</v>
      </c>
      <c r="K38" s="26" t="n">
        <f aca="false">datos_base!$C$6*parametros_recargas!L$59+sobrestock_sustitutos!$B$55/12</f>
        <v>28.3649420344093</v>
      </c>
      <c r="L38" s="26" t="n">
        <f aca="false">datos_base!$C$6*parametros_recargas!M$59+sobrestock_sustitutos!$B$55/12</f>
        <v>29.3428667036133</v>
      </c>
      <c r="M38" s="26" t="n">
        <f aca="false">datos_base!$C$6*parametros_recargas!N$59+sobrestock_sustitutos!$B$55/12</f>
        <v>29.3428667036133</v>
      </c>
      <c r="N38" s="26" t="n">
        <f aca="false">datos_base!$C$6*parametros_recargas!O$59+sobrestock_sustitutos!$B$55/12</f>
        <v>29.1212247339356</v>
      </c>
      <c r="O38" s="26" t="n">
        <f aca="false">datos_base!$C$6*parametros_recargas!P$59+sobrestock_sustitutos!$B$55/12</f>
        <v>30.164602154675</v>
      </c>
      <c r="P38" s="12" t="n">
        <f aca="false">SUM(D38:O38)</f>
        <v>358.791054511953</v>
      </c>
    </row>
    <row r="39" customFormat="false" ht="15" hidden="false" customHeight="false" outlineLevel="0" collapsed="false">
      <c r="A39" s="6" t="str">
        <f aca="false">parametros_recargas!A60</f>
        <v>AFFF 10 l</v>
      </c>
      <c r="B39" s="6" t="str">
        <f aca="false">parametros_recargas!B60</f>
        <v>AFFF</v>
      </c>
      <c r="C39" s="14" t="n">
        <f aca="false">parametros_recargas!C60</f>
        <v>1</v>
      </c>
      <c r="D39" s="26" t="n">
        <f aca="false">datos_base!$C$7*parametros_recargas!E$60+sobrestock_sustitutos!$B$56/12</f>
        <v>7.53773067708145</v>
      </c>
      <c r="E39" s="26" t="n">
        <f aca="false">datos_base!$C$7*parametros_recargas!F$60+sobrestock_sustitutos!$B$56/12</f>
        <v>7.53773067708145</v>
      </c>
      <c r="F39" s="26" t="n">
        <f aca="false">datos_base!$C$7*parametros_recargas!G$60+sobrestock_sustitutos!$B$56/12</f>
        <v>7.53773067708145</v>
      </c>
      <c r="G39" s="26" t="n">
        <f aca="false">datos_base!$C$7*parametros_recargas!H$60+sobrestock_sustitutos!$B$56/12</f>
        <v>7.53773067708145</v>
      </c>
      <c r="H39" s="26" t="n">
        <f aca="false">datos_base!$C$7*parametros_recargas!I$60+sobrestock_sustitutos!$B$56/12</f>
        <v>7.53773067708145</v>
      </c>
      <c r="I39" s="26" t="n">
        <f aca="false">datos_base!$C$7*parametros_recargas!J$60+sobrestock_sustitutos!$B$56/12</f>
        <v>7.53773067708145</v>
      </c>
      <c r="J39" s="26" t="n">
        <f aca="false">datos_base!$C$7*parametros_recargas!K$60+sobrestock_sustitutos!$B$56/12</f>
        <v>7.53773067708145</v>
      </c>
      <c r="K39" s="26" t="n">
        <f aca="false">datos_base!$C$7*parametros_recargas!L$60+sobrestock_sustitutos!$B$56/12</f>
        <v>7.53773067708145</v>
      </c>
      <c r="L39" s="26" t="n">
        <f aca="false">datos_base!$C$7*parametros_recargas!M$60+sobrestock_sustitutos!$B$56/12</f>
        <v>7.53773067708145</v>
      </c>
      <c r="M39" s="26" t="n">
        <f aca="false">datos_base!$C$7*parametros_recargas!N$60+sobrestock_sustitutos!$B$56/12</f>
        <v>7.53773067708145</v>
      </c>
      <c r="N39" s="26" t="n">
        <f aca="false">datos_base!$C$7*parametros_recargas!O$60+sobrestock_sustitutos!$B$56/12</f>
        <v>7.53773067708145</v>
      </c>
      <c r="O39" s="26" t="n">
        <f aca="false">datos_base!$C$7*parametros_recargas!P$60+sobrestock_sustitutos!$B$56/12</f>
        <v>7.53773067708145</v>
      </c>
      <c r="P39" s="12" t="n">
        <f aca="false">SUM(D39:O39)</f>
        <v>90.4527681249774</v>
      </c>
    </row>
    <row r="40" customFormat="false" ht="15" hidden="false" customHeight="false" outlineLevel="0" collapsed="false">
      <c r="A40" s="6" t="str">
        <f aca="false">parametros_recargas!A61</f>
        <v>AFFF 50 l s/ruedas</v>
      </c>
      <c r="B40" s="6" t="str">
        <f aca="false">parametros_recargas!B61</f>
        <v>AFFF</v>
      </c>
      <c r="C40" s="14" t="n">
        <f aca="false">parametros_recargas!C61</f>
        <v>6.360853875</v>
      </c>
      <c r="D40" s="26" t="n">
        <f aca="false">datos_base!$C$8*parametros_recargas!E$61+sobrestock_sustitutos!$B$57/12</f>
        <v>3.92909038172824</v>
      </c>
      <c r="E40" s="26" t="n">
        <f aca="false">datos_base!$C$8*parametros_recargas!F$61+sobrestock_sustitutos!$B$57/12</f>
        <v>3.92909038172824</v>
      </c>
      <c r="F40" s="26" t="n">
        <f aca="false">datos_base!$C$8*parametros_recargas!G$61+sobrestock_sustitutos!$B$57/12</f>
        <v>3.92909038172824</v>
      </c>
      <c r="G40" s="26" t="n">
        <f aca="false">datos_base!$C$8*parametros_recargas!H$61+sobrestock_sustitutos!$B$57/12</f>
        <v>3.92909038172824</v>
      </c>
      <c r="H40" s="26" t="n">
        <f aca="false">datos_base!$C$8*parametros_recargas!I$61+sobrestock_sustitutos!$B$57/12</f>
        <v>3.92909038172824</v>
      </c>
      <c r="I40" s="26" t="n">
        <f aca="false">datos_base!$C$8*parametros_recargas!J$61+sobrestock_sustitutos!$B$57/12</f>
        <v>3.92909038172824</v>
      </c>
      <c r="J40" s="26" t="n">
        <f aca="false">datos_base!$C$8*parametros_recargas!K$61+sobrestock_sustitutos!$B$57/12</f>
        <v>3.92909038172824</v>
      </c>
      <c r="K40" s="26" t="n">
        <f aca="false">datos_base!$C$8*parametros_recargas!L$61+sobrestock_sustitutos!$B$57/12</f>
        <v>3.92909038172824</v>
      </c>
      <c r="L40" s="26" t="n">
        <f aca="false">datos_base!$C$8*parametros_recargas!M$61+sobrestock_sustitutos!$B$57/12</f>
        <v>3.92909038172824</v>
      </c>
      <c r="M40" s="26" t="n">
        <f aca="false">datos_base!$C$8*parametros_recargas!N$61+sobrestock_sustitutos!$B$57/12</f>
        <v>3.92909038172824</v>
      </c>
      <c r="N40" s="26" t="n">
        <f aca="false">datos_base!$C$8*parametros_recargas!O$61+sobrestock_sustitutos!$B$57/12</f>
        <v>3.92909038172824</v>
      </c>
      <c r="O40" s="26" t="n">
        <f aca="false">datos_base!$C$8*parametros_recargas!P$61+sobrestock_sustitutos!$B$57/12</f>
        <v>3.92909038172824</v>
      </c>
      <c r="P40" s="12" t="n">
        <f aca="false">SUM(D40:O40)</f>
        <v>47.1490845807389</v>
      </c>
    </row>
    <row r="41" customFormat="false" ht="15" hidden="false" customHeight="false" outlineLevel="0" collapsed="false">
      <c r="A41" s="6" t="str">
        <f aca="false">parametros_recargas!A62</f>
        <v>BC 5 kg</v>
      </c>
      <c r="B41" s="6" t="str">
        <f aca="false">parametros_recargas!B62</f>
        <v>BC</v>
      </c>
      <c r="C41" s="14" t="n">
        <f aca="false">parametros_recargas!C62</f>
        <v>1</v>
      </c>
      <c r="D41" s="26" t="n">
        <f aca="false">datos_base!$C$9*parametros_recargas!E$62+sobrestock_sustitutos!$B$58/12</f>
        <v>2.25858081462087</v>
      </c>
      <c r="E41" s="26" t="n">
        <f aca="false">datos_base!$C$9*parametros_recargas!F$62+sobrestock_sustitutos!$B$58/12</f>
        <v>2.25858081462087</v>
      </c>
      <c r="F41" s="26" t="n">
        <f aca="false">datos_base!$C$9*parametros_recargas!G$62+sobrestock_sustitutos!$B$58/12</f>
        <v>2.25858081462087</v>
      </c>
      <c r="G41" s="26" t="n">
        <f aca="false">datos_base!$C$9*parametros_recargas!H$62+sobrestock_sustitutos!$B$58/12</f>
        <v>2.25858081462087</v>
      </c>
      <c r="H41" s="26" t="n">
        <f aca="false">datos_base!$C$9*parametros_recargas!I$62+sobrestock_sustitutos!$B$58/12</f>
        <v>2.25858081462087</v>
      </c>
      <c r="I41" s="26" t="n">
        <f aca="false">datos_base!$C$9*parametros_recargas!J$62+sobrestock_sustitutos!$B$58/12</f>
        <v>2.25858081462087</v>
      </c>
      <c r="J41" s="26" t="n">
        <f aca="false">datos_base!$C$9*parametros_recargas!K$62+sobrestock_sustitutos!$B$58/12</f>
        <v>2.25858081462087</v>
      </c>
      <c r="K41" s="26" t="n">
        <f aca="false">datos_base!$C$9*parametros_recargas!L$62+sobrestock_sustitutos!$B$58/12</f>
        <v>2.25858081462087</v>
      </c>
      <c r="L41" s="26" t="n">
        <f aca="false">datos_base!$C$9*parametros_recargas!M$62+sobrestock_sustitutos!$B$58/12</f>
        <v>2.25858081462087</v>
      </c>
      <c r="M41" s="26" t="n">
        <f aca="false">datos_base!$C$9*parametros_recargas!N$62+sobrestock_sustitutos!$B$58/12</f>
        <v>2.25858081462087</v>
      </c>
      <c r="N41" s="26" t="n">
        <f aca="false">datos_base!$C$9*parametros_recargas!O$62+sobrestock_sustitutos!$B$58/12</f>
        <v>2.25858081462087</v>
      </c>
      <c r="O41" s="26" t="n">
        <f aca="false">datos_base!$C$9*parametros_recargas!P$62+sobrestock_sustitutos!$B$58/12</f>
        <v>2.25858081462087</v>
      </c>
      <c r="P41" s="12" t="n">
        <f aca="false">SUM(D41:O41)</f>
        <v>27.1029697754505</v>
      </c>
    </row>
    <row r="42" customFormat="false" ht="15" hidden="false" customHeight="false" outlineLevel="0" collapsed="false">
      <c r="A42" s="6" t="str">
        <f aca="false">parametros_recargas!A63</f>
        <v>Sales K 6 l</v>
      </c>
      <c r="B42" s="6" t="str">
        <f aca="false">parametros_recargas!B63</f>
        <v>Sales K</v>
      </c>
      <c r="C42" s="14" t="n">
        <f aca="false">parametros_recargas!C63</f>
        <v>1</v>
      </c>
      <c r="D42" s="26" t="n">
        <f aca="false">datos_base!$C$10*parametros_recargas!E$63+sobrestock_sustitutos!$B$59/12</f>
        <v>13.0159166963576</v>
      </c>
      <c r="E42" s="26" t="n">
        <f aca="false">datos_base!$C$10*parametros_recargas!F$63+sobrestock_sustitutos!$B$59/12</f>
        <v>13.0159166963576</v>
      </c>
      <c r="F42" s="26" t="n">
        <f aca="false">datos_base!$C$10*parametros_recargas!G$63+sobrestock_sustitutos!$B$59/12</f>
        <v>15.6735163479194</v>
      </c>
      <c r="G42" s="26" t="n">
        <f aca="false">datos_base!$C$10*parametros_recargas!H$63+sobrestock_sustitutos!$B$59/12</f>
        <v>17.7210582909969</v>
      </c>
      <c r="H42" s="26" t="n">
        <f aca="false">datos_base!$C$10*parametros_recargas!I$63+sobrestock_sustitutos!$B$59/12</f>
        <v>18.1645262586241</v>
      </c>
      <c r="I42" s="26" t="n">
        <f aca="false">datos_base!$C$10*parametros_recargas!J$63+sobrestock_sustitutos!$B$59/12</f>
        <v>17.7935975259604</v>
      </c>
      <c r="J42" s="26" t="n">
        <f aca="false">datos_base!$C$10*parametros_recargas!K$63+sobrestock_sustitutos!$B$59/12</f>
        <v>14.5903604108682</v>
      </c>
      <c r="K42" s="26" t="n">
        <f aca="false">datos_base!$C$10*parametros_recargas!L$63+sobrestock_sustitutos!$B$59/12</f>
        <v>15.2085371093621</v>
      </c>
      <c r="L42" s="26" t="n">
        <f aca="false">datos_base!$C$10*parametros_recargas!M$63+sobrestock_sustitutos!$B$59/12</f>
        <v>15.5794658420258</v>
      </c>
      <c r="M42" s="26" t="n">
        <f aca="false">datos_base!$C$10*parametros_recargas!N$63+sobrestock_sustitutos!$B$59/12</f>
        <v>15.5794658420258</v>
      </c>
      <c r="N42" s="26" t="n">
        <f aca="false">datos_base!$C$10*parametros_recargas!O$63+sobrestock_sustitutos!$B$59/12</f>
        <v>15.1359978743986</v>
      </c>
      <c r="O42" s="26" t="n">
        <f aca="false">datos_base!$C$10*parametros_recargas!P$63+sobrestock_sustitutos!$B$59/12</f>
        <v>15.5069266070623</v>
      </c>
      <c r="P42" s="12" t="n">
        <f aca="false">SUM(D42:O42)</f>
        <v>186.985285501959</v>
      </c>
    </row>
    <row r="43" customFormat="false" ht="15" hidden="false" customHeight="false" outlineLevel="0" collapsed="false">
      <c r="A43" s="6" t="str">
        <f aca="false">parametros_recargas!A64</f>
        <v>CO₂ 2 kg</v>
      </c>
      <c r="B43" s="6" t="str">
        <f aca="false">parametros_recargas!B64</f>
        <v>CO₂</v>
      </c>
      <c r="C43" s="14" t="n">
        <f aca="false">parametros_recargas!C64</f>
        <v>1</v>
      </c>
      <c r="D43" s="26" t="n">
        <f aca="false">datos_base!$C$11*parametros_recargas!E$64+sobrestock_sustitutos!$B$60/12</f>
        <v>58.4038840023472</v>
      </c>
      <c r="E43" s="26" t="n">
        <f aca="false">datos_base!$C$11*parametros_recargas!F$64+sobrestock_sustitutos!$B$60/12</f>
        <v>58.4038840023472</v>
      </c>
      <c r="F43" s="26" t="n">
        <f aca="false">datos_base!$C$11*parametros_recargas!G$64+sobrestock_sustitutos!$B$60/12</f>
        <v>78.4782464044942</v>
      </c>
      <c r="G43" s="26" t="n">
        <f aca="false">datos_base!$C$11*parametros_recargas!H$64+sobrestock_sustitutos!$B$60/12</f>
        <v>97.3592886681456</v>
      </c>
      <c r="H43" s="26" t="n">
        <f aca="false">datos_base!$C$11*parametros_recargas!I$64+sobrestock_sustitutos!$B$60/12</f>
        <v>97.7528889303458</v>
      </c>
      <c r="I43" s="26" t="n">
        <f aca="false">datos_base!$C$11*parametros_recargas!J$64+sobrestock_sustitutos!$B$60/12</f>
        <v>96.5144004144719</v>
      </c>
      <c r="J43" s="26" t="n">
        <f aca="false">datos_base!$C$11*parametros_recargas!K$64+sobrestock_sustitutos!$B$60/12</f>
        <v>75.8270534303356</v>
      </c>
      <c r="K43" s="26" t="n">
        <f aca="false">datos_base!$C$11*parametros_recargas!L$64+sobrestock_sustitutos!$B$60/12</f>
        <v>75.5951497586512</v>
      </c>
      <c r="L43" s="26" t="n">
        <f aca="false">datos_base!$C$11*parametros_recargas!M$64+sobrestock_sustitutos!$B$60/12</f>
        <v>76.8336382745251</v>
      </c>
      <c r="M43" s="26" t="n">
        <f aca="false">datos_base!$C$11*parametros_recargas!N$64+sobrestock_sustitutos!$B$60/12</f>
        <v>76.8336382745251</v>
      </c>
      <c r="N43" s="26" t="n">
        <f aca="false">datos_base!$C$11*parametros_recargas!O$64+sobrestock_sustitutos!$B$60/12</f>
        <v>76.4400380123249</v>
      </c>
      <c r="O43" s="26" t="n">
        <f aca="false">datos_base!$C$11*parametros_recargas!P$64+sobrestock_sustitutos!$B$60/12</f>
        <v>77.6785265281988</v>
      </c>
      <c r="P43" s="12" t="n">
        <f aca="false">SUM(D43:O43)</f>
        <v>946.120636700713</v>
      </c>
    </row>
    <row r="44" customFormat="false" ht="15" hidden="false" customHeight="false" outlineLevel="0" collapsed="false">
      <c r="A44" s="6" t="str">
        <f aca="false">parametros_recargas!A65</f>
        <v>CO₂ 5 kg</v>
      </c>
      <c r="B44" s="6" t="str">
        <f aca="false">parametros_recargas!B65</f>
        <v>CO₂</v>
      </c>
      <c r="C44" s="14" t="n">
        <f aca="false">parametros_recargas!C65</f>
        <v>1</v>
      </c>
      <c r="D44" s="26" t="n">
        <f aca="false">datos_base!$C$12*parametros_recargas!E$65+sobrestock_sustitutos!$B$61/12</f>
        <v>27.3574694175581</v>
      </c>
      <c r="E44" s="26" t="n">
        <f aca="false">datos_base!$C$12*parametros_recargas!F$65+sobrestock_sustitutos!$B$61/12</f>
        <v>27.3574694175581</v>
      </c>
      <c r="F44" s="26" t="n">
        <f aca="false">datos_base!$C$12*parametros_recargas!G$65+sobrestock_sustitutos!$B$61/12</f>
        <v>29.6715673077173</v>
      </c>
      <c r="G44" s="26" t="n">
        <f aca="false">datos_base!$C$12*parametros_recargas!H$65+sobrestock_sustitutos!$B$61/12</f>
        <v>32.8777519749499</v>
      </c>
      <c r="H44" s="26" t="n">
        <f aca="false">datos_base!$C$12*parametros_recargas!I$65+sobrestock_sustitutos!$B$61/12</f>
        <v>33.4286826047759</v>
      </c>
      <c r="I44" s="26" t="n">
        <f aca="false">datos_base!$C$12*parametros_recargas!J$65+sobrestock_sustitutos!$B$61/12</f>
        <v>31.8792134732267</v>
      </c>
      <c r="J44" s="26" t="n">
        <f aca="false">datos_base!$C$12*parametros_recargas!K$65+sobrestock_sustitutos!$B$61/12</f>
        <v>28.1806620936059</v>
      </c>
      <c r="K44" s="26" t="n">
        <f aca="false">datos_base!$C$12*parametros_recargas!L$65+sobrestock_sustitutos!$B$61/12</f>
        <v>28.5665770813443</v>
      </c>
      <c r="L44" s="26" t="n">
        <f aca="false">datos_base!$C$12*parametros_recargas!M$65+sobrestock_sustitutos!$B$61/12</f>
        <v>29.7846860080992</v>
      </c>
      <c r="M44" s="26" t="n">
        <f aca="false">datos_base!$C$12*parametros_recargas!N$65+sobrestock_sustitutos!$B$61/12</f>
        <v>29.7846860080992</v>
      </c>
      <c r="N44" s="26" t="n">
        <f aca="false">datos_base!$C$12*parametros_recargas!O$65+sobrestock_sustitutos!$B$61/12</f>
        <v>29.2337553782732</v>
      </c>
      <c r="O44" s="26" t="n">
        <f aca="false">datos_base!$C$12*parametros_recargas!P$65+sobrestock_sustitutos!$B$61/12</f>
        <v>30.7832245098223</v>
      </c>
      <c r="P44" s="12" t="n">
        <f aca="false">SUM(D44:O44)</f>
        <v>358.90574527503</v>
      </c>
    </row>
    <row r="45" customFormat="false" ht="15" hidden="false" customHeight="false" outlineLevel="0" collapsed="false">
      <c r="A45" s="6" t="str">
        <f aca="false">parametros_recargas!A66</f>
        <v>HCFC/HFC 5 kg</v>
      </c>
      <c r="B45" s="6" t="str">
        <f aca="false">parametros_recargas!B66</f>
        <v>Halogenado</v>
      </c>
      <c r="C45" s="14" t="n">
        <f aca="false">parametros_recargas!C66</f>
        <v>1</v>
      </c>
      <c r="D45" s="26" t="n">
        <f aca="false">datos_base!$C$13*parametros_recargas!E$66+sobrestock_sustitutos!$B$62/12</f>
        <v>5.62035976584481</v>
      </c>
      <c r="E45" s="26" t="n">
        <f aca="false">datos_base!$C$13*parametros_recargas!F$66+sobrestock_sustitutos!$B$62/12</f>
        <v>5.62035976584481</v>
      </c>
      <c r="F45" s="26" t="n">
        <f aca="false">datos_base!$C$13*parametros_recargas!G$66+sobrestock_sustitutos!$B$62/12</f>
        <v>5.26232228238547</v>
      </c>
      <c r="G45" s="26" t="n">
        <f aca="false">datos_base!$C$13*parametros_recargas!H$66+sobrestock_sustitutos!$B$62/12</f>
        <v>5.26232228238547</v>
      </c>
      <c r="H45" s="26" t="n">
        <f aca="false">datos_base!$C$13*parametros_recargas!I$66+sobrestock_sustitutos!$B$62/12</f>
        <v>5.26232228238547</v>
      </c>
      <c r="I45" s="26" t="n">
        <f aca="false">datos_base!$C$13*parametros_recargas!J$66+sobrestock_sustitutos!$B$62/12</f>
        <v>4.90428479892613</v>
      </c>
      <c r="J45" s="26" t="n">
        <f aca="false">datos_base!$C$13*parametros_recargas!K$66+sobrestock_sustitutos!$B$62/12</f>
        <v>4.90428479892613</v>
      </c>
      <c r="K45" s="26" t="n">
        <f aca="false">datos_base!$C$13*parametros_recargas!L$66+sobrestock_sustitutos!$B$62/12</f>
        <v>4.90428479892613</v>
      </c>
      <c r="L45" s="26" t="n">
        <f aca="false">datos_base!$C$13*parametros_recargas!M$66+sobrestock_sustitutos!$B$62/12</f>
        <v>5.26232228238547</v>
      </c>
      <c r="M45" s="26" t="n">
        <f aca="false">datos_base!$C$13*parametros_recargas!N$66+sobrestock_sustitutos!$B$62/12</f>
        <v>5.26232228238547</v>
      </c>
      <c r="N45" s="26" t="n">
        <f aca="false">datos_base!$C$13*parametros_recargas!O$66+sobrestock_sustitutos!$B$62/12</f>
        <v>5.26232228238547</v>
      </c>
      <c r="O45" s="26" t="n">
        <f aca="false">datos_base!$C$13*parametros_recargas!P$66+sobrestock_sustitutos!$B$62/12</f>
        <v>5.62035976584481</v>
      </c>
      <c r="P45" s="12" t="n">
        <f aca="false">SUM(D45:O45)</f>
        <v>63.1478673886256</v>
      </c>
    </row>
    <row r="46" customFormat="false" ht="15" hidden="false" customHeight="false" outlineLevel="0" collapsed="false">
      <c r="A46" s="6" t="str">
        <f aca="false">parametros_recargas!A67</f>
        <v>Clase D 9 l</v>
      </c>
      <c r="B46" s="6" t="str">
        <f aca="false">parametros_recargas!B67</f>
        <v>Clase D</v>
      </c>
      <c r="C46" s="14" t="n">
        <f aca="false">parametros_recargas!C67</f>
        <v>1</v>
      </c>
      <c r="D46" s="26" t="n">
        <f aca="false">datos_base!$C$14*parametros_recargas!E$67+sobrestock_sustitutos!$B$63/12</f>
        <v>2.25858081462087</v>
      </c>
      <c r="E46" s="26" t="n">
        <f aca="false">datos_base!$C$14*parametros_recargas!F$67+sobrestock_sustitutos!$B$63/12</f>
        <v>2.25858081462087</v>
      </c>
      <c r="F46" s="26" t="n">
        <f aca="false">datos_base!$C$14*parametros_recargas!G$67+sobrestock_sustitutos!$B$63/12</f>
        <v>2.25858081462087</v>
      </c>
      <c r="G46" s="26" t="n">
        <f aca="false">datos_base!$C$14*parametros_recargas!H$67+sobrestock_sustitutos!$B$63/12</f>
        <v>2.25858081462087</v>
      </c>
      <c r="H46" s="26" t="n">
        <f aca="false">datos_base!$C$14*parametros_recargas!I$67+sobrestock_sustitutos!$B$63/12</f>
        <v>2.25858081462087</v>
      </c>
      <c r="I46" s="26" t="n">
        <f aca="false">datos_base!$C$14*parametros_recargas!J$67+sobrestock_sustitutos!$B$63/12</f>
        <v>2.25858081462087</v>
      </c>
      <c r="J46" s="26" t="n">
        <f aca="false">datos_base!$C$14*parametros_recargas!K$67+sobrestock_sustitutos!$B$63/12</f>
        <v>2.25858081462087</v>
      </c>
      <c r="K46" s="26" t="n">
        <f aca="false">datos_base!$C$14*parametros_recargas!L$67+sobrestock_sustitutos!$B$63/12</f>
        <v>2.25858081462087</v>
      </c>
      <c r="L46" s="26" t="n">
        <f aca="false">datos_base!$C$14*parametros_recargas!M$67+sobrestock_sustitutos!$B$63/12</f>
        <v>2.25858081462087</v>
      </c>
      <c r="M46" s="26" t="n">
        <f aca="false">datos_base!$C$14*parametros_recargas!N$67+sobrestock_sustitutos!$B$63/12</f>
        <v>2.25858081462087</v>
      </c>
      <c r="N46" s="26" t="n">
        <f aca="false">datos_base!$C$14*parametros_recargas!O$67+sobrestock_sustitutos!$B$63/12</f>
        <v>2.25858081462087</v>
      </c>
      <c r="O46" s="26" t="n">
        <f aca="false">datos_base!$C$14*parametros_recargas!P$67+sobrestock_sustitutos!$B$63/12</f>
        <v>2.25858081462087</v>
      </c>
      <c r="P46" s="12" t="n">
        <f aca="false">SUM(D46:O46)</f>
        <v>27.1029697754505</v>
      </c>
    </row>
    <row r="47" customFormat="false" ht="15" hidden="false" customHeight="false" outlineLevel="0" collapsed="false">
      <c r="A47" s="6" t="str">
        <f aca="false">parametros_recargas!A68</f>
        <v>ABC 25 kg s/ruedas</v>
      </c>
      <c r="B47" s="6" t="str">
        <f aca="false">parametros_recargas!B68</f>
        <v>ABC</v>
      </c>
      <c r="C47" s="14" t="n">
        <f aca="false">parametros_recargas!C68</f>
        <v>6.360853875</v>
      </c>
      <c r="D47" s="26" t="n">
        <f aca="false">datos_base!$C$15*parametros_recargas!E$68+sobrestock_sustitutos!$B$64/12</f>
        <v>3.61996807501945</v>
      </c>
      <c r="E47" s="26" t="n">
        <f aca="false">datos_base!$C$15*parametros_recargas!F$68+sobrestock_sustitutos!$B$64/12</f>
        <v>3.61996807501945</v>
      </c>
      <c r="F47" s="26" t="n">
        <f aca="false">datos_base!$C$15*parametros_recargas!G$68+sobrestock_sustitutos!$B$64/12</f>
        <v>4.02333436158054</v>
      </c>
      <c r="G47" s="26" t="n">
        <f aca="false">datos_base!$C$15*parametros_recargas!H$68+sobrestock_sustitutos!$B$64/12</f>
        <v>4.55817610183955</v>
      </c>
      <c r="H47" s="26" t="n">
        <f aca="false">datos_base!$C$15*parametros_recargas!I$68+sobrestock_sustitutos!$B$64/12</f>
        <v>4.57989309047391</v>
      </c>
      <c r="I47" s="26" t="n">
        <f aca="false">datos_base!$C$15*parametros_recargas!J$68+sobrestock_sustitutos!$B$64/12</f>
        <v>4.40318796600379</v>
      </c>
      <c r="J47" s="26" t="n">
        <f aca="false">datos_base!$C$15*parametros_recargas!K$68+sobrestock_sustitutos!$B$64/12</f>
        <v>3.81315590740714</v>
      </c>
      <c r="K47" s="26" t="n">
        <f aca="false">datos_base!$C$15*parametros_recargas!L$68+sobrestock_sustitutos!$B$64/12</f>
        <v>3.84483354360695</v>
      </c>
      <c r="L47" s="26" t="n">
        <f aca="false">datos_base!$C$15*parametros_recargas!M$68+sobrestock_sustitutos!$B$64/12</f>
        <v>4.02153866807707</v>
      </c>
      <c r="M47" s="26" t="n">
        <f aca="false">datos_base!$C$15*parametros_recargas!N$68+sobrestock_sustitutos!$B$64/12</f>
        <v>4.02153866807707</v>
      </c>
      <c r="N47" s="26" t="n">
        <f aca="false">datos_base!$C$15*parametros_recargas!O$68+sobrestock_sustitutos!$B$64/12</f>
        <v>3.99982167944271</v>
      </c>
      <c r="O47" s="26" t="n">
        <f aca="false">datos_base!$C$15*parametros_recargas!P$68+sobrestock_sustitutos!$B$64/12</f>
        <v>4.17652680391282</v>
      </c>
      <c r="P47" s="12" t="n">
        <f aca="false">SUM(D47:O47)</f>
        <v>48.6819429404605</v>
      </c>
    </row>
    <row r="48" customFormat="false" ht="15" hidden="false" customHeight="false" outlineLevel="0" collapsed="false">
      <c r="A48" s="6" t="str">
        <f aca="false">parametros_recargas!A69</f>
        <v>ABC 50 kg s/ruedas</v>
      </c>
      <c r="B48" s="6" t="str">
        <f aca="false">parametros_recargas!B69</f>
        <v>ABC</v>
      </c>
      <c r="C48" s="14" t="n">
        <f aca="false">parametros_recargas!C69</f>
        <v>6.360853875</v>
      </c>
      <c r="D48" s="26" t="n">
        <f aca="false">datos_base!$C$16*parametros_recargas!E$69+sobrestock_sustitutos!$B$65/12</f>
        <v>7.86393963873738</v>
      </c>
      <c r="E48" s="26" t="n">
        <f aca="false">datos_base!$C$16*parametros_recargas!F$69+sobrestock_sustitutos!$B$65/12</f>
        <v>7.86393963873738</v>
      </c>
      <c r="F48" s="26" t="n">
        <f aca="false">datos_base!$C$16*parametros_recargas!G$69+sobrestock_sustitutos!$B$65/12</f>
        <v>8.75134277738282</v>
      </c>
      <c r="G48" s="26" t="n">
        <f aca="false">datos_base!$C$16*parametros_recargas!H$69+sobrestock_sustitutos!$B$65/12</f>
        <v>9.92798648533974</v>
      </c>
      <c r="H48" s="26" t="n">
        <f aca="false">datos_base!$C$16*parametros_recargas!I$69+sobrestock_sustitutos!$B$65/12</f>
        <v>9.97575154869385</v>
      </c>
      <c r="I48" s="26" t="n">
        <f aca="false">datos_base!$C$16*parametros_recargas!J$69+sobrestock_sustitutos!$B$65/12</f>
        <v>9.58701097885196</v>
      </c>
      <c r="J48" s="26" t="n">
        <f aca="false">datos_base!$C$16*parametros_recargas!K$69+sobrestock_sustitutos!$B$65/12</f>
        <v>8.28896967559866</v>
      </c>
      <c r="K48" s="26" t="n">
        <f aca="false">datos_base!$C$16*parametros_recargas!L$69+sobrestock_sustitutos!$B$65/12</f>
        <v>8.35863233371873</v>
      </c>
      <c r="L48" s="26" t="n">
        <f aca="false">datos_base!$C$16*parametros_recargas!M$69+sobrestock_sustitutos!$B$65/12</f>
        <v>8.74737290356062</v>
      </c>
      <c r="M48" s="26" t="n">
        <f aca="false">datos_base!$C$16*parametros_recargas!N$69+sobrestock_sustitutos!$B$65/12</f>
        <v>8.74737290356062</v>
      </c>
      <c r="N48" s="26" t="n">
        <f aca="false">datos_base!$C$16*parametros_recargas!O$69+sobrestock_sustitutos!$B$65/12</f>
        <v>8.69960784020651</v>
      </c>
      <c r="O48" s="26" t="n">
        <f aca="false">datos_base!$C$16*parametros_recargas!P$69+sobrestock_sustitutos!$B$65/12</f>
        <v>9.08834841004841</v>
      </c>
      <c r="P48" s="12" t="n">
        <f aca="false">SUM(D48:O48)</f>
        <v>105.900275134437</v>
      </c>
    </row>
    <row r="49" customFormat="false" ht="15" hidden="false" customHeight="false" outlineLevel="0" collapsed="false">
      <c r="A49" s="6" t="str">
        <f aca="false">parametros_recargas!A70</f>
        <v>ABC 70 kg s/ruedas</v>
      </c>
      <c r="B49" s="6" t="str">
        <f aca="false">parametros_recargas!B70</f>
        <v>ABC</v>
      </c>
      <c r="C49" s="14" t="n">
        <f aca="false">parametros_recargas!C70</f>
        <v>6.360853875</v>
      </c>
      <c r="D49" s="26" t="n">
        <f aca="false">datos_base!$C$17*parametros_recargas!E$70+sobrestock_sustitutos!$B$66/12</f>
        <v>1.7809204583432</v>
      </c>
      <c r="E49" s="26" t="n">
        <f aca="false">datos_base!$C$17*parametros_recargas!F$70+sobrestock_sustitutos!$B$66/12</f>
        <v>1.7809204583432</v>
      </c>
      <c r="F49" s="26" t="n">
        <f aca="false">datos_base!$C$17*parametros_recargas!G$70+sobrestock_sustitutos!$B$66/12</f>
        <v>1.97453346128538</v>
      </c>
      <c r="G49" s="26" t="n">
        <f aca="false">datos_base!$C$17*parametros_recargas!H$70+sobrestock_sustitutos!$B$66/12</f>
        <v>2.23126253223352</v>
      </c>
      <c r="H49" s="26" t="n">
        <f aca="false">datos_base!$C$17*parametros_recargas!I$70+sobrestock_sustitutos!$B$66/12</f>
        <v>2.24167935052093</v>
      </c>
      <c r="I49" s="26" t="n">
        <f aca="false">datos_base!$C$17*parametros_recargas!J$70+sobrestock_sustitutos!$B$66/12</f>
        <v>2.15686223781837</v>
      </c>
      <c r="J49" s="26" t="n">
        <f aca="false">datos_base!$C$17*parametros_recargas!K$70+sobrestock_sustitutos!$B$66/12</f>
        <v>1.87365741709082</v>
      </c>
      <c r="K49" s="26" t="n">
        <f aca="false">datos_base!$C$17*parametros_recargas!L$70+sobrestock_sustitutos!$B$66/12</f>
        <v>1.88884894046105</v>
      </c>
      <c r="L49" s="26" t="n">
        <f aca="false">datos_base!$C$17*parametros_recargas!M$70+sobrestock_sustitutos!$B$66/12</f>
        <v>1.97366605316361</v>
      </c>
      <c r="M49" s="26" t="n">
        <f aca="false">datos_base!$C$17*parametros_recargas!N$70+sobrestock_sustitutos!$B$66/12</f>
        <v>1.97366605316361</v>
      </c>
      <c r="N49" s="26" t="n">
        <f aca="false">datos_base!$C$17*parametros_recargas!O$70+sobrestock_sustitutos!$B$66/12</f>
        <v>1.9632492348762</v>
      </c>
      <c r="O49" s="26" t="n">
        <f aca="false">datos_base!$C$17*parametros_recargas!P$70+sobrestock_sustitutos!$B$66/12</f>
        <v>2.04806634757876</v>
      </c>
      <c r="P49" s="12" t="n">
        <f aca="false">SUM(D49:O49)</f>
        <v>23.8873325448787</v>
      </c>
    </row>
    <row r="50" customFormat="false" ht="15" hidden="false" customHeight="false" outlineLevel="0" collapsed="false">
      <c r="A50" s="6" t="str">
        <f aca="false">parametros_recargas!A71</f>
        <v>ABC 100 kg s/ruedas</v>
      </c>
      <c r="B50" s="6" t="str">
        <f aca="false">parametros_recargas!B71</f>
        <v>ABC</v>
      </c>
      <c r="C50" s="14" t="n">
        <f aca="false">parametros_recargas!C71</f>
        <v>6.360853875</v>
      </c>
      <c r="D50" s="26" t="n">
        <f aca="false">datos_base!$C$18*parametros_recargas!E$71+sobrestock_sustitutos!$B$67/12</f>
        <v>1.21506820766037</v>
      </c>
      <c r="E50" s="26" t="n">
        <f aca="false">datos_base!$C$18*parametros_recargas!F$71+sobrestock_sustitutos!$B$67/12</f>
        <v>1.21506820766037</v>
      </c>
      <c r="F50" s="26" t="n">
        <f aca="false">datos_base!$C$18*parametros_recargas!G$71+sobrestock_sustitutos!$B$67/12</f>
        <v>1.34413934258062</v>
      </c>
      <c r="G50" s="26" t="n">
        <f aca="false">datos_base!$C$18*parametros_recargas!H$71+sobrestock_sustitutos!$B$67/12</f>
        <v>1.51527998711546</v>
      </c>
      <c r="H50" s="26" t="n">
        <f aca="false">datos_base!$C$18*parametros_recargas!I$71+sobrestock_sustitutos!$B$67/12</f>
        <v>1.52222453264039</v>
      </c>
      <c r="I50" s="26" t="n">
        <f aca="false">datos_base!$C$18*parametros_recargas!J$71+sobrestock_sustitutos!$B$67/12</f>
        <v>1.46567979083869</v>
      </c>
      <c r="J50" s="26" t="n">
        <f aca="false">datos_base!$C$18*parametros_recargas!K$71+sobrestock_sustitutos!$B$67/12</f>
        <v>1.27688471192289</v>
      </c>
      <c r="K50" s="26" t="n">
        <f aca="false">datos_base!$C$18*parametros_recargas!L$71+sobrestock_sustitutos!$B$67/12</f>
        <v>1.28700845964167</v>
      </c>
      <c r="L50" s="26" t="n">
        <f aca="false">datos_base!$C$18*parametros_recargas!M$71+sobrestock_sustitutos!$B$67/12</f>
        <v>1.34355320144337</v>
      </c>
      <c r="M50" s="26" t="n">
        <f aca="false">datos_base!$C$18*parametros_recargas!N$71+sobrestock_sustitutos!$B$67/12</f>
        <v>1.34355320144337</v>
      </c>
      <c r="N50" s="26" t="n">
        <f aca="false">datos_base!$C$18*parametros_recargas!O$71+sobrestock_sustitutos!$B$67/12</f>
        <v>1.33660865591843</v>
      </c>
      <c r="O50" s="26" t="n">
        <f aca="false">datos_base!$C$18*parametros_recargas!P$71+sobrestock_sustitutos!$B$67/12</f>
        <v>1.39315339772014</v>
      </c>
      <c r="P50" s="12" t="n">
        <f aca="false">SUM(D50:O50)</f>
        <v>16.2582216965858</v>
      </c>
    </row>
    <row r="51" customFormat="false" ht="15" hidden="false" customHeight="false" outlineLevel="0" collapsed="false">
      <c r="A51" s="4" t="s">
        <v>385</v>
      </c>
      <c r="D51" s="12" t="n">
        <f aca="false">SUM(D34:D50)</f>
        <v>1638.10358043931</v>
      </c>
      <c r="E51" s="12" t="n">
        <f aca="false">SUM(E34:E50)</f>
        <v>1401.28886716746</v>
      </c>
      <c r="F51" s="12" t="n">
        <f aca="false">SUM(F34:F50)</f>
        <v>1297.14295138634</v>
      </c>
      <c r="G51" s="12" t="n">
        <f aca="false">SUM(G34:G50)</f>
        <v>1421.5003210841</v>
      </c>
      <c r="H51" s="12" t="n">
        <f aca="false">SUM(H34:H50)</f>
        <v>1431.13217877576</v>
      </c>
      <c r="I51" s="12" t="n">
        <f aca="false">SUM(I34:I50)</f>
        <v>1418.80017883651</v>
      </c>
      <c r="J51" s="12" t="n">
        <f aca="false">SUM(J34:J50)</f>
        <v>1273.24950037394</v>
      </c>
      <c r="K51" s="12" t="n">
        <f aca="false">SUM(K34:K50)</f>
        <v>1283.43123909819</v>
      </c>
      <c r="L51" s="12" t="n">
        <f aca="false">SUM(L34:L50)</f>
        <v>1293.97514321805</v>
      </c>
      <c r="M51" s="12" t="n">
        <f aca="false">SUM(M34:M50)</f>
        <v>1293.97514321805</v>
      </c>
      <c r="N51" s="12" t="n">
        <f aca="false">SUM(N34:N50)</f>
        <v>1521.15799879824</v>
      </c>
      <c r="O51" s="12" t="n">
        <f aca="false">SUM(O34:O50)</f>
        <v>1770.30471200934</v>
      </c>
      <c r="P51" s="12" t="n">
        <f aca="false">SUM(P34:P50)</f>
        <v>17044.0618144053</v>
      </c>
    </row>
    <row r="52" customFormat="false" ht="15" hidden="false" customHeight="false" outlineLevel="0" collapsed="false">
      <c r="A52" s="4" t="s">
        <v>386</v>
      </c>
    </row>
    <row r="53" customFormat="false" ht="15" hidden="false" customHeight="false" outlineLevel="0" collapsed="false">
      <c r="A53" s="5" t="s">
        <v>165</v>
      </c>
      <c r="D53" s="26" t="n">
        <f aca="false">SUMPRODUCT(($B$34:$B$50=$A53)*D$34:D$50*$C$34:$C$50)</f>
        <v>1571.24749878975</v>
      </c>
      <c r="E53" s="26" t="n">
        <f aca="false">SUMPRODUCT(($B$34:$B$50=$A53)*E$34:E$50*$C$34:$C$50)</f>
        <v>1334.43278551791</v>
      </c>
      <c r="F53" s="26" t="n">
        <f aca="false">SUMPRODUCT(($B$34:$B$50=$A53)*F$34:F$50*$C$34:$C$50)</f>
        <v>1208.6431338264</v>
      </c>
      <c r="G53" s="26" t="n">
        <f aca="false">SUMPRODUCT(($B$34:$B$50=$A53)*G$34:G$50*$C$34:$C$50)</f>
        <v>1314.42516982942</v>
      </c>
      <c r="H53" s="26" t="n">
        <f aca="false">SUMPRODUCT(($B$34:$B$50=$A53)*H$34:H$50*$C$34:$C$50)</f>
        <v>1322.91294155386</v>
      </c>
      <c r="I53" s="26" t="n">
        <f aca="false">SUMPRODUCT(($B$34:$B$50=$A53)*I$34:I$50*$C$34:$C$50)</f>
        <v>1311.35215091194</v>
      </c>
      <c r="J53" s="26" t="n">
        <f aca="false">SUMPRODUCT(($B$34:$B$50=$A53)*J$34:J$50*$C$34:$C$50)</f>
        <v>1187.21911493877</v>
      </c>
      <c r="K53" s="26" t="n">
        <f aca="false">SUMPRODUCT(($B$34:$B$50=$A53)*K$34:K$50*$C$34:$C$50)</f>
        <v>1197.25407041413</v>
      </c>
      <c r="L53" s="26" t="n">
        <f aca="false">SUMPRODUCT(($B$34:$B$50=$A53)*L$34:L$50*$C$34:$C$50)</f>
        <v>1207.42357819298</v>
      </c>
      <c r="M53" s="26" t="n">
        <f aca="false">SUMPRODUCT(($B$34:$B$50=$A53)*M$34:M$50*$C$34:$C$50)</f>
        <v>1207.42357819298</v>
      </c>
      <c r="N53" s="26" t="n">
        <f aca="false">SUMPRODUCT(($B$34:$B$50=$A53)*N$34:N$50*$C$34:$C$50)</f>
        <v>1435.75051974038</v>
      </c>
      <c r="O53" s="26" t="n">
        <f aca="false">SUMPRODUCT(($B$34:$B$50=$A53)*O$34:O$50*$C$34:$C$50)</f>
        <v>1684.12602365415</v>
      </c>
      <c r="P53" s="26" t="n">
        <f aca="false">SUMPRODUCT(($B$34:$B$50=$A53)*P$34:P$50*$C$34:$C$50)</f>
        <v>15982.2105655627</v>
      </c>
    </row>
    <row r="54" customFormat="false" ht="15" hidden="false" customHeight="false" outlineLevel="0" collapsed="false">
      <c r="A54" s="5" t="s">
        <v>166</v>
      </c>
      <c r="D54" s="26" t="n">
        <f aca="false">SUMPRODUCT(($B$34:$B$50=$A54)*D$34:D$50*$C$34:$C$50)</f>
        <v>2.25858081462087</v>
      </c>
      <c r="E54" s="26" t="n">
        <f aca="false">SUMPRODUCT(($B$34:$B$50=$A54)*E$34:E$50*$C$34:$C$50)</f>
        <v>2.25858081462087</v>
      </c>
      <c r="F54" s="26" t="n">
        <f aca="false">SUMPRODUCT(($B$34:$B$50=$A54)*F$34:F$50*$C$34:$C$50)</f>
        <v>2.25858081462087</v>
      </c>
      <c r="G54" s="26" t="n">
        <f aca="false">SUMPRODUCT(($B$34:$B$50=$A54)*G$34:G$50*$C$34:$C$50)</f>
        <v>2.25858081462087</v>
      </c>
      <c r="H54" s="26" t="n">
        <f aca="false">SUMPRODUCT(($B$34:$B$50=$A54)*H$34:H$50*$C$34:$C$50)</f>
        <v>2.25858081462087</v>
      </c>
      <c r="I54" s="26" t="n">
        <f aca="false">SUMPRODUCT(($B$34:$B$50=$A54)*I$34:I$50*$C$34:$C$50)</f>
        <v>2.25858081462087</v>
      </c>
      <c r="J54" s="26" t="n">
        <f aca="false">SUMPRODUCT(($B$34:$B$50=$A54)*J$34:J$50*$C$34:$C$50)</f>
        <v>2.25858081462087</v>
      </c>
      <c r="K54" s="26" t="n">
        <f aca="false">SUMPRODUCT(($B$34:$B$50=$A54)*K$34:K$50*$C$34:$C$50)</f>
        <v>2.25858081462087</v>
      </c>
      <c r="L54" s="26" t="n">
        <f aca="false">SUMPRODUCT(($B$34:$B$50=$A54)*L$34:L$50*$C$34:$C$50)</f>
        <v>2.25858081462087</v>
      </c>
      <c r="M54" s="26" t="n">
        <f aca="false">SUMPRODUCT(($B$34:$B$50=$A54)*M$34:M$50*$C$34:$C$50)</f>
        <v>2.25858081462087</v>
      </c>
      <c r="N54" s="26" t="n">
        <f aca="false">SUMPRODUCT(($B$34:$B$50=$A54)*N$34:N$50*$C$34:$C$50)</f>
        <v>2.25858081462087</v>
      </c>
      <c r="O54" s="26" t="n">
        <f aca="false">SUMPRODUCT(($B$34:$B$50=$A54)*O$34:O$50*$C$34:$C$50)</f>
        <v>2.25858081462087</v>
      </c>
      <c r="P54" s="26" t="n">
        <f aca="false">SUMPRODUCT(($B$34:$B$50=$A54)*P$34:P$50*$C$34:$C$50)</f>
        <v>27.1029697754505</v>
      </c>
    </row>
    <row r="55" customFormat="false" ht="15" hidden="false" customHeight="false" outlineLevel="0" collapsed="false">
      <c r="A55" s="5" t="s">
        <v>167</v>
      </c>
      <c r="D55" s="26" t="n">
        <f aca="false">SUMPRODUCT(($B$34:$B$50=$A55)*D$34:D$50*$C$34:$C$50)</f>
        <v>2.25858081462087</v>
      </c>
      <c r="E55" s="26" t="n">
        <f aca="false">SUMPRODUCT(($B$34:$B$50=$A55)*E$34:E$50*$C$34:$C$50)</f>
        <v>2.25858081462087</v>
      </c>
      <c r="F55" s="26" t="n">
        <f aca="false">SUMPRODUCT(($B$34:$B$50=$A55)*F$34:F$50*$C$34:$C$50)</f>
        <v>2.25858081462087</v>
      </c>
      <c r="G55" s="26" t="n">
        <f aca="false">SUMPRODUCT(($B$34:$B$50=$A55)*G$34:G$50*$C$34:$C$50)</f>
        <v>2.25858081462087</v>
      </c>
      <c r="H55" s="26" t="n">
        <f aca="false">SUMPRODUCT(($B$34:$B$50=$A55)*H$34:H$50*$C$34:$C$50)</f>
        <v>2.25858081462087</v>
      </c>
      <c r="I55" s="26" t="n">
        <f aca="false">SUMPRODUCT(($B$34:$B$50=$A55)*I$34:I$50*$C$34:$C$50)</f>
        <v>2.25858081462087</v>
      </c>
      <c r="J55" s="26" t="n">
        <f aca="false">SUMPRODUCT(($B$34:$B$50=$A55)*J$34:J$50*$C$34:$C$50)</f>
        <v>2.25858081462087</v>
      </c>
      <c r="K55" s="26" t="n">
        <f aca="false">SUMPRODUCT(($B$34:$B$50=$A55)*K$34:K$50*$C$34:$C$50)</f>
        <v>2.25858081462087</v>
      </c>
      <c r="L55" s="26" t="n">
        <f aca="false">SUMPRODUCT(($B$34:$B$50=$A55)*L$34:L$50*$C$34:$C$50)</f>
        <v>2.25858081462087</v>
      </c>
      <c r="M55" s="26" t="n">
        <f aca="false">SUMPRODUCT(($B$34:$B$50=$A55)*M$34:M$50*$C$34:$C$50)</f>
        <v>2.25858081462087</v>
      </c>
      <c r="N55" s="26" t="n">
        <f aca="false">SUMPRODUCT(($B$34:$B$50=$A55)*N$34:N$50*$C$34:$C$50)</f>
        <v>2.25858081462087</v>
      </c>
      <c r="O55" s="26" t="n">
        <f aca="false">SUMPRODUCT(($B$34:$B$50=$A55)*O$34:O$50*$C$34:$C$50)</f>
        <v>2.25858081462087</v>
      </c>
      <c r="P55" s="26" t="n">
        <f aca="false">SUMPRODUCT(($B$34:$B$50=$A55)*P$34:P$50*$C$34:$C$50)</f>
        <v>27.1029697754505</v>
      </c>
    </row>
    <row r="56" customFormat="false" ht="15" hidden="false" customHeight="false" outlineLevel="0" collapsed="false">
      <c r="A56" s="5" t="s">
        <v>168</v>
      </c>
      <c r="D56" s="26" t="n">
        <f aca="false">SUMPRODUCT(($B$34:$B$50=$A56)*D$34:D$50*$C$34:$C$50)</f>
        <v>24.099077696433</v>
      </c>
      <c r="E56" s="26" t="n">
        <f aca="false">SUMPRODUCT(($B$34:$B$50=$A56)*E$34:E$50*$C$34:$C$50)</f>
        <v>24.099077696433</v>
      </c>
      <c r="F56" s="26" t="n">
        <f aca="false">SUMPRODUCT(($B$34:$B$50=$A56)*F$34:F$50*$C$34:$C$50)</f>
        <v>29.7042799321192</v>
      </c>
      <c r="G56" s="26" t="n">
        <f aca="false">SUMPRODUCT(($B$34:$B$50=$A56)*G$34:G$50*$C$34:$C$50)</f>
        <v>35.6136151722188</v>
      </c>
      <c r="H56" s="26" t="n">
        <f aca="false">SUMPRODUCT(($B$34:$B$50=$A56)*H$34:H$50*$C$34:$C$50)</f>
        <v>35.8352571418966</v>
      </c>
      <c r="I56" s="26" t="n">
        <f aca="false">SUMPRODUCT(($B$34:$B$50=$A56)*I$34:I$50*$C$34:$C$50)</f>
        <v>34.7918797211572</v>
      </c>
      <c r="J56" s="26" t="n">
        <f aca="false">SUMPRODUCT(($B$34:$B$50=$A56)*J$34:J$50*$C$34:$C$50)</f>
        <v>28.3113648214488</v>
      </c>
      <c r="K56" s="26" t="n">
        <f aca="false">SUMPRODUCT(($B$34:$B$50=$A56)*K$34:K$50*$C$34:$C$50)</f>
        <v>28.3649420344093</v>
      </c>
      <c r="L56" s="26" t="n">
        <f aca="false">SUMPRODUCT(($B$34:$B$50=$A56)*L$34:L$50*$C$34:$C$50)</f>
        <v>29.3428667036133</v>
      </c>
      <c r="M56" s="26" t="n">
        <f aca="false">SUMPRODUCT(($B$34:$B$50=$A56)*M$34:M$50*$C$34:$C$50)</f>
        <v>29.3428667036133</v>
      </c>
      <c r="N56" s="26" t="n">
        <f aca="false">SUMPRODUCT(($B$34:$B$50=$A56)*N$34:N$50*$C$34:$C$50)</f>
        <v>29.1212247339356</v>
      </c>
      <c r="O56" s="26" t="n">
        <f aca="false">SUMPRODUCT(($B$34:$B$50=$A56)*O$34:O$50*$C$34:$C$50)</f>
        <v>30.164602154675</v>
      </c>
      <c r="P56" s="26" t="n">
        <f aca="false">SUMPRODUCT(($B$34:$B$50=$A56)*P$34:P$50*$C$34:$C$50)</f>
        <v>358.791054511953</v>
      </c>
    </row>
    <row r="57" customFormat="false" ht="15" hidden="false" customHeight="false" outlineLevel="0" collapsed="false">
      <c r="A57" s="5" t="s">
        <v>169</v>
      </c>
      <c r="D57" s="26" t="n">
        <f aca="false">SUMPRODUCT(($B$34:$B$50=$A57)*D$34:D$50*$C$34:$C$50)</f>
        <v>32.5301004569228</v>
      </c>
      <c r="E57" s="26" t="n">
        <f aca="false">SUMPRODUCT(($B$34:$B$50=$A57)*E$34:E$50*$C$34:$C$50)</f>
        <v>32.5301004569228</v>
      </c>
      <c r="F57" s="26" t="n">
        <f aca="false">SUMPRODUCT(($B$34:$B$50=$A57)*F$34:F$50*$C$34:$C$50)</f>
        <v>32.5301004569228</v>
      </c>
      <c r="G57" s="26" t="n">
        <f aca="false">SUMPRODUCT(($B$34:$B$50=$A57)*G$34:G$50*$C$34:$C$50)</f>
        <v>32.5301004569228</v>
      </c>
      <c r="H57" s="26" t="n">
        <f aca="false">SUMPRODUCT(($B$34:$B$50=$A57)*H$34:H$50*$C$34:$C$50)</f>
        <v>32.5301004569228</v>
      </c>
      <c r="I57" s="26" t="n">
        <f aca="false">SUMPRODUCT(($B$34:$B$50=$A57)*I$34:I$50*$C$34:$C$50)</f>
        <v>32.5301004569228</v>
      </c>
      <c r="J57" s="26" t="n">
        <f aca="false">SUMPRODUCT(($B$34:$B$50=$A57)*J$34:J$50*$C$34:$C$50)</f>
        <v>32.5301004569228</v>
      </c>
      <c r="K57" s="26" t="n">
        <f aca="false">SUMPRODUCT(($B$34:$B$50=$A57)*K$34:K$50*$C$34:$C$50)</f>
        <v>32.5301004569228</v>
      </c>
      <c r="L57" s="26" t="n">
        <f aca="false">SUMPRODUCT(($B$34:$B$50=$A57)*L$34:L$50*$C$34:$C$50)</f>
        <v>32.5301004569228</v>
      </c>
      <c r="M57" s="26" t="n">
        <f aca="false">SUMPRODUCT(($B$34:$B$50=$A57)*M$34:M$50*$C$34:$C$50)</f>
        <v>32.5301004569228</v>
      </c>
      <c r="N57" s="26" t="n">
        <f aca="false">SUMPRODUCT(($B$34:$B$50=$A57)*N$34:N$50*$C$34:$C$50)</f>
        <v>32.5301004569228</v>
      </c>
      <c r="O57" s="26" t="n">
        <f aca="false">SUMPRODUCT(($B$34:$B$50=$A57)*O$34:O$50*$C$34:$C$50)</f>
        <v>32.5301004569228</v>
      </c>
      <c r="P57" s="26" t="n">
        <f aca="false">SUMPRODUCT(($B$34:$B$50=$A57)*P$34:P$50*$C$34:$C$50)</f>
        <v>390.361205483073</v>
      </c>
    </row>
    <row r="58" customFormat="false" ht="15" hidden="false" customHeight="false" outlineLevel="0" collapsed="false">
      <c r="A58" s="5" t="s">
        <v>170</v>
      </c>
      <c r="D58" s="26" t="n">
        <f aca="false">SUMPRODUCT(($B$34:$B$50=$A58)*D$34:D$50*$C$34:$C$50)</f>
        <v>13.0159166963576</v>
      </c>
      <c r="E58" s="26" t="n">
        <f aca="false">SUMPRODUCT(($B$34:$B$50=$A58)*E$34:E$50*$C$34:$C$50)</f>
        <v>13.0159166963576</v>
      </c>
      <c r="F58" s="26" t="n">
        <f aca="false">SUMPRODUCT(($B$34:$B$50=$A58)*F$34:F$50*$C$34:$C$50)</f>
        <v>15.6735163479194</v>
      </c>
      <c r="G58" s="26" t="n">
        <f aca="false">SUMPRODUCT(($B$34:$B$50=$A58)*G$34:G$50*$C$34:$C$50)</f>
        <v>17.7210582909969</v>
      </c>
      <c r="H58" s="26" t="n">
        <f aca="false">SUMPRODUCT(($B$34:$B$50=$A58)*H$34:H$50*$C$34:$C$50)</f>
        <v>18.1645262586241</v>
      </c>
      <c r="I58" s="26" t="n">
        <f aca="false">SUMPRODUCT(($B$34:$B$50=$A58)*I$34:I$50*$C$34:$C$50)</f>
        <v>17.7935975259604</v>
      </c>
      <c r="J58" s="26" t="n">
        <f aca="false">SUMPRODUCT(($B$34:$B$50=$A58)*J$34:J$50*$C$34:$C$50)</f>
        <v>14.5903604108682</v>
      </c>
      <c r="K58" s="26" t="n">
        <f aca="false">SUMPRODUCT(($B$34:$B$50=$A58)*K$34:K$50*$C$34:$C$50)</f>
        <v>15.2085371093621</v>
      </c>
      <c r="L58" s="26" t="n">
        <f aca="false">SUMPRODUCT(($B$34:$B$50=$A58)*L$34:L$50*$C$34:$C$50)</f>
        <v>15.5794658420258</v>
      </c>
      <c r="M58" s="26" t="n">
        <f aca="false">SUMPRODUCT(($B$34:$B$50=$A58)*M$34:M$50*$C$34:$C$50)</f>
        <v>15.5794658420258</v>
      </c>
      <c r="N58" s="26" t="n">
        <f aca="false">SUMPRODUCT(($B$34:$B$50=$A58)*N$34:N$50*$C$34:$C$50)</f>
        <v>15.1359978743986</v>
      </c>
      <c r="O58" s="26" t="n">
        <f aca="false">SUMPRODUCT(($B$34:$B$50=$A58)*O$34:O$50*$C$34:$C$50)</f>
        <v>15.5069266070623</v>
      </c>
      <c r="P58" s="26" t="n">
        <f aca="false">SUMPRODUCT(($B$34:$B$50=$A58)*P$34:P$50*$C$34:$C$50)</f>
        <v>186.985285501959</v>
      </c>
    </row>
    <row r="59" customFormat="false" ht="15" hidden="false" customHeight="false" outlineLevel="0" collapsed="false">
      <c r="A59" s="5" t="s">
        <v>171</v>
      </c>
      <c r="D59" s="26" t="n">
        <f aca="false">SUMPRODUCT(($B$34:$B$50=$A59)*D$34:D$50*$C$34:$C$50)</f>
        <v>85.7613534199053</v>
      </c>
      <c r="E59" s="26" t="n">
        <f aca="false">SUMPRODUCT(($B$34:$B$50=$A59)*E$34:E$50*$C$34:$C$50)</f>
        <v>85.7613534199053</v>
      </c>
      <c r="F59" s="26" t="n">
        <f aca="false">SUMPRODUCT(($B$34:$B$50=$A59)*F$34:F$50*$C$34:$C$50)</f>
        <v>108.149813712212</v>
      </c>
      <c r="G59" s="26" t="n">
        <f aca="false">SUMPRODUCT(($B$34:$B$50=$A59)*G$34:G$50*$C$34:$C$50)</f>
        <v>130.237040643096</v>
      </c>
      <c r="H59" s="26" t="n">
        <f aca="false">SUMPRODUCT(($B$34:$B$50=$A59)*H$34:H$50*$C$34:$C$50)</f>
        <v>131.181571535122</v>
      </c>
      <c r="I59" s="26" t="n">
        <f aca="false">SUMPRODUCT(($B$34:$B$50=$A59)*I$34:I$50*$C$34:$C$50)</f>
        <v>128.393613887699</v>
      </c>
      <c r="J59" s="26" t="n">
        <f aca="false">SUMPRODUCT(($B$34:$B$50=$A59)*J$34:J$50*$C$34:$C$50)</f>
        <v>104.007715523941</v>
      </c>
      <c r="K59" s="26" t="n">
        <f aca="false">SUMPRODUCT(($B$34:$B$50=$A59)*K$34:K$50*$C$34:$C$50)</f>
        <v>104.161726839996</v>
      </c>
      <c r="L59" s="26" t="n">
        <f aca="false">SUMPRODUCT(($B$34:$B$50=$A59)*L$34:L$50*$C$34:$C$50)</f>
        <v>106.618324282624</v>
      </c>
      <c r="M59" s="26" t="n">
        <f aca="false">SUMPRODUCT(($B$34:$B$50=$A59)*M$34:M$50*$C$34:$C$50)</f>
        <v>106.618324282624</v>
      </c>
      <c r="N59" s="26" t="n">
        <f aca="false">SUMPRODUCT(($B$34:$B$50=$A59)*N$34:N$50*$C$34:$C$50)</f>
        <v>105.673793390598</v>
      </c>
      <c r="O59" s="26" t="n">
        <f aca="false">SUMPRODUCT(($B$34:$B$50=$A59)*O$34:O$50*$C$34:$C$50)</f>
        <v>108.461751038021</v>
      </c>
      <c r="P59" s="26" t="n">
        <f aca="false">SUMPRODUCT(($B$34:$B$50=$A59)*P$34:P$50*$C$34:$C$50)</f>
        <v>1305.02638197574</v>
      </c>
    </row>
    <row r="60" customFormat="false" ht="15" hidden="false" customHeight="false" outlineLevel="0" collapsed="false">
      <c r="A60" s="5" t="s">
        <v>172</v>
      </c>
      <c r="D60" s="26" t="n">
        <f aca="false">SUMPRODUCT(($B$34:$B$50=$A60)*D$34:D$50*$C$34:$C$50)</f>
        <v>5.62035976584481</v>
      </c>
      <c r="E60" s="26" t="n">
        <f aca="false">SUMPRODUCT(($B$34:$B$50=$A60)*E$34:E$50*$C$34:$C$50)</f>
        <v>5.62035976584481</v>
      </c>
      <c r="F60" s="26" t="n">
        <f aca="false">SUMPRODUCT(($B$34:$B$50=$A60)*F$34:F$50*$C$34:$C$50)</f>
        <v>5.26232228238547</v>
      </c>
      <c r="G60" s="26" t="n">
        <f aca="false">SUMPRODUCT(($B$34:$B$50=$A60)*G$34:G$50*$C$34:$C$50)</f>
        <v>5.26232228238547</v>
      </c>
      <c r="H60" s="26" t="n">
        <f aca="false">SUMPRODUCT(($B$34:$B$50=$A60)*H$34:H$50*$C$34:$C$50)</f>
        <v>5.26232228238547</v>
      </c>
      <c r="I60" s="26" t="n">
        <f aca="false">SUMPRODUCT(($B$34:$B$50=$A60)*I$34:I$50*$C$34:$C$50)</f>
        <v>4.90428479892613</v>
      </c>
      <c r="J60" s="26" t="n">
        <f aca="false">SUMPRODUCT(($B$34:$B$50=$A60)*J$34:J$50*$C$34:$C$50)</f>
        <v>4.90428479892613</v>
      </c>
      <c r="K60" s="26" t="n">
        <f aca="false">SUMPRODUCT(($B$34:$B$50=$A60)*K$34:K$50*$C$34:$C$50)</f>
        <v>4.90428479892613</v>
      </c>
      <c r="L60" s="26" t="n">
        <f aca="false">SUMPRODUCT(($B$34:$B$50=$A60)*L$34:L$50*$C$34:$C$50)</f>
        <v>5.26232228238547</v>
      </c>
      <c r="M60" s="26" t="n">
        <f aca="false">SUMPRODUCT(($B$34:$B$50=$A60)*M$34:M$50*$C$34:$C$50)</f>
        <v>5.26232228238547</v>
      </c>
      <c r="N60" s="26" t="n">
        <f aca="false">SUMPRODUCT(($B$34:$B$50=$A60)*N$34:N$50*$C$34:$C$50)</f>
        <v>5.26232228238547</v>
      </c>
      <c r="O60" s="26" t="n">
        <f aca="false">SUMPRODUCT(($B$34:$B$50=$A60)*O$34:O$50*$C$34:$C$50)</f>
        <v>5.62035976584481</v>
      </c>
      <c r="P60" s="26" t="n">
        <f aca="false">SUMPRODUCT(($B$34:$B$50=$A60)*P$34:P$50*$C$34:$C$50)</f>
        <v>63.1478673886256</v>
      </c>
    </row>
    <row r="61" customFormat="false" ht="15" hidden="false" customHeight="false" outlineLevel="0" collapsed="false">
      <c r="A61" s="4" t="s">
        <v>387</v>
      </c>
      <c r="D61" s="27" t="n">
        <f aca="false">SUMPRODUCT(D$34:D$50*parametros_recargas!$D$55:$D$71)</f>
        <v>45.7664561790467</v>
      </c>
      <c r="E61" s="27" t="n">
        <f aca="false">SUMPRODUCT(E$34:E$50*parametros_recargas!$D$55:$D$71)</f>
        <v>45.7664561790467</v>
      </c>
      <c r="F61" s="27" t="n">
        <f aca="false">SUMPRODUCT(F$34:F$50*parametros_recargas!$D$55:$D$71)</f>
        <v>49.6940076322749</v>
      </c>
      <c r="G61" s="27" t="n">
        <f aca="false">SUMPRODUCT(G$34:G$50*parametros_recargas!$D$55:$D$71)</f>
        <v>55.0395474632064</v>
      </c>
      <c r="H61" s="27" t="n">
        <f aca="false">SUMPRODUCT(H$34:H$50*parametros_recargas!$D$55:$D$71)</f>
        <v>55.6773215088332</v>
      </c>
      <c r="I61" s="27" t="n">
        <f aca="false">SUMPRODUCT(I$34:I$50*parametros_recargas!$D$55:$D$71)</f>
        <v>53.4210448284678</v>
      </c>
      <c r="J61" s="27" t="n">
        <f aca="false">SUMPRODUCT(J$34:J$50*parametros_recargas!$D$55:$D$71)</f>
        <v>47.3624201873536</v>
      </c>
      <c r="K61" s="27" t="n">
        <f aca="false">SUMPRODUCT(K$34:K$50*parametros_recargas!$D$55:$D$71)</f>
        <v>47.874990740501</v>
      </c>
      <c r="L61" s="27" t="n">
        <f aca="false">SUMPRODUCT(L$34:L$50*parametros_recargas!$D$55:$D$71)</f>
        <v>49.7999072160721</v>
      </c>
      <c r="M61" s="27" t="n">
        <f aca="false">SUMPRODUCT(M$34:M$50*parametros_recargas!$D$55:$D$71)</f>
        <v>49.7999072160721</v>
      </c>
      <c r="N61" s="27" t="n">
        <f aca="false">SUMPRODUCT(N$34:N$50*parametros_recargas!$D$55:$D$71)</f>
        <v>49.1621331704453</v>
      </c>
      <c r="O61" s="27" t="n">
        <f aca="false">SUMPRODUCT(O$34:O$50*parametros_recargas!$D$55:$D$71)</f>
        <v>51.4184098508107</v>
      </c>
      <c r="P61" s="27" t="n">
        <f aca="false">SUMPRODUCT(P$34:P$50*parametros_recargas!$D$55:$D$71)</f>
        <v>600.782602172131</v>
      </c>
    </row>
    <row r="62" customFormat="false" ht="15" hidden="false" customHeight="false" outlineLevel="0" collapsed="false">
      <c r="A62" s="4" t="s">
        <v>388</v>
      </c>
      <c r="D62" s="27" t="n">
        <f aca="false">SUMPRODUCT(sobrestock_sustitutos!$C$73:$C$73,--(sobrestock_sustitutos!$F$30:$F$30="Fábrica: cilindro vacío"),parametros_recargas!$C$55:$C$55)*parametros_recargas!E$109+SUMPRODUCT(sobrestock_sustitutos!$C$74:$C$76,--(sobrestock_sustitutos!$F$31:$F$33="Fábrica: cilindro vacío"),parametros_recargas!$C$56:$C$58)*parametros_recargas!E$110+SUMPRODUCT(sobrestock_sustitutos!$C$86:$C$89,--(sobrestock_sustitutos!$F$43:$F$46="Fábrica: cilindro vacío"),parametros_recargas!$C$68:$C$71)*parametros_recargas!E$111</f>
        <v>7.289687804775</v>
      </c>
      <c r="E62" s="27" t="n">
        <f aca="false">SUMPRODUCT(sobrestock_sustitutos!$C$73:$C$73,--(sobrestock_sustitutos!$F$30:$F$30="Fábrica: cilindro vacío"),parametros_recargas!$C$55:$C$55)*parametros_recargas!F$109+SUMPRODUCT(sobrestock_sustitutos!$C$74:$C$76,--(sobrestock_sustitutos!$F$31:$F$33="Fábrica: cilindro vacío"),parametros_recargas!$C$56:$C$58)*parametros_recargas!F$110+SUMPRODUCT(sobrestock_sustitutos!$C$86:$C$89,--(sobrestock_sustitutos!$F$43:$F$46="Fábrica: cilindro vacío"),parametros_recargas!$C$68:$C$71)*parametros_recargas!F$111</f>
        <v>5.890524533625</v>
      </c>
      <c r="F62" s="27" t="n">
        <f aca="false">SUMPRODUCT(sobrestock_sustitutos!$C$73:$C$73,--(sobrestock_sustitutos!$F$30:$F$30="Fábrica: cilindro vacío"),parametros_recargas!$C$55:$C$55)*parametros_recargas!G$109+SUMPRODUCT(sobrestock_sustitutos!$C$74:$C$76,--(sobrestock_sustitutos!$F$31:$F$33="Fábrica: cilindro vacío"),parametros_recargas!$C$56:$C$58)*parametros_recargas!G$110+SUMPRODUCT(sobrestock_sustitutos!$C$86:$C$89,--(sobrestock_sustitutos!$F$43:$F$46="Fábrica: cilindro vacío"),parametros_recargas!$C$68:$C$71)*parametros_recargas!G$111</f>
        <v>6.34526944035</v>
      </c>
      <c r="G62" s="27" t="n">
        <f aca="false">SUMPRODUCT(sobrestock_sustitutos!$C$73:$C$73,--(sobrestock_sustitutos!$F$30:$F$30="Fábrica: cilindro vacío"),parametros_recargas!$C$55:$C$55)*parametros_recargas!H$109+SUMPRODUCT(sobrestock_sustitutos!$C$74:$C$76,--(sobrestock_sustitutos!$F$31:$F$33="Fábrica: cilindro vacío"),parametros_recargas!$C$56:$C$58)*parametros_recargas!H$110+SUMPRODUCT(sobrestock_sustitutos!$C$86:$C$89,--(sobrestock_sustitutos!$F$43:$F$46="Fábrica: cilindro vacío"),parametros_recargas!$C$68:$C$71)*parametros_recargas!H$111</f>
        <v>6.34526944035</v>
      </c>
      <c r="H62" s="27" t="n">
        <f aca="false">SUMPRODUCT(sobrestock_sustitutos!$C$73:$C$73,--(sobrestock_sustitutos!$F$30:$F$30="Fábrica: cilindro vacío"),parametros_recargas!$C$55:$C$55)*parametros_recargas!I$109+SUMPRODUCT(sobrestock_sustitutos!$C$74:$C$76,--(sobrestock_sustitutos!$F$31:$F$33="Fábrica: cilindro vacío"),parametros_recargas!$C$56:$C$58)*parametros_recargas!I$110+SUMPRODUCT(sobrestock_sustitutos!$C$86:$C$89,--(sobrestock_sustitutos!$F$43:$F$46="Fábrica: cilindro vacío"),parametros_recargas!$C$68:$C$71)*parametros_recargas!I$111</f>
        <v>6.01646944035</v>
      </c>
      <c r="I62" s="27" t="n">
        <f aca="false">SUMPRODUCT(sobrestock_sustitutos!$C$73:$C$73,--(sobrestock_sustitutos!$F$30:$F$30="Fábrica: cilindro vacío"),parametros_recargas!$C$55:$C$55)*parametros_recargas!J$109+SUMPRODUCT(sobrestock_sustitutos!$C$74:$C$76,--(sobrestock_sustitutos!$F$31:$F$33="Fábrica: cilindro vacío"),parametros_recargas!$C$56:$C$58)*parametros_recargas!J$110+SUMPRODUCT(sobrestock_sustitutos!$C$86:$C$89,--(sobrestock_sustitutos!$F$43:$F$46="Fábrica: cilindro vacío"),parametros_recargas!$C$68:$C$71)*parametros_recargas!J$111</f>
        <v>5.6037061692</v>
      </c>
      <c r="J62" s="27" t="n">
        <f aca="false">SUMPRODUCT(sobrestock_sustitutos!$C$73:$C$73,--(sobrestock_sustitutos!$F$30:$F$30="Fábrica: cilindro vacío"),parametros_recargas!$C$55:$C$55)*parametros_recargas!K$109+SUMPRODUCT(sobrestock_sustitutos!$C$74:$C$76,--(sobrestock_sustitutos!$F$31:$F$33="Fábrica: cilindro vacío"),parametros_recargas!$C$56:$C$58)*parametros_recargas!K$110+SUMPRODUCT(sobrestock_sustitutos!$C$86:$C$89,--(sobrestock_sustitutos!$F$43:$F$46="Fábrica: cilindro vacío"),parametros_recargas!$C$68:$C$71)*parametros_recargas!K$111</f>
        <v>6.01646944035</v>
      </c>
      <c r="K62" s="27" t="n">
        <f aca="false">SUMPRODUCT(sobrestock_sustitutos!$C$73:$C$73,--(sobrestock_sustitutos!$F$30:$F$30="Fábrica: cilindro vacío"),parametros_recargas!$C$55:$C$55)*parametros_recargas!L$109+SUMPRODUCT(sobrestock_sustitutos!$C$74:$C$76,--(sobrestock_sustitutos!$F$31:$F$33="Fábrica: cilindro vacío"),parametros_recargas!$C$56:$C$58)*parametros_recargas!L$110+SUMPRODUCT(sobrestock_sustitutos!$C$86:$C$89,--(sobrestock_sustitutos!$F$43:$F$46="Fábrica: cilindro vacío"),parametros_recargas!$C$68:$C$71)*parametros_recargas!L$111</f>
        <v>6.01646944035</v>
      </c>
      <c r="L62" s="27" t="n">
        <f aca="false">SUMPRODUCT(sobrestock_sustitutos!$C$73:$C$73,--(sobrestock_sustitutos!$F$30:$F$30="Fábrica: cilindro vacío"),parametros_recargas!$C$55:$C$55)*parametros_recargas!M$109+SUMPRODUCT(sobrestock_sustitutos!$C$74:$C$76,--(sobrestock_sustitutos!$F$31:$F$33="Fábrica: cilindro vacío"),parametros_recargas!$C$56:$C$58)*parametros_recargas!M$110+SUMPRODUCT(sobrestock_sustitutos!$C$86:$C$89,--(sobrestock_sustitutos!$F$43:$F$46="Fábrica: cilindro vacío"),parametros_recargas!$C$68:$C$71)*parametros_recargas!M$111</f>
        <v>5.974487804775</v>
      </c>
      <c r="M62" s="27" t="n">
        <f aca="false">SUMPRODUCT(sobrestock_sustitutos!$C$73:$C$73,--(sobrestock_sustitutos!$F$30:$F$30="Fábrica: cilindro vacío"),parametros_recargas!$C$55:$C$55)*parametros_recargas!N$109+SUMPRODUCT(sobrestock_sustitutos!$C$74:$C$76,--(sobrestock_sustitutos!$F$31:$F$33="Fábrica: cilindro vacío"),parametros_recargas!$C$56:$C$58)*parametros_recargas!N$110+SUMPRODUCT(sobrestock_sustitutos!$C$86:$C$89,--(sobrestock_sustitutos!$F$43:$F$46="Fábrica: cilindro vacío"),parametros_recargas!$C$68:$C$71)*parametros_recargas!N$111</f>
        <v>5.561724533625</v>
      </c>
      <c r="N62" s="27" t="n">
        <f aca="false">SUMPRODUCT(sobrestock_sustitutos!$C$73:$C$73,--(sobrestock_sustitutos!$F$30:$F$30="Fábrica: cilindro vacío"),parametros_recargas!$C$55:$C$55)*parametros_recargas!O$109+SUMPRODUCT(sobrestock_sustitutos!$C$74:$C$76,--(sobrestock_sustitutos!$F$31:$F$33="Fábrica: cilindro vacío"),parametros_recargas!$C$56:$C$58)*parametros_recargas!O$110+SUMPRODUCT(sobrestock_sustitutos!$C$86:$C$89,--(sobrestock_sustitutos!$F$43:$F$46="Fábrica: cilindro vacío"),parametros_recargas!$C$68:$C$71)*parametros_recargas!O$111</f>
        <v>5.19094289805</v>
      </c>
      <c r="O62" s="27" t="n">
        <f aca="false">SUMPRODUCT(sobrestock_sustitutos!$C$73:$C$73,--(sobrestock_sustitutos!$F$30:$F$30="Fábrica: cilindro vacío"),parametros_recargas!$C$55:$C$55)*parametros_recargas!P$109+SUMPRODUCT(sobrestock_sustitutos!$C$74:$C$76,--(sobrestock_sustitutos!$F$31:$F$33="Fábrica: cilindro vacío"),parametros_recargas!$C$56:$C$58)*parametros_recargas!P$110+SUMPRODUCT(sobrestock_sustitutos!$C$86:$C$89,--(sobrestock_sustitutos!$F$43:$F$46="Fábrica: cilindro vacío"),parametros_recargas!$C$68:$C$71)*parametros_recargas!P$111</f>
        <v>7.9053061692</v>
      </c>
      <c r="P62" s="12" t="n">
        <f aca="false">SUM(D62:O62)</f>
        <v>74.156327115</v>
      </c>
    </row>
    <row r="65" customFormat="false" ht="15" hidden="false" customHeight="false" outlineLevel="0" collapsed="false">
      <c r="A65" s="28" t="n">
        <v>2028</v>
      </c>
      <c r="B65" s="3" t="s">
        <v>383</v>
      </c>
      <c r="C65" s="3" t="s">
        <v>384</v>
      </c>
      <c r="D65" s="3" t="s">
        <v>64</v>
      </c>
      <c r="E65" s="3" t="s">
        <v>65</v>
      </c>
      <c r="F65" s="3" t="s">
        <v>66</v>
      </c>
      <c r="G65" s="3" t="s">
        <v>67</v>
      </c>
      <c r="H65" s="3" t="s">
        <v>68</v>
      </c>
      <c r="I65" s="3" t="s">
        <v>69</v>
      </c>
      <c r="J65" s="3" t="s">
        <v>70</v>
      </c>
      <c r="K65" s="3" t="s">
        <v>71</v>
      </c>
      <c r="L65" s="3" t="s">
        <v>72</v>
      </c>
      <c r="M65" s="3" t="s">
        <v>73</v>
      </c>
      <c r="N65" s="3" t="s">
        <v>74</v>
      </c>
      <c r="O65" s="3" t="s">
        <v>75</v>
      </c>
      <c r="P65" s="3" t="s">
        <v>132</v>
      </c>
    </row>
    <row r="66" customFormat="false" ht="15" hidden="false" customHeight="false" outlineLevel="0" collapsed="false">
      <c r="A66" s="6" t="str">
        <f aca="false">parametros_recargas!A55</f>
        <v>ABC 1 kg</v>
      </c>
      <c r="B66" s="6" t="str">
        <f aca="false">parametros_recargas!B55</f>
        <v>ABC</v>
      </c>
      <c r="C66" s="14" t="n">
        <f aca="false">parametros_recargas!C55</f>
        <v>1</v>
      </c>
      <c r="D66" s="26" t="n">
        <f aca="false">datos_base!$D$2*parametros_recargas!E$55+sobrestock_sustitutos!$C$51/12</f>
        <v>2030.54195949569</v>
      </c>
      <c r="E66" s="26" t="n">
        <f aca="false">datos_base!$D$2*parametros_recargas!F$55+sobrestock_sustitutos!$C$51/12</f>
        <v>1617.24624502578</v>
      </c>
      <c r="F66" s="26" t="n">
        <f aca="false">datos_base!$D$2*parametros_recargas!G$55+sobrestock_sustitutos!$C$51/12</f>
        <v>1204.76839296847</v>
      </c>
      <c r="G66" s="26" t="n">
        <f aca="false">datos_base!$D$2*parametros_recargas!H$55+sobrestock_sustitutos!$C$51/12</f>
        <v>1204.76839296847</v>
      </c>
      <c r="H66" s="26" t="n">
        <f aca="false">datos_base!$D$2*parametros_recargas!I$55+sobrestock_sustitutos!$C$51/12</f>
        <v>1205.58625538108</v>
      </c>
      <c r="I66" s="26" t="n">
        <f aca="false">datos_base!$D$2*parametros_recargas!J$55+sobrestock_sustitutos!$C$51/12</f>
        <v>1205.58625538108</v>
      </c>
      <c r="J66" s="26" t="n">
        <f aca="false">datos_base!$D$2*parametros_recargas!K$55+sobrestock_sustitutos!$C$51/12</f>
        <v>1204.17167832099</v>
      </c>
      <c r="K66" s="26" t="n">
        <f aca="false">datos_base!$D$2*parametros_recargas!L$55+sobrestock_sustitutos!$C$51/12</f>
        <v>1205.58625538108</v>
      </c>
      <c r="L66" s="26" t="n">
        <f aca="false">datos_base!$D$2*parametros_recargas!M$55+sobrestock_sustitutos!$C$51/12</f>
        <v>1205.47568149852</v>
      </c>
      <c r="M66" s="26" t="n">
        <f aca="false">datos_base!$D$2*parametros_recargas!N$55+sobrestock_sustitutos!$C$51/12</f>
        <v>1205.47568149852</v>
      </c>
      <c r="N66" s="26" t="n">
        <f aca="false">datos_base!$D$2*parametros_recargas!O$55+sobrestock_sustitutos!$C$51/12</f>
        <v>1617.95353355582</v>
      </c>
      <c r="O66" s="26" t="n">
        <f aca="false">datos_base!$D$2*parametros_recargas!P$55+sobrestock_sustitutos!$C$51/12</f>
        <v>2031.24924802573</v>
      </c>
      <c r="P66" s="12" t="n">
        <f aca="false">SUM(D66:O66)</f>
        <v>16938.4095795012</v>
      </c>
    </row>
    <row r="67" customFormat="false" ht="15" hidden="false" customHeight="false" outlineLevel="0" collapsed="false">
      <c r="A67" s="6" t="str">
        <f aca="false">parametros_recargas!A56</f>
        <v>ABC 2,5 kg</v>
      </c>
      <c r="B67" s="6" t="str">
        <f aca="false">parametros_recargas!B56</f>
        <v>ABC</v>
      </c>
      <c r="C67" s="14" t="n">
        <f aca="false">parametros_recargas!C56</f>
        <v>1</v>
      </c>
      <c r="D67" s="26" t="n">
        <f aca="false">datos_base!$D$3*parametros_recargas!E$56+sobrestock_sustitutos!$C$52/12</f>
        <v>99.0459487913334</v>
      </c>
      <c r="E67" s="26" t="n">
        <f aca="false">datos_base!$D$3*parametros_recargas!F$56+sobrestock_sustitutos!$C$52/12</f>
        <v>99.0459487913334</v>
      </c>
      <c r="F67" s="26" t="n">
        <f aca="false">datos_base!$D$3*parametros_recargas!G$56+sobrestock_sustitutos!$C$52/12</f>
        <v>135.568259245815</v>
      </c>
      <c r="G67" s="26" t="n">
        <f aca="false">datos_base!$D$3*parametros_recargas!H$56+sobrestock_sustitutos!$C$52/12</f>
        <v>157.724542711213</v>
      </c>
      <c r="H67" s="26" t="n">
        <f aca="false">datos_base!$D$3*parametros_recargas!I$56+sobrestock_sustitutos!$C$52/12</f>
        <v>170.632445390369</v>
      </c>
      <c r="I67" s="26" t="n">
        <f aca="false">datos_base!$D$3*parametros_recargas!J$56+sobrestock_sustitutos!$C$52/12</f>
        <v>168.715562326103</v>
      </c>
      <c r="J67" s="26" t="n">
        <f aca="false">datos_base!$D$3*parametros_recargas!K$56+sobrestock_sustitutos!$C$52/12</f>
        <v>122.271110131896</v>
      </c>
      <c r="K67" s="26" t="n">
        <f aca="false">datos_base!$D$3*parametros_recargas!L$56+sobrestock_sustitutos!$C$52/12</f>
        <v>143.184271486511</v>
      </c>
      <c r="L67" s="26" t="n">
        <f aca="false">datos_base!$D$3*parametros_recargas!M$56+sobrestock_sustitutos!$C$52/12</f>
        <v>143.493584392477</v>
      </c>
      <c r="M67" s="26" t="n">
        <f aca="false">datos_base!$D$3*parametros_recargas!N$56+sobrestock_sustitutos!$C$52/12</f>
        <v>143.493584392477</v>
      </c>
      <c r="N67" s="26" t="n">
        <f aca="false">datos_base!$D$3*parametros_recargas!O$56+sobrestock_sustitutos!$C$52/12</f>
        <v>130.585681713322</v>
      </c>
      <c r="O67" s="26" t="n">
        <f aca="false">datos_base!$D$3*parametros_recargas!P$56+sobrestock_sustitutos!$C$52/12</f>
        <v>132.502564777588</v>
      </c>
      <c r="P67" s="12" t="n">
        <f aca="false">SUM(D67:O67)</f>
        <v>1646.26350415044</v>
      </c>
    </row>
    <row r="68" customFormat="false" ht="15" hidden="false" customHeight="false" outlineLevel="0" collapsed="false">
      <c r="A68" s="6" t="str">
        <f aca="false">parametros_recargas!A57</f>
        <v>ABC 5 kg</v>
      </c>
      <c r="B68" s="6" t="str">
        <f aca="false">parametros_recargas!B57</f>
        <v>ABC</v>
      </c>
      <c r="C68" s="14" t="n">
        <f aca="false">parametros_recargas!C57</f>
        <v>1</v>
      </c>
      <c r="D68" s="26" t="n">
        <f aca="false">datos_base!$D$4*parametros_recargas!E$57+sobrestock_sustitutos!$C$53/12</f>
        <v>663.764422673048</v>
      </c>
      <c r="E68" s="26" t="n">
        <f aca="false">datos_base!$D$4*parametros_recargas!F$57+sobrestock_sustitutos!$C$53/12</f>
        <v>647.468758972741</v>
      </c>
      <c r="F68" s="26" t="n">
        <f aca="false">datos_base!$D$4*parametros_recargas!G$57+sobrestock_sustitutos!$C$53/12</f>
        <v>811.918170504517</v>
      </c>
      <c r="G68" s="26" t="n">
        <f aca="false">datos_base!$D$4*parametros_recargas!H$57+sobrestock_sustitutos!$C$53/12</f>
        <v>988.692635723309</v>
      </c>
      <c r="H68" s="26" t="n">
        <f aca="false">datos_base!$D$4*parametros_recargas!I$57+sobrestock_sustitutos!$C$53/12</f>
        <v>992.342613054507</v>
      </c>
      <c r="I68" s="26" t="n">
        <f aca="false">datos_base!$D$4*parametros_recargas!J$57+sobrestock_sustitutos!$C$53/12</f>
        <v>979.868390447704</v>
      </c>
      <c r="J68" s="26" t="n">
        <f aca="false">datos_base!$D$4*parametros_recargas!K$57+sobrestock_sustitutos!$C$53/12</f>
        <v>792.237988483645</v>
      </c>
      <c r="K68" s="26" t="n">
        <f aca="false">datos_base!$D$4*parametros_recargas!L$57+sobrestock_sustitutos!$C$53/12</f>
        <v>790.299069940015</v>
      </c>
      <c r="L68" s="26" t="n">
        <f aca="false">datos_base!$D$4*parametros_recargas!M$57+sobrestock_sustitutos!$C$53/12</f>
        <v>801.352569766029</v>
      </c>
      <c r="M68" s="26" t="n">
        <f aca="false">datos_base!$D$4*parametros_recargas!N$57+sobrestock_sustitutos!$C$53/12</f>
        <v>801.352569766029</v>
      </c>
      <c r="N68" s="26" t="n">
        <f aca="false">datos_base!$D$4*parametros_recargas!O$57+sobrestock_sustitutos!$C$53/12</f>
        <v>813.998256135139</v>
      </c>
      <c r="O68" s="26" t="n">
        <f aca="false">datos_base!$D$4*parametros_recargas!P$57+sobrestock_sustitutos!$C$53/12</f>
        <v>842.76814244225</v>
      </c>
      <c r="P68" s="12" t="n">
        <f aca="false">SUM(D68:O68)</f>
        <v>9926.06358790893</v>
      </c>
    </row>
    <row r="69" customFormat="false" ht="15" hidden="false" customHeight="false" outlineLevel="0" collapsed="false">
      <c r="A69" s="6" t="str">
        <f aca="false">parametros_recargas!A58</f>
        <v>ABC 10 kg</v>
      </c>
      <c r="B69" s="6" t="str">
        <f aca="false">parametros_recargas!B58</f>
        <v>ABC</v>
      </c>
      <c r="C69" s="14" t="n">
        <f aca="false">parametros_recargas!C58</f>
        <v>1</v>
      </c>
      <c r="D69" s="26" t="n">
        <f aca="false">datos_base!$D$5*parametros_recargas!E$58+sobrestock_sustitutos!$C$54/12</f>
        <v>37.1403040093414</v>
      </c>
      <c r="E69" s="26" t="n">
        <f aca="false">datos_base!$D$5*parametros_recargas!F$58+sobrestock_sustitutos!$C$54/12</f>
        <v>37.1403040093414</v>
      </c>
      <c r="F69" s="26" t="n">
        <f aca="false">datos_base!$D$5*parametros_recargas!G$58+sobrestock_sustitutos!$C$54/12</f>
        <v>47.6968257289306</v>
      </c>
      <c r="G69" s="26" t="n">
        <f aca="false">datos_base!$D$5*parametros_recargas!H$58+sobrestock_sustitutos!$C$54/12</f>
        <v>58.0092130853803</v>
      </c>
      <c r="H69" s="26" t="n">
        <f aca="false">datos_base!$D$5*parametros_recargas!I$58+sobrestock_sustitutos!$C$54/12</f>
        <v>58.5478321743229</v>
      </c>
      <c r="I69" s="26" t="n">
        <f aca="false">datos_base!$D$5*parametros_recargas!J$58+sobrestock_sustitutos!$C$54/12</f>
        <v>56.8689788936521</v>
      </c>
      <c r="J69" s="26" t="n">
        <f aca="false">datos_base!$D$5*parametros_recargas!K$58+sobrestock_sustitutos!$C$54/12</f>
        <v>44.7871690818832</v>
      </c>
      <c r="K69" s="26" t="n">
        <f aca="false">datos_base!$D$5*parametros_recargas!L$58+sobrestock_sustitutos!$C$54/12</f>
        <v>45.1722229823346</v>
      </c>
      <c r="L69" s="26" t="n">
        <f aca="false">datos_base!$D$5*parametros_recargas!M$58+sobrestock_sustitutos!$C$54/12</f>
        <v>46.8510762630055</v>
      </c>
      <c r="M69" s="26" t="n">
        <f aca="false">datos_base!$D$5*parametros_recargas!N$58+sobrestock_sustitutos!$C$54/12</f>
        <v>46.8510762630055</v>
      </c>
      <c r="N69" s="26" t="n">
        <f aca="false">datos_base!$D$5*parametros_recargas!O$58+sobrestock_sustitutos!$C$54/12</f>
        <v>46.3124571740629</v>
      </c>
      <c r="O69" s="26" t="n">
        <f aca="false">datos_base!$D$5*parametros_recargas!P$58+sobrestock_sustitutos!$C$54/12</f>
        <v>47.9913104547337</v>
      </c>
      <c r="P69" s="12" t="n">
        <f aca="false">SUM(D69:O69)</f>
        <v>573.368770119994</v>
      </c>
    </row>
    <row r="70" customFormat="false" ht="15" hidden="false" customHeight="false" outlineLevel="0" collapsed="false">
      <c r="A70" s="6" t="str">
        <f aca="false">parametros_recargas!A59</f>
        <v>Agua 10 l</v>
      </c>
      <c r="B70" s="6" t="str">
        <f aca="false">parametros_recargas!B59</f>
        <v>Agua</v>
      </c>
      <c r="C70" s="14" t="n">
        <f aca="false">parametros_recargas!C59</f>
        <v>1</v>
      </c>
      <c r="D70" s="26" t="n">
        <f aca="false">datos_base!$D$6*parametros_recargas!E$59+sobrestock_sustitutos!$C$55/12</f>
        <v>55.339546303988</v>
      </c>
      <c r="E70" s="26" t="n">
        <f aca="false">datos_base!$D$6*parametros_recargas!F$59+sobrestock_sustitutos!$C$55/12</f>
        <v>55.339546303988</v>
      </c>
      <c r="F70" s="26" t="n">
        <f aca="false">datos_base!$D$6*parametros_recargas!G$59+sobrestock_sustitutos!$C$55/12</f>
        <v>68.1834986815739</v>
      </c>
      <c r="G70" s="26" t="n">
        <f aca="false">datos_base!$D$6*parametros_recargas!H$59+sobrestock_sustitutos!$C$55/12</f>
        <v>81.7243518418413</v>
      </c>
      <c r="H70" s="26" t="n">
        <f aca="false">datos_base!$D$6*parametros_recargas!I$59+sobrestock_sustitutos!$C$55/12</f>
        <v>82.2322298422622</v>
      </c>
      <c r="I70" s="26" t="n">
        <f aca="false">datos_base!$D$6*parametros_recargas!J$59+sobrestock_sustitutos!$C$55/12</f>
        <v>79.841399085344</v>
      </c>
      <c r="J70" s="26" t="n">
        <f aca="false">datos_base!$D$6*parametros_recargas!K$59+sobrestock_sustitutos!$C$55/12</f>
        <v>64.9917252904964</v>
      </c>
      <c r="K70" s="26" t="n">
        <f aca="false">datos_base!$D$6*parametros_recargas!L$59+sobrestock_sustitutos!$C$55/12</f>
        <v>65.1144939512609</v>
      </c>
      <c r="L70" s="26" t="n">
        <f aca="false">datos_base!$D$6*parametros_recargas!M$59+sobrestock_sustitutos!$C$55/12</f>
        <v>67.3553440315943</v>
      </c>
      <c r="M70" s="26" t="n">
        <f aca="false">datos_base!$D$6*parametros_recargas!N$59+sobrestock_sustitutos!$C$55/12</f>
        <v>67.3553440315943</v>
      </c>
      <c r="N70" s="26" t="n">
        <f aca="false">datos_base!$D$6*parametros_recargas!O$59+sobrestock_sustitutos!$C$55/12</f>
        <v>66.8474660311733</v>
      </c>
      <c r="O70" s="26" t="n">
        <f aca="false">datos_base!$D$6*parametros_recargas!P$59+sobrestock_sustitutos!$C$55/12</f>
        <v>69.2382967880916</v>
      </c>
      <c r="P70" s="12" t="n">
        <f aca="false">SUM(D70:O70)</f>
        <v>823.563242183208</v>
      </c>
    </row>
    <row r="71" customFormat="false" ht="15" hidden="false" customHeight="false" outlineLevel="0" collapsed="false">
      <c r="A71" s="6" t="str">
        <f aca="false">parametros_recargas!A60</f>
        <v>AFFF 10 l</v>
      </c>
      <c r="B71" s="6" t="str">
        <f aca="false">parametros_recargas!B60</f>
        <v>AFFF</v>
      </c>
      <c r="C71" s="14" t="n">
        <f aca="false">parametros_recargas!C60</f>
        <v>1</v>
      </c>
      <c r="D71" s="26" t="n">
        <f aca="false">datos_base!$D$7*parametros_recargas!E$60+sobrestock_sustitutos!$C$56/12</f>
        <v>14.79708200178</v>
      </c>
      <c r="E71" s="26" t="n">
        <f aca="false">datos_base!$D$7*parametros_recargas!F$60+sobrestock_sustitutos!$C$56/12</f>
        <v>14.79708200178</v>
      </c>
      <c r="F71" s="26" t="n">
        <f aca="false">datos_base!$D$7*parametros_recargas!G$60+sobrestock_sustitutos!$C$56/12</f>
        <v>14.79708200178</v>
      </c>
      <c r="G71" s="26" t="n">
        <f aca="false">datos_base!$D$7*parametros_recargas!H$60+sobrestock_sustitutos!$C$56/12</f>
        <v>14.79708200178</v>
      </c>
      <c r="H71" s="26" t="n">
        <f aca="false">datos_base!$D$7*parametros_recargas!I$60+sobrestock_sustitutos!$C$56/12</f>
        <v>14.79708200178</v>
      </c>
      <c r="I71" s="26" t="n">
        <f aca="false">datos_base!$D$7*parametros_recargas!J$60+sobrestock_sustitutos!$C$56/12</f>
        <v>14.79708200178</v>
      </c>
      <c r="J71" s="26" t="n">
        <f aca="false">datos_base!$D$7*parametros_recargas!K$60+sobrestock_sustitutos!$C$56/12</f>
        <v>14.79708200178</v>
      </c>
      <c r="K71" s="26" t="n">
        <f aca="false">datos_base!$D$7*parametros_recargas!L$60+sobrestock_sustitutos!$C$56/12</f>
        <v>14.79708200178</v>
      </c>
      <c r="L71" s="26" t="n">
        <f aca="false">datos_base!$D$7*parametros_recargas!M$60+sobrestock_sustitutos!$C$56/12</f>
        <v>14.79708200178</v>
      </c>
      <c r="M71" s="26" t="n">
        <f aca="false">datos_base!$D$7*parametros_recargas!N$60+sobrestock_sustitutos!$C$56/12</f>
        <v>14.79708200178</v>
      </c>
      <c r="N71" s="26" t="n">
        <f aca="false">datos_base!$D$7*parametros_recargas!O$60+sobrestock_sustitutos!$C$56/12</f>
        <v>14.79708200178</v>
      </c>
      <c r="O71" s="26" t="n">
        <f aca="false">datos_base!$D$7*parametros_recargas!P$60+sobrestock_sustitutos!$C$56/12</f>
        <v>14.79708200178</v>
      </c>
      <c r="P71" s="12" t="n">
        <f aca="false">SUM(D71:O71)</f>
        <v>177.56498402136</v>
      </c>
    </row>
    <row r="72" customFormat="false" ht="15" hidden="false" customHeight="false" outlineLevel="0" collapsed="false">
      <c r="A72" s="6" t="str">
        <f aca="false">parametros_recargas!A61</f>
        <v>AFFF 50 l s/ruedas</v>
      </c>
      <c r="B72" s="6" t="str">
        <f aca="false">parametros_recargas!B61</f>
        <v>AFFF</v>
      </c>
      <c r="C72" s="14" t="n">
        <f aca="false">parametros_recargas!C61</f>
        <v>6.360853875</v>
      </c>
      <c r="D72" s="26" t="n">
        <f aca="false">datos_base!$D$8*parametros_recargas!E$61+sobrestock_sustitutos!$C$57/12</f>
        <v>7.68320352401441</v>
      </c>
      <c r="E72" s="26" t="n">
        <f aca="false">datos_base!$D$8*parametros_recargas!F$61+sobrestock_sustitutos!$C$57/12</f>
        <v>7.68320352401441</v>
      </c>
      <c r="F72" s="26" t="n">
        <f aca="false">datos_base!$D$8*parametros_recargas!G$61+sobrestock_sustitutos!$C$57/12</f>
        <v>7.68320352401441</v>
      </c>
      <c r="G72" s="26" t="n">
        <f aca="false">datos_base!$D$8*parametros_recargas!H$61+sobrestock_sustitutos!$C$57/12</f>
        <v>7.68320352401441</v>
      </c>
      <c r="H72" s="26" t="n">
        <f aca="false">datos_base!$D$8*parametros_recargas!I$61+sobrestock_sustitutos!$C$57/12</f>
        <v>7.68320352401441</v>
      </c>
      <c r="I72" s="26" t="n">
        <f aca="false">datos_base!$D$8*parametros_recargas!J$61+sobrestock_sustitutos!$C$57/12</f>
        <v>7.68320352401441</v>
      </c>
      <c r="J72" s="26" t="n">
        <f aca="false">datos_base!$D$8*parametros_recargas!K$61+sobrestock_sustitutos!$C$57/12</f>
        <v>7.68320352401441</v>
      </c>
      <c r="K72" s="26" t="n">
        <f aca="false">datos_base!$D$8*parametros_recargas!L$61+sobrestock_sustitutos!$C$57/12</f>
        <v>7.68320352401441</v>
      </c>
      <c r="L72" s="26" t="n">
        <f aca="false">datos_base!$D$8*parametros_recargas!M$61+sobrestock_sustitutos!$C$57/12</f>
        <v>7.68320352401441</v>
      </c>
      <c r="M72" s="26" t="n">
        <f aca="false">datos_base!$D$8*parametros_recargas!N$61+sobrestock_sustitutos!$C$57/12</f>
        <v>7.68320352401441</v>
      </c>
      <c r="N72" s="26" t="n">
        <f aca="false">datos_base!$D$8*parametros_recargas!O$61+sobrestock_sustitutos!$C$57/12</f>
        <v>7.68320352401441</v>
      </c>
      <c r="O72" s="26" t="n">
        <f aca="false">datos_base!$D$8*parametros_recargas!P$61+sobrestock_sustitutos!$C$57/12</f>
        <v>7.68320352401441</v>
      </c>
      <c r="P72" s="12" t="n">
        <f aca="false">SUM(D72:O72)</f>
        <v>92.1984422881729</v>
      </c>
    </row>
    <row r="73" customFormat="false" ht="15" hidden="false" customHeight="false" outlineLevel="0" collapsed="false">
      <c r="A73" s="6" t="str">
        <f aca="false">parametros_recargas!A62</f>
        <v>BC 5 kg</v>
      </c>
      <c r="B73" s="6" t="str">
        <f aca="false">parametros_recargas!B62</f>
        <v>BC</v>
      </c>
      <c r="C73" s="14" t="n">
        <f aca="false">parametros_recargas!C62</f>
        <v>1</v>
      </c>
      <c r="D73" s="26" t="n">
        <f aca="false">datos_base!$D$9*parametros_recargas!E$62+sobrestock_sustitutos!$C$58/12</f>
        <v>4.19092332720213</v>
      </c>
      <c r="E73" s="26" t="n">
        <f aca="false">datos_base!$D$9*parametros_recargas!F$62+sobrestock_sustitutos!$C$58/12</f>
        <v>4.19092332720213</v>
      </c>
      <c r="F73" s="26" t="n">
        <f aca="false">datos_base!$D$9*parametros_recargas!G$62+sobrestock_sustitutos!$C$58/12</f>
        <v>4.19092332720213</v>
      </c>
      <c r="G73" s="26" t="n">
        <f aca="false">datos_base!$D$9*parametros_recargas!H$62+sobrestock_sustitutos!$C$58/12</f>
        <v>4.19092332720213</v>
      </c>
      <c r="H73" s="26" t="n">
        <f aca="false">datos_base!$D$9*parametros_recargas!I$62+sobrestock_sustitutos!$C$58/12</f>
        <v>4.19092332720213</v>
      </c>
      <c r="I73" s="26" t="n">
        <f aca="false">datos_base!$D$9*parametros_recargas!J$62+sobrestock_sustitutos!$C$58/12</f>
        <v>4.19092332720213</v>
      </c>
      <c r="J73" s="26" t="n">
        <f aca="false">datos_base!$D$9*parametros_recargas!K$62+sobrestock_sustitutos!$C$58/12</f>
        <v>4.19092332720213</v>
      </c>
      <c r="K73" s="26" t="n">
        <f aca="false">datos_base!$D$9*parametros_recargas!L$62+sobrestock_sustitutos!$C$58/12</f>
        <v>4.19092332720213</v>
      </c>
      <c r="L73" s="26" t="n">
        <f aca="false">datos_base!$D$9*parametros_recargas!M$62+sobrestock_sustitutos!$C$58/12</f>
        <v>4.19092332720213</v>
      </c>
      <c r="M73" s="26" t="n">
        <f aca="false">datos_base!$D$9*parametros_recargas!N$62+sobrestock_sustitutos!$C$58/12</f>
        <v>4.19092332720213</v>
      </c>
      <c r="N73" s="26" t="n">
        <f aca="false">datos_base!$D$9*parametros_recargas!O$62+sobrestock_sustitutos!$C$58/12</f>
        <v>4.19092332720213</v>
      </c>
      <c r="O73" s="26" t="n">
        <f aca="false">datos_base!$D$9*parametros_recargas!P$62+sobrestock_sustitutos!$C$58/12</f>
        <v>4.19092332720213</v>
      </c>
      <c r="P73" s="12" t="n">
        <f aca="false">SUM(D73:O73)</f>
        <v>50.2910799264256</v>
      </c>
    </row>
    <row r="74" customFormat="false" ht="15" hidden="false" customHeight="false" outlineLevel="0" collapsed="false">
      <c r="A74" s="6" t="str">
        <f aca="false">parametros_recargas!A63</f>
        <v>Sales K 6 l</v>
      </c>
      <c r="B74" s="6" t="str">
        <f aca="false">parametros_recargas!B63</f>
        <v>Sales K</v>
      </c>
      <c r="C74" s="14" t="n">
        <f aca="false">parametros_recargas!C63</f>
        <v>1</v>
      </c>
      <c r="D74" s="26" t="n">
        <f aca="false">datos_base!$D$10*parametros_recargas!E$63+sobrestock_sustitutos!$C$59/12</f>
        <v>29.0379498751913</v>
      </c>
      <c r="E74" s="26" t="n">
        <f aca="false">datos_base!$D$10*parametros_recargas!F$63+sobrestock_sustitutos!$C$59/12</f>
        <v>29.0379498751913</v>
      </c>
      <c r="F74" s="26" t="n">
        <f aca="false">datos_base!$D$10*parametros_recargas!G$63+sobrestock_sustitutos!$C$59/12</f>
        <v>34.9537706675188</v>
      </c>
      <c r="G74" s="26" t="n">
        <f aca="false">datos_base!$D$10*parametros_recargas!H$63+sobrestock_sustitutos!$C$59/12</f>
        <v>39.5116020899085</v>
      </c>
      <c r="H74" s="26" t="n">
        <f aca="false">datos_base!$D$10*parametros_recargas!I$63+sobrestock_sustitutos!$C$59/12</f>
        <v>40.49876244797</v>
      </c>
      <c r="I74" s="26" t="n">
        <f aca="false">datos_base!$D$10*parametros_recargas!J$63+sobrestock_sustitutos!$C$59/12</f>
        <v>39.6730745352425</v>
      </c>
      <c r="J74" s="26" t="n">
        <f aca="false">datos_base!$D$10*parametros_recargas!K$63+sobrestock_sustitutos!$C$59/12</f>
        <v>32.5426639344279</v>
      </c>
      <c r="K74" s="26" t="n">
        <f aca="false">datos_base!$D$10*parametros_recargas!L$63+sobrestock_sustitutos!$C$59/12</f>
        <v>33.9187261882492</v>
      </c>
      <c r="L74" s="26" t="n">
        <f aca="false">datos_base!$D$10*parametros_recargas!M$63+sobrestock_sustitutos!$C$59/12</f>
        <v>34.7444141009766</v>
      </c>
      <c r="M74" s="26" t="n">
        <f aca="false">datos_base!$D$10*parametros_recargas!N$63+sobrestock_sustitutos!$C$59/12</f>
        <v>34.7444141009766</v>
      </c>
      <c r="N74" s="26" t="n">
        <f aca="false">datos_base!$D$10*parametros_recargas!O$63+sobrestock_sustitutos!$C$59/12</f>
        <v>33.7572537429151</v>
      </c>
      <c r="O74" s="26" t="n">
        <f aca="false">datos_base!$D$10*parametros_recargas!P$63+sobrestock_sustitutos!$C$59/12</f>
        <v>34.5829416556425</v>
      </c>
      <c r="P74" s="12" t="n">
        <f aca="false">SUM(D74:O74)</f>
        <v>417.00352321421</v>
      </c>
    </row>
    <row r="75" customFormat="false" ht="15" hidden="false" customHeight="false" outlineLevel="0" collapsed="false">
      <c r="A75" s="6" t="str">
        <f aca="false">parametros_recargas!A64</f>
        <v>CO₂ 2 kg</v>
      </c>
      <c r="B75" s="6" t="str">
        <f aca="false">parametros_recargas!B64</f>
        <v>CO₂</v>
      </c>
      <c r="C75" s="14" t="n">
        <f aca="false">parametros_recargas!C64</f>
        <v>1</v>
      </c>
      <c r="D75" s="26" t="n">
        <f aca="false">datos_base!$D$11*parametros_recargas!E$64+sobrestock_sustitutos!$C$60/12</f>
        <v>136.469652673139</v>
      </c>
      <c r="E75" s="26" t="n">
        <f aca="false">datos_base!$D$11*parametros_recargas!F$64+sobrestock_sustitutos!$C$60/12</f>
        <v>136.469652673139</v>
      </c>
      <c r="F75" s="26" t="n">
        <f aca="false">datos_base!$D$11*parametros_recargas!G$64+sobrestock_sustitutos!$C$60/12</f>
        <v>183.251953544995</v>
      </c>
      <c r="G75" s="26" t="n">
        <f aca="false">datos_base!$D$11*parametros_recargas!H$64+sobrestock_sustitutos!$C$60/12</f>
        <v>227.253281321059</v>
      </c>
      <c r="H75" s="26" t="n">
        <f aca="false">datos_base!$D$11*parametros_recargas!I$64+sobrestock_sustitutos!$C$60/12</f>
        <v>228.170547111156</v>
      </c>
      <c r="I75" s="26" t="n">
        <f aca="false">datos_base!$D$11*parametros_recargas!J$64+sobrestock_sustitutos!$C$60/12</f>
        <v>225.284311363526</v>
      </c>
      <c r="J75" s="26" t="n">
        <f aca="false">datos_base!$D$11*parametros_recargas!K$64+sobrestock_sustitutos!$C$60/12</f>
        <v>177.073480480606</v>
      </c>
      <c r="K75" s="26" t="n">
        <f aca="false">datos_base!$D$11*parametros_recargas!L$64+sobrestock_sustitutos!$C$60/12</f>
        <v>176.533040534137</v>
      </c>
      <c r="L75" s="26" t="n">
        <f aca="false">datos_base!$D$11*parametros_recargas!M$64+sobrestock_sustitutos!$C$60/12</f>
        <v>179.419276281767</v>
      </c>
      <c r="M75" s="26" t="n">
        <f aca="false">datos_base!$D$11*parametros_recargas!N$64+sobrestock_sustitutos!$C$60/12</f>
        <v>179.419276281767</v>
      </c>
      <c r="N75" s="26" t="n">
        <f aca="false">datos_base!$D$11*parametros_recargas!O$64+sobrestock_sustitutos!$C$60/12</f>
        <v>178.50201049167</v>
      </c>
      <c r="O75" s="26" t="n">
        <f aca="false">datos_base!$D$11*parametros_recargas!P$64+sobrestock_sustitutos!$C$60/12</f>
        <v>181.3882462393</v>
      </c>
      <c r="P75" s="12" t="n">
        <f aca="false">SUM(D75:O75)</f>
        <v>2209.23472899626</v>
      </c>
    </row>
    <row r="76" customFormat="false" ht="15" hidden="false" customHeight="false" outlineLevel="0" collapsed="false">
      <c r="A76" s="6" t="str">
        <f aca="false">parametros_recargas!A65</f>
        <v>CO₂ 5 kg</v>
      </c>
      <c r="B76" s="6" t="str">
        <f aca="false">parametros_recargas!B65</f>
        <v>CO₂</v>
      </c>
      <c r="C76" s="14" t="n">
        <f aca="false">parametros_recargas!C65</f>
        <v>1</v>
      </c>
      <c r="D76" s="26" t="n">
        <f aca="false">datos_base!$D$12*parametros_recargas!E$65+sobrestock_sustitutos!$C$61/12</f>
        <v>58.6147137557698</v>
      </c>
      <c r="E76" s="26" t="n">
        <f aca="false">datos_base!$D$12*parametros_recargas!F$65+sobrestock_sustitutos!$C$61/12</f>
        <v>58.6147137557698</v>
      </c>
      <c r="F76" s="26" t="n">
        <f aca="false">datos_base!$D$12*parametros_recargas!G$65+sobrestock_sustitutos!$C$61/12</f>
        <v>63.5606190944795</v>
      </c>
      <c r="G76" s="26" t="n">
        <f aca="false">datos_base!$D$12*parametros_recargas!H$65+sobrestock_sustitutos!$C$61/12</f>
        <v>70.4131753022307</v>
      </c>
      <c r="H76" s="26" t="n">
        <f aca="false">datos_base!$D$12*parametros_recargas!I$65+sobrestock_sustitutos!$C$61/12</f>
        <v>71.5906755086405</v>
      </c>
      <c r="I76" s="26" t="n">
        <f aca="false">datos_base!$D$12*parametros_recargas!J$65+sobrestock_sustitutos!$C$61/12</f>
        <v>68.2790059018861</v>
      </c>
      <c r="J76" s="26" t="n">
        <f aca="false">datos_base!$D$12*parametros_recargas!K$65+sobrestock_sustitutos!$C$61/12</f>
        <v>60.3741177414722</v>
      </c>
      <c r="K76" s="26" t="n">
        <f aca="false">datos_base!$D$12*parametros_recargas!L$65+sobrestock_sustitutos!$C$61/12</f>
        <v>61.198931162832</v>
      </c>
      <c r="L76" s="26" t="n">
        <f aca="false">datos_base!$D$12*parametros_recargas!M$65+sobrestock_sustitutos!$C$61/12</f>
        <v>63.8023869066821</v>
      </c>
      <c r="M76" s="26" t="n">
        <f aca="false">datos_base!$D$12*parametros_recargas!N$65+sobrestock_sustitutos!$C$61/12</f>
        <v>63.8023869066821</v>
      </c>
      <c r="N76" s="26" t="n">
        <f aca="false">datos_base!$D$12*parametros_recargas!O$65+sobrestock_sustitutos!$C$61/12</f>
        <v>62.6248867002722</v>
      </c>
      <c r="O76" s="26" t="n">
        <f aca="false">datos_base!$D$12*parametros_recargas!P$65+sobrestock_sustitutos!$C$61/12</f>
        <v>65.9365563070266</v>
      </c>
      <c r="P76" s="12" t="n">
        <f aca="false">SUM(D76:O76)</f>
        <v>768.812169043744</v>
      </c>
    </row>
    <row r="77" customFormat="false" ht="15" hidden="false" customHeight="false" outlineLevel="0" collapsed="false">
      <c r="A77" s="6" t="str">
        <f aca="false">parametros_recargas!A66</f>
        <v>HCFC/HFC 5 kg</v>
      </c>
      <c r="B77" s="6" t="str">
        <f aca="false">parametros_recargas!B66</f>
        <v>Halogenado</v>
      </c>
      <c r="C77" s="14" t="n">
        <f aca="false">parametros_recargas!C66</f>
        <v>1</v>
      </c>
      <c r="D77" s="26" t="n">
        <f aca="false">datos_base!$D$13*parametros_recargas!E$66+sobrestock_sustitutos!$C$62/12</f>
        <v>11.5719179325907</v>
      </c>
      <c r="E77" s="26" t="n">
        <f aca="false">datos_base!$D$13*parametros_recargas!F$66+sobrestock_sustitutos!$C$62/12</f>
        <v>11.5719179325907</v>
      </c>
      <c r="F77" s="26" t="n">
        <f aca="false">datos_base!$D$13*parametros_recargas!G$66+sobrestock_sustitutos!$C$62/12</f>
        <v>10.8344268782775</v>
      </c>
      <c r="G77" s="26" t="n">
        <f aca="false">datos_base!$D$13*parametros_recargas!H$66+sobrestock_sustitutos!$C$62/12</f>
        <v>10.8344268782775</v>
      </c>
      <c r="H77" s="26" t="n">
        <f aca="false">datos_base!$D$13*parametros_recargas!I$66+sobrestock_sustitutos!$C$62/12</f>
        <v>10.8344268782775</v>
      </c>
      <c r="I77" s="26" t="n">
        <f aca="false">datos_base!$D$13*parametros_recargas!J$66+sobrestock_sustitutos!$C$62/12</f>
        <v>10.0969358239643</v>
      </c>
      <c r="J77" s="26" t="n">
        <f aca="false">datos_base!$D$13*parametros_recargas!K$66+sobrestock_sustitutos!$C$62/12</f>
        <v>10.0969358239643</v>
      </c>
      <c r="K77" s="26" t="n">
        <f aca="false">datos_base!$D$13*parametros_recargas!L$66+sobrestock_sustitutos!$C$62/12</f>
        <v>10.0969358239643</v>
      </c>
      <c r="L77" s="26" t="n">
        <f aca="false">datos_base!$D$13*parametros_recargas!M$66+sobrestock_sustitutos!$C$62/12</f>
        <v>10.8344268782775</v>
      </c>
      <c r="M77" s="26" t="n">
        <f aca="false">datos_base!$D$13*parametros_recargas!N$66+sobrestock_sustitutos!$C$62/12</f>
        <v>10.8344268782775</v>
      </c>
      <c r="N77" s="26" t="n">
        <f aca="false">datos_base!$D$13*parametros_recargas!O$66+sobrestock_sustitutos!$C$62/12</f>
        <v>10.8344268782775</v>
      </c>
      <c r="O77" s="26" t="n">
        <f aca="false">datos_base!$D$13*parametros_recargas!P$66+sobrestock_sustitutos!$C$62/12</f>
        <v>11.5719179325907</v>
      </c>
      <c r="P77" s="12" t="n">
        <f aca="false">SUM(D77:O77)</f>
        <v>130.01312253933</v>
      </c>
    </row>
    <row r="78" customFormat="false" ht="15" hidden="false" customHeight="false" outlineLevel="0" collapsed="false">
      <c r="A78" s="6" t="str">
        <f aca="false">parametros_recargas!A67</f>
        <v>Clase D 9 l</v>
      </c>
      <c r="B78" s="6" t="str">
        <f aca="false">parametros_recargas!B67</f>
        <v>Clase D</v>
      </c>
      <c r="C78" s="14" t="n">
        <f aca="false">parametros_recargas!C67</f>
        <v>1</v>
      </c>
      <c r="D78" s="26" t="n">
        <f aca="false">datos_base!$D$14*parametros_recargas!E$67+sobrestock_sustitutos!$C$63/12</f>
        <v>4.19092332720213</v>
      </c>
      <c r="E78" s="26" t="n">
        <f aca="false">datos_base!$D$14*parametros_recargas!F$67+sobrestock_sustitutos!$C$63/12</f>
        <v>4.19092332720213</v>
      </c>
      <c r="F78" s="26" t="n">
        <f aca="false">datos_base!$D$14*parametros_recargas!G$67+sobrestock_sustitutos!$C$63/12</f>
        <v>4.19092332720213</v>
      </c>
      <c r="G78" s="26" t="n">
        <f aca="false">datos_base!$D$14*parametros_recargas!H$67+sobrestock_sustitutos!$C$63/12</f>
        <v>4.19092332720213</v>
      </c>
      <c r="H78" s="26" t="n">
        <f aca="false">datos_base!$D$14*parametros_recargas!I$67+sobrestock_sustitutos!$C$63/12</f>
        <v>4.19092332720213</v>
      </c>
      <c r="I78" s="26" t="n">
        <f aca="false">datos_base!$D$14*parametros_recargas!J$67+sobrestock_sustitutos!$C$63/12</f>
        <v>4.19092332720213</v>
      </c>
      <c r="J78" s="26" t="n">
        <f aca="false">datos_base!$D$14*parametros_recargas!K$67+sobrestock_sustitutos!$C$63/12</f>
        <v>4.19092332720213</v>
      </c>
      <c r="K78" s="26" t="n">
        <f aca="false">datos_base!$D$14*parametros_recargas!L$67+sobrestock_sustitutos!$C$63/12</f>
        <v>4.19092332720213</v>
      </c>
      <c r="L78" s="26" t="n">
        <f aca="false">datos_base!$D$14*parametros_recargas!M$67+sobrestock_sustitutos!$C$63/12</f>
        <v>4.19092332720213</v>
      </c>
      <c r="M78" s="26" t="n">
        <f aca="false">datos_base!$D$14*parametros_recargas!N$67+sobrestock_sustitutos!$C$63/12</f>
        <v>4.19092332720213</v>
      </c>
      <c r="N78" s="26" t="n">
        <f aca="false">datos_base!$D$14*parametros_recargas!O$67+sobrestock_sustitutos!$C$63/12</f>
        <v>4.19092332720213</v>
      </c>
      <c r="O78" s="26" t="n">
        <f aca="false">datos_base!$D$14*parametros_recargas!P$67+sobrestock_sustitutos!$C$63/12</f>
        <v>4.19092332720213</v>
      </c>
      <c r="P78" s="12" t="n">
        <f aca="false">SUM(D78:O78)</f>
        <v>50.2910799264256</v>
      </c>
    </row>
    <row r="79" customFormat="false" ht="15" hidden="false" customHeight="false" outlineLevel="0" collapsed="false">
      <c r="A79" s="6" t="str">
        <f aca="false">parametros_recargas!A68</f>
        <v>ABC 25 kg s/ruedas</v>
      </c>
      <c r="B79" s="6" t="str">
        <f aca="false">parametros_recargas!B68</f>
        <v>ABC</v>
      </c>
      <c r="C79" s="14" t="n">
        <f aca="false">parametros_recargas!C68</f>
        <v>6.360853875</v>
      </c>
      <c r="D79" s="26" t="n">
        <f aca="false">datos_base!$D$15*parametros_recargas!E$68+sobrestock_sustitutos!$C$64/12</f>
        <v>7.76918245128854</v>
      </c>
      <c r="E79" s="26" t="n">
        <f aca="false">datos_base!$D$15*parametros_recargas!F$68+sobrestock_sustitutos!$C$64/12</f>
        <v>7.76918245128854</v>
      </c>
      <c r="F79" s="26" t="n">
        <f aca="false">datos_base!$D$15*parametros_recargas!G$68+sobrestock_sustitutos!$C$64/12</f>
        <v>8.6457819997905</v>
      </c>
      <c r="G79" s="26" t="n">
        <f aca="false">datos_base!$D$15*parametros_recargas!H$68+sobrestock_sustitutos!$C$64/12</f>
        <v>9.80810528671708</v>
      </c>
      <c r="H79" s="26" t="n">
        <f aca="false">datos_base!$D$15*parametros_recargas!I$68+sobrestock_sustitutos!$C$64/12</f>
        <v>9.85530085825085</v>
      </c>
      <c r="I79" s="26" t="n">
        <f aca="false">datos_base!$D$15*parametros_recargas!J$68+sobrestock_sustitutos!$C$64/12</f>
        <v>9.47128355812125</v>
      </c>
      <c r="J79" s="26" t="n">
        <f aca="false">datos_base!$D$15*parametros_recargas!K$68+sobrestock_sustitutos!$C$64/12</f>
        <v>8.18902013304153</v>
      </c>
      <c r="K79" s="26" t="n">
        <f aca="false">datos_base!$D$15*parametros_recargas!L$68+sobrestock_sustitutos!$C$64/12</f>
        <v>8.25786228102347</v>
      </c>
      <c r="L79" s="26" t="n">
        <f aca="false">datos_base!$D$15*parametros_recargas!M$68+sobrestock_sustitutos!$C$64/12</f>
        <v>8.64187958115306</v>
      </c>
      <c r="M79" s="26" t="n">
        <f aca="false">datos_base!$D$15*parametros_recargas!N$68+sobrestock_sustitutos!$C$64/12</f>
        <v>8.64187958115306</v>
      </c>
      <c r="N79" s="26" t="n">
        <f aca="false">datos_base!$D$15*parametros_recargas!O$68+sobrestock_sustitutos!$C$64/12</f>
        <v>8.59468400961929</v>
      </c>
      <c r="O79" s="26" t="n">
        <f aca="false">datos_base!$D$15*parametros_recargas!P$68+sobrestock_sustitutos!$C$64/12</f>
        <v>8.97870130974888</v>
      </c>
      <c r="P79" s="12" t="n">
        <f aca="false">SUM(D79:O79)</f>
        <v>104.622863501196</v>
      </c>
    </row>
    <row r="80" customFormat="false" ht="15" hidden="false" customHeight="false" outlineLevel="0" collapsed="false">
      <c r="A80" s="6" t="str">
        <f aca="false">parametros_recargas!A69</f>
        <v>ABC 50 kg s/ruedas</v>
      </c>
      <c r="B80" s="6" t="str">
        <f aca="false">parametros_recargas!B69</f>
        <v>ABC</v>
      </c>
      <c r="C80" s="14" t="n">
        <f aca="false">parametros_recargas!C69</f>
        <v>6.360853875</v>
      </c>
      <c r="D80" s="26" t="n">
        <f aca="false">datos_base!$D$16*parametros_recargas!E$69+sobrestock_sustitutos!$C$65/12</f>
        <v>17.0755561011955</v>
      </c>
      <c r="E80" s="26" t="n">
        <f aca="false">datos_base!$D$16*parametros_recargas!F$69+sobrestock_sustitutos!$C$65/12</f>
        <v>17.0755561011955</v>
      </c>
      <c r="F80" s="26" t="n">
        <f aca="false">datos_base!$D$16*parametros_recargas!G$69+sobrestock_sustitutos!$C$65/12</f>
        <v>19.0040692486591</v>
      </c>
      <c r="G80" s="26" t="n">
        <f aca="false">datos_base!$D$16*parametros_recargas!H$69+sobrestock_sustitutos!$C$65/12</f>
        <v>21.5611628196137</v>
      </c>
      <c r="H80" s="26" t="n">
        <f aca="false">datos_base!$D$16*parametros_recargas!I$69+sobrestock_sustitutos!$C$65/12</f>
        <v>21.6649663207016</v>
      </c>
      <c r="I80" s="26" t="n">
        <f aca="false">datos_base!$D$16*parametros_recargas!J$69+sobrestock_sustitutos!$C$65/12</f>
        <v>20.8201515265632</v>
      </c>
      <c r="J80" s="26" t="n">
        <f aca="false">datos_base!$D$16*parametros_recargas!K$69+sobrestock_sustitutos!$C$65/12</f>
        <v>17.9992355186529</v>
      </c>
      <c r="K80" s="26" t="n">
        <f aca="false">datos_base!$D$16*parametros_recargas!L$69+sobrestock_sustitutos!$C$65/12</f>
        <v>18.1506270860491</v>
      </c>
      <c r="L80" s="26" t="n">
        <f aca="false">datos_base!$D$16*parametros_recargas!M$69+sobrestock_sustitutos!$C$65/12</f>
        <v>18.9954418801875</v>
      </c>
      <c r="M80" s="26" t="n">
        <f aca="false">datos_base!$D$16*parametros_recargas!N$69+sobrestock_sustitutos!$C$65/12</f>
        <v>18.9954418801875</v>
      </c>
      <c r="N80" s="26" t="n">
        <f aca="false">datos_base!$D$16*parametros_recargas!O$69+sobrestock_sustitutos!$C$65/12</f>
        <v>18.8916383790996</v>
      </c>
      <c r="O80" s="26" t="n">
        <f aca="false">datos_base!$D$16*parametros_recargas!P$69+sobrestock_sustitutos!$C$65/12</f>
        <v>19.7364531732381</v>
      </c>
      <c r="P80" s="12" t="n">
        <f aca="false">SUM(D80:O80)</f>
        <v>229.970300035343</v>
      </c>
    </row>
    <row r="81" customFormat="false" ht="15" hidden="false" customHeight="false" outlineLevel="0" collapsed="false">
      <c r="A81" s="6" t="str">
        <f aca="false">parametros_recargas!A70</f>
        <v>ABC 70 kg s/ruedas</v>
      </c>
      <c r="B81" s="6" t="str">
        <f aca="false">parametros_recargas!B70</f>
        <v>ABC</v>
      </c>
      <c r="C81" s="14" t="n">
        <f aca="false">parametros_recargas!C70</f>
        <v>6.360853875</v>
      </c>
      <c r="D81" s="26" t="n">
        <f aca="false">datos_base!$D$17*parametros_recargas!E$70+sobrestock_sustitutos!$C$66/12</f>
        <v>3.77254623628893</v>
      </c>
      <c r="E81" s="26" t="n">
        <f aca="false">datos_base!$D$17*parametros_recargas!F$70+sobrestock_sustitutos!$C$66/12</f>
        <v>3.77254623628893</v>
      </c>
      <c r="F81" s="26" t="n">
        <f aca="false">datos_base!$D$17*parametros_recargas!G$70+sobrestock_sustitutos!$C$66/12</f>
        <v>4.19330790331093</v>
      </c>
      <c r="G81" s="26" t="n">
        <f aca="false">datos_base!$D$17*parametros_recargas!H$70+sobrestock_sustitutos!$C$66/12</f>
        <v>4.75123402512939</v>
      </c>
      <c r="H81" s="26" t="n">
        <f aca="false">datos_base!$D$17*parametros_recargas!I$70+sobrestock_sustitutos!$C$66/12</f>
        <v>4.77387195626557</v>
      </c>
      <c r="I81" s="26" t="n">
        <f aca="false">datos_base!$D$17*parametros_recargas!J$70+sobrestock_sustitutos!$C$66/12</f>
        <v>4.58954657940346</v>
      </c>
      <c r="J81" s="26" t="n">
        <f aca="false">datos_base!$D$17*parametros_recargas!K$70+sobrestock_sustitutos!$C$66/12</f>
        <v>3.9740830998479</v>
      </c>
      <c r="K81" s="26" t="n">
        <f aca="false">datos_base!$D$17*parametros_recargas!L$70+sobrestock_sustitutos!$C$66/12</f>
        <v>4.00709746665553</v>
      </c>
      <c r="L81" s="26" t="n">
        <f aca="false">datos_base!$D$17*parametros_recargas!M$70+sobrestock_sustitutos!$C$66/12</f>
        <v>4.19142284351764</v>
      </c>
      <c r="M81" s="26" t="n">
        <f aca="false">datos_base!$D$17*parametros_recargas!N$70+sobrestock_sustitutos!$C$66/12</f>
        <v>4.19142284351764</v>
      </c>
      <c r="N81" s="26" t="n">
        <f aca="false">datos_base!$D$17*parametros_recargas!O$70+sobrestock_sustitutos!$C$66/12</f>
        <v>4.16878491238146</v>
      </c>
      <c r="O81" s="26" t="n">
        <f aca="false">datos_base!$D$17*parametros_recargas!P$70+sobrestock_sustitutos!$C$66/12</f>
        <v>4.35311028924357</v>
      </c>
      <c r="P81" s="12" t="n">
        <f aca="false">SUM(D81:O81)</f>
        <v>50.7389743918509</v>
      </c>
    </row>
    <row r="82" customFormat="false" ht="15" hidden="false" customHeight="false" outlineLevel="0" collapsed="false">
      <c r="A82" s="6" t="str">
        <f aca="false">parametros_recargas!A71</f>
        <v>ABC 100 kg s/ruedas</v>
      </c>
      <c r="B82" s="6" t="str">
        <f aca="false">parametros_recargas!B71</f>
        <v>ABC</v>
      </c>
      <c r="C82" s="14" t="n">
        <f aca="false">parametros_recargas!C71</f>
        <v>6.360853875</v>
      </c>
      <c r="D82" s="26" t="n">
        <f aca="false">datos_base!$D$18*parametros_recargas!E$71+sobrestock_sustitutos!$C$67/12</f>
        <v>2.54283063166233</v>
      </c>
      <c r="E82" s="26" t="n">
        <f aca="false">datos_base!$D$18*parametros_recargas!F$71+sobrestock_sustitutos!$C$67/12</f>
        <v>2.54283063166233</v>
      </c>
      <c r="F82" s="26" t="n">
        <f aca="false">datos_base!$D$18*parametros_recargas!G$71+sobrestock_sustitutos!$C$67/12</f>
        <v>2.82332928450927</v>
      </c>
      <c r="G82" s="26" t="n">
        <f aca="false">datos_base!$D$18*parametros_recargas!H$71+sobrestock_sustitutos!$C$67/12</f>
        <v>3.19525380713034</v>
      </c>
      <c r="H82" s="26" t="n">
        <f aca="false">datos_base!$D$18*parametros_recargas!I$71+sobrestock_sustitutos!$C$67/12</f>
        <v>3.21034576138938</v>
      </c>
      <c r="I82" s="26" t="n">
        <f aca="false">datos_base!$D$18*parametros_recargas!J$71+sobrestock_sustitutos!$C$67/12</f>
        <v>3.08746217544466</v>
      </c>
      <c r="J82" s="26" t="n">
        <f aca="false">datos_base!$D$18*parametros_recargas!K$71+sobrestock_sustitutos!$C$67/12</f>
        <v>2.67717086334973</v>
      </c>
      <c r="K82" s="26" t="n">
        <f aca="false">datos_base!$D$18*parametros_recargas!L$71+sobrestock_sustitutos!$C$67/12</f>
        <v>2.69917189091205</v>
      </c>
      <c r="L82" s="26" t="n">
        <f aca="false">datos_base!$D$18*parametros_recargas!M$71+sobrestock_sustitutos!$C$67/12</f>
        <v>2.82205547685677</v>
      </c>
      <c r="M82" s="26" t="n">
        <f aca="false">datos_base!$D$18*parametros_recargas!N$71+sobrestock_sustitutos!$C$67/12</f>
        <v>2.82205547685677</v>
      </c>
      <c r="N82" s="26" t="n">
        <f aca="false">datos_base!$D$18*parametros_recargas!O$71+sobrestock_sustitutos!$C$67/12</f>
        <v>2.80696352259773</v>
      </c>
      <c r="O82" s="26" t="n">
        <f aca="false">datos_base!$D$18*parametros_recargas!P$71+sobrestock_sustitutos!$C$67/12</f>
        <v>2.92984710854245</v>
      </c>
      <c r="P82" s="12" t="n">
        <f aca="false">SUM(D82:O82)</f>
        <v>34.1593166309138</v>
      </c>
    </row>
    <row r="83" customFormat="false" ht="15" hidden="false" customHeight="false" outlineLevel="0" collapsed="false">
      <c r="A83" s="4" t="s">
        <v>385</v>
      </c>
      <c r="D83" s="12" t="n">
        <f aca="false">SUM(D66:D82)</f>
        <v>3183.54866311072</v>
      </c>
      <c r="E83" s="12" t="n">
        <f aca="false">SUM(E66:E82)</f>
        <v>2753.9572849405</v>
      </c>
      <c r="F83" s="12" t="n">
        <f aca="false">SUM(F66:F82)</f>
        <v>2626.26453793105</v>
      </c>
      <c r="G83" s="12" t="n">
        <f aca="false">SUM(G66:G82)</f>
        <v>2909.10951004048</v>
      </c>
      <c r="H83" s="12" t="n">
        <f aca="false">SUM(H66:H82)</f>
        <v>2930.80240486539</v>
      </c>
      <c r="I83" s="12" t="n">
        <f aca="false">SUM(I66:I82)</f>
        <v>2903.04448977823</v>
      </c>
      <c r="J83" s="12" t="n">
        <f aca="false">SUM(J66:J82)</f>
        <v>2572.24851108447</v>
      </c>
      <c r="K83" s="12" t="n">
        <f aca="false">SUM(K66:K82)</f>
        <v>2595.08083835522</v>
      </c>
      <c r="L83" s="12" t="n">
        <f aca="false">SUM(L66:L82)</f>
        <v>2618.84169208124</v>
      </c>
      <c r="M83" s="12" t="n">
        <f aca="false">SUM(M66:M82)</f>
        <v>2618.84169208124</v>
      </c>
      <c r="N83" s="12" t="n">
        <f aca="false">SUM(N66:N82)</f>
        <v>3026.74017542655</v>
      </c>
      <c r="O83" s="12" t="n">
        <f aca="false">SUM(O66:O82)</f>
        <v>3484.08946868393</v>
      </c>
      <c r="P83" s="12" t="n">
        <f aca="false">SUM(P66:P82)</f>
        <v>34222.569268379</v>
      </c>
    </row>
    <row r="84" customFormat="false" ht="15" hidden="false" customHeight="false" outlineLevel="0" collapsed="false">
      <c r="A84" s="4" t="s">
        <v>386</v>
      </c>
    </row>
    <row r="85" customFormat="false" ht="15" hidden="false" customHeight="false" outlineLevel="0" collapsed="false">
      <c r="A85" s="5" t="s">
        <v>165</v>
      </c>
      <c r="D85" s="26" t="n">
        <f aca="false">SUMPRODUCT(($B$66:$B$82=$A85)*D$66:D$82*$C$66:$C$82)</f>
        <v>3028.69757588693</v>
      </c>
      <c r="E85" s="26" t="n">
        <f aca="false">SUMPRODUCT(($B$66:$B$82=$A85)*E$66:E$82*$C$66:$C$82)</f>
        <v>2599.10619771672</v>
      </c>
      <c r="F85" s="26" t="n">
        <f aca="false">SUMPRODUCT(($B$66:$B$82=$A85)*F$66:F$82*$C$66:$C$82)</f>
        <v>2420.46011575022</v>
      </c>
      <c r="G85" s="26" t="n">
        <f aca="false">SUMPRODUCT(($B$66:$B$82=$A85)*G$66:G$82*$C$66:$C$82)</f>
        <v>2659.27656299891</v>
      </c>
      <c r="H85" s="26" t="n">
        <f aca="false">SUMPRODUCT(($B$66:$B$82=$A85)*H$66:H$82*$C$66:$C$82)</f>
        <v>2678.39140183474</v>
      </c>
      <c r="I85" s="26" t="n">
        <f aca="false">SUMPRODUCT(($B$66:$B$82=$A85)*I$66:I$82*$C$66:$C$82)</f>
        <v>2652.55091017295</v>
      </c>
      <c r="J85" s="26" t="n">
        <f aca="false">SUMPRODUCT(($B$66:$B$82=$A85)*J$66:J$82*$C$66:$C$82)</f>
        <v>2372.3552680054</v>
      </c>
      <c r="K85" s="26" t="n">
        <f aca="false">SUMPRODUCT(($B$66:$B$82=$A85)*K$66:K$82*$C$66:$C$82)</f>
        <v>2394.87996114326</v>
      </c>
      <c r="L85" s="26" t="n">
        <f aca="false">SUMPRODUCT(($B$66:$B$82=$A85)*L$66:L$82*$C$66:$C$82)</f>
        <v>2417.5815859834</v>
      </c>
      <c r="M85" s="26" t="n">
        <f aca="false">SUMPRODUCT(($B$66:$B$82=$A85)*M$66:M$82*$C$66:$C$82)</f>
        <v>2417.5815859834</v>
      </c>
      <c r="N85" s="26" t="n">
        <f aca="false">SUMPRODUCT(($B$66:$B$82=$A85)*N$66:N$82*$C$66:$C$82)</f>
        <v>2828.05812531779</v>
      </c>
      <c r="O85" s="26" t="n">
        <f aca="false">SUMPRODUCT(($B$66:$B$82=$A85)*O$66:O$82*$C$66:$C$82)</f>
        <v>3283.4899951498</v>
      </c>
      <c r="P85" s="26" t="n">
        <f aca="false">SUMPRODUCT(($B$66:$B$82=$A85)*P$66:P$82*$C$66:$C$82)</f>
        <v>31752.4292859435</v>
      </c>
    </row>
    <row r="86" customFormat="false" ht="15" hidden="false" customHeight="false" outlineLevel="0" collapsed="false">
      <c r="A86" s="5" t="s">
        <v>166</v>
      </c>
      <c r="D86" s="26" t="n">
        <f aca="false">SUMPRODUCT(($B$66:$B$82=$A86)*D$66:D$82*$C$66:$C$82)</f>
        <v>4.19092332720213</v>
      </c>
      <c r="E86" s="26" t="n">
        <f aca="false">SUMPRODUCT(($B$66:$B$82=$A86)*E$66:E$82*$C$66:$C$82)</f>
        <v>4.19092332720213</v>
      </c>
      <c r="F86" s="26" t="n">
        <f aca="false">SUMPRODUCT(($B$66:$B$82=$A86)*F$66:F$82*$C$66:$C$82)</f>
        <v>4.19092332720213</v>
      </c>
      <c r="G86" s="26" t="n">
        <f aca="false">SUMPRODUCT(($B$66:$B$82=$A86)*G$66:G$82*$C$66:$C$82)</f>
        <v>4.19092332720213</v>
      </c>
      <c r="H86" s="26" t="n">
        <f aca="false">SUMPRODUCT(($B$66:$B$82=$A86)*H$66:H$82*$C$66:$C$82)</f>
        <v>4.19092332720213</v>
      </c>
      <c r="I86" s="26" t="n">
        <f aca="false">SUMPRODUCT(($B$66:$B$82=$A86)*I$66:I$82*$C$66:$C$82)</f>
        <v>4.19092332720213</v>
      </c>
      <c r="J86" s="26" t="n">
        <f aca="false">SUMPRODUCT(($B$66:$B$82=$A86)*J$66:J$82*$C$66:$C$82)</f>
        <v>4.19092332720213</v>
      </c>
      <c r="K86" s="26" t="n">
        <f aca="false">SUMPRODUCT(($B$66:$B$82=$A86)*K$66:K$82*$C$66:$C$82)</f>
        <v>4.19092332720213</v>
      </c>
      <c r="L86" s="26" t="n">
        <f aca="false">SUMPRODUCT(($B$66:$B$82=$A86)*L$66:L$82*$C$66:$C$82)</f>
        <v>4.19092332720213</v>
      </c>
      <c r="M86" s="26" t="n">
        <f aca="false">SUMPRODUCT(($B$66:$B$82=$A86)*M$66:M$82*$C$66:$C$82)</f>
        <v>4.19092332720213</v>
      </c>
      <c r="N86" s="26" t="n">
        <f aca="false">SUMPRODUCT(($B$66:$B$82=$A86)*N$66:N$82*$C$66:$C$82)</f>
        <v>4.19092332720213</v>
      </c>
      <c r="O86" s="26" t="n">
        <f aca="false">SUMPRODUCT(($B$66:$B$82=$A86)*O$66:O$82*$C$66:$C$82)</f>
        <v>4.19092332720213</v>
      </c>
      <c r="P86" s="26" t="n">
        <f aca="false">SUMPRODUCT(($B$66:$B$82=$A86)*P$66:P$82*$C$66:$C$82)</f>
        <v>50.2910799264256</v>
      </c>
    </row>
    <row r="87" customFormat="false" ht="15" hidden="false" customHeight="false" outlineLevel="0" collapsed="false">
      <c r="A87" s="5" t="s">
        <v>167</v>
      </c>
      <c r="D87" s="26" t="n">
        <f aca="false">SUMPRODUCT(($B$66:$B$82=$A87)*D$66:D$82*$C$66:$C$82)</f>
        <v>4.19092332720213</v>
      </c>
      <c r="E87" s="26" t="n">
        <f aca="false">SUMPRODUCT(($B$66:$B$82=$A87)*E$66:E$82*$C$66:$C$82)</f>
        <v>4.19092332720213</v>
      </c>
      <c r="F87" s="26" t="n">
        <f aca="false">SUMPRODUCT(($B$66:$B$82=$A87)*F$66:F$82*$C$66:$C$82)</f>
        <v>4.19092332720213</v>
      </c>
      <c r="G87" s="26" t="n">
        <f aca="false">SUMPRODUCT(($B$66:$B$82=$A87)*G$66:G$82*$C$66:$C$82)</f>
        <v>4.19092332720213</v>
      </c>
      <c r="H87" s="26" t="n">
        <f aca="false">SUMPRODUCT(($B$66:$B$82=$A87)*H$66:H$82*$C$66:$C$82)</f>
        <v>4.19092332720213</v>
      </c>
      <c r="I87" s="26" t="n">
        <f aca="false">SUMPRODUCT(($B$66:$B$82=$A87)*I$66:I$82*$C$66:$C$82)</f>
        <v>4.19092332720213</v>
      </c>
      <c r="J87" s="26" t="n">
        <f aca="false">SUMPRODUCT(($B$66:$B$82=$A87)*J$66:J$82*$C$66:$C$82)</f>
        <v>4.19092332720213</v>
      </c>
      <c r="K87" s="26" t="n">
        <f aca="false">SUMPRODUCT(($B$66:$B$82=$A87)*K$66:K$82*$C$66:$C$82)</f>
        <v>4.19092332720213</v>
      </c>
      <c r="L87" s="26" t="n">
        <f aca="false">SUMPRODUCT(($B$66:$B$82=$A87)*L$66:L$82*$C$66:$C$82)</f>
        <v>4.19092332720213</v>
      </c>
      <c r="M87" s="26" t="n">
        <f aca="false">SUMPRODUCT(($B$66:$B$82=$A87)*M$66:M$82*$C$66:$C$82)</f>
        <v>4.19092332720213</v>
      </c>
      <c r="N87" s="26" t="n">
        <f aca="false">SUMPRODUCT(($B$66:$B$82=$A87)*N$66:N$82*$C$66:$C$82)</f>
        <v>4.19092332720213</v>
      </c>
      <c r="O87" s="26" t="n">
        <f aca="false">SUMPRODUCT(($B$66:$B$82=$A87)*O$66:O$82*$C$66:$C$82)</f>
        <v>4.19092332720213</v>
      </c>
      <c r="P87" s="26" t="n">
        <f aca="false">SUMPRODUCT(($B$66:$B$82=$A87)*P$66:P$82*$C$66:$C$82)</f>
        <v>50.2910799264256</v>
      </c>
    </row>
    <row r="88" customFormat="false" ht="15" hidden="false" customHeight="false" outlineLevel="0" collapsed="false">
      <c r="A88" s="5" t="s">
        <v>168</v>
      </c>
      <c r="D88" s="26" t="n">
        <f aca="false">SUMPRODUCT(($B$66:$B$82=$A88)*D$66:D$82*$C$66:$C$82)</f>
        <v>55.339546303988</v>
      </c>
      <c r="E88" s="26" t="n">
        <f aca="false">SUMPRODUCT(($B$66:$B$82=$A88)*E$66:E$82*$C$66:$C$82)</f>
        <v>55.339546303988</v>
      </c>
      <c r="F88" s="26" t="n">
        <f aca="false">SUMPRODUCT(($B$66:$B$82=$A88)*F$66:F$82*$C$66:$C$82)</f>
        <v>68.1834986815739</v>
      </c>
      <c r="G88" s="26" t="n">
        <f aca="false">SUMPRODUCT(($B$66:$B$82=$A88)*G$66:G$82*$C$66:$C$82)</f>
        <v>81.7243518418413</v>
      </c>
      <c r="H88" s="26" t="n">
        <f aca="false">SUMPRODUCT(($B$66:$B$82=$A88)*H$66:H$82*$C$66:$C$82)</f>
        <v>82.2322298422622</v>
      </c>
      <c r="I88" s="26" t="n">
        <f aca="false">SUMPRODUCT(($B$66:$B$82=$A88)*I$66:I$82*$C$66:$C$82)</f>
        <v>79.841399085344</v>
      </c>
      <c r="J88" s="26" t="n">
        <f aca="false">SUMPRODUCT(($B$66:$B$82=$A88)*J$66:J$82*$C$66:$C$82)</f>
        <v>64.9917252904964</v>
      </c>
      <c r="K88" s="26" t="n">
        <f aca="false">SUMPRODUCT(($B$66:$B$82=$A88)*K$66:K$82*$C$66:$C$82)</f>
        <v>65.1144939512609</v>
      </c>
      <c r="L88" s="26" t="n">
        <f aca="false">SUMPRODUCT(($B$66:$B$82=$A88)*L$66:L$82*$C$66:$C$82)</f>
        <v>67.3553440315943</v>
      </c>
      <c r="M88" s="26" t="n">
        <f aca="false">SUMPRODUCT(($B$66:$B$82=$A88)*M$66:M$82*$C$66:$C$82)</f>
        <v>67.3553440315943</v>
      </c>
      <c r="N88" s="26" t="n">
        <f aca="false">SUMPRODUCT(($B$66:$B$82=$A88)*N$66:N$82*$C$66:$C$82)</f>
        <v>66.8474660311733</v>
      </c>
      <c r="O88" s="26" t="n">
        <f aca="false">SUMPRODUCT(($B$66:$B$82=$A88)*O$66:O$82*$C$66:$C$82)</f>
        <v>69.2382967880916</v>
      </c>
      <c r="P88" s="26" t="n">
        <f aca="false">SUMPRODUCT(($B$66:$B$82=$A88)*P$66:P$82*$C$66:$C$82)</f>
        <v>823.563242183208</v>
      </c>
    </row>
    <row r="89" customFormat="false" ht="15" hidden="false" customHeight="false" outlineLevel="0" collapsed="false">
      <c r="A89" s="5" t="s">
        <v>169</v>
      </c>
      <c r="D89" s="26" t="n">
        <f aca="false">SUMPRODUCT(($B$66:$B$82=$A89)*D$66:D$82*$C$66:$C$82)</f>
        <v>63.6688169099207</v>
      </c>
      <c r="E89" s="26" t="n">
        <f aca="false">SUMPRODUCT(($B$66:$B$82=$A89)*E$66:E$82*$C$66:$C$82)</f>
        <v>63.6688169099207</v>
      </c>
      <c r="F89" s="26" t="n">
        <f aca="false">SUMPRODUCT(($B$66:$B$82=$A89)*F$66:F$82*$C$66:$C$82)</f>
        <v>63.6688169099207</v>
      </c>
      <c r="G89" s="26" t="n">
        <f aca="false">SUMPRODUCT(($B$66:$B$82=$A89)*G$66:G$82*$C$66:$C$82)</f>
        <v>63.6688169099207</v>
      </c>
      <c r="H89" s="26" t="n">
        <f aca="false">SUMPRODUCT(($B$66:$B$82=$A89)*H$66:H$82*$C$66:$C$82)</f>
        <v>63.6688169099207</v>
      </c>
      <c r="I89" s="26" t="n">
        <f aca="false">SUMPRODUCT(($B$66:$B$82=$A89)*I$66:I$82*$C$66:$C$82)</f>
        <v>63.6688169099207</v>
      </c>
      <c r="J89" s="26" t="n">
        <f aca="false">SUMPRODUCT(($B$66:$B$82=$A89)*J$66:J$82*$C$66:$C$82)</f>
        <v>63.6688169099207</v>
      </c>
      <c r="K89" s="26" t="n">
        <f aca="false">SUMPRODUCT(($B$66:$B$82=$A89)*K$66:K$82*$C$66:$C$82)</f>
        <v>63.6688169099207</v>
      </c>
      <c r="L89" s="26" t="n">
        <f aca="false">SUMPRODUCT(($B$66:$B$82=$A89)*L$66:L$82*$C$66:$C$82)</f>
        <v>63.6688169099207</v>
      </c>
      <c r="M89" s="26" t="n">
        <f aca="false">SUMPRODUCT(($B$66:$B$82=$A89)*M$66:M$82*$C$66:$C$82)</f>
        <v>63.6688169099207</v>
      </c>
      <c r="N89" s="26" t="n">
        <f aca="false">SUMPRODUCT(($B$66:$B$82=$A89)*N$66:N$82*$C$66:$C$82)</f>
        <v>63.6688169099207</v>
      </c>
      <c r="O89" s="26" t="n">
        <f aca="false">SUMPRODUCT(($B$66:$B$82=$A89)*O$66:O$82*$C$66:$C$82)</f>
        <v>63.6688169099207</v>
      </c>
      <c r="P89" s="26" t="n">
        <f aca="false">SUMPRODUCT(($B$66:$B$82=$A89)*P$66:P$82*$C$66:$C$82)</f>
        <v>764.025802919049</v>
      </c>
    </row>
    <row r="90" customFormat="false" ht="15" hidden="false" customHeight="false" outlineLevel="0" collapsed="false">
      <c r="A90" s="5" t="s">
        <v>170</v>
      </c>
      <c r="D90" s="26" t="n">
        <f aca="false">SUMPRODUCT(($B$66:$B$82=$A90)*D$66:D$82*$C$66:$C$82)</f>
        <v>29.0379498751913</v>
      </c>
      <c r="E90" s="26" t="n">
        <f aca="false">SUMPRODUCT(($B$66:$B$82=$A90)*E$66:E$82*$C$66:$C$82)</f>
        <v>29.0379498751913</v>
      </c>
      <c r="F90" s="26" t="n">
        <f aca="false">SUMPRODUCT(($B$66:$B$82=$A90)*F$66:F$82*$C$66:$C$82)</f>
        <v>34.9537706675188</v>
      </c>
      <c r="G90" s="26" t="n">
        <f aca="false">SUMPRODUCT(($B$66:$B$82=$A90)*G$66:G$82*$C$66:$C$82)</f>
        <v>39.5116020899085</v>
      </c>
      <c r="H90" s="26" t="n">
        <f aca="false">SUMPRODUCT(($B$66:$B$82=$A90)*H$66:H$82*$C$66:$C$82)</f>
        <v>40.49876244797</v>
      </c>
      <c r="I90" s="26" t="n">
        <f aca="false">SUMPRODUCT(($B$66:$B$82=$A90)*I$66:I$82*$C$66:$C$82)</f>
        <v>39.6730745352425</v>
      </c>
      <c r="J90" s="26" t="n">
        <f aca="false">SUMPRODUCT(($B$66:$B$82=$A90)*J$66:J$82*$C$66:$C$82)</f>
        <v>32.5426639344279</v>
      </c>
      <c r="K90" s="26" t="n">
        <f aca="false">SUMPRODUCT(($B$66:$B$82=$A90)*K$66:K$82*$C$66:$C$82)</f>
        <v>33.9187261882492</v>
      </c>
      <c r="L90" s="26" t="n">
        <f aca="false">SUMPRODUCT(($B$66:$B$82=$A90)*L$66:L$82*$C$66:$C$82)</f>
        <v>34.7444141009766</v>
      </c>
      <c r="M90" s="26" t="n">
        <f aca="false">SUMPRODUCT(($B$66:$B$82=$A90)*M$66:M$82*$C$66:$C$82)</f>
        <v>34.7444141009766</v>
      </c>
      <c r="N90" s="26" t="n">
        <f aca="false">SUMPRODUCT(($B$66:$B$82=$A90)*N$66:N$82*$C$66:$C$82)</f>
        <v>33.7572537429151</v>
      </c>
      <c r="O90" s="26" t="n">
        <f aca="false">SUMPRODUCT(($B$66:$B$82=$A90)*O$66:O$82*$C$66:$C$82)</f>
        <v>34.5829416556425</v>
      </c>
      <c r="P90" s="26" t="n">
        <f aca="false">SUMPRODUCT(($B$66:$B$82=$A90)*P$66:P$82*$C$66:$C$82)</f>
        <v>417.00352321421</v>
      </c>
    </row>
    <row r="91" customFormat="false" ht="15" hidden="false" customHeight="false" outlineLevel="0" collapsed="false">
      <c r="A91" s="5" t="s">
        <v>171</v>
      </c>
      <c r="D91" s="26" t="n">
        <f aca="false">SUMPRODUCT(($B$66:$B$82=$A91)*D$66:D$82*$C$66:$C$82)</f>
        <v>195.084366428909</v>
      </c>
      <c r="E91" s="26" t="n">
        <f aca="false">SUMPRODUCT(($B$66:$B$82=$A91)*E$66:E$82*$C$66:$C$82)</f>
        <v>195.084366428909</v>
      </c>
      <c r="F91" s="26" t="n">
        <f aca="false">SUMPRODUCT(($B$66:$B$82=$A91)*F$66:F$82*$C$66:$C$82)</f>
        <v>246.812572639475</v>
      </c>
      <c r="G91" s="26" t="n">
        <f aca="false">SUMPRODUCT(($B$66:$B$82=$A91)*G$66:G$82*$C$66:$C$82)</f>
        <v>297.66645662329</v>
      </c>
      <c r="H91" s="26" t="n">
        <f aca="false">SUMPRODUCT(($B$66:$B$82=$A91)*H$66:H$82*$C$66:$C$82)</f>
        <v>299.761222619796</v>
      </c>
      <c r="I91" s="26" t="n">
        <f aca="false">SUMPRODUCT(($B$66:$B$82=$A91)*I$66:I$82*$C$66:$C$82)</f>
        <v>293.563317265412</v>
      </c>
      <c r="J91" s="26" t="n">
        <f aca="false">SUMPRODUCT(($B$66:$B$82=$A91)*J$66:J$82*$C$66:$C$82)</f>
        <v>237.447598222078</v>
      </c>
      <c r="K91" s="26" t="n">
        <f aca="false">SUMPRODUCT(($B$66:$B$82=$A91)*K$66:K$82*$C$66:$C$82)</f>
        <v>237.731971696969</v>
      </c>
      <c r="L91" s="26" t="n">
        <f aca="false">SUMPRODUCT(($B$66:$B$82=$A91)*L$66:L$82*$C$66:$C$82)</f>
        <v>243.221663188449</v>
      </c>
      <c r="M91" s="26" t="n">
        <f aca="false">SUMPRODUCT(($B$66:$B$82=$A91)*M$66:M$82*$C$66:$C$82)</f>
        <v>243.221663188449</v>
      </c>
      <c r="N91" s="26" t="n">
        <f aca="false">SUMPRODUCT(($B$66:$B$82=$A91)*N$66:N$82*$C$66:$C$82)</f>
        <v>241.126897191942</v>
      </c>
      <c r="O91" s="26" t="n">
        <f aca="false">SUMPRODUCT(($B$66:$B$82=$A91)*O$66:O$82*$C$66:$C$82)</f>
        <v>247.324802546326</v>
      </c>
      <c r="P91" s="26" t="n">
        <f aca="false">SUMPRODUCT(($B$66:$B$82=$A91)*P$66:P$82*$C$66:$C$82)</f>
        <v>2978.04689804</v>
      </c>
    </row>
    <row r="92" customFormat="false" ht="15" hidden="false" customHeight="false" outlineLevel="0" collapsed="false">
      <c r="A92" s="5" t="s">
        <v>172</v>
      </c>
      <c r="D92" s="26" t="n">
        <f aca="false">SUMPRODUCT(($B$66:$B$82=$A92)*D$66:D$82*$C$66:$C$82)</f>
        <v>11.5719179325907</v>
      </c>
      <c r="E92" s="26" t="n">
        <f aca="false">SUMPRODUCT(($B$66:$B$82=$A92)*E$66:E$82*$C$66:$C$82)</f>
        <v>11.5719179325907</v>
      </c>
      <c r="F92" s="26" t="n">
        <f aca="false">SUMPRODUCT(($B$66:$B$82=$A92)*F$66:F$82*$C$66:$C$82)</f>
        <v>10.8344268782775</v>
      </c>
      <c r="G92" s="26" t="n">
        <f aca="false">SUMPRODUCT(($B$66:$B$82=$A92)*G$66:G$82*$C$66:$C$82)</f>
        <v>10.8344268782775</v>
      </c>
      <c r="H92" s="26" t="n">
        <f aca="false">SUMPRODUCT(($B$66:$B$82=$A92)*H$66:H$82*$C$66:$C$82)</f>
        <v>10.8344268782775</v>
      </c>
      <c r="I92" s="26" t="n">
        <f aca="false">SUMPRODUCT(($B$66:$B$82=$A92)*I$66:I$82*$C$66:$C$82)</f>
        <v>10.0969358239643</v>
      </c>
      <c r="J92" s="26" t="n">
        <f aca="false">SUMPRODUCT(($B$66:$B$82=$A92)*J$66:J$82*$C$66:$C$82)</f>
        <v>10.0969358239643</v>
      </c>
      <c r="K92" s="26" t="n">
        <f aca="false">SUMPRODUCT(($B$66:$B$82=$A92)*K$66:K$82*$C$66:$C$82)</f>
        <v>10.0969358239643</v>
      </c>
      <c r="L92" s="26" t="n">
        <f aca="false">SUMPRODUCT(($B$66:$B$82=$A92)*L$66:L$82*$C$66:$C$82)</f>
        <v>10.8344268782775</v>
      </c>
      <c r="M92" s="26" t="n">
        <f aca="false">SUMPRODUCT(($B$66:$B$82=$A92)*M$66:M$82*$C$66:$C$82)</f>
        <v>10.8344268782775</v>
      </c>
      <c r="N92" s="26" t="n">
        <f aca="false">SUMPRODUCT(($B$66:$B$82=$A92)*N$66:N$82*$C$66:$C$82)</f>
        <v>10.8344268782775</v>
      </c>
      <c r="O92" s="26" t="n">
        <f aca="false">SUMPRODUCT(($B$66:$B$82=$A92)*O$66:O$82*$C$66:$C$82)</f>
        <v>11.5719179325907</v>
      </c>
      <c r="P92" s="26" t="n">
        <f aca="false">SUMPRODUCT(($B$66:$B$82=$A92)*P$66:P$82*$C$66:$C$82)</f>
        <v>130.01312253933</v>
      </c>
    </row>
    <row r="93" customFormat="false" ht="15" hidden="false" customHeight="false" outlineLevel="0" collapsed="false">
      <c r="A93" s="4" t="s">
        <v>387</v>
      </c>
      <c r="D93" s="27" t="n">
        <f aca="false">SUMPRODUCT(D$66:D$82*parametros_recargas!$D$55:$D$71)</f>
        <v>97.4580327002195</v>
      </c>
      <c r="E93" s="27" t="n">
        <f aca="false">SUMPRODUCT(E$66:E$82*parametros_recargas!$D$55:$D$71)</f>
        <v>97.4580327002195</v>
      </c>
      <c r="F93" s="27" t="n">
        <f aca="false">SUMPRODUCT(F$66:F$82*parametros_recargas!$D$55:$D$71)</f>
        <v>105.910311054764</v>
      </c>
      <c r="G93" s="27" t="n">
        <f aca="false">SUMPRODUCT(G$66:G$82*parametros_recargas!$D$55:$D$71)</f>
        <v>117.412134764836</v>
      </c>
      <c r="H93" s="27" t="n">
        <f aca="false">SUMPRODUCT(H$66:H$82*parametros_recargas!$D$55:$D$71)</f>
        <v>118.778363929262</v>
      </c>
      <c r="I93" s="27" t="n">
        <f aca="false">SUMPRODUCT(I$66:I$82*parametros_recargas!$D$55:$D$71)</f>
        <v>113.930653265433</v>
      </c>
      <c r="J93" s="27" t="n">
        <f aca="false">SUMPRODUCT(J$66:J$82*parametros_recargas!$D$55:$D$71)</f>
        <v>100.896830880379</v>
      </c>
      <c r="K93" s="27" t="n">
        <f aca="false">SUMPRODUCT(K$66:K$82*parametros_recargas!$D$55:$D$71)</f>
        <v>101.996893411486</v>
      </c>
      <c r="L93" s="27" t="n">
        <f aca="false">SUMPRODUCT(L$66:L$82*parametros_recargas!$D$55:$D$71)</f>
        <v>106.136390212412</v>
      </c>
      <c r="M93" s="27" t="n">
        <f aca="false">SUMPRODUCT(M$66:M$82*parametros_recargas!$D$55:$D$71)</f>
        <v>106.136390212412</v>
      </c>
      <c r="N93" s="27" t="n">
        <f aca="false">SUMPRODUCT(N$66:N$82*parametros_recargas!$D$55:$D$71)</f>
        <v>104.770161047985</v>
      </c>
      <c r="O93" s="27" t="n">
        <f aca="false">SUMPRODUCT(O$66:O$82*parametros_recargas!$D$55:$D$71)</f>
        <v>109.617871711814</v>
      </c>
      <c r="P93" s="27" t="n">
        <f aca="false">SUMPRODUCT(P$66:P$82*parametros_recargas!$D$55:$D$71)</f>
        <v>1280.50206589122</v>
      </c>
    </row>
    <row r="94" customFormat="false" ht="15" hidden="false" customHeight="false" outlineLevel="0" collapsed="false">
      <c r="A94" s="4" t="s">
        <v>388</v>
      </c>
      <c r="D94" s="27" t="n">
        <f aca="false">SUMPRODUCT(sobrestock_sustitutos!$D$73:$D$73,--(sobrestock_sustitutos!$F$30:$F$30="Fábrica: cilindro vacío"),parametros_recargas!$C$55:$C$55)*parametros_recargas!E$109+SUMPRODUCT(sobrestock_sustitutos!$D$74:$D$76,--(sobrestock_sustitutos!$F$31:$F$33="Fábrica: cilindro vacío"),parametros_recargas!$C$56:$C$58)*parametros_recargas!E$110+SUMPRODUCT(sobrestock_sustitutos!$D$86:$D$89,--(sobrestock_sustitutos!$F$43:$F$46="Fábrica: cilindro vacío"),parametros_recargas!$C$68:$C$71)*parametros_recargas!E$111</f>
        <v>13.126286769875</v>
      </c>
      <c r="E94" s="27" t="n">
        <f aca="false">SUMPRODUCT(sobrestock_sustitutos!$D$73:$D$73,--(sobrestock_sustitutos!$F$30:$F$30="Fábrica: cilindro vacío"),parametros_recargas!$C$55:$C$55)*parametros_recargas!F$109+SUMPRODUCT(sobrestock_sustitutos!$D$74:$D$76,--(sobrestock_sustitutos!$F$31:$F$33="Fábrica: cilindro vacío"),parametros_recargas!$C$56:$C$58)*parametros_recargas!F$110+SUMPRODUCT(sobrestock_sustitutos!$D$86:$D$89,--(sobrestock_sustitutos!$F$43:$F$46="Fábrica: cilindro vacío"),parametros_recargas!$C$68:$C$71)*parametros_recargas!F$111</f>
        <v>10.652417738125</v>
      </c>
      <c r="F94" s="27" t="n">
        <f aca="false">SUMPRODUCT(sobrestock_sustitutos!$D$73:$D$73,--(sobrestock_sustitutos!$F$30:$F$30="Fábrica: cilindro vacío"),parametros_recargas!$C$55:$C$55)*parametros_recargas!G$109+SUMPRODUCT(sobrestock_sustitutos!$D$74:$D$76,--(sobrestock_sustitutos!$F$31:$F$33="Fábrica: cilindro vacío"),parametros_recargas!$C$56:$C$58)*parametros_recargas!G$110+SUMPRODUCT(sobrestock_sustitutos!$D$86:$D$89,--(sobrestock_sustitutos!$F$43:$F$46="Fábrica: cilindro vacío"),parametros_recargas!$C$68:$C$71)*parametros_recargas!G$111</f>
        <v>11.54122128575</v>
      </c>
      <c r="G94" s="27" t="n">
        <f aca="false">SUMPRODUCT(sobrestock_sustitutos!$D$73:$D$73,--(sobrestock_sustitutos!$F$30:$F$30="Fábrica: cilindro vacío"),parametros_recargas!$C$55:$C$55)*parametros_recargas!H$109+SUMPRODUCT(sobrestock_sustitutos!$D$74:$D$76,--(sobrestock_sustitutos!$F$31:$F$33="Fábrica: cilindro vacío"),parametros_recargas!$C$56:$C$58)*parametros_recargas!H$110+SUMPRODUCT(sobrestock_sustitutos!$D$86:$D$89,--(sobrestock_sustitutos!$F$43:$F$46="Fábrica: cilindro vacío"),parametros_recargas!$C$68:$C$71)*parametros_recargas!H$111</f>
        <v>11.54122128575</v>
      </c>
      <c r="H94" s="27" t="n">
        <f aca="false">SUMPRODUCT(sobrestock_sustitutos!$D$73:$D$73,--(sobrestock_sustitutos!$F$30:$F$30="Fábrica: cilindro vacío"),parametros_recargas!$C$55:$C$55)*parametros_recargas!I$109+SUMPRODUCT(sobrestock_sustitutos!$D$74:$D$76,--(sobrestock_sustitutos!$F$31:$F$33="Fábrica: cilindro vacío"),parametros_recargas!$C$56:$C$58)*parametros_recargas!I$110+SUMPRODUCT(sobrestock_sustitutos!$D$86:$D$89,--(sobrestock_sustitutos!$F$43:$F$46="Fábrica: cilindro vacío"),parametros_recargas!$C$68:$C$71)*parametros_recargas!I$111</f>
        <v>10.97682128575</v>
      </c>
      <c r="I94" s="27" t="n">
        <f aca="false">SUMPRODUCT(sobrestock_sustitutos!$D$73:$D$73,--(sobrestock_sustitutos!$F$30:$F$30="Fábrica: cilindro vacío"),parametros_recargas!$C$55:$C$55)*parametros_recargas!J$109+SUMPRODUCT(sobrestock_sustitutos!$D$74:$D$76,--(sobrestock_sustitutos!$F$31:$F$33="Fábrica: cilindro vacío"),parametros_recargas!$C$56:$C$58)*parametros_recargas!J$110+SUMPRODUCT(sobrestock_sustitutos!$D$86:$D$89,--(sobrestock_sustitutos!$F$43:$F$46="Fábrica: cilindro vacío"),parametros_recargas!$C$68:$C$71)*parametros_recargas!J$111</f>
        <v>10.196152254</v>
      </c>
      <c r="J94" s="27" t="n">
        <f aca="false">SUMPRODUCT(sobrestock_sustitutos!$D$73:$D$73,--(sobrestock_sustitutos!$F$30:$F$30="Fábrica: cilindro vacío"),parametros_recargas!$C$55:$C$55)*parametros_recargas!K$109+SUMPRODUCT(sobrestock_sustitutos!$D$74:$D$76,--(sobrestock_sustitutos!$F$31:$F$33="Fábrica: cilindro vacío"),parametros_recargas!$C$56:$C$58)*parametros_recargas!K$110+SUMPRODUCT(sobrestock_sustitutos!$D$86:$D$89,--(sobrestock_sustitutos!$F$43:$F$46="Fábrica: cilindro vacío"),parametros_recargas!$C$68:$C$71)*parametros_recargas!K$111</f>
        <v>10.97682128575</v>
      </c>
      <c r="K94" s="27" t="n">
        <f aca="false">SUMPRODUCT(sobrestock_sustitutos!$D$73:$D$73,--(sobrestock_sustitutos!$F$30:$F$30="Fábrica: cilindro vacío"),parametros_recargas!$C$55:$C$55)*parametros_recargas!L$109+SUMPRODUCT(sobrestock_sustitutos!$D$74:$D$76,--(sobrestock_sustitutos!$F$31:$F$33="Fábrica: cilindro vacío"),parametros_recargas!$C$56:$C$58)*parametros_recargas!L$110+SUMPRODUCT(sobrestock_sustitutos!$D$86:$D$89,--(sobrestock_sustitutos!$F$43:$F$46="Fábrica: cilindro vacío"),parametros_recargas!$C$68:$C$71)*parametros_recargas!L$111</f>
        <v>10.97682128575</v>
      </c>
      <c r="L94" s="27" t="n">
        <f aca="false">SUMPRODUCT(sobrestock_sustitutos!$D$73:$D$73,--(sobrestock_sustitutos!$F$30:$F$30="Fábrica: cilindro vacío"),parametros_recargas!$C$55:$C$55)*parametros_recargas!M$109+SUMPRODUCT(sobrestock_sustitutos!$D$74:$D$76,--(sobrestock_sustitutos!$F$31:$F$33="Fábrica: cilindro vacío"),parametros_recargas!$C$56:$C$58)*parametros_recargas!M$110+SUMPRODUCT(sobrestock_sustitutos!$D$86:$D$89,--(sobrestock_sustitutos!$F$43:$F$46="Fábrica: cilindro vacío"),parametros_recargas!$C$68:$C$71)*parametros_recargas!M$111</f>
        <v>10.868686769875</v>
      </c>
      <c r="M94" s="27" t="n">
        <f aca="false">SUMPRODUCT(sobrestock_sustitutos!$D$73:$D$73,--(sobrestock_sustitutos!$F$30:$F$30="Fábrica: cilindro vacío"),parametros_recargas!$C$55:$C$55)*parametros_recargas!N$109+SUMPRODUCT(sobrestock_sustitutos!$D$74:$D$76,--(sobrestock_sustitutos!$F$31:$F$33="Fábrica: cilindro vacío"),parametros_recargas!$C$56:$C$58)*parametros_recargas!N$110+SUMPRODUCT(sobrestock_sustitutos!$D$86:$D$89,--(sobrestock_sustitutos!$F$43:$F$46="Fábrica: cilindro vacío"),parametros_recargas!$C$68:$C$71)*parametros_recargas!N$111</f>
        <v>10.088017738125</v>
      </c>
      <c r="N94" s="27" t="n">
        <f aca="false">SUMPRODUCT(sobrestock_sustitutos!$D$73:$D$73,--(sobrestock_sustitutos!$F$30:$F$30="Fábrica: cilindro vacío"),parametros_recargas!$C$55:$C$55)*parametros_recargas!O$109+SUMPRODUCT(sobrestock_sustitutos!$D$74:$D$76,--(sobrestock_sustitutos!$F$31:$F$33="Fábrica: cilindro vacío"),parametros_recargas!$C$56:$C$58)*parametros_recargas!O$110+SUMPRODUCT(sobrestock_sustitutos!$D$86:$D$89,--(sobrestock_sustitutos!$F$43:$F$46="Fábrica: cilindro vacío"),parametros_recargas!$C$68:$C$71)*parametros_recargas!O$111</f>
        <v>9.41548322225</v>
      </c>
      <c r="O94" s="27" t="n">
        <f aca="false">SUMPRODUCT(sobrestock_sustitutos!$D$73:$D$73,--(sobrestock_sustitutos!$F$30:$F$30="Fábrica: cilindro vacío"),parametros_recargas!$C$55:$C$55)*parametros_recargas!P$109+SUMPRODUCT(sobrestock_sustitutos!$D$74:$D$76,--(sobrestock_sustitutos!$F$31:$F$33="Fábrica: cilindro vacío"),parametros_recargas!$C$56:$C$58)*parametros_recargas!P$110+SUMPRODUCT(sobrestock_sustitutos!$D$86:$D$89,--(sobrestock_sustitutos!$F$43:$F$46="Fábrica: cilindro vacío"),parametros_recargas!$C$68:$C$71)*parametros_recargas!P$111</f>
        <v>14.146952254</v>
      </c>
      <c r="P94" s="12" t="n">
        <f aca="false">SUM(D94:O94)</f>
        <v>134.506903175</v>
      </c>
    </row>
    <row r="97" customFormat="false" ht="15" hidden="false" customHeight="false" outlineLevel="0" collapsed="false">
      <c r="A97" s="28" t="n">
        <v>2029</v>
      </c>
      <c r="B97" s="3" t="s">
        <v>383</v>
      </c>
      <c r="C97" s="3" t="s">
        <v>384</v>
      </c>
      <c r="D97" s="3" t="s">
        <v>64</v>
      </c>
      <c r="E97" s="3" t="s">
        <v>65</v>
      </c>
      <c r="F97" s="3" t="s">
        <v>66</v>
      </c>
      <c r="G97" s="3" t="s">
        <v>67</v>
      </c>
      <c r="H97" s="3" t="s">
        <v>68</v>
      </c>
      <c r="I97" s="3" t="s">
        <v>69</v>
      </c>
      <c r="J97" s="3" t="s">
        <v>70</v>
      </c>
      <c r="K97" s="3" t="s">
        <v>71</v>
      </c>
      <c r="L97" s="3" t="s">
        <v>72</v>
      </c>
      <c r="M97" s="3" t="s">
        <v>73</v>
      </c>
      <c r="N97" s="3" t="s">
        <v>74</v>
      </c>
      <c r="O97" s="3" t="s">
        <v>75</v>
      </c>
      <c r="P97" s="3" t="s">
        <v>132</v>
      </c>
    </row>
    <row r="98" customFormat="false" ht="15" hidden="false" customHeight="false" outlineLevel="0" collapsed="false">
      <c r="A98" s="6" t="str">
        <f aca="false">parametros_recargas!A55</f>
        <v>ABC 1 kg</v>
      </c>
      <c r="B98" s="6" t="str">
        <f aca="false">parametros_recargas!B55</f>
        <v>ABC</v>
      </c>
      <c r="C98" s="14" t="n">
        <f aca="false">parametros_recargas!C55</f>
        <v>1</v>
      </c>
      <c r="D98" s="26" t="n">
        <f aca="false">datos_base!$E$2*parametros_recargas!E$55+sobrestock_sustitutos!$D$51/12</f>
        <v>3725.79433871358</v>
      </c>
      <c r="E98" s="26" t="n">
        <f aca="false">datos_base!$E$2*parametros_recargas!F$55+sobrestock_sustitutos!$D$51/12</f>
        <v>2967.44761951107</v>
      </c>
      <c r="F98" s="26" t="n">
        <f aca="false">datos_base!$E$2*parametros_recargas!G$55+sobrestock_sustitutos!$D$51/12</f>
        <v>2210.60157707739</v>
      </c>
      <c r="G98" s="26" t="n">
        <f aca="false">datos_base!$E$2*parametros_recargas!H$55+sobrestock_sustitutos!$D$51/12</f>
        <v>2210.60157707739</v>
      </c>
      <c r="H98" s="26" t="n">
        <f aca="false">datos_base!$E$2*parametros_recargas!I$55+sobrestock_sustitutos!$D$51/12</f>
        <v>2212.10225384622</v>
      </c>
      <c r="I98" s="26" t="n">
        <f aca="false">datos_base!$E$2*parametros_recargas!J$55+sobrestock_sustitutos!$D$51/12</f>
        <v>2212.10225384622</v>
      </c>
      <c r="J98" s="26" t="n">
        <f aca="false">datos_base!$E$2*parametros_recargas!K$55+sobrestock_sustitutos!$D$51/12</f>
        <v>2209.50667921281</v>
      </c>
      <c r="K98" s="26" t="n">
        <f aca="false">datos_base!$E$2*parametros_recargas!L$55+sobrestock_sustitutos!$D$51/12</f>
        <v>2212.10225384622</v>
      </c>
      <c r="L98" s="26" t="n">
        <f aca="false">datos_base!$E$2*parametros_recargas!M$55+sobrestock_sustitutos!$D$51/12</f>
        <v>2211.8993643941</v>
      </c>
      <c r="M98" s="26" t="n">
        <f aca="false">datos_base!$E$2*parametros_recargas!N$55+sobrestock_sustitutos!$D$51/12</f>
        <v>2211.8993643941</v>
      </c>
      <c r="N98" s="26" t="n">
        <f aca="false">datos_base!$E$2*parametros_recargas!O$55+sobrestock_sustitutos!$D$51/12</f>
        <v>2968.74540682778</v>
      </c>
      <c r="O98" s="26" t="n">
        <f aca="false">datos_base!$E$2*parametros_recargas!P$55+sobrestock_sustitutos!$D$51/12</f>
        <v>3727.09212603029</v>
      </c>
      <c r="P98" s="12" t="n">
        <f aca="false">SUM(D98:O98)</f>
        <v>31079.8948147772</v>
      </c>
    </row>
    <row r="99" customFormat="false" ht="15" hidden="false" customHeight="false" outlineLevel="0" collapsed="false">
      <c r="A99" s="6" t="str">
        <f aca="false">parametros_recargas!A56</f>
        <v>ABC 2,5 kg</v>
      </c>
      <c r="B99" s="6" t="str">
        <f aca="false">parametros_recargas!B56</f>
        <v>ABC</v>
      </c>
      <c r="C99" s="14" t="n">
        <f aca="false">parametros_recargas!C56</f>
        <v>1</v>
      </c>
      <c r="D99" s="26" t="n">
        <f aca="false">datos_base!$E$3*parametros_recargas!E$56+sobrestock_sustitutos!$D$52/12</f>
        <v>182.762729843855</v>
      </c>
      <c r="E99" s="26" t="n">
        <f aca="false">datos_base!$E$3*parametros_recargas!F$56+sobrestock_sustitutos!$D$52/12</f>
        <v>182.762729843855</v>
      </c>
      <c r="F99" s="26" t="n">
        <f aca="false">datos_base!$E$3*parametros_recargas!G$56+sobrestock_sustitutos!$D$52/12</f>
        <v>250.004079860001</v>
      </c>
      <c r="G99" s="26" t="n">
        <f aca="false">datos_base!$E$3*parametros_recargas!H$56+sobrestock_sustitutos!$D$52/12</f>
        <v>290.796088717453</v>
      </c>
      <c r="H99" s="26" t="n">
        <f aca="false">datos_base!$E$3*parametros_recargas!I$56+sobrestock_sustitutos!$D$52/12</f>
        <v>314.560872249021</v>
      </c>
      <c r="I99" s="26" t="n">
        <f aca="false">datos_base!$E$3*parametros_recargas!J$56+sobrestock_sustitutos!$D$52/12</f>
        <v>311.031692318715</v>
      </c>
      <c r="J99" s="26" t="n">
        <f aca="false">datos_base!$E$3*parametros_recargas!K$56+sobrestock_sustitutos!$D$52/12</f>
        <v>225.522653393286</v>
      </c>
      <c r="K99" s="26" t="n">
        <f aca="false">datos_base!$E$3*parametros_recargas!L$56+sobrestock_sustitutos!$D$52/12</f>
        <v>264.025945903831</v>
      </c>
      <c r="L99" s="26" t="n">
        <f aca="false">datos_base!$E$3*parametros_recargas!M$56+sobrestock_sustitutos!$D$52/12</f>
        <v>264.595422947199</v>
      </c>
      <c r="M99" s="26" t="n">
        <f aca="false">datos_base!$E$3*parametros_recargas!N$56+sobrestock_sustitutos!$D$52/12</f>
        <v>264.595422947199</v>
      </c>
      <c r="N99" s="26" t="n">
        <f aca="false">datos_base!$E$3*parametros_recargas!O$56+sobrestock_sustitutos!$D$52/12</f>
        <v>240.830639415631</v>
      </c>
      <c r="O99" s="26" t="n">
        <f aca="false">datos_base!$E$3*parametros_recargas!P$56+sobrestock_sustitutos!$D$52/12</f>
        <v>244.359819345937</v>
      </c>
      <c r="P99" s="12" t="n">
        <f aca="false">SUM(D99:O99)</f>
        <v>3035.84809678598</v>
      </c>
    </row>
    <row r="100" customFormat="false" ht="15" hidden="false" customHeight="false" outlineLevel="0" collapsed="false">
      <c r="A100" s="6" t="str">
        <f aca="false">parametros_recargas!A57</f>
        <v>ABC 5 kg</v>
      </c>
      <c r="B100" s="6" t="str">
        <f aca="false">parametros_recargas!B57</f>
        <v>ABC</v>
      </c>
      <c r="C100" s="14" t="n">
        <f aca="false">parametros_recargas!C57</f>
        <v>1</v>
      </c>
      <c r="D100" s="26" t="n">
        <f aca="false">datos_base!$E$4*parametros_recargas!E$57+sobrestock_sustitutos!$D$53/12</f>
        <v>1256.90443299405</v>
      </c>
      <c r="E100" s="26" t="n">
        <f aca="false">datos_base!$E$4*parametros_recargas!F$57+sobrestock_sustitutos!$D$53/12</f>
        <v>1226.09719596569</v>
      </c>
      <c r="F100" s="26" t="n">
        <f aca="false">datos_base!$E$4*parametros_recargas!G$57+sobrestock_sustitutos!$D$53/12</f>
        <v>1536.99168258535</v>
      </c>
      <c r="G100" s="26" t="n">
        <f aca="false">datos_base!$E$4*parametros_recargas!H$57+sobrestock_sustitutos!$D$53/12</f>
        <v>1871.18689860801</v>
      </c>
      <c r="H100" s="26" t="n">
        <f aca="false">datos_base!$E$4*parametros_recargas!I$57+sobrestock_sustitutos!$D$53/12</f>
        <v>1878.0872445441</v>
      </c>
      <c r="I100" s="26" t="n">
        <f aca="false">datos_base!$E$4*parametros_recargas!J$57+sobrestock_sustitutos!$D$53/12</f>
        <v>1854.50450869119</v>
      </c>
      <c r="J100" s="26" t="n">
        <f aca="false">datos_base!$E$4*parametros_recargas!K$57+sobrestock_sustitutos!$D$53/12</f>
        <v>1499.78595451999</v>
      </c>
      <c r="K100" s="26" t="n">
        <f aca="false">datos_base!$E$4*parametros_recargas!L$57+sobrestock_sustitutos!$D$53/12</f>
        <v>1496.12039512634</v>
      </c>
      <c r="L100" s="26" t="n">
        <f aca="false">datos_base!$E$4*parametros_recargas!M$57+sobrestock_sustitutos!$D$53/12</f>
        <v>1517.01722973189</v>
      </c>
      <c r="M100" s="26" t="n">
        <f aca="false">datos_base!$E$4*parametros_recargas!N$57+sobrestock_sustitutos!$D$53/12</f>
        <v>1517.01722973189</v>
      </c>
      <c r="N100" s="26" t="n">
        <f aca="false">datos_base!$E$4*parametros_recargas!O$57+sobrestock_sustitutos!$D$53/12</f>
        <v>1540.92412082416</v>
      </c>
      <c r="O100" s="26" t="n">
        <f aca="false">datos_base!$E$4*parametros_recargas!P$57+sobrestock_sustitutos!$D$53/12</f>
        <v>1595.31409370544</v>
      </c>
      <c r="P100" s="12" t="n">
        <f aca="false">SUM(D100:O100)</f>
        <v>18789.9509870281</v>
      </c>
    </row>
    <row r="101" customFormat="false" ht="15" hidden="false" customHeight="false" outlineLevel="0" collapsed="false">
      <c r="A101" s="6" t="str">
        <f aca="false">parametros_recargas!A58</f>
        <v>ABC 10 kg</v>
      </c>
      <c r="B101" s="6" t="str">
        <f aca="false">parametros_recargas!B58</f>
        <v>ABC</v>
      </c>
      <c r="C101" s="14" t="n">
        <f aca="false">parametros_recargas!C58</f>
        <v>1</v>
      </c>
      <c r="D101" s="26" t="n">
        <f aca="false">datos_base!$E$5*parametros_recargas!E$58+sobrestock_sustitutos!$D$54/12</f>
        <v>71.0725034476312</v>
      </c>
      <c r="E101" s="26" t="n">
        <f aca="false">datos_base!$E$5*parametros_recargas!F$58+sobrestock_sustitutos!$D$54/12</f>
        <v>71.0725034476312</v>
      </c>
      <c r="F101" s="26" t="n">
        <f aca="false">datos_base!$E$5*parametros_recargas!G$58+sobrestock_sustitutos!$D$54/12</f>
        <v>91.2633499577036</v>
      </c>
      <c r="G101" s="26" t="n">
        <f aca="false">datos_base!$E$5*parametros_recargas!H$58+sobrestock_sustitutos!$D$54/12</f>
        <v>110.987254838239</v>
      </c>
      <c r="H101" s="26" t="n">
        <f aca="false">datos_base!$E$5*parametros_recargas!I$58+sobrestock_sustitutos!$D$54/12</f>
        <v>112.017440314205</v>
      </c>
      <c r="I101" s="26" t="n">
        <f aca="false">datos_base!$E$5*parametros_recargas!J$58+sobrestock_sustitutos!$D$54/12</f>
        <v>108.806395066218</v>
      </c>
      <c r="J101" s="26" t="n">
        <f aca="false">datos_base!$E$5*parametros_recargas!K$58+sobrestock_sustitutos!$D$54/12</f>
        <v>85.6982185329721</v>
      </c>
      <c r="K101" s="26" t="n">
        <f aca="false">datos_base!$E$5*parametros_recargas!L$58+sobrestock_sustitutos!$D$54/12</f>
        <v>86.4346887841243</v>
      </c>
      <c r="L101" s="26" t="n">
        <f aca="false">datos_base!$E$5*parametros_recargas!M$58+sobrestock_sustitutos!$D$54/12</f>
        <v>89.6457340321112</v>
      </c>
      <c r="M101" s="26" t="n">
        <f aca="false">datos_base!$E$5*parametros_recargas!N$58+sobrestock_sustitutos!$D$54/12</f>
        <v>89.6457340321112</v>
      </c>
      <c r="N101" s="26" t="n">
        <f aca="false">datos_base!$E$5*parametros_recargas!O$58+sobrestock_sustitutos!$D$54/12</f>
        <v>88.6155485561456</v>
      </c>
      <c r="O101" s="26" t="n">
        <f aca="false">datos_base!$E$5*parametros_recargas!P$58+sobrestock_sustitutos!$D$54/12</f>
        <v>91.8265938041325</v>
      </c>
      <c r="P101" s="12" t="n">
        <f aca="false">SUM(D101:O101)</f>
        <v>1097.08596481322</v>
      </c>
    </row>
    <row r="102" customFormat="false" ht="15" hidden="false" customHeight="false" outlineLevel="0" collapsed="false">
      <c r="A102" s="6" t="str">
        <f aca="false">parametros_recargas!A59</f>
        <v>Agua 10 l</v>
      </c>
      <c r="B102" s="6" t="str">
        <f aca="false">parametros_recargas!B59</f>
        <v>Agua</v>
      </c>
      <c r="C102" s="14" t="n">
        <f aca="false">parametros_recargas!C59</f>
        <v>1</v>
      </c>
      <c r="D102" s="26" t="n">
        <f aca="false">datos_base!$E$6*parametros_recargas!E$59+sobrestock_sustitutos!$D$55/12</f>
        <v>104.065990378158</v>
      </c>
      <c r="E102" s="26" t="n">
        <f aca="false">datos_base!$E$6*parametros_recargas!F$59+sobrestock_sustitutos!$D$55/12</f>
        <v>104.065990378158</v>
      </c>
      <c r="F102" s="26" t="n">
        <f aca="false">datos_base!$E$6*parametros_recargas!G$59+sobrestock_sustitutos!$D$55/12</f>
        <v>128.16600765602</v>
      </c>
      <c r="G102" s="26" t="n">
        <f aca="false">datos_base!$E$6*parametros_recargas!H$59+sobrestock_sustitutos!$D$55/12</f>
        <v>153.573669217341</v>
      </c>
      <c r="H102" s="26" t="n">
        <f aca="false">datos_base!$E$6*parametros_recargas!I$59+sobrestock_sustitutos!$D$55/12</f>
        <v>154.526636670455</v>
      </c>
      <c r="I102" s="26" t="n">
        <f aca="false">datos_base!$E$6*parametros_recargas!J$59+sobrestock_sustitutos!$D$55/12</f>
        <v>150.040551635546</v>
      </c>
      <c r="J102" s="26" t="n">
        <f aca="false">datos_base!$E$6*parametros_recargas!K$59+sobrestock_sustitutos!$D$55/12</f>
        <v>122.177057244912</v>
      </c>
      <c r="K102" s="26" t="n">
        <f aca="false">datos_base!$E$6*parametros_recargas!L$59+sobrestock_sustitutos!$D$55/12</f>
        <v>122.40741677589</v>
      </c>
      <c r="L102" s="26" t="n">
        <f aca="false">datos_base!$E$6*parametros_recargas!M$59+sobrestock_sustitutos!$D$55/12</f>
        <v>126.612082447757</v>
      </c>
      <c r="M102" s="26" t="n">
        <f aca="false">datos_base!$E$6*parametros_recargas!N$59+sobrestock_sustitutos!$D$55/12</f>
        <v>126.612082447757</v>
      </c>
      <c r="N102" s="26" t="n">
        <f aca="false">datos_base!$E$6*parametros_recargas!O$59+sobrestock_sustitutos!$D$55/12</f>
        <v>125.659114994643</v>
      </c>
      <c r="O102" s="26" t="n">
        <f aca="false">datos_base!$E$6*parametros_recargas!P$59+sobrestock_sustitutos!$D$55/12</f>
        <v>130.145200029552</v>
      </c>
      <c r="P102" s="12" t="n">
        <f aca="false">SUM(D102:O102)</f>
        <v>1548.05179987619</v>
      </c>
    </row>
    <row r="103" customFormat="false" ht="15" hidden="false" customHeight="false" outlineLevel="0" collapsed="false">
      <c r="A103" s="6" t="str">
        <f aca="false">parametros_recargas!A60</f>
        <v>AFFF 10 l</v>
      </c>
      <c r="B103" s="6" t="str">
        <f aca="false">parametros_recargas!B60</f>
        <v>AFFF</v>
      </c>
      <c r="C103" s="14" t="n">
        <f aca="false">parametros_recargas!C60</f>
        <v>1</v>
      </c>
      <c r="D103" s="26" t="n">
        <f aca="false">datos_base!$E$7*parametros_recargas!E$60+sobrestock_sustitutos!$D$56/12</f>
        <v>24.6208939149721</v>
      </c>
      <c r="E103" s="26" t="n">
        <f aca="false">datos_base!$E$7*parametros_recargas!F$60+sobrestock_sustitutos!$D$56/12</f>
        <v>24.6208939149721</v>
      </c>
      <c r="F103" s="26" t="n">
        <f aca="false">datos_base!$E$7*parametros_recargas!G$60+sobrestock_sustitutos!$D$56/12</f>
        <v>24.6208939149721</v>
      </c>
      <c r="G103" s="26" t="n">
        <f aca="false">datos_base!$E$7*parametros_recargas!H$60+sobrestock_sustitutos!$D$56/12</f>
        <v>24.6208939149721</v>
      </c>
      <c r="H103" s="26" t="n">
        <f aca="false">datos_base!$E$7*parametros_recargas!I$60+sobrestock_sustitutos!$D$56/12</f>
        <v>24.6208939149721</v>
      </c>
      <c r="I103" s="26" t="n">
        <f aca="false">datos_base!$E$7*parametros_recargas!J$60+sobrestock_sustitutos!$D$56/12</f>
        <v>24.6208939149721</v>
      </c>
      <c r="J103" s="26" t="n">
        <f aca="false">datos_base!$E$7*parametros_recargas!K$60+sobrestock_sustitutos!$D$56/12</f>
        <v>24.6208939149721</v>
      </c>
      <c r="K103" s="26" t="n">
        <f aca="false">datos_base!$E$7*parametros_recargas!L$60+sobrestock_sustitutos!$D$56/12</f>
        <v>24.6208939149721</v>
      </c>
      <c r="L103" s="26" t="n">
        <f aca="false">datos_base!$E$7*parametros_recargas!M$60+sobrestock_sustitutos!$D$56/12</f>
        <v>24.6208939149721</v>
      </c>
      <c r="M103" s="26" t="n">
        <f aca="false">datos_base!$E$7*parametros_recargas!N$60+sobrestock_sustitutos!$D$56/12</f>
        <v>24.6208939149721</v>
      </c>
      <c r="N103" s="26" t="n">
        <f aca="false">datos_base!$E$7*parametros_recargas!O$60+sobrestock_sustitutos!$D$56/12</f>
        <v>24.6208939149721</v>
      </c>
      <c r="O103" s="26" t="n">
        <f aca="false">datos_base!$E$7*parametros_recargas!P$60+sobrestock_sustitutos!$D$56/12</f>
        <v>24.6208939149721</v>
      </c>
      <c r="P103" s="12" t="n">
        <f aca="false">SUM(D103:O103)</f>
        <v>295.450726979665</v>
      </c>
    </row>
    <row r="104" customFormat="false" ht="15" hidden="false" customHeight="false" outlineLevel="0" collapsed="false">
      <c r="A104" s="6" t="str">
        <f aca="false">parametros_recargas!A61</f>
        <v>AFFF 50 l s/ruedas</v>
      </c>
      <c r="B104" s="6" t="str">
        <f aca="false">parametros_recargas!B61</f>
        <v>AFFF</v>
      </c>
      <c r="C104" s="14" t="n">
        <f aca="false">parametros_recargas!C61</f>
        <v>6.360853875</v>
      </c>
      <c r="D104" s="26" t="n">
        <f aca="false">datos_base!$E$8*parametros_recargas!E$61+sobrestock_sustitutos!$D$57/12</f>
        <v>13.1674348556023</v>
      </c>
      <c r="E104" s="26" t="n">
        <f aca="false">datos_base!$E$8*parametros_recargas!F$61+sobrestock_sustitutos!$D$57/12</f>
        <v>13.1674348556023</v>
      </c>
      <c r="F104" s="26" t="n">
        <f aca="false">datos_base!$E$8*parametros_recargas!G$61+sobrestock_sustitutos!$D$57/12</f>
        <v>13.1674348556023</v>
      </c>
      <c r="G104" s="26" t="n">
        <f aca="false">datos_base!$E$8*parametros_recargas!H$61+sobrestock_sustitutos!$D$57/12</f>
        <v>13.1674348556023</v>
      </c>
      <c r="H104" s="26" t="n">
        <f aca="false">datos_base!$E$8*parametros_recargas!I$61+sobrestock_sustitutos!$D$57/12</f>
        <v>13.1674348556023</v>
      </c>
      <c r="I104" s="26" t="n">
        <f aca="false">datos_base!$E$8*parametros_recargas!J$61+sobrestock_sustitutos!$D$57/12</f>
        <v>13.1674348556023</v>
      </c>
      <c r="J104" s="26" t="n">
        <f aca="false">datos_base!$E$8*parametros_recargas!K$61+sobrestock_sustitutos!$D$57/12</f>
        <v>13.1674348556023</v>
      </c>
      <c r="K104" s="26" t="n">
        <f aca="false">datos_base!$E$8*parametros_recargas!L$61+sobrestock_sustitutos!$D$57/12</f>
        <v>13.1674348556023</v>
      </c>
      <c r="L104" s="26" t="n">
        <f aca="false">datos_base!$E$8*parametros_recargas!M$61+sobrestock_sustitutos!$D$57/12</f>
        <v>13.1674348556023</v>
      </c>
      <c r="M104" s="26" t="n">
        <f aca="false">datos_base!$E$8*parametros_recargas!N$61+sobrestock_sustitutos!$D$57/12</f>
        <v>13.1674348556023</v>
      </c>
      <c r="N104" s="26" t="n">
        <f aca="false">datos_base!$E$8*parametros_recargas!O$61+sobrestock_sustitutos!$D$57/12</f>
        <v>13.1674348556023</v>
      </c>
      <c r="O104" s="26" t="n">
        <f aca="false">datos_base!$E$8*parametros_recargas!P$61+sobrestock_sustitutos!$D$57/12</f>
        <v>13.1674348556023</v>
      </c>
      <c r="P104" s="12" t="n">
        <f aca="false">SUM(D104:O104)</f>
        <v>158.009218267227</v>
      </c>
    </row>
    <row r="105" customFormat="false" ht="15" hidden="false" customHeight="false" outlineLevel="0" collapsed="false">
      <c r="A105" s="6" t="str">
        <f aca="false">parametros_recargas!A62</f>
        <v>BC 5 kg</v>
      </c>
      <c r="B105" s="6" t="str">
        <f aca="false">parametros_recargas!B62</f>
        <v>BC</v>
      </c>
      <c r="C105" s="14" t="n">
        <f aca="false">parametros_recargas!C62</f>
        <v>1</v>
      </c>
      <c r="D105" s="26" t="n">
        <f aca="false">datos_base!$E$9*parametros_recargas!E$62+sobrestock_sustitutos!$D$58/12</f>
        <v>7.45393997193497</v>
      </c>
      <c r="E105" s="26" t="n">
        <f aca="false">datos_base!$E$9*parametros_recargas!F$62+sobrestock_sustitutos!$D$58/12</f>
        <v>7.45393997193497</v>
      </c>
      <c r="F105" s="26" t="n">
        <f aca="false">datos_base!$E$9*parametros_recargas!G$62+sobrestock_sustitutos!$D$58/12</f>
        <v>7.45393997193497</v>
      </c>
      <c r="G105" s="26" t="n">
        <f aca="false">datos_base!$E$9*parametros_recargas!H$62+sobrestock_sustitutos!$D$58/12</f>
        <v>7.45393997193497</v>
      </c>
      <c r="H105" s="26" t="n">
        <f aca="false">datos_base!$E$9*parametros_recargas!I$62+sobrestock_sustitutos!$D$58/12</f>
        <v>7.45393997193497</v>
      </c>
      <c r="I105" s="26" t="n">
        <f aca="false">datos_base!$E$9*parametros_recargas!J$62+sobrestock_sustitutos!$D$58/12</f>
        <v>7.45393997193497</v>
      </c>
      <c r="J105" s="26" t="n">
        <f aca="false">datos_base!$E$9*parametros_recargas!K$62+sobrestock_sustitutos!$D$58/12</f>
        <v>7.45393997193497</v>
      </c>
      <c r="K105" s="26" t="n">
        <f aca="false">datos_base!$E$9*parametros_recargas!L$62+sobrestock_sustitutos!$D$58/12</f>
        <v>7.45393997193497</v>
      </c>
      <c r="L105" s="26" t="n">
        <f aca="false">datos_base!$E$9*parametros_recargas!M$62+sobrestock_sustitutos!$D$58/12</f>
        <v>7.45393997193497</v>
      </c>
      <c r="M105" s="26" t="n">
        <f aca="false">datos_base!$E$9*parametros_recargas!N$62+sobrestock_sustitutos!$D$58/12</f>
        <v>7.45393997193497</v>
      </c>
      <c r="N105" s="26" t="n">
        <f aca="false">datos_base!$E$9*parametros_recargas!O$62+sobrestock_sustitutos!$D$58/12</f>
        <v>7.45393997193497</v>
      </c>
      <c r="O105" s="26" t="n">
        <f aca="false">datos_base!$E$9*parametros_recargas!P$62+sobrestock_sustitutos!$D$58/12</f>
        <v>7.45393997193497</v>
      </c>
      <c r="P105" s="12" t="n">
        <f aca="false">SUM(D105:O105)</f>
        <v>89.4472796632196</v>
      </c>
    </row>
    <row r="106" customFormat="false" ht="15" hidden="false" customHeight="false" outlineLevel="0" collapsed="false">
      <c r="A106" s="6" t="str">
        <f aca="false">parametros_recargas!A63</f>
        <v>Sales K 6 l</v>
      </c>
      <c r="B106" s="6" t="str">
        <f aca="false">parametros_recargas!B63</f>
        <v>Sales K</v>
      </c>
      <c r="C106" s="14" t="n">
        <f aca="false">parametros_recargas!C63</f>
        <v>1</v>
      </c>
      <c r="D106" s="26" t="n">
        <f aca="false">datos_base!$E$10*parametros_recargas!E$63+sobrestock_sustitutos!$D$59/12</f>
        <v>52.9809046488425</v>
      </c>
      <c r="E106" s="26" t="n">
        <f aca="false">datos_base!$E$10*parametros_recargas!F$63+sobrestock_sustitutos!$D$59/12</f>
        <v>52.9809046488425</v>
      </c>
      <c r="F106" s="26" t="n">
        <f aca="false">datos_base!$E$10*parametros_recargas!G$63+sobrestock_sustitutos!$D$59/12</f>
        <v>63.7484182508749</v>
      </c>
      <c r="G106" s="26" t="n">
        <f aca="false">datos_base!$E$10*parametros_recargas!H$63+sobrestock_sustitutos!$D$59/12</f>
        <v>72.0442259771674</v>
      </c>
      <c r="H106" s="26" t="n">
        <f aca="false">datos_base!$E$10*parametros_recargas!I$63+sobrestock_sustitutos!$D$59/12</f>
        <v>73.84097793365</v>
      </c>
      <c r="I106" s="26" t="n">
        <f aca="false">datos_base!$E$10*parametros_recargas!J$63+sobrestock_sustitutos!$D$59/12</f>
        <v>72.3381254735388</v>
      </c>
      <c r="J106" s="26" t="n">
        <f aca="false">datos_base!$E$10*parametros_recargas!K$63+sobrestock_sustitutos!$D$59/12</f>
        <v>59.3599106445968</v>
      </c>
      <c r="K106" s="26" t="n">
        <f aca="false">datos_base!$E$10*parametros_recargas!L$63+sobrestock_sustitutos!$D$59/12</f>
        <v>61.8645113678777</v>
      </c>
      <c r="L106" s="26" t="n">
        <f aca="false">datos_base!$E$10*parametros_recargas!M$63+sobrestock_sustitutos!$D$59/12</f>
        <v>63.3673638279889</v>
      </c>
      <c r="M106" s="26" t="n">
        <f aca="false">datos_base!$E$10*parametros_recargas!N$63+sobrestock_sustitutos!$D$59/12</f>
        <v>63.3673638279889</v>
      </c>
      <c r="N106" s="26" t="n">
        <f aca="false">datos_base!$E$10*parametros_recargas!O$63+sobrestock_sustitutos!$D$59/12</f>
        <v>61.5706118715063</v>
      </c>
      <c r="O106" s="26" t="n">
        <f aca="false">datos_base!$E$10*parametros_recargas!P$63+sobrestock_sustitutos!$D$59/12</f>
        <v>63.0734643316176</v>
      </c>
      <c r="P106" s="12" t="n">
        <f aca="false">SUM(D106:O106)</f>
        <v>760.536782804492</v>
      </c>
    </row>
    <row r="107" customFormat="false" ht="15" hidden="false" customHeight="false" outlineLevel="0" collapsed="false">
      <c r="A107" s="6" t="str">
        <f aca="false">parametros_recargas!A64</f>
        <v>CO₂ 2 kg</v>
      </c>
      <c r="B107" s="6" t="str">
        <f aca="false">parametros_recargas!B64</f>
        <v>CO₂</v>
      </c>
      <c r="C107" s="14" t="n">
        <f aca="false">parametros_recargas!C64</f>
        <v>1</v>
      </c>
      <c r="D107" s="26" t="n">
        <f aca="false">datos_base!$E$11*parametros_recargas!E$64+sobrestock_sustitutos!$D$60/12</f>
        <v>261.343876993008</v>
      </c>
      <c r="E107" s="26" t="n">
        <f aca="false">datos_base!$E$11*parametros_recargas!F$64+sobrestock_sustitutos!$D$60/12</f>
        <v>261.343876993008</v>
      </c>
      <c r="F107" s="26" t="n">
        <f aca="false">datos_base!$E$11*parametros_recargas!G$64+sobrestock_sustitutos!$D$60/12</f>
        <v>350.778908529557</v>
      </c>
      <c r="G107" s="26" t="n">
        <f aca="false">datos_base!$E$11*parametros_recargas!H$64+sobrestock_sustitutos!$D$60/12</f>
        <v>434.897476106676</v>
      </c>
      <c r="H107" s="26" t="n">
        <f aca="false">datos_base!$E$11*parametros_recargas!I$64+sobrestock_sustitutos!$D$60/12</f>
        <v>436.651038743311</v>
      </c>
      <c r="I107" s="26" t="n">
        <f aca="false">datos_base!$E$11*parametros_recargas!J$64+sobrestock_sustitutos!$D$60/12</f>
        <v>431.133341231633</v>
      </c>
      <c r="J107" s="26" t="n">
        <f aca="false">datos_base!$E$11*parametros_recargas!K$64+sobrestock_sustitutos!$D$60/12</f>
        <v>338.967348964009</v>
      </c>
      <c r="K107" s="26" t="n">
        <f aca="false">datos_base!$E$11*parametros_recargas!L$64+sobrestock_sustitutos!$D$60/12</f>
        <v>337.934174820042</v>
      </c>
      <c r="L107" s="26" t="n">
        <f aca="false">datos_base!$E$11*parametros_recargas!M$64+sobrestock_sustitutos!$D$60/12</f>
        <v>343.451872331719</v>
      </c>
      <c r="M107" s="26" t="n">
        <f aca="false">datos_base!$E$11*parametros_recargas!N$64+sobrestock_sustitutos!$D$60/12</f>
        <v>343.451872331719</v>
      </c>
      <c r="N107" s="26" t="n">
        <f aca="false">datos_base!$E$11*parametros_recargas!O$64+sobrestock_sustitutos!$D$60/12</f>
        <v>341.698309695084</v>
      </c>
      <c r="O107" s="26" t="n">
        <f aca="false">datos_base!$E$11*parametros_recargas!P$64+sobrestock_sustitutos!$D$60/12</f>
        <v>347.216007206762</v>
      </c>
      <c r="P107" s="12" t="n">
        <f aca="false">SUM(D107:O107)</f>
        <v>4228.86810394653</v>
      </c>
    </row>
    <row r="108" customFormat="false" ht="15" hidden="false" customHeight="false" outlineLevel="0" collapsed="false">
      <c r="A108" s="6" t="str">
        <f aca="false">parametros_recargas!A65</f>
        <v>CO₂ 5 kg</v>
      </c>
      <c r="B108" s="6" t="str">
        <f aca="false">parametros_recargas!B65</f>
        <v>CO₂</v>
      </c>
      <c r="C108" s="14" t="n">
        <f aca="false">parametros_recargas!C65</f>
        <v>1</v>
      </c>
      <c r="D108" s="26" t="n">
        <f aca="false">datos_base!$E$12*parametros_recargas!E$65+sobrestock_sustitutos!$D$61/12</f>
        <v>105.020479830631</v>
      </c>
      <c r="E108" s="26" t="n">
        <f aca="false">datos_base!$E$12*parametros_recargas!F$65+sobrestock_sustitutos!$D$61/12</f>
        <v>105.020479830631</v>
      </c>
      <c r="F108" s="26" t="n">
        <f aca="false">datos_base!$E$12*parametros_recargas!G$65+sobrestock_sustitutos!$D$61/12</f>
        <v>113.866144801323</v>
      </c>
      <c r="G108" s="26" t="n">
        <f aca="false">datos_base!$E$12*parametros_recargas!H$65+sobrestock_sustitutos!$D$61/12</f>
        <v>126.121821417734</v>
      </c>
      <c r="H108" s="26" t="n">
        <f aca="false">datos_base!$E$12*parametros_recargas!I$65+sobrestock_sustitutos!$D$61/12</f>
        <v>128.227759889161</v>
      </c>
      <c r="I108" s="26" t="n">
        <f aca="false">datos_base!$E$12*parametros_recargas!J$65+sobrestock_sustitutos!$D$61/12</f>
        <v>122.30489686837</v>
      </c>
      <c r="J108" s="26" t="n">
        <f aca="false">datos_base!$E$12*parametros_recargas!K$65+sobrestock_sustitutos!$D$61/12</f>
        <v>108.167143007505</v>
      </c>
      <c r="K108" s="26" t="n">
        <f aca="false">datos_base!$E$12*parametros_recargas!L$65+sobrestock_sustitutos!$D$61/12</f>
        <v>109.642307348314</v>
      </c>
      <c r="L108" s="26" t="n">
        <f aca="false">datos_base!$E$12*parametros_recargas!M$65+sobrestock_sustitutos!$D$61/12</f>
        <v>114.298542293993</v>
      </c>
      <c r="M108" s="26" t="n">
        <f aca="false">datos_base!$E$12*parametros_recargas!N$65+sobrestock_sustitutos!$D$61/12</f>
        <v>114.298542293993</v>
      </c>
      <c r="N108" s="26" t="n">
        <f aca="false">datos_base!$E$12*parametros_recargas!O$65+sobrestock_sustitutos!$D$61/12</f>
        <v>112.192603822567</v>
      </c>
      <c r="O108" s="26" t="n">
        <f aca="false">datos_base!$E$12*parametros_recargas!P$65+sobrestock_sustitutos!$D$61/12</f>
        <v>118.115466843357</v>
      </c>
      <c r="P108" s="12" t="n">
        <f aca="false">SUM(D108:O108)</f>
        <v>1377.27618824758</v>
      </c>
    </row>
    <row r="109" customFormat="false" ht="15" hidden="false" customHeight="false" outlineLevel="0" collapsed="false">
      <c r="A109" s="6" t="str">
        <f aca="false">parametros_recargas!A66</f>
        <v>HCFC/HFC 5 kg</v>
      </c>
      <c r="B109" s="6" t="str">
        <f aca="false">parametros_recargas!B66</f>
        <v>Halogenado</v>
      </c>
      <c r="C109" s="14" t="n">
        <f aca="false">parametros_recargas!C66</f>
        <v>1</v>
      </c>
      <c r="D109" s="26" t="n">
        <f aca="false">datos_base!$E$13*parametros_recargas!E$66+sobrestock_sustitutos!$D$62/12</f>
        <v>20.0471802901153</v>
      </c>
      <c r="E109" s="26" t="n">
        <f aca="false">datos_base!$E$13*parametros_recargas!F$66+sobrestock_sustitutos!$D$62/12</f>
        <v>20.0471802901153</v>
      </c>
      <c r="F109" s="26" t="n">
        <f aca="false">datos_base!$E$13*parametros_recargas!G$66+sobrestock_sustitutos!$D$62/12</f>
        <v>18.7670468652422</v>
      </c>
      <c r="G109" s="26" t="n">
        <f aca="false">datos_base!$E$13*parametros_recargas!H$66+sobrestock_sustitutos!$D$62/12</f>
        <v>18.7670468652422</v>
      </c>
      <c r="H109" s="26" t="n">
        <f aca="false">datos_base!$E$13*parametros_recargas!I$66+sobrestock_sustitutos!$D$62/12</f>
        <v>18.7670468652422</v>
      </c>
      <c r="I109" s="26" t="n">
        <f aca="false">datos_base!$E$13*parametros_recargas!J$66+sobrestock_sustitutos!$D$62/12</f>
        <v>17.4869134403691</v>
      </c>
      <c r="J109" s="26" t="n">
        <f aca="false">datos_base!$E$13*parametros_recargas!K$66+sobrestock_sustitutos!$D$62/12</f>
        <v>17.4869134403691</v>
      </c>
      <c r="K109" s="26" t="n">
        <f aca="false">datos_base!$E$13*parametros_recargas!L$66+sobrestock_sustitutos!$D$62/12</f>
        <v>17.4869134403691</v>
      </c>
      <c r="L109" s="26" t="n">
        <f aca="false">datos_base!$E$13*parametros_recargas!M$66+sobrestock_sustitutos!$D$62/12</f>
        <v>18.7670468652422</v>
      </c>
      <c r="M109" s="26" t="n">
        <f aca="false">datos_base!$E$13*parametros_recargas!N$66+sobrestock_sustitutos!$D$62/12</f>
        <v>18.7670468652422</v>
      </c>
      <c r="N109" s="26" t="n">
        <f aca="false">datos_base!$E$13*parametros_recargas!O$66+sobrestock_sustitutos!$D$62/12</f>
        <v>18.7670468652422</v>
      </c>
      <c r="O109" s="26" t="n">
        <f aca="false">datos_base!$E$13*parametros_recargas!P$66+sobrestock_sustitutos!$D$62/12</f>
        <v>20.0471802901153</v>
      </c>
      <c r="P109" s="12" t="n">
        <f aca="false">SUM(D109:O109)</f>
        <v>225.204562382906</v>
      </c>
    </row>
    <row r="110" customFormat="false" ht="15" hidden="false" customHeight="false" outlineLevel="0" collapsed="false">
      <c r="A110" s="6" t="str">
        <f aca="false">parametros_recargas!A67</f>
        <v>Clase D 9 l</v>
      </c>
      <c r="B110" s="6" t="str">
        <f aca="false">parametros_recargas!B67</f>
        <v>Clase D</v>
      </c>
      <c r="C110" s="14" t="n">
        <f aca="false">parametros_recargas!C67</f>
        <v>1</v>
      </c>
      <c r="D110" s="26" t="n">
        <f aca="false">datos_base!$E$14*parametros_recargas!E$67+sobrestock_sustitutos!$D$63/12</f>
        <v>6.93531110724546</v>
      </c>
      <c r="E110" s="26" t="n">
        <f aca="false">datos_base!$E$14*parametros_recargas!F$67+sobrestock_sustitutos!$D$63/12</f>
        <v>6.93531110724546</v>
      </c>
      <c r="F110" s="26" t="n">
        <f aca="false">datos_base!$E$14*parametros_recargas!G$67+sobrestock_sustitutos!$D$63/12</f>
        <v>6.93531110724546</v>
      </c>
      <c r="G110" s="26" t="n">
        <f aca="false">datos_base!$E$14*parametros_recargas!H$67+sobrestock_sustitutos!$D$63/12</f>
        <v>6.93531110724546</v>
      </c>
      <c r="H110" s="26" t="n">
        <f aca="false">datos_base!$E$14*parametros_recargas!I$67+sobrestock_sustitutos!$D$63/12</f>
        <v>6.93531110724546</v>
      </c>
      <c r="I110" s="26" t="n">
        <f aca="false">datos_base!$E$14*parametros_recargas!J$67+sobrestock_sustitutos!$D$63/12</f>
        <v>6.93531110724546</v>
      </c>
      <c r="J110" s="26" t="n">
        <f aca="false">datos_base!$E$14*parametros_recargas!K$67+sobrestock_sustitutos!$D$63/12</f>
        <v>6.93531110724546</v>
      </c>
      <c r="K110" s="26" t="n">
        <f aca="false">datos_base!$E$14*parametros_recargas!L$67+sobrestock_sustitutos!$D$63/12</f>
        <v>6.93531110724546</v>
      </c>
      <c r="L110" s="26" t="n">
        <f aca="false">datos_base!$E$14*parametros_recargas!M$67+sobrestock_sustitutos!$D$63/12</f>
        <v>6.93531110724546</v>
      </c>
      <c r="M110" s="26" t="n">
        <f aca="false">datos_base!$E$14*parametros_recargas!N$67+sobrestock_sustitutos!$D$63/12</f>
        <v>6.93531110724546</v>
      </c>
      <c r="N110" s="26" t="n">
        <f aca="false">datos_base!$E$14*parametros_recargas!O$67+sobrestock_sustitutos!$D$63/12</f>
        <v>6.93531110724546</v>
      </c>
      <c r="O110" s="26" t="n">
        <f aca="false">datos_base!$E$14*parametros_recargas!P$67+sobrestock_sustitutos!$D$63/12</f>
        <v>6.93531110724546</v>
      </c>
      <c r="P110" s="12" t="n">
        <f aca="false">SUM(D110:O110)</f>
        <v>83.2237332869456</v>
      </c>
    </row>
    <row r="111" customFormat="false" ht="15" hidden="false" customHeight="false" outlineLevel="0" collapsed="false">
      <c r="A111" s="6" t="str">
        <f aca="false">parametros_recargas!A68</f>
        <v>ABC 25 kg s/ruedas</v>
      </c>
      <c r="B111" s="6" t="str">
        <f aca="false">parametros_recargas!B68</f>
        <v>ABC</v>
      </c>
      <c r="C111" s="14" t="n">
        <f aca="false">parametros_recargas!C68</f>
        <v>6.360853875</v>
      </c>
      <c r="D111" s="26" t="n">
        <f aca="false">datos_base!$E$15*parametros_recargas!E$68+sobrestock_sustitutos!$D$64/12</f>
        <v>14.0101777750379</v>
      </c>
      <c r="E111" s="26" t="n">
        <f aca="false">datos_base!$E$15*parametros_recargas!F$68+sobrestock_sustitutos!$D$64/12</f>
        <v>14.0101777750379</v>
      </c>
      <c r="F111" s="26" t="n">
        <f aca="false">datos_base!$E$15*parametros_recargas!G$68+sobrestock_sustitutos!$D$64/12</f>
        <v>15.5890814720843</v>
      </c>
      <c r="G111" s="26" t="n">
        <f aca="false">datos_base!$E$15*parametros_recargas!H$68+sobrestock_sustitutos!$D$64/12</f>
        <v>17.6826218327058</v>
      </c>
      <c r="H111" s="26" t="n">
        <f aca="false">datos_base!$E$15*parametros_recargas!I$68+sobrestock_sustitutos!$D$64/12</f>
        <v>17.7676290204305</v>
      </c>
      <c r="I111" s="26" t="n">
        <f aca="false">datos_base!$E$15*parametros_recargas!J$68+sobrestock_sustitutos!$D$64/12</f>
        <v>17.0759490669779</v>
      </c>
      <c r="J111" s="26" t="n">
        <f aca="false">datos_base!$E$15*parametros_recargas!K$68+sobrestock_sustitutos!$D$64/12</f>
        <v>14.7663762798306</v>
      </c>
      <c r="K111" s="26" t="n">
        <f aca="false">datos_base!$E$15*parametros_recargas!L$68+sobrestock_sustitutos!$D$64/12</f>
        <v>14.8903726042037</v>
      </c>
      <c r="L111" s="26" t="n">
        <f aca="false">datos_base!$E$15*parametros_recargas!M$68+sobrestock_sustitutos!$D$64/12</f>
        <v>15.5820525576562</v>
      </c>
      <c r="M111" s="26" t="n">
        <f aca="false">datos_base!$E$15*parametros_recargas!N$68+sobrestock_sustitutos!$D$64/12</f>
        <v>15.5820525576562</v>
      </c>
      <c r="N111" s="26" t="n">
        <f aca="false">datos_base!$E$15*parametros_recargas!O$68+sobrestock_sustitutos!$D$64/12</f>
        <v>15.4970453699315</v>
      </c>
      <c r="O111" s="26" t="n">
        <f aca="false">datos_base!$E$15*parametros_recargas!P$68+sobrestock_sustitutos!$D$64/12</f>
        <v>16.1887253233841</v>
      </c>
      <c r="P111" s="12" t="n">
        <f aca="false">SUM(D111:O111)</f>
        <v>188.642261634937</v>
      </c>
    </row>
    <row r="112" customFormat="false" ht="15" hidden="false" customHeight="false" outlineLevel="0" collapsed="false">
      <c r="A112" s="6" t="str">
        <f aca="false">parametros_recargas!A69</f>
        <v>ABC 50 kg s/ruedas</v>
      </c>
      <c r="B112" s="6" t="str">
        <f aca="false">parametros_recargas!B69</f>
        <v>ABC</v>
      </c>
      <c r="C112" s="14" t="n">
        <f aca="false">parametros_recargas!C69</f>
        <v>6.360853875</v>
      </c>
      <c r="D112" s="26" t="n">
        <f aca="false">datos_base!$E$16*parametros_recargas!E$69+sobrestock_sustitutos!$D$65/12</f>
        <v>30.7890962191063</v>
      </c>
      <c r="E112" s="26" t="n">
        <f aca="false">datos_base!$E$16*parametros_recargas!F$69+sobrestock_sustitutos!$D$65/12</f>
        <v>30.7890962191063</v>
      </c>
      <c r="F112" s="26" t="n">
        <f aca="false">datos_base!$E$16*parametros_recargas!G$69+sobrestock_sustitutos!$D$65/12</f>
        <v>34.2626737931194</v>
      </c>
      <c r="G112" s="26" t="n">
        <f aca="false">datos_base!$E$16*parametros_recargas!H$69+sobrestock_sustitutos!$D$65/12</f>
        <v>38.8684307693698</v>
      </c>
      <c r="H112" s="26" t="n">
        <f aca="false">datos_base!$E$16*parametros_recargas!I$69+sobrestock_sustitutos!$D$65/12</f>
        <v>39.0553983894544</v>
      </c>
      <c r="I112" s="26" t="n">
        <f aca="false">datos_base!$E$16*parametros_recargas!J$69+sobrestock_sustitutos!$D$65/12</f>
        <v>37.5337444007464</v>
      </c>
      <c r="J112" s="26" t="n">
        <f aca="false">datos_base!$E$16*parametros_recargas!K$69+sobrestock_sustitutos!$D$65/12</f>
        <v>32.4527987011337</v>
      </c>
      <c r="K112" s="26" t="n">
        <f aca="false">datos_base!$E$16*parametros_recargas!L$69+sobrestock_sustitutos!$D$65/12</f>
        <v>32.7254804581098</v>
      </c>
      <c r="L112" s="26" t="n">
        <f aca="false">datos_base!$E$16*parametros_recargas!M$69+sobrestock_sustitutos!$D$65/12</f>
        <v>34.2471344468179</v>
      </c>
      <c r="M112" s="26" t="n">
        <f aca="false">datos_base!$E$16*parametros_recargas!N$69+sobrestock_sustitutos!$D$65/12</f>
        <v>34.2471344468179</v>
      </c>
      <c r="N112" s="26" t="n">
        <f aca="false">datos_base!$E$16*parametros_recargas!O$69+sobrestock_sustitutos!$D$65/12</f>
        <v>34.0601668267333</v>
      </c>
      <c r="O112" s="26" t="n">
        <f aca="false">datos_base!$E$16*parametros_recargas!P$69+sobrestock_sustitutos!$D$65/12</f>
        <v>35.5818208154413</v>
      </c>
      <c r="P112" s="12" t="n">
        <f aca="false">SUM(D112:O112)</f>
        <v>414.612975485957</v>
      </c>
    </row>
    <row r="113" customFormat="false" ht="15" hidden="false" customHeight="false" outlineLevel="0" collapsed="false">
      <c r="A113" s="6" t="str">
        <f aca="false">parametros_recargas!A70</f>
        <v>ABC 70 kg s/ruedas</v>
      </c>
      <c r="B113" s="6" t="str">
        <f aca="false">parametros_recargas!B70</f>
        <v>ABC</v>
      </c>
      <c r="C113" s="14" t="n">
        <f aca="false">parametros_recargas!C70</f>
        <v>6.360853875</v>
      </c>
      <c r="D113" s="26" t="n">
        <f aca="false">datos_base!$E$17*parametros_recargas!E$70+sobrestock_sustitutos!$D$66/12</f>
        <v>6.72822826754598</v>
      </c>
      <c r="E113" s="26" t="n">
        <f aca="false">datos_base!$E$17*parametros_recargas!F$70+sobrestock_sustitutos!$D$66/12</f>
        <v>6.72822826754598</v>
      </c>
      <c r="F113" s="26" t="n">
        <f aca="false">datos_base!$E$17*parametros_recargas!G$70+sobrestock_sustitutos!$D$66/12</f>
        <v>7.48609102669047</v>
      </c>
      <c r="G113" s="26" t="n">
        <f aca="false">datos_base!$E$17*parametros_recargas!H$70+sobrestock_sustitutos!$D$66/12</f>
        <v>8.49101011324312</v>
      </c>
      <c r="H113" s="26" t="n">
        <f aca="false">datos_base!$E$17*parametros_recargas!I$70+sobrestock_sustitutos!$D$66/12</f>
        <v>8.53178484701015</v>
      </c>
      <c r="I113" s="26" t="n">
        <f aca="false">datos_base!$E$17*parametros_recargas!J$70+sobrestock_sustitutos!$D$66/12</f>
        <v>8.19978374130638</v>
      </c>
      <c r="J113" s="26" t="n">
        <f aca="false">datos_base!$E$17*parametros_recargas!K$70+sobrestock_sustitutos!$D$66/12</f>
        <v>7.09123016495538</v>
      </c>
      <c r="K113" s="26" t="n">
        <f aca="false">datos_base!$E$17*parametros_recargas!L$70+sobrestock_sustitutos!$D$66/12</f>
        <v>7.15069461022514</v>
      </c>
      <c r="L113" s="26" t="n">
        <f aca="false">datos_base!$E$17*parametros_recargas!M$70+sobrestock_sustitutos!$D$66/12</f>
        <v>7.48269571592891</v>
      </c>
      <c r="M113" s="26" t="n">
        <f aca="false">datos_base!$E$17*parametros_recargas!N$70+sobrestock_sustitutos!$D$66/12</f>
        <v>7.48269571592891</v>
      </c>
      <c r="N113" s="26" t="n">
        <f aca="false">datos_base!$E$17*parametros_recargas!O$70+sobrestock_sustitutos!$D$66/12</f>
        <v>7.44192098216188</v>
      </c>
      <c r="O113" s="26" t="n">
        <f aca="false">datos_base!$E$17*parametros_recargas!P$70+sobrestock_sustitutos!$D$66/12</f>
        <v>7.77392208786566</v>
      </c>
      <c r="P113" s="12" t="n">
        <f aca="false">SUM(D113:O113)</f>
        <v>90.588285540408</v>
      </c>
    </row>
    <row r="114" customFormat="false" ht="15" hidden="false" customHeight="false" outlineLevel="0" collapsed="false">
      <c r="A114" s="6" t="str">
        <f aca="false">parametros_recargas!A71</f>
        <v>ABC 100 kg s/ruedas</v>
      </c>
      <c r="B114" s="6" t="str">
        <f aca="false">parametros_recargas!B71</f>
        <v>ABC</v>
      </c>
      <c r="C114" s="14" t="n">
        <f aca="false">parametros_recargas!C71</f>
        <v>6.360853875</v>
      </c>
      <c r="D114" s="26" t="n">
        <f aca="false">datos_base!$E$18*parametros_recargas!E$71+sobrestock_sustitutos!$D$67/12</f>
        <v>4.51330293298946</v>
      </c>
      <c r="E114" s="26" t="n">
        <f aca="false">datos_base!$E$18*parametros_recargas!F$71+sobrestock_sustitutos!$D$67/12</f>
        <v>4.51330293298946</v>
      </c>
      <c r="F114" s="26" t="n">
        <f aca="false">datos_base!$E$18*parametros_recargas!G$71+sobrestock_sustitutos!$D$67/12</f>
        <v>5.01852833238334</v>
      </c>
      <c r="G114" s="26" t="n">
        <f aca="false">datos_base!$E$18*parametros_recargas!H$71+sobrestock_sustitutos!$D$67/12</f>
        <v>5.68842714857532</v>
      </c>
      <c r="H114" s="26" t="n">
        <f aca="false">datos_base!$E$18*parametros_recargas!I$71+sobrestock_sustitutos!$D$67/12</f>
        <v>5.71561030450413</v>
      </c>
      <c r="I114" s="26" t="n">
        <f aca="false">datos_base!$E$18*parametros_recargas!J$71+sobrestock_sustitutos!$D$67/12</f>
        <v>5.49427623334996</v>
      </c>
      <c r="J114" s="26" t="n">
        <f aca="false">datos_base!$E$18*parametros_recargas!K$71+sobrestock_sustitutos!$D$67/12</f>
        <v>4.75527235608672</v>
      </c>
      <c r="K114" s="26" t="n">
        <f aca="false">datos_base!$E$18*parametros_recargas!L$71+sobrestock_sustitutos!$D$67/12</f>
        <v>4.79489991873072</v>
      </c>
      <c r="L114" s="26" t="n">
        <f aca="false">datos_base!$E$18*parametros_recargas!M$71+sobrestock_sustitutos!$D$67/12</f>
        <v>5.01623398988489</v>
      </c>
      <c r="M114" s="26" t="n">
        <f aca="false">datos_base!$E$18*parametros_recargas!N$71+sobrestock_sustitutos!$D$67/12</f>
        <v>5.01623398988489</v>
      </c>
      <c r="N114" s="26" t="n">
        <f aca="false">datos_base!$E$18*parametros_recargas!O$71+sobrestock_sustitutos!$D$67/12</f>
        <v>4.98905083395608</v>
      </c>
      <c r="O114" s="26" t="n">
        <f aca="false">datos_base!$E$18*parametros_recargas!P$71+sobrestock_sustitutos!$D$67/12</f>
        <v>5.21038490511025</v>
      </c>
      <c r="P114" s="12" t="n">
        <f aca="false">SUM(D114:O114)</f>
        <v>60.7255238784452</v>
      </c>
    </row>
    <row r="115" customFormat="false" ht="15" hidden="false" customHeight="false" outlineLevel="0" collapsed="false">
      <c r="A115" s="4" t="s">
        <v>385</v>
      </c>
      <c r="D115" s="12" t="n">
        <f aca="false">SUM(D98:D114)</f>
        <v>5888.21082218431</v>
      </c>
      <c r="E115" s="12" t="n">
        <f aca="false">SUM(E98:E114)</f>
        <v>5099.05686595344</v>
      </c>
      <c r="F115" s="12" t="n">
        <f aca="false">SUM(F98:F114)</f>
        <v>4878.7211700575</v>
      </c>
      <c r="G115" s="12" t="n">
        <f aca="false">SUM(G98:G114)</f>
        <v>5411.8841285389</v>
      </c>
      <c r="H115" s="12" t="n">
        <f aca="false">SUM(H98:H114)</f>
        <v>5452.02927346652</v>
      </c>
      <c r="I115" s="12" t="n">
        <f aca="false">SUM(I98:I114)</f>
        <v>5400.23001186393</v>
      </c>
      <c r="J115" s="12" t="n">
        <f aca="false">SUM(J98:J114)</f>
        <v>4777.9151363122</v>
      </c>
      <c r="K115" s="12" t="n">
        <f aca="false">SUM(K98:K114)</f>
        <v>4819.75763485404</v>
      </c>
      <c r="L115" s="12" t="n">
        <f aca="false">SUM(L98:L114)</f>
        <v>4864.16035543205</v>
      </c>
      <c r="M115" s="12" t="n">
        <f aca="false">SUM(M98:M114)</f>
        <v>4864.16035543205</v>
      </c>
      <c r="N115" s="12" t="n">
        <f aca="false">SUM(N98:N114)</f>
        <v>5613.1691667353</v>
      </c>
      <c r="O115" s="12" t="n">
        <f aca="false">SUM(O98:O114)</f>
        <v>6454.12238456875</v>
      </c>
      <c r="P115" s="12" t="n">
        <f aca="false">SUM(P98:P114)</f>
        <v>63523.417305399</v>
      </c>
    </row>
    <row r="116" customFormat="false" ht="15" hidden="false" customHeight="false" outlineLevel="0" collapsed="false">
      <c r="A116" s="4" t="s">
        <v>386</v>
      </c>
    </row>
    <row r="117" customFormat="false" ht="15" hidden="false" customHeight="false" outlineLevel="0" collapsed="false">
      <c r="A117" s="5" t="s">
        <v>165</v>
      </c>
      <c r="D117" s="26" t="n">
        <f aca="false">SUMPRODUCT(($B$98:$B$114=$A117)*D$98:D$114*$C$98:$C$114)</f>
        <v>5593.00137787982</v>
      </c>
      <c r="E117" s="26" t="n">
        <f aca="false">SUMPRODUCT(($B$98:$B$114=$A117)*E$98:E$114*$C$98:$C$114)</f>
        <v>4803.84742164895</v>
      </c>
      <c r="F117" s="26" t="n">
        <f aca="false">SUMPRODUCT(($B$98:$B$114=$A117)*F$98:F$114*$C$98:$C$114)</f>
        <v>4485.50047664024</v>
      </c>
      <c r="G117" s="26" t="n">
        <f aca="false">SUMPRODUCT(($B$98:$B$114=$A117)*G$98:G$114*$C$98:$C$114)</f>
        <v>4933.47812977249</v>
      </c>
      <c r="H117" s="26" t="n">
        <f aca="false">SUMPRODUCT(($B$98:$B$114=$A117)*H$98:H$114*$C$98:$C$114)</f>
        <v>4968.83638370111</v>
      </c>
      <c r="I117" s="26" t="n">
        <f aca="false">SUMPRODUCT(($B$98:$B$114=$A117)*I$98:I$114*$C$98:$C$114)</f>
        <v>4920.91504468335</v>
      </c>
      <c r="J117" s="26" t="n">
        <f aca="false">SUMPRODUCT(($B$98:$B$114=$A117)*J$98:J$114*$C$98:$C$114)</f>
        <v>4396.22164927719</v>
      </c>
      <c r="K117" s="26" t="n">
        <f aca="false">SUMPRODUCT(($B$98:$B$114=$A117)*K$98:K$114*$C$98:$C$114)</f>
        <v>4437.54494837205</v>
      </c>
      <c r="L117" s="26" t="n">
        <f aca="false">SUMPRODUCT(($B$98:$B$114=$A117)*L$98:L$114*$C$98:$C$114)</f>
        <v>4479.61779380339</v>
      </c>
      <c r="M117" s="26" t="n">
        <f aca="false">SUMPRODUCT(($B$98:$B$114=$A117)*M$98:M$114*$C$98:$C$114)</f>
        <v>4479.61779380339</v>
      </c>
      <c r="N117" s="26" t="n">
        <f aca="false">SUMPRODUCT(($B$98:$B$114=$A117)*N$98:N$114*$C$98:$C$114)</f>
        <v>5233.41349610564</v>
      </c>
      <c r="O117" s="26" t="n">
        <f aca="false">SUMPRODUCT(($B$98:$B$114=$A117)*O$98:O$114*$C$98:$C$114)</f>
        <v>6070.48879135427</v>
      </c>
      <c r="P117" s="26" t="n">
        <f aca="false">SUMPRODUCT(($B$98:$B$114=$A117)*P$98:P$114*$C$98:$C$114)</f>
        <v>58802.4833070419</v>
      </c>
    </row>
    <row r="118" customFormat="false" ht="15" hidden="false" customHeight="false" outlineLevel="0" collapsed="false">
      <c r="A118" s="5" t="s">
        <v>166</v>
      </c>
      <c r="D118" s="26" t="n">
        <f aca="false">SUMPRODUCT(($B$98:$B$114=$A118)*D$98:D$114*$C$98:$C$114)</f>
        <v>7.45393997193497</v>
      </c>
      <c r="E118" s="26" t="n">
        <f aca="false">SUMPRODUCT(($B$98:$B$114=$A118)*E$98:E$114*$C$98:$C$114)</f>
        <v>7.45393997193497</v>
      </c>
      <c r="F118" s="26" t="n">
        <f aca="false">SUMPRODUCT(($B$98:$B$114=$A118)*F$98:F$114*$C$98:$C$114)</f>
        <v>7.45393997193497</v>
      </c>
      <c r="G118" s="26" t="n">
        <f aca="false">SUMPRODUCT(($B$98:$B$114=$A118)*G$98:G$114*$C$98:$C$114)</f>
        <v>7.45393997193497</v>
      </c>
      <c r="H118" s="26" t="n">
        <f aca="false">SUMPRODUCT(($B$98:$B$114=$A118)*H$98:H$114*$C$98:$C$114)</f>
        <v>7.45393997193497</v>
      </c>
      <c r="I118" s="26" t="n">
        <f aca="false">SUMPRODUCT(($B$98:$B$114=$A118)*I$98:I$114*$C$98:$C$114)</f>
        <v>7.45393997193497</v>
      </c>
      <c r="J118" s="26" t="n">
        <f aca="false">SUMPRODUCT(($B$98:$B$114=$A118)*J$98:J$114*$C$98:$C$114)</f>
        <v>7.45393997193497</v>
      </c>
      <c r="K118" s="26" t="n">
        <f aca="false">SUMPRODUCT(($B$98:$B$114=$A118)*K$98:K$114*$C$98:$C$114)</f>
        <v>7.45393997193497</v>
      </c>
      <c r="L118" s="26" t="n">
        <f aca="false">SUMPRODUCT(($B$98:$B$114=$A118)*L$98:L$114*$C$98:$C$114)</f>
        <v>7.45393997193497</v>
      </c>
      <c r="M118" s="26" t="n">
        <f aca="false">SUMPRODUCT(($B$98:$B$114=$A118)*M$98:M$114*$C$98:$C$114)</f>
        <v>7.45393997193497</v>
      </c>
      <c r="N118" s="26" t="n">
        <f aca="false">SUMPRODUCT(($B$98:$B$114=$A118)*N$98:N$114*$C$98:$C$114)</f>
        <v>7.45393997193497</v>
      </c>
      <c r="O118" s="26" t="n">
        <f aca="false">SUMPRODUCT(($B$98:$B$114=$A118)*O$98:O$114*$C$98:$C$114)</f>
        <v>7.45393997193497</v>
      </c>
      <c r="P118" s="26" t="n">
        <f aca="false">SUMPRODUCT(($B$98:$B$114=$A118)*P$98:P$114*$C$98:$C$114)</f>
        <v>89.4472796632196</v>
      </c>
    </row>
    <row r="119" customFormat="false" ht="15" hidden="false" customHeight="false" outlineLevel="0" collapsed="false">
      <c r="A119" s="5" t="s">
        <v>167</v>
      </c>
      <c r="D119" s="26" t="n">
        <f aca="false">SUMPRODUCT(($B$98:$B$114=$A119)*D$98:D$114*$C$98:$C$114)</f>
        <v>6.93531110724546</v>
      </c>
      <c r="E119" s="26" t="n">
        <f aca="false">SUMPRODUCT(($B$98:$B$114=$A119)*E$98:E$114*$C$98:$C$114)</f>
        <v>6.93531110724546</v>
      </c>
      <c r="F119" s="26" t="n">
        <f aca="false">SUMPRODUCT(($B$98:$B$114=$A119)*F$98:F$114*$C$98:$C$114)</f>
        <v>6.93531110724546</v>
      </c>
      <c r="G119" s="26" t="n">
        <f aca="false">SUMPRODUCT(($B$98:$B$114=$A119)*G$98:G$114*$C$98:$C$114)</f>
        <v>6.93531110724546</v>
      </c>
      <c r="H119" s="26" t="n">
        <f aca="false">SUMPRODUCT(($B$98:$B$114=$A119)*H$98:H$114*$C$98:$C$114)</f>
        <v>6.93531110724546</v>
      </c>
      <c r="I119" s="26" t="n">
        <f aca="false">SUMPRODUCT(($B$98:$B$114=$A119)*I$98:I$114*$C$98:$C$114)</f>
        <v>6.93531110724546</v>
      </c>
      <c r="J119" s="26" t="n">
        <f aca="false">SUMPRODUCT(($B$98:$B$114=$A119)*J$98:J$114*$C$98:$C$114)</f>
        <v>6.93531110724546</v>
      </c>
      <c r="K119" s="26" t="n">
        <f aca="false">SUMPRODUCT(($B$98:$B$114=$A119)*K$98:K$114*$C$98:$C$114)</f>
        <v>6.93531110724546</v>
      </c>
      <c r="L119" s="26" t="n">
        <f aca="false">SUMPRODUCT(($B$98:$B$114=$A119)*L$98:L$114*$C$98:$C$114)</f>
        <v>6.93531110724546</v>
      </c>
      <c r="M119" s="26" t="n">
        <f aca="false">SUMPRODUCT(($B$98:$B$114=$A119)*M$98:M$114*$C$98:$C$114)</f>
        <v>6.93531110724546</v>
      </c>
      <c r="N119" s="26" t="n">
        <f aca="false">SUMPRODUCT(($B$98:$B$114=$A119)*N$98:N$114*$C$98:$C$114)</f>
        <v>6.93531110724546</v>
      </c>
      <c r="O119" s="26" t="n">
        <f aca="false">SUMPRODUCT(($B$98:$B$114=$A119)*O$98:O$114*$C$98:$C$114)</f>
        <v>6.93531110724546</v>
      </c>
      <c r="P119" s="26" t="n">
        <f aca="false">SUMPRODUCT(($B$98:$B$114=$A119)*P$98:P$114*$C$98:$C$114)</f>
        <v>83.2237332869456</v>
      </c>
    </row>
    <row r="120" customFormat="false" ht="15" hidden="false" customHeight="false" outlineLevel="0" collapsed="false">
      <c r="A120" s="5" t="s">
        <v>168</v>
      </c>
      <c r="D120" s="26" t="n">
        <f aca="false">SUMPRODUCT(($B$98:$B$114=$A120)*D$98:D$114*$C$98:$C$114)</f>
        <v>104.065990378158</v>
      </c>
      <c r="E120" s="26" t="n">
        <f aca="false">SUMPRODUCT(($B$98:$B$114=$A120)*E$98:E$114*$C$98:$C$114)</f>
        <v>104.065990378158</v>
      </c>
      <c r="F120" s="26" t="n">
        <f aca="false">SUMPRODUCT(($B$98:$B$114=$A120)*F$98:F$114*$C$98:$C$114)</f>
        <v>128.16600765602</v>
      </c>
      <c r="G120" s="26" t="n">
        <f aca="false">SUMPRODUCT(($B$98:$B$114=$A120)*G$98:G$114*$C$98:$C$114)</f>
        <v>153.573669217341</v>
      </c>
      <c r="H120" s="26" t="n">
        <f aca="false">SUMPRODUCT(($B$98:$B$114=$A120)*H$98:H$114*$C$98:$C$114)</f>
        <v>154.526636670455</v>
      </c>
      <c r="I120" s="26" t="n">
        <f aca="false">SUMPRODUCT(($B$98:$B$114=$A120)*I$98:I$114*$C$98:$C$114)</f>
        <v>150.040551635546</v>
      </c>
      <c r="J120" s="26" t="n">
        <f aca="false">SUMPRODUCT(($B$98:$B$114=$A120)*J$98:J$114*$C$98:$C$114)</f>
        <v>122.177057244912</v>
      </c>
      <c r="K120" s="26" t="n">
        <f aca="false">SUMPRODUCT(($B$98:$B$114=$A120)*K$98:K$114*$C$98:$C$114)</f>
        <v>122.40741677589</v>
      </c>
      <c r="L120" s="26" t="n">
        <f aca="false">SUMPRODUCT(($B$98:$B$114=$A120)*L$98:L$114*$C$98:$C$114)</f>
        <v>126.612082447757</v>
      </c>
      <c r="M120" s="26" t="n">
        <f aca="false">SUMPRODUCT(($B$98:$B$114=$A120)*M$98:M$114*$C$98:$C$114)</f>
        <v>126.612082447757</v>
      </c>
      <c r="N120" s="26" t="n">
        <f aca="false">SUMPRODUCT(($B$98:$B$114=$A120)*N$98:N$114*$C$98:$C$114)</f>
        <v>125.659114994643</v>
      </c>
      <c r="O120" s="26" t="n">
        <f aca="false">SUMPRODUCT(($B$98:$B$114=$A120)*O$98:O$114*$C$98:$C$114)</f>
        <v>130.145200029552</v>
      </c>
      <c r="P120" s="26" t="n">
        <f aca="false">SUMPRODUCT(($B$98:$B$114=$A120)*P$98:P$114*$C$98:$C$114)</f>
        <v>1548.05179987619</v>
      </c>
    </row>
    <row r="121" customFormat="false" ht="15" hidden="false" customHeight="false" outlineLevel="0" collapsed="false">
      <c r="A121" s="5" t="s">
        <v>169</v>
      </c>
      <c r="D121" s="26" t="n">
        <f aca="false">SUMPRODUCT(($B$98:$B$114=$A121)*D$98:D$114*$C$98:$C$114)</f>
        <v>108.37702294004</v>
      </c>
      <c r="E121" s="26" t="n">
        <f aca="false">SUMPRODUCT(($B$98:$B$114=$A121)*E$98:E$114*$C$98:$C$114)</f>
        <v>108.37702294004</v>
      </c>
      <c r="F121" s="26" t="n">
        <f aca="false">SUMPRODUCT(($B$98:$B$114=$A121)*F$98:F$114*$C$98:$C$114)</f>
        <v>108.37702294004</v>
      </c>
      <c r="G121" s="26" t="n">
        <f aca="false">SUMPRODUCT(($B$98:$B$114=$A121)*G$98:G$114*$C$98:$C$114)</f>
        <v>108.37702294004</v>
      </c>
      <c r="H121" s="26" t="n">
        <f aca="false">SUMPRODUCT(($B$98:$B$114=$A121)*H$98:H$114*$C$98:$C$114)</f>
        <v>108.37702294004</v>
      </c>
      <c r="I121" s="26" t="n">
        <f aca="false">SUMPRODUCT(($B$98:$B$114=$A121)*I$98:I$114*$C$98:$C$114)</f>
        <v>108.37702294004</v>
      </c>
      <c r="J121" s="26" t="n">
        <f aca="false">SUMPRODUCT(($B$98:$B$114=$A121)*J$98:J$114*$C$98:$C$114)</f>
        <v>108.37702294004</v>
      </c>
      <c r="K121" s="26" t="n">
        <f aca="false">SUMPRODUCT(($B$98:$B$114=$A121)*K$98:K$114*$C$98:$C$114)</f>
        <v>108.37702294004</v>
      </c>
      <c r="L121" s="26" t="n">
        <f aca="false">SUMPRODUCT(($B$98:$B$114=$A121)*L$98:L$114*$C$98:$C$114)</f>
        <v>108.37702294004</v>
      </c>
      <c r="M121" s="26" t="n">
        <f aca="false">SUMPRODUCT(($B$98:$B$114=$A121)*M$98:M$114*$C$98:$C$114)</f>
        <v>108.37702294004</v>
      </c>
      <c r="N121" s="26" t="n">
        <f aca="false">SUMPRODUCT(($B$98:$B$114=$A121)*N$98:N$114*$C$98:$C$114)</f>
        <v>108.37702294004</v>
      </c>
      <c r="O121" s="26" t="n">
        <f aca="false">SUMPRODUCT(($B$98:$B$114=$A121)*O$98:O$114*$C$98:$C$114)</f>
        <v>108.37702294004</v>
      </c>
      <c r="P121" s="26" t="n">
        <f aca="false">SUMPRODUCT(($B$98:$B$114=$A121)*P$98:P$114*$C$98:$C$114)</f>
        <v>1300.52427528048</v>
      </c>
    </row>
    <row r="122" customFormat="false" ht="15" hidden="false" customHeight="false" outlineLevel="0" collapsed="false">
      <c r="A122" s="5" t="s">
        <v>170</v>
      </c>
      <c r="D122" s="26" t="n">
        <f aca="false">SUMPRODUCT(($B$98:$B$114=$A122)*D$98:D$114*$C$98:$C$114)</f>
        <v>52.9809046488425</v>
      </c>
      <c r="E122" s="26" t="n">
        <f aca="false">SUMPRODUCT(($B$98:$B$114=$A122)*E$98:E$114*$C$98:$C$114)</f>
        <v>52.9809046488425</v>
      </c>
      <c r="F122" s="26" t="n">
        <f aca="false">SUMPRODUCT(($B$98:$B$114=$A122)*F$98:F$114*$C$98:$C$114)</f>
        <v>63.7484182508749</v>
      </c>
      <c r="G122" s="26" t="n">
        <f aca="false">SUMPRODUCT(($B$98:$B$114=$A122)*G$98:G$114*$C$98:$C$114)</f>
        <v>72.0442259771674</v>
      </c>
      <c r="H122" s="26" t="n">
        <f aca="false">SUMPRODUCT(($B$98:$B$114=$A122)*H$98:H$114*$C$98:$C$114)</f>
        <v>73.84097793365</v>
      </c>
      <c r="I122" s="26" t="n">
        <f aca="false">SUMPRODUCT(($B$98:$B$114=$A122)*I$98:I$114*$C$98:$C$114)</f>
        <v>72.3381254735388</v>
      </c>
      <c r="J122" s="26" t="n">
        <f aca="false">SUMPRODUCT(($B$98:$B$114=$A122)*J$98:J$114*$C$98:$C$114)</f>
        <v>59.3599106445968</v>
      </c>
      <c r="K122" s="26" t="n">
        <f aca="false">SUMPRODUCT(($B$98:$B$114=$A122)*K$98:K$114*$C$98:$C$114)</f>
        <v>61.8645113678777</v>
      </c>
      <c r="L122" s="26" t="n">
        <f aca="false">SUMPRODUCT(($B$98:$B$114=$A122)*L$98:L$114*$C$98:$C$114)</f>
        <v>63.3673638279889</v>
      </c>
      <c r="M122" s="26" t="n">
        <f aca="false">SUMPRODUCT(($B$98:$B$114=$A122)*M$98:M$114*$C$98:$C$114)</f>
        <v>63.3673638279889</v>
      </c>
      <c r="N122" s="26" t="n">
        <f aca="false">SUMPRODUCT(($B$98:$B$114=$A122)*N$98:N$114*$C$98:$C$114)</f>
        <v>61.5706118715063</v>
      </c>
      <c r="O122" s="26" t="n">
        <f aca="false">SUMPRODUCT(($B$98:$B$114=$A122)*O$98:O$114*$C$98:$C$114)</f>
        <v>63.0734643316176</v>
      </c>
      <c r="P122" s="26" t="n">
        <f aca="false">SUMPRODUCT(($B$98:$B$114=$A122)*P$98:P$114*$C$98:$C$114)</f>
        <v>760.536782804492</v>
      </c>
    </row>
    <row r="123" customFormat="false" ht="15" hidden="false" customHeight="false" outlineLevel="0" collapsed="false">
      <c r="A123" s="5" t="s">
        <v>171</v>
      </c>
      <c r="D123" s="26" t="n">
        <f aca="false">SUMPRODUCT(($B$98:$B$114=$A123)*D$98:D$114*$C$98:$C$114)</f>
        <v>366.364356823639</v>
      </c>
      <c r="E123" s="26" t="n">
        <f aca="false">SUMPRODUCT(($B$98:$B$114=$A123)*E$98:E$114*$C$98:$C$114)</f>
        <v>366.364356823639</v>
      </c>
      <c r="F123" s="26" t="n">
        <f aca="false">SUMPRODUCT(($B$98:$B$114=$A123)*F$98:F$114*$C$98:$C$114)</f>
        <v>464.64505333088</v>
      </c>
      <c r="G123" s="26" t="n">
        <f aca="false">SUMPRODUCT(($B$98:$B$114=$A123)*G$98:G$114*$C$98:$C$114)</f>
        <v>561.01929752441</v>
      </c>
      <c r="H123" s="26" t="n">
        <f aca="false">SUMPRODUCT(($B$98:$B$114=$A123)*H$98:H$114*$C$98:$C$114)</f>
        <v>564.878798632471</v>
      </c>
      <c r="I123" s="26" t="n">
        <f aca="false">SUMPRODUCT(($B$98:$B$114=$A123)*I$98:I$114*$C$98:$C$114)</f>
        <v>553.438238100003</v>
      </c>
      <c r="J123" s="26" t="n">
        <f aca="false">SUMPRODUCT(($B$98:$B$114=$A123)*J$98:J$114*$C$98:$C$114)</f>
        <v>447.134491971514</v>
      </c>
      <c r="K123" s="26" t="n">
        <f aca="false">SUMPRODUCT(($B$98:$B$114=$A123)*K$98:K$114*$C$98:$C$114)</f>
        <v>447.576482168355</v>
      </c>
      <c r="L123" s="26" t="n">
        <f aca="false">SUMPRODUCT(($B$98:$B$114=$A123)*L$98:L$114*$C$98:$C$114)</f>
        <v>457.750414625712</v>
      </c>
      <c r="M123" s="26" t="n">
        <f aca="false">SUMPRODUCT(($B$98:$B$114=$A123)*M$98:M$114*$C$98:$C$114)</f>
        <v>457.750414625712</v>
      </c>
      <c r="N123" s="26" t="n">
        <f aca="false">SUMPRODUCT(($B$98:$B$114=$A123)*N$98:N$114*$C$98:$C$114)</f>
        <v>453.890913517651</v>
      </c>
      <c r="O123" s="26" t="n">
        <f aca="false">SUMPRODUCT(($B$98:$B$114=$A123)*O$98:O$114*$C$98:$C$114)</f>
        <v>465.331474050119</v>
      </c>
      <c r="P123" s="26" t="n">
        <f aca="false">SUMPRODUCT(($B$98:$B$114=$A123)*P$98:P$114*$C$98:$C$114)</f>
        <v>5606.14429219411</v>
      </c>
    </row>
    <row r="124" customFormat="false" ht="15" hidden="false" customHeight="false" outlineLevel="0" collapsed="false">
      <c r="A124" s="5" t="s">
        <v>172</v>
      </c>
      <c r="D124" s="26" t="n">
        <f aca="false">SUMPRODUCT(($B$98:$B$114=$A124)*D$98:D$114*$C$98:$C$114)</f>
        <v>20.0471802901153</v>
      </c>
      <c r="E124" s="26" t="n">
        <f aca="false">SUMPRODUCT(($B$98:$B$114=$A124)*E$98:E$114*$C$98:$C$114)</f>
        <v>20.0471802901153</v>
      </c>
      <c r="F124" s="26" t="n">
        <f aca="false">SUMPRODUCT(($B$98:$B$114=$A124)*F$98:F$114*$C$98:$C$114)</f>
        <v>18.7670468652422</v>
      </c>
      <c r="G124" s="26" t="n">
        <f aca="false">SUMPRODUCT(($B$98:$B$114=$A124)*G$98:G$114*$C$98:$C$114)</f>
        <v>18.7670468652422</v>
      </c>
      <c r="H124" s="26" t="n">
        <f aca="false">SUMPRODUCT(($B$98:$B$114=$A124)*H$98:H$114*$C$98:$C$114)</f>
        <v>18.7670468652422</v>
      </c>
      <c r="I124" s="26" t="n">
        <f aca="false">SUMPRODUCT(($B$98:$B$114=$A124)*I$98:I$114*$C$98:$C$114)</f>
        <v>17.4869134403691</v>
      </c>
      <c r="J124" s="26" t="n">
        <f aca="false">SUMPRODUCT(($B$98:$B$114=$A124)*J$98:J$114*$C$98:$C$114)</f>
        <v>17.4869134403691</v>
      </c>
      <c r="K124" s="26" t="n">
        <f aca="false">SUMPRODUCT(($B$98:$B$114=$A124)*K$98:K$114*$C$98:$C$114)</f>
        <v>17.4869134403691</v>
      </c>
      <c r="L124" s="26" t="n">
        <f aca="false">SUMPRODUCT(($B$98:$B$114=$A124)*L$98:L$114*$C$98:$C$114)</f>
        <v>18.7670468652422</v>
      </c>
      <c r="M124" s="26" t="n">
        <f aca="false">SUMPRODUCT(($B$98:$B$114=$A124)*M$98:M$114*$C$98:$C$114)</f>
        <v>18.7670468652422</v>
      </c>
      <c r="N124" s="26" t="n">
        <f aca="false">SUMPRODUCT(($B$98:$B$114=$A124)*N$98:N$114*$C$98:$C$114)</f>
        <v>18.7670468652422</v>
      </c>
      <c r="O124" s="26" t="n">
        <f aca="false">SUMPRODUCT(($B$98:$B$114=$A124)*O$98:O$114*$C$98:$C$114)</f>
        <v>20.0471802901153</v>
      </c>
      <c r="P124" s="26" t="n">
        <f aca="false">SUMPRODUCT(($B$98:$B$114=$A124)*P$98:P$114*$C$98:$C$114)</f>
        <v>225.204562382906</v>
      </c>
    </row>
    <row r="125" customFormat="false" ht="15" hidden="false" customHeight="false" outlineLevel="0" collapsed="false">
      <c r="A125" s="4" t="s">
        <v>387</v>
      </c>
      <c r="D125" s="27" t="n">
        <f aca="false">SUMPRODUCT(D$98:D$114*parametros_recargas!$D$55:$D$71)</f>
        <v>174.228719880913</v>
      </c>
      <c r="E125" s="27" t="n">
        <f aca="false">SUMPRODUCT(E$98:E$114*parametros_recargas!$D$55:$D$71)</f>
        <v>174.228719880913</v>
      </c>
      <c r="F125" s="27" t="n">
        <f aca="false">SUMPRODUCT(F$98:F$114*parametros_recargas!$D$55:$D$71)</f>
        <v>189.389954281203</v>
      </c>
      <c r="G125" s="27" t="n">
        <f aca="false">SUMPRODUCT(G$98:G$114*parametros_recargas!$D$55:$D$71)</f>
        <v>210.01974613723</v>
      </c>
      <c r="H125" s="27" t="n">
        <f aca="false">SUMPRODUCT(H$98:H$114*parametros_recargas!$D$55:$D$71)</f>
        <v>212.465617306162</v>
      </c>
      <c r="I125" s="27" t="n">
        <f aca="false">SUMPRODUCT(I$98:I$114*parametros_recargas!$D$55:$D$71)</f>
        <v>203.776085166353</v>
      </c>
      <c r="J125" s="27" t="n">
        <f aca="false">SUMPRODUCT(J$98:J$114*parametros_recargas!$D$55:$D$71)</f>
        <v>180.400255365114</v>
      </c>
      <c r="K125" s="27" t="n">
        <f aca="false">SUMPRODUCT(K$98:K$114*parametros_recargas!$D$55:$D$71)</f>
        <v>182.371189795185</v>
      </c>
      <c r="L125" s="27" t="n">
        <f aca="false">SUMPRODUCT(L$98:L$114*parametros_recargas!$D$55:$D$71)</f>
        <v>189.794093859883</v>
      </c>
      <c r="M125" s="27" t="n">
        <f aca="false">SUMPRODUCT(M$98:M$114*parametros_recargas!$D$55:$D$71)</f>
        <v>189.794093859883</v>
      </c>
      <c r="N125" s="27" t="n">
        <f aca="false">SUMPRODUCT(N$98:N$114*parametros_recargas!$D$55:$D$71)</f>
        <v>187.348222690952</v>
      </c>
      <c r="O125" s="27" t="n">
        <f aca="false">SUMPRODUCT(O$98:O$114*parametros_recargas!$D$55:$D$71)</f>
        <v>196.037754830761</v>
      </c>
      <c r="P125" s="27" t="n">
        <f aca="false">SUMPRODUCT(P$98:P$114*parametros_recargas!$D$55:$D$71)</f>
        <v>2289.85445305455</v>
      </c>
    </row>
    <row r="126" customFormat="false" ht="15" hidden="false" customHeight="false" outlineLevel="0" collapsed="false">
      <c r="A126" s="4" t="s">
        <v>388</v>
      </c>
      <c r="D126" s="27" t="n">
        <f aca="false">SUMPRODUCT(sobrestock_sustitutos!$E$73:$E$73,--(sobrestock_sustitutos!$F$30:$F$30="Fábrica: cilindro vacío"),parametros_recargas!$C$55:$C$55)*parametros_recargas!E$109+SUMPRODUCT(sobrestock_sustitutos!$E$74:$E$76,--(sobrestock_sustitutos!$F$31:$F$33="Fábrica: cilindro vacío"),parametros_recargas!$C$56:$C$58)*parametros_recargas!E$110+SUMPRODUCT(sobrestock_sustitutos!$E$86:$E$89,--(sobrestock_sustitutos!$F$43:$F$46="Fábrica: cilindro vacío"),parametros_recargas!$C$68:$C$71)*parametros_recargas!E$111</f>
        <v>21.485393347675</v>
      </c>
      <c r="E126" s="27" t="n">
        <f aca="false">SUMPRODUCT(sobrestock_sustitutos!$E$73:$E$73,--(sobrestock_sustitutos!$F$30:$F$30="Fábrica: cilindro vacío"),parametros_recargas!$C$55:$C$55)*parametros_recargas!F$109+SUMPRODUCT(sobrestock_sustitutos!$E$74:$E$76,--(sobrestock_sustitutos!$F$31:$F$33="Fábrica: cilindro vacío"),parametros_recargas!$C$56:$C$58)*parametros_recargas!F$110+SUMPRODUCT(sobrestock_sustitutos!$E$86:$E$89,--(sobrestock_sustitutos!$F$43:$F$46="Fábrica: cilindro vacío"),parametros_recargas!$C$68:$C$71)*parametros_recargas!F$111</f>
        <v>17.439441189125</v>
      </c>
      <c r="F126" s="27" t="n">
        <f aca="false">SUMPRODUCT(sobrestock_sustitutos!$E$73:$E$73,--(sobrestock_sustitutos!$F$30:$F$30="Fábrica: cilindro vacío"),parametros_recargas!$C$55:$C$55)*parametros_recargas!G$109+SUMPRODUCT(sobrestock_sustitutos!$E$74:$E$76,--(sobrestock_sustitutos!$F$31:$F$33="Fábrica: cilindro vacío"),parametros_recargas!$C$56:$C$58)*parametros_recargas!G$110+SUMPRODUCT(sobrestock_sustitutos!$E$86:$E$89,--(sobrestock_sustitutos!$F$43:$F$46="Fábrica: cilindro vacío"),parametros_recargas!$C$68:$C$71)*parametros_recargas!G$111</f>
        <v>18.89936942695</v>
      </c>
      <c r="G126" s="27" t="n">
        <f aca="false">SUMPRODUCT(sobrestock_sustitutos!$E$73:$E$73,--(sobrestock_sustitutos!$F$30:$F$30="Fábrica: cilindro vacío"),parametros_recargas!$C$55:$C$55)*parametros_recargas!H$109+SUMPRODUCT(sobrestock_sustitutos!$E$74:$E$76,--(sobrestock_sustitutos!$F$31:$F$33="Fábrica: cilindro vacío"),parametros_recargas!$C$56:$C$58)*parametros_recargas!H$110+SUMPRODUCT(sobrestock_sustitutos!$E$86:$E$89,--(sobrestock_sustitutos!$F$43:$F$46="Fábrica: cilindro vacío"),parametros_recargas!$C$68:$C$71)*parametros_recargas!H$111</f>
        <v>18.89936942695</v>
      </c>
      <c r="H126" s="27" t="n">
        <f aca="false">SUMPRODUCT(sobrestock_sustitutos!$E$73:$E$73,--(sobrestock_sustitutos!$F$30:$F$30="Fábrica: cilindro vacío"),parametros_recargas!$C$55:$C$55)*parametros_recargas!I$109+SUMPRODUCT(sobrestock_sustitutos!$E$74:$E$76,--(sobrestock_sustitutos!$F$31:$F$33="Fábrica: cilindro vacío"),parametros_recargas!$C$56:$C$58)*parametros_recargas!I$110+SUMPRODUCT(sobrestock_sustitutos!$E$86:$E$89,--(sobrestock_sustitutos!$F$43:$F$46="Fábrica: cilindro vacío"),parametros_recargas!$C$68:$C$71)*parametros_recargas!I$111</f>
        <v>17.97756942695</v>
      </c>
      <c r="I126" s="27" t="n">
        <f aca="false">SUMPRODUCT(sobrestock_sustitutos!$E$73:$E$73,--(sobrestock_sustitutos!$F$30:$F$30="Fábrica: cilindro vacío"),parametros_recargas!$C$55:$C$55)*parametros_recargas!J$109+SUMPRODUCT(sobrestock_sustitutos!$E$74:$E$76,--(sobrestock_sustitutos!$F$31:$F$33="Fábrica: cilindro vacío"),parametros_recargas!$C$56:$C$58)*parametros_recargas!J$110+SUMPRODUCT(sobrestock_sustitutos!$E$86:$E$89,--(sobrestock_sustitutos!$F$43:$F$46="Fábrica: cilindro vacío"),parametros_recargas!$C$68:$C$71)*parametros_recargas!J$111</f>
        <v>16.6970172684</v>
      </c>
      <c r="J126" s="27" t="n">
        <f aca="false">SUMPRODUCT(sobrestock_sustitutos!$E$73:$E$73,--(sobrestock_sustitutos!$F$30:$F$30="Fábrica: cilindro vacío"),parametros_recargas!$C$55:$C$55)*parametros_recargas!K$109+SUMPRODUCT(sobrestock_sustitutos!$E$74:$E$76,--(sobrestock_sustitutos!$F$31:$F$33="Fábrica: cilindro vacío"),parametros_recargas!$C$56:$C$58)*parametros_recargas!K$110+SUMPRODUCT(sobrestock_sustitutos!$E$86:$E$89,--(sobrestock_sustitutos!$F$43:$F$46="Fábrica: cilindro vacío"),parametros_recargas!$C$68:$C$71)*parametros_recargas!K$111</f>
        <v>17.97756942695</v>
      </c>
      <c r="K126" s="27" t="n">
        <f aca="false">SUMPRODUCT(sobrestock_sustitutos!$E$73:$E$73,--(sobrestock_sustitutos!$F$30:$F$30="Fábrica: cilindro vacío"),parametros_recargas!$C$55:$C$55)*parametros_recargas!L$109+SUMPRODUCT(sobrestock_sustitutos!$E$74:$E$76,--(sobrestock_sustitutos!$F$31:$F$33="Fábrica: cilindro vacío"),parametros_recargas!$C$56:$C$58)*parametros_recargas!L$110+SUMPRODUCT(sobrestock_sustitutos!$E$86:$E$89,--(sobrestock_sustitutos!$F$43:$F$46="Fábrica: cilindro vacío"),parametros_recargas!$C$68:$C$71)*parametros_recargas!L$111</f>
        <v>17.97756942695</v>
      </c>
      <c r="L126" s="27" t="n">
        <f aca="false">SUMPRODUCT(sobrestock_sustitutos!$E$73:$E$73,--(sobrestock_sustitutos!$F$30:$F$30="Fábrica: cilindro vacío"),parametros_recargas!$C$55:$C$55)*parametros_recargas!M$109+SUMPRODUCT(sobrestock_sustitutos!$E$74:$E$76,--(sobrestock_sustitutos!$F$31:$F$33="Fábrica: cilindro vacío"),parametros_recargas!$C$56:$C$58)*parametros_recargas!M$110+SUMPRODUCT(sobrestock_sustitutos!$E$86:$E$89,--(sobrestock_sustitutos!$F$43:$F$46="Fábrica: cilindro vacío"),parametros_recargas!$C$68:$C$71)*parametros_recargas!M$111</f>
        <v>17.798193347675</v>
      </c>
      <c r="M126" s="27" t="n">
        <f aca="false">SUMPRODUCT(sobrestock_sustitutos!$E$73:$E$73,--(sobrestock_sustitutos!$F$30:$F$30="Fábrica: cilindro vacío"),parametros_recargas!$C$55:$C$55)*parametros_recargas!N$109+SUMPRODUCT(sobrestock_sustitutos!$E$74:$E$76,--(sobrestock_sustitutos!$F$31:$F$33="Fábrica: cilindro vacío"),parametros_recargas!$C$56:$C$58)*parametros_recargas!N$110+SUMPRODUCT(sobrestock_sustitutos!$E$86:$E$89,--(sobrestock_sustitutos!$F$43:$F$46="Fábrica: cilindro vacío"),parametros_recargas!$C$68:$C$71)*parametros_recargas!N$111</f>
        <v>16.517641189125</v>
      </c>
      <c r="N126" s="27" t="n">
        <f aca="false">SUMPRODUCT(sobrestock_sustitutos!$E$73:$E$73,--(sobrestock_sustitutos!$F$30:$F$30="Fábrica: cilindro vacío"),parametros_recargas!$C$55:$C$55)*parametros_recargas!O$109+SUMPRODUCT(sobrestock_sustitutos!$E$74:$E$76,--(sobrestock_sustitutos!$F$31:$F$33="Fábrica: cilindro vacío"),parametros_recargas!$C$56:$C$58)*parametros_recargas!O$110+SUMPRODUCT(sobrestock_sustitutos!$E$86:$E$89,--(sobrestock_sustitutos!$F$43:$F$46="Fábrica: cilindro vacío"),parametros_recargas!$C$68:$C$71)*parametros_recargas!O$111</f>
        <v>15.41646510985</v>
      </c>
      <c r="O126" s="27" t="n">
        <f aca="false">SUMPRODUCT(sobrestock_sustitutos!$E$73:$E$73,--(sobrestock_sustitutos!$F$30:$F$30="Fábrica: cilindro vacío"),parametros_recargas!$C$55:$C$55)*parametros_recargas!P$109+SUMPRODUCT(sobrestock_sustitutos!$E$74:$E$76,--(sobrestock_sustitutos!$F$31:$F$33="Fábrica: cilindro vacío"),parametros_recargas!$C$56:$C$58)*parametros_recargas!P$110+SUMPRODUCT(sobrestock_sustitutos!$E$86:$E$89,--(sobrestock_sustitutos!$F$43:$F$46="Fábrica: cilindro vacío"),parametros_recargas!$C$68:$C$71)*parametros_recargas!P$111</f>
        <v>23.1496172684</v>
      </c>
      <c r="P126" s="12" t="n">
        <f aca="false">SUM(D126:O126)</f>
        <v>220.235215855</v>
      </c>
    </row>
    <row r="129" customFormat="false" ht="15" hidden="false" customHeight="false" outlineLevel="0" collapsed="false">
      <c r="A129" s="28" t="n">
        <v>2030</v>
      </c>
      <c r="B129" s="3" t="s">
        <v>383</v>
      </c>
      <c r="C129" s="3" t="s">
        <v>384</v>
      </c>
      <c r="D129" s="3" t="s">
        <v>64</v>
      </c>
      <c r="E129" s="3" t="s">
        <v>65</v>
      </c>
      <c r="F129" s="3" t="s">
        <v>66</v>
      </c>
      <c r="G129" s="3" t="s">
        <v>67</v>
      </c>
      <c r="H129" s="3" t="s">
        <v>68</v>
      </c>
      <c r="I129" s="3" t="s">
        <v>69</v>
      </c>
      <c r="J129" s="3" t="s">
        <v>70</v>
      </c>
      <c r="K129" s="3" t="s">
        <v>71</v>
      </c>
      <c r="L129" s="3" t="s">
        <v>72</v>
      </c>
      <c r="M129" s="3" t="s">
        <v>73</v>
      </c>
      <c r="N129" s="3" t="s">
        <v>74</v>
      </c>
      <c r="O129" s="3" t="s">
        <v>75</v>
      </c>
      <c r="P129" s="3" t="s">
        <v>132</v>
      </c>
    </row>
    <row r="130" customFormat="false" ht="15" hidden="false" customHeight="false" outlineLevel="0" collapsed="false">
      <c r="A130" s="6" t="str">
        <f aca="false">parametros_recargas!A55</f>
        <v>ABC 1 kg</v>
      </c>
      <c r="B130" s="6" t="str">
        <f aca="false">parametros_recargas!B55</f>
        <v>ABC</v>
      </c>
      <c r="C130" s="14" t="n">
        <f aca="false">parametros_recargas!C55</f>
        <v>1</v>
      </c>
      <c r="D130" s="26" t="n">
        <f aca="false">datos_base!$F$2*parametros_recargas!E$55+sobrestock_sustitutos!$E$51/12</f>
        <v>5601.83751301902</v>
      </c>
      <c r="E130" s="26" t="n">
        <f aca="false">datos_base!$F$2*parametros_recargas!F$55+sobrestock_sustitutos!$E$51/12</f>
        <v>4461.64170152121</v>
      </c>
      <c r="F130" s="26" t="n">
        <f aca="false">datos_base!$F$2*parametros_recargas!G$55+sobrestock_sustitutos!$E$51/12</f>
        <v>3323.70220012918</v>
      </c>
      <c r="G130" s="26" t="n">
        <f aca="false">datos_base!$F$2*parametros_recargas!H$55+sobrestock_sustitutos!$E$51/12</f>
        <v>3323.70220012918</v>
      </c>
      <c r="H130" s="26" t="n">
        <f aca="false">datos_base!$F$2*parametros_recargas!I$55+sobrestock_sustitutos!$E$51/12</f>
        <v>3325.95851023497</v>
      </c>
      <c r="I130" s="26" t="n">
        <f aca="false">datos_base!$F$2*parametros_recargas!J$55+sobrestock_sustitutos!$E$51/12</f>
        <v>3325.95851023497</v>
      </c>
      <c r="J130" s="26" t="n">
        <f aca="false">datos_base!$F$2*parametros_recargas!K$55+sobrestock_sustitutos!$E$51/12</f>
        <v>3322.05599012047</v>
      </c>
      <c r="K130" s="26" t="n">
        <f aca="false">datos_base!$F$2*parametros_recargas!L$55+sobrestock_sustitutos!$E$51/12</f>
        <v>3325.95851023497</v>
      </c>
      <c r="L130" s="26" t="n">
        <f aca="false">datos_base!$F$2*parametros_recargas!M$55+sobrestock_sustitutos!$E$51/12</f>
        <v>3325.65346018643</v>
      </c>
      <c r="M130" s="26" t="n">
        <f aca="false">datos_base!$F$2*parametros_recargas!N$55+sobrestock_sustitutos!$E$51/12</f>
        <v>3325.65346018643</v>
      </c>
      <c r="N130" s="26" t="n">
        <f aca="false">datos_base!$F$2*parametros_recargas!O$55+sobrestock_sustitutos!$E$51/12</f>
        <v>4463.59296157846</v>
      </c>
      <c r="O130" s="26" t="n">
        <f aca="false">datos_base!$F$2*parametros_recargas!P$55+sobrestock_sustitutos!$E$51/12</f>
        <v>5603.78877307627</v>
      </c>
      <c r="P130" s="12" t="n">
        <f aca="false">SUM(D130:O130)</f>
        <v>46729.5037906516</v>
      </c>
    </row>
    <row r="131" customFormat="false" ht="15" hidden="false" customHeight="false" outlineLevel="0" collapsed="false">
      <c r="A131" s="6" t="str">
        <f aca="false">parametros_recargas!A56</f>
        <v>ABC 2,5 kg</v>
      </c>
      <c r="B131" s="6" t="str">
        <f aca="false">parametros_recargas!B56</f>
        <v>ABC</v>
      </c>
      <c r="C131" s="14" t="n">
        <f aca="false">parametros_recargas!C56</f>
        <v>1</v>
      </c>
      <c r="D131" s="26" t="n">
        <f aca="false">datos_base!$F$3*parametros_recargas!E$56+sobrestock_sustitutos!$E$52/12</f>
        <v>265.264999816305</v>
      </c>
      <c r="E131" s="26" t="n">
        <f aca="false">datos_base!$F$3*parametros_recargas!F$56+sobrestock_sustitutos!$E$52/12</f>
        <v>265.264999816305</v>
      </c>
      <c r="F131" s="26" t="n">
        <f aca="false">datos_base!$F$3*parametros_recargas!G$56+sobrestock_sustitutos!$E$52/12</f>
        <v>362.555688783079</v>
      </c>
      <c r="G131" s="26" t="n">
        <f aca="false">datos_base!$F$3*parametros_recargas!H$56+sobrestock_sustitutos!$E$52/12</f>
        <v>421.577148719969</v>
      </c>
      <c r="H131" s="26" t="n">
        <f aca="false">datos_base!$F$3*parametros_recargas!I$56+sobrestock_sustitutos!$E$52/12</f>
        <v>455.962124071851</v>
      </c>
      <c r="I131" s="26" t="n">
        <f aca="false">datos_base!$F$3*parametros_recargas!J$56+sobrestock_sustitutos!$E$52/12</f>
        <v>450.85579668811</v>
      </c>
      <c r="J131" s="26" t="n">
        <f aca="false">datos_base!$F$3*parametros_recargas!K$56+sobrestock_sustitutos!$E$52/12</f>
        <v>327.133811511666</v>
      </c>
      <c r="K131" s="26" t="n">
        <f aca="false">datos_base!$F$3*parametros_recargas!L$56+sobrestock_sustitutos!$E$52/12</f>
        <v>382.843755689477</v>
      </c>
      <c r="L131" s="26" t="n">
        <f aca="false">datos_base!$F$3*parametros_recargas!M$56+sobrestock_sustitutos!$E$52/12</f>
        <v>383.667725075677</v>
      </c>
      <c r="M131" s="26" t="n">
        <f aca="false">datos_base!$F$3*parametros_recargas!N$56+sobrestock_sustitutos!$E$52/12</f>
        <v>383.667725075677</v>
      </c>
      <c r="N131" s="26" t="n">
        <f aca="false">datos_base!$F$3*parametros_recargas!O$56+sobrestock_sustitutos!$E$52/12</f>
        <v>349.282749723794</v>
      </c>
      <c r="O131" s="26" t="n">
        <f aca="false">datos_base!$F$3*parametros_recargas!P$56+sobrestock_sustitutos!$E$52/12</f>
        <v>354.389077107536</v>
      </c>
      <c r="P131" s="12" t="n">
        <f aca="false">SUM(D131:O131)</f>
        <v>4402.46560207945</v>
      </c>
    </row>
    <row r="132" customFormat="false" ht="15" hidden="false" customHeight="false" outlineLevel="0" collapsed="false">
      <c r="A132" s="6" t="str">
        <f aca="false">parametros_recargas!A57</f>
        <v>ABC 5 kg</v>
      </c>
      <c r="B132" s="6" t="str">
        <f aca="false">parametros_recargas!B57</f>
        <v>ABC</v>
      </c>
      <c r="C132" s="14" t="n">
        <f aca="false">parametros_recargas!C57</f>
        <v>1</v>
      </c>
      <c r="D132" s="26" t="n">
        <f aca="false">datos_base!$F$4*parametros_recargas!E$57+sobrestock_sustitutos!$E$53/12</f>
        <v>1816.33479766217</v>
      </c>
      <c r="E132" s="26" t="n">
        <f aca="false">datos_base!$F$4*parametros_recargas!F$57+sobrestock_sustitutos!$E$53/12</f>
        <v>1771.95811801043</v>
      </c>
      <c r="F132" s="26" t="n">
        <f aca="false">datos_base!$F$4*parametros_recargas!G$57+sobrestock_sustitutos!$E$53/12</f>
        <v>2219.79006819513</v>
      </c>
      <c r="G132" s="26" t="n">
        <f aca="false">datos_base!$F$4*parametros_recargas!H$57+sobrestock_sustitutos!$E$53/12</f>
        <v>2701.18585285862</v>
      </c>
      <c r="H132" s="26" t="n">
        <f aca="false">datos_base!$F$4*parametros_recargas!I$57+sobrestock_sustitutos!$E$53/12</f>
        <v>2711.1255446528</v>
      </c>
      <c r="I132" s="26" t="n">
        <f aca="false">datos_base!$F$4*parametros_recargas!J$57+sobrestock_sustitutos!$E$53/12</f>
        <v>2677.15549036675</v>
      </c>
      <c r="J132" s="26" t="n">
        <f aca="false">datos_base!$F$4*parametros_recargas!K$57+sobrestock_sustitutos!$E$53/12</f>
        <v>2166.19660007442</v>
      </c>
      <c r="K132" s="26" t="n">
        <f aca="false">datos_base!$F$4*parametros_recargas!L$57+sobrestock_sustitutos!$E$53/12</f>
        <v>2160.91649803845</v>
      </c>
      <c r="L132" s="26" t="n">
        <f aca="false">datos_base!$F$4*parametros_recargas!M$57+sobrestock_sustitutos!$E$53/12</f>
        <v>2191.01761142853</v>
      </c>
      <c r="M132" s="26" t="n">
        <f aca="false">datos_base!$F$4*parametros_recargas!N$57+sobrestock_sustitutos!$E$53/12</f>
        <v>2191.01761142853</v>
      </c>
      <c r="N132" s="26" t="n">
        <f aca="false">datos_base!$F$4*parametros_recargas!O$57+sobrestock_sustitutos!$E$53/12</f>
        <v>2225.45459928609</v>
      </c>
      <c r="O132" s="26" t="n">
        <f aca="false">datos_base!$F$4*parametros_recargas!P$57+sobrestock_sustitutos!$E$53/12</f>
        <v>2303.80133322387</v>
      </c>
      <c r="P132" s="12" t="n">
        <f aca="false">SUM(D132:O132)</f>
        <v>27135.9541252258</v>
      </c>
    </row>
    <row r="133" customFormat="false" ht="15" hidden="false" customHeight="false" outlineLevel="0" collapsed="false">
      <c r="A133" s="6" t="str">
        <f aca="false">parametros_recargas!A58</f>
        <v>ABC 10 kg</v>
      </c>
      <c r="B133" s="6" t="str">
        <f aca="false">parametros_recargas!B58</f>
        <v>ABC</v>
      </c>
      <c r="C133" s="14" t="n">
        <f aca="false">parametros_recargas!C58</f>
        <v>1</v>
      </c>
      <c r="D133" s="26" t="n">
        <f aca="false">datos_base!$F$5*parametros_recargas!E$58+sobrestock_sustitutos!$E$54/12</f>
        <v>103.515493812045</v>
      </c>
      <c r="E133" s="26" t="n">
        <f aca="false">datos_base!$F$5*parametros_recargas!F$58+sobrestock_sustitutos!$E$54/12</f>
        <v>103.515493812045</v>
      </c>
      <c r="F133" s="26" t="n">
        <f aca="false">datos_base!$F$5*parametros_recargas!G$58+sobrestock_sustitutos!$E$54/12</f>
        <v>132.816759805317</v>
      </c>
      <c r="G133" s="26" t="n">
        <f aca="false">datos_base!$F$5*parametros_recargas!H$58+sobrestock_sustitutos!$E$54/12</f>
        <v>161.440392947308</v>
      </c>
      <c r="H133" s="26" t="n">
        <f aca="false">datos_base!$F$5*parametros_recargas!I$58+sobrestock_sustitutos!$E$54/12</f>
        <v>162.935413903394</v>
      </c>
      <c r="I133" s="26" t="n">
        <f aca="false">datos_base!$F$5*parametros_recargas!J$58+sobrestock_sustitutos!$E$54/12</f>
        <v>158.275495812255</v>
      </c>
      <c r="J133" s="26" t="n">
        <f aca="false">datos_base!$F$5*parametros_recargas!K$58+sobrestock_sustitutos!$E$54/12</f>
        <v>124.740555764925</v>
      </c>
      <c r="K133" s="26" t="n">
        <f aca="false">datos_base!$F$5*parametros_recargas!L$58+sobrestock_sustitutos!$E$54/12</f>
        <v>125.80933268393</v>
      </c>
      <c r="L133" s="26" t="n">
        <f aca="false">datos_base!$F$5*parametros_recargas!M$58+sobrestock_sustitutos!$E$54/12</f>
        <v>130.469250775069</v>
      </c>
      <c r="M133" s="26" t="n">
        <f aca="false">datos_base!$F$5*parametros_recargas!N$58+sobrestock_sustitutos!$E$54/12</f>
        <v>130.469250775069</v>
      </c>
      <c r="N133" s="26" t="n">
        <f aca="false">datos_base!$F$5*parametros_recargas!O$58+sobrestock_sustitutos!$E$54/12</f>
        <v>128.974229818983</v>
      </c>
      <c r="O133" s="26" t="n">
        <f aca="false">datos_base!$F$5*parametros_recargas!P$58+sobrestock_sustitutos!$E$54/12</f>
        <v>133.634147910122</v>
      </c>
      <c r="P133" s="12" t="n">
        <f aca="false">SUM(D133:O133)</f>
        <v>1596.59581782047</v>
      </c>
    </row>
    <row r="134" customFormat="false" ht="15" hidden="false" customHeight="false" outlineLevel="0" collapsed="false">
      <c r="A134" s="6" t="str">
        <f aca="false">parametros_recargas!A59</f>
        <v>Agua 10 l</v>
      </c>
      <c r="B134" s="6" t="str">
        <f aca="false">parametros_recargas!B59</f>
        <v>Agua</v>
      </c>
      <c r="C134" s="14" t="n">
        <f aca="false">parametros_recargas!C59</f>
        <v>1</v>
      </c>
      <c r="D134" s="26" t="n">
        <f aca="false">datos_base!$F$6*parametros_recargas!E$59+sobrestock_sustitutos!$E$55/12</f>
        <v>150.630905297197</v>
      </c>
      <c r="E134" s="26" t="n">
        <f aca="false">datos_base!$F$6*parametros_recargas!F$59+sobrestock_sustitutos!$E$55/12</f>
        <v>150.630905297197</v>
      </c>
      <c r="F134" s="26" t="n">
        <f aca="false">datos_base!$F$6*parametros_recargas!G$59+sobrestock_sustitutos!$E$55/12</f>
        <v>185.402666539985</v>
      </c>
      <c r="G134" s="26" t="n">
        <f aca="false">datos_base!$F$6*parametros_recargas!H$59+sobrestock_sustitutos!$E$55/12</f>
        <v>222.061110862321</v>
      </c>
      <c r="H134" s="26" t="n">
        <f aca="false">datos_base!$F$6*parametros_recargas!I$59+sobrestock_sustitutos!$E$55/12</f>
        <v>223.436062438903</v>
      </c>
      <c r="I134" s="26" t="n">
        <f aca="false">datos_base!$F$6*parametros_recargas!J$59+sobrestock_sustitutos!$E$55/12</f>
        <v>216.963491239048</v>
      </c>
      <c r="J134" s="26" t="n">
        <f aca="false">datos_base!$F$6*parametros_recargas!K$59+sobrestock_sustitutos!$E$55/12</f>
        <v>176.761745191716</v>
      </c>
      <c r="K134" s="26" t="n">
        <f aca="false">datos_base!$F$6*parametros_recargas!L$59+sobrestock_sustitutos!$E$55/12</f>
        <v>177.094110372986</v>
      </c>
      <c r="L134" s="26" t="n">
        <f aca="false">datos_base!$F$6*parametros_recargas!M$59+sobrestock_sustitutos!$E$55/12</f>
        <v>183.160646722826</v>
      </c>
      <c r="M134" s="26" t="n">
        <f aca="false">datos_base!$F$6*parametros_recargas!N$59+sobrestock_sustitutos!$E$55/12</f>
        <v>183.160646722826</v>
      </c>
      <c r="N134" s="26" t="n">
        <f aca="false">datos_base!$F$6*parametros_recargas!O$59+sobrestock_sustitutos!$E$55/12</f>
        <v>181.785695146244</v>
      </c>
      <c r="O134" s="26" t="n">
        <f aca="false">datos_base!$F$6*parametros_recargas!P$59+sobrestock_sustitutos!$E$55/12</f>
        <v>188.2582663461</v>
      </c>
      <c r="P134" s="12" t="n">
        <f aca="false">SUM(D134:O134)</f>
        <v>2239.34625217735</v>
      </c>
    </row>
    <row r="135" customFormat="false" ht="15" hidden="false" customHeight="false" outlineLevel="0" collapsed="false">
      <c r="A135" s="6" t="str">
        <f aca="false">parametros_recargas!A60</f>
        <v>AFFF 10 l</v>
      </c>
      <c r="B135" s="6" t="str">
        <f aca="false">parametros_recargas!B60</f>
        <v>AFFF</v>
      </c>
      <c r="C135" s="14" t="n">
        <f aca="false">parametros_recargas!C60</f>
        <v>1</v>
      </c>
      <c r="D135" s="26" t="n">
        <f aca="false">datos_base!$F$7*parametros_recargas!E$60+sobrestock_sustitutos!$E$56/12</f>
        <v>34.7038043443855</v>
      </c>
      <c r="E135" s="26" t="n">
        <f aca="false">datos_base!$F$7*parametros_recargas!F$60+sobrestock_sustitutos!$E$56/12</f>
        <v>34.7038043443855</v>
      </c>
      <c r="F135" s="26" t="n">
        <f aca="false">datos_base!$F$7*parametros_recargas!G$60+sobrestock_sustitutos!$E$56/12</f>
        <v>34.7038043443855</v>
      </c>
      <c r="G135" s="26" t="n">
        <f aca="false">datos_base!$F$7*parametros_recargas!H$60+sobrestock_sustitutos!$E$56/12</f>
        <v>34.7038043443855</v>
      </c>
      <c r="H135" s="26" t="n">
        <f aca="false">datos_base!$F$7*parametros_recargas!I$60+sobrestock_sustitutos!$E$56/12</f>
        <v>34.7038043443855</v>
      </c>
      <c r="I135" s="26" t="n">
        <f aca="false">datos_base!$F$7*parametros_recargas!J$60+sobrestock_sustitutos!$E$56/12</f>
        <v>34.7038043443855</v>
      </c>
      <c r="J135" s="26" t="n">
        <f aca="false">datos_base!$F$7*parametros_recargas!K$60+sobrestock_sustitutos!$E$56/12</f>
        <v>34.7038043443855</v>
      </c>
      <c r="K135" s="26" t="n">
        <f aca="false">datos_base!$F$7*parametros_recargas!L$60+sobrestock_sustitutos!$E$56/12</f>
        <v>34.7038043443855</v>
      </c>
      <c r="L135" s="26" t="n">
        <f aca="false">datos_base!$F$7*parametros_recargas!M$60+sobrestock_sustitutos!$E$56/12</f>
        <v>34.7038043443855</v>
      </c>
      <c r="M135" s="26" t="n">
        <f aca="false">datos_base!$F$7*parametros_recargas!N$60+sobrestock_sustitutos!$E$56/12</f>
        <v>34.7038043443855</v>
      </c>
      <c r="N135" s="26" t="n">
        <f aca="false">datos_base!$F$7*parametros_recargas!O$60+sobrestock_sustitutos!$E$56/12</f>
        <v>34.7038043443855</v>
      </c>
      <c r="O135" s="26" t="n">
        <f aca="false">datos_base!$F$7*parametros_recargas!P$60+sobrestock_sustitutos!$E$56/12</f>
        <v>34.7038043443855</v>
      </c>
      <c r="P135" s="12" t="n">
        <f aca="false">SUM(D135:O135)</f>
        <v>416.445652132626</v>
      </c>
    </row>
    <row r="136" customFormat="false" ht="15" hidden="false" customHeight="false" outlineLevel="0" collapsed="false">
      <c r="A136" s="6" t="str">
        <f aca="false">parametros_recargas!A61</f>
        <v>AFFF 50 l s/ruedas</v>
      </c>
      <c r="B136" s="6" t="str">
        <f aca="false">parametros_recargas!B61</f>
        <v>AFFF</v>
      </c>
      <c r="C136" s="14" t="n">
        <f aca="false">parametros_recargas!C61</f>
        <v>6.360853875</v>
      </c>
      <c r="D136" s="26" t="n">
        <f aca="false">datos_base!$F$8*parametros_recargas!E$61+sobrestock_sustitutos!$E$57/12</f>
        <v>18.5999429281029</v>
      </c>
      <c r="E136" s="26" t="n">
        <f aca="false">datos_base!$F$8*parametros_recargas!F$61+sobrestock_sustitutos!$E$57/12</f>
        <v>18.5999429281029</v>
      </c>
      <c r="F136" s="26" t="n">
        <f aca="false">datos_base!$F$8*parametros_recargas!G$61+sobrestock_sustitutos!$E$57/12</f>
        <v>18.5999429281029</v>
      </c>
      <c r="G136" s="26" t="n">
        <f aca="false">datos_base!$F$8*parametros_recargas!H$61+sobrestock_sustitutos!$E$57/12</f>
        <v>18.5999429281029</v>
      </c>
      <c r="H136" s="26" t="n">
        <f aca="false">datos_base!$F$8*parametros_recargas!I$61+sobrestock_sustitutos!$E$57/12</f>
        <v>18.5999429281029</v>
      </c>
      <c r="I136" s="26" t="n">
        <f aca="false">datos_base!$F$8*parametros_recargas!J$61+sobrestock_sustitutos!$E$57/12</f>
        <v>18.5999429281029</v>
      </c>
      <c r="J136" s="26" t="n">
        <f aca="false">datos_base!$F$8*parametros_recargas!K$61+sobrestock_sustitutos!$E$57/12</f>
        <v>18.5999429281029</v>
      </c>
      <c r="K136" s="26" t="n">
        <f aca="false">datos_base!$F$8*parametros_recargas!L$61+sobrestock_sustitutos!$E$57/12</f>
        <v>18.5999429281029</v>
      </c>
      <c r="L136" s="26" t="n">
        <f aca="false">datos_base!$F$8*parametros_recargas!M$61+sobrestock_sustitutos!$E$57/12</f>
        <v>18.5999429281029</v>
      </c>
      <c r="M136" s="26" t="n">
        <f aca="false">datos_base!$F$8*parametros_recargas!N$61+sobrestock_sustitutos!$E$57/12</f>
        <v>18.5999429281029</v>
      </c>
      <c r="N136" s="26" t="n">
        <f aca="false">datos_base!$F$8*parametros_recargas!O$61+sobrestock_sustitutos!$E$57/12</f>
        <v>18.5999429281029</v>
      </c>
      <c r="O136" s="26" t="n">
        <f aca="false">datos_base!$F$8*parametros_recargas!P$61+sobrestock_sustitutos!$E$57/12</f>
        <v>18.5999429281029</v>
      </c>
      <c r="P136" s="12" t="n">
        <f aca="false">SUM(D136:O136)</f>
        <v>223.199315137235</v>
      </c>
    </row>
    <row r="137" customFormat="false" ht="15" hidden="false" customHeight="false" outlineLevel="0" collapsed="false">
      <c r="A137" s="6" t="str">
        <f aca="false">parametros_recargas!A62</f>
        <v>BC 5 kg</v>
      </c>
      <c r="B137" s="6" t="str">
        <f aca="false">parametros_recargas!B62</f>
        <v>BC</v>
      </c>
      <c r="C137" s="14" t="n">
        <f aca="false">parametros_recargas!C62</f>
        <v>1</v>
      </c>
      <c r="D137" s="26" t="n">
        <f aca="false">datos_base!$F$9*parametros_recargas!E$62+sobrestock_sustitutos!$E$58/12</f>
        <v>10.3234443786876</v>
      </c>
      <c r="E137" s="26" t="n">
        <f aca="false">datos_base!$F$9*parametros_recargas!F$62+sobrestock_sustitutos!$E$58/12</f>
        <v>10.3234443786876</v>
      </c>
      <c r="F137" s="26" t="n">
        <f aca="false">datos_base!$F$9*parametros_recargas!G$62+sobrestock_sustitutos!$E$58/12</f>
        <v>10.3234443786876</v>
      </c>
      <c r="G137" s="26" t="n">
        <f aca="false">datos_base!$F$9*parametros_recargas!H$62+sobrestock_sustitutos!$E$58/12</f>
        <v>10.3234443786876</v>
      </c>
      <c r="H137" s="26" t="n">
        <f aca="false">datos_base!$F$9*parametros_recargas!I$62+sobrestock_sustitutos!$E$58/12</f>
        <v>10.3234443786876</v>
      </c>
      <c r="I137" s="26" t="n">
        <f aca="false">datos_base!$F$9*parametros_recargas!J$62+sobrestock_sustitutos!$E$58/12</f>
        <v>10.3234443786876</v>
      </c>
      <c r="J137" s="26" t="n">
        <f aca="false">datos_base!$F$9*parametros_recargas!K$62+sobrestock_sustitutos!$E$58/12</f>
        <v>10.3234443786876</v>
      </c>
      <c r="K137" s="26" t="n">
        <f aca="false">datos_base!$F$9*parametros_recargas!L$62+sobrestock_sustitutos!$E$58/12</f>
        <v>10.3234443786876</v>
      </c>
      <c r="L137" s="26" t="n">
        <f aca="false">datos_base!$F$9*parametros_recargas!M$62+sobrestock_sustitutos!$E$58/12</f>
        <v>10.3234443786876</v>
      </c>
      <c r="M137" s="26" t="n">
        <f aca="false">datos_base!$F$9*parametros_recargas!N$62+sobrestock_sustitutos!$E$58/12</f>
        <v>10.3234443786876</v>
      </c>
      <c r="N137" s="26" t="n">
        <f aca="false">datos_base!$F$9*parametros_recargas!O$62+sobrestock_sustitutos!$E$58/12</f>
        <v>10.3234443786876</v>
      </c>
      <c r="O137" s="26" t="n">
        <f aca="false">datos_base!$F$9*parametros_recargas!P$62+sobrestock_sustitutos!$E$58/12</f>
        <v>10.3234443786876</v>
      </c>
      <c r="P137" s="12" t="n">
        <f aca="false">SUM(D137:O137)</f>
        <v>123.881332544252</v>
      </c>
    </row>
    <row r="138" customFormat="false" ht="15" hidden="false" customHeight="false" outlineLevel="0" collapsed="false">
      <c r="A138" s="6" t="str">
        <f aca="false">parametros_recargas!A63</f>
        <v>Sales K 6 l</v>
      </c>
      <c r="B138" s="6" t="str">
        <f aca="false">parametros_recargas!B63</f>
        <v>Sales K</v>
      </c>
      <c r="C138" s="14" t="n">
        <f aca="false">parametros_recargas!C63</f>
        <v>1</v>
      </c>
      <c r="D138" s="26" t="n">
        <f aca="false">datos_base!$F$10*parametros_recargas!E$63+sobrestock_sustitutos!$E$59/12</f>
        <v>76.6186818187543</v>
      </c>
      <c r="E138" s="26" t="n">
        <f aca="false">datos_base!$F$10*parametros_recargas!F$63+sobrestock_sustitutos!$E$59/12</f>
        <v>76.6186818187543</v>
      </c>
      <c r="F138" s="26" t="n">
        <f aca="false">datos_base!$F$10*parametros_recargas!G$63+sobrestock_sustitutos!$E$59/12</f>
        <v>92.1580506217163</v>
      </c>
      <c r="G138" s="26" t="n">
        <f aca="false">datos_base!$F$10*parametros_recargas!H$63+sobrestock_sustitutos!$E$59/12</f>
        <v>104.13032393772</v>
      </c>
      <c r="H138" s="26" t="n">
        <f aca="false">datos_base!$F$10*parametros_recargas!I$63+sobrestock_sustitutos!$E$59/12</f>
        <v>106.723345161669</v>
      </c>
      <c r="I138" s="26" t="n">
        <f aca="false">datos_base!$F$10*parametros_recargas!J$63+sobrestock_sustitutos!$E$59/12</f>
        <v>104.554471316021</v>
      </c>
      <c r="J138" s="26" t="n">
        <f aca="false">datos_base!$F$10*parametros_recargas!K$63+sobrestock_sustitutos!$E$59/12</f>
        <v>85.8246814977908</v>
      </c>
      <c r="K138" s="26" t="n">
        <f aca="false">datos_base!$F$10*parametros_recargas!L$63+sobrestock_sustitutos!$E$59/12</f>
        <v>89.4392498913595</v>
      </c>
      <c r="L138" s="26" t="n">
        <f aca="false">datos_base!$F$10*parametros_recargas!M$63+sobrestock_sustitutos!$E$59/12</f>
        <v>91.6081237370076</v>
      </c>
      <c r="M138" s="26" t="n">
        <f aca="false">datos_base!$F$10*parametros_recargas!N$63+sobrestock_sustitutos!$E$59/12</f>
        <v>91.6081237370076</v>
      </c>
      <c r="N138" s="26" t="n">
        <f aca="false">datos_base!$F$10*parametros_recargas!O$63+sobrestock_sustitutos!$E$59/12</f>
        <v>89.0151025130588</v>
      </c>
      <c r="O138" s="26" t="n">
        <f aca="false">datos_base!$F$10*parametros_recargas!P$63+sobrestock_sustitutos!$E$59/12</f>
        <v>91.1839763587069</v>
      </c>
      <c r="P138" s="12" t="n">
        <f aca="false">SUM(D138:O138)</f>
        <v>1099.48281240957</v>
      </c>
    </row>
    <row r="139" customFormat="false" ht="15" hidden="false" customHeight="false" outlineLevel="0" collapsed="false">
      <c r="A139" s="6" t="str">
        <f aca="false">parametros_recargas!A64</f>
        <v>CO₂ 2 kg</v>
      </c>
      <c r="B139" s="6" t="str">
        <f aca="false">parametros_recargas!B64</f>
        <v>CO₂</v>
      </c>
      <c r="C139" s="14" t="n">
        <f aca="false">parametros_recargas!C64</f>
        <v>1</v>
      </c>
      <c r="D139" s="26" t="n">
        <f aca="false">datos_base!$F$11*parametros_recargas!E$64+sobrestock_sustitutos!$E$60/12</f>
        <v>378.856125753572</v>
      </c>
      <c r="E139" s="26" t="n">
        <f aca="false">datos_base!$F$11*parametros_recargas!F$64+sobrestock_sustitutos!$E$60/12</f>
        <v>378.856125753572</v>
      </c>
      <c r="F139" s="26" t="n">
        <f aca="false">datos_base!$F$11*parametros_recargas!G$64+sobrestock_sustitutos!$E$60/12</f>
        <v>508.020240311447</v>
      </c>
      <c r="G139" s="26" t="n">
        <f aca="false">datos_base!$F$11*parametros_recargas!H$64+sobrestock_sustitutos!$E$60/12</f>
        <v>629.506196231696</v>
      </c>
      <c r="H139" s="26" t="n">
        <f aca="false">datos_base!$F$11*parametros_recargas!I$64+sobrestock_sustitutos!$E$60/12</f>
        <v>632.038731429496</v>
      </c>
      <c r="I139" s="26" t="n">
        <f aca="false">datos_base!$F$11*parametros_recargas!J$64+sobrestock_sustitutos!$E$60/12</f>
        <v>624.069946701079</v>
      </c>
      <c r="J139" s="26" t="n">
        <f aca="false">datos_base!$F$11*parametros_recargas!K$64+sobrestock_sustitutos!$E$60/12</f>
        <v>490.961716301108</v>
      </c>
      <c r="K139" s="26" t="n">
        <f aca="false">datos_base!$F$11*parametros_recargas!L$64+sobrestock_sustitutos!$E$60/12</f>
        <v>489.469582612587</v>
      </c>
      <c r="L139" s="26" t="n">
        <f aca="false">datos_base!$F$11*parametros_recargas!M$64+sobrestock_sustitutos!$E$60/12</f>
        <v>497.438367341004</v>
      </c>
      <c r="M139" s="26" t="n">
        <f aca="false">datos_base!$F$11*parametros_recargas!N$64+sobrestock_sustitutos!$E$60/12</f>
        <v>497.438367341004</v>
      </c>
      <c r="N139" s="26" t="n">
        <f aca="false">datos_base!$F$11*parametros_recargas!O$64+sobrestock_sustitutos!$E$60/12</f>
        <v>494.905832143204</v>
      </c>
      <c r="O139" s="26" t="n">
        <f aca="false">datos_base!$F$11*parametros_recargas!P$64+sobrestock_sustitutos!$E$60/12</f>
        <v>502.874616871621</v>
      </c>
      <c r="P139" s="12" t="n">
        <f aca="false">SUM(D139:O139)</f>
        <v>6124.43584879139</v>
      </c>
    </row>
    <row r="140" customFormat="false" ht="15" hidden="false" customHeight="false" outlineLevel="0" collapsed="false">
      <c r="A140" s="6" t="str">
        <f aca="false">parametros_recargas!A65</f>
        <v>CO₂ 5 kg</v>
      </c>
      <c r="B140" s="6" t="str">
        <f aca="false">parametros_recargas!B65</f>
        <v>CO₂</v>
      </c>
      <c r="C140" s="14" t="n">
        <f aca="false">parametros_recargas!C65</f>
        <v>1</v>
      </c>
      <c r="D140" s="26" t="n">
        <f aca="false">datos_base!$F$12*parametros_recargas!E$65+sobrestock_sustitutos!$E$61/12</f>
        <v>151.689590231107</v>
      </c>
      <c r="E140" s="26" t="n">
        <f aca="false">datos_base!$F$12*parametros_recargas!F$65+sobrestock_sustitutos!$E$61/12</f>
        <v>151.689590231107</v>
      </c>
      <c r="F140" s="26" t="n">
        <f aca="false">datos_base!$F$12*parametros_recargas!G$65+sobrestock_sustitutos!$E$61/12</f>
        <v>164.436150514697</v>
      </c>
      <c r="G140" s="26" t="n">
        <f aca="false">datos_base!$F$12*parametros_recargas!H$65+sobrestock_sustitutos!$E$61/12</f>
        <v>182.096521026677</v>
      </c>
      <c r="H140" s="26" t="n">
        <f aca="false">datos_base!$F$12*parametros_recargas!I$65+sobrestock_sustitutos!$E$61/12</f>
        <v>185.131168141225</v>
      </c>
      <c r="I140" s="26" t="n">
        <f aca="false">datos_base!$F$12*parametros_recargas!J$65+sobrestock_sustitutos!$E$61/12</f>
        <v>176.596351279396</v>
      </c>
      <c r="J140" s="26" t="n">
        <f aca="false">datos_base!$F$12*parametros_recargas!K$65+sobrestock_sustitutos!$E$61/12</f>
        <v>156.223916594255</v>
      </c>
      <c r="K140" s="26" t="n">
        <f aca="false">datos_base!$F$12*parametros_recargas!L$65+sobrestock_sustitutos!$E$61/12</f>
        <v>158.349621248525</v>
      </c>
      <c r="L140" s="26" t="n">
        <f aca="false">datos_base!$F$12*parametros_recargas!M$65+sobrestock_sustitutos!$E$61/12</f>
        <v>165.059233202664</v>
      </c>
      <c r="M140" s="26" t="n">
        <f aca="false">datos_base!$F$12*parametros_recargas!N$65+sobrestock_sustitutos!$E$61/12</f>
        <v>165.059233202664</v>
      </c>
      <c r="N140" s="26" t="n">
        <f aca="false">datos_base!$F$12*parametros_recargas!O$65+sobrestock_sustitutos!$E$61/12</f>
        <v>162.024586088116</v>
      </c>
      <c r="O140" s="26" t="n">
        <f aca="false">datos_base!$F$12*parametros_recargas!P$65+sobrestock_sustitutos!$E$61/12</f>
        <v>170.559402949945</v>
      </c>
      <c r="P140" s="12" t="n">
        <f aca="false">SUM(D140:O140)</f>
        <v>1988.91536471038</v>
      </c>
    </row>
    <row r="141" customFormat="false" ht="15" hidden="false" customHeight="false" outlineLevel="0" collapsed="false">
      <c r="A141" s="6" t="str">
        <f aca="false">parametros_recargas!A66</f>
        <v>HCFC/HFC 5 kg</v>
      </c>
      <c r="B141" s="6" t="str">
        <f aca="false">parametros_recargas!B66</f>
        <v>Halogenado</v>
      </c>
      <c r="C141" s="14" t="n">
        <f aca="false">parametros_recargas!C66</f>
        <v>1</v>
      </c>
      <c r="D141" s="26" t="n">
        <f aca="false">datos_base!$F$13*parametros_recargas!E$66+sobrestock_sustitutos!$E$62/12</f>
        <v>28.7166601288797</v>
      </c>
      <c r="E141" s="26" t="n">
        <f aca="false">datos_base!$F$13*parametros_recargas!F$66+sobrestock_sustitutos!$E$62/12</f>
        <v>28.7166601288797</v>
      </c>
      <c r="F141" s="26" t="n">
        <f aca="false">datos_base!$F$13*parametros_recargas!G$66+sobrestock_sustitutos!$E$62/12</f>
        <v>26.8813257626914</v>
      </c>
      <c r="G141" s="26" t="n">
        <f aca="false">datos_base!$F$13*parametros_recargas!H$66+sobrestock_sustitutos!$E$62/12</f>
        <v>26.8813257626914</v>
      </c>
      <c r="H141" s="26" t="n">
        <f aca="false">datos_base!$F$13*parametros_recargas!I$66+sobrestock_sustitutos!$E$62/12</f>
        <v>26.8813257626914</v>
      </c>
      <c r="I141" s="26" t="n">
        <f aca="false">datos_base!$F$13*parametros_recargas!J$66+sobrestock_sustitutos!$E$62/12</f>
        <v>25.045991396503</v>
      </c>
      <c r="J141" s="26" t="n">
        <f aca="false">datos_base!$F$13*parametros_recargas!K$66+sobrestock_sustitutos!$E$62/12</f>
        <v>25.045991396503</v>
      </c>
      <c r="K141" s="26" t="n">
        <f aca="false">datos_base!$F$13*parametros_recargas!L$66+sobrestock_sustitutos!$E$62/12</f>
        <v>25.045991396503</v>
      </c>
      <c r="L141" s="26" t="n">
        <f aca="false">datos_base!$F$13*parametros_recargas!M$66+sobrestock_sustitutos!$E$62/12</f>
        <v>26.8813257626914</v>
      </c>
      <c r="M141" s="26" t="n">
        <f aca="false">datos_base!$F$13*parametros_recargas!N$66+sobrestock_sustitutos!$E$62/12</f>
        <v>26.8813257626914</v>
      </c>
      <c r="N141" s="26" t="n">
        <f aca="false">datos_base!$F$13*parametros_recargas!O$66+sobrestock_sustitutos!$E$62/12</f>
        <v>26.8813257626914</v>
      </c>
      <c r="O141" s="26" t="n">
        <f aca="false">datos_base!$F$13*parametros_recargas!P$66+sobrestock_sustitutos!$E$62/12</f>
        <v>28.7166601288797</v>
      </c>
      <c r="P141" s="12" t="n">
        <f aca="false">SUM(D141:O141)</f>
        <v>322.575909152296</v>
      </c>
    </row>
    <row r="142" customFormat="false" ht="15" hidden="false" customHeight="false" outlineLevel="0" collapsed="false">
      <c r="A142" s="6" t="str">
        <f aca="false">parametros_recargas!A67</f>
        <v>Clase D 9 l</v>
      </c>
      <c r="B142" s="6" t="str">
        <f aca="false">parametros_recargas!B67</f>
        <v>Clase D</v>
      </c>
      <c r="C142" s="14" t="n">
        <f aca="false">parametros_recargas!C67</f>
        <v>1</v>
      </c>
      <c r="D142" s="26" t="n">
        <f aca="false">datos_base!$F$14*parametros_recargas!E$67+sobrestock_sustitutos!$E$63/12</f>
        <v>9.6501581104198</v>
      </c>
      <c r="E142" s="26" t="n">
        <f aca="false">datos_base!$F$14*parametros_recargas!F$67+sobrestock_sustitutos!$E$63/12</f>
        <v>9.6501581104198</v>
      </c>
      <c r="F142" s="26" t="n">
        <f aca="false">datos_base!$F$14*parametros_recargas!G$67+sobrestock_sustitutos!$E$63/12</f>
        <v>9.6501581104198</v>
      </c>
      <c r="G142" s="26" t="n">
        <f aca="false">datos_base!$F$14*parametros_recargas!H$67+sobrestock_sustitutos!$E$63/12</f>
        <v>9.6501581104198</v>
      </c>
      <c r="H142" s="26" t="n">
        <f aca="false">datos_base!$F$14*parametros_recargas!I$67+sobrestock_sustitutos!$E$63/12</f>
        <v>9.6501581104198</v>
      </c>
      <c r="I142" s="26" t="n">
        <f aca="false">datos_base!$F$14*parametros_recargas!J$67+sobrestock_sustitutos!$E$63/12</f>
        <v>9.6501581104198</v>
      </c>
      <c r="J142" s="26" t="n">
        <f aca="false">datos_base!$F$14*parametros_recargas!K$67+sobrestock_sustitutos!$E$63/12</f>
        <v>9.6501581104198</v>
      </c>
      <c r="K142" s="26" t="n">
        <f aca="false">datos_base!$F$14*parametros_recargas!L$67+sobrestock_sustitutos!$E$63/12</f>
        <v>9.6501581104198</v>
      </c>
      <c r="L142" s="26" t="n">
        <f aca="false">datos_base!$F$14*parametros_recargas!M$67+sobrestock_sustitutos!$E$63/12</f>
        <v>9.6501581104198</v>
      </c>
      <c r="M142" s="26" t="n">
        <f aca="false">datos_base!$F$14*parametros_recargas!N$67+sobrestock_sustitutos!$E$63/12</f>
        <v>9.6501581104198</v>
      </c>
      <c r="N142" s="26" t="n">
        <f aca="false">datos_base!$F$14*parametros_recargas!O$67+sobrestock_sustitutos!$E$63/12</f>
        <v>9.6501581104198</v>
      </c>
      <c r="O142" s="26" t="n">
        <f aca="false">datos_base!$F$14*parametros_recargas!P$67+sobrestock_sustitutos!$E$63/12</f>
        <v>9.6501581104198</v>
      </c>
      <c r="P142" s="12" t="n">
        <f aca="false">SUM(D142:O142)</f>
        <v>115.801897325038</v>
      </c>
    </row>
    <row r="143" customFormat="false" ht="15" hidden="false" customHeight="false" outlineLevel="0" collapsed="false">
      <c r="A143" s="6" t="str">
        <f aca="false">parametros_recargas!A68</f>
        <v>ABC 25 kg s/ruedas</v>
      </c>
      <c r="B143" s="6" t="str">
        <f aca="false">parametros_recargas!B68</f>
        <v>ABC</v>
      </c>
      <c r="C143" s="14" t="n">
        <f aca="false">parametros_recargas!C68</f>
        <v>6.360853875</v>
      </c>
      <c r="D143" s="26" t="n">
        <f aca="false">datos_base!$F$15*parametros_recargas!E$68+sobrestock_sustitutos!$E$64/12</f>
        <v>20.162124596038</v>
      </c>
      <c r="E143" s="26" t="n">
        <f aca="false">datos_base!$F$15*parametros_recargas!F$68+sobrestock_sustitutos!$E$64/12</f>
        <v>20.162124596038</v>
      </c>
      <c r="F143" s="26" t="n">
        <f aca="false">datos_base!$F$15*parametros_recargas!G$68+sobrestock_sustitutos!$E$64/12</f>
        <v>22.4331761301911</v>
      </c>
      <c r="G143" s="26" t="n">
        <f aca="false">datos_base!$F$15*parametros_recargas!H$68+sobrestock_sustitutos!$E$64/12</f>
        <v>25.4444668483617</v>
      </c>
      <c r="H143" s="26" t="n">
        <f aca="false">datos_base!$F$15*parametros_recargas!I$68+sobrestock_sustitutos!$E$64/12</f>
        <v>25.5667388428205</v>
      </c>
      <c r="I143" s="26" t="n">
        <f aca="false">datos_base!$F$15*parametros_recargas!J$68+sobrestock_sustitutos!$E$64/12</f>
        <v>24.5718454732185</v>
      </c>
      <c r="J143" s="26" t="n">
        <f aca="false">datos_base!$F$15*parametros_recargas!K$68+sobrestock_sustitutos!$E$64/12</f>
        <v>21.2498196705675</v>
      </c>
      <c r="K143" s="26" t="n">
        <f aca="false">datos_base!$F$15*parametros_recargas!L$68+sobrestock_sustitutos!$E$64/12</f>
        <v>21.4281725639223</v>
      </c>
      <c r="L143" s="26" t="n">
        <f aca="false">datos_base!$F$15*parametros_recargas!M$68+sobrestock_sustitutos!$E$64/12</f>
        <v>22.4230659335242</v>
      </c>
      <c r="M143" s="26" t="n">
        <f aca="false">datos_base!$F$15*parametros_recargas!N$68+sobrestock_sustitutos!$E$64/12</f>
        <v>22.4230659335242</v>
      </c>
      <c r="N143" s="26" t="n">
        <f aca="false">datos_base!$F$15*parametros_recargas!O$68+sobrestock_sustitutos!$E$64/12</f>
        <v>22.3007939390654</v>
      </c>
      <c r="O143" s="26" t="n">
        <f aca="false">datos_base!$F$15*parametros_recargas!P$68+sobrestock_sustitutos!$E$64/12</f>
        <v>23.2956873086673</v>
      </c>
      <c r="P143" s="12" t="n">
        <f aca="false">SUM(D143:O143)</f>
        <v>271.461081835939</v>
      </c>
    </row>
    <row r="144" customFormat="false" ht="15" hidden="false" customHeight="false" outlineLevel="0" collapsed="false">
      <c r="A144" s="6" t="str">
        <f aca="false">parametros_recargas!A69</f>
        <v>ABC 50 kg s/ruedas</v>
      </c>
      <c r="B144" s="6" t="str">
        <f aca="false">parametros_recargas!B69</f>
        <v>ABC</v>
      </c>
      <c r="C144" s="14" t="n">
        <f aca="false">parametros_recargas!C69</f>
        <v>6.360853875</v>
      </c>
      <c r="D144" s="26" t="n">
        <f aca="false">datos_base!$F$16*parametros_recargas!E$69+sobrestock_sustitutos!$E$65/12</f>
        <v>44.390062733388</v>
      </c>
      <c r="E144" s="26" t="n">
        <f aca="false">datos_base!$F$16*parametros_recargas!F$69+sobrestock_sustitutos!$E$65/12</f>
        <v>44.390062733388</v>
      </c>
      <c r="F144" s="26" t="n">
        <f aca="false">datos_base!$F$16*parametros_recargas!G$69+sobrestock_sustitutos!$E$65/12</f>
        <v>49.3863609185821</v>
      </c>
      <c r="G144" s="26" t="n">
        <f aca="false">datos_base!$F$16*parametros_recargas!H$69+sobrestock_sustitutos!$E$65/12</f>
        <v>56.0111547317513</v>
      </c>
      <c r="H144" s="26" t="n">
        <f aca="false">datos_base!$F$16*parametros_recargas!I$69+sobrestock_sustitutos!$E$65/12</f>
        <v>56.2800838001295</v>
      </c>
      <c r="I144" s="26" t="n">
        <f aca="false">datos_base!$F$16*parametros_recargas!J$69+sobrestock_sustitutos!$E$65/12</f>
        <v>54.0913786682352</v>
      </c>
      <c r="J144" s="26" t="n">
        <f aca="false">datos_base!$F$16*parametros_recargas!K$69+sobrestock_sustitutos!$E$65/12</f>
        <v>46.7830865005391</v>
      </c>
      <c r="K144" s="26" t="n">
        <f aca="false">datos_base!$F$16*parametros_recargas!L$69+sobrestock_sustitutos!$E$65/12</f>
        <v>47.175304419525</v>
      </c>
      <c r="L144" s="26" t="n">
        <f aca="false">datos_base!$F$16*parametros_recargas!M$69+sobrestock_sustitutos!$E$65/12</f>
        <v>49.3640095514193</v>
      </c>
      <c r="M144" s="26" t="n">
        <f aca="false">datos_base!$F$16*parametros_recargas!N$69+sobrestock_sustitutos!$E$65/12</f>
        <v>49.3640095514193</v>
      </c>
      <c r="N144" s="26" t="n">
        <f aca="false">datos_base!$F$16*parametros_recargas!O$69+sobrestock_sustitutos!$E$65/12</f>
        <v>49.0950804830411</v>
      </c>
      <c r="O144" s="26" t="n">
        <f aca="false">datos_base!$F$16*parametros_recargas!P$69+sobrestock_sustitutos!$E$65/12</f>
        <v>51.2837856149354</v>
      </c>
      <c r="P144" s="12" t="n">
        <f aca="false">SUM(D144:O144)</f>
        <v>597.614379706353</v>
      </c>
    </row>
    <row r="145" customFormat="false" ht="15" hidden="false" customHeight="false" outlineLevel="0" collapsed="false">
      <c r="A145" s="6" t="str">
        <f aca="false">parametros_recargas!A70</f>
        <v>ABC 70 kg s/ruedas</v>
      </c>
      <c r="B145" s="6" t="str">
        <f aca="false">parametros_recargas!B70</f>
        <v>ABC</v>
      </c>
      <c r="C145" s="14" t="n">
        <f aca="false">parametros_recargas!C70</f>
        <v>6.360853875</v>
      </c>
      <c r="D145" s="26" t="n">
        <f aca="false">datos_base!$F$17*parametros_recargas!E$70+sobrestock_sustitutos!$E$66/12</f>
        <v>9.72450028738417</v>
      </c>
      <c r="E145" s="26" t="n">
        <f aca="false">datos_base!$F$17*parametros_recargas!F$70+sobrestock_sustitutos!$E$66/12</f>
        <v>9.72450028738417</v>
      </c>
      <c r="F145" s="26" t="n">
        <f aca="false">datos_base!$F$17*parametros_recargas!G$70+sobrestock_sustitutos!$E$66/12</f>
        <v>10.8145891798279</v>
      </c>
      <c r="G145" s="26" t="n">
        <f aca="false">datos_base!$F$17*parametros_recargas!H$70+sobrestock_sustitutos!$E$66/12</f>
        <v>12.2600370803058</v>
      </c>
      <c r="H145" s="26" t="n">
        <f aca="false">datos_base!$F$17*parametros_recargas!I$70+sobrestock_sustitutos!$E$66/12</f>
        <v>12.3186863328723</v>
      </c>
      <c r="I145" s="26" t="n">
        <f aca="false">datos_base!$F$17*parametros_recargas!J$70+sobrestock_sustitutos!$E$66/12</f>
        <v>11.8411450983415</v>
      </c>
      <c r="J145" s="26" t="n">
        <f aca="false">datos_base!$F$17*parametros_recargas!K$70+sobrestock_sustitutos!$E$66/12</f>
        <v>10.2466322057656</v>
      </c>
      <c r="K145" s="26" t="n">
        <f aca="false">datos_base!$F$17*parametros_recargas!L$70+sobrestock_sustitutos!$E$66/12</f>
        <v>10.3321642239335</v>
      </c>
      <c r="L145" s="26" t="n">
        <f aca="false">datos_base!$F$17*parametros_recargas!M$70+sobrestock_sustitutos!$E$66/12</f>
        <v>10.8097054584642</v>
      </c>
      <c r="M145" s="26" t="n">
        <f aca="false">datos_base!$F$17*parametros_recargas!N$70+sobrestock_sustitutos!$E$66/12</f>
        <v>10.8097054584642</v>
      </c>
      <c r="N145" s="26" t="n">
        <f aca="false">datos_base!$F$17*parametros_recargas!O$70+sobrestock_sustitutos!$E$66/12</f>
        <v>10.7510562058978</v>
      </c>
      <c r="O145" s="26" t="n">
        <f aca="false">datos_base!$F$17*parametros_recargas!P$70+sobrestock_sustitutos!$E$66/12</f>
        <v>11.2285974404285</v>
      </c>
      <c r="P145" s="12" t="n">
        <f aca="false">SUM(D145:O145)</f>
        <v>130.86131925907</v>
      </c>
    </row>
    <row r="146" customFormat="false" ht="15" hidden="false" customHeight="false" outlineLevel="0" collapsed="false">
      <c r="A146" s="6" t="str">
        <f aca="false">parametros_recargas!A71</f>
        <v>ABC 100 kg s/ruedas</v>
      </c>
      <c r="B146" s="6" t="str">
        <f aca="false">parametros_recargas!B71</f>
        <v>ABC</v>
      </c>
      <c r="C146" s="14" t="n">
        <f aca="false">parametros_recargas!C71</f>
        <v>6.360853875</v>
      </c>
      <c r="D146" s="26" t="n">
        <f aca="false">datos_base!$F$18*parametros_recargas!E$71+sobrestock_sustitutos!$E$67/12</f>
        <v>6.45527940251943</v>
      </c>
      <c r="E146" s="26" t="n">
        <f aca="false">datos_base!$F$18*parametros_recargas!F$71+sobrestock_sustitutos!$E$67/12</f>
        <v>6.45527940251943</v>
      </c>
      <c r="F146" s="26" t="n">
        <f aca="false">datos_base!$F$18*parametros_recargas!G$71+sobrestock_sustitutos!$E$67/12</f>
        <v>7.18198168010857</v>
      </c>
      <c r="G146" s="26" t="n">
        <f aca="false">datos_base!$F$18*parametros_recargas!H$71+sobrestock_sustitutos!$E$67/12</f>
        <v>8.14554565782035</v>
      </c>
      <c r="H146" s="26" t="n">
        <f aca="false">datos_base!$F$18*parametros_recargas!I$71+sobrestock_sustitutos!$E$67/12</f>
        <v>8.1846451594472</v>
      </c>
      <c r="I146" s="26" t="n">
        <f aca="false">datos_base!$F$18*parametros_recargas!J$71+sobrestock_sustitutos!$E$67/12</f>
        <v>7.8662843371117</v>
      </c>
      <c r="J146" s="26" t="n">
        <f aca="false">datos_base!$F$18*parametros_recargas!K$71+sobrestock_sustitutos!$E$67/12</f>
        <v>6.80332154585321</v>
      </c>
      <c r="K146" s="26" t="n">
        <f aca="false">datos_base!$F$18*parametros_recargas!L$71+sobrestock_sustitutos!$E$67/12</f>
        <v>6.86032073881392</v>
      </c>
      <c r="L146" s="26" t="n">
        <f aca="false">datos_base!$F$18*parametros_recargas!M$71+sobrestock_sustitutos!$E$67/12</f>
        <v>7.17868156114941</v>
      </c>
      <c r="M146" s="26" t="n">
        <f aca="false">datos_base!$F$18*parametros_recargas!N$71+sobrestock_sustitutos!$E$67/12</f>
        <v>7.17868156114941</v>
      </c>
      <c r="N146" s="26" t="n">
        <f aca="false">datos_base!$F$18*parametros_recargas!O$71+sobrestock_sustitutos!$E$67/12</f>
        <v>7.13958205952256</v>
      </c>
      <c r="O146" s="26" t="n">
        <f aca="false">datos_base!$F$18*parametros_recargas!P$71+sobrestock_sustitutos!$E$67/12</f>
        <v>7.45794288185806</v>
      </c>
      <c r="P146" s="12" t="n">
        <f aca="false">SUM(D146:O146)</f>
        <v>86.9075459878733</v>
      </c>
    </row>
    <row r="147" customFormat="false" ht="15" hidden="false" customHeight="false" outlineLevel="0" collapsed="false">
      <c r="A147" s="4" t="s">
        <v>385</v>
      </c>
      <c r="D147" s="12" t="n">
        <f aca="false">SUM(D130:D146)</f>
        <v>8727.47408431998</v>
      </c>
      <c r="E147" s="12" t="n">
        <f aca="false">SUM(E130:E146)</f>
        <v>7542.90159317042</v>
      </c>
      <c r="F147" s="12" t="n">
        <f aca="false">SUM(F130:F146)</f>
        <v>7178.85660833354</v>
      </c>
      <c r="G147" s="12" t="n">
        <f aca="false">SUM(G130:G146)</f>
        <v>7947.71962655602</v>
      </c>
      <c r="H147" s="12" t="n">
        <f aca="false">SUM(H130:H146)</f>
        <v>8005.81972969386</v>
      </c>
      <c r="I147" s="12" t="n">
        <f aca="false">SUM(I130:I146)</f>
        <v>7931.12354837263</v>
      </c>
      <c r="J147" s="12" t="n">
        <f aca="false">SUM(J130:J146)</f>
        <v>7033.30521813718</v>
      </c>
      <c r="K147" s="12" t="n">
        <f aca="false">SUM(K130:K146)</f>
        <v>7093.99996387657</v>
      </c>
      <c r="L147" s="12" t="n">
        <f aca="false">SUM(L130:L146)</f>
        <v>7158.00855649805</v>
      </c>
      <c r="M147" s="12" t="n">
        <f aca="false">SUM(M130:M146)</f>
        <v>7158.00855649805</v>
      </c>
      <c r="N147" s="12" t="n">
        <f aca="false">SUM(N130:N146)</f>
        <v>8284.48094450976</v>
      </c>
      <c r="O147" s="12" t="n">
        <f aca="false">SUM(O130:O146)</f>
        <v>9543.74961698054</v>
      </c>
      <c r="P147" s="12" t="n">
        <f aca="false">SUM(P130:P146)</f>
        <v>93605.4480469466</v>
      </c>
    </row>
    <row r="148" customFormat="false" ht="15" hidden="false" customHeight="false" outlineLevel="0" collapsed="false">
      <c r="A148" s="4" t="s">
        <v>386</v>
      </c>
    </row>
    <row r="149" customFormat="false" ht="15" hidden="false" customHeight="false" outlineLevel="0" collapsed="false">
      <c r="A149" s="5" t="s">
        <v>165</v>
      </c>
      <c r="D149" s="26" t="n">
        <f aca="false">SUMPRODUCT(($B$130:$B$146=$A149)*D$130:D$146*$C$130:$C$146)</f>
        <v>8300.47704956082</v>
      </c>
      <c r="E149" s="26" t="n">
        <f aca="false">SUMPRODUCT(($B$130:$B$146=$A149)*E$130:E$146*$C$130:$C$146)</f>
        <v>7115.90455841126</v>
      </c>
      <c r="F149" s="26" t="n">
        <f aca="false">SUMPRODUCT(($B$130:$B$146=$A149)*F$130:F$146*$C$130:$C$146)</f>
        <v>6610.17185494124</v>
      </c>
      <c r="G149" s="26" t="n">
        <f aca="false">SUMPRODUCT(($B$130:$B$146=$A149)*G$130:G$146*$C$130:$C$146)</f>
        <v>7255.82983085491</v>
      </c>
      <c r="H149" s="26" t="n">
        <f aca="false">SUMPRODUCT(($B$130:$B$146=$A149)*H$130:H$146*$C$130:$C$146)</f>
        <v>7307.01596740119</v>
      </c>
      <c r="I149" s="26" t="n">
        <f aca="false">SUMPRODUCT(($B$130:$B$146=$A149)*I$130:I$146*$C$130:$C$146)</f>
        <v>7237.96664609304</v>
      </c>
      <c r="J149" s="26" t="n">
        <f aca="false">SUMPRODUCT(($B$130:$B$146=$A149)*J$130:J$146*$C$130:$C$146)</f>
        <v>6481.32659670703</v>
      </c>
      <c r="K149" s="26" t="n">
        <f aca="false">SUMPRODUCT(($B$130:$B$146=$A149)*K$130:K$146*$C$130:$C$146)</f>
        <v>6541.26367365163</v>
      </c>
      <c r="L149" s="26" t="n">
        <f aca="false">SUMPRODUCT(($B$130:$B$146=$A149)*L$130:L$146*$C$130:$C$146)</f>
        <v>6601.85664601773</v>
      </c>
      <c r="M149" s="26" t="n">
        <f aca="false">SUMPRODUCT(($B$130:$B$146=$A149)*M$130:M$146*$C$130:$C$146)</f>
        <v>6601.85664601773</v>
      </c>
      <c r="N149" s="26" t="n">
        <f aca="false">SUMPRODUCT(($B$130:$B$146=$A149)*N$130:N$146*$C$130:$C$146)</f>
        <v>7735.24300062102</v>
      </c>
      <c r="O149" s="26" t="n">
        <f aca="false">SUMPRODUCT(($B$130:$B$146=$A149)*O$130:O$146*$C$130:$C$146)</f>
        <v>8988.86481307872</v>
      </c>
      <c r="P149" s="26" t="n">
        <f aca="false">SUMPRODUCT(($B$130:$B$146=$A149)*P$130:P$146*$C$130:$C$146)</f>
        <v>86777.7772833563</v>
      </c>
    </row>
    <row r="150" customFormat="false" ht="15" hidden="false" customHeight="false" outlineLevel="0" collapsed="false">
      <c r="A150" s="5" t="s">
        <v>166</v>
      </c>
      <c r="D150" s="26" t="n">
        <f aca="false">SUMPRODUCT(($B$130:$B$146=$A150)*D$130:D$146*$C$130:$C$146)</f>
        <v>10.3234443786876</v>
      </c>
      <c r="E150" s="26" t="n">
        <f aca="false">SUMPRODUCT(($B$130:$B$146=$A150)*E$130:E$146*$C$130:$C$146)</f>
        <v>10.3234443786876</v>
      </c>
      <c r="F150" s="26" t="n">
        <f aca="false">SUMPRODUCT(($B$130:$B$146=$A150)*F$130:F$146*$C$130:$C$146)</f>
        <v>10.3234443786876</v>
      </c>
      <c r="G150" s="26" t="n">
        <f aca="false">SUMPRODUCT(($B$130:$B$146=$A150)*G$130:G$146*$C$130:$C$146)</f>
        <v>10.3234443786876</v>
      </c>
      <c r="H150" s="26" t="n">
        <f aca="false">SUMPRODUCT(($B$130:$B$146=$A150)*H$130:H$146*$C$130:$C$146)</f>
        <v>10.3234443786876</v>
      </c>
      <c r="I150" s="26" t="n">
        <f aca="false">SUMPRODUCT(($B$130:$B$146=$A150)*I$130:I$146*$C$130:$C$146)</f>
        <v>10.3234443786876</v>
      </c>
      <c r="J150" s="26" t="n">
        <f aca="false">SUMPRODUCT(($B$130:$B$146=$A150)*J$130:J$146*$C$130:$C$146)</f>
        <v>10.3234443786876</v>
      </c>
      <c r="K150" s="26" t="n">
        <f aca="false">SUMPRODUCT(($B$130:$B$146=$A150)*K$130:K$146*$C$130:$C$146)</f>
        <v>10.3234443786876</v>
      </c>
      <c r="L150" s="26" t="n">
        <f aca="false">SUMPRODUCT(($B$130:$B$146=$A150)*L$130:L$146*$C$130:$C$146)</f>
        <v>10.3234443786876</v>
      </c>
      <c r="M150" s="26" t="n">
        <f aca="false">SUMPRODUCT(($B$130:$B$146=$A150)*M$130:M$146*$C$130:$C$146)</f>
        <v>10.3234443786876</v>
      </c>
      <c r="N150" s="26" t="n">
        <f aca="false">SUMPRODUCT(($B$130:$B$146=$A150)*N$130:N$146*$C$130:$C$146)</f>
        <v>10.3234443786876</v>
      </c>
      <c r="O150" s="26" t="n">
        <f aca="false">SUMPRODUCT(($B$130:$B$146=$A150)*O$130:O$146*$C$130:$C$146)</f>
        <v>10.3234443786876</v>
      </c>
      <c r="P150" s="26" t="n">
        <f aca="false">SUMPRODUCT(($B$130:$B$146=$A150)*P$130:P$146*$C$130:$C$146)</f>
        <v>123.881332544252</v>
      </c>
    </row>
    <row r="151" customFormat="false" ht="15" hidden="false" customHeight="false" outlineLevel="0" collapsed="false">
      <c r="A151" s="5" t="s">
        <v>167</v>
      </c>
      <c r="D151" s="26" t="n">
        <f aca="false">SUMPRODUCT(($B$130:$B$146=$A151)*D$130:D$146*$C$130:$C$146)</f>
        <v>9.6501581104198</v>
      </c>
      <c r="E151" s="26" t="n">
        <f aca="false">SUMPRODUCT(($B$130:$B$146=$A151)*E$130:E$146*$C$130:$C$146)</f>
        <v>9.6501581104198</v>
      </c>
      <c r="F151" s="26" t="n">
        <f aca="false">SUMPRODUCT(($B$130:$B$146=$A151)*F$130:F$146*$C$130:$C$146)</f>
        <v>9.6501581104198</v>
      </c>
      <c r="G151" s="26" t="n">
        <f aca="false">SUMPRODUCT(($B$130:$B$146=$A151)*G$130:G$146*$C$130:$C$146)</f>
        <v>9.6501581104198</v>
      </c>
      <c r="H151" s="26" t="n">
        <f aca="false">SUMPRODUCT(($B$130:$B$146=$A151)*H$130:H$146*$C$130:$C$146)</f>
        <v>9.6501581104198</v>
      </c>
      <c r="I151" s="26" t="n">
        <f aca="false">SUMPRODUCT(($B$130:$B$146=$A151)*I$130:I$146*$C$130:$C$146)</f>
        <v>9.6501581104198</v>
      </c>
      <c r="J151" s="26" t="n">
        <f aca="false">SUMPRODUCT(($B$130:$B$146=$A151)*J$130:J$146*$C$130:$C$146)</f>
        <v>9.6501581104198</v>
      </c>
      <c r="K151" s="26" t="n">
        <f aca="false">SUMPRODUCT(($B$130:$B$146=$A151)*K$130:K$146*$C$130:$C$146)</f>
        <v>9.6501581104198</v>
      </c>
      <c r="L151" s="26" t="n">
        <f aca="false">SUMPRODUCT(($B$130:$B$146=$A151)*L$130:L$146*$C$130:$C$146)</f>
        <v>9.6501581104198</v>
      </c>
      <c r="M151" s="26" t="n">
        <f aca="false">SUMPRODUCT(($B$130:$B$146=$A151)*M$130:M$146*$C$130:$C$146)</f>
        <v>9.6501581104198</v>
      </c>
      <c r="N151" s="26" t="n">
        <f aca="false">SUMPRODUCT(($B$130:$B$146=$A151)*N$130:N$146*$C$130:$C$146)</f>
        <v>9.6501581104198</v>
      </c>
      <c r="O151" s="26" t="n">
        <f aca="false">SUMPRODUCT(($B$130:$B$146=$A151)*O$130:O$146*$C$130:$C$146)</f>
        <v>9.6501581104198</v>
      </c>
      <c r="P151" s="26" t="n">
        <f aca="false">SUMPRODUCT(($B$130:$B$146=$A151)*P$130:P$146*$C$130:$C$146)</f>
        <v>115.801897325038</v>
      </c>
    </row>
    <row r="152" customFormat="false" ht="15" hidden="false" customHeight="false" outlineLevel="0" collapsed="false">
      <c r="A152" s="5" t="s">
        <v>168</v>
      </c>
      <c r="D152" s="26" t="n">
        <f aca="false">SUMPRODUCT(($B$130:$B$146=$A152)*D$130:D$146*$C$130:$C$146)</f>
        <v>150.630905297197</v>
      </c>
      <c r="E152" s="26" t="n">
        <f aca="false">SUMPRODUCT(($B$130:$B$146=$A152)*E$130:E$146*$C$130:$C$146)</f>
        <v>150.630905297197</v>
      </c>
      <c r="F152" s="26" t="n">
        <f aca="false">SUMPRODUCT(($B$130:$B$146=$A152)*F$130:F$146*$C$130:$C$146)</f>
        <v>185.402666539985</v>
      </c>
      <c r="G152" s="26" t="n">
        <f aca="false">SUMPRODUCT(($B$130:$B$146=$A152)*G$130:G$146*$C$130:$C$146)</f>
        <v>222.061110862321</v>
      </c>
      <c r="H152" s="26" t="n">
        <f aca="false">SUMPRODUCT(($B$130:$B$146=$A152)*H$130:H$146*$C$130:$C$146)</f>
        <v>223.436062438903</v>
      </c>
      <c r="I152" s="26" t="n">
        <f aca="false">SUMPRODUCT(($B$130:$B$146=$A152)*I$130:I$146*$C$130:$C$146)</f>
        <v>216.963491239048</v>
      </c>
      <c r="J152" s="26" t="n">
        <f aca="false">SUMPRODUCT(($B$130:$B$146=$A152)*J$130:J$146*$C$130:$C$146)</f>
        <v>176.761745191716</v>
      </c>
      <c r="K152" s="26" t="n">
        <f aca="false">SUMPRODUCT(($B$130:$B$146=$A152)*K$130:K$146*$C$130:$C$146)</f>
        <v>177.094110372986</v>
      </c>
      <c r="L152" s="26" t="n">
        <f aca="false">SUMPRODUCT(($B$130:$B$146=$A152)*L$130:L$146*$C$130:$C$146)</f>
        <v>183.160646722826</v>
      </c>
      <c r="M152" s="26" t="n">
        <f aca="false">SUMPRODUCT(($B$130:$B$146=$A152)*M$130:M$146*$C$130:$C$146)</f>
        <v>183.160646722826</v>
      </c>
      <c r="N152" s="26" t="n">
        <f aca="false">SUMPRODUCT(($B$130:$B$146=$A152)*N$130:N$146*$C$130:$C$146)</f>
        <v>181.785695146244</v>
      </c>
      <c r="O152" s="26" t="n">
        <f aca="false">SUMPRODUCT(($B$130:$B$146=$A152)*O$130:O$146*$C$130:$C$146)</f>
        <v>188.2582663461</v>
      </c>
      <c r="P152" s="26" t="n">
        <f aca="false">SUMPRODUCT(($B$130:$B$146=$A152)*P$130:P$146*$C$130:$C$146)</f>
        <v>2239.34625217735</v>
      </c>
    </row>
    <row r="153" customFormat="false" ht="15" hidden="false" customHeight="false" outlineLevel="0" collapsed="false">
      <c r="A153" s="5" t="s">
        <v>169</v>
      </c>
      <c r="D153" s="26" t="n">
        <f aca="false">SUMPRODUCT(($B$130:$B$146=$A153)*D$130:D$146*$C$130:$C$146)</f>
        <v>153.015323393388</v>
      </c>
      <c r="E153" s="26" t="n">
        <f aca="false">SUMPRODUCT(($B$130:$B$146=$A153)*E$130:E$146*$C$130:$C$146)</f>
        <v>153.015323393388</v>
      </c>
      <c r="F153" s="26" t="n">
        <f aca="false">SUMPRODUCT(($B$130:$B$146=$A153)*F$130:F$146*$C$130:$C$146)</f>
        <v>153.015323393388</v>
      </c>
      <c r="G153" s="26" t="n">
        <f aca="false">SUMPRODUCT(($B$130:$B$146=$A153)*G$130:G$146*$C$130:$C$146)</f>
        <v>153.015323393388</v>
      </c>
      <c r="H153" s="26" t="n">
        <f aca="false">SUMPRODUCT(($B$130:$B$146=$A153)*H$130:H$146*$C$130:$C$146)</f>
        <v>153.015323393388</v>
      </c>
      <c r="I153" s="26" t="n">
        <f aca="false">SUMPRODUCT(($B$130:$B$146=$A153)*I$130:I$146*$C$130:$C$146)</f>
        <v>153.015323393388</v>
      </c>
      <c r="J153" s="26" t="n">
        <f aca="false">SUMPRODUCT(($B$130:$B$146=$A153)*J$130:J$146*$C$130:$C$146)</f>
        <v>153.015323393388</v>
      </c>
      <c r="K153" s="26" t="n">
        <f aca="false">SUMPRODUCT(($B$130:$B$146=$A153)*K$130:K$146*$C$130:$C$146)</f>
        <v>153.015323393388</v>
      </c>
      <c r="L153" s="26" t="n">
        <f aca="false">SUMPRODUCT(($B$130:$B$146=$A153)*L$130:L$146*$C$130:$C$146)</f>
        <v>153.015323393388</v>
      </c>
      <c r="M153" s="26" t="n">
        <f aca="false">SUMPRODUCT(($B$130:$B$146=$A153)*M$130:M$146*$C$130:$C$146)</f>
        <v>153.015323393388</v>
      </c>
      <c r="N153" s="26" t="n">
        <f aca="false">SUMPRODUCT(($B$130:$B$146=$A153)*N$130:N$146*$C$130:$C$146)</f>
        <v>153.015323393388</v>
      </c>
      <c r="O153" s="26" t="n">
        <f aca="false">SUMPRODUCT(($B$130:$B$146=$A153)*O$130:O$146*$C$130:$C$146)</f>
        <v>153.015323393388</v>
      </c>
      <c r="P153" s="26" t="n">
        <f aca="false">SUMPRODUCT(($B$130:$B$146=$A153)*P$130:P$146*$C$130:$C$146)</f>
        <v>1836.18388072065</v>
      </c>
    </row>
    <row r="154" customFormat="false" ht="15" hidden="false" customHeight="false" outlineLevel="0" collapsed="false">
      <c r="A154" s="5" t="s">
        <v>170</v>
      </c>
      <c r="D154" s="26" t="n">
        <f aca="false">SUMPRODUCT(($B$130:$B$146=$A154)*D$130:D$146*$C$130:$C$146)</f>
        <v>76.6186818187543</v>
      </c>
      <c r="E154" s="26" t="n">
        <f aca="false">SUMPRODUCT(($B$130:$B$146=$A154)*E$130:E$146*$C$130:$C$146)</f>
        <v>76.6186818187543</v>
      </c>
      <c r="F154" s="26" t="n">
        <f aca="false">SUMPRODUCT(($B$130:$B$146=$A154)*F$130:F$146*$C$130:$C$146)</f>
        <v>92.1580506217163</v>
      </c>
      <c r="G154" s="26" t="n">
        <f aca="false">SUMPRODUCT(($B$130:$B$146=$A154)*G$130:G$146*$C$130:$C$146)</f>
        <v>104.13032393772</v>
      </c>
      <c r="H154" s="26" t="n">
        <f aca="false">SUMPRODUCT(($B$130:$B$146=$A154)*H$130:H$146*$C$130:$C$146)</f>
        <v>106.723345161669</v>
      </c>
      <c r="I154" s="26" t="n">
        <f aca="false">SUMPRODUCT(($B$130:$B$146=$A154)*I$130:I$146*$C$130:$C$146)</f>
        <v>104.554471316021</v>
      </c>
      <c r="J154" s="26" t="n">
        <f aca="false">SUMPRODUCT(($B$130:$B$146=$A154)*J$130:J$146*$C$130:$C$146)</f>
        <v>85.8246814977908</v>
      </c>
      <c r="K154" s="26" t="n">
        <f aca="false">SUMPRODUCT(($B$130:$B$146=$A154)*K$130:K$146*$C$130:$C$146)</f>
        <v>89.4392498913595</v>
      </c>
      <c r="L154" s="26" t="n">
        <f aca="false">SUMPRODUCT(($B$130:$B$146=$A154)*L$130:L$146*$C$130:$C$146)</f>
        <v>91.6081237370076</v>
      </c>
      <c r="M154" s="26" t="n">
        <f aca="false">SUMPRODUCT(($B$130:$B$146=$A154)*M$130:M$146*$C$130:$C$146)</f>
        <v>91.6081237370076</v>
      </c>
      <c r="N154" s="26" t="n">
        <f aca="false">SUMPRODUCT(($B$130:$B$146=$A154)*N$130:N$146*$C$130:$C$146)</f>
        <v>89.0151025130588</v>
      </c>
      <c r="O154" s="26" t="n">
        <f aca="false">SUMPRODUCT(($B$130:$B$146=$A154)*O$130:O$146*$C$130:$C$146)</f>
        <v>91.1839763587069</v>
      </c>
      <c r="P154" s="26" t="n">
        <f aca="false">SUMPRODUCT(($B$130:$B$146=$A154)*P$130:P$146*$C$130:$C$146)</f>
        <v>1099.48281240957</v>
      </c>
    </row>
    <row r="155" customFormat="false" ht="15" hidden="false" customHeight="false" outlineLevel="0" collapsed="false">
      <c r="A155" s="5" t="s">
        <v>171</v>
      </c>
      <c r="D155" s="26" t="n">
        <f aca="false">SUMPRODUCT(($B$130:$B$146=$A155)*D$130:D$146*$C$130:$C$146)</f>
        <v>530.545715984679</v>
      </c>
      <c r="E155" s="26" t="n">
        <f aca="false">SUMPRODUCT(($B$130:$B$146=$A155)*E$130:E$146*$C$130:$C$146)</f>
        <v>530.545715984679</v>
      </c>
      <c r="F155" s="26" t="n">
        <f aca="false">SUMPRODUCT(($B$130:$B$146=$A155)*F$130:F$146*$C$130:$C$146)</f>
        <v>672.456390826144</v>
      </c>
      <c r="G155" s="26" t="n">
        <f aca="false">SUMPRODUCT(($B$130:$B$146=$A155)*G$130:G$146*$C$130:$C$146)</f>
        <v>811.602717258373</v>
      </c>
      <c r="H155" s="26" t="n">
        <f aca="false">SUMPRODUCT(($B$130:$B$146=$A155)*H$130:H$146*$C$130:$C$146)</f>
        <v>817.169899570721</v>
      </c>
      <c r="I155" s="26" t="n">
        <f aca="false">SUMPRODUCT(($B$130:$B$146=$A155)*I$130:I$146*$C$130:$C$146)</f>
        <v>800.666297980475</v>
      </c>
      <c r="J155" s="26" t="n">
        <f aca="false">SUMPRODUCT(($B$130:$B$146=$A155)*J$130:J$146*$C$130:$C$146)</f>
        <v>647.185632895363</v>
      </c>
      <c r="K155" s="26" t="n">
        <f aca="false">SUMPRODUCT(($B$130:$B$146=$A155)*K$130:K$146*$C$130:$C$146)</f>
        <v>647.819203861112</v>
      </c>
      <c r="L155" s="26" t="n">
        <f aca="false">SUMPRODUCT(($B$130:$B$146=$A155)*L$130:L$146*$C$130:$C$146)</f>
        <v>662.497600543668</v>
      </c>
      <c r="M155" s="26" t="n">
        <f aca="false">SUMPRODUCT(($B$130:$B$146=$A155)*M$130:M$146*$C$130:$C$146)</f>
        <v>662.497600543668</v>
      </c>
      <c r="N155" s="26" t="n">
        <f aca="false">SUMPRODUCT(($B$130:$B$146=$A155)*N$130:N$146*$C$130:$C$146)</f>
        <v>656.93041823132</v>
      </c>
      <c r="O155" s="26" t="n">
        <f aca="false">SUMPRODUCT(($B$130:$B$146=$A155)*O$130:O$146*$C$130:$C$146)</f>
        <v>673.434019821566</v>
      </c>
      <c r="P155" s="26" t="n">
        <f aca="false">SUMPRODUCT(($B$130:$B$146=$A155)*P$130:P$146*$C$130:$C$146)</f>
        <v>8113.35121350177</v>
      </c>
    </row>
    <row r="156" customFormat="false" ht="15" hidden="false" customHeight="false" outlineLevel="0" collapsed="false">
      <c r="A156" s="5" t="s">
        <v>172</v>
      </c>
      <c r="D156" s="26" t="n">
        <f aca="false">SUMPRODUCT(($B$130:$B$146=$A156)*D$130:D$146*$C$130:$C$146)</f>
        <v>28.7166601288797</v>
      </c>
      <c r="E156" s="26" t="n">
        <f aca="false">SUMPRODUCT(($B$130:$B$146=$A156)*E$130:E$146*$C$130:$C$146)</f>
        <v>28.7166601288797</v>
      </c>
      <c r="F156" s="26" t="n">
        <f aca="false">SUMPRODUCT(($B$130:$B$146=$A156)*F$130:F$146*$C$130:$C$146)</f>
        <v>26.8813257626914</v>
      </c>
      <c r="G156" s="26" t="n">
        <f aca="false">SUMPRODUCT(($B$130:$B$146=$A156)*G$130:G$146*$C$130:$C$146)</f>
        <v>26.8813257626914</v>
      </c>
      <c r="H156" s="26" t="n">
        <f aca="false">SUMPRODUCT(($B$130:$B$146=$A156)*H$130:H$146*$C$130:$C$146)</f>
        <v>26.8813257626914</v>
      </c>
      <c r="I156" s="26" t="n">
        <f aca="false">SUMPRODUCT(($B$130:$B$146=$A156)*I$130:I$146*$C$130:$C$146)</f>
        <v>25.045991396503</v>
      </c>
      <c r="J156" s="26" t="n">
        <f aca="false">SUMPRODUCT(($B$130:$B$146=$A156)*J$130:J$146*$C$130:$C$146)</f>
        <v>25.045991396503</v>
      </c>
      <c r="K156" s="26" t="n">
        <f aca="false">SUMPRODUCT(($B$130:$B$146=$A156)*K$130:K$146*$C$130:$C$146)</f>
        <v>25.045991396503</v>
      </c>
      <c r="L156" s="26" t="n">
        <f aca="false">SUMPRODUCT(($B$130:$B$146=$A156)*L$130:L$146*$C$130:$C$146)</f>
        <v>26.8813257626914</v>
      </c>
      <c r="M156" s="26" t="n">
        <f aca="false">SUMPRODUCT(($B$130:$B$146=$A156)*M$130:M$146*$C$130:$C$146)</f>
        <v>26.8813257626914</v>
      </c>
      <c r="N156" s="26" t="n">
        <f aca="false">SUMPRODUCT(($B$130:$B$146=$A156)*N$130:N$146*$C$130:$C$146)</f>
        <v>26.8813257626914</v>
      </c>
      <c r="O156" s="26" t="n">
        <f aca="false">SUMPRODUCT(($B$130:$B$146=$A156)*O$130:O$146*$C$130:$C$146)</f>
        <v>28.7166601288797</v>
      </c>
      <c r="P156" s="26" t="n">
        <f aca="false">SUMPRODUCT(($B$130:$B$146=$A156)*P$130:P$146*$C$130:$C$146)</f>
        <v>322.575909152296</v>
      </c>
    </row>
    <row r="157" customFormat="false" ht="15" hidden="false" customHeight="false" outlineLevel="0" collapsed="false">
      <c r="A157" s="4" t="s">
        <v>387</v>
      </c>
      <c r="D157" s="27" t="n">
        <f aca="false">SUMPRODUCT(D$130:D$146*parametros_recargas!$D$55:$D$71)</f>
        <v>251.021500178539</v>
      </c>
      <c r="E157" s="27" t="n">
        <f aca="false">SUMPRODUCT(E$130:E$146*parametros_recargas!$D$55:$D$71)</f>
        <v>251.021500178539</v>
      </c>
      <c r="F157" s="27" t="n">
        <f aca="false">SUMPRODUCT(F$130:F$146*parametros_recargas!$D$55:$D$71)</f>
        <v>272.85220135151</v>
      </c>
      <c r="G157" s="27" t="n">
        <f aca="false">SUMPRODUCT(G$130:G$146*parametros_recargas!$D$55:$D$71)</f>
        <v>302.557668273019</v>
      </c>
      <c r="H157" s="27" t="n">
        <f aca="false">SUMPRODUCT(H$130:H$146*parametros_recargas!$D$55:$D$71)</f>
        <v>306.081265204598</v>
      </c>
      <c r="I157" s="27" t="n">
        <f aca="false">SUMPRODUCT(I$130:I$146*parametros_recargas!$D$55:$D$71)</f>
        <v>293.566947784406</v>
      </c>
      <c r="J157" s="27" t="n">
        <f aca="false">SUMPRODUCT(J$130:J$146*parametros_recargas!$D$55:$D$71)</f>
        <v>259.906719445083</v>
      </c>
      <c r="K157" s="27" t="n">
        <f aca="false">SUMPRODUCT(K$130:K$146*parametros_recargas!$D$55:$D$71)</f>
        <v>262.745526122823</v>
      </c>
      <c r="L157" s="27" t="n">
        <f aca="false">SUMPRODUCT(L$130:L$146*parametros_recargas!$D$55:$D$71)</f>
        <v>273.434638635324</v>
      </c>
      <c r="M157" s="27" t="n">
        <f aca="false">SUMPRODUCT(M$130:M$146*parametros_recargas!$D$55:$D$71)</f>
        <v>273.434638635324</v>
      </c>
      <c r="N157" s="27" t="n">
        <f aca="false">SUMPRODUCT(N$130:N$146*parametros_recargas!$D$55:$D$71)</f>
        <v>269.911041703746</v>
      </c>
      <c r="O157" s="27" t="n">
        <f aca="false">SUMPRODUCT(O$130:O$146*parametros_recargas!$D$55:$D$71)</f>
        <v>282.425359123937</v>
      </c>
      <c r="P157" s="27" t="n">
        <f aca="false">SUMPRODUCT(P$130:P$146*parametros_recargas!$D$55:$D$71)</f>
        <v>3298.95900663685</v>
      </c>
    </row>
    <row r="158" customFormat="false" ht="15" hidden="false" customHeight="false" outlineLevel="0" collapsed="false">
      <c r="A158" s="4" t="s">
        <v>388</v>
      </c>
      <c r="D158" s="27" t="n">
        <f aca="false">SUMPRODUCT(sobrestock_sustitutos!$F$73:$F$73,--(sobrestock_sustitutos!$F$30:$F$30="Fábrica: cilindro vacío"),parametros_recargas!$C$55:$C$55)*parametros_recargas!E$109+SUMPRODUCT(sobrestock_sustitutos!$F$74:$F$76,--(sobrestock_sustitutos!$F$31:$F$33="Fábrica: cilindro vacío"),parametros_recargas!$C$56:$C$58)*parametros_recargas!E$110+SUMPRODUCT(sobrestock_sustitutos!$F$86:$F$89,--(sobrestock_sustitutos!$F$43:$F$46="Fábrica: cilindro vacío"),parametros_recargas!$C$68:$C$71)*parametros_recargas!E$111</f>
        <v>23.135007538175</v>
      </c>
      <c r="E158" s="27" t="n">
        <f aca="false">SUMPRODUCT(sobrestock_sustitutos!$F$73:$F$73,--(sobrestock_sustitutos!$F$30:$F$30="Fábrica: cilindro vacío"),parametros_recargas!$C$55:$C$55)*parametros_recargas!F$109+SUMPRODUCT(sobrestock_sustitutos!$F$74:$F$76,--(sobrestock_sustitutos!$F$31:$F$33="Fábrica: cilindro vacío"),parametros_recargas!$C$56:$C$58)*parametros_recargas!F$110+SUMPRODUCT(sobrestock_sustitutos!$F$86:$F$89,--(sobrestock_sustitutos!$F$43:$F$46="Fábrica: cilindro vacío"),parametros_recargas!$C$68:$C$71)*parametros_recargas!F$111</f>
        <v>18.865994886625</v>
      </c>
      <c r="F158" s="27" t="n">
        <f aca="false">SUMPRODUCT(sobrestock_sustitutos!$F$73:$F$73,--(sobrestock_sustitutos!$F$30:$F$30="Fábrica: cilindro vacío"),parametros_recargas!$C$55:$C$55)*parametros_recargas!G$109+SUMPRODUCT(sobrestock_sustitutos!$F$74:$F$76,--(sobrestock_sustitutos!$F$31:$F$33="Fábrica: cilindro vacío"),parametros_recargas!$C$56:$C$58)*parametros_recargas!G$110+SUMPRODUCT(sobrestock_sustitutos!$F$86:$F$89,--(sobrestock_sustitutos!$F$43:$F$46="Fábrica: cilindro vacío"),parametros_recargas!$C$68:$C$71)*parametros_recargas!G$111</f>
        <v>20.57251386395</v>
      </c>
      <c r="G158" s="27" t="n">
        <f aca="false">SUMPRODUCT(sobrestock_sustitutos!$F$73:$F$73,--(sobrestock_sustitutos!$F$30:$F$30="Fábrica: cilindro vacío"),parametros_recargas!$C$55:$C$55)*parametros_recargas!H$109+SUMPRODUCT(sobrestock_sustitutos!$F$74:$F$76,--(sobrestock_sustitutos!$F$31:$F$33="Fábrica: cilindro vacío"),parametros_recargas!$C$56:$C$58)*parametros_recargas!H$110+SUMPRODUCT(sobrestock_sustitutos!$F$86:$F$89,--(sobrestock_sustitutos!$F$43:$F$46="Fábrica: cilindro vacío"),parametros_recargas!$C$68:$C$71)*parametros_recargas!H$111</f>
        <v>20.57251386395</v>
      </c>
      <c r="H158" s="27" t="n">
        <f aca="false">SUMPRODUCT(sobrestock_sustitutos!$F$73:$F$73,--(sobrestock_sustitutos!$F$30:$F$30="Fábrica: cilindro vacío"),parametros_recargas!$C$55:$C$55)*parametros_recargas!I$109+SUMPRODUCT(sobrestock_sustitutos!$F$74:$F$76,--(sobrestock_sustitutos!$F$31:$F$33="Fábrica: cilindro vacío"),parametros_recargas!$C$56:$C$58)*parametros_recargas!I$110+SUMPRODUCT(sobrestock_sustitutos!$F$86:$F$89,--(sobrestock_sustitutos!$F$43:$F$46="Fábrica: cilindro vacío"),parametros_recargas!$C$68:$C$71)*parametros_recargas!I$111</f>
        <v>19.63311386395</v>
      </c>
      <c r="I158" s="27" t="n">
        <f aca="false">SUMPRODUCT(sobrestock_sustitutos!$F$73:$F$73,--(sobrestock_sustitutos!$F$30:$F$30="Fábrica: cilindro vacío"),parametros_recargas!$C$55:$C$55)*parametros_recargas!J$109+SUMPRODUCT(sobrestock_sustitutos!$F$74:$F$76,--(sobrestock_sustitutos!$F$31:$F$33="Fábrica: cilindro vacío"),parametros_recargas!$C$56:$C$58)*parametros_recargas!J$110+SUMPRODUCT(sobrestock_sustitutos!$F$86:$F$89,--(sobrestock_sustitutos!$F$43:$F$46="Fábrica: cilindro vacío"),parametros_recargas!$C$68:$C$71)*parametros_recargas!J$111</f>
        <v>18.1823012124</v>
      </c>
      <c r="J158" s="27" t="n">
        <f aca="false">SUMPRODUCT(sobrestock_sustitutos!$F$73:$F$73,--(sobrestock_sustitutos!$F$30:$F$30="Fábrica: cilindro vacío"),parametros_recargas!$C$55:$C$55)*parametros_recargas!K$109+SUMPRODUCT(sobrestock_sustitutos!$F$74:$F$76,--(sobrestock_sustitutos!$F$31:$F$33="Fábrica: cilindro vacío"),parametros_recargas!$C$56:$C$58)*parametros_recargas!K$110+SUMPRODUCT(sobrestock_sustitutos!$F$86:$F$89,--(sobrestock_sustitutos!$F$43:$F$46="Fábrica: cilindro vacío"),parametros_recargas!$C$68:$C$71)*parametros_recargas!K$111</f>
        <v>19.63311386395</v>
      </c>
      <c r="K158" s="27" t="n">
        <f aca="false">SUMPRODUCT(sobrestock_sustitutos!$F$73:$F$73,--(sobrestock_sustitutos!$F$30:$F$30="Fábrica: cilindro vacío"),parametros_recargas!$C$55:$C$55)*parametros_recargas!L$109+SUMPRODUCT(sobrestock_sustitutos!$F$74:$F$76,--(sobrestock_sustitutos!$F$31:$F$33="Fábrica: cilindro vacío"),parametros_recargas!$C$56:$C$58)*parametros_recargas!L$110+SUMPRODUCT(sobrestock_sustitutos!$F$86:$F$89,--(sobrestock_sustitutos!$F$43:$F$46="Fábrica: cilindro vacío"),parametros_recargas!$C$68:$C$71)*parametros_recargas!L$111</f>
        <v>19.63311386395</v>
      </c>
      <c r="L158" s="27" t="n">
        <f aca="false">SUMPRODUCT(sobrestock_sustitutos!$F$73:$F$73,--(sobrestock_sustitutos!$F$30:$F$30="Fábrica: cilindro vacío"),parametros_recargas!$C$55:$C$55)*parametros_recargas!M$109+SUMPRODUCT(sobrestock_sustitutos!$F$74:$F$76,--(sobrestock_sustitutos!$F$31:$F$33="Fábrica: cilindro vacío"),parametros_recargas!$C$56:$C$58)*parametros_recargas!M$110+SUMPRODUCT(sobrestock_sustitutos!$F$86:$F$89,--(sobrestock_sustitutos!$F$43:$F$46="Fábrica: cilindro vacío"),parametros_recargas!$C$68:$C$71)*parametros_recargas!M$111</f>
        <v>19.377407538175</v>
      </c>
      <c r="M158" s="27" t="n">
        <f aca="false">SUMPRODUCT(sobrestock_sustitutos!$F$73:$F$73,--(sobrestock_sustitutos!$F$30:$F$30="Fábrica: cilindro vacío"),parametros_recargas!$C$55:$C$55)*parametros_recargas!N$109+SUMPRODUCT(sobrestock_sustitutos!$F$74:$F$76,--(sobrestock_sustitutos!$F$31:$F$33="Fábrica: cilindro vacío"),parametros_recargas!$C$56:$C$58)*parametros_recargas!N$110+SUMPRODUCT(sobrestock_sustitutos!$F$86:$F$89,--(sobrestock_sustitutos!$F$43:$F$46="Fábrica: cilindro vacío"),parametros_recargas!$C$68:$C$71)*parametros_recargas!N$111</f>
        <v>17.926594886625</v>
      </c>
      <c r="N158" s="27" t="n">
        <f aca="false">SUMPRODUCT(sobrestock_sustitutos!$F$73:$F$73,--(sobrestock_sustitutos!$F$30:$F$30="Fábrica: cilindro vacío"),parametros_recargas!$C$55:$C$55)*parametros_recargas!O$109+SUMPRODUCT(sobrestock_sustitutos!$F$74:$F$76,--(sobrestock_sustitutos!$F$31:$F$33="Fábrica: cilindro vacío"),parametros_recargas!$C$56:$C$58)*parametros_recargas!O$110+SUMPRODUCT(sobrestock_sustitutos!$F$86:$F$89,--(sobrestock_sustitutos!$F$43:$F$46="Fábrica: cilindro vacío"),parametros_recargas!$C$68:$C$71)*parametros_recargas!O$111</f>
        <v>16.73148856085</v>
      </c>
      <c r="O158" s="27" t="n">
        <f aca="false">SUMPRODUCT(sobrestock_sustitutos!$F$73:$F$73,--(sobrestock_sustitutos!$F$30:$F$30="Fábrica: cilindro vacío"),parametros_recargas!$C$55:$C$55)*parametros_recargas!P$109+SUMPRODUCT(sobrestock_sustitutos!$F$74:$F$76,--(sobrestock_sustitutos!$F$31:$F$33="Fábrica: cilindro vacío"),parametros_recargas!$C$56:$C$58)*parametros_recargas!P$110+SUMPRODUCT(sobrestock_sustitutos!$F$86:$F$89,--(sobrestock_sustitutos!$F$43:$F$46="Fábrica: cilindro vacío"),parametros_recargas!$C$68:$C$71)*parametros_recargas!P$111</f>
        <v>24.7581012124</v>
      </c>
      <c r="P158" s="12" t="n">
        <f aca="false">SUM(D158:O158)</f>
        <v>239.021265155</v>
      </c>
    </row>
    <row r="161" customFormat="false" ht="15" hidden="false" customHeight="false" outlineLevel="0" collapsed="false">
      <c r="A161" s="28" t="n">
        <v>2031</v>
      </c>
      <c r="B161" s="3" t="s">
        <v>383</v>
      </c>
      <c r="C161" s="3" t="s">
        <v>384</v>
      </c>
      <c r="D161" s="3" t="s">
        <v>64</v>
      </c>
      <c r="E161" s="3" t="s">
        <v>65</v>
      </c>
      <c r="F161" s="3" t="s">
        <v>66</v>
      </c>
      <c r="G161" s="3" t="s">
        <v>67</v>
      </c>
      <c r="H161" s="3" t="s">
        <v>68</v>
      </c>
      <c r="I161" s="3" t="s">
        <v>69</v>
      </c>
      <c r="J161" s="3" t="s">
        <v>70</v>
      </c>
      <c r="K161" s="3" t="s">
        <v>71</v>
      </c>
      <c r="L161" s="3" t="s">
        <v>72</v>
      </c>
      <c r="M161" s="3" t="s">
        <v>73</v>
      </c>
      <c r="N161" s="3" t="s">
        <v>74</v>
      </c>
      <c r="O161" s="3" t="s">
        <v>75</v>
      </c>
      <c r="P161" s="3" t="s">
        <v>132</v>
      </c>
    </row>
    <row r="162" customFormat="false" ht="15" hidden="false" customHeight="false" outlineLevel="0" collapsed="false">
      <c r="A162" s="6" t="str">
        <f aca="false">parametros_recargas!A55</f>
        <v>ABC 1 kg</v>
      </c>
      <c r="B162" s="6" t="str">
        <f aca="false">parametros_recargas!B55</f>
        <v>ABC</v>
      </c>
      <c r="C162" s="14" t="n">
        <f aca="false">parametros_recargas!C55</f>
        <v>1</v>
      </c>
      <c r="D162" s="26" t="n">
        <f aca="false">datos_base!$G$2*parametros_recargas!E$55+sobrestock_sustitutos!$F$51/12</f>
        <v>7804.64913846175</v>
      </c>
      <c r="E162" s="26" t="n">
        <f aca="false">datos_base!$G$2*parametros_recargas!F$55+sobrestock_sustitutos!$F$51/12</f>
        <v>6216.09391221631</v>
      </c>
      <c r="F162" s="26" t="n">
        <f aca="false">datos_base!$G$2*parametros_recargas!G$55+sobrestock_sustitutos!$F$51/12</f>
        <v>4630.68224532659</v>
      </c>
      <c r="G162" s="26" t="n">
        <f aca="false">datos_base!$G$2*parametros_recargas!H$55+sobrestock_sustitutos!$F$51/12</f>
        <v>4630.68224532659</v>
      </c>
      <c r="H162" s="26" t="n">
        <f aca="false">datos_base!$G$2*parametros_recargas!I$55+sobrestock_sustitutos!$F$51/12</f>
        <v>4633.8258046823</v>
      </c>
      <c r="I162" s="26" t="n">
        <f aca="false">datos_base!$G$2*parametros_recargas!J$55+sobrestock_sustitutos!$F$51/12</f>
        <v>4633.8258046823</v>
      </c>
      <c r="J162" s="26" t="n">
        <f aca="false">datos_base!$G$2*parametros_recargas!K$55+sobrestock_sustitutos!$F$51/12</f>
        <v>4628.38869584459</v>
      </c>
      <c r="K162" s="26" t="n">
        <f aca="false">datos_base!$G$2*parametros_recargas!L$55+sobrestock_sustitutos!$F$51/12</f>
        <v>4633.8258046823</v>
      </c>
      <c r="L162" s="26" t="n">
        <f aca="false">datos_base!$G$2*parametros_recargas!M$55+sobrestock_sustitutos!$F$51/12</f>
        <v>4633.40079974544</v>
      </c>
      <c r="M162" s="26" t="n">
        <f aca="false">datos_base!$G$2*parametros_recargas!N$55+sobrestock_sustitutos!$F$51/12</f>
        <v>4633.40079974544</v>
      </c>
      <c r="N162" s="26" t="n">
        <f aca="false">datos_base!$G$2*parametros_recargas!O$55+sobrestock_sustitutos!$F$51/12</f>
        <v>6218.81246663517</v>
      </c>
      <c r="O162" s="26" t="n">
        <f aca="false">datos_base!$G$2*parametros_recargas!P$55+sobrestock_sustitutos!$F$51/12</f>
        <v>7807.3676928806</v>
      </c>
      <c r="P162" s="12" t="n">
        <f aca="false">SUM(D162:O162)</f>
        <v>65104.9554102294</v>
      </c>
    </row>
    <row r="163" customFormat="false" ht="15" hidden="false" customHeight="false" outlineLevel="0" collapsed="false">
      <c r="A163" s="6" t="str">
        <f aca="false">parametros_recargas!A56</f>
        <v>ABC 2,5 kg</v>
      </c>
      <c r="B163" s="6" t="str">
        <f aca="false">parametros_recargas!B56</f>
        <v>ABC</v>
      </c>
      <c r="C163" s="14" t="n">
        <f aca="false">parametros_recargas!C56</f>
        <v>1</v>
      </c>
      <c r="D163" s="26" t="n">
        <f aca="false">datos_base!$G$3*parametros_recargas!E$56+sobrestock_sustitutos!$F$52/12</f>
        <v>352.69873800588</v>
      </c>
      <c r="E163" s="26" t="n">
        <f aca="false">datos_base!$G$3*parametros_recargas!F$56+sobrestock_sustitutos!$F$52/12</f>
        <v>352.69873800588</v>
      </c>
      <c r="F163" s="26" t="n">
        <f aca="false">datos_base!$G$3*parametros_recargas!G$56+sobrestock_sustitutos!$F$52/12</f>
        <v>481.875747618523</v>
      </c>
      <c r="G163" s="26" t="n">
        <f aca="false">datos_base!$G$3*parametros_recargas!H$56+sobrestock_sustitutos!$F$52/12</f>
        <v>560.241064778766</v>
      </c>
      <c r="H163" s="26" t="n">
        <f aca="false">datos_base!$G$3*parametros_recargas!I$56+sobrestock_sustitutos!$F$52/12</f>
        <v>605.895467463462</v>
      </c>
      <c r="I163" s="26" t="n">
        <f aca="false">datos_base!$G$3*parametros_recargas!J$56+sobrestock_sustitutos!$F$52/12</f>
        <v>599.115578159151</v>
      </c>
      <c r="J163" s="26" t="n">
        <f aca="false">datos_base!$G$3*parametros_recargas!K$56+sobrestock_sustitutos!$F$52/12</f>
        <v>434.844605898991</v>
      </c>
      <c r="K163" s="26" t="n">
        <f aca="false">datos_base!$G$3*parametros_recargas!L$56+sobrestock_sustitutos!$F$52/12</f>
        <v>508.813081926893</v>
      </c>
      <c r="L163" s="26" t="n">
        <f aca="false">datos_base!$G$3*parametros_recargas!M$56+sobrestock_sustitutos!$F$52/12</f>
        <v>509.907101328462</v>
      </c>
      <c r="M163" s="26" t="n">
        <f aca="false">datos_base!$G$3*parametros_recargas!N$56+sobrestock_sustitutos!$F$52/12</f>
        <v>509.907101328462</v>
      </c>
      <c r="N163" s="26" t="n">
        <f aca="false">datos_base!$G$3*parametros_recargas!O$56+sobrestock_sustitutos!$F$52/12</f>
        <v>464.252698643766</v>
      </c>
      <c r="O163" s="26" t="n">
        <f aca="false">datos_base!$G$3*parametros_recargas!P$56+sobrestock_sustitutos!$F$52/12</f>
        <v>471.032587948077</v>
      </c>
      <c r="P163" s="12" t="n">
        <f aca="false">SUM(D163:O163)</f>
        <v>5851.28251110631</v>
      </c>
    </row>
    <row r="164" customFormat="false" ht="15" hidden="false" customHeight="false" outlineLevel="0" collapsed="false">
      <c r="A164" s="6" t="str">
        <f aca="false">parametros_recargas!A57</f>
        <v>ABC 5 kg</v>
      </c>
      <c r="B164" s="6" t="str">
        <f aca="false">parametros_recargas!B57</f>
        <v>ABC</v>
      </c>
      <c r="C164" s="14" t="n">
        <f aca="false">parametros_recargas!C57</f>
        <v>1</v>
      </c>
      <c r="D164" s="26" t="n">
        <f aca="false">datos_base!$G$4*parametros_recargas!E$57+sobrestock_sustitutos!$F$53/12</f>
        <v>2416.23272848774</v>
      </c>
      <c r="E164" s="26" t="n">
        <f aca="false">datos_base!$G$4*parametros_recargas!F$57+sobrestock_sustitutos!$F$53/12</f>
        <v>2357.2658571629</v>
      </c>
      <c r="F164" s="26" t="n">
        <f aca="false">datos_base!$G$4*parametros_recargas!G$57+sobrestock_sustitutos!$F$53/12</f>
        <v>2952.33626776896</v>
      </c>
      <c r="G164" s="26" t="n">
        <f aca="false">datos_base!$G$4*parametros_recargas!H$57+sobrestock_sustitutos!$F$53/12</f>
        <v>3592.00565072741</v>
      </c>
      <c r="H164" s="26" t="n">
        <f aca="false">datos_base!$G$4*parametros_recargas!I$57+sobrestock_sustitutos!$F$53/12</f>
        <v>3605.2133204232</v>
      </c>
      <c r="I164" s="26" t="n">
        <f aca="false">datos_base!$G$4*parametros_recargas!J$57+sobrestock_sustitutos!$F$53/12</f>
        <v>3560.07457106874</v>
      </c>
      <c r="J164" s="26" t="n">
        <f aca="false">datos_base!$G$4*parametros_recargas!K$57+sobrestock_sustitutos!$F$53/12</f>
        <v>2881.12230666761</v>
      </c>
      <c r="K164" s="26" t="n">
        <f aca="false">datos_base!$G$4*parametros_recargas!L$57+sobrestock_sustitutos!$F$53/12</f>
        <v>2874.10620947917</v>
      </c>
      <c r="L164" s="26" t="n">
        <f aca="false">datos_base!$G$4*parametros_recargas!M$57+sobrestock_sustitutos!$F$53/12</f>
        <v>2914.1039852014</v>
      </c>
      <c r="M164" s="26" t="n">
        <f aca="false">datos_base!$G$4*parametros_recargas!N$57+sobrestock_sustitutos!$F$53/12</f>
        <v>2914.1039852014</v>
      </c>
      <c r="N164" s="26" t="n">
        <f aca="false">datos_base!$G$4*parametros_recargas!O$57+sobrestock_sustitutos!$F$53/12</f>
        <v>2959.86318683045</v>
      </c>
      <c r="O164" s="26" t="n">
        <f aca="false">datos_base!$G$4*parametros_recargas!P$57+sobrestock_sustitutos!$F$53/12</f>
        <v>3063.96880750975</v>
      </c>
      <c r="P164" s="12" t="n">
        <f aca="false">SUM(D164:O164)</f>
        <v>36090.3968765287</v>
      </c>
    </row>
    <row r="165" customFormat="false" ht="15" hidden="false" customHeight="false" outlineLevel="0" collapsed="false">
      <c r="A165" s="6" t="str">
        <f aca="false">parametros_recargas!A58</f>
        <v>ABC 10 kg</v>
      </c>
      <c r="B165" s="6" t="str">
        <f aca="false">parametros_recargas!B58</f>
        <v>ABC</v>
      </c>
      <c r="C165" s="14" t="n">
        <f aca="false">parametros_recargas!C58</f>
        <v>1</v>
      </c>
      <c r="D165" s="26" t="n">
        <f aca="false">datos_base!$G$5*parametros_recargas!E$58+sobrestock_sustitutos!$F$54/12</f>
        <v>138.771795920543</v>
      </c>
      <c r="E165" s="26" t="n">
        <f aca="false">datos_base!$G$5*parametros_recargas!F$58+sobrestock_sustitutos!$F$54/12</f>
        <v>138.771795920543</v>
      </c>
      <c r="F165" s="26" t="n">
        <f aca="false">datos_base!$G$5*parametros_recargas!G$58+sobrestock_sustitutos!$F$54/12</f>
        <v>178.016146647147</v>
      </c>
      <c r="G165" s="26" t="n">
        <f aca="false">datos_base!$G$5*parametros_recargas!H$58+sobrestock_sustitutos!$F$54/12</f>
        <v>216.352916749568</v>
      </c>
      <c r="H165" s="26" t="n">
        <f aca="false">datos_base!$G$5*parametros_recargas!I$58+sobrestock_sustitutos!$F$54/12</f>
        <v>218.355257766428</v>
      </c>
      <c r="I165" s="26" t="n">
        <f aca="false">datos_base!$G$5*parametros_recargas!J$58+sobrestock_sustitutos!$F$54/12</f>
        <v>212.114044162623</v>
      </c>
      <c r="J165" s="26" t="n">
        <f aca="false">datos_base!$G$5*parametros_recargas!K$58+sobrestock_sustitutos!$F$54/12</f>
        <v>167.199365420918</v>
      </c>
      <c r="K165" s="26" t="n">
        <f aca="false">datos_base!$G$5*parametros_recargas!L$58+sobrestock_sustitutos!$F$54/12</f>
        <v>168.630820849075</v>
      </c>
      <c r="L165" s="26" t="n">
        <f aca="false">datos_base!$G$5*parametros_recargas!M$58+sobrestock_sustitutos!$F$54/12</f>
        <v>174.87203445288</v>
      </c>
      <c r="M165" s="26" t="n">
        <f aca="false">datos_base!$G$5*parametros_recargas!N$58+sobrestock_sustitutos!$F$54/12</f>
        <v>174.87203445288</v>
      </c>
      <c r="N165" s="26" t="n">
        <f aca="false">datos_base!$G$5*parametros_recargas!O$58+sobrestock_sustitutos!$F$54/12</f>
        <v>172.86969343602</v>
      </c>
      <c r="O165" s="26" t="n">
        <f aca="false">datos_base!$G$5*parametros_recargas!P$58+sobrestock_sustitutos!$F$54/12</f>
        <v>179.110907039824</v>
      </c>
      <c r="P165" s="12" t="n">
        <f aca="false">SUM(D165:O165)</f>
        <v>2139.93681281845</v>
      </c>
    </row>
    <row r="166" customFormat="false" ht="15" hidden="false" customHeight="false" outlineLevel="0" collapsed="false">
      <c r="A166" s="6" t="str">
        <f aca="false">parametros_recargas!A59</f>
        <v>Agua 10 l</v>
      </c>
      <c r="B166" s="6" t="str">
        <f aca="false">parametros_recargas!B59</f>
        <v>Agua</v>
      </c>
      <c r="C166" s="14" t="n">
        <f aca="false">parametros_recargas!C59</f>
        <v>1</v>
      </c>
      <c r="D166" s="26" t="n">
        <f aca="false">datos_base!$G$6*parametros_recargas!E$59+sobrestock_sustitutos!$F$55/12</f>
        <v>201.549028393978</v>
      </c>
      <c r="E166" s="26" t="n">
        <f aca="false">datos_base!$G$6*parametros_recargas!F$59+sobrestock_sustitutos!$F$55/12</f>
        <v>201.549028393978</v>
      </c>
      <c r="F166" s="26" t="n">
        <f aca="false">datos_base!$G$6*parametros_recargas!G$59+sobrestock_sustitutos!$F$55/12</f>
        <v>248.031614552026</v>
      </c>
      <c r="G166" s="26" t="n">
        <f aca="false">datos_base!$G$6*parametros_recargas!H$59+sobrestock_sustitutos!$F$55/12</f>
        <v>297.036302141339</v>
      </c>
      <c r="H166" s="26" t="n">
        <f aca="false">datos_base!$G$6*parametros_recargas!I$59+sobrestock_sustitutos!$F$55/12</f>
        <v>298.874325377359</v>
      </c>
      <c r="I166" s="26" t="n">
        <f aca="false">datos_base!$G$6*parametros_recargas!J$59+sobrestock_sustitutos!$F$55/12</f>
        <v>290.221848835816</v>
      </c>
      <c r="J166" s="26" t="n">
        <f aca="false">datos_base!$G$6*parametros_recargas!K$59+sobrestock_sustitutos!$F$55/12</f>
        <v>236.480506506294</v>
      </c>
      <c r="K166" s="26" t="n">
        <f aca="false">datos_base!$G$6*parametros_recargas!L$59+sobrestock_sustitutos!$F$55/12</f>
        <v>236.924809372245</v>
      </c>
      <c r="L166" s="26" t="n">
        <f aca="false">datos_base!$G$6*parametros_recargas!M$59+sobrestock_sustitutos!$F$55/12</f>
        <v>245.034502079307</v>
      </c>
      <c r="M166" s="26" t="n">
        <f aca="false">datos_base!$G$6*parametros_recargas!N$59+sobrestock_sustitutos!$F$55/12</f>
        <v>245.034502079307</v>
      </c>
      <c r="N166" s="26" t="n">
        <f aca="false">datos_base!$G$6*parametros_recargas!O$59+sobrestock_sustitutos!$F$55/12</f>
        <v>243.196478843287</v>
      </c>
      <c r="O166" s="26" t="n">
        <f aca="false">datos_base!$G$6*parametros_recargas!P$59+sobrestock_sustitutos!$F$55/12</f>
        <v>251.84895538483</v>
      </c>
      <c r="P166" s="12" t="n">
        <f aca="false">SUM(D166:O166)</f>
        <v>2995.78190195977</v>
      </c>
    </row>
    <row r="167" customFormat="false" ht="15" hidden="false" customHeight="false" outlineLevel="0" collapsed="false">
      <c r="A167" s="6" t="str">
        <f aca="false">parametros_recargas!A60</f>
        <v>AFFF 10 l</v>
      </c>
      <c r="B167" s="6" t="str">
        <f aca="false">parametros_recargas!B60</f>
        <v>AFFF</v>
      </c>
      <c r="C167" s="14" t="n">
        <f aca="false">parametros_recargas!C60</f>
        <v>1</v>
      </c>
      <c r="D167" s="26" t="n">
        <f aca="false">datos_base!$G$7*parametros_recargas!E$60+sobrestock_sustitutos!$F$56/12</f>
        <v>44.9944020698093</v>
      </c>
      <c r="E167" s="26" t="n">
        <f aca="false">datos_base!$G$7*parametros_recargas!F$60+sobrestock_sustitutos!$F$56/12</f>
        <v>44.9944020698093</v>
      </c>
      <c r="F167" s="26" t="n">
        <f aca="false">datos_base!$G$7*parametros_recargas!G$60+sobrestock_sustitutos!$F$56/12</f>
        <v>44.9944020698093</v>
      </c>
      <c r="G167" s="26" t="n">
        <f aca="false">datos_base!$G$7*parametros_recargas!H$60+sobrestock_sustitutos!$F$56/12</f>
        <v>44.9944020698093</v>
      </c>
      <c r="H167" s="26" t="n">
        <f aca="false">datos_base!$G$7*parametros_recargas!I$60+sobrestock_sustitutos!$F$56/12</f>
        <v>44.9944020698093</v>
      </c>
      <c r="I167" s="26" t="n">
        <f aca="false">datos_base!$G$7*parametros_recargas!J$60+sobrestock_sustitutos!$F$56/12</f>
        <v>44.9944020698093</v>
      </c>
      <c r="J167" s="26" t="n">
        <f aca="false">datos_base!$G$7*parametros_recargas!K$60+sobrestock_sustitutos!$F$56/12</f>
        <v>44.9944020698093</v>
      </c>
      <c r="K167" s="26" t="n">
        <f aca="false">datos_base!$G$7*parametros_recargas!L$60+sobrestock_sustitutos!$F$56/12</f>
        <v>44.9944020698093</v>
      </c>
      <c r="L167" s="26" t="n">
        <f aca="false">datos_base!$G$7*parametros_recargas!M$60+sobrestock_sustitutos!$F$56/12</f>
        <v>44.9944020698093</v>
      </c>
      <c r="M167" s="26" t="n">
        <f aca="false">datos_base!$G$7*parametros_recargas!N$60+sobrestock_sustitutos!$F$56/12</f>
        <v>44.9944020698093</v>
      </c>
      <c r="N167" s="26" t="n">
        <f aca="false">datos_base!$G$7*parametros_recargas!O$60+sobrestock_sustitutos!$F$56/12</f>
        <v>44.9944020698093</v>
      </c>
      <c r="O167" s="26" t="n">
        <f aca="false">datos_base!$G$7*parametros_recargas!P$60+sobrestock_sustitutos!$F$56/12</f>
        <v>44.9944020698093</v>
      </c>
      <c r="P167" s="12" t="n">
        <f aca="false">SUM(D167:O167)</f>
        <v>539.932824837711</v>
      </c>
    </row>
    <row r="168" customFormat="false" ht="15" hidden="false" customHeight="false" outlineLevel="0" collapsed="false">
      <c r="A168" s="6" t="str">
        <f aca="false">parametros_recargas!A61</f>
        <v>AFFF 50 l s/ruedas</v>
      </c>
      <c r="B168" s="6" t="str">
        <f aca="false">parametros_recargas!B61</f>
        <v>AFFF</v>
      </c>
      <c r="C168" s="14" t="n">
        <f aca="false">parametros_recargas!C61</f>
        <v>6.360853875</v>
      </c>
      <c r="D168" s="26" t="n">
        <f aca="false">datos_base!$G$8*parametros_recargas!E$61+sobrestock_sustitutos!$F$57/12</f>
        <v>24.0262945983838</v>
      </c>
      <c r="E168" s="26" t="n">
        <f aca="false">datos_base!$G$8*parametros_recargas!F$61+sobrestock_sustitutos!$F$57/12</f>
        <v>24.0262945983838</v>
      </c>
      <c r="F168" s="26" t="n">
        <f aca="false">datos_base!$G$8*parametros_recargas!G$61+sobrestock_sustitutos!$F$57/12</f>
        <v>24.0262945983838</v>
      </c>
      <c r="G168" s="26" t="n">
        <f aca="false">datos_base!$G$8*parametros_recargas!H$61+sobrestock_sustitutos!$F$57/12</f>
        <v>24.0262945983838</v>
      </c>
      <c r="H168" s="26" t="n">
        <f aca="false">datos_base!$G$8*parametros_recargas!I$61+sobrestock_sustitutos!$F$57/12</f>
        <v>24.0262945983838</v>
      </c>
      <c r="I168" s="26" t="n">
        <f aca="false">datos_base!$G$8*parametros_recargas!J$61+sobrestock_sustitutos!$F$57/12</f>
        <v>24.0262945983838</v>
      </c>
      <c r="J168" s="26" t="n">
        <f aca="false">datos_base!$G$8*parametros_recargas!K$61+sobrestock_sustitutos!$F$57/12</f>
        <v>24.0262945983838</v>
      </c>
      <c r="K168" s="26" t="n">
        <f aca="false">datos_base!$G$8*parametros_recargas!L$61+sobrestock_sustitutos!$F$57/12</f>
        <v>24.0262945983838</v>
      </c>
      <c r="L168" s="26" t="n">
        <f aca="false">datos_base!$G$8*parametros_recargas!M$61+sobrestock_sustitutos!$F$57/12</f>
        <v>24.0262945983838</v>
      </c>
      <c r="M168" s="26" t="n">
        <f aca="false">datos_base!$G$8*parametros_recargas!N$61+sobrestock_sustitutos!$F$57/12</f>
        <v>24.0262945983838</v>
      </c>
      <c r="N168" s="26" t="n">
        <f aca="false">datos_base!$G$8*parametros_recargas!O$61+sobrestock_sustitutos!$F$57/12</f>
        <v>24.0262945983838</v>
      </c>
      <c r="O168" s="26" t="n">
        <f aca="false">datos_base!$G$8*parametros_recargas!P$61+sobrestock_sustitutos!$F$57/12</f>
        <v>24.0262945983838</v>
      </c>
      <c r="P168" s="12" t="n">
        <f aca="false">SUM(D168:O168)</f>
        <v>288.315535180606</v>
      </c>
    </row>
    <row r="169" customFormat="false" ht="15" hidden="false" customHeight="false" outlineLevel="0" collapsed="false">
      <c r="A169" s="6" t="str">
        <f aca="false">parametros_recargas!A62</f>
        <v>BC 5 kg</v>
      </c>
      <c r="B169" s="6" t="str">
        <f aca="false">parametros_recargas!B62</f>
        <v>BC</v>
      </c>
      <c r="C169" s="14" t="n">
        <f aca="false">parametros_recargas!C62</f>
        <v>1</v>
      </c>
      <c r="D169" s="26" t="n">
        <f aca="false">datos_base!$G$9*parametros_recargas!E$62+sobrestock_sustitutos!$F$58/12</f>
        <v>13.6539662231951</v>
      </c>
      <c r="E169" s="26" t="n">
        <f aca="false">datos_base!$G$9*parametros_recargas!F$62+sobrestock_sustitutos!$F$58/12</f>
        <v>13.6539662231951</v>
      </c>
      <c r="F169" s="26" t="n">
        <f aca="false">datos_base!$G$9*parametros_recargas!G$62+sobrestock_sustitutos!$F$58/12</f>
        <v>13.6539662231951</v>
      </c>
      <c r="G169" s="26" t="n">
        <f aca="false">datos_base!$G$9*parametros_recargas!H$62+sobrestock_sustitutos!$F$58/12</f>
        <v>13.6539662231951</v>
      </c>
      <c r="H169" s="26" t="n">
        <f aca="false">datos_base!$G$9*parametros_recargas!I$62+sobrestock_sustitutos!$F$58/12</f>
        <v>13.6539662231951</v>
      </c>
      <c r="I169" s="26" t="n">
        <f aca="false">datos_base!$G$9*parametros_recargas!J$62+sobrestock_sustitutos!$F$58/12</f>
        <v>13.6539662231951</v>
      </c>
      <c r="J169" s="26" t="n">
        <f aca="false">datos_base!$G$9*parametros_recargas!K$62+sobrestock_sustitutos!$F$58/12</f>
        <v>13.6539662231951</v>
      </c>
      <c r="K169" s="26" t="n">
        <f aca="false">datos_base!$G$9*parametros_recargas!L$62+sobrestock_sustitutos!$F$58/12</f>
        <v>13.6539662231951</v>
      </c>
      <c r="L169" s="26" t="n">
        <f aca="false">datos_base!$G$9*parametros_recargas!M$62+sobrestock_sustitutos!$F$58/12</f>
        <v>13.6539662231951</v>
      </c>
      <c r="M169" s="26" t="n">
        <f aca="false">datos_base!$G$9*parametros_recargas!N$62+sobrestock_sustitutos!$F$58/12</f>
        <v>13.6539662231951</v>
      </c>
      <c r="N169" s="26" t="n">
        <f aca="false">datos_base!$G$9*parametros_recargas!O$62+sobrestock_sustitutos!$F$58/12</f>
        <v>13.6539662231951</v>
      </c>
      <c r="O169" s="26" t="n">
        <f aca="false">datos_base!$G$9*parametros_recargas!P$62+sobrestock_sustitutos!$F$58/12</f>
        <v>13.6539662231951</v>
      </c>
      <c r="P169" s="12" t="n">
        <f aca="false">SUM(D169:O169)</f>
        <v>163.847594678341</v>
      </c>
    </row>
    <row r="170" customFormat="false" ht="15" hidden="false" customHeight="false" outlineLevel="0" collapsed="false">
      <c r="A170" s="6" t="str">
        <f aca="false">parametros_recargas!A63</f>
        <v>Sales K 6 l</v>
      </c>
      <c r="B170" s="6" t="str">
        <f aca="false">parametros_recargas!B63</f>
        <v>Sales K</v>
      </c>
      <c r="C170" s="14" t="n">
        <f aca="false">parametros_recargas!C63</f>
        <v>1</v>
      </c>
      <c r="D170" s="26" t="n">
        <f aca="false">datos_base!$G$10*parametros_recargas!E$63+sobrestock_sustitutos!$F$59/12</f>
        <v>101.613351693993</v>
      </c>
      <c r="E170" s="26" t="n">
        <f aca="false">datos_base!$G$10*parametros_recargas!F$63+sobrestock_sustitutos!$F$59/12</f>
        <v>101.613351693993</v>
      </c>
      <c r="F170" s="26" t="n">
        <f aca="false">datos_base!$G$10*parametros_recargas!G$63+sobrestock_sustitutos!$F$59/12</f>
        <v>122.203412298404</v>
      </c>
      <c r="G170" s="26" t="n">
        <f aca="false">datos_base!$G$10*parametros_recargas!H$63+sobrestock_sustitutos!$F$59/12</f>
        <v>138.066980264054</v>
      </c>
      <c r="H170" s="26" t="n">
        <f aca="false">datos_base!$G$10*parametros_recargas!I$63+sobrestock_sustitutos!$F$59/12</f>
        <v>141.502799622396</v>
      </c>
      <c r="I170" s="26" t="n">
        <f aca="false">datos_base!$G$10*parametros_recargas!J$63+sobrestock_sustitutos!$F$59/12</f>
        <v>138.628986374801</v>
      </c>
      <c r="J170" s="26" t="n">
        <f aca="false">datos_base!$G$10*parametros_recargas!K$63+sobrestock_sustitutos!$F$59/12</f>
        <v>113.81153642846</v>
      </c>
      <c r="K170" s="26" t="n">
        <f aca="false">datos_base!$G$10*parametros_recargas!L$63+sobrestock_sustitutos!$F$59/12</f>
        <v>118.600931881137</v>
      </c>
      <c r="L170" s="26" t="n">
        <f aca="false">datos_base!$G$10*parametros_recargas!M$63+sobrestock_sustitutos!$F$59/12</f>
        <v>121.474745128732</v>
      </c>
      <c r="M170" s="26" t="n">
        <f aca="false">datos_base!$G$10*parametros_recargas!N$63+sobrestock_sustitutos!$F$59/12</f>
        <v>121.474745128732</v>
      </c>
      <c r="N170" s="26" t="n">
        <f aca="false">datos_base!$G$10*parametros_recargas!O$63+sobrestock_sustitutos!$F$59/12</f>
        <v>118.03892577039</v>
      </c>
      <c r="O170" s="26" t="n">
        <f aca="false">datos_base!$G$10*parametros_recargas!P$63+sobrestock_sustitutos!$F$59/12</f>
        <v>120.912739017985</v>
      </c>
      <c r="P170" s="12" t="n">
        <f aca="false">SUM(D170:O170)</f>
        <v>1457.94250530308</v>
      </c>
    </row>
    <row r="171" customFormat="false" ht="15" hidden="false" customHeight="false" outlineLevel="0" collapsed="false">
      <c r="A171" s="6" t="str">
        <f aca="false">parametros_recargas!A64</f>
        <v>CO₂ 2 kg</v>
      </c>
      <c r="B171" s="6" t="str">
        <f aca="false">parametros_recargas!B64</f>
        <v>CO₂</v>
      </c>
      <c r="C171" s="14" t="n">
        <f aca="false">parametros_recargas!C64</f>
        <v>1</v>
      </c>
      <c r="D171" s="26" t="n">
        <f aca="false">datos_base!$G$11*parametros_recargas!E$64+sobrestock_sustitutos!$F$60/12</f>
        <v>504.176810900228</v>
      </c>
      <c r="E171" s="26" t="n">
        <f aca="false">datos_base!$G$11*parametros_recargas!F$64+sobrestock_sustitutos!$F$60/12</f>
        <v>504.176810900228</v>
      </c>
      <c r="F171" s="26" t="n">
        <f aca="false">datos_base!$G$11*parametros_recargas!G$64+sobrestock_sustitutos!$F$60/12</f>
        <v>675.859726280037</v>
      </c>
      <c r="G171" s="26" t="n">
        <f aca="false">datos_base!$G$11*parametros_recargas!H$64+sobrestock_sustitutos!$F$60/12</f>
        <v>837.336953615853</v>
      </c>
      <c r="H171" s="26" t="n">
        <f aca="false">datos_base!$G$11*parametros_recargas!I$64+sobrestock_sustitutos!$F$60/12</f>
        <v>840.703159682829</v>
      </c>
      <c r="I171" s="26" t="n">
        <f aca="false">datos_base!$G$11*parametros_recargas!J$64+sobrestock_sustitutos!$F$60/12</f>
        <v>830.111175996866</v>
      </c>
      <c r="J171" s="26" t="n">
        <f aca="false">datos_base!$G$11*parametros_recargas!K$64+sobrestock_sustitutos!$F$60/12</f>
        <v>653.185803695609</v>
      </c>
      <c r="K171" s="26" t="n">
        <f aca="false">datos_base!$G$11*parametros_recargas!L$64+sobrestock_sustitutos!$F$60/12</f>
        <v>651.202482998072</v>
      </c>
      <c r="L171" s="26" t="n">
        <f aca="false">datos_base!$G$11*parametros_recargas!M$64+sobrestock_sustitutos!$F$60/12</f>
        <v>661.794466684034</v>
      </c>
      <c r="M171" s="26" t="n">
        <f aca="false">datos_base!$G$11*parametros_recargas!N$64+sobrestock_sustitutos!$F$60/12</f>
        <v>661.794466684034</v>
      </c>
      <c r="N171" s="26" t="n">
        <f aca="false">datos_base!$G$11*parametros_recargas!O$64+sobrestock_sustitutos!$F$60/12</f>
        <v>658.428260617058</v>
      </c>
      <c r="O171" s="26" t="n">
        <f aca="false">datos_base!$G$11*parametros_recargas!P$64+sobrestock_sustitutos!$F$60/12</f>
        <v>669.02024430302</v>
      </c>
      <c r="P171" s="12" t="n">
        <f aca="false">SUM(D171:O171)</f>
        <v>8147.79036235787</v>
      </c>
    </row>
    <row r="172" customFormat="false" ht="15" hidden="false" customHeight="false" outlineLevel="0" collapsed="false">
      <c r="A172" s="6" t="str">
        <f aca="false">parametros_recargas!A65</f>
        <v>CO₂ 5 kg</v>
      </c>
      <c r="B172" s="6" t="str">
        <f aca="false">parametros_recargas!B65</f>
        <v>CO₂</v>
      </c>
      <c r="C172" s="14" t="n">
        <f aca="false">parametros_recargas!C65</f>
        <v>1</v>
      </c>
      <c r="D172" s="26" t="n">
        <f aca="false">datos_base!$G$12*parametros_recargas!E$65+sobrestock_sustitutos!$F$61/12</f>
        <v>202.213989877301</v>
      </c>
      <c r="E172" s="26" t="n">
        <f aca="false">datos_base!$G$12*parametros_recargas!F$65+sobrestock_sustitutos!$F$61/12</f>
        <v>202.213989877301</v>
      </c>
      <c r="F172" s="26" t="n">
        <f aca="false">datos_base!$G$12*parametros_recargas!G$65+sobrestock_sustitutos!$F$61/12</f>
        <v>219.196645514914</v>
      </c>
      <c r="G172" s="26" t="n">
        <f aca="false">datos_base!$G$12*parametros_recargas!H$65+sobrestock_sustitutos!$F$61/12</f>
        <v>242.726129874999</v>
      </c>
      <c r="H172" s="26" t="n">
        <f aca="false">datos_base!$G$12*parametros_recargas!I$65+sobrestock_sustitutos!$F$61/12</f>
        <v>246.769288639516</v>
      </c>
      <c r="I172" s="26" t="n">
        <f aca="false">datos_base!$G$12*parametros_recargas!J$65+sobrestock_sustitutos!$F$61/12</f>
        <v>235.398075349831</v>
      </c>
      <c r="J172" s="26" t="n">
        <f aca="false">datos_base!$G$12*parametros_recargas!K$65+sobrestock_sustitutos!$F$61/12</f>
        <v>208.255219939424</v>
      </c>
      <c r="K172" s="26" t="n">
        <f aca="false">datos_base!$G$12*parametros_recargas!L$65+sobrestock_sustitutos!$F$61/12</f>
        <v>211.08736518705</v>
      </c>
      <c r="L172" s="26" t="n">
        <f aca="false">datos_base!$G$12*parametros_recargas!M$65+sobrestock_sustitutos!$F$61/12</f>
        <v>220.026798786705</v>
      </c>
      <c r="M172" s="26" t="n">
        <f aca="false">datos_base!$G$12*parametros_recargas!N$65+sobrestock_sustitutos!$F$61/12</f>
        <v>220.026798786705</v>
      </c>
      <c r="N172" s="26" t="n">
        <f aca="false">datos_base!$G$12*parametros_recargas!O$65+sobrestock_sustitutos!$F$61/12</f>
        <v>215.983640022188</v>
      </c>
      <c r="O172" s="26" t="n">
        <f aca="false">datos_base!$G$12*parametros_recargas!P$65+sobrestock_sustitutos!$F$61/12</f>
        <v>227.354853311873</v>
      </c>
      <c r="P172" s="12" t="n">
        <f aca="false">SUM(D172:O172)</f>
        <v>2651.25279516781</v>
      </c>
    </row>
    <row r="173" customFormat="false" ht="15" hidden="false" customHeight="false" outlineLevel="0" collapsed="false">
      <c r="A173" s="6" t="str">
        <f aca="false">parametros_recargas!A66</f>
        <v>HCFC/HFC 5 kg</v>
      </c>
      <c r="B173" s="6" t="str">
        <f aca="false">parametros_recargas!B66</f>
        <v>Halogenado</v>
      </c>
      <c r="C173" s="14" t="n">
        <f aca="false">parametros_recargas!C66</f>
        <v>1</v>
      </c>
      <c r="D173" s="26" t="n">
        <f aca="false">datos_base!$G$13*parametros_recargas!E$66+sobrestock_sustitutos!$F$62/12</f>
        <v>37.7681428247773</v>
      </c>
      <c r="E173" s="26" t="n">
        <f aca="false">datos_base!$G$13*parametros_recargas!F$66+sobrestock_sustitutos!$F$62/12</f>
        <v>37.7681428247773</v>
      </c>
      <c r="F173" s="26" t="n">
        <f aca="false">datos_base!$G$13*parametros_recargas!G$66+sobrestock_sustitutos!$F$62/12</f>
        <v>35.3582948255265</v>
      </c>
      <c r="G173" s="26" t="n">
        <f aca="false">datos_base!$G$13*parametros_recargas!H$66+sobrestock_sustitutos!$F$62/12</f>
        <v>35.3582948255265</v>
      </c>
      <c r="H173" s="26" t="n">
        <f aca="false">datos_base!$G$13*parametros_recargas!I$66+sobrestock_sustitutos!$F$62/12</f>
        <v>35.3582948255265</v>
      </c>
      <c r="I173" s="26" t="n">
        <f aca="false">datos_base!$G$13*parametros_recargas!J$66+sobrestock_sustitutos!$F$62/12</f>
        <v>32.9484468262757</v>
      </c>
      <c r="J173" s="26" t="n">
        <f aca="false">datos_base!$G$13*parametros_recargas!K$66+sobrestock_sustitutos!$F$62/12</f>
        <v>32.9484468262757</v>
      </c>
      <c r="K173" s="26" t="n">
        <f aca="false">datos_base!$G$13*parametros_recargas!L$66+sobrestock_sustitutos!$F$62/12</f>
        <v>32.9484468262757</v>
      </c>
      <c r="L173" s="26" t="n">
        <f aca="false">datos_base!$G$13*parametros_recargas!M$66+sobrestock_sustitutos!$F$62/12</f>
        <v>35.3582948255265</v>
      </c>
      <c r="M173" s="26" t="n">
        <f aca="false">datos_base!$G$13*parametros_recargas!N$66+sobrestock_sustitutos!$F$62/12</f>
        <v>35.3582948255265</v>
      </c>
      <c r="N173" s="26" t="n">
        <f aca="false">datos_base!$G$13*parametros_recargas!O$66+sobrestock_sustitutos!$F$62/12</f>
        <v>35.3582948255265</v>
      </c>
      <c r="O173" s="26" t="n">
        <f aca="false">datos_base!$G$13*parametros_recargas!P$66+sobrestock_sustitutos!$F$62/12</f>
        <v>37.7681428247773</v>
      </c>
      <c r="P173" s="12" t="n">
        <f aca="false">SUM(D173:O173)</f>
        <v>424.299537906318</v>
      </c>
    </row>
    <row r="174" customFormat="false" ht="15" hidden="false" customHeight="false" outlineLevel="0" collapsed="false">
      <c r="A174" s="6" t="str">
        <f aca="false">parametros_recargas!A67</f>
        <v>Clase D 9 l</v>
      </c>
      <c r="B174" s="6" t="str">
        <f aca="false">parametros_recargas!B67</f>
        <v>Clase D</v>
      </c>
      <c r="C174" s="14" t="n">
        <f aca="false">parametros_recargas!C67</f>
        <v>1</v>
      </c>
      <c r="D174" s="26" t="n">
        <f aca="false">datos_base!$G$14*parametros_recargas!E$67+sobrestock_sustitutos!$F$63/12</f>
        <v>11.9855684520934</v>
      </c>
      <c r="E174" s="26" t="n">
        <f aca="false">datos_base!$G$14*parametros_recargas!F$67+sobrestock_sustitutos!$F$63/12</f>
        <v>11.9855684520934</v>
      </c>
      <c r="F174" s="26" t="n">
        <f aca="false">datos_base!$G$14*parametros_recargas!G$67+sobrestock_sustitutos!$F$63/12</f>
        <v>11.9855684520934</v>
      </c>
      <c r="G174" s="26" t="n">
        <f aca="false">datos_base!$G$14*parametros_recargas!H$67+sobrestock_sustitutos!$F$63/12</f>
        <v>11.9855684520934</v>
      </c>
      <c r="H174" s="26" t="n">
        <f aca="false">datos_base!$G$14*parametros_recargas!I$67+sobrestock_sustitutos!$F$63/12</f>
        <v>11.9855684520934</v>
      </c>
      <c r="I174" s="26" t="n">
        <f aca="false">datos_base!$G$14*parametros_recargas!J$67+sobrestock_sustitutos!$F$63/12</f>
        <v>11.9855684520934</v>
      </c>
      <c r="J174" s="26" t="n">
        <f aca="false">datos_base!$G$14*parametros_recargas!K$67+sobrestock_sustitutos!$F$63/12</f>
        <v>11.9855684520934</v>
      </c>
      <c r="K174" s="26" t="n">
        <f aca="false">datos_base!$G$14*parametros_recargas!L$67+sobrestock_sustitutos!$F$63/12</f>
        <v>11.9855684520934</v>
      </c>
      <c r="L174" s="26" t="n">
        <f aca="false">datos_base!$G$14*parametros_recargas!M$67+sobrestock_sustitutos!$F$63/12</f>
        <v>11.9855684520934</v>
      </c>
      <c r="M174" s="26" t="n">
        <f aca="false">datos_base!$G$14*parametros_recargas!N$67+sobrestock_sustitutos!$F$63/12</f>
        <v>11.9855684520934</v>
      </c>
      <c r="N174" s="26" t="n">
        <f aca="false">datos_base!$G$14*parametros_recargas!O$67+sobrestock_sustitutos!$F$63/12</f>
        <v>11.9855684520934</v>
      </c>
      <c r="O174" s="26" t="n">
        <f aca="false">datos_base!$G$14*parametros_recargas!P$67+sobrestock_sustitutos!$F$63/12</f>
        <v>11.9855684520934</v>
      </c>
      <c r="P174" s="12" t="n">
        <f aca="false">SUM(D174:O174)</f>
        <v>143.826821425121</v>
      </c>
    </row>
    <row r="175" customFormat="false" ht="15" hidden="false" customHeight="false" outlineLevel="0" collapsed="false">
      <c r="A175" s="6" t="str">
        <f aca="false">parametros_recargas!A68</f>
        <v>ABC 25 kg s/ruedas</v>
      </c>
      <c r="B175" s="6" t="str">
        <f aca="false">parametros_recargas!B68</f>
        <v>ABC</v>
      </c>
      <c r="C175" s="14" t="n">
        <f aca="false">parametros_recargas!C68</f>
        <v>6.360853875</v>
      </c>
      <c r="D175" s="26" t="n">
        <f aca="false">datos_base!$G$15*parametros_recargas!E$68+sobrestock_sustitutos!$F$64/12</f>
        <v>26.8719900672023</v>
      </c>
      <c r="E175" s="26" t="n">
        <f aca="false">datos_base!$G$15*parametros_recargas!F$68+sobrestock_sustitutos!$F$64/12</f>
        <v>26.8719900672023</v>
      </c>
      <c r="F175" s="26" t="n">
        <f aca="false">datos_base!$G$15*parametros_recargas!G$68+sobrestock_sustitutos!$F$64/12</f>
        <v>29.889317650983</v>
      </c>
      <c r="G175" s="26" t="n">
        <f aca="false">datos_base!$G$15*parametros_recargas!H$68+sobrestock_sustitutos!$F$64/12</f>
        <v>33.8901297902404</v>
      </c>
      <c r="H175" s="26" t="n">
        <f aca="false">datos_base!$G$15*parametros_recargas!I$68+sobrestock_sustitutos!$F$64/12</f>
        <v>34.0525808205478</v>
      </c>
      <c r="I175" s="26" t="n">
        <f aca="false">datos_base!$G$15*parametros_recargas!J$68+sobrestock_sustitutos!$F$64/12</f>
        <v>32.7307617592556</v>
      </c>
      <c r="J175" s="26" t="n">
        <f aca="false">datos_base!$G$15*parametros_recargas!K$68+sobrestock_sustitutos!$F$64/12</f>
        <v>28.3171058216294</v>
      </c>
      <c r="K175" s="26" t="n">
        <f aca="false">datos_base!$G$15*parametros_recargas!L$68+sobrestock_sustitutos!$F$64/12</f>
        <v>28.5540661444901</v>
      </c>
      <c r="L175" s="26" t="n">
        <f aca="false">datos_base!$G$15*parametros_recargas!M$68+sobrestock_sustitutos!$F$64/12</f>
        <v>29.8758852057823</v>
      </c>
      <c r="M175" s="26" t="n">
        <f aca="false">datos_base!$G$15*parametros_recargas!N$68+sobrestock_sustitutos!$F$64/12</f>
        <v>29.8758852057823</v>
      </c>
      <c r="N175" s="26" t="n">
        <f aca="false">datos_base!$G$15*parametros_recargas!O$68+sobrestock_sustitutos!$F$64/12</f>
        <v>29.7134341754749</v>
      </c>
      <c r="O175" s="26" t="n">
        <f aca="false">datos_base!$G$15*parametros_recargas!P$68+sobrestock_sustitutos!$F$64/12</f>
        <v>31.0352532367671</v>
      </c>
      <c r="P175" s="12" t="n">
        <f aca="false">SUM(D175:O175)</f>
        <v>361.678399945357</v>
      </c>
    </row>
    <row r="176" customFormat="false" ht="15" hidden="false" customHeight="false" outlineLevel="0" collapsed="false">
      <c r="A176" s="6" t="str">
        <f aca="false">parametros_recargas!A69</f>
        <v>ABC 50 kg s/ruedas</v>
      </c>
      <c r="B176" s="6" t="str">
        <f aca="false">parametros_recargas!B69</f>
        <v>ABC</v>
      </c>
      <c r="C176" s="14" t="n">
        <f aca="false">parametros_recargas!C69</f>
        <v>6.360853875</v>
      </c>
      <c r="D176" s="26" t="n">
        <f aca="false">datos_base!$G$16*parametros_recargas!E$69+sobrestock_sustitutos!$F$65/12</f>
        <v>59.0351183452968</v>
      </c>
      <c r="E176" s="26" t="n">
        <f aca="false">datos_base!$G$16*parametros_recargas!F$69+sobrestock_sustitutos!$F$65/12</f>
        <v>59.0351183452968</v>
      </c>
      <c r="F176" s="26" t="n">
        <f aca="false">datos_base!$G$16*parametros_recargas!G$69+sobrestock_sustitutos!$F$65/12</f>
        <v>65.6732188566298</v>
      </c>
      <c r="G176" s="26" t="n">
        <f aca="false">datos_base!$G$16*parametros_recargas!H$69+sobrestock_sustitutos!$F$65/12</f>
        <v>74.4749447682241</v>
      </c>
      <c r="H176" s="26" t="n">
        <f aca="false">datos_base!$G$16*parametros_recargas!I$69+sobrestock_sustitutos!$F$65/12</f>
        <v>74.832244937298</v>
      </c>
      <c r="I176" s="26" t="n">
        <f aca="false">datos_base!$G$16*parametros_recargas!J$69+sobrestock_sustitutos!$F$65/12</f>
        <v>71.9243230886303</v>
      </c>
      <c r="J176" s="26" t="n">
        <f aca="false">datos_base!$G$16*parametros_recargas!K$69+sobrestock_sustitutos!$F$65/12</f>
        <v>62.2144986992219</v>
      </c>
      <c r="K176" s="26" t="n">
        <f aca="false">datos_base!$G$16*parametros_recargas!L$69+sobrestock_sustitutos!$F$65/12</f>
        <v>62.7356008977035</v>
      </c>
      <c r="L176" s="26" t="n">
        <f aca="false">datos_base!$G$16*parametros_recargas!M$69+sobrestock_sustitutos!$F$65/12</f>
        <v>65.6435227463712</v>
      </c>
      <c r="M176" s="26" t="n">
        <f aca="false">datos_base!$G$16*parametros_recargas!N$69+sobrestock_sustitutos!$F$65/12</f>
        <v>65.6435227463712</v>
      </c>
      <c r="N176" s="26" t="n">
        <f aca="false">datos_base!$G$16*parametros_recargas!O$69+sobrestock_sustitutos!$F$65/12</f>
        <v>65.2862225772973</v>
      </c>
      <c r="O176" s="26" t="n">
        <f aca="false">datos_base!$G$16*parametros_recargas!P$69+sobrestock_sustitutos!$F$65/12</f>
        <v>68.194144425965</v>
      </c>
      <c r="P176" s="12" t="n">
        <f aca="false">SUM(D176:O176)</f>
        <v>794.692480434306</v>
      </c>
    </row>
    <row r="177" customFormat="false" ht="15" hidden="false" customHeight="false" outlineLevel="0" collapsed="false">
      <c r="A177" s="6" t="str">
        <f aca="false">parametros_recargas!A70</f>
        <v>ABC 70 kg s/ruedas</v>
      </c>
      <c r="B177" s="6" t="str">
        <f aca="false">parametros_recargas!B70</f>
        <v>ABC</v>
      </c>
      <c r="C177" s="14" t="n">
        <f aca="false">parametros_recargas!C70</f>
        <v>6.360853875</v>
      </c>
      <c r="D177" s="26" t="n">
        <f aca="false">datos_base!$G$17*parametros_recargas!E$70+sobrestock_sustitutos!$F$66/12</f>
        <v>12.9485735968238</v>
      </c>
      <c r="E177" s="26" t="n">
        <f aca="false">datos_base!$G$17*parametros_recargas!F$70+sobrestock_sustitutos!$F$66/12</f>
        <v>12.9485735968238</v>
      </c>
      <c r="F177" s="26" t="n">
        <f aca="false">datos_base!$G$17*parametros_recargas!G$70+sobrestock_sustitutos!$F$66/12</f>
        <v>14.396869787895</v>
      </c>
      <c r="G177" s="26" t="n">
        <f aca="false">datos_base!$G$17*parametros_recargas!H$70+sobrestock_sustitutos!$F$66/12</f>
        <v>16.3172972898768</v>
      </c>
      <c r="H177" s="26" t="n">
        <f aca="false">datos_base!$G$17*parametros_recargas!I$70+sobrestock_sustitutos!$F$66/12</f>
        <v>16.395218906811</v>
      </c>
      <c r="I177" s="26" t="n">
        <f aca="false">datos_base!$G$17*parametros_recargas!J$70+sobrestock_sustitutos!$F$66/12</f>
        <v>15.7607558315109</v>
      </c>
      <c r="J177" s="26" t="n">
        <f aca="false">datos_base!$G$17*parametros_recargas!K$70+sobrestock_sustitutos!$F$66/12</f>
        <v>13.6422800219331</v>
      </c>
      <c r="K177" s="26" t="n">
        <f aca="false">datos_base!$G$17*parametros_recargas!L$70+sobrestock_sustitutos!$F$66/12</f>
        <v>13.7559181820739</v>
      </c>
      <c r="L177" s="26" t="n">
        <f aca="false">datos_base!$G$17*parametros_recargas!M$70+sobrestock_sustitutos!$F$66/12</f>
        <v>14.3903812573739</v>
      </c>
      <c r="M177" s="26" t="n">
        <f aca="false">datos_base!$G$17*parametros_recargas!N$70+sobrestock_sustitutos!$F$66/12</f>
        <v>14.3903812573739</v>
      </c>
      <c r="N177" s="26" t="n">
        <f aca="false">datos_base!$G$17*parametros_recargas!O$70+sobrestock_sustitutos!$F$66/12</f>
        <v>14.3124596404397</v>
      </c>
      <c r="O177" s="26" t="n">
        <f aca="false">datos_base!$G$17*parametros_recargas!P$70+sobrestock_sustitutos!$F$66/12</f>
        <v>14.9469227157398</v>
      </c>
      <c r="P177" s="12" t="n">
        <f aca="false">SUM(D177:O177)</f>
        <v>174.205632084676</v>
      </c>
    </row>
    <row r="178" customFormat="false" ht="15" hidden="false" customHeight="false" outlineLevel="0" collapsed="false">
      <c r="A178" s="6" t="str">
        <f aca="false">parametros_recargas!A71</f>
        <v>ABC 100 kg s/ruedas</v>
      </c>
      <c r="B178" s="6" t="str">
        <f aca="false">parametros_recargas!B71</f>
        <v>ABC</v>
      </c>
      <c r="C178" s="14" t="n">
        <f aca="false">parametros_recargas!C71</f>
        <v>6.360853875</v>
      </c>
      <c r="D178" s="26" t="n">
        <f aca="false">datos_base!$G$18*parametros_recargas!E$71+sobrestock_sustitutos!$F$67/12</f>
        <v>8.63245811779855</v>
      </c>
      <c r="E178" s="26" t="n">
        <f aca="false">datos_base!$G$18*parametros_recargas!F$71+sobrestock_sustitutos!$F$67/12</f>
        <v>8.63245811779855</v>
      </c>
      <c r="F178" s="26" t="n">
        <f aca="false">datos_base!$G$18*parametros_recargas!G$71+sobrestock_sustitutos!$F$67/12</f>
        <v>9.59795748994217</v>
      </c>
      <c r="G178" s="26" t="n">
        <f aca="false">datos_base!$G$18*parametros_recargas!H$71+sobrestock_sustitutos!$F$67/12</f>
        <v>10.8781522054277</v>
      </c>
      <c r="H178" s="26" t="n">
        <f aca="false">datos_base!$G$18*parametros_recargas!I$71+sobrestock_sustitutos!$F$67/12</f>
        <v>10.9300999499664</v>
      </c>
      <c r="I178" s="26" t="n">
        <f aca="false">datos_base!$G$18*parametros_recargas!J$71+sobrestock_sustitutos!$F$67/12</f>
        <v>10.507124567118</v>
      </c>
      <c r="J178" s="26" t="n">
        <f aca="false">datos_base!$G$18*parametros_recargas!K$71+sobrestock_sustitutos!$F$67/12</f>
        <v>9.09486821507125</v>
      </c>
      <c r="K178" s="26" t="n">
        <f aca="false">datos_base!$G$18*parametros_recargas!L$71+sobrestock_sustitutos!$F$67/12</f>
        <v>9.17059755666465</v>
      </c>
      <c r="L178" s="26" t="n">
        <f aca="false">datos_base!$G$18*parametros_recargas!M$71+sobrestock_sustitutos!$F$67/12</f>
        <v>9.59357293951302</v>
      </c>
      <c r="M178" s="26" t="n">
        <f aca="false">datos_base!$G$18*parametros_recargas!N$71+sobrestock_sustitutos!$F$67/12</f>
        <v>9.59357293951302</v>
      </c>
      <c r="N178" s="26" t="n">
        <f aca="false">datos_base!$G$18*parametros_recargas!O$71+sobrestock_sustitutos!$F$67/12</f>
        <v>9.54162519497437</v>
      </c>
      <c r="O178" s="26" t="n">
        <f aca="false">datos_base!$G$18*parametros_recargas!P$71+sobrestock_sustitutos!$F$67/12</f>
        <v>9.96460057782275</v>
      </c>
      <c r="P178" s="12" t="n">
        <f aca="false">SUM(D178:O178)</f>
        <v>116.13708787161</v>
      </c>
    </row>
    <row r="179" customFormat="false" ht="15" hidden="false" customHeight="false" outlineLevel="0" collapsed="false">
      <c r="A179" s="4" t="s">
        <v>385</v>
      </c>
      <c r="D179" s="12" t="n">
        <f aca="false">SUM(D162:D178)</f>
        <v>11961.8220960368</v>
      </c>
      <c r="E179" s="12" t="n">
        <f aca="false">SUM(E162:E178)</f>
        <v>10314.2999984665</v>
      </c>
      <c r="F179" s="12" t="n">
        <f aca="false">SUM(F162:F178)</f>
        <v>9757.77769596105</v>
      </c>
      <c r="G179" s="12" t="n">
        <f aca="false">SUM(G162:G178)</f>
        <v>10780.0272937014</v>
      </c>
      <c r="H179" s="12" t="n">
        <f aca="false">SUM(H162:H178)</f>
        <v>10857.3680944411</v>
      </c>
      <c r="I179" s="12" t="n">
        <f aca="false">SUM(I162:I178)</f>
        <v>10758.0217280464</v>
      </c>
      <c r="J179" s="12" t="n">
        <f aca="false">SUM(J162:J178)</f>
        <v>9564.16547132952</v>
      </c>
      <c r="K179" s="12" t="n">
        <f aca="false">SUM(K162:K178)</f>
        <v>9645.01636732662</v>
      </c>
      <c r="L179" s="12" t="n">
        <f aca="false">SUM(L162:L178)</f>
        <v>9730.136321725</v>
      </c>
      <c r="M179" s="12" t="n">
        <f aca="false">SUM(M162:M178)</f>
        <v>9730.136321725</v>
      </c>
      <c r="N179" s="12" t="n">
        <f aca="false">SUM(N162:N178)</f>
        <v>11300.3176185555</v>
      </c>
      <c r="O179" s="12" t="n">
        <f aca="false">SUM(O162:O178)</f>
        <v>13047.1860825205</v>
      </c>
      <c r="P179" s="12" t="n">
        <f aca="false">SUM(P162:P178)</f>
        <v>127446.275089835</v>
      </c>
    </row>
    <row r="180" customFormat="false" ht="15" hidden="false" customHeight="false" outlineLevel="0" collapsed="false">
      <c r="A180" s="4" t="s">
        <v>386</v>
      </c>
    </row>
    <row r="181" customFormat="false" ht="15" hidden="false" customHeight="false" outlineLevel="0" collapsed="false">
      <c r="A181" s="5" t="s">
        <v>165</v>
      </c>
      <c r="D181" s="26" t="n">
        <f aca="false">SUMPRODUCT(($B$162:$B$178=$A181)*D$162:D$178*$C$162:$C$178)</f>
        <v>11396.0687535201</v>
      </c>
      <c r="E181" s="26" t="n">
        <f aca="false">SUMPRODUCT(($B$162:$B$178=$A181)*E$162:E$178*$C$162:$C$178)</f>
        <v>9748.54665594978</v>
      </c>
      <c r="F181" s="26" t="n">
        <f aca="false">SUMPRODUCT(($B$162:$B$178=$A181)*F$162:F$178*$C$162:$C$178)</f>
        <v>9003.39732808068</v>
      </c>
      <c r="G181" s="26" t="n">
        <f aca="false">SUMPRODUCT(($B$162:$B$178=$A181)*G$162:G$178*$C$162:$C$178)</f>
        <v>9861.56256230678</v>
      </c>
      <c r="H181" s="26" t="n">
        <f aca="false">SUMPRODUCT(($B$162:$B$178=$A181)*H$162:H$178*$C$162:$C$178)</f>
        <v>9929.70267652163</v>
      </c>
      <c r="I181" s="26" t="n">
        <f aca="false">SUMPRODUCT(($B$162:$B$178=$A181)*I$162:I$178*$C$162:$C$178)</f>
        <v>9837.9118488876</v>
      </c>
      <c r="J181" s="26" t="n">
        <f aca="false">SUMPRODUCT(($B$162:$B$178=$A181)*J$162:J$178*$C$162:$C$178)</f>
        <v>8832.04095872834</v>
      </c>
      <c r="K181" s="26" t="n">
        <f aca="false">SUMPRODUCT(($B$162:$B$178=$A181)*K$162:K$178*$C$162:$C$178)</f>
        <v>8911.88836576723</v>
      </c>
      <c r="L181" s="26" t="n">
        <f aca="false">SUMPRODUCT(($B$162:$B$178=$A181)*L$162:L$178*$C$162:$C$178)</f>
        <v>8992.42734492943</v>
      </c>
      <c r="M181" s="26" t="n">
        <f aca="false">SUMPRODUCT(($B$162:$B$178=$A181)*M$162:M$178*$C$162:$C$178)</f>
        <v>8992.42734492943</v>
      </c>
      <c r="N181" s="26" t="n">
        <f aca="false">SUMPRODUCT(($B$162:$B$178=$A181)*N$162:N$178*$C$162:$C$178)</f>
        <v>10571.8093282849</v>
      </c>
      <c r="O181" s="26" t="n">
        <f aca="false">SUMPRODUCT(($B$162:$B$178=$A181)*O$162:O$178*$C$162:$C$178)</f>
        <v>12311.1222534892</v>
      </c>
      <c r="P181" s="26" t="n">
        <f aca="false">SUMPRODUCT(($B$162:$B$178=$A181)*P$162:P$178*$C$162:$C$178)</f>
        <v>118388.905421395</v>
      </c>
    </row>
    <row r="182" customFormat="false" ht="15" hidden="false" customHeight="false" outlineLevel="0" collapsed="false">
      <c r="A182" s="5" t="s">
        <v>166</v>
      </c>
      <c r="D182" s="26" t="n">
        <f aca="false">SUMPRODUCT(($B$162:$B$178=$A182)*D$162:D$178*$C$162:$C$178)</f>
        <v>13.6539662231951</v>
      </c>
      <c r="E182" s="26" t="n">
        <f aca="false">SUMPRODUCT(($B$162:$B$178=$A182)*E$162:E$178*$C$162:$C$178)</f>
        <v>13.6539662231951</v>
      </c>
      <c r="F182" s="26" t="n">
        <f aca="false">SUMPRODUCT(($B$162:$B$178=$A182)*F$162:F$178*$C$162:$C$178)</f>
        <v>13.6539662231951</v>
      </c>
      <c r="G182" s="26" t="n">
        <f aca="false">SUMPRODUCT(($B$162:$B$178=$A182)*G$162:G$178*$C$162:$C$178)</f>
        <v>13.6539662231951</v>
      </c>
      <c r="H182" s="26" t="n">
        <f aca="false">SUMPRODUCT(($B$162:$B$178=$A182)*H$162:H$178*$C$162:$C$178)</f>
        <v>13.6539662231951</v>
      </c>
      <c r="I182" s="26" t="n">
        <f aca="false">SUMPRODUCT(($B$162:$B$178=$A182)*I$162:I$178*$C$162:$C$178)</f>
        <v>13.6539662231951</v>
      </c>
      <c r="J182" s="26" t="n">
        <f aca="false">SUMPRODUCT(($B$162:$B$178=$A182)*J$162:J$178*$C$162:$C$178)</f>
        <v>13.6539662231951</v>
      </c>
      <c r="K182" s="26" t="n">
        <f aca="false">SUMPRODUCT(($B$162:$B$178=$A182)*K$162:K$178*$C$162:$C$178)</f>
        <v>13.6539662231951</v>
      </c>
      <c r="L182" s="26" t="n">
        <f aca="false">SUMPRODUCT(($B$162:$B$178=$A182)*L$162:L$178*$C$162:$C$178)</f>
        <v>13.6539662231951</v>
      </c>
      <c r="M182" s="26" t="n">
        <f aca="false">SUMPRODUCT(($B$162:$B$178=$A182)*M$162:M$178*$C$162:$C$178)</f>
        <v>13.6539662231951</v>
      </c>
      <c r="N182" s="26" t="n">
        <f aca="false">SUMPRODUCT(($B$162:$B$178=$A182)*N$162:N$178*$C$162:$C$178)</f>
        <v>13.6539662231951</v>
      </c>
      <c r="O182" s="26" t="n">
        <f aca="false">SUMPRODUCT(($B$162:$B$178=$A182)*O$162:O$178*$C$162:$C$178)</f>
        <v>13.6539662231951</v>
      </c>
      <c r="P182" s="26" t="n">
        <f aca="false">SUMPRODUCT(($B$162:$B$178=$A182)*P$162:P$178*$C$162:$C$178)</f>
        <v>163.847594678341</v>
      </c>
    </row>
    <row r="183" customFormat="false" ht="15" hidden="false" customHeight="false" outlineLevel="0" collapsed="false">
      <c r="A183" s="5" t="s">
        <v>167</v>
      </c>
      <c r="D183" s="26" t="n">
        <f aca="false">SUMPRODUCT(($B$162:$B$178=$A183)*D$162:D$178*$C$162:$C$178)</f>
        <v>11.9855684520934</v>
      </c>
      <c r="E183" s="26" t="n">
        <f aca="false">SUMPRODUCT(($B$162:$B$178=$A183)*E$162:E$178*$C$162:$C$178)</f>
        <v>11.9855684520934</v>
      </c>
      <c r="F183" s="26" t="n">
        <f aca="false">SUMPRODUCT(($B$162:$B$178=$A183)*F$162:F$178*$C$162:$C$178)</f>
        <v>11.9855684520934</v>
      </c>
      <c r="G183" s="26" t="n">
        <f aca="false">SUMPRODUCT(($B$162:$B$178=$A183)*G$162:G$178*$C$162:$C$178)</f>
        <v>11.9855684520934</v>
      </c>
      <c r="H183" s="26" t="n">
        <f aca="false">SUMPRODUCT(($B$162:$B$178=$A183)*H$162:H$178*$C$162:$C$178)</f>
        <v>11.9855684520934</v>
      </c>
      <c r="I183" s="26" t="n">
        <f aca="false">SUMPRODUCT(($B$162:$B$178=$A183)*I$162:I$178*$C$162:$C$178)</f>
        <v>11.9855684520934</v>
      </c>
      <c r="J183" s="26" t="n">
        <f aca="false">SUMPRODUCT(($B$162:$B$178=$A183)*J$162:J$178*$C$162:$C$178)</f>
        <v>11.9855684520934</v>
      </c>
      <c r="K183" s="26" t="n">
        <f aca="false">SUMPRODUCT(($B$162:$B$178=$A183)*K$162:K$178*$C$162:$C$178)</f>
        <v>11.9855684520934</v>
      </c>
      <c r="L183" s="26" t="n">
        <f aca="false">SUMPRODUCT(($B$162:$B$178=$A183)*L$162:L$178*$C$162:$C$178)</f>
        <v>11.9855684520934</v>
      </c>
      <c r="M183" s="26" t="n">
        <f aca="false">SUMPRODUCT(($B$162:$B$178=$A183)*M$162:M$178*$C$162:$C$178)</f>
        <v>11.9855684520934</v>
      </c>
      <c r="N183" s="26" t="n">
        <f aca="false">SUMPRODUCT(($B$162:$B$178=$A183)*N$162:N$178*$C$162:$C$178)</f>
        <v>11.9855684520934</v>
      </c>
      <c r="O183" s="26" t="n">
        <f aca="false">SUMPRODUCT(($B$162:$B$178=$A183)*O$162:O$178*$C$162:$C$178)</f>
        <v>11.9855684520934</v>
      </c>
      <c r="P183" s="26" t="n">
        <f aca="false">SUMPRODUCT(($B$162:$B$178=$A183)*P$162:P$178*$C$162:$C$178)</f>
        <v>143.826821425121</v>
      </c>
    </row>
    <row r="184" customFormat="false" ht="15" hidden="false" customHeight="false" outlineLevel="0" collapsed="false">
      <c r="A184" s="5" t="s">
        <v>168</v>
      </c>
      <c r="D184" s="26" t="n">
        <f aca="false">SUMPRODUCT(($B$162:$B$178=$A184)*D$162:D$178*$C$162:$C$178)</f>
        <v>201.549028393978</v>
      </c>
      <c r="E184" s="26" t="n">
        <f aca="false">SUMPRODUCT(($B$162:$B$178=$A184)*E$162:E$178*$C$162:$C$178)</f>
        <v>201.549028393978</v>
      </c>
      <c r="F184" s="26" t="n">
        <f aca="false">SUMPRODUCT(($B$162:$B$178=$A184)*F$162:F$178*$C$162:$C$178)</f>
        <v>248.031614552026</v>
      </c>
      <c r="G184" s="26" t="n">
        <f aca="false">SUMPRODUCT(($B$162:$B$178=$A184)*G$162:G$178*$C$162:$C$178)</f>
        <v>297.036302141339</v>
      </c>
      <c r="H184" s="26" t="n">
        <f aca="false">SUMPRODUCT(($B$162:$B$178=$A184)*H$162:H$178*$C$162:$C$178)</f>
        <v>298.874325377359</v>
      </c>
      <c r="I184" s="26" t="n">
        <f aca="false">SUMPRODUCT(($B$162:$B$178=$A184)*I$162:I$178*$C$162:$C$178)</f>
        <v>290.221848835816</v>
      </c>
      <c r="J184" s="26" t="n">
        <f aca="false">SUMPRODUCT(($B$162:$B$178=$A184)*J$162:J$178*$C$162:$C$178)</f>
        <v>236.480506506294</v>
      </c>
      <c r="K184" s="26" t="n">
        <f aca="false">SUMPRODUCT(($B$162:$B$178=$A184)*K$162:K$178*$C$162:$C$178)</f>
        <v>236.924809372245</v>
      </c>
      <c r="L184" s="26" t="n">
        <f aca="false">SUMPRODUCT(($B$162:$B$178=$A184)*L$162:L$178*$C$162:$C$178)</f>
        <v>245.034502079307</v>
      </c>
      <c r="M184" s="26" t="n">
        <f aca="false">SUMPRODUCT(($B$162:$B$178=$A184)*M$162:M$178*$C$162:$C$178)</f>
        <v>245.034502079307</v>
      </c>
      <c r="N184" s="26" t="n">
        <f aca="false">SUMPRODUCT(($B$162:$B$178=$A184)*N$162:N$178*$C$162:$C$178)</f>
        <v>243.196478843287</v>
      </c>
      <c r="O184" s="26" t="n">
        <f aca="false">SUMPRODUCT(($B$162:$B$178=$A184)*O$162:O$178*$C$162:$C$178)</f>
        <v>251.84895538483</v>
      </c>
      <c r="P184" s="26" t="n">
        <f aca="false">SUMPRODUCT(($B$162:$B$178=$A184)*P$162:P$178*$C$162:$C$178)</f>
        <v>2995.78190195977</v>
      </c>
    </row>
    <row r="185" customFormat="false" ht="15" hidden="false" customHeight="false" outlineLevel="0" collapsed="false">
      <c r="A185" s="5" t="s">
        <v>169</v>
      </c>
      <c r="D185" s="26" t="n">
        <f aca="false">SUMPRODUCT(($B$162:$B$178=$A185)*D$162:D$178*$C$162:$C$178)</f>
        <v>197.822151167831</v>
      </c>
      <c r="E185" s="26" t="n">
        <f aca="false">SUMPRODUCT(($B$162:$B$178=$A185)*E$162:E$178*$C$162:$C$178)</f>
        <v>197.822151167831</v>
      </c>
      <c r="F185" s="26" t="n">
        <f aca="false">SUMPRODUCT(($B$162:$B$178=$A185)*F$162:F$178*$C$162:$C$178)</f>
        <v>197.822151167831</v>
      </c>
      <c r="G185" s="26" t="n">
        <f aca="false">SUMPRODUCT(($B$162:$B$178=$A185)*G$162:G$178*$C$162:$C$178)</f>
        <v>197.822151167831</v>
      </c>
      <c r="H185" s="26" t="n">
        <f aca="false">SUMPRODUCT(($B$162:$B$178=$A185)*H$162:H$178*$C$162:$C$178)</f>
        <v>197.822151167831</v>
      </c>
      <c r="I185" s="26" t="n">
        <f aca="false">SUMPRODUCT(($B$162:$B$178=$A185)*I$162:I$178*$C$162:$C$178)</f>
        <v>197.822151167831</v>
      </c>
      <c r="J185" s="26" t="n">
        <f aca="false">SUMPRODUCT(($B$162:$B$178=$A185)*J$162:J$178*$C$162:$C$178)</f>
        <v>197.822151167831</v>
      </c>
      <c r="K185" s="26" t="n">
        <f aca="false">SUMPRODUCT(($B$162:$B$178=$A185)*K$162:K$178*$C$162:$C$178)</f>
        <v>197.822151167831</v>
      </c>
      <c r="L185" s="26" t="n">
        <f aca="false">SUMPRODUCT(($B$162:$B$178=$A185)*L$162:L$178*$C$162:$C$178)</f>
        <v>197.822151167831</v>
      </c>
      <c r="M185" s="26" t="n">
        <f aca="false">SUMPRODUCT(($B$162:$B$178=$A185)*M$162:M$178*$C$162:$C$178)</f>
        <v>197.822151167831</v>
      </c>
      <c r="N185" s="26" t="n">
        <f aca="false">SUMPRODUCT(($B$162:$B$178=$A185)*N$162:N$178*$C$162:$C$178)</f>
        <v>197.822151167831</v>
      </c>
      <c r="O185" s="26" t="n">
        <f aca="false">SUMPRODUCT(($B$162:$B$178=$A185)*O$162:O$178*$C$162:$C$178)</f>
        <v>197.822151167831</v>
      </c>
      <c r="P185" s="26" t="n">
        <f aca="false">SUMPRODUCT(($B$162:$B$178=$A185)*P$162:P$178*$C$162:$C$178)</f>
        <v>2373.86581401397</v>
      </c>
    </row>
    <row r="186" customFormat="false" ht="15" hidden="false" customHeight="false" outlineLevel="0" collapsed="false">
      <c r="A186" s="5" t="s">
        <v>170</v>
      </c>
      <c r="D186" s="26" t="n">
        <f aca="false">SUMPRODUCT(($B$162:$B$178=$A186)*D$162:D$178*$C$162:$C$178)</f>
        <v>101.613351693993</v>
      </c>
      <c r="E186" s="26" t="n">
        <f aca="false">SUMPRODUCT(($B$162:$B$178=$A186)*E$162:E$178*$C$162:$C$178)</f>
        <v>101.613351693993</v>
      </c>
      <c r="F186" s="26" t="n">
        <f aca="false">SUMPRODUCT(($B$162:$B$178=$A186)*F$162:F$178*$C$162:$C$178)</f>
        <v>122.203412298404</v>
      </c>
      <c r="G186" s="26" t="n">
        <f aca="false">SUMPRODUCT(($B$162:$B$178=$A186)*G$162:G$178*$C$162:$C$178)</f>
        <v>138.066980264054</v>
      </c>
      <c r="H186" s="26" t="n">
        <f aca="false">SUMPRODUCT(($B$162:$B$178=$A186)*H$162:H$178*$C$162:$C$178)</f>
        <v>141.502799622396</v>
      </c>
      <c r="I186" s="26" t="n">
        <f aca="false">SUMPRODUCT(($B$162:$B$178=$A186)*I$162:I$178*$C$162:$C$178)</f>
        <v>138.628986374801</v>
      </c>
      <c r="J186" s="26" t="n">
        <f aca="false">SUMPRODUCT(($B$162:$B$178=$A186)*J$162:J$178*$C$162:$C$178)</f>
        <v>113.81153642846</v>
      </c>
      <c r="K186" s="26" t="n">
        <f aca="false">SUMPRODUCT(($B$162:$B$178=$A186)*K$162:K$178*$C$162:$C$178)</f>
        <v>118.600931881137</v>
      </c>
      <c r="L186" s="26" t="n">
        <f aca="false">SUMPRODUCT(($B$162:$B$178=$A186)*L$162:L$178*$C$162:$C$178)</f>
        <v>121.474745128732</v>
      </c>
      <c r="M186" s="26" t="n">
        <f aca="false">SUMPRODUCT(($B$162:$B$178=$A186)*M$162:M$178*$C$162:$C$178)</f>
        <v>121.474745128732</v>
      </c>
      <c r="N186" s="26" t="n">
        <f aca="false">SUMPRODUCT(($B$162:$B$178=$A186)*N$162:N$178*$C$162:$C$178)</f>
        <v>118.03892577039</v>
      </c>
      <c r="O186" s="26" t="n">
        <f aca="false">SUMPRODUCT(($B$162:$B$178=$A186)*O$162:O$178*$C$162:$C$178)</f>
        <v>120.912739017985</v>
      </c>
      <c r="P186" s="26" t="n">
        <f aca="false">SUMPRODUCT(($B$162:$B$178=$A186)*P$162:P$178*$C$162:$C$178)</f>
        <v>1457.94250530308</v>
      </c>
    </row>
    <row r="187" customFormat="false" ht="15" hidden="false" customHeight="false" outlineLevel="0" collapsed="false">
      <c r="A187" s="5" t="s">
        <v>171</v>
      </c>
      <c r="D187" s="26" t="n">
        <f aca="false">SUMPRODUCT(($B$162:$B$178=$A187)*D$162:D$178*$C$162:$C$178)</f>
        <v>706.39080077753</v>
      </c>
      <c r="E187" s="26" t="n">
        <f aca="false">SUMPRODUCT(($B$162:$B$178=$A187)*E$162:E$178*$C$162:$C$178)</f>
        <v>706.39080077753</v>
      </c>
      <c r="F187" s="26" t="n">
        <f aca="false">SUMPRODUCT(($B$162:$B$178=$A187)*F$162:F$178*$C$162:$C$178)</f>
        <v>895.056371794951</v>
      </c>
      <c r="G187" s="26" t="n">
        <f aca="false">SUMPRODUCT(($B$162:$B$178=$A187)*G$162:G$178*$C$162:$C$178)</f>
        <v>1080.06308349085</v>
      </c>
      <c r="H187" s="26" t="n">
        <f aca="false">SUMPRODUCT(($B$162:$B$178=$A187)*H$162:H$178*$C$162:$C$178)</f>
        <v>1087.47244832234</v>
      </c>
      <c r="I187" s="26" t="n">
        <f aca="false">SUMPRODUCT(($B$162:$B$178=$A187)*I$162:I$178*$C$162:$C$178)</f>
        <v>1065.5092513467</v>
      </c>
      <c r="J187" s="26" t="n">
        <f aca="false">SUMPRODUCT(($B$162:$B$178=$A187)*J$162:J$178*$C$162:$C$178)</f>
        <v>861.441023635033</v>
      </c>
      <c r="K187" s="26" t="n">
        <f aca="false">SUMPRODUCT(($B$162:$B$178=$A187)*K$162:K$178*$C$162:$C$178)</f>
        <v>862.289848185122</v>
      </c>
      <c r="L187" s="26" t="n">
        <f aca="false">SUMPRODUCT(($B$162:$B$178=$A187)*L$162:L$178*$C$162:$C$178)</f>
        <v>881.821265470739</v>
      </c>
      <c r="M187" s="26" t="n">
        <f aca="false">SUMPRODUCT(($B$162:$B$178=$A187)*M$162:M$178*$C$162:$C$178)</f>
        <v>881.821265470739</v>
      </c>
      <c r="N187" s="26" t="n">
        <f aca="false">SUMPRODUCT(($B$162:$B$178=$A187)*N$162:N$178*$C$162:$C$178)</f>
        <v>874.411900639246</v>
      </c>
      <c r="O187" s="26" t="n">
        <f aca="false">SUMPRODUCT(($B$162:$B$178=$A187)*O$162:O$178*$C$162:$C$178)</f>
        <v>896.375097614893</v>
      </c>
      <c r="P187" s="26" t="n">
        <f aca="false">SUMPRODUCT(($B$162:$B$178=$A187)*P$162:P$178*$C$162:$C$178)</f>
        <v>10799.0431575257</v>
      </c>
    </row>
    <row r="188" customFormat="false" ht="15" hidden="false" customHeight="false" outlineLevel="0" collapsed="false">
      <c r="A188" s="5" t="s">
        <v>172</v>
      </c>
      <c r="D188" s="26" t="n">
        <f aca="false">SUMPRODUCT(($B$162:$B$178=$A188)*D$162:D$178*$C$162:$C$178)</f>
        <v>37.7681428247773</v>
      </c>
      <c r="E188" s="26" t="n">
        <f aca="false">SUMPRODUCT(($B$162:$B$178=$A188)*E$162:E$178*$C$162:$C$178)</f>
        <v>37.7681428247773</v>
      </c>
      <c r="F188" s="26" t="n">
        <f aca="false">SUMPRODUCT(($B$162:$B$178=$A188)*F$162:F$178*$C$162:$C$178)</f>
        <v>35.3582948255265</v>
      </c>
      <c r="G188" s="26" t="n">
        <f aca="false">SUMPRODUCT(($B$162:$B$178=$A188)*G$162:G$178*$C$162:$C$178)</f>
        <v>35.3582948255265</v>
      </c>
      <c r="H188" s="26" t="n">
        <f aca="false">SUMPRODUCT(($B$162:$B$178=$A188)*H$162:H$178*$C$162:$C$178)</f>
        <v>35.3582948255265</v>
      </c>
      <c r="I188" s="26" t="n">
        <f aca="false">SUMPRODUCT(($B$162:$B$178=$A188)*I$162:I$178*$C$162:$C$178)</f>
        <v>32.9484468262757</v>
      </c>
      <c r="J188" s="26" t="n">
        <f aca="false">SUMPRODUCT(($B$162:$B$178=$A188)*J$162:J$178*$C$162:$C$178)</f>
        <v>32.9484468262757</v>
      </c>
      <c r="K188" s="26" t="n">
        <f aca="false">SUMPRODUCT(($B$162:$B$178=$A188)*K$162:K$178*$C$162:$C$178)</f>
        <v>32.9484468262757</v>
      </c>
      <c r="L188" s="26" t="n">
        <f aca="false">SUMPRODUCT(($B$162:$B$178=$A188)*L$162:L$178*$C$162:$C$178)</f>
        <v>35.3582948255265</v>
      </c>
      <c r="M188" s="26" t="n">
        <f aca="false">SUMPRODUCT(($B$162:$B$178=$A188)*M$162:M$178*$C$162:$C$178)</f>
        <v>35.3582948255265</v>
      </c>
      <c r="N188" s="26" t="n">
        <f aca="false">SUMPRODUCT(($B$162:$B$178=$A188)*N$162:N$178*$C$162:$C$178)</f>
        <v>35.3582948255265</v>
      </c>
      <c r="O188" s="26" t="n">
        <f aca="false">SUMPRODUCT(($B$162:$B$178=$A188)*O$162:O$178*$C$162:$C$178)</f>
        <v>37.7681428247773</v>
      </c>
      <c r="P188" s="26" t="n">
        <f aca="false">SUMPRODUCT(($B$162:$B$178=$A188)*P$162:P$178*$C$162:$C$178)</f>
        <v>424.299537906318</v>
      </c>
    </row>
    <row r="189" customFormat="false" ht="15" hidden="false" customHeight="false" outlineLevel="0" collapsed="false">
      <c r="A189" s="4" t="s">
        <v>387</v>
      </c>
      <c r="D189" s="27" t="n">
        <f aca="false">SUMPRODUCT(D$162:D$178*parametros_recargas!$D$55:$D$71)</f>
        <v>333.728424602807</v>
      </c>
      <c r="E189" s="27" t="n">
        <f aca="false">SUMPRODUCT(E$162:E$178*parametros_recargas!$D$55:$D$71)</f>
        <v>333.728424602807</v>
      </c>
      <c r="F189" s="27" t="n">
        <f aca="false">SUMPRODUCT(F$162:F$178*parametros_recargas!$D$55:$D$71)</f>
        <v>362.780303898748</v>
      </c>
      <c r="G189" s="27" t="n">
        <f aca="false">SUMPRODUCT(G$162:G$178*parametros_recargas!$D$55:$D$71)</f>
        <v>402.312948527152</v>
      </c>
      <c r="H189" s="27" t="n">
        <f aca="false">SUMPRODUCT(H$162:H$178*parametros_recargas!$D$55:$D$71)</f>
        <v>407.005727852523</v>
      </c>
      <c r="I189" s="27" t="n">
        <f aca="false">SUMPRODUCT(I$162:I$178*parametros_recargas!$D$55:$D$71)</f>
        <v>390.34733519473</v>
      </c>
      <c r="J189" s="27" t="n">
        <f aca="false">SUMPRODUCT(J$162:J$178*parametros_recargas!$D$55:$D$71)</f>
        <v>345.550267295664</v>
      </c>
      <c r="K189" s="27" t="n">
        <f aca="false">SUMPRODUCT(K$162:K$178*parametros_recargas!$D$55:$D$71)</f>
        <v>349.329842566366</v>
      </c>
      <c r="L189" s="27" t="n">
        <f aca="false">SUMPRODUCT(L$162:L$178*parametros_recargas!$D$55:$D$71)</f>
        <v>363.556455534129</v>
      </c>
      <c r="M189" s="27" t="n">
        <f aca="false">SUMPRODUCT(M$162:M$178*parametros_recargas!$D$55:$D$71)</f>
        <v>363.556455534129</v>
      </c>
      <c r="N189" s="27" t="n">
        <f aca="false">SUMPRODUCT(N$162:N$178*parametros_recargas!$D$55:$D$71)</f>
        <v>358.863676208758</v>
      </c>
      <c r="O189" s="27" t="n">
        <f aca="false">SUMPRODUCT(O$162:O$178*parametros_recargas!$D$55:$D$71)</f>
        <v>375.522068866551</v>
      </c>
      <c r="P189" s="27" t="n">
        <f aca="false">SUMPRODUCT(P$162:P$178*parametros_recargas!$D$55:$D$71)</f>
        <v>4386.28193068436</v>
      </c>
    </row>
    <row r="190" customFormat="false" ht="15" hidden="false" customHeight="false" outlineLevel="0" collapsed="false">
      <c r="A190" s="4" t="s">
        <v>388</v>
      </c>
      <c r="D190" s="27" t="n">
        <f aca="false">SUMPRODUCT(sobrestock_sustitutos!$G$73:$G$73,--(sobrestock_sustitutos!$F$30:$F$30="Fábrica: cilindro vacío"),parametros_recargas!$C$55:$C$55)*parametros_recargas!E$109+SUMPRODUCT(sobrestock_sustitutos!$G$74:$G$76,--(sobrestock_sustitutos!$F$31:$F$33="Fábrica: cilindro vacío"),parametros_recargas!$C$56:$C$58)*parametros_recargas!E$110+SUMPRODUCT(sobrestock_sustitutos!$G$86:$G$89,--(sobrestock_sustitutos!$F$43:$F$46="Fábrica: cilindro vacío"),parametros_recargas!$C$68:$C$71)*parametros_recargas!E$111</f>
        <v>24.1877664445</v>
      </c>
      <c r="E190" s="27" t="n">
        <f aca="false">SUMPRODUCT(sobrestock_sustitutos!$G$73:$G$73,--(sobrestock_sustitutos!$F$30:$F$30="Fábrica: cilindro vacío"),parametros_recargas!$C$55:$C$55)*parametros_recargas!F$109+SUMPRODUCT(sobrestock_sustitutos!$G$74:$G$76,--(sobrestock_sustitutos!$F$31:$F$33="Fábrica: cilindro vacío"),parametros_recargas!$C$56:$C$58)*parametros_recargas!F$110+SUMPRODUCT(sobrestock_sustitutos!$G$86:$G$89,--(sobrestock_sustitutos!$F$43:$F$46="Fábrica: cilindro vacío"),parametros_recargas!$C$68:$C$71)*parametros_recargas!F$111</f>
        <v>19.5995586275</v>
      </c>
      <c r="F190" s="27" t="n">
        <f aca="false">SUMPRODUCT(sobrestock_sustitutos!$G$73:$G$73,--(sobrestock_sustitutos!$F$30:$F$30="Fábrica: cilindro vacío"),parametros_recargas!$C$55:$C$55)*parametros_recargas!G$109+SUMPRODUCT(sobrestock_sustitutos!$G$74:$G$76,--(sobrestock_sustitutos!$F$31:$F$33="Fábrica: cilindro vacío"),parametros_recargas!$C$56:$C$58)*parametros_recargas!G$110+SUMPRODUCT(sobrestock_sustitutos!$G$86:$G$89,--(sobrestock_sustitutos!$F$43:$F$46="Fábrica: cilindro vacío"),parametros_recargas!$C$68:$C$71)*parametros_recargas!G$111</f>
        <v>21.191870353</v>
      </c>
      <c r="G190" s="27" t="n">
        <f aca="false">SUMPRODUCT(sobrestock_sustitutos!$G$73:$G$73,--(sobrestock_sustitutos!$F$30:$F$30="Fábrica: cilindro vacío"),parametros_recargas!$C$55:$C$55)*parametros_recargas!H$109+SUMPRODUCT(sobrestock_sustitutos!$G$74:$G$76,--(sobrestock_sustitutos!$F$31:$F$33="Fábrica: cilindro vacío"),parametros_recargas!$C$56:$C$58)*parametros_recargas!H$110+SUMPRODUCT(sobrestock_sustitutos!$G$86:$G$89,--(sobrestock_sustitutos!$F$43:$F$46="Fábrica: cilindro vacío"),parametros_recargas!$C$68:$C$71)*parametros_recargas!H$111</f>
        <v>21.191870353</v>
      </c>
      <c r="H190" s="27" t="n">
        <f aca="false">SUMPRODUCT(sobrestock_sustitutos!$G$73:$G$73,--(sobrestock_sustitutos!$F$30:$F$30="Fábrica: cilindro vacío"),parametros_recargas!$C$55:$C$55)*parametros_recargas!I$109+SUMPRODUCT(sobrestock_sustitutos!$G$74:$G$76,--(sobrestock_sustitutos!$F$31:$F$33="Fábrica: cilindro vacío"),parametros_recargas!$C$56:$C$58)*parametros_recargas!I$110+SUMPRODUCT(sobrestock_sustitutos!$G$86:$G$89,--(sobrestock_sustitutos!$F$43:$F$46="Fábrica: cilindro vacío"),parametros_recargas!$C$68:$C$71)*parametros_recargas!I$111</f>
        <v>20.133870353</v>
      </c>
      <c r="I190" s="27" t="n">
        <f aca="false">SUMPRODUCT(sobrestock_sustitutos!$G$73:$G$73,--(sobrestock_sustitutos!$F$30:$F$30="Fábrica: cilindro vacío"),parametros_recargas!$C$55:$C$55)*parametros_recargas!J$109+SUMPRODUCT(sobrestock_sustitutos!$G$74:$G$76,--(sobrestock_sustitutos!$F$31:$F$33="Fábrica: cilindro vacío"),parametros_recargas!$C$56:$C$58)*parametros_recargas!J$110+SUMPRODUCT(sobrestock_sustitutos!$G$86:$G$89,--(sobrestock_sustitutos!$F$43:$F$46="Fábrica: cilindro vacío"),parametros_recargas!$C$68:$C$71)*parametros_recargas!J$111</f>
        <v>18.719662536</v>
      </c>
      <c r="J190" s="27" t="n">
        <f aca="false">SUMPRODUCT(sobrestock_sustitutos!$G$73:$G$73,--(sobrestock_sustitutos!$F$30:$F$30="Fábrica: cilindro vacío"),parametros_recargas!$C$55:$C$55)*parametros_recargas!K$109+SUMPRODUCT(sobrestock_sustitutos!$G$74:$G$76,--(sobrestock_sustitutos!$F$31:$F$33="Fábrica: cilindro vacío"),parametros_recargas!$C$56:$C$58)*parametros_recargas!K$110+SUMPRODUCT(sobrestock_sustitutos!$G$86:$G$89,--(sobrestock_sustitutos!$F$43:$F$46="Fábrica: cilindro vacío"),parametros_recargas!$C$68:$C$71)*parametros_recargas!K$111</f>
        <v>20.133870353</v>
      </c>
      <c r="K190" s="27" t="n">
        <f aca="false">SUMPRODUCT(sobrestock_sustitutos!$G$73:$G$73,--(sobrestock_sustitutos!$F$30:$F$30="Fábrica: cilindro vacío"),parametros_recargas!$C$55:$C$55)*parametros_recargas!L$109+SUMPRODUCT(sobrestock_sustitutos!$G$74:$G$76,--(sobrestock_sustitutos!$F$31:$F$33="Fábrica: cilindro vacío"),parametros_recargas!$C$56:$C$58)*parametros_recargas!L$110+SUMPRODUCT(sobrestock_sustitutos!$G$86:$G$89,--(sobrestock_sustitutos!$F$43:$F$46="Fábrica: cilindro vacío"),parametros_recargas!$C$68:$C$71)*parametros_recargas!L$111</f>
        <v>20.133870353</v>
      </c>
      <c r="L190" s="27" t="n">
        <f aca="false">SUMPRODUCT(sobrestock_sustitutos!$G$73:$G$73,--(sobrestock_sustitutos!$F$30:$F$30="Fábrica: cilindro vacío"),parametros_recargas!$C$55:$C$55)*parametros_recargas!M$109+SUMPRODUCT(sobrestock_sustitutos!$G$74:$G$76,--(sobrestock_sustitutos!$F$31:$F$33="Fábrica: cilindro vacío"),parametros_recargas!$C$56:$C$58)*parametros_recargas!M$110+SUMPRODUCT(sobrestock_sustitutos!$G$86:$G$89,--(sobrestock_sustitutos!$F$43:$F$46="Fábrica: cilindro vacío"),parametros_recargas!$C$68:$C$71)*parametros_recargas!M$111</f>
        <v>19.9557664445</v>
      </c>
      <c r="M190" s="27" t="n">
        <f aca="false">SUMPRODUCT(sobrestock_sustitutos!$G$73:$G$73,--(sobrestock_sustitutos!$F$30:$F$30="Fábrica: cilindro vacío"),parametros_recargas!$C$55:$C$55)*parametros_recargas!N$109+SUMPRODUCT(sobrestock_sustitutos!$G$74:$G$76,--(sobrestock_sustitutos!$F$31:$F$33="Fábrica: cilindro vacío"),parametros_recargas!$C$56:$C$58)*parametros_recargas!N$110+SUMPRODUCT(sobrestock_sustitutos!$G$86:$G$89,--(sobrestock_sustitutos!$F$43:$F$46="Fábrica: cilindro vacío"),parametros_recargas!$C$68:$C$71)*parametros_recargas!N$111</f>
        <v>18.5415586275</v>
      </c>
      <c r="N190" s="27" t="n">
        <f aca="false">SUMPRODUCT(sobrestock_sustitutos!$G$73:$G$73,--(sobrestock_sustitutos!$F$30:$F$30="Fábrica: cilindro vacío"),parametros_recargas!$C$55:$C$55)*parametros_recargas!O$109+SUMPRODUCT(sobrestock_sustitutos!$G$74:$G$76,--(sobrestock_sustitutos!$F$31:$F$33="Fábrica: cilindro vacío"),parametros_recargas!$C$56:$C$58)*parametros_recargas!O$110+SUMPRODUCT(sobrestock_sustitutos!$G$86:$G$89,--(sobrestock_sustitutos!$F$43:$F$46="Fábrica: cilindro vacío"),parametros_recargas!$C$68:$C$71)*parametros_recargas!O$111</f>
        <v>17.305454719</v>
      </c>
      <c r="O190" s="27" t="n">
        <f aca="false">SUMPRODUCT(sobrestock_sustitutos!$G$73:$G$73,--(sobrestock_sustitutos!$F$30:$F$30="Fábrica: cilindro vacío"),parametros_recargas!$C$55:$C$55)*parametros_recargas!P$109+SUMPRODUCT(sobrestock_sustitutos!$G$74:$G$76,--(sobrestock_sustitutos!$F$31:$F$33="Fábrica: cilindro vacío"),parametros_recargas!$C$56:$C$58)*parametros_recargas!P$110+SUMPRODUCT(sobrestock_sustitutos!$G$86:$G$89,--(sobrestock_sustitutos!$F$43:$F$46="Fábrica: cilindro vacío"),parametros_recargas!$C$68:$C$71)*parametros_recargas!P$111</f>
        <v>26.125662536</v>
      </c>
      <c r="P190" s="12" t="n">
        <f aca="false">SUM(D190:O190)</f>
        <v>247.2207817</v>
      </c>
    </row>
    <row r="193" customFormat="false" ht="15" hidden="false" customHeight="false" outlineLevel="0" collapsed="false">
      <c r="A193" s="28" t="n">
        <v>2032</v>
      </c>
      <c r="B193" s="3" t="s">
        <v>383</v>
      </c>
      <c r="C193" s="3" t="s">
        <v>384</v>
      </c>
      <c r="D193" s="3" t="s">
        <v>64</v>
      </c>
      <c r="E193" s="3" t="s">
        <v>65</v>
      </c>
      <c r="F193" s="3" t="s">
        <v>66</v>
      </c>
      <c r="G193" s="3" t="s">
        <v>67</v>
      </c>
      <c r="H193" s="3" t="s">
        <v>68</v>
      </c>
      <c r="I193" s="3" t="s">
        <v>69</v>
      </c>
      <c r="J193" s="3" t="s">
        <v>70</v>
      </c>
      <c r="K193" s="3" t="s">
        <v>71</v>
      </c>
      <c r="L193" s="3" t="s">
        <v>72</v>
      </c>
      <c r="M193" s="3" t="s">
        <v>73</v>
      </c>
      <c r="N193" s="3" t="s">
        <v>74</v>
      </c>
      <c r="O193" s="3" t="s">
        <v>75</v>
      </c>
      <c r="P193" s="3" t="s">
        <v>132</v>
      </c>
    </row>
    <row r="194" customFormat="false" ht="15" hidden="false" customHeight="false" outlineLevel="0" collapsed="false">
      <c r="A194" s="6" t="str">
        <f aca="false">parametros_recargas!A55</f>
        <v>ABC 1 kg</v>
      </c>
      <c r="B194" s="6" t="str">
        <f aca="false">parametros_recargas!B55</f>
        <v>ABC</v>
      </c>
      <c r="C194" s="14" t="n">
        <f aca="false">parametros_recargas!C55</f>
        <v>1</v>
      </c>
      <c r="D194" s="26" t="n">
        <f aca="false">datos_base!$H$2*parametros_recargas!E$55+sobrestock_sustitutos!$G$51/12</f>
        <v>9812.37186368829</v>
      </c>
      <c r="E194" s="26" t="n">
        <f aca="false">datos_base!$H$2*parametros_recargas!F$55+sobrestock_sustitutos!$G$51/12</f>
        <v>7815.16554097102</v>
      </c>
      <c r="F194" s="26" t="n">
        <f aca="false">datos_base!$H$2*parametros_recargas!G$55+sobrestock_sustitutos!$G$51/12</f>
        <v>5821.91144888277</v>
      </c>
      <c r="G194" s="26" t="n">
        <f aca="false">datos_base!$H$2*parametros_recargas!H$55+sobrestock_sustitutos!$G$51/12</f>
        <v>5821.91144888277</v>
      </c>
      <c r="H194" s="26" t="n">
        <f aca="false">datos_base!$H$2*parametros_recargas!I$55+sobrestock_sustitutos!$G$51/12</f>
        <v>5825.86367951179</v>
      </c>
      <c r="I194" s="26" t="n">
        <f aca="false">datos_base!$H$2*parametros_recargas!J$55+sobrestock_sustitutos!$G$51/12</f>
        <v>5825.86367951179</v>
      </c>
      <c r="J194" s="26" t="n">
        <f aca="false">datos_base!$H$2*parametros_recargas!K$55+sobrestock_sustitutos!$G$51/12</f>
        <v>5819.0278906336</v>
      </c>
      <c r="K194" s="26" t="n">
        <f aca="false">datos_base!$H$2*parametros_recargas!L$55+sobrestock_sustitutos!$G$51/12</f>
        <v>5825.86367951179</v>
      </c>
      <c r="L194" s="26" t="n">
        <f aca="false">datos_base!$H$2*parametros_recargas!M$55+sobrestock_sustitutos!$G$51/12</f>
        <v>5825.32934332187</v>
      </c>
      <c r="M194" s="26" t="n">
        <f aca="false">datos_base!$H$2*parametros_recargas!N$55+sobrestock_sustitutos!$G$51/12</f>
        <v>5825.32934332187</v>
      </c>
      <c r="N194" s="26" t="n">
        <f aca="false">datos_base!$H$2*parametros_recargas!O$55+sobrestock_sustitutos!$G$51/12</f>
        <v>7818.58343541011</v>
      </c>
      <c r="O194" s="26" t="n">
        <f aca="false">datos_base!$H$2*parametros_recargas!P$55+sobrestock_sustitutos!$G$51/12</f>
        <v>9815.78975812738</v>
      </c>
      <c r="P194" s="12" t="n">
        <f aca="false">SUM(D194:O194)</f>
        <v>81853.011111775</v>
      </c>
    </row>
    <row r="195" customFormat="false" ht="15" hidden="false" customHeight="false" outlineLevel="0" collapsed="false">
      <c r="A195" s="6" t="str">
        <f aca="false">parametros_recargas!A56</f>
        <v>ABC 2,5 kg</v>
      </c>
      <c r="B195" s="6" t="str">
        <f aca="false">parametros_recargas!B56</f>
        <v>ABC</v>
      </c>
      <c r="C195" s="14" t="n">
        <f aca="false">parametros_recargas!C56</f>
        <v>1</v>
      </c>
      <c r="D195" s="26" t="n">
        <f aca="false">datos_base!$H$3*parametros_recargas!E$56+sobrestock_sustitutos!$G$52/12</f>
        <v>433.990871891507</v>
      </c>
      <c r="E195" s="26" t="n">
        <f aca="false">datos_base!$H$3*parametros_recargas!F$56+sobrestock_sustitutos!$G$52/12</f>
        <v>433.990871891507</v>
      </c>
      <c r="F195" s="26" t="n">
        <f aca="false">datos_base!$H$3*parametros_recargas!G$56+sobrestock_sustitutos!$G$52/12</f>
        <v>592.73540052944</v>
      </c>
      <c r="G195" s="26" t="n">
        <f aca="false">datos_base!$H$3*parametros_recargas!H$56+sobrestock_sustitutos!$G$52/12</f>
        <v>689.03787239706</v>
      </c>
      <c r="H195" s="26" t="n">
        <f aca="false">datos_base!$H$3*parametros_recargas!I$56+sobrestock_sustitutos!$G$52/12</f>
        <v>745.142179627587</v>
      </c>
      <c r="I195" s="26" t="n">
        <f aca="false">datos_base!$H$3*parametros_recargas!J$56+sobrestock_sustitutos!$G$52/12</f>
        <v>736.810431315271</v>
      </c>
      <c r="J195" s="26" t="n">
        <f aca="false">datos_base!$H$3*parametros_recargas!K$56+sobrestock_sustitutos!$G$52/12</f>
        <v>534.939230406299</v>
      </c>
      <c r="K195" s="26" t="n">
        <f aca="false">datos_base!$H$3*parametros_recargas!L$56+sobrestock_sustitutos!$G$52/12</f>
        <v>625.838461595548</v>
      </c>
      <c r="L195" s="26" t="n">
        <f aca="false">datos_base!$H$3*parametros_recargas!M$56+sobrestock_sustitutos!$G$52/12</f>
        <v>627.182892734988</v>
      </c>
      <c r="M195" s="26" t="n">
        <f aca="false">datos_base!$H$3*parametros_recargas!N$56+sobrestock_sustitutos!$G$52/12</f>
        <v>627.182892734988</v>
      </c>
      <c r="N195" s="26" t="n">
        <f aca="false">datos_base!$H$3*parametros_recargas!O$56+sobrestock_sustitutos!$G$52/12</f>
        <v>571.07858550446</v>
      </c>
      <c r="O195" s="26" t="n">
        <f aca="false">datos_base!$H$3*parametros_recargas!P$56+sobrestock_sustitutos!$G$52/12</f>
        <v>579.410333816777</v>
      </c>
      <c r="P195" s="12" t="n">
        <f aca="false">SUM(D195:O195)</f>
        <v>7197.34002444543</v>
      </c>
    </row>
    <row r="196" customFormat="false" ht="15" hidden="false" customHeight="false" outlineLevel="0" collapsed="false">
      <c r="A196" s="6" t="str">
        <f aca="false">parametros_recargas!A57</f>
        <v>ABC 5 kg</v>
      </c>
      <c r="B196" s="6" t="str">
        <f aca="false">parametros_recargas!B57</f>
        <v>ABC</v>
      </c>
      <c r="C196" s="14" t="n">
        <f aca="false">parametros_recargas!C57</f>
        <v>1</v>
      </c>
      <c r="D196" s="26" t="n">
        <f aca="false">datos_base!$H$4*parametros_recargas!E$57+sobrestock_sustitutos!$G$53/12</f>
        <v>2960.71010188177</v>
      </c>
      <c r="E196" s="26" t="n">
        <f aca="false">datos_base!$H$4*parametros_recargas!F$57+sobrestock_sustitutos!$G$53/12</f>
        <v>2888.54409731997</v>
      </c>
      <c r="F196" s="26" t="n">
        <f aca="false">datos_base!$H$4*parametros_recargas!G$57+sobrestock_sustitutos!$G$53/12</f>
        <v>3616.81495520248</v>
      </c>
      <c r="G196" s="26" t="n">
        <f aca="false">datos_base!$H$4*parametros_recargas!H$57+sobrestock_sustitutos!$G$53/12</f>
        <v>4399.66781090718</v>
      </c>
      <c r="H196" s="26" t="n">
        <f aca="false">datos_base!$H$4*parametros_recargas!I$57+sobrestock_sustitutos!$G$53/12</f>
        <v>4415.83188287001</v>
      </c>
      <c r="I196" s="26" t="n">
        <f aca="false">datos_base!$H$4*parametros_recargas!J$57+sobrestock_sustitutos!$G$53/12</f>
        <v>4360.58928446449</v>
      </c>
      <c r="J196" s="26" t="n">
        <f aca="false">datos_base!$H$4*parametros_recargas!K$57+sobrestock_sustitutos!$G$53/12</f>
        <v>3529.66047462317</v>
      </c>
      <c r="K196" s="26" t="n">
        <f aca="false">datos_base!$H$4*parametros_recargas!L$57+sobrestock_sustitutos!$G$53/12</f>
        <v>3521.07389557748</v>
      </c>
      <c r="L196" s="26" t="n">
        <f aca="false">datos_base!$H$4*parametros_recargas!M$57+sobrestock_sustitutos!$G$53/12</f>
        <v>3570.02476579291</v>
      </c>
      <c r="M196" s="26" t="n">
        <f aca="false">datos_base!$H$4*parametros_recargas!N$57+sobrestock_sustitutos!$G$53/12</f>
        <v>3570.02476579291</v>
      </c>
      <c r="N196" s="26" t="n">
        <f aca="false">datos_base!$H$4*parametros_recargas!O$57+sobrestock_sustitutos!$G$53/12</f>
        <v>3626.02669839189</v>
      </c>
      <c r="O196" s="26" t="n">
        <f aca="false">datos_base!$H$4*parametros_recargas!P$57+sobrestock_sustitutos!$G$53/12</f>
        <v>3753.43530135921</v>
      </c>
      <c r="P196" s="12" t="n">
        <f aca="false">SUM(D196:O196)</f>
        <v>44212.4040341835</v>
      </c>
    </row>
    <row r="197" customFormat="false" ht="15" hidden="false" customHeight="false" outlineLevel="0" collapsed="false">
      <c r="A197" s="6" t="str">
        <f aca="false">parametros_recargas!A58</f>
        <v>ABC 10 kg</v>
      </c>
      <c r="B197" s="6" t="str">
        <f aca="false">parametros_recargas!B58</f>
        <v>ABC</v>
      </c>
      <c r="C197" s="14" t="n">
        <f aca="false">parametros_recargas!C58</f>
        <v>1</v>
      </c>
      <c r="D197" s="26" t="n">
        <f aca="false">datos_base!$H$5*parametros_recargas!E$58+sobrestock_sustitutos!$G$54/12</f>
        <v>170.094077451162</v>
      </c>
      <c r="E197" s="26" t="n">
        <f aca="false">datos_base!$H$5*parametros_recargas!F$58+sobrestock_sustitutos!$G$54/12</f>
        <v>170.094077451162</v>
      </c>
      <c r="F197" s="26" t="n">
        <f aca="false">datos_base!$H$5*parametros_recargas!G$58+sobrestock_sustitutos!$G$54/12</f>
        <v>218.126690380224</v>
      </c>
      <c r="G197" s="26" t="n">
        <f aca="false">datos_base!$H$5*parametros_recargas!H$58+sobrestock_sustitutos!$G$54/12</f>
        <v>265.048481802083</v>
      </c>
      <c r="H197" s="26" t="n">
        <f aca="false">datos_base!$H$5*parametros_recargas!I$58+sobrestock_sustitutos!$G$54/12</f>
        <v>267.49922106096</v>
      </c>
      <c r="I197" s="26" t="n">
        <f aca="false">datos_base!$H$5*parametros_recargas!J$58+sobrestock_sustitutos!$G$54/12</f>
        <v>259.860368800986</v>
      </c>
      <c r="J197" s="26" t="n">
        <f aca="false">datos_base!$H$5*parametros_recargas!K$58+sobrestock_sustitutos!$G$54/12</f>
        <v>204.887631607223</v>
      </c>
      <c r="K197" s="26" t="n">
        <f aca="false">datos_base!$H$5*parametros_recargas!L$58+sobrestock_sustitutos!$G$54/12</f>
        <v>206.639642870828</v>
      </c>
      <c r="L197" s="26" t="n">
        <f aca="false">datos_base!$H$5*parametros_recargas!M$58+sobrestock_sustitutos!$G$54/12</f>
        <v>214.278495130802</v>
      </c>
      <c r="M197" s="26" t="n">
        <f aca="false">datos_base!$H$5*parametros_recargas!N$58+sobrestock_sustitutos!$G$54/12</f>
        <v>214.278495130802</v>
      </c>
      <c r="N197" s="26" t="n">
        <f aca="false">datos_base!$H$5*parametros_recargas!O$58+sobrestock_sustitutos!$G$54/12</f>
        <v>211.827755871925</v>
      </c>
      <c r="O197" s="26" t="n">
        <f aca="false">datos_base!$H$5*parametros_recargas!P$58+sobrestock_sustitutos!$G$54/12</f>
        <v>219.466608131899</v>
      </c>
      <c r="P197" s="12" t="n">
        <f aca="false">SUM(D197:O197)</f>
        <v>2622.10154569006</v>
      </c>
    </row>
    <row r="198" customFormat="false" ht="15" hidden="false" customHeight="false" outlineLevel="0" collapsed="false">
      <c r="A198" s="6" t="str">
        <f aca="false">parametros_recargas!A59</f>
        <v>Agua 10 l</v>
      </c>
      <c r="B198" s="6" t="str">
        <f aca="false">parametros_recargas!B59</f>
        <v>Agua</v>
      </c>
      <c r="C198" s="14" t="n">
        <f aca="false">parametros_recargas!C59</f>
        <v>1</v>
      </c>
      <c r="D198" s="26" t="n">
        <f aca="false">datos_base!$H$6*parametros_recargas!E$59+sobrestock_sustitutos!$G$55/12</f>
        <v>247.386010652727</v>
      </c>
      <c r="E198" s="26" t="n">
        <f aca="false">datos_base!$H$6*parametros_recargas!F$59+sobrestock_sustitutos!$G$55/12</f>
        <v>247.386010652727</v>
      </c>
      <c r="F198" s="26" t="n">
        <f aca="false">datos_base!$H$6*parametros_recargas!G$59+sobrestock_sustitutos!$G$55/12</f>
        <v>304.350334430101</v>
      </c>
      <c r="G198" s="26" t="n">
        <f aca="false">datos_base!$H$6*parametros_recargas!H$59+sobrestock_sustitutos!$G$55/12</f>
        <v>364.405488869121</v>
      </c>
      <c r="H198" s="26" t="n">
        <f aca="false">datos_base!$H$6*parametros_recargas!I$59+sobrestock_sustitutos!$G$55/12</f>
        <v>366.657982961662</v>
      </c>
      <c r="I198" s="26" t="n">
        <f aca="false">datos_base!$H$6*parametros_recargas!J$59+sobrestock_sustitutos!$G$55/12</f>
        <v>356.054388886394</v>
      </c>
      <c r="J198" s="26" t="n">
        <f aca="false">datos_base!$H$6*parametros_recargas!K$59+sobrestock_sustitutos!$G$55/12</f>
        <v>290.194472781888</v>
      </c>
      <c r="K198" s="26" t="n">
        <f aca="false">datos_base!$H$6*parametros_recargas!L$59+sobrestock_sustitutos!$G$55/12</f>
        <v>290.738965126293</v>
      </c>
      <c r="L198" s="26" t="n">
        <f aca="false">datos_base!$H$6*parametros_recargas!M$59+sobrestock_sustitutos!$G$55/12</f>
        <v>300.677378611493</v>
      </c>
      <c r="M198" s="26" t="n">
        <f aca="false">datos_base!$H$6*parametros_recargas!N$59+sobrestock_sustitutos!$G$55/12</f>
        <v>300.677378611493</v>
      </c>
      <c r="N198" s="26" t="n">
        <f aca="false">datos_base!$H$6*parametros_recargas!O$59+sobrestock_sustitutos!$G$55/12</f>
        <v>298.424884518953</v>
      </c>
      <c r="O198" s="26" t="n">
        <f aca="false">datos_base!$H$6*parametros_recargas!P$59+sobrestock_sustitutos!$G$55/12</f>
        <v>309.028478594221</v>
      </c>
      <c r="P198" s="12" t="n">
        <f aca="false">SUM(D198:O198)</f>
        <v>3675.98177469707</v>
      </c>
    </row>
    <row r="199" customFormat="false" ht="15" hidden="false" customHeight="false" outlineLevel="0" collapsed="false">
      <c r="A199" s="6" t="str">
        <f aca="false">parametros_recargas!A60</f>
        <v>AFFF 10 l</v>
      </c>
      <c r="B199" s="6" t="str">
        <f aca="false">parametros_recargas!B60</f>
        <v>AFFF</v>
      </c>
      <c r="C199" s="14" t="n">
        <f aca="false">parametros_recargas!C60</f>
        <v>1</v>
      </c>
      <c r="D199" s="26" t="n">
        <f aca="false">datos_base!$H$7*parametros_recargas!E$60+sobrestock_sustitutos!$G$56/12</f>
        <v>55.8015867188525</v>
      </c>
      <c r="E199" s="26" t="n">
        <f aca="false">datos_base!$H$7*parametros_recargas!F$60+sobrestock_sustitutos!$G$56/12</f>
        <v>55.8015867188525</v>
      </c>
      <c r="F199" s="26" t="n">
        <f aca="false">datos_base!$H$7*parametros_recargas!G$60+sobrestock_sustitutos!$G$56/12</f>
        <v>55.8015867188525</v>
      </c>
      <c r="G199" s="26" t="n">
        <f aca="false">datos_base!$H$7*parametros_recargas!H$60+sobrestock_sustitutos!$G$56/12</f>
        <v>55.8015867188525</v>
      </c>
      <c r="H199" s="26" t="n">
        <f aca="false">datos_base!$H$7*parametros_recargas!I$60+sobrestock_sustitutos!$G$56/12</f>
        <v>55.8015867188525</v>
      </c>
      <c r="I199" s="26" t="n">
        <f aca="false">datos_base!$H$7*parametros_recargas!J$60+sobrestock_sustitutos!$G$56/12</f>
        <v>55.8015867188525</v>
      </c>
      <c r="J199" s="26" t="n">
        <f aca="false">datos_base!$H$7*parametros_recargas!K$60+sobrestock_sustitutos!$G$56/12</f>
        <v>55.8015867188525</v>
      </c>
      <c r="K199" s="26" t="n">
        <f aca="false">datos_base!$H$7*parametros_recargas!L$60+sobrestock_sustitutos!$G$56/12</f>
        <v>55.8015867188525</v>
      </c>
      <c r="L199" s="26" t="n">
        <f aca="false">datos_base!$H$7*parametros_recargas!M$60+sobrestock_sustitutos!$G$56/12</f>
        <v>55.8015867188525</v>
      </c>
      <c r="M199" s="26" t="n">
        <f aca="false">datos_base!$H$7*parametros_recargas!N$60+sobrestock_sustitutos!$G$56/12</f>
        <v>55.8015867188525</v>
      </c>
      <c r="N199" s="26" t="n">
        <f aca="false">datos_base!$H$7*parametros_recargas!O$60+sobrestock_sustitutos!$G$56/12</f>
        <v>55.8015867188525</v>
      </c>
      <c r="O199" s="26" t="n">
        <f aca="false">datos_base!$H$7*parametros_recargas!P$60+sobrestock_sustitutos!$G$56/12</f>
        <v>55.8015867188525</v>
      </c>
      <c r="P199" s="12" t="n">
        <f aca="false">SUM(D199:O199)</f>
        <v>669.61904062623</v>
      </c>
    </row>
    <row r="200" customFormat="false" ht="15" hidden="false" customHeight="false" outlineLevel="0" collapsed="false">
      <c r="A200" s="6" t="str">
        <f aca="false">parametros_recargas!A61</f>
        <v>AFFF 50 l s/ruedas</v>
      </c>
      <c r="B200" s="6" t="str">
        <f aca="false">parametros_recargas!B61</f>
        <v>AFFF</v>
      </c>
      <c r="C200" s="14" t="n">
        <f aca="false">parametros_recargas!C61</f>
        <v>6.360853875</v>
      </c>
      <c r="D200" s="26" t="n">
        <f aca="false">datos_base!$H$8*parametros_recargas!E$61+sobrestock_sustitutos!$G$57/12</f>
        <v>29.4024366319664</v>
      </c>
      <c r="E200" s="26" t="n">
        <f aca="false">datos_base!$H$8*parametros_recargas!F$61+sobrestock_sustitutos!$G$57/12</f>
        <v>29.4024366319664</v>
      </c>
      <c r="F200" s="26" t="n">
        <f aca="false">datos_base!$H$8*parametros_recargas!G$61+sobrestock_sustitutos!$G$57/12</f>
        <v>29.4024366319664</v>
      </c>
      <c r="G200" s="26" t="n">
        <f aca="false">datos_base!$H$8*parametros_recargas!H$61+sobrestock_sustitutos!$G$57/12</f>
        <v>29.4024366319664</v>
      </c>
      <c r="H200" s="26" t="n">
        <f aca="false">datos_base!$H$8*parametros_recargas!I$61+sobrestock_sustitutos!$G$57/12</f>
        <v>29.4024366319664</v>
      </c>
      <c r="I200" s="26" t="n">
        <f aca="false">datos_base!$H$8*parametros_recargas!J$61+sobrestock_sustitutos!$G$57/12</f>
        <v>29.4024366319664</v>
      </c>
      <c r="J200" s="26" t="n">
        <f aca="false">datos_base!$H$8*parametros_recargas!K$61+sobrestock_sustitutos!$G$57/12</f>
        <v>29.4024366319664</v>
      </c>
      <c r="K200" s="26" t="n">
        <f aca="false">datos_base!$H$8*parametros_recargas!L$61+sobrestock_sustitutos!$G$57/12</f>
        <v>29.4024366319664</v>
      </c>
      <c r="L200" s="26" t="n">
        <f aca="false">datos_base!$H$8*parametros_recargas!M$61+sobrestock_sustitutos!$G$57/12</f>
        <v>29.4024366319664</v>
      </c>
      <c r="M200" s="26" t="n">
        <f aca="false">datos_base!$H$8*parametros_recargas!N$61+sobrestock_sustitutos!$G$57/12</f>
        <v>29.4024366319664</v>
      </c>
      <c r="N200" s="26" t="n">
        <f aca="false">datos_base!$H$8*parametros_recargas!O$61+sobrestock_sustitutos!$G$57/12</f>
        <v>29.4024366319664</v>
      </c>
      <c r="O200" s="26" t="n">
        <f aca="false">datos_base!$H$8*parametros_recargas!P$61+sobrestock_sustitutos!$G$57/12</f>
        <v>29.4024366319664</v>
      </c>
      <c r="P200" s="12" t="n">
        <f aca="false">SUM(D200:O200)</f>
        <v>352.829239583597</v>
      </c>
    </row>
    <row r="201" customFormat="false" ht="15" hidden="false" customHeight="false" outlineLevel="0" collapsed="false">
      <c r="A201" s="6" t="str">
        <f aca="false">parametros_recargas!A62</f>
        <v>BC 5 kg</v>
      </c>
      <c r="B201" s="6" t="str">
        <f aca="false">parametros_recargas!B62</f>
        <v>BC</v>
      </c>
      <c r="C201" s="14" t="n">
        <f aca="false">parametros_recargas!C62</f>
        <v>1</v>
      </c>
      <c r="D201" s="26" t="n">
        <f aca="false">datos_base!$H$9*parametros_recargas!E$62+sobrestock_sustitutos!$G$58/12</f>
        <v>17.2942810240556</v>
      </c>
      <c r="E201" s="26" t="n">
        <f aca="false">datos_base!$H$9*parametros_recargas!F$62+sobrestock_sustitutos!$G$58/12</f>
        <v>17.2942810240556</v>
      </c>
      <c r="F201" s="26" t="n">
        <f aca="false">datos_base!$H$9*parametros_recargas!G$62+sobrestock_sustitutos!$G$58/12</f>
        <v>17.2942810240556</v>
      </c>
      <c r="G201" s="26" t="n">
        <f aca="false">datos_base!$H$9*parametros_recargas!H$62+sobrestock_sustitutos!$G$58/12</f>
        <v>17.2942810240556</v>
      </c>
      <c r="H201" s="26" t="n">
        <f aca="false">datos_base!$H$9*parametros_recargas!I$62+sobrestock_sustitutos!$G$58/12</f>
        <v>17.2942810240556</v>
      </c>
      <c r="I201" s="26" t="n">
        <f aca="false">datos_base!$H$9*parametros_recargas!J$62+sobrestock_sustitutos!$G$58/12</f>
        <v>17.2942810240556</v>
      </c>
      <c r="J201" s="26" t="n">
        <f aca="false">datos_base!$H$9*parametros_recargas!K$62+sobrestock_sustitutos!$G$58/12</f>
        <v>17.2942810240556</v>
      </c>
      <c r="K201" s="26" t="n">
        <f aca="false">datos_base!$H$9*parametros_recargas!L$62+sobrestock_sustitutos!$G$58/12</f>
        <v>17.2942810240556</v>
      </c>
      <c r="L201" s="26" t="n">
        <f aca="false">datos_base!$H$9*parametros_recargas!M$62+sobrestock_sustitutos!$G$58/12</f>
        <v>17.2942810240556</v>
      </c>
      <c r="M201" s="26" t="n">
        <f aca="false">datos_base!$H$9*parametros_recargas!N$62+sobrestock_sustitutos!$G$58/12</f>
        <v>17.2942810240556</v>
      </c>
      <c r="N201" s="26" t="n">
        <f aca="false">datos_base!$H$9*parametros_recargas!O$62+sobrestock_sustitutos!$G$58/12</f>
        <v>17.2942810240556</v>
      </c>
      <c r="O201" s="26" t="n">
        <f aca="false">datos_base!$H$9*parametros_recargas!P$62+sobrestock_sustitutos!$G$58/12</f>
        <v>17.2942810240556</v>
      </c>
      <c r="P201" s="12" t="n">
        <f aca="false">SUM(D201:O201)</f>
        <v>207.531372288667</v>
      </c>
    </row>
    <row r="202" customFormat="false" ht="15" hidden="false" customHeight="false" outlineLevel="0" collapsed="false">
      <c r="A202" s="6" t="str">
        <f aca="false">parametros_recargas!A63</f>
        <v>Sales K 6 l</v>
      </c>
      <c r="B202" s="6" t="str">
        <f aca="false">parametros_recargas!B63</f>
        <v>Sales K</v>
      </c>
      <c r="C202" s="14" t="n">
        <f aca="false">parametros_recargas!C63</f>
        <v>1</v>
      </c>
      <c r="D202" s="26" t="n">
        <f aca="false">datos_base!$H$10*parametros_recargas!E$63+sobrestock_sustitutos!$G$59/12</f>
        <v>125.19936675178</v>
      </c>
      <c r="E202" s="26" t="n">
        <f aca="false">datos_base!$H$10*parametros_recargas!F$63+sobrestock_sustitutos!$G$59/12</f>
        <v>125.19936675178</v>
      </c>
      <c r="F202" s="26" t="n">
        <f aca="false">datos_base!$H$10*parametros_recargas!G$63+sobrestock_sustitutos!$G$59/12</f>
        <v>150.533520925999</v>
      </c>
      <c r="G202" s="26" t="n">
        <f aca="false">datos_base!$H$10*parametros_recargas!H$63+sobrestock_sustitutos!$G$59/12</f>
        <v>170.052165592294</v>
      </c>
      <c r="H202" s="26" t="n">
        <f aca="false">datos_base!$H$10*parametros_recargas!I$63+sobrestock_sustitutos!$G$59/12</f>
        <v>174.279621694116</v>
      </c>
      <c r="I202" s="26" t="n">
        <f aca="false">datos_base!$H$10*parametros_recargas!J$63+sobrestock_sustitutos!$G$59/12</f>
        <v>170.743661830701</v>
      </c>
      <c r="J202" s="26" t="n">
        <f aca="false">datos_base!$H$10*parametros_recargas!K$63+sobrestock_sustitutos!$G$59/12</f>
        <v>140.208098326004</v>
      </c>
      <c r="K202" s="26" t="n">
        <f aca="false">datos_base!$H$10*parametros_recargas!L$63+sobrestock_sustitutos!$G$59/12</f>
        <v>146.101003894888</v>
      </c>
      <c r="L202" s="26" t="n">
        <f aca="false">datos_base!$H$10*parametros_recargas!M$63+sobrestock_sustitutos!$G$59/12</f>
        <v>149.636963758303</v>
      </c>
      <c r="M202" s="26" t="n">
        <f aca="false">datos_base!$H$10*parametros_recargas!N$63+sobrestock_sustitutos!$G$59/12</f>
        <v>149.636963758303</v>
      </c>
      <c r="N202" s="26" t="n">
        <f aca="false">datos_base!$H$10*parametros_recargas!O$63+sobrestock_sustitutos!$G$59/12</f>
        <v>145.409507656482</v>
      </c>
      <c r="O202" s="26" t="n">
        <f aca="false">datos_base!$H$10*parametros_recargas!P$63+sobrestock_sustitutos!$G$59/12</f>
        <v>148.945467519897</v>
      </c>
      <c r="P202" s="12" t="n">
        <f aca="false">SUM(D202:O202)</f>
        <v>1795.94570846055</v>
      </c>
    </row>
    <row r="203" customFormat="false" ht="15" hidden="false" customHeight="false" outlineLevel="0" collapsed="false">
      <c r="A203" s="6" t="str">
        <f aca="false">parametros_recargas!A64</f>
        <v>CO₂ 2 kg</v>
      </c>
      <c r="B203" s="6" t="str">
        <f aca="false">parametros_recargas!B64</f>
        <v>CO₂</v>
      </c>
      <c r="C203" s="14" t="n">
        <f aca="false">parametros_recargas!C64</f>
        <v>1</v>
      </c>
      <c r="D203" s="26" t="n">
        <f aca="false">datos_base!$H$11*parametros_recargas!E$64+sobrestock_sustitutos!$G$60/12</f>
        <v>617.257306239036</v>
      </c>
      <c r="E203" s="26" t="n">
        <f aca="false">datos_base!$H$11*parametros_recargas!F$64+sobrestock_sustitutos!$G$60/12</f>
        <v>617.257306239036</v>
      </c>
      <c r="F203" s="26" t="n">
        <f aca="false">datos_base!$H$11*parametros_recargas!G$64+sobrestock_sustitutos!$G$60/12</f>
        <v>827.163942514816</v>
      </c>
      <c r="G203" s="26" t="n">
        <f aca="false">datos_base!$H$11*parametros_recargas!H$64+sobrestock_sustitutos!$G$60/12</f>
        <v>1024.59268229487</v>
      </c>
      <c r="H203" s="26" t="n">
        <f aca="false">datos_base!$H$11*parametros_recargas!I$64+sobrestock_sustitutos!$G$60/12</f>
        <v>1028.70834511995</v>
      </c>
      <c r="I203" s="26" t="n">
        <f aca="false">datos_base!$H$11*parametros_recargas!J$64+sobrestock_sustitutos!$G$60/12</f>
        <v>1015.75814758812</v>
      </c>
      <c r="J203" s="26" t="n">
        <f aca="false">datos_base!$H$11*parametros_recargas!K$64+sobrestock_sustitutos!$G$60/12</f>
        <v>799.441866556672</v>
      </c>
      <c r="K203" s="26" t="n">
        <f aca="false">datos_base!$H$11*parametros_recargas!L$64+sobrestock_sustitutos!$G$60/12</f>
        <v>797.016976605595</v>
      </c>
      <c r="L203" s="26" t="n">
        <f aca="false">datos_base!$H$11*parametros_recargas!M$64+sobrestock_sustitutos!$G$60/12</f>
        <v>809.967174137421</v>
      </c>
      <c r="M203" s="26" t="n">
        <f aca="false">datos_base!$H$11*parametros_recargas!N$64+sobrestock_sustitutos!$G$60/12</f>
        <v>809.967174137421</v>
      </c>
      <c r="N203" s="26" t="n">
        <f aca="false">datos_base!$H$11*parametros_recargas!O$64+sobrestock_sustitutos!$G$60/12</f>
        <v>805.851511312341</v>
      </c>
      <c r="O203" s="26" t="n">
        <f aca="false">datos_base!$H$11*parametros_recargas!P$64+sobrestock_sustitutos!$G$60/12</f>
        <v>818.801708844167</v>
      </c>
      <c r="P203" s="12" t="n">
        <f aca="false">SUM(D203:O203)</f>
        <v>9971.78414158944</v>
      </c>
    </row>
    <row r="204" customFormat="false" ht="15" hidden="false" customHeight="false" outlineLevel="0" collapsed="false">
      <c r="A204" s="6" t="str">
        <f aca="false">parametros_recargas!A65</f>
        <v>CO₂ 5 kg</v>
      </c>
      <c r="B204" s="6" t="str">
        <f aca="false">parametros_recargas!B65</f>
        <v>CO₂</v>
      </c>
      <c r="C204" s="14" t="n">
        <f aca="false">parametros_recargas!C65</f>
        <v>1</v>
      </c>
      <c r="D204" s="26" t="n">
        <f aca="false">datos_base!$H$12*parametros_recargas!E$65+sobrestock_sustitutos!$G$61/12</f>
        <v>250.887357800227</v>
      </c>
      <c r="E204" s="26" t="n">
        <f aca="false">datos_base!$H$12*parametros_recargas!F$65+sobrestock_sustitutos!$G$61/12</f>
        <v>250.887357800227</v>
      </c>
      <c r="F204" s="26" t="n">
        <f aca="false">datos_base!$H$12*parametros_recargas!G$65+sobrestock_sustitutos!$G$61/12</f>
        <v>271.934390743304</v>
      </c>
      <c r="G204" s="26" t="n">
        <f aca="false">datos_base!$H$12*parametros_recargas!H$65+sobrestock_sustitutos!$G$61/12</f>
        <v>301.095073443806</v>
      </c>
      <c r="H204" s="26" t="n">
        <f aca="false">datos_base!$H$12*parametros_recargas!I$65+sobrestock_sustitutos!$G$61/12</f>
        <v>306.105861952195</v>
      </c>
      <c r="I204" s="26" t="n">
        <f aca="false">datos_base!$H$12*parametros_recargas!J$65+sobrestock_sustitutos!$G$61/12</f>
        <v>292.013230869181</v>
      </c>
      <c r="J204" s="26" t="n">
        <f aca="false">datos_base!$H$12*parametros_recargas!K$65+sobrestock_sustitutos!$G$61/12</f>
        <v>258.374406401307</v>
      </c>
      <c r="K204" s="26" t="n">
        <f aca="false">datos_base!$H$12*parametros_recargas!L$65+sobrestock_sustitutos!$G$61/12</f>
        <v>261.884355351478</v>
      </c>
      <c r="L204" s="26" t="n">
        <f aca="false">datos_base!$H$12*parametros_recargas!M$65+sobrestock_sustitutos!$G$61/12</f>
        <v>272.963220605489</v>
      </c>
      <c r="M204" s="26" t="n">
        <f aca="false">datos_base!$H$12*parametros_recargas!N$65+sobrestock_sustitutos!$G$61/12</f>
        <v>272.963220605489</v>
      </c>
      <c r="N204" s="26" t="n">
        <f aca="false">datos_base!$H$12*parametros_recargas!O$65+sobrestock_sustitutos!$G$61/12</f>
        <v>267.9524320971</v>
      </c>
      <c r="O204" s="26" t="n">
        <f aca="false">datos_base!$H$12*parametros_recargas!P$65+sobrestock_sustitutos!$G$61/12</f>
        <v>282.045063180114</v>
      </c>
      <c r="P204" s="12" t="n">
        <f aca="false">SUM(D204:O204)</f>
        <v>3289.10597084992</v>
      </c>
    </row>
    <row r="205" customFormat="false" ht="15" hidden="false" customHeight="false" outlineLevel="0" collapsed="false">
      <c r="A205" s="6" t="str">
        <f aca="false">parametros_recargas!A66</f>
        <v>HCFC/HFC 5 kg</v>
      </c>
      <c r="B205" s="6" t="str">
        <f aca="false">parametros_recargas!B66</f>
        <v>Halogenado</v>
      </c>
      <c r="C205" s="14" t="n">
        <f aca="false">parametros_recargas!C66</f>
        <v>1</v>
      </c>
      <c r="D205" s="26" t="n">
        <f aca="false">datos_base!$H$13*parametros_recargas!E$66+sobrestock_sustitutos!$G$62/12</f>
        <v>47.2632111549948</v>
      </c>
      <c r="E205" s="26" t="n">
        <f aca="false">datos_base!$H$13*parametros_recargas!F$66+sobrestock_sustitutos!$G$62/12</f>
        <v>47.2632111549948</v>
      </c>
      <c r="F205" s="26" t="n">
        <f aca="false">datos_base!$H$13*parametros_recargas!G$66+sobrestock_sustitutos!$G$62/12</f>
        <v>44.2447776713973</v>
      </c>
      <c r="G205" s="26" t="n">
        <f aca="false">datos_base!$H$13*parametros_recargas!H$66+sobrestock_sustitutos!$G$62/12</f>
        <v>44.2447776713973</v>
      </c>
      <c r="H205" s="26" t="n">
        <f aca="false">datos_base!$H$13*parametros_recargas!I$66+sobrestock_sustitutos!$G$62/12</f>
        <v>44.2447776713973</v>
      </c>
      <c r="I205" s="26" t="n">
        <f aca="false">datos_base!$H$13*parametros_recargas!J$66+sobrestock_sustitutos!$G$62/12</f>
        <v>41.2263441877998</v>
      </c>
      <c r="J205" s="26" t="n">
        <f aca="false">datos_base!$H$13*parametros_recargas!K$66+sobrestock_sustitutos!$G$62/12</f>
        <v>41.2263441877998</v>
      </c>
      <c r="K205" s="26" t="n">
        <f aca="false">datos_base!$H$13*parametros_recargas!L$66+sobrestock_sustitutos!$G$62/12</f>
        <v>41.2263441877998</v>
      </c>
      <c r="L205" s="26" t="n">
        <f aca="false">datos_base!$H$13*parametros_recargas!M$66+sobrestock_sustitutos!$G$62/12</f>
        <v>44.2447776713973</v>
      </c>
      <c r="M205" s="26" t="n">
        <f aca="false">datos_base!$H$13*parametros_recargas!N$66+sobrestock_sustitutos!$G$62/12</f>
        <v>44.2447776713973</v>
      </c>
      <c r="N205" s="26" t="n">
        <f aca="false">datos_base!$H$13*parametros_recargas!O$66+sobrestock_sustitutos!$G$62/12</f>
        <v>44.2447776713973</v>
      </c>
      <c r="O205" s="26" t="n">
        <f aca="false">datos_base!$H$13*parametros_recargas!P$66+sobrestock_sustitutos!$G$62/12</f>
        <v>47.2632111549948</v>
      </c>
      <c r="P205" s="12" t="n">
        <f aca="false">SUM(D205:O205)</f>
        <v>530.937332056768</v>
      </c>
    </row>
    <row r="206" customFormat="false" ht="15" hidden="false" customHeight="false" outlineLevel="0" collapsed="false">
      <c r="A206" s="6" t="str">
        <f aca="false">parametros_recargas!A67</f>
        <v>Clase D 9 l</v>
      </c>
      <c r="B206" s="6" t="str">
        <f aca="false">parametros_recargas!B67</f>
        <v>Clase D</v>
      </c>
      <c r="C206" s="14" t="n">
        <f aca="false">parametros_recargas!C67</f>
        <v>1</v>
      </c>
      <c r="D206" s="26" t="n">
        <f aca="false">datos_base!$H$14*parametros_recargas!E$67+sobrestock_sustitutos!$G$63/12</f>
        <v>15.3428507722605</v>
      </c>
      <c r="E206" s="26" t="n">
        <f aca="false">datos_base!$H$14*parametros_recargas!F$67+sobrestock_sustitutos!$G$63/12</f>
        <v>15.3428507722605</v>
      </c>
      <c r="F206" s="26" t="n">
        <f aca="false">datos_base!$H$14*parametros_recargas!G$67+sobrestock_sustitutos!$G$63/12</f>
        <v>15.3428507722605</v>
      </c>
      <c r="G206" s="26" t="n">
        <f aca="false">datos_base!$H$14*parametros_recargas!H$67+sobrestock_sustitutos!$G$63/12</f>
        <v>15.3428507722605</v>
      </c>
      <c r="H206" s="26" t="n">
        <f aca="false">datos_base!$H$14*parametros_recargas!I$67+sobrestock_sustitutos!$G$63/12</f>
        <v>15.3428507722605</v>
      </c>
      <c r="I206" s="26" t="n">
        <f aca="false">datos_base!$H$14*parametros_recargas!J$67+sobrestock_sustitutos!$G$63/12</f>
        <v>15.3428507722605</v>
      </c>
      <c r="J206" s="26" t="n">
        <f aca="false">datos_base!$H$14*parametros_recargas!K$67+sobrestock_sustitutos!$G$63/12</f>
        <v>15.3428507722605</v>
      </c>
      <c r="K206" s="26" t="n">
        <f aca="false">datos_base!$H$14*parametros_recargas!L$67+sobrestock_sustitutos!$G$63/12</f>
        <v>15.3428507722605</v>
      </c>
      <c r="L206" s="26" t="n">
        <f aca="false">datos_base!$H$14*parametros_recargas!M$67+sobrestock_sustitutos!$G$63/12</f>
        <v>15.3428507722605</v>
      </c>
      <c r="M206" s="26" t="n">
        <f aca="false">datos_base!$H$14*parametros_recargas!N$67+sobrestock_sustitutos!$G$63/12</f>
        <v>15.3428507722605</v>
      </c>
      <c r="N206" s="26" t="n">
        <f aca="false">datos_base!$H$14*parametros_recargas!O$67+sobrestock_sustitutos!$G$63/12</f>
        <v>15.3428507722605</v>
      </c>
      <c r="O206" s="26" t="n">
        <f aca="false">datos_base!$H$14*parametros_recargas!P$67+sobrestock_sustitutos!$G$63/12</f>
        <v>15.3428507722605</v>
      </c>
      <c r="P206" s="12" t="n">
        <f aca="false">SUM(D206:O206)</f>
        <v>184.114209267126</v>
      </c>
    </row>
    <row r="207" customFormat="false" ht="15" hidden="false" customHeight="false" outlineLevel="0" collapsed="false">
      <c r="A207" s="6" t="str">
        <f aca="false">parametros_recargas!A68</f>
        <v>ABC 25 kg s/ruedas</v>
      </c>
      <c r="B207" s="6" t="str">
        <f aca="false">parametros_recargas!B68</f>
        <v>ABC</v>
      </c>
      <c r="C207" s="14" t="n">
        <f aca="false">parametros_recargas!C68</f>
        <v>6.360853875</v>
      </c>
      <c r="D207" s="26" t="n">
        <f aca="false">datos_base!$H$15*parametros_recargas!E$68+sobrestock_sustitutos!$G$64/12</f>
        <v>33.0923097220555</v>
      </c>
      <c r="E207" s="26" t="n">
        <f aca="false">datos_base!$H$15*parametros_recargas!F$68+sobrestock_sustitutos!$G$64/12</f>
        <v>33.0923097220555</v>
      </c>
      <c r="F207" s="26" t="n">
        <f aca="false">datos_base!$H$15*parametros_recargas!G$68+sobrestock_sustitutos!$G$64/12</f>
        <v>36.8095833177921</v>
      </c>
      <c r="G207" s="26" t="n">
        <f aca="false">datos_base!$H$15*parametros_recargas!H$68+sobrestock_sustitutos!$G$64/12</f>
        <v>41.7384857699843</v>
      </c>
      <c r="H207" s="26" t="n">
        <f aca="false">datos_base!$H$15*parametros_recargas!I$68+sobrestock_sustitutos!$G$64/12</f>
        <v>41.9386214558833</v>
      </c>
      <c r="I207" s="26" t="n">
        <f aca="false">datos_base!$H$15*parametros_recargas!J$68+sobrestock_sustitutos!$G$64/12</f>
        <v>40.3101727845176</v>
      </c>
      <c r="J207" s="26" t="n">
        <f aca="false">datos_base!$H$15*parametros_recargas!K$68+sobrestock_sustitutos!$G$64/12</f>
        <v>34.8726568960219</v>
      </c>
      <c r="K207" s="26" t="n">
        <f aca="false">datos_base!$H$15*parametros_recargas!L$68+sobrestock_sustitutos!$G$64/12</f>
        <v>35.1645862033143</v>
      </c>
      <c r="L207" s="26" t="n">
        <f aca="false">datos_base!$H$15*parametros_recargas!M$68+sobrestock_sustitutos!$G$64/12</f>
        <v>36.79303487468</v>
      </c>
      <c r="M207" s="26" t="n">
        <f aca="false">datos_base!$H$15*parametros_recargas!N$68+sobrestock_sustitutos!$G$64/12</f>
        <v>36.79303487468</v>
      </c>
      <c r="N207" s="26" t="n">
        <f aca="false">datos_base!$H$15*parametros_recargas!O$68+sobrestock_sustitutos!$G$64/12</f>
        <v>36.592899188781</v>
      </c>
      <c r="O207" s="26" t="n">
        <f aca="false">datos_base!$H$15*parametros_recargas!P$68+sobrestock_sustitutos!$G$64/12</f>
        <v>38.2213478601467</v>
      </c>
      <c r="P207" s="12" t="n">
        <f aca="false">SUM(D207:O207)</f>
        <v>445.419042669912</v>
      </c>
    </row>
    <row r="208" customFormat="false" ht="15" hidden="false" customHeight="false" outlineLevel="0" collapsed="false">
      <c r="A208" s="6" t="str">
        <f aca="false">parametros_recargas!A69</f>
        <v>ABC 50 kg s/ruedas</v>
      </c>
      <c r="B208" s="6" t="str">
        <f aca="false">parametros_recargas!B69</f>
        <v>ABC</v>
      </c>
      <c r="C208" s="14" t="n">
        <f aca="false">parametros_recargas!C69</f>
        <v>6.360853875</v>
      </c>
      <c r="D208" s="26" t="n">
        <f aca="false">datos_base!$H$16*parametros_recargas!E$69+sobrestock_sustitutos!$G$65/12</f>
        <v>72.7865052839869</v>
      </c>
      <c r="E208" s="26" t="n">
        <f aca="false">datos_base!$H$16*parametros_recargas!F$69+sobrestock_sustitutos!$G$65/12</f>
        <v>72.7865052839869</v>
      </c>
      <c r="F208" s="26" t="n">
        <f aca="false">datos_base!$H$16*parametros_recargas!G$69+sobrestock_sustitutos!$G$65/12</f>
        <v>80.9644823390204</v>
      </c>
      <c r="G208" s="26" t="n">
        <f aca="false">datos_base!$H$16*parametros_recargas!H$69+sobrestock_sustitutos!$G$65/12</f>
        <v>91.807992832244</v>
      </c>
      <c r="H208" s="26" t="n">
        <f aca="false">datos_base!$H$16*parametros_recargas!I$69+sobrestock_sustitutos!$G$65/12</f>
        <v>92.2481778790744</v>
      </c>
      <c r="I208" s="26" t="n">
        <f aca="false">datos_base!$H$16*parametros_recargas!J$69+sobrestock_sustitutos!$G$65/12</f>
        <v>88.6656894675725</v>
      </c>
      <c r="J208" s="26" t="n">
        <f aca="false">datos_base!$H$16*parametros_recargas!K$69+sobrestock_sustitutos!$G$65/12</f>
        <v>76.7034239174474</v>
      </c>
      <c r="K208" s="26" t="n">
        <f aca="false">datos_base!$H$16*parametros_recargas!L$69+sobrestock_sustitutos!$G$65/12</f>
        <v>77.3454090478675</v>
      </c>
      <c r="L208" s="26" t="n">
        <f aca="false">datos_base!$H$16*parametros_recargas!M$69+sobrestock_sustitutos!$G$65/12</f>
        <v>80.9278974593694</v>
      </c>
      <c r="M208" s="26" t="n">
        <f aca="false">datos_base!$H$16*parametros_recargas!N$69+sobrestock_sustitutos!$G$65/12</f>
        <v>80.9278974593694</v>
      </c>
      <c r="N208" s="26" t="n">
        <f aca="false">datos_base!$H$16*parametros_recargas!O$69+sobrestock_sustitutos!$G$65/12</f>
        <v>80.487712412539</v>
      </c>
      <c r="O208" s="26" t="n">
        <f aca="false">datos_base!$H$16*parametros_recargas!P$69+sobrestock_sustitutos!$G$65/12</f>
        <v>84.0702008240409</v>
      </c>
      <c r="P208" s="12" t="n">
        <f aca="false">SUM(D208:O208)</f>
        <v>979.721894206519</v>
      </c>
    </row>
    <row r="209" customFormat="false" ht="15" hidden="false" customHeight="false" outlineLevel="0" collapsed="false">
      <c r="A209" s="6" t="str">
        <f aca="false">parametros_recargas!A70</f>
        <v>ABC 70 kg s/ruedas</v>
      </c>
      <c r="B209" s="6" t="str">
        <f aca="false">parametros_recargas!B70</f>
        <v>ABC</v>
      </c>
      <c r="C209" s="14" t="n">
        <f aca="false">parametros_recargas!C70</f>
        <v>6.360853875</v>
      </c>
      <c r="D209" s="26" t="n">
        <f aca="false">datos_base!$H$17*parametros_recargas!E$70+sobrestock_sustitutos!$G$66/12</f>
        <v>15.8943312745677</v>
      </c>
      <c r="E209" s="26" t="n">
        <f aca="false">datos_base!$H$17*parametros_recargas!F$70+sobrestock_sustitutos!$G$66/12</f>
        <v>15.8943312745677</v>
      </c>
      <c r="F209" s="26" t="n">
        <f aca="false">datos_base!$H$17*parametros_recargas!G$70+sobrestock_sustitutos!$G$66/12</f>
        <v>17.6785966665861</v>
      </c>
      <c r="G209" s="26" t="n">
        <f aca="false">datos_base!$H$17*parametros_recargas!H$70+sobrestock_sustitutos!$G$66/12</f>
        <v>20.0445162559571</v>
      </c>
      <c r="H209" s="26" t="n">
        <f aca="false">datos_base!$H$17*parametros_recargas!I$70+sobrestock_sustitutos!$G$66/12</f>
        <v>20.140513777212</v>
      </c>
      <c r="I209" s="26" t="n">
        <f aca="false">datos_base!$H$17*parametros_recargas!J$70+sobrestock_sustitutos!$G$66/12</f>
        <v>19.3588708268606</v>
      </c>
      <c r="J209" s="26" t="n">
        <f aca="false">datos_base!$H$17*parametros_recargas!K$70+sobrestock_sustitutos!$G$66/12</f>
        <v>16.7489605791079</v>
      </c>
      <c r="K209" s="26" t="n">
        <f aca="false">datos_base!$H$17*parametros_recargas!L$70+sobrestock_sustitutos!$G$66/12</f>
        <v>16.8889600057458</v>
      </c>
      <c r="L209" s="26" t="n">
        <f aca="false">datos_base!$H$17*parametros_recargas!M$70+sobrestock_sustitutos!$G$66/12</f>
        <v>17.6706029560971</v>
      </c>
      <c r="M209" s="26" t="n">
        <f aca="false">datos_base!$H$17*parametros_recargas!N$70+sobrestock_sustitutos!$G$66/12</f>
        <v>17.6706029560971</v>
      </c>
      <c r="N209" s="26" t="n">
        <f aca="false">datos_base!$H$17*parametros_recargas!O$70+sobrestock_sustitutos!$G$66/12</f>
        <v>17.5746054348422</v>
      </c>
      <c r="O209" s="26" t="n">
        <f aca="false">datos_base!$H$17*parametros_recargas!P$70+sobrestock_sustitutos!$G$66/12</f>
        <v>18.3562483851935</v>
      </c>
      <c r="P209" s="12" t="n">
        <f aca="false">SUM(D209:O209)</f>
        <v>213.921140392835</v>
      </c>
    </row>
    <row r="210" customFormat="false" ht="15" hidden="false" customHeight="false" outlineLevel="0" collapsed="false">
      <c r="A210" s="6" t="str">
        <f aca="false">parametros_recargas!A71</f>
        <v>ABC 100 kg s/ruedas</v>
      </c>
      <c r="B210" s="6" t="str">
        <f aca="false">parametros_recargas!B71</f>
        <v>ABC</v>
      </c>
      <c r="C210" s="14" t="n">
        <f aca="false">parametros_recargas!C71</f>
        <v>6.360853875</v>
      </c>
      <c r="D210" s="26" t="n">
        <f aca="false">datos_base!$H$18*parametros_recargas!E$71+sobrestock_sustitutos!$G$67/12</f>
        <v>10.5963141791018</v>
      </c>
      <c r="E210" s="26" t="n">
        <f aca="false">datos_base!$H$18*parametros_recargas!F$71+sobrestock_sustitutos!$G$67/12</f>
        <v>10.5963141791018</v>
      </c>
      <c r="F210" s="26" t="n">
        <f aca="false">datos_base!$H$18*parametros_recargas!G$71+sobrestock_sustitutos!$G$67/12</f>
        <v>11.7857857344859</v>
      </c>
      <c r="G210" s="26" t="n">
        <f aca="false">datos_base!$H$18*parametros_recargas!H$71+sobrestock_sustitutos!$G$67/12</f>
        <v>13.3629542374983</v>
      </c>
      <c r="H210" s="26" t="n">
        <f aca="false">datos_base!$H$18*parametros_recargas!I$71+sobrestock_sustitutos!$G$67/12</f>
        <v>13.4269525851698</v>
      </c>
      <c r="I210" s="26" t="n">
        <f aca="false">datos_base!$H$18*parametros_recargas!J$71+sobrestock_sustitutos!$G$67/12</f>
        <v>12.9058572835656</v>
      </c>
      <c r="J210" s="26" t="n">
        <f aca="false">datos_base!$H$18*parametros_recargas!K$71+sobrestock_sustitutos!$G$67/12</f>
        <v>11.165992082058</v>
      </c>
      <c r="K210" s="26" t="n">
        <f aca="false">datos_base!$H$18*parametros_recargas!L$71+sobrestock_sustitutos!$G$67/12</f>
        <v>11.2592887742488</v>
      </c>
      <c r="L210" s="26" t="n">
        <f aca="false">datos_base!$H$18*parametros_recargas!M$71+sobrestock_sustitutos!$G$67/12</f>
        <v>11.780384075853</v>
      </c>
      <c r="M210" s="26" t="n">
        <f aca="false">datos_base!$H$18*parametros_recargas!N$71+sobrestock_sustitutos!$G$67/12</f>
        <v>11.780384075853</v>
      </c>
      <c r="N210" s="26" t="n">
        <f aca="false">datos_base!$H$18*parametros_recargas!O$71+sobrestock_sustitutos!$G$67/12</f>
        <v>11.7163857281815</v>
      </c>
      <c r="O210" s="26" t="n">
        <f aca="false">datos_base!$H$18*parametros_recargas!P$71+sobrestock_sustitutos!$G$67/12</f>
        <v>12.2374810297857</v>
      </c>
      <c r="P210" s="12" t="n">
        <f aca="false">SUM(D210:O210)</f>
        <v>142.614093964903</v>
      </c>
    </row>
    <row r="211" customFormat="false" ht="15" hidden="false" customHeight="false" outlineLevel="0" collapsed="false">
      <c r="A211" s="4" t="s">
        <v>385</v>
      </c>
      <c r="D211" s="12" t="n">
        <f aca="false">SUM(D194:D210)</f>
        <v>14915.3707831183</v>
      </c>
      <c r="E211" s="12" t="n">
        <f aca="false">SUM(E194:E210)</f>
        <v>12845.9984558393</v>
      </c>
      <c r="F211" s="12" t="n">
        <f aca="false">SUM(F194:F210)</f>
        <v>12112.8950644855</v>
      </c>
      <c r="G211" s="12" t="n">
        <f aca="false">SUM(G194:G210)</f>
        <v>13364.8509061034</v>
      </c>
      <c r="H211" s="12" t="n">
        <f aca="false">SUM(H194:H210)</f>
        <v>13459.9289733141</v>
      </c>
      <c r="I211" s="12" t="n">
        <f aca="false">SUM(I194:I210)</f>
        <v>13338.0012829644</v>
      </c>
      <c r="J211" s="12" t="n">
        <f aca="false">SUM(J194:J210)</f>
        <v>11875.2926041457</v>
      </c>
      <c r="K211" s="12" t="n">
        <f aca="false">SUM(K194:K210)</f>
        <v>11974.8827239</v>
      </c>
      <c r="L211" s="12" t="n">
        <f aca="false">SUM(L194:L210)</f>
        <v>12079.3180862778</v>
      </c>
      <c r="M211" s="12" t="n">
        <f aca="false">SUM(M194:M210)</f>
        <v>12079.3180862778</v>
      </c>
      <c r="N211" s="12" t="n">
        <f aca="false">SUM(N194:N210)</f>
        <v>14053.6123463461</v>
      </c>
      <c r="O211" s="12" t="n">
        <f aca="false">SUM(O194:O210)</f>
        <v>16244.912363975</v>
      </c>
      <c r="P211" s="12" t="n">
        <f aca="false">SUM(P194:P210)</f>
        <v>158344.381676748</v>
      </c>
    </row>
    <row r="212" customFormat="false" ht="15" hidden="false" customHeight="false" outlineLevel="0" collapsed="false">
      <c r="A212" s="4" t="s">
        <v>386</v>
      </c>
    </row>
    <row r="213" customFormat="false" ht="15" hidden="false" customHeight="false" outlineLevel="0" collapsed="false">
      <c r="A213" s="5" t="s">
        <v>165</v>
      </c>
      <c r="D213" s="26" t="n">
        <f aca="false">SUMPRODUCT(($B$194:$B$210=$A213)*D$194:D$210*$C$194:$C$210)</f>
        <v>14219.1497104095</v>
      </c>
      <c r="E213" s="26" t="n">
        <f aca="false">SUMPRODUCT(($B$194:$B$210=$A213)*E$194:E$210*$C$194:$C$210)</f>
        <v>12149.7773831305</v>
      </c>
      <c r="F213" s="26" t="n">
        <f aca="false">SUMPRODUCT(($B$194:$B$210=$A213)*F$194:F$210*$C$194:$C$210)</f>
        <v>11186.1507478729</v>
      </c>
      <c r="G213" s="26" t="n">
        <f aca="false">SUMPRODUCT(($B$194:$B$210=$A213)*G$194:G$210*$C$194:$C$210)</f>
        <v>12237.6352880409</v>
      </c>
      <c r="H213" s="26" t="n">
        <f aca="false">SUMPRODUCT(($B$194:$B$210=$A213)*H$194:H$210*$C$194:$C$210)</f>
        <v>12321.397334079</v>
      </c>
      <c r="I213" s="26" t="n">
        <f aca="false">SUMPRODUCT(($B$194:$B$210=$A213)*I$194:I$210*$C$194:$C$210)</f>
        <v>12208.7515981072</v>
      </c>
      <c r="J213" s="26" t="n">
        <f aca="false">SUMPRODUCT(($B$194:$B$210=$A213)*J$194:J$210*$C$194:$C$210)</f>
        <v>10975.7973080752</v>
      </c>
      <c r="K213" s="26" t="n">
        <f aca="false">SUMPRODUCT(($B$194:$B$210=$A213)*K$194:K$210*$C$194:$C$210)</f>
        <v>11074.1222161521</v>
      </c>
      <c r="L213" s="26" t="n">
        <f aca="false">SUMPRODUCT(($B$194:$B$210=$A213)*L$194:L$210*$C$194:$C$210)</f>
        <v>11172.954570571</v>
      </c>
      <c r="M213" s="26" t="n">
        <f aca="false">SUMPRODUCT(($B$194:$B$210=$A213)*M$194:M$210*$C$194:$C$210)</f>
        <v>11172.954570571</v>
      </c>
      <c r="N213" s="26" t="n">
        <f aca="false">SUMPRODUCT(($B$194:$B$210=$A213)*N$194:N$210*$C$194:$C$210)</f>
        <v>13158.5648518119</v>
      </c>
      <c r="O213" s="26" t="n">
        <f aca="false">SUMPRODUCT(($B$194:$B$210=$A213)*O$194:O$210*$C$194:$C$210)</f>
        <v>15340.5829150628</v>
      </c>
      <c r="P213" s="26" t="n">
        <f aca="false">SUMPRODUCT(($B$194:$B$210=$A213)*P$194:P$210*$C$194:$C$210)</f>
        <v>147217.838493884</v>
      </c>
    </row>
    <row r="214" customFormat="false" ht="15" hidden="false" customHeight="false" outlineLevel="0" collapsed="false">
      <c r="A214" s="5" t="s">
        <v>166</v>
      </c>
      <c r="D214" s="26" t="n">
        <f aca="false">SUMPRODUCT(($B$194:$B$210=$A214)*D$194:D$210*$C$194:$C$210)</f>
        <v>17.2942810240556</v>
      </c>
      <c r="E214" s="26" t="n">
        <f aca="false">SUMPRODUCT(($B$194:$B$210=$A214)*E$194:E$210*$C$194:$C$210)</f>
        <v>17.2942810240556</v>
      </c>
      <c r="F214" s="26" t="n">
        <f aca="false">SUMPRODUCT(($B$194:$B$210=$A214)*F$194:F$210*$C$194:$C$210)</f>
        <v>17.2942810240556</v>
      </c>
      <c r="G214" s="26" t="n">
        <f aca="false">SUMPRODUCT(($B$194:$B$210=$A214)*G$194:G$210*$C$194:$C$210)</f>
        <v>17.2942810240556</v>
      </c>
      <c r="H214" s="26" t="n">
        <f aca="false">SUMPRODUCT(($B$194:$B$210=$A214)*H$194:H$210*$C$194:$C$210)</f>
        <v>17.2942810240556</v>
      </c>
      <c r="I214" s="26" t="n">
        <f aca="false">SUMPRODUCT(($B$194:$B$210=$A214)*I$194:I$210*$C$194:$C$210)</f>
        <v>17.2942810240556</v>
      </c>
      <c r="J214" s="26" t="n">
        <f aca="false">SUMPRODUCT(($B$194:$B$210=$A214)*J$194:J$210*$C$194:$C$210)</f>
        <v>17.2942810240556</v>
      </c>
      <c r="K214" s="26" t="n">
        <f aca="false">SUMPRODUCT(($B$194:$B$210=$A214)*K$194:K$210*$C$194:$C$210)</f>
        <v>17.2942810240556</v>
      </c>
      <c r="L214" s="26" t="n">
        <f aca="false">SUMPRODUCT(($B$194:$B$210=$A214)*L$194:L$210*$C$194:$C$210)</f>
        <v>17.2942810240556</v>
      </c>
      <c r="M214" s="26" t="n">
        <f aca="false">SUMPRODUCT(($B$194:$B$210=$A214)*M$194:M$210*$C$194:$C$210)</f>
        <v>17.2942810240556</v>
      </c>
      <c r="N214" s="26" t="n">
        <f aca="false">SUMPRODUCT(($B$194:$B$210=$A214)*N$194:N$210*$C$194:$C$210)</f>
        <v>17.2942810240556</v>
      </c>
      <c r="O214" s="26" t="n">
        <f aca="false">SUMPRODUCT(($B$194:$B$210=$A214)*O$194:O$210*$C$194:$C$210)</f>
        <v>17.2942810240556</v>
      </c>
      <c r="P214" s="26" t="n">
        <f aca="false">SUMPRODUCT(($B$194:$B$210=$A214)*P$194:P$210*$C$194:$C$210)</f>
        <v>207.531372288667</v>
      </c>
    </row>
    <row r="215" customFormat="false" ht="15" hidden="false" customHeight="false" outlineLevel="0" collapsed="false">
      <c r="A215" s="5" t="s">
        <v>167</v>
      </c>
      <c r="D215" s="26" t="n">
        <f aca="false">SUMPRODUCT(($B$194:$B$210=$A215)*D$194:D$210*$C$194:$C$210)</f>
        <v>15.3428507722605</v>
      </c>
      <c r="E215" s="26" t="n">
        <f aca="false">SUMPRODUCT(($B$194:$B$210=$A215)*E$194:E$210*$C$194:$C$210)</f>
        <v>15.3428507722605</v>
      </c>
      <c r="F215" s="26" t="n">
        <f aca="false">SUMPRODUCT(($B$194:$B$210=$A215)*F$194:F$210*$C$194:$C$210)</f>
        <v>15.3428507722605</v>
      </c>
      <c r="G215" s="26" t="n">
        <f aca="false">SUMPRODUCT(($B$194:$B$210=$A215)*G$194:G$210*$C$194:$C$210)</f>
        <v>15.3428507722605</v>
      </c>
      <c r="H215" s="26" t="n">
        <f aca="false">SUMPRODUCT(($B$194:$B$210=$A215)*H$194:H$210*$C$194:$C$210)</f>
        <v>15.3428507722605</v>
      </c>
      <c r="I215" s="26" t="n">
        <f aca="false">SUMPRODUCT(($B$194:$B$210=$A215)*I$194:I$210*$C$194:$C$210)</f>
        <v>15.3428507722605</v>
      </c>
      <c r="J215" s="26" t="n">
        <f aca="false">SUMPRODUCT(($B$194:$B$210=$A215)*J$194:J$210*$C$194:$C$210)</f>
        <v>15.3428507722605</v>
      </c>
      <c r="K215" s="26" t="n">
        <f aca="false">SUMPRODUCT(($B$194:$B$210=$A215)*K$194:K$210*$C$194:$C$210)</f>
        <v>15.3428507722605</v>
      </c>
      <c r="L215" s="26" t="n">
        <f aca="false">SUMPRODUCT(($B$194:$B$210=$A215)*L$194:L$210*$C$194:$C$210)</f>
        <v>15.3428507722605</v>
      </c>
      <c r="M215" s="26" t="n">
        <f aca="false">SUMPRODUCT(($B$194:$B$210=$A215)*M$194:M$210*$C$194:$C$210)</f>
        <v>15.3428507722605</v>
      </c>
      <c r="N215" s="26" t="n">
        <f aca="false">SUMPRODUCT(($B$194:$B$210=$A215)*N$194:N$210*$C$194:$C$210)</f>
        <v>15.3428507722605</v>
      </c>
      <c r="O215" s="26" t="n">
        <f aca="false">SUMPRODUCT(($B$194:$B$210=$A215)*O$194:O$210*$C$194:$C$210)</f>
        <v>15.3428507722605</v>
      </c>
      <c r="P215" s="26" t="n">
        <f aca="false">SUMPRODUCT(($B$194:$B$210=$A215)*P$194:P$210*$C$194:$C$210)</f>
        <v>184.114209267126</v>
      </c>
    </row>
    <row r="216" customFormat="false" ht="15" hidden="false" customHeight="false" outlineLevel="0" collapsed="false">
      <c r="A216" s="5" t="s">
        <v>168</v>
      </c>
      <c r="D216" s="26" t="n">
        <f aca="false">SUMPRODUCT(($B$194:$B$210=$A216)*D$194:D$210*$C$194:$C$210)</f>
        <v>247.386010652727</v>
      </c>
      <c r="E216" s="26" t="n">
        <f aca="false">SUMPRODUCT(($B$194:$B$210=$A216)*E$194:E$210*$C$194:$C$210)</f>
        <v>247.386010652727</v>
      </c>
      <c r="F216" s="26" t="n">
        <f aca="false">SUMPRODUCT(($B$194:$B$210=$A216)*F$194:F$210*$C$194:$C$210)</f>
        <v>304.350334430101</v>
      </c>
      <c r="G216" s="26" t="n">
        <f aca="false">SUMPRODUCT(($B$194:$B$210=$A216)*G$194:G$210*$C$194:$C$210)</f>
        <v>364.405488869121</v>
      </c>
      <c r="H216" s="26" t="n">
        <f aca="false">SUMPRODUCT(($B$194:$B$210=$A216)*H$194:H$210*$C$194:$C$210)</f>
        <v>366.657982961662</v>
      </c>
      <c r="I216" s="26" t="n">
        <f aca="false">SUMPRODUCT(($B$194:$B$210=$A216)*I$194:I$210*$C$194:$C$210)</f>
        <v>356.054388886394</v>
      </c>
      <c r="J216" s="26" t="n">
        <f aca="false">SUMPRODUCT(($B$194:$B$210=$A216)*J$194:J$210*$C$194:$C$210)</f>
        <v>290.194472781888</v>
      </c>
      <c r="K216" s="26" t="n">
        <f aca="false">SUMPRODUCT(($B$194:$B$210=$A216)*K$194:K$210*$C$194:$C$210)</f>
        <v>290.738965126293</v>
      </c>
      <c r="L216" s="26" t="n">
        <f aca="false">SUMPRODUCT(($B$194:$B$210=$A216)*L$194:L$210*$C$194:$C$210)</f>
        <v>300.677378611493</v>
      </c>
      <c r="M216" s="26" t="n">
        <f aca="false">SUMPRODUCT(($B$194:$B$210=$A216)*M$194:M$210*$C$194:$C$210)</f>
        <v>300.677378611493</v>
      </c>
      <c r="N216" s="26" t="n">
        <f aca="false">SUMPRODUCT(($B$194:$B$210=$A216)*N$194:N$210*$C$194:$C$210)</f>
        <v>298.424884518953</v>
      </c>
      <c r="O216" s="26" t="n">
        <f aca="false">SUMPRODUCT(($B$194:$B$210=$A216)*O$194:O$210*$C$194:$C$210)</f>
        <v>309.028478594221</v>
      </c>
      <c r="P216" s="26" t="n">
        <f aca="false">SUMPRODUCT(($B$194:$B$210=$A216)*P$194:P$210*$C$194:$C$210)</f>
        <v>3675.98177469707</v>
      </c>
    </row>
    <row r="217" customFormat="false" ht="15" hidden="false" customHeight="false" outlineLevel="0" collapsed="false">
      <c r="A217" s="5" t="s">
        <v>169</v>
      </c>
      <c r="D217" s="26" t="n">
        <f aca="false">SUMPRODUCT(($B$194:$B$210=$A217)*D$194:D$210*$C$194:$C$210)</f>
        <v>242.826189703738</v>
      </c>
      <c r="E217" s="26" t="n">
        <f aca="false">SUMPRODUCT(($B$194:$B$210=$A217)*E$194:E$210*$C$194:$C$210)</f>
        <v>242.826189703738</v>
      </c>
      <c r="F217" s="26" t="n">
        <f aca="false">SUMPRODUCT(($B$194:$B$210=$A217)*F$194:F$210*$C$194:$C$210)</f>
        <v>242.826189703738</v>
      </c>
      <c r="G217" s="26" t="n">
        <f aca="false">SUMPRODUCT(($B$194:$B$210=$A217)*G$194:G$210*$C$194:$C$210)</f>
        <v>242.826189703738</v>
      </c>
      <c r="H217" s="26" t="n">
        <f aca="false">SUMPRODUCT(($B$194:$B$210=$A217)*H$194:H$210*$C$194:$C$210)</f>
        <v>242.826189703738</v>
      </c>
      <c r="I217" s="26" t="n">
        <f aca="false">SUMPRODUCT(($B$194:$B$210=$A217)*I$194:I$210*$C$194:$C$210)</f>
        <v>242.826189703738</v>
      </c>
      <c r="J217" s="26" t="n">
        <f aca="false">SUMPRODUCT(($B$194:$B$210=$A217)*J$194:J$210*$C$194:$C$210)</f>
        <v>242.826189703738</v>
      </c>
      <c r="K217" s="26" t="n">
        <f aca="false">SUMPRODUCT(($B$194:$B$210=$A217)*K$194:K$210*$C$194:$C$210)</f>
        <v>242.826189703738</v>
      </c>
      <c r="L217" s="26" t="n">
        <f aca="false">SUMPRODUCT(($B$194:$B$210=$A217)*L$194:L$210*$C$194:$C$210)</f>
        <v>242.826189703738</v>
      </c>
      <c r="M217" s="26" t="n">
        <f aca="false">SUMPRODUCT(($B$194:$B$210=$A217)*M$194:M$210*$C$194:$C$210)</f>
        <v>242.826189703738</v>
      </c>
      <c r="N217" s="26" t="n">
        <f aca="false">SUMPRODUCT(($B$194:$B$210=$A217)*N$194:N$210*$C$194:$C$210)</f>
        <v>242.826189703738</v>
      </c>
      <c r="O217" s="26" t="n">
        <f aca="false">SUMPRODUCT(($B$194:$B$210=$A217)*O$194:O$210*$C$194:$C$210)</f>
        <v>242.826189703738</v>
      </c>
      <c r="P217" s="26" t="n">
        <f aca="false">SUMPRODUCT(($B$194:$B$210=$A217)*P$194:P$210*$C$194:$C$210)</f>
        <v>2913.91427644485</v>
      </c>
    </row>
    <row r="218" customFormat="false" ht="15" hidden="false" customHeight="false" outlineLevel="0" collapsed="false">
      <c r="A218" s="5" t="s">
        <v>170</v>
      </c>
      <c r="D218" s="26" t="n">
        <f aca="false">SUMPRODUCT(($B$194:$B$210=$A218)*D$194:D$210*$C$194:$C$210)</f>
        <v>125.19936675178</v>
      </c>
      <c r="E218" s="26" t="n">
        <f aca="false">SUMPRODUCT(($B$194:$B$210=$A218)*E$194:E$210*$C$194:$C$210)</f>
        <v>125.19936675178</v>
      </c>
      <c r="F218" s="26" t="n">
        <f aca="false">SUMPRODUCT(($B$194:$B$210=$A218)*F$194:F$210*$C$194:$C$210)</f>
        <v>150.533520925999</v>
      </c>
      <c r="G218" s="26" t="n">
        <f aca="false">SUMPRODUCT(($B$194:$B$210=$A218)*G$194:G$210*$C$194:$C$210)</f>
        <v>170.052165592294</v>
      </c>
      <c r="H218" s="26" t="n">
        <f aca="false">SUMPRODUCT(($B$194:$B$210=$A218)*H$194:H$210*$C$194:$C$210)</f>
        <v>174.279621694116</v>
      </c>
      <c r="I218" s="26" t="n">
        <f aca="false">SUMPRODUCT(($B$194:$B$210=$A218)*I$194:I$210*$C$194:$C$210)</f>
        <v>170.743661830701</v>
      </c>
      <c r="J218" s="26" t="n">
        <f aca="false">SUMPRODUCT(($B$194:$B$210=$A218)*J$194:J$210*$C$194:$C$210)</f>
        <v>140.208098326004</v>
      </c>
      <c r="K218" s="26" t="n">
        <f aca="false">SUMPRODUCT(($B$194:$B$210=$A218)*K$194:K$210*$C$194:$C$210)</f>
        <v>146.101003894888</v>
      </c>
      <c r="L218" s="26" t="n">
        <f aca="false">SUMPRODUCT(($B$194:$B$210=$A218)*L$194:L$210*$C$194:$C$210)</f>
        <v>149.636963758303</v>
      </c>
      <c r="M218" s="26" t="n">
        <f aca="false">SUMPRODUCT(($B$194:$B$210=$A218)*M$194:M$210*$C$194:$C$210)</f>
        <v>149.636963758303</v>
      </c>
      <c r="N218" s="26" t="n">
        <f aca="false">SUMPRODUCT(($B$194:$B$210=$A218)*N$194:N$210*$C$194:$C$210)</f>
        <v>145.409507656482</v>
      </c>
      <c r="O218" s="26" t="n">
        <f aca="false">SUMPRODUCT(($B$194:$B$210=$A218)*O$194:O$210*$C$194:$C$210)</f>
        <v>148.945467519897</v>
      </c>
      <c r="P218" s="26" t="n">
        <f aca="false">SUMPRODUCT(($B$194:$B$210=$A218)*P$194:P$210*$C$194:$C$210)</f>
        <v>1795.94570846055</v>
      </c>
    </row>
    <row r="219" customFormat="false" ht="15" hidden="false" customHeight="false" outlineLevel="0" collapsed="false">
      <c r="A219" s="5" t="s">
        <v>171</v>
      </c>
      <c r="D219" s="26" t="n">
        <f aca="false">SUMPRODUCT(($B$194:$B$210=$A219)*D$194:D$210*$C$194:$C$210)</f>
        <v>868.144664039263</v>
      </c>
      <c r="E219" s="26" t="n">
        <f aca="false">SUMPRODUCT(($B$194:$B$210=$A219)*E$194:E$210*$C$194:$C$210)</f>
        <v>868.144664039263</v>
      </c>
      <c r="F219" s="26" t="n">
        <f aca="false">SUMPRODUCT(($B$194:$B$210=$A219)*F$194:F$210*$C$194:$C$210)</f>
        <v>1099.09833325812</v>
      </c>
      <c r="G219" s="26" t="n">
        <f aca="false">SUMPRODUCT(($B$194:$B$210=$A219)*G$194:G$210*$C$194:$C$210)</f>
        <v>1325.68775573867</v>
      </c>
      <c r="H219" s="26" t="n">
        <f aca="false">SUMPRODUCT(($B$194:$B$210=$A219)*H$194:H$210*$C$194:$C$210)</f>
        <v>1334.81420707214</v>
      </c>
      <c r="I219" s="26" t="n">
        <f aca="false">SUMPRODUCT(($B$194:$B$210=$A219)*I$194:I$210*$C$194:$C$210)</f>
        <v>1307.7713784573</v>
      </c>
      <c r="J219" s="26" t="n">
        <f aca="false">SUMPRODUCT(($B$194:$B$210=$A219)*J$194:J$210*$C$194:$C$210)</f>
        <v>1057.81627295798</v>
      </c>
      <c r="K219" s="26" t="n">
        <f aca="false">SUMPRODUCT(($B$194:$B$210=$A219)*K$194:K$210*$C$194:$C$210)</f>
        <v>1058.90133195707</v>
      </c>
      <c r="L219" s="26" t="n">
        <f aca="false">SUMPRODUCT(($B$194:$B$210=$A219)*L$194:L$210*$C$194:$C$210)</f>
        <v>1082.93039474291</v>
      </c>
      <c r="M219" s="26" t="n">
        <f aca="false">SUMPRODUCT(($B$194:$B$210=$A219)*M$194:M$210*$C$194:$C$210)</f>
        <v>1082.93039474291</v>
      </c>
      <c r="N219" s="26" t="n">
        <f aca="false">SUMPRODUCT(($B$194:$B$210=$A219)*N$194:N$210*$C$194:$C$210)</f>
        <v>1073.80394340944</v>
      </c>
      <c r="O219" s="26" t="n">
        <f aca="false">SUMPRODUCT(($B$194:$B$210=$A219)*O$194:O$210*$C$194:$C$210)</f>
        <v>1100.84677202428</v>
      </c>
      <c r="P219" s="26" t="n">
        <f aca="false">SUMPRODUCT(($B$194:$B$210=$A219)*P$194:P$210*$C$194:$C$210)</f>
        <v>13260.8901124394</v>
      </c>
    </row>
    <row r="220" customFormat="false" ht="15" hidden="false" customHeight="false" outlineLevel="0" collapsed="false">
      <c r="A220" s="5" t="s">
        <v>172</v>
      </c>
      <c r="D220" s="26" t="n">
        <f aca="false">SUMPRODUCT(($B$194:$B$210=$A220)*D$194:D$210*$C$194:$C$210)</f>
        <v>47.2632111549948</v>
      </c>
      <c r="E220" s="26" t="n">
        <f aca="false">SUMPRODUCT(($B$194:$B$210=$A220)*E$194:E$210*$C$194:$C$210)</f>
        <v>47.2632111549948</v>
      </c>
      <c r="F220" s="26" t="n">
        <f aca="false">SUMPRODUCT(($B$194:$B$210=$A220)*F$194:F$210*$C$194:$C$210)</f>
        <v>44.2447776713973</v>
      </c>
      <c r="G220" s="26" t="n">
        <f aca="false">SUMPRODUCT(($B$194:$B$210=$A220)*G$194:G$210*$C$194:$C$210)</f>
        <v>44.2447776713973</v>
      </c>
      <c r="H220" s="26" t="n">
        <f aca="false">SUMPRODUCT(($B$194:$B$210=$A220)*H$194:H$210*$C$194:$C$210)</f>
        <v>44.2447776713973</v>
      </c>
      <c r="I220" s="26" t="n">
        <f aca="false">SUMPRODUCT(($B$194:$B$210=$A220)*I$194:I$210*$C$194:$C$210)</f>
        <v>41.2263441877998</v>
      </c>
      <c r="J220" s="26" t="n">
        <f aca="false">SUMPRODUCT(($B$194:$B$210=$A220)*J$194:J$210*$C$194:$C$210)</f>
        <v>41.2263441877998</v>
      </c>
      <c r="K220" s="26" t="n">
        <f aca="false">SUMPRODUCT(($B$194:$B$210=$A220)*K$194:K$210*$C$194:$C$210)</f>
        <v>41.2263441877998</v>
      </c>
      <c r="L220" s="26" t="n">
        <f aca="false">SUMPRODUCT(($B$194:$B$210=$A220)*L$194:L$210*$C$194:$C$210)</f>
        <v>44.2447776713973</v>
      </c>
      <c r="M220" s="26" t="n">
        <f aca="false">SUMPRODUCT(($B$194:$B$210=$A220)*M$194:M$210*$C$194:$C$210)</f>
        <v>44.2447776713973</v>
      </c>
      <c r="N220" s="26" t="n">
        <f aca="false">SUMPRODUCT(($B$194:$B$210=$A220)*N$194:N$210*$C$194:$C$210)</f>
        <v>44.2447776713973</v>
      </c>
      <c r="O220" s="26" t="n">
        <f aca="false">SUMPRODUCT(($B$194:$B$210=$A220)*O$194:O$210*$C$194:$C$210)</f>
        <v>47.2632111549948</v>
      </c>
      <c r="P220" s="26" t="n">
        <f aca="false">SUMPRODUCT(($B$194:$B$210=$A220)*P$194:P$210*$C$194:$C$210)</f>
        <v>530.937332056768</v>
      </c>
    </row>
    <row r="221" customFormat="false" ht="15" hidden="false" customHeight="false" outlineLevel="0" collapsed="false">
      <c r="A221" s="4" t="s">
        <v>387</v>
      </c>
      <c r="D221" s="27" t="n">
        <f aca="false">SUMPRODUCT(D$194:D$210*parametros_recargas!$D$55:$D$71)</f>
        <v>412.659254891905</v>
      </c>
      <c r="E221" s="27" t="n">
        <f aca="false">SUMPRODUCT(E$194:E$210*parametros_recargas!$D$55:$D$71)</f>
        <v>412.659254891905</v>
      </c>
      <c r="F221" s="27" t="n">
        <f aca="false">SUMPRODUCT(F$194:F$210*parametros_recargas!$D$55:$D$71)</f>
        <v>448.575275433155</v>
      </c>
      <c r="G221" s="27" t="n">
        <f aca="false">SUMPRODUCT(G$194:G$210*parametros_recargas!$D$55:$D$71)</f>
        <v>497.451459171456</v>
      </c>
      <c r="H221" s="27" t="n">
        <f aca="false">SUMPRODUCT(H$194:H$210*parametros_recargas!$D$55:$D$71)</f>
        <v>503.262564281501</v>
      </c>
      <c r="I221" s="27" t="n">
        <f aca="false">SUMPRODUCT(I$194:I$210*parametros_recargas!$D$55:$D$71)</f>
        <v>482.656257863663</v>
      </c>
      <c r="J221" s="27" t="n">
        <f aca="false">SUMPRODUCT(J$194:J$210*parametros_recargas!$D$55:$D$71)</f>
        <v>427.267876507908</v>
      </c>
      <c r="K221" s="27" t="n">
        <f aca="false">SUMPRODUCT(K$194:K$210*parametros_recargas!$D$55:$D$71)</f>
        <v>431.945036014621</v>
      </c>
      <c r="L221" s="27" t="n">
        <f aca="false">SUMPRODUCT(L$194:L$210*parametros_recargas!$D$55:$D$71)</f>
        <v>449.537576603455</v>
      </c>
      <c r="M221" s="27" t="n">
        <f aca="false">SUMPRODUCT(M$194:M$210*parametros_recargas!$D$55:$D$71)</f>
        <v>449.537576603455</v>
      </c>
      <c r="N221" s="27" t="n">
        <f aca="false">SUMPRODUCT(N$194:N$210*parametros_recargas!$D$55:$D$71)</f>
        <v>443.72647149341</v>
      </c>
      <c r="O221" s="27" t="n">
        <f aca="false">SUMPRODUCT(O$194:O$210*parametros_recargas!$D$55:$D$71)</f>
        <v>464.332777911248</v>
      </c>
      <c r="P221" s="27" t="n">
        <f aca="false">SUMPRODUCT(P$194:P$210*parametros_recargas!$D$55:$D$71)</f>
        <v>5423.61138166768</v>
      </c>
    </row>
    <row r="222" customFormat="false" ht="15" hidden="false" customHeight="false" outlineLevel="0" collapsed="false">
      <c r="A222" s="4" t="s">
        <v>388</v>
      </c>
      <c r="D222" s="27" t="n">
        <f aca="false">SUMPRODUCT(sobrestock_sustitutos!$H$73:$H$73,--(sobrestock_sustitutos!$F$30:$F$30="Fábrica: cilindro vacío"),parametros_recargas!$C$55:$C$55)*parametros_recargas!E$109+SUMPRODUCT(sobrestock_sustitutos!$H$74:$H$76,--(sobrestock_sustitutos!$F$31:$F$33="Fábrica: cilindro vacío"),parametros_recargas!$C$56:$C$58)*parametros_recargas!E$110+SUMPRODUCT(sobrestock_sustitutos!$H$86:$H$89,--(sobrestock_sustitutos!$F$43:$F$46="Fábrica: cilindro vacío"),parametros_recargas!$C$68:$C$71)*parametros_recargas!E$111</f>
        <v>22.361454249275</v>
      </c>
      <c r="E222" s="27" t="n">
        <f aca="false">SUMPRODUCT(sobrestock_sustitutos!$H$73:$H$73,--(sobrestock_sustitutos!$F$30:$F$30="Fábrica: cilindro vacío"),parametros_recargas!$C$55:$C$55)*parametros_recargas!F$109+SUMPRODUCT(sobrestock_sustitutos!$H$74:$H$76,--(sobrestock_sustitutos!$F$31:$F$33="Fábrica: cilindro vacío"),parametros_recargas!$C$56:$C$58)*parametros_recargas!F$110+SUMPRODUCT(sobrestock_sustitutos!$H$86:$H$89,--(sobrestock_sustitutos!$F$43:$F$46="Fábrica: cilindro vacío"),parametros_recargas!$C$68:$C$71)*parametros_recargas!F$111</f>
        <v>18.197283161125</v>
      </c>
      <c r="F222" s="27" t="n">
        <f aca="false">SUMPRODUCT(sobrestock_sustitutos!$H$73:$H$73,--(sobrestock_sustitutos!$F$30:$F$30="Fábrica: cilindro vacío"),parametros_recargas!$C$55:$C$55)*parametros_recargas!G$109+SUMPRODUCT(sobrestock_sustitutos!$H$74:$H$76,--(sobrestock_sustitutos!$F$31:$F$33="Fábrica: cilindro vacío"),parametros_recargas!$C$56:$C$58)*parametros_recargas!G$110+SUMPRODUCT(sobrestock_sustitutos!$H$86:$H$89,--(sobrestock_sustitutos!$F$43:$F$46="Fábrica: cilindro vacío"),parametros_recargas!$C$68:$C$71)*parametros_recargas!G$111</f>
        <v>19.78853979335</v>
      </c>
      <c r="G222" s="27" t="n">
        <f aca="false">SUMPRODUCT(sobrestock_sustitutos!$H$73:$H$73,--(sobrestock_sustitutos!$F$30:$F$30="Fábrica: cilindro vacío"),parametros_recargas!$C$55:$C$55)*parametros_recargas!H$109+SUMPRODUCT(sobrestock_sustitutos!$H$74:$H$76,--(sobrestock_sustitutos!$F$31:$F$33="Fábrica: cilindro vacío"),parametros_recargas!$C$56:$C$58)*parametros_recargas!H$110+SUMPRODUCT(sobrestock_sustitutos!$H$86:$H$89,--(sobrestock_sustitutos!$F$43:$F$46="Fábrica: cilindro vacío"),parametros_recargas!$C$68:$C$71)*parametros_recargas!H$111</f>
        <v>19.78853979335</v>
      </c>
      <c r="H222" s="27" t="n">
        <f aca="false">SUMPRODUCT(sobrestock_sustitutos!$H$73:$H$73,--(sobrestock_sustitutos!$F$30:$F$30="Fábrica: cilindro vacío"),parametros_recargas!$C$55:$C$55)*parametros_recargas!I$109+SUMPRODUCT(sobrestock_sustitutos!$H$74:$H$76,--(sobrestock_sustitutos!$F$31:$F$33="Fábrica: cilindro vacío"),parametros_recargas!$C$56:$C$58)*parametros_recargas!I$110+SUMPRODUCT(sobrestock_sustitutos!$H$86:$H$89,--(sobrestock_sustitutos!$F$43:$F$46="Fábrica: cilindro vacío"),parametros_recargas!$C$68:$C$71)*parametros_recargas!I$111</f>
        <v>18.85753979335</v>
      </c>
      <c r="I222" s="27" t="n">
        <f aca="false">SUMPRODUCT(sobrestock_sustitutos!$H$73:$H$73,--(sobrestock_sustitutos!$F$30:$F$30="Fábrica: cilindro vacío"),parametros_recargas!$C$55:$C$55)*parametros_recargas!J$109+SUMPRODUCT(sobrestock_sustitutos!$H$74:$H$76,--(sobrestock_sustitutos!$F$31:$F$33="Fábrica: cilindro vacío"),parametros_recargas!$C$56:$C$58)*parametros_recargas!J$110+SUMPRODUCT(sobrestock_sustitutos!$H$86:$H$89,--(sobrestock_sustitutos!$F$43:$F$46="Fábrica: cilindro vacío"),parametros_recargas!$C$68:$C$71)*parametros_recargas!J$111</f>
        <v>17.4863687052</v>
      </c>
      <c r="J222" s="27" t="n">
        <f aca="false">SUMPRODUCT(sobrestock_sustitutos!$H$73:$H$73,--(sobrestock_sustitutos!$F$30:$F$30="Fábrica: cilindro vacío"),parametros_recargas!$C$55:$C$55)*parametros_recargas!K$109+SUMPRODUCT(sobrestock_sustitutos!$H$74:$H$76,--(sobrestock_sustitutos!$F$31:$F$33="Fábrica: cilindro vacío"),parametros_recargas!$C$56:$C$58)*parametros_recargas!K$110+SUMPRODUCT(sobrestock_sustitutos!$H$86:$H$89,--(sobrestock_sustitutos!$F$43:$F$46="Fábrica: cilindro vacío"),parametros_recargas!$C$68:$C$71)*parametros_recargas!K$111</f>
        <v>18.85753979335</v>
      </c>
      <c r="K222" s="27" t="n">
        <f aca="false">SUMPRODUCT(sobrestock_sustitutos!$H$73:$H$73,--(sobrestock_sustitutos!$F$30:$F$30="Fábrica: cilindro vacío"),parametros_recargas!$C$55:$C$55)*parametros_recargas!L$109+SUMPRODUCT(sobrestock_sustitutos!$H$74:$H$76,--(sobrestock_sustitutos!$F$31:$F$33="Fábrica: cilindro vacío"),parametros_recargas!$C$56:$C$58)*parametros_recargas!L$110+SUMPRODUCT(sobrestock_sustitutos!$H$86:$H$89,--(sobrestock_sustitutos!$F$43:$F$46="Fábrica: cilindro vacío"),parametros_recargas!$C$68:$C$71)*parametros_recargas!L$111</f>
        <v>18.85753979335</v>
      </c>
      <c r="L222" s="27" t="n">
        <f aca="false">SUMPRODUCT(sobrestock_sustitutos!$H$73:$H$73,--(sobrestock_sustitutos!$F$30:$F$30="Fábrica: cilindro vacío"),parametros_recargas!$C$55:$C$55)*parametros_recargas!M$109+SUMPRODUCT(sobrestock_sustitutos!$H$74:$H$76,--(sobrestock_sustitutos!$F$31:$F$33="Fábrica: cilindro vacío"),parametros_recargas!$C$56:$C$58)*parametros_recargas!M$110+SUMPRODUCT(sobrestock_sustitutos!$H$86:$H$89,--(sobrestock_sustitutos!$F$43:$F$46="Fábrica: cilindro vacío"),parametros_recargas!$C$68:$C$71)*parametros_recargas!M$111</f>
        <v>18.637454249275</v>
      </c>
      <c r="M222" s="27" t="n">
        <f aca="false">SUMPRODUCT(sobrestock_sustitutos!$H$73:$H$73,--(sobrestock_sustitutos!$F$30:$F$30="Fábrica: cilindro vacío"),parametros_recargas!$C$55:$C$55)*parametros_recargas!N$109+SUMPRODUCT(sobrestock_sustitutos!$H$74:$H$76,--(sobrestock_sustitutos!$F$31:$F$33="Fábrica: cilindro vacío"),parametros_recargas!$C$56:$C$58)*parametros_recargas!N$110+SUMPRODUCT(sobrestock_sustitutos!$H$86:$H$89,--(sobrestock_sustitutos!$F$43:$F$46="Fábrica: cilindro vacío"),parametros_recargas!$C$68:$C$71)*parametros_recargas!N$111</f>
        <v>17.266283161125</v>
      </c>
      <c r="N222" s="27" t="n">
        <f aca="false">SUMPRODUCT(sobrestock_sustitutos!$H$73:$H$73,--(sobrestock_sustitutos!$F$30:$F$30="Fábrica: cilindro vacío"),parametros_recargas!$C$55:$C$55)*parametros_recargas!O$109+SUMPRODUCT(sobrestock_sustitutos!$H$74:$H$76,--(sobrestock_sustitutos!$F$31:$F$33="Fábrica: cilindro vacío"),parametros_recargas!$C$56:$C$58)*parametros_recargas!O$110+SUMPRODUCT(sobrestock_sustitutos!$H$86:$H$89,--(sobrestock_sustitutos!$F$43:$F$46="Fábrica: cilindro vacío"),parametros_recargas!$C$68:$C$71)*parametros_recargas!O$111</f>
        <v>16.11519761705</v>
      </c>
      <c r="O222" s="27" t="n">
        <f aca="false">SUMPRODUCT(sobrestock_sustitutos!$H$73:$H$73,--(sobrestock_sustitutos!$F$30:$F$30="Fábrica: cilindro vacío"),parametros_recargas!$C$55:$C$55)*parametros_recargas!P$109+SUMPRODUCT(sobrestock_sustitutos!$H$74:$H$76,--(sobrestock_sustitutos!$F$31:$F$33="Fábrica: cilindro vacío"),parametros_recargas!$C$56:$C$58)*parametros_recargas!P$110+SUMPRODUCT(sobrestock_sustitutos!$H$86:$H$89,--(sobrestock_sustitutos!$F$43:$F$46="Fábrica: cilindro vacío"),parametros_recargas!$C$68:$C$71)*parametros_recargas!P$111</f>
        <v>24.0033687052</v>
      </c>
      <c r="P222" s="12" t="n">
        <f aca="false">SUM(D222:O222)</f>
        <v>230.217108815</v>
      </c>
    </row>
    <row r="225" customFormat="false" ht="15" hidden="false" customHeight="false" outlineLevel="0" collapsed="false">
      <c r="A225" s="28" t="n">
        <v>2033</v>
      </c>
      <c r="B225" s="3" t="s">
        <v>383</v>
      </c>
      <c r="C225" s="3" t="s">
        <v>384</v>
      </c>
      <c r="D225" s="3" t="s">
        <v>64</v>
      </c>
      <c r="E225" s="3" t="s">
        <v>65</v>
      </c>
      <c r="F225" s="3" t="s">
        <v>66</v>
      </c>
      <c r="G225" s="3" t="s">
        <v>67</v>
      </c>
      <c r="H225" s="3" t="s">
        <v>68</v>
      </c>
      <c r="I225" s="3" t="s">
        <v>69</v>
      </c>
      <c r="J225" s="3" t="s">
        <v>70</v>
      </c>
      <c r="K225" s="3" t="s">
        <v>71</v>
      </c>
      <c r="L225" s="3" t="s">
        <v>72</v>
      </c>
      <c r="M225" s="3" t="s">
        <v>73</v>
      </c>
      <c r="N225" s="3" t="s">
        <v>74</v>
      </c>
      <c r="O225" s="3" t="s">
        <v>75</v>
      </c>
      <c r="P225" s="3" t="s">
        <v>132</v>
      </c>
    </row>
    <row r="226" customFormat="false" ht="15" hidden="false" customHeight="false" outlineLevel="0" collapsed="false">
      <c r="A226" s="6" t="str">
        <f aca="false">parametros_recargas!A55</f>
        <v>ABC 1 kg</v>
      </c>
      <c r="B226" s="6" t="str">
        <f aca="false">parametros_recargas!B55</f>
        <v>ABC</v>
      </c>
      <c r="C226" s="14" t="n">
        <f aca="false">parametros_recargas!C55</f>
        <v>1</v>
      </c>
      <c r="D226" s="26" t="n">
        <f aca="false">datos_base!$I$2*parametros_recargas!E$55+sobrestock_sustitutos!$H$51/12</f>
        <v>11394.0524638332</v>
      </c>
      <c r="E226" s="26" t="n">
        <f aca="false">datos_base!$I$2*parametros_recargas!F$55+sobrestock_sustitutos!$H$51/12</f>
        <v>9074.91149177605</v>
      </c>
      <c r="F226" s="26" t="n">
        <f aca="false">datos_base!$I$2*parametros_recargas!G$55+sobrestock_sustitutos!$H$51/12</f>
        <v>6760.35982022261</v>
      </c>
      <c r="G226" s="26" t="n">
        <f aca="false">datos_base!$I$2*parametros_recargas!H$55+sobrestock_sustitutos!$H$51/12</f>
        <v>6760.35982022261</v>
      </c>
      <c r="H226" s="26" t="n">
        <f aca="false">datos_base!$I$2*parametros_recargas!I$55+sobrestock_sustitutos!$H$51/12</f>
        <v>6764.94912072629</v>
      </c>
      <c r="I226" s="26" t="n">
        <f aca="false">datos_base!$I$2*parametros_recargas!J$55+sobrestock_sustitutos!$H$51/12</f>
        <v>6764.94912072629</v>
      </c>
      <c r="J226" s="26" t="n">
        <f aca="false">datos_base!$I$2*parametros_recargas!K$55+sobrestock_sustitutos!$H$51/12</f>
        <v>6757.01145405488</v>
      </c>
      <c r="K226" s="26" t="n">
        <f aca="false">datos_base!$I$2*parametros_recargas!L$55+sobrestock_sustitutos!$H$51/12</f>
        <v>6764.94912072629</v>
      </c>
      <c r="L226" s="26" t="n">
        <f aca="false">datos_base!$I$2*parametros_recargas!M$55+sobrestock_sustitutos!$H$51/12</f>
        <v>6764.32865355832</v>
      </c>
      <c r="M226" s="26" t="n">
        <f aca="false">datos_base!$I$2*parametros_recargas!N$55+sobrestock_sustitutos!$H$51/12</f>
        <v>6764.32865355832</v>
      </c>
      <c r="N226" s="26" t="n">
        <f aca="false">datos_base!$I$2*parametros_recargas!O$55+sobrestock_sustitutos!$H$51/12</f>
        <v>9078.88032511175</v>
      </c>
      <c r="O226" s="26" t="n">
        <f aca="false">datos_base!$I$2*parametros_recargas!P$55+sobrestock_sustitutos!$H$51/12</f>
        <v>11398.0212971689</v>
      </c>
      <c r="P226" s="12" t="n">
        <f aca="false">SUM(D226:O226)</f>
        <v>95047.1013416854</v>
      </c>
    </row>
    <row r="227" customFormat="false" ht="15" hidden="false" customHeight="false" outlineLevel="0" collapsed="false">
      <c r="A227" s="6" t="str">
        <f aca="false">parametros_recargas!A56</f>
        <v>ABC 2,5 kg</v>
      </c>
      <c r="B227" s="6" t="str">
        <f aca="false">parametros_recargas!B56</f>
        <v>ABC</v>
      </c>
      <c r="C227" s="14" t="n">
        <f aca="false">parametros_recargas!C56</f>
        <v>1</v>
      </c>
      <c r="D227" s="26" t="n">
        <f aca="false">datos_base!$I$3*parametros_recargas!E$56+sobrestock_sustitutos!$H$52/12</f>
        <v>483.91811623988</v>
      </c>
      <c r="E227" s="26" t="n">
        <f aca="false">datos_base!$I$3*parametros_recargas!F$56+sobrestock_sustitutos!$H$52/12</f>
        <v>483.91811623988</v>
      </c>
      <c r="F227" s="26" t="n">
        <f aca="false">datos_base!$I$3*parametros_recargas!G$56+sobrestock_sustitutos!$H$52/12</f>
        <v>660.670847648463</v>
      </c>
      <c r="G227" s="26" t="n">
        <f aca="false">datos_base!$I$3*parametros_recargas!H$56+sobrestock_sustitutos!$H$52/12</f>
        <v>767.898007475958</v>
      </c>
      <c r="H227" s="26" t="n">
        <f aca="false">datos_base!$I$3*parametros_recargas!I$56+sobrestock_sustitutos!$H$52/12</f>
        <v>830.366866288724</v>
      </c>
      <c r="I227" s="26" t="n">
        <f aca="false">datos_base!$I$3*parametros_recargas!J$56+sobrestock_sustitutos!$H$52/12</f>
        <v>821.089952720448</v>
      </c>
      <c r="J227" s="26" t="n">
        <f aca="false">datos_base!$I$3*parametros_recargas!K$56+sobrestock_sustitutos!$H$52/12</f>
        <v>596.318198635153</v>
      </c>
      <c r="K227" s="26" t="n">
        <f aca="false">datos_base!$I$3*parametros_recargas!L$56+sobrestock_sustitutos!$H$52/12</f>
        <v>697.529166556354</v>
      </c>
      <c r="L227" s="26" t="n">
        <f aca="false">datos_base!$I$3*parametros_recargas!M$56+sobrestock_sustitutos!$H$52/12</f>
        <v>699.026111856615</v>
      </c>
      <c r="M227" s="26" t="n">
        <f aca="false">datos_base!$I$3*parametros_recargas!N$56+sobrestock_sustitutos!$H$52/12</f>
        <v>699.026111856615</v>
      </c>
      <c r="N227" s="26" t="n">
        <f aca="false">datos_base!$I$3*parametros_recargas!O$56+sobrestock_sustitutos!$H$52/12</f>
        <v>636.55725304385</v>
      </c>
      <c r="O227" s="26" t="n">
        <f aca="false">datos_base!$I$3*parametros_recargas!P$56+sobrestock_sustitutos!$H$52/12</f>
        <v>645.834166612125</v>
      </c>
      <c r="P227" s="12" t="n">
        <f aca="false">SUM(D227:O227)</f>
        <v>8022.15291517406</v>
      </c>
    </row>
    <row r="228" customFormat="false" ht="15" hidden="false" customHeight="false" outlineLevel="0" collapsed="false">
      <c r="A228" s="6" t="str">
        <f aca="false">parametros_recargas!A57</f>
        <v>ABC 5 kg</v>
      </c>
      <c r="B228" s="6" t="str">
        <f aca="false">parametros_recargas!B57</f>
        <v>ABC</v>
      </c>
      <c r="C228" s="14" t="n">
        <f aca="false">parametros_recargas!C57</f>
        <v>1</v>
      </c>
      <c r="D228" s="26" t="n">
        <f aca="false">datos_base!$I$4*parametros_recargas!E$57+sobrestock_sustitutos!$H$53/12</f>
        <v>3284.78699981662</v>
      </c>
      <c r="E228" s="26" t="n">
        <f aca="false">datos_base!$I$4*parametros_recargas!F$57+sobrestock_sustitutos!$H$53/12</f>
        <v>3204.81401878831</v>
      </c>
      <c r="F228" s="26" t="n">
        <f aca="false">datos_base!$I$4*parametros_recargas!G$57+sobrestock_sustitutos!$H$53/12</f>
        <v>4011.86980432833</v>
      </c>
      <c r="G228" s="26" t="n">
        <f aca="false">datos_base!$I$4*parametros_recargas!H$57+sobrestock_sustitutos!$H$53/12</f>
        <v>4879.412312153</v>
      </c>
      <c r="H228" s="26" t="n">
        <f aca="false">datos_base!$I$4*parametros_recargas!I$57+sobrestock_sustitutos!$H$53/12</f>
        <v>4897.3250264327</v>
      </c>
      <c r="I228" s="26" t="n">
        <f aca="false">datos_base!$I$4*parametros_recargas!J$57+sobrestock_sustitutos!$H$53/12</f>
        <v>4836.10623926185</v>
      </c>
      <c r="J228" s="26" t="n">
        <f aca="false">datos_base!$I$4*parametros_recargas!K$57+sobrestock_sustitutos!$H$53/12</f>
        <v>3915.28688188134</v>
      </c>
      <c r="K228" s="26" t="n">
        <f aca="false">datos_base!$I$4*parametros_recargas!L$57+sobrestock_sustitutos!$H$53/12</f>
        <v>3905.77139980237</v>
      </c>
      <c r="L228" s="26" t="n">
        <f aca="false">datos_base!$I$4*parametros_recargas!M$57+sobrestock_sustitutos!$H$53/12</f>
        <v>3960.01781456274</v>
      </c>
      <c r="M228" s="26" t="n">
        <f aca="false">datos_base!$I$4*parametros_recargas!N$57+sobrestock_sustitutos!$H$53/12</f>
        <v>3960.01781456274</v>
      </c>
      <c r="N228" s="26" t="n">
        <f aca="false">datos_base!$I$4*parametros_recargas!O$57+sobrestock_sustitutos!$H$53/12</f>
        <v>4022.07808131135</v>
      </c>
      <c r="O228" s="26" t="n">
        <f aca="false">datos_base!$I$4*parametros_recargas!P$57+sobrestock_sustitutos!$H$53/12</f>
        <v>4163.26984951051</v>
      </c>
      <c r="P228" s="12" t="n">
        <f aca="false">SUM(D228:O228)</f>
        <v>49040.7562424118</v>
      </c>
    </row>
    <row r="229" customFormat="false" ht="15" hidden="false" customHeight="false" outlineLevel="0" collapsed="false">
      <c r="A229" s="6" t="str">
        <f aca="false">parametros_recargas!A58</f>
        <v>ABC 10 kg</v>
      </c>
      <c r="B229" s="6" t="str">
        <f aca="false">parametros_recargas!B58</f>
        <v>ABC</v>
      </c>
      <c r="C229" s="14" t="n">
        <f aca="false">parametros_recargas!C58</f>
        <v>1</v>
      </c>
      <c r="D229" s="26" t="n">
        <f aca="false">datos_base!$I$5*parametros_recargas!E$58+sobrestock_sustitutos!$H$54/12</f>
        <v>188.538458260596</v>
      </c>
      <c r="E229" s="26" t="n">
        <f aca="false">datos_base!$I$5*parametros_recargas!F$58+sobrestock_sustitutos!$H$54/12</f>
        <v>188.538458260596</v>
      </c>
      <c r="F229" s="26" t="n">
        <f aca="false">datos_base!$I$5*parametros_recargas!G$58+sobrestock_sustitutos!$H$54/12</f>
        <v>241.729335987661</v>
      </c>
      <c r="G229" s="26" t="n">
        <f aca="false">datos_base!$I$5*parametros_recargas!H$58+sobrestock_sustitutos!$H$54/12</f>
        <v>293.690100103097</v>
      </c>
      <c r="H229" s="26" t="n">
        <f aca="false">datos_base!$I$5*parametros_recargas!I$58+sobrestock_sustitutos!$H$54/12</f>
        <v>296.40402641921</v>
      </c>
      <c r="I229" s="26" t="n">
        <f aca="false">datos_base!$I$5*parametros_recargas!J$58+sobrestock_sustitutos!$H$54/12</f>
        <v>287.94483105677</v>
      </c>
      <c r="J229" s="26" t="n">
        <f aca="false">datos_base!$I$5*parametros_recargas!K$58+sobrestock_sustitutos!$H$54/12</f>
        <v>227.06852298013</v>
      </c>
      <c r="K229" s="26" t="n">
        <f aca="false">datos_base!$I$5*parametros_recargas!L$58+sobrestock_sustitutos!$H$54/12</f>
        <v>229.008684283378</v>
      </c>
      <c r="L229" s="26" t="n">
        <f aca="false">datos_base!$I$5*parametros_recargas!M$58+sobrestock_sustitutos!$H$54/12</f>
        <v>237.467879645818</v>
      </c>
      <c r="M229" s="26" t="n">
        <f aca="false">datos_base!$I$5*parametros_recargas!N$58+sobrestock_sustitutos!$H$54/12</f>
        <v>237.467879645818</v>
      </c>
      <c r="N229" s="26" t="n">
        <f aca="false">datos_base!$I$5*parametros_recargas!O$58+sobrestock_sustitutos!$H$54/12</f>
        <v>234.753953329705</v>
      </c>
      <c r="O229" s="26" t="n">
        <f aca="false">datos_base!$I$5*parametros_recargas!P$58+sobrestock_sustitutos!$H$54/12</f>
        <v>243.213148692145</v>
      </c>
      <c r="P229" s="12" t="n">
        <f aca="false">SUM(D229:O229)</f>
        <v>2905.82527866492</v>
      </c>
    </row>
    <row r="230" customFormat="false" ht="15" hidden="false" customHeight="false" outlineLevel="0" collapsed="false">
      <c r="A230" s="6" t="str">
        <f aca="false">parametros_recargas!A59</f>
        <v>Agua 10 l</v>
      </c>
      <c r="B230" s="6" t="str">
        <f aca="false">parametros_recargas!B59</f>
        <v>Agua</v>
      </c>
      <c r="C230" s="14" t="n">
        <f aca="false">parametros_recargas!C59</f>
        <v>1</v>
      </c>
      <c r="D230" s="26" t="n">
        <f aca="false">datos_base!$I$6*parametros_recargas!E$59+sobrestock_sustitutos!$H$55/12</f>
        <v>275.154020619403</v>
      </c>
      <c r="E230" s="26" t="n">
        <f aca="false">datos_base!$I$6*parametros_recargas!F$59+sobrestock_sustitutos!$H$55/12</f>
        <v>275.154020619403</v>
      </c>
      <c r="F230" s="26" t="n">
        <f aca="false">datos_base!$I$6*parametros_recargas!G$59+sobrestock_sustitutos!$H$55/12</f>
        <v>338.485258706082</v>
      </c>
      <c r="G230" s="26" t="n">
        <f aca="false">datos_base!$I$6*parametros_recargas!H$59+sobrestock_sustitutos!$H$55/12</f>
        <v>405.252790239927</v>
      </c>
      <c r="H230" s="26" t="n">
        <f aca="false">datos_base!$I$6*parametros_recargas!I$59+sobrestock_sustitutos!$H$55/12</f>
        <v>407.757046065398</v>
      </c>
      <c r="I230" s="26" t="n">
        <f aca="false">datos_base!$I$6*parametros_recargas!J$59+sobrestock_sustitutos!$H$55/12</f>
        <v>395.968286076255</v>
      </c>
      <c r="J230" s="26" t="n">
        <f aca="false">datos_base!$I$6*parametros_recargas!K$59+sobrestock_sustitutos!$H$55/12</f>
        <v>322.747193458985</v>
      </c>
      <c r="K230" s="26" t="n">
        <f aca="false">datos_base!$I$6*parametros_recargas!L$59+sobrestock_sustitutos!$H$55/12</f>
        <v>323.352543825903</v>
      </c>
      <c r="L230" s="26" t="n">
        <f aca="false">datos_base!$I$6*parametros_recargas!M$59+sobrestock_sustitutos!$H$55/12</f>
        <v>334.401775852161</v>
      </c>
      <c r="M230" s="26" t="n">
        <f aca="false">datos_base!$I$6*parametros_recargas!N$59+sobrestock_sustitutos!$H$55/12</f>
        <v>334.401775852161</v>
      </c>
      <c r="N230" s="26" t="n">
        <f aca="false">datos_base!$I$6*parametros_recargas!O$59+sobrestock_sustitutos!$H$55/12</f>
        <v>331.89752002669</v>
      </c>
      <c r="O230" s="26" t="n">
        <f aca="false">datos_base!$I$6*parametros_recargas!P$59+sobrestock_sustitutos!$H$55/12</f>
        <v>343.686280015833</v>
      </c>
      <c r="P230" s="12" t="n">
        <f aca="false">SUM(D230:O230)</f>
        <v>4088.2585113582</v>
      </c>
    </row>
    <row r="231" customFormat="false" ht="15" hidden="false" customHeight="false" outlineLevel="0" collapsed="false">
      <c r="A231" s="6" t="str">
        <f aca="false">parametros_recargas!A60</f>
        <v>AFFF 10 l</v>
      </c>
      <c r="B231" s="6" t="str">
        <f aca="false">parametros_recargas!B60</f>
        <v>AFFF</v>
      </c>
      <c r="C231" s="14" t="n">
        <f aca="false">parametros_recargas!C60</f>
        <v>1</v>
      </c>
      <c r="D231" s="26" t="n">
        <f aca="false">datos_base!$I$7*parametros_recargas!E$60+sobrestock_sustitutos!$H$56/12</f>
        <v>63.2082006174928</v>
      </c>
      <c r="E231" s="26" t="n">
        <f aca="false">datos_base!$I$7*parametros_recargas!F$60+sobrestock_sustitutos!$H$56/12</f>
        <v>63.2082006174928</v>
      </c>
      <c r="F231" s="26" t="n">
        <f aca="false">datos_base!$I$7*parametros_recargas!G$60+sobrestock_sustitutos!$H$56/12</f>
        <v>63.2082006174928</v>
      </c>
      <c r="G231" s="26" t="n">
        <f aca="false">datos_base!$I$7*parametros_recargas!H$60+sobrestock_sustitutos!$H$56/12</f>
        <v>63.2082006174928</v>
      </c>
      <c r="H231" s="26" t="n">
        <f aca="false">datos_base!$I$7*parametros_recargas!I$60+sobrestock_sustitutos!$H$56/12</f>
        <v>63.2082006174928</v>
      </c>
      <c r="I231" s="26" t="n">
        <f aca="false">datos_base!$I$7*parametros_recargas!J$60+sobrestock_sustitutos!$H$56/12</f>
        <v>63.2082006174928</v>
      </c>
      <c r="J231" s="26" t="n">
        <f aca="false">datos_base!$I$7*parametros_recargas!K$60+sobrestock_sustitutos!$H$56/12</f>
        <v>63.2082006174928</v>
      </c>
      <c r="K231" s="26" t="n">
        <f aca="false">datos_base!$I$7*parametros_recargas!L$60+sobrestock_sustitutos!$H$56/12</f>
        <v>63.2082006174928</v>
      </c>
      <c r="L231" s="26" t="n">
        <f aca="false">datos_base!$I$7*parametros_recargas!M$60+sobrestock_sustitutos!$H$56/12</f>
        <v>63.2082006174928</v>
      </c>
      <c r="M231" s="26" t="n">
        <f aca="false">datos_base!$I$7*parametros_recargas!N$60+sobrestock_sustitutos!$H$56/12</f>
        <v>63.2082006174928</v>
      </c>
      <c r="N231" s="26" t="n">
        <f aca="false">datos_base!$I$7*parametros_recargas!O$60+sobrestock_sustitutos!$H$56/12</f>
        <v>63.2082006174928</v>
      </c>
      <c r="O231" s="26" t="n">
        <f aca="false">datos_base!$I$7*parametros_recargas!P$60+sobrestock_sustitutos!$H$56/12</f>
        <v>63.2082006174928</v>
      </c>
      <c r="P231" s="12" t="n">
        <f aca="false">SUM(D231:O231)</f>
        <v>758.498407409914</v>
      </c>
    </row>
    <row r="232" customFormat="false" ht="15" hidden="false" customHeight="false" outlineLevel="0" collapsed="false">
      <c r="A232" s="6" t="str">
        <f aca="false">parametros_recargas!A61</f>
        <v>AFFF 50 l s/ruedas</v>
      </c>
      <c r="B232" s="6" t="str">
        <f aca="false">parametros_recargas!B61</f>
        <v>AFFF</v>
      </c>
      <c r="C232" s="14" t="n">
        <f aca="false">parametros_recargas!C61</f>
        <v>6.360853875</v>
      </c>
      <c r="D232" s="26" t="n">
        <f aca="false">datos_base!$I$8*parametros_recargas!E$61+sobrestock_sustitutos!$H$57/12</f>
        <v>33.2801876816582</v>
      </c>
      <c r="E232" s="26" t="n">
        <f aca="false">datos_base!$I$8*parametros_recargas!F$61+sobrestock_sustitutos!$H$57/12</f>
        <v>33.2801876816582</v>
      </c>
      <c r="F232" s="26" t="n">
        <f aca="false">datos_base!$I$8*parametros_recargas!G$61+sobrestock_sustitutos!$H$57/12</f>
        <v>33.2801876816582</v>
      </c>
      <c r="G232" s="26" t="n">
        <f aca="false">datos_base!$I$8*parametros_recargas!H$61+sobrestock_sustitutos!$H$57/12</f>
        <v>33.2801876816582</v>
      </c>
      <c r="H232" s="26" t="n">
        <f aca="false">datos_base!$I$8*parametros_recargas!I$61+sobrestock_sustitutos!$H$57/12</f>
        <v>33.2801876816582</v>
      </c>
      <c r="I232" s="26" t="n">
        <f aca="false">datos_base!$I$8*parametros_recargas!J$61+sobrestock_sustitutos!$H$57/12</f>
        <v>33.2801876816582</v>
      </c>
      <c r="J232" s="26" t="n">
        <f aca="false">datos_base!$I$8*parametros_recargas!K$61+sobrestock_sustitutos!$H$57/12</f>
        <v>33.2801876816582</v>
      </c>
      <c r="K232" s="26" t="n">
        <f aca="false">datos_base!$I$8*parametros_recargas!L$61+sobrestock_sustitutos!$H$57/12</f>
        <v>33.2801876816582</v>
      </c>
      <c r="L232" s="26" t="n">
        <f aca="false">datos_base!$I$8*parametros_recargas!M$61+sobrestock_sustitutos!$H$57/12</f>
        <v>33.2801876816582</v>
      </c>
      <c r="M232" s="26" t="n">
        <f aca="false">datos_base!$I$8*parametros_recargas!N$61+sobrestock_sustitutos!$H$57/12</f>
        <v>33.2801876816582</v>
      </c>
      <c r="N232" s="26" t="n">
        <f aca="false">datos_base!$I$8*parametros_recargas!O$61+sobrestock_sustitutos!$H$57/12</f>
        <v>33.2801876816582</v>
      </c>
      <c r="O232" s="26" t="n">
        <f aca="false">datos_base!$I$8*parametros_recargas!P$61+sobrestock_sustitutos!$H$57/12</f>
        <v>33.2801876816582</v>
      </c>
      <c r="P232" s="12" t="n">
        <f aca="false">SUM(D232:O232)</f>
        <v>399.362252179898</v>
      </c>
    </row>
    <row r="233" customFormat="false" ht="15" hidden="false" customHeight="false" outlineLevel="0" collapsed="false">
      <c r="A233" s="6" t="str">
        <f aca="false">parametros_recargas!A62</f>
        <v>BC 5 kg</v>
      </c>
      <c r="B233" s="6" t="str">
        <f aca="false">parametros_recargas!B62</f>
        <v>BC</v>
      </c>
      <c r="C233" s="14" t="n">
        <f aca="false">parametros_recargas!C62</f>
        <v>1</v>
      </c>
      <c r="D233" s="26" t="n">
        <f aca="false">datos_base!$I$9*parametros_recargas!E$62+sobrestock_sustitutos!$H$58/12</f>
        <v>19.1225688318319</v>
      </c>
      <c r="E233" s="26" t="n">
        <f aca="false">datos_base!$I$9*parametros_recargas!F$62+sobrestock_sustitutos!$H$58/12</f>
        <v>19.1225688318319</v>
      </c>
      <c r="F233" s="26" t="n">
        <f aca="false">datos_base!$I$9*parametros_recargas!G$62+sobrestock_sustitutos!$H$58/12</f>
        <v>19.1225688318319</v>
      </c>
      <c r="G233" s="26" t="n">
        <f aca="false">datos_base!$I$9*parametros_recargas!H$62+sobrestock_sustitutos!$H$58/12</f>
        <v>19.1225688318319</v>
      </c>
      <c r="H233" s="26" t="n">
        <f aca="false">datos_base!$I$9*parametros_recargas!I$62+sobrestock_sustitutos!$H$58/12</f>
        <v>19.1225688318319</v>
      </c>
      <c r="I233" s="26" t="n">
        <f aca="false">datos_base!$I$9*parametros_recargas!J$62+sobrestock_sustitutos!$H$58/12</f>
        <v>19.1225688318319</v>
      </c>
      <c r="J233" s="26" t="n">
        <f aca="false">datos_base!$I$9*parametros_recargas!K$62+sobrestock_sustitutos!$H$58/12</f>
        <v>19.1225688318319</v>
      </c>
      <c r="K233" s="26" t="n">
        <f aca="false">datos_base!$I$9*parametros_recargas!L$62+sobrestock_sustitutos!$H$58/12</f>
        <v>19.1225688318319</v>
      </c>
      <c r="L233" s="26" t="n">
        <f aca="false">datos_base!$I$9*parametros_recargas!M$62+sobrestock_sustitutos!$H$58/12</f>
        <v>19.1225688318319</v>
      </c>
      <c r="M233" s="26" t="n">
        <f aca="false">datos_base!$I$9*parametros_recargas!N$62+sobrestock_sustitutos!$H$58/12</f>
        <v>19.1225688318319</v>
      </c>
      <c r="N233" s="26" t="n">
        <f aca="false">datos_base!$I$9*parametros_recargas!O$62+sobrestock_sustitutos!$H$58/12</f>
        <v>19.1225688318319</v>
      </c>
      <c r="O233" s="26" t="n">
        <f aca="false">datos_base!$I$9*parametros_recargas!P$62+sobrestock_sustitutos!$H$58/12</f>
        <v>19.1225688318319</v>
      </c>
      <c r="P233" s="12" t="n">
        <f aca="false">SUM(D233:O233)</f>
        <v>229.470825981982</v>
      </c>
    </row>
    <row r="234" customFormat="false" ht="15" hidden="false" customHeight="false" outlineLevel="0" collapsed="false">
      <c r="A234" s="6" t="str">
        <f aca="false">parametros_recargas!A63</f>
        <v>Sales K 6 l</v>
      </c>
      <c r="B234" s="6" t="str">
        <f aca="false">parametros_recargas!B63</f>
        <v>Sales K</v>
      </c>
      <c r="C234" s="14" t="n">
        <f aca="false">parametros_recargas!C63</f>
        <v>1</v>
      </c>
      <c r="D234" s="26" t="n">
        <f aca="false">datos_base!$I$10*parametros_recargas!E$63+sobrestock_sustitutos!$H$59/12</f>
        <v>140.234250962518</v>
      </c>
      <c r="E234" s="26" t="n">
        <f aca="false">datos_base!$I$10*parametros_recargas!F$63+sobrestock_sustitutos!$H$59/12</f>
        <v>140.234250962518</v>
      </c>
      <c r="F234" s="26" t="n">
        <f aca="false">datos_base!$I$10*parametros_recargas!G$63+sobrestock_sustitutos!$H$59/12</f>
        <v>168.589521289053</v>
      </c>
      <c r="G234" s="26" t="n">
        <f aca="false">datos_base!$I$10*parametros_recargas!H$63+sobrestock_sustitutos!$H$59/12</f>
        <v>190.435778405607</v>
      </c>
      <c r="H234" s="26" t="n">
        <f aca="false">datos_base!$I$10*parametros_recargas!I$63+sobrestock_sustitutos!$H$59/12</f>
        <v>195.167361695753</v>
      </c>
      <c r="I234" s="26" t="n">
        <f aca="false">datos_base!$I$10*parametros_recargas!J$63+sobrestock_sustitutos!$H$59/12</f>
        <v>191.209736069042</v>
      </c>
      <c r="J234" s="26" t="n">
        <f aca="false">datos_base!$I$10*parametros_recargas!K$63+sobrestock_sustitutos!$H$59/12</f>
        <v>157.032784598924</v>
      </c>
      <c r="K234" s="26" t="n">
        <f aca="false">datos_base!$I$10*parametros_recargas!L$63+sobrestock_sustitutos!$H$59/12</f>
        <v>163.628423405943</v>
      </c>
      <c r="L234" s="26" t="n">
        <f aca="false">datos_base!$I$10*parametros_recargas!M$63+sobrestock_sustitutos!$H$59/12</f>
        <v>167.586049032653</v>
      </c>
      <c r="M234" s="26" t="n">
        <f aca="false">datos_base!$I$10*parametros_recargas!N$63+sobrestock_sustitutos!$H$59/12</f>
        <v>167.586049032653</v>
      </c>
      <c r="N234" s="26" t="n">
        <f aca="false">datos_base!$I$10*parametros_recargas!O$63+sobrestock_sustitutos!$H$59/12</f>
        <v>162.854465742507</v>
      </c>
      <c r="O234" s="26" t="n">
        <f aca="false">datos_base!$I$10*parametros_recargas!P$63+sobrestock_sustitutos!$H$59/12</f>
        <v>166.812091369217</v>
      </c>
      <c r="P234" s="12" t="n">
        <f aca="false">SUM(D234:O234)</f>
        <v>2011.37076256639</v>
      </c>
    </row>
    <row r="235" customFormat="false" ht="15" hidden="false" customHeight="false" outlineLevel="0" collapsed="false">
      <c r="A235" s="6" t="str">
        <f aca="false">parametros_recargas!A64</f>
        <v>CO₂ 2 kg</v>
      </c>
      <c r="B235" s="6" t="str">
        <f aca="false">parametros_recargas!B64</f>
        <v>CO₂</v>
      </c>
      <c r="C235" s="14" t="n">
        <f aca="false">parametros_recargas!C64</f>
        <v>1</v>
      </c>
      <c r="D235" s="26" t="n">
        <f aca="false">datos_base!$I$11*parametros_recargas!E$64+sobrestock_sustitutos!$H$60/12</f>
        <v>683.25663621144</v>
      </c>
      <c r="E235" s="26" t="n">
        <f aca="false">datos_base!$I$11*parametros_recargas!F$64+sobrestock_sustitutos!$H$60/12</f>
        <v>683.25663621144</v>
      </c>
      <c r="F235" s="26" t="n">
        <f aca="false">datos_base!$I$11*parametros_recargas!G$64+sobrestock_sustitutos!$H$60/12</f>
        <v>915.29009523851</v>
      </c>
      <c r="G235" s="26" t="n">
        <f aca="false">datos_base!$I$11*parametros_recargas!H$64+sobrestock_sustitutos!$H$60/12</f>
        <v>1133.5303291601</v>
      </c>
      <c r="H235" s="26" t="n">
        <f aca="false">datos_base!$I$11*parametros_recargas!I$64+sobrestock_sustitutos!$H$60/12</f>
        <v>1138.07983506633</v>
      </c>
      <c r="I235" s="26" t="n">
        <f aca="false">datos_base!$I$11*parametros_recargas!J$64+sobrestock_sustitutos!$H$60/12</f>
        <v>1123.76452240301</v>
      </c>
      <c r="J235" s="26" t="n">
        <f aca="false">datos_base!$I$11*parametros_recargas!K$64+sobrestock_sustitutos!$H$60/12</f>
        <v>884.645760737679</v>
      </c>
      <c r="K235" s="26" t="n">
        <f aca="false">datos_base!$I$11*parametros_recargas!L$64+sobrestock_sustitutos!$H$60/12</f>
        <v>881.965256618841</v>
      </c>
      <c r="L235" s="26" t="n">
        <f aca="false">datos_base!$I$11*parametros_recargas!M$64+sobrestock_sustitutos!$H$60/12</f>
        <v>896.280569282161</v>
      </c>
      <c r="M235" s="26" t="n">
        <f aca="false">datos_base!$I$11*parametros_recargas!N$64+sobrestock_sustitutos!$H$60/12</f>
        <v>896.280569282161</v>
      </c>
      <c r="N235" s="26" t="n">
        <f aca="false">datos_base!$I$11*parametros_recargas!O$64+sobrestock_sustitutos!$H$60/12</f>
        <v>891.731063375936</v>
      </c>
      <c r="O235" s="26" t="n">
        <f aca="false">datos_base!$I$11*parametros_recargas!P$64+sobrestock_sustitutos!$H$60/12</f>
        <v>906.046376039255</v>
      </c>
      <c r="P235" s="12" t="n">
        <f aca="false">SUM(D235:O235)</f>
        <v>11034.1276496269</v>
      </c>
    </row>
    <row r="236" customFormat="false" ht="15" hidden="false" customHeight="false" outlineLevel="0" collapsed="false">
      <c r="A236" s="6" t="str">
        <f aca="false">parametros_recargas!A65</f>
        <v>CO₂ 5 kg</v>
      </c>
      <c r="B236" s="6" t="str">
        <f aca="false">parametros_recargas!B65</f>
        <v>CO₂</v>
      </c>
      <c r="C236" s="14" t="n">
        <f aca="false">parametros_recargas!C65</f>
        <v>1</v>
      </c>
      <c r="D236" s="26" t="n">
        <f aca="false">datos_base!$I$12*parametros_recargas!E$65+sobrestock_sustitutos!$H$61/12</f>
        <v>283.18093671312</v>
      </c>
      <c r="E236" s="26" t="n">
        <f aca="false">datos_base!$I$12*parametros_recargas!F$65+sobrestock_sustitutos!$H$61/12</f>
        <v>283.18093671312</v>
      </c>
      <c r="F236" s="26" t="n">
        <f aca="false">datos_base!$I$12*parametros_recargas!G$65+sobrestock_sustitutos!$H$61/12</f>
        <v>306.940883138362</v>
      </c>
      <c r="G236" s="26" t="n">
        <f aca="false">datos_base!$I$12*parametros_recargas!H$65+sobrestock_sustitutos!$H$61/12</f>
        <v>339.860309860469</v>
      </c>
      <c r="H236" s="26" t="n">
        <f aca="false">datos_base!$I$12*parametros_recargas!I$65+sobrestock_sustitutos!$H$61/12</f>
        <v>345.516977326594</v>
      </c>
      <c r="I236" s="26" t="n">
        <f aca="false">datos_base!$I$12*parametros_recargas!J$65+sobrestock_sustitutos!$H$61/12</f>
        <v>329.607838949288</v>
      </c>
      <c r="J236" s="26" t="n">
        <f aca="false">datos_base!$I$12*parametros_recargas!K$65+sobrestock_sustitutos!$H$61/12</f>
        <v>291.633048425301</v>
      </c>
      <c r="K236" s="26" t="n">
        <f aca="false">datos_base!$I$12*parametros_recargas!L$65+sobrestock_sustitutos!$H$61/12</f>
        <v>295.595421612864</v>
      </c>
      <c r="L236" s="26" t="n">
        <f aca="false">datos_base!$I$12*parametros_recargas!M$65+sobrestock_sustitutos!$H$61/12</f>
        <v>308.102326771406</v>
      </c>
      <c r="M236" s="26" t="n">
        <f aca="false">datos_base!$I$12*parametros_recargas!N$65+sobrestock_sustitutos!$H$61/12</f>
        <v>308.102326771406</v>
      </c>
      <c r="N236" s="26" t="n">
        <f aca="false">datos_base!$I$12*parametros_recargas!O$65+sobrestock_sustitutos!$H$61/12</f>
        <v>302.445659305282</v>
      </c>
      <c r="O236" s="26" t="n">
        <f aca="false">datos_base!$I$12*parametros_recargas!P$65+sobrestock_sustitutos!$H$61/12</f>
        <v>318.354797682587</v>
      </c>
      <c r="P236" s="12" t="n">
        <f aca="false">SUM(D236:O236)</f>
        <v>3712.5214632698</v>
      </c>
    </row>
    <row r="237" customFormat="false" ht="15" hidden="false" customHeight="false" outlineLevel="0" collapsed="false">
      <c r="A237" s="6" t="str">
        <f aca="false">parametros_recargas!A66</f>
        <v>HCFC/HFC 5 kg</v>
      </c>
      <c r="B237" s="6" t="str">
        <f aca="false">parametros_recargas!B66</f>
        <v>Halogenado</v>
      </c>
      <c r="C237" s="14" t="n">
        <f aca="false">parametros_recargas!C66</f>
        <v>1</v>
      </c>
      <c r="D237" s="26" t="n">
        <f aca="false">datos_base!$I$13*parametros_recargas!E$66+sobrestock_sustitutos!$H$62/12</f>
        <v>53.639990355596</v>
      </c>
      <c r="E237" s="26" t="n">
        <f aca="false">datos_base!$I$13*parametros_recargas!F$66+sobrestock_sustitutos!$H$62/12</f>
        <v>53.639990355596</v>
      </c>
      <c r="F237" s="26" t="n">
        <f aca="false">datos_base!$I$13*parametros_recargas!G$66+sobrestock_sustitutos!$H$62/12</f>
        <v>50.2146074835373</v>
      </c>
      <c r="G237" s="26" t="n">
        <f aca="false">datos_base!$I$13*parametros_recargas!H$66+sobrestock_sustitutos!$H$62/12</f>
        <v>50.2146074835373</v>
      </c>
      <c r="H237" s="26" t="n">
        <f aca="false">datos_base!$I$13*parametros_recargas!I$66+sobrestock_sustitutos!$H$62/12</f>
        <v>50.2146074835373</v>
      </c>
      <c r="I237" s="26" t="n">
        <f aca="false">datos_base!$I$13*parametros_recargas!J$66+sobrestock_sustitutos!$H$62/12</f>
        <v>46.7892246114785</v>
      </c>
      <c r="J237" s="26" t="n">
        <f aca="false">datos_base!$I$13*parametros_recargas!K$66+sobrestock_sustitutos!$H$62/12</f>
        <v>46.7892246114785</v>
      </c>
      <c r="K237" s="26" t="n">
        <f aca="false">datos_base!$I$13*parametros_recargas!L$66+sobrestock_sustitutos!$H$62/12</f>
        <v>46.7892246114785</v>
      </c>
      <c r="L237" s="26" t="n">
        <f aca="false">datos_base!$I$13*parametros_recargas!M$66+sobrestock_sustitutos!$H$62/12</f>
        <v>50.2146074835373</v>
      </c>
      <c r="M237" s="26" t="n">
        <f aca="false">datos_base!$I$13*parametros_recargas!N$66+sobrestock_sustitutos!$H$62/12</f>
        <v>50.2146074835373</v>
      </c>
      <c r="N237" s="26" t="n">
        <f aca="false">datos_base!$I$13*parametros_recargas!O$66+sobrestock_sustitutos!$H$62/12</f>
        <v>50.2146074835373</v>
      </c>
      <c r="O237" s="26" t="n">
        <f aca="false">datos_base!$I$13*parametros_recargas!P$66+sobrestock_sustitutos!$H$62/12</f>
        <v>53.639990355596</v>
      </c>
      <c r="P237" s="12" t="n">
        <f aca="false">SUM(D237:O237)</f>
        <v>602.575289802447</v>
      </c>
    </row>
    <row r="238" customFormat="false" ht="15" hidden="false" customHeight="false" outlineLevel="0" collapsed="false">
      <c r="A238" s="6" t="str">
        <f aca="false">parametros_recargas!A67</f>
        <v>Clase D 9 l</v>
      </c>
      <c r="B238" s="6" t="str">
        <f aca="false">parametros_recargas!B67</f>
        <v>Clase D</v>
      </c>
      <c r="C238" s="14" t="n">
        <f aca="false">parametros_recargas!C67</f>
        <v>1</v>
      </c>
      <c r="D238" s="26" t="n">
        <f aca="false">datos_base!$I$14*parametros_recargas!E$67+sobrestock_sustitutos!$H$63/12</f>
        <v>17.2048139776019</v>
      </c>
      <c r="E238" s="26" t="n">
        <f aca="false">datos_base!$I$14*parametros_recargas!F$67+sobrestock_sustitutos!$H$63/12</f>
        <v>17.2048139776019</v>
      </c>
      <c r="F238" s="26" t="n">
        <f aca="false">datos_base!$I$14*parametros_recargas!G$67+sobrestock_sustitutos!$H$63/12</f>
        <v>17.2048139776019</v>
      </c>
      <c r="G238" s="26" t="n">
        <f aca="false">datos_base!$I$14*parametros_recargas!H$67+sobrestock_sustitutos!$H$63/12</f>
        <v>17.2048139776019</v>
      </c>
      <c r="H238" s="26" t="n">
        <f aca="false">datos_base!$I$14*parametros_recargas!I$67+sobrestock_sustitutos!$H$63/12</f>
        <v>17.2048139776019</v>
      </c>
      <c r="I238" s="26" t="n">
        <f aca="false">datos_base!$I$14*parametros_recargas!J$67+sobrestock_sustitutos!$H$63/12</f>
        <v>17.2048139776019</v>
      </c>
      <c r="J238" s="26" t="n">
        <f aca="false">datos_base!$I$14*parametros_recargas!K$67+sobrestock_sustitutos!$H$63/12</f>
        <v>17.2048139776019</v>
      </c>
      <c r="K238" s="26" t="n">
        <f aca="false">datos_base!$I$14*parametros_recargas!L$67+sobrestock_sustitutos!$H$63/12</f>
        <v>17.2048139776019</v>
      </c>
      <c r="L238" s="26" t="n">
        <f aca="false">datos_base!$I$14*parametros_recargas!M$67+sobrestock_sustitutos!$H$63/12</f>
        <v>17.2048139776019</v>
      </c>
      <c r="M238" s="26" t="n">
        <f aca="false">datos_base!$I$14*parametros_recargas!N$67+sobrestock_sustitutos!$H$63/12</f>
        <v>17.2048139776019</v>
      </c>
      <c r="N238" s="26" t="n">
        <f aca="false">datos_base!$I$14*parametros_recargas!O$67+sobrestock_sustitutos!$H$63/12</f>
        <v>17.2048139776019</v>
      </c>
      <c r="O238" s="26" t="n">
        <f aca="false">datos_base!$I$14*parametros_recargas!P$67+sobrestock_sustitutos!$H$63/12</f>
        <v>17.2048139776019</v>
      </c>
      <c r="P238" s="12" t="n">
        <f aca="false">SUM(D238:O238)</f>
        <v>206.457767731223</v>
      </c>
    </row>
    <row r="239" customFormat="false" ht="15" hidden="false" customHeight="false" outlineLevel="0" collapsed="false">
      <c r="A239" s="6" t="str">
        <f aca="false">parametros_recargas!A68</f>
        <v>ABC 25 kg s/ruedas</v>
      </c>
      <c r="B239" s="6" t="str">
        <f aca="false">parametros_recargas!B68</f>
        <v>ABC</v>
      </c>
      <c r="C239" s="14" t="n">
        <f aca="false">parametros_recargas!C68</f>
        <v>6.360853875</v>
      </c>
      <c r="D239" s="26" t="n">
        <f aca="false">datos_base!$I$15*parametros_recargas!E$68+sobrestock_sustitutos!$H$64/12</f>
        <v>37.1753195480301</v>
      </c>
      <c r="E239" s="26" t="n">
        <f aca="false">datos_base!$I$15*parametros_recargas!F$68+sobrestock_sustitutos!$H$64/12</f>
        <v>37.1753195480301</v>
      </c>
      <c r="F239" s="26" t="n">
        <f aca="false">datos_base!$I$15*parametros_recargas!G$68+sobrestock_sustitutos!$H$64/12</f>
        <v>41.3487710564208</v>
      </c>
      <c r="G239" s="26" t="n">
        <f aca="false">datos_base!$I$15*parametros_recargas!H$68+sobrestock_sustitutos!$H$64/12</f>
        <v>46.8825405904699</v>
      </c>
      <c r="H239" s="26" t="n">
        <f aca="false">datos_base!$I$15*parametros_recargas!I$68+sobrestock_sustitutos!$H$64/12</f>
        <v>47.1072366099277</v>
      </c>
      <c r="I239" s="26" t="n">
        <f aca="false">datos_base!$I$15*parametros_recargas!J$68+sobrestock_sustitutos!$H$64/12</f>
        <v>45.2789473035816</v>
      </c>
      <c r="J239" s="26" t="n">
        <f aca="false">datos_base!$I$15*parametros_recargas!K$68+sobrestock_sustitutos!$H$64/12</f>
        <v>39.1741481000019</v>
      </c>
      <c r="K239" s="26" t="n">
        <f aca="false">datos_base!$I$15*parametros_recargas!L$68+sobrestock_sustitutos!$H$64/12</f>
        <v>39.5019025083028</v>
      </c>
      <c r="L239" s="26" t="n">
        <f aca="false">datos_base!$I$15*parametros_recargas!M$68+sobrestock_sustitutos!$H$64/12</f>
        <v>41.3301918146489</v>
      </c>
      <c r="M239" s="26" t="n">
        <f aca="false">datos_base!$I$15*parametros_recargas!N$68+sobrestock_sustitutos!$H$64/12</f>
        <v>41.3301918146489</v>
      </c>
      <c r="N239" s="26" t="n">
        <f aca="false">datos_base!$I$15*parametros_recargas!O$68+sobrestock_sustitutos!$H$64/12</f>
        <v>41.105495795191</v>
      </c>
      <c r="O239" s="26" t="n">
        <f aca="false">datos_base!$I$15*parametros_recargas!P$68+sobrestock_sustitutos!$H$64/12</f>
        <v>42.9337851015371</v>
      </c>
      <c r="P239" s="12" t="n">
        <f aca="false">SUM(D239:O239)</f>
        <v>500.343849790791</v>
      </c>
    </row>
    <row r="240" customFormat="false" ht="15" hidden="false" customHeight="false" outlineLevel="0" collapsed="false">
      <c r="A240" s="6" t="str">
        <f aca="false">parametros_recargas!A69</f>
        <v>ABC 50 kg s/ruedas</v>
      </c>
      <c r="B240" s="6" t="str">
        <f aca="false">parametros_recargas!B69</f>
        <v>ABC</v>
      </c>
      <c r="C240" s="14" t="n">
        <f aca="false">parametros_recargas!C69</f>
        <v>6.360853875</v>
      </c>
      <c r="D240" s="26" t="n">
        <f aca="false">datos_base!$I$16*parametros_recargas!E$69+sobrestock_sustitutos!$H$65/12</f>
        <v>81.7524713039474</v>
      </c>
      <c r="E240" s="26" t="n">
        <f aca="false">datos_base!$I$16*parametros_recargas!F$69+sobrestock_sustitutos!$H$65/12</f>
        <v>81.7524713039474</v>
      </c>
      <c r="F240" s="26" t="n">
        <f aca="false">datos_base!$I$16*parametros_recargas!G$69+sobrestock_sustitutos!$H$65/12</f>
        <v>90.9340367115454</v>
      </c>
      <c r="G240" s="26" t="n">
        <f aca="false">datos_base!$I$16*parametros_recargas!H$69+sobrestock_sustitutos!$H$65/12</f>
        <v>103.108245586371</v>
      </c>
      <c r="H240" s="26" t="n">
        <f aca="false">datos_base!$I$16*parametros_recargas!I$69+sobrestock_sustitutos!$H$65/12</f>
        <v>103.602449442865</v>
      </c>
      <c r="I240" s="26" t="n">
        <f aca="false">datos_base!$I$16*parametros_recargas!J$69+sobrestock_sustitutos!$H$65/12</f>
        <v>99.5803237446865</v>
      </c>
      <c r="J240" s="26" t="n">
        <f aca="false">datos_base!$I$16*parametros_recargas!K$69+sobrestock_sustitutos!$H$65/12</f>
        <v>86.1500679696437</v>
      </c>
      <c r="K240" s="26" t="n">
        <f aca="false">datos_base!$I$16*parametros_recargas!L$69+sobrestock_sustitutos!$H$65/12</f>
        <v>86.870836495404</v>
      </c>
      <c r="L240" s="26" t="n">
        <f aca="false">datos_base!$I$16*parametros_recargas!M$69+sobrestock_sustitutos!$H$65/12</f>
        <v>90.8929621935828</v>
      </c>
      <c r="M240" s="26" t="n">
        <f aca="false">datos_base!$I$16*parametros_recargas!N$69+sobrestock_sustitutos!$H$65/12</f>
        <v>90.8929621935828</v>
      </c>
      <c r="N240" s="26" t="n">
        <f aca="false">datos_base!$I$16*parametros_recargas!O$69+sobrestock_sustitutos!$H$65/12</f>
        <v>90.3987583370884</v>
      </c>
      <c r="O240" s="26" t="n">
        <f aca="false">datos_base!$I$16*parametros_recargas!P$69+sobrestock_sustitutos!$H$65/12</f>
        <v>94.4208840352672</v>
      </c>
      <c r="P240" s="12" t="n">
        <f aca="false">SUM(D240:O240)</f>
        <v>1100.35646931793</v>
      </c>
    </row>
    <row r="241" customFormat="false" ht="15" hidden="false" customHeight="false" outlineLevel="0" collapsed="false">
      <c r="A241" s="6" t="str">
        <f aca="false">parametros_recargas!A70</f>
        <v>ABC 70 kg s/ruedas</v>
      </c>
      <c r="B241" s="6" t="str">
        <f aca="false">parametros_recargas!B70</f>
        <v>ABC</v>
      </c>
      <c r="C241" s="14" t="n">
        <f aca="false">parametros_recargas!C70</f>
        <v>6.360853875</v>
      </c>
      <c r="D241" s="26" t="n">
        <f aca="false">datos_base!$I$17*parametros_recargas!E$70+sobrestock_sustitutos!$H$66/12</f>
        <v>17.897512091366</v>
      </c>
      <c r="E241" s="26" t="n">
        <f aca="false">datos_base!$I$17*parametros_recargas!F$70+sobrestock_sustitutos!$H$66/12</f>
        <v>17.897512091366</v>
      </c>
      <c r="F241" s="26" t="n">
        <f aca="false">datos_base!$I$17*parametros_recargas!G$70+sobrestock_sustitutos!$H$66/12</f>
        <v>19.900739698041</v>
      </c>
      <c r="G241" s="26" t="n">
        <f aca="false">datos_base!$I$17*parametros_recargas!H$70+sobrestock_sustitutos!$H$66/12</f>
        <v>22.5570011812274</v>
      </c>
      <c r="H241" s="26" t="n">
        <f aca="false">datos_base!$I$17*parametros_recargas!I$70+sobrestock_sustitutos!$H$66/12</f>
        <v>22.6647793658016</v>
      </c>
      <c r="I241" s="26" t="n">
        <f aca="false">datos_base!$I$17*parametros_recargas!J$70+sobrestock_sustitutos!$H$66/12</f>
        <v>21.7872144341994</v>
      </c>
      <c r="J241" s="26" t="n">
        <f aca="false">datos_base!$I$17*parametros_recargas!K$70+sobrestock_sustitutos!$H$66/12</f>
        <v>18.8570201466065</v>
      </c>
      <c r="K241" s="26" t="n">
        <f aca="false">datos_base!$I$17*parametros_recargas!L$70+sobrestock_sustitutos!$H$66/12</f>
        <v>19.0142000804964</v>
      </c>
      <c r="L241" s="26" t="n">
        <f aca="false">datos_base!$I$17*parametros_recargas!M$70+sobrestock_sustitutos!$H$66/12</f>
        <v>19.8917650120986</v>
      </c>
      <c r="M241" s="26" t="n">
        <f aca="false">datos_base!$I$17*parametros_recargas!N$70+sobrestock_sustitutos!$H$66/12</f>
        <v>19.8917650120986</v>
      </c>
      <c r="N241" s="26" t="n">
        <f aca="false">datos_base!$I$17*parametros_recargas!O$70+sobrestock_sustitutos!$H$66/12</f>
        <v>19.7839868275244</v>
      </c>
      <c r="O241" s="26" t="n">
        <f aca="false">datos_base!$I$17*parametros_recargas!P$70+sobrestock_sustitutos!$H$66/12</f>
        <v>20.6615517591265</v>
      </c>
      <c r="P241" s="12" t="n">
        <f aca="false">SUM(D241:O241)</f>
        <v>240.805047699952</v>
      </c>
    </row>
    <row r="242" customFormat="false" ht="15" hidden="false" customHeight="false" outlineLevel="0" collapsed="false">
      <c r="A242" s="6" t="str">
        <f aca="false">parametros_recargas!A71</f>
        <v>ABC 100 kg s/ruedas</v>
      </c>
      <c r="B242" s="6" t="str">
        <f aca="false">parametros_recargas!B71</f>
        <v>ABC</v>
      </c>
      <c r="C242" s="14" t="n">
        <f aca="false">parametros_recargas!C71</f>
        <v>6.360853875</v>
      </c>
      <c r="D242" s="26" t="n">
        <f aca="false">datos_base!$I$18*parametros_recargas!E$71+sobrestock_sustitutos!$H$67/12</f>
        <v>11.9595572571947</v>
      </c>
      <c r="E242" s="26" t="n">
        <f aca="false">datos_base!$I$18*parametros_recargas!F$71+sobrestock_sustitutos!$H$67/12</f>
        <v>11.9595572571947</v>
      </c>
      <c r="F242" s="26" t="n">
        <f aca="false">datos_base!$I$18*parametros_recargas!G$71+sobrestock_sustitutos!$H$67/12</f>
        <v>13.2949988689049</v>
      </c>
      <c r="G242" s="26" t="n">
        <f aca="false">datos_base!$I$18*parametros_recargas!H$71+sobrestock_sustitutos!$H$67/12</f>
        <v>15.0657149806669</v>
      </c>
      <c r="H242" s="26" t="n">
        <f aca="false">datos_base!$I$18*parametros_recargas!I$71+sobrestock_sustitutos!$H$67/12</f>
        <v>15.1375671037163</v>
      </c>
      <c r="I242" s="26" t="n">
        <f aca="false">datos_base!$I$18*parametros_recargas!J$71+sobrestock_sustitutos!$H$67/12</f>
        <v>14.5525238159815</v>
      </c>
      <c r="J242" s="26" t="n">
        <f aca="false">datos_base!$I$18*parametros_recargas!K$71+sobrestock_sustitutos!$H$67/12</f>
        <v>12.599145125804</v>
      </c>
      <c r="K242" s="26" t="n">
        <f aca="false">datos_base!$I$18*parametros_recargas!L$71+sobrestock_sustitutos!$H$67/12</f>
        <v>12.7038910395861</v>
      </c>
      <c r="L242" s="26" t="n">
        <f aca="false">datos_base!$I$18*parametros_recargas!M$71+sobrestock_sustitutos!$H$67/12</f>
        <v>13.2889343273208</v>
      </c>
      <c r="M242" s="26" t="n">
        <f aca="false">datos_base!$I$18*parametros_recargas!N$71+sobrestock_sustitutos!$H$67/12</f>
        <v>13.2889343273208</v>
      </c>
      <c r="N242" s="26" t="n">
        <f aca="false">datos_base!$I$18*parametros_recargas!O$71+sobrestock_sustitutos!$H$67/12</f>
        <v>13.2170822042714</v>
      </c>
      <c r="O242" s="26" t="n">
        <f aca="false">datos_base!$I$18*parametros_recargas!P$71+sobrestock_sustitutos!$H$67/12</f>
        <v>13.8021254920062</v>
      </c>
      <c r="P242" s="12" t="n">
        <f aca="false">SUM(D242:O242)</f>
        <v>160.870031799968</v>
      </c>
    </row>
    <row r="243" customFormat="false" ht="15" hidden="false" customHeight="false" outlineLevel="0" collapsed="false">
      <c r="A243" s="4" t="s">
        <v>385</v>
      </c>
      <c r="D243" s="12" t="n">
        <f aca="false">SUM(D226:D242)</f>
        <v>17068.3625043215</v>
      </c>
      <c r="E243" s="12" t="n">
        <f aca="false">SUM(E226:E242)</f>
        <v>14669.248551236</v>
      </c>
      <c r="F243" s="12" t="n">
        <f aca="false">SUM(F226:F242)</f>
        <v>13752.4444914861</v>
      </c>
      <c r="G243" s="12" t="n">
        <f aca="false">SUM(G226:G242)</f>
        <v>15141.0833285516</v>
      </c>
      <c r="H243" s="12" t="n">
        <f aca="false">SUM(H226:H242)</f>
        <v>15247.1086711354</v>
      </c>
      <c r="I243" s="12" t="n">
        <f aca="false">SUM(I226:I242)</f>
        <v>15111.4445322815</v>
      </c>
      <c r="J243" s="12" t="n">
        <f aca="false">SUM(J226:J242)</f>
        <v>13488.1292218345</v>
      </c>
      <c r="K243" s="12" t="n">
        <f aca="false">SUM(K226:K242)</f>
        <v>13599.4958426758</v>
      </c>
      <c r="L243" s="12" t="n">
        <f aca="false">SUM(L226:L242)</f>
        <v>13715.6454125016</v>
      </c>
      <c r="M243" s="12" t="n">
        <f aca="false">SUM(M226:M242)</f>
        <v>13715.6454125016</v>
      </c>
      <c r="N243" s="12" t="n">
        <f aca="false">SUM(N226:N242)</f>
        <v>16008.7340230033</v>
      </c>
      <c r="O243" s="12" t="n">
        <f aca="false">SUM(O226:O242)</f>
        <v>18543.5121149427</v>
      </c>
      <c r="P243" s="12" t="n">
        <f aca="false">SUM(P226:P242)</f>
        <v>180060.854106472</v>
      </c>
    </row>
    <row r="244" customFormat="false" ht="15" hidden="false" customHeight="false" outlineLevel="0" collapsed="false">
      <c r="A244" s="4" t="s">
        <v>386</v>
      </c>
    </row>
    <row r="245" customFormat="false" ht="15" hidden="false" customHeight="false" outlineLevel="0" collapsed="false">
      <c r="A245" s="5" t="s">
        <v>165</v>
      </c>
      <c r="D245" s="26" t="n">
        <f aca="false">SUMPRODUCT(($B$226:$B$242=$A245)*D$226:D$242*$C$226:$C$242)</f>
        <v>16297.6947926982</v>
      </c>
      <c r="E245" s="26" t="n">
        <f aca="false">SUMPRODUCT(($B$226:$B$242=$A245)*E$226:E$242*$C$226:$C$242)</f>
        <v>13898.5808396128</v>
      </c>
      <c r="F245" s="26" t="n">
        <f aca="false">SUMPRODUCT(($B$226:$B$242=$A245)*F$226:F$242*$C$226:$C$242)</f>
        <v>12727.2146608709</v>
      </c>
      <c r="G245" s="26" t="n">
        <f aca="false">SUMPRODUCT(($B$226:$B$242=$A245)*G$226:G$242*$C$226:$C$242)</f>
        <v>13894.7423133083</v>
      </c>
      <c r="H245" s="26" t="n">
        <f aca="false">SUMPRODUCT(($B$226:$B$242=$A245)*H$226:H$242*$C$226:$C$242)</f>
        <v>13988.1425324206</v>
      </c>
      <c r="I245" s="26" t="n">
        <f aca="false">SUMPRODUCT(($B$226:$B$242=$A245)*I$226:I$242*$C$226:$C$242)</f>
        <v>13862.6705642076</v>
      </c>
      <c r="J245" s="26" t="n">
        <f aca="false">SUMPRODUCT(($B$226:$B$242=$A245)*J$226:J$242*$C$226:$C$242)</f>
        <v>12492.9421537351</v>
      </c>
      <c r="K245" s="26" t="n">
        <f aca="false">SUMPRODUCT(($B$226:$B$242=$A245)*K$226:K$242*$C$226:$C$242)</f>
        <v>12602.8510407633</v>
      </c>
      <c r="L245" s="26" t="n">
        <f aca="false">SUMPRODUCT(($B$226:$B$242=$A245)*L$226:L$242*$C$226:$C$242)</f>
        <v>12712.9502011298</v>
      </c>
      <c r="M245" s="26" t="n">
        <f aca="false">SUMPRODUCT(($B$226:$B$242=$A245)*M$226:M$242*$C$226:$C$242)</f>
        <v>12712.9502011298</v>
      </c>
      <c r="N245" s="26" t="n">
        <f aca="false">SUMPRODUCT(($B$226:$B$242=$A245)*N$226:N$242*$C$226:$C$242)</f>
        <v>15018.663935103</v>
      </c>
      <c r="O245" s="26" t="n">
        <f aca="false">SUMPRODUCT(($B$226:$B$242=$A245)*O$226:O$242*$C$226:$C$242)</f>
        <v>17543.2498564014</v>
      </c>
      <c r="P245" s="26" t="n">
        <f aca="false">SUMPRODUCT(($B$226:$B$242=$A245)*P$226:P$242*$C$226:$C$242)</f>
        <v>167752.653091381</v>
      </c>
    </row>
    <row r="246" customFormat="false" ht="15" hidden="false" customHeight="false" outlineLevel="0" collapsed="false">
      <c r="A246" s="5" t="s">
        <v>166</v>
      </c>
      <c r="D246" s="26" t="n">
        <f aca="false">SUMPRODUCT(($B$226:$B$242=$A246)*D$226:D$242*$C$226:$C$242)</f>
        <v>19.1225688318319</v>
      </c>
      <c r="E246" s="26" t="n">
        <f aca="false">SUMPRODUCT(($B$226:$B$242=$A246)*E$226:E$242*$C$226:$C$242)</f>
        <v>19.1225688318319</v>
      </c>
      <c r="F246" s="26" t="n">
        <f aca="false">SUMPRODUCT(($B$226:$B$242=$A246)*F$226:F$242*$C$226:$C$242)</f>
        <v>19.1225688318319</v>
      </c>
      <c r="G246" s="26" t="n">
        <f aca="false">SUMPRODUCT(($B$226:$B$242=$A246)*G$226:G$242*$C$226:$C$242)</f>
        <v>19.1225688318319</v>
      </c>
      <c r="H246" s="26" t="n">
        <f aca="false">SUMPRODUCT(($B$226:$B$242=$A246)*H$226:H$242*$C$226:$C$242)</f>
        <v>19.1225688318319</v>
      </c>
      <c r="I246" s="26" t="n">
        <f aca="false">SUMPRODUCT(($B$226:$B$242=$A246)*I$226:I$242*$C$226:$C$242)</f>
        <v>19.1225688318319</v>
      </c>
      <c r="J246" s="26" t="n">
        <f aca="false">SUMPRODUCT(($B$226:$B$242=$A246)*J$226:J$242*$C$226:$C$242)</f>
        <v>19.1225688318319</v>
      </c>
      <c r="K246" s="26" t="n">
        <f aca="false">SUMPRODUCT(($B$226:$B$242=$A246)*K$226:K$242*$C$226:$C$242)</f>
        <v>19.1225688318319</v>
      </c>
      <c r="L246" s="26" t="n">
        <f aca="false">SUMPRODUCT(($B$226:$B$242=$A246)*L$226:L$242*$C$226:$C$242)</f>
        <v>19.1225688318319</v>
      </c>
      <c r="M246" s="26" t="n">
        <f aca="false">SUMPRODUCT(($B$226:$B$242=$A246)*M$226:M$242*$C$226:$C$242)</f>
        <v>19.1225688318319</v>
      </c>
      <c r="N246" s="26" t="n">
        <f aca="false">SUMPRODUCT(($B$226:$B$242=$A246)*N$226:N$242*$C$226:$C$242)</f>
        <v>19.1225688318319</v>
      </c>
      <c r="O246" s="26" t="n">
        <f aca="false">SUMPRODUCT(($B$226:$B$242=$A246)*O$226:O$242*$C$226:$C$242)</f>
        <v>19.1225688318319</v>
      </c>
      <c r="P246" s="26" t="n">
        <f aca="false">SUMPRODUCT(($B$226:$B$242=$A246)*P$226:P$242*$C$226:$C$242)</f>
        <v>229.470825981982</v>
      </c>
    </row>
    <row r="247" customFormat="false" ht="15" hidden="false" customHeight="false" outlineLevel="0" collapsed="false">
      <c r="A247" s="5" t="s">
        <v>167</v>
      </c>
      <c r="D247" s="26" t="n">
        <f aca="false">SUMPRODUCT(($B$226:$B$242=$A247)*D$226:D$242*$C$226:$C$242)</f>
        <v>17.2048139776019</v>
      </c>
      <c r="E247" s="26" t="n">
        <f aca="false">SUMPRODUCT(($B$226:$B$242=$A247)*E$226:E$242*$C$226:$C$242)</f>
        <v>17.2048139776019</v>
      </c>
      <c r="F247" s="26" t="n">
        <f aca="false">SUMPRODUCT(($B$226:$B$242=$A247)*F$226:F$242*$C$226:$C$242)</f>
        <v>17.2048139776019</v>
      </c>
      <c r="G247" s="26" t="n">
        <f aca="false">SUMPRODUCT(($B$226:$B$242=$A247)*G$226:G$242*$C$226:$C$242)</f>
        <v>17.2048139776019</v>
      </c>
      <c r="H247" s="26" t="n">
        <f aca="false">SUMPRODUCT(($B$226:$B$242=$A247)*H$226:H$242*$C$226:$C$242)</f>
        <v>17.2048139776019</v>
      </c>
      <c r="I247" s="26" t="n">
        <f aca="false">SUMPRODUCT(($B$226:$B$242=$A247)*I$226:I$242*$C$226:$C$242)</f>
        <v>17.2048139776019</v>
      </c>
      <c r="J247" s="26" t="n">
        <f aca="false">SUMPRODUCT(($B$226:$B$242=$A247)*J$226:J$242*$C$226:$C$242)</f>
        <v>17.2048139776019</v>
      </c>
      <c r="K247" s="26" t="n">
        <f aca="false">SUMPRODUCT(($B$226:$B$242=$A247)*K$226:K$242*$C$226:$C$242)</f>
        <v>17.2048139776019</v>
      </c>
      <c r="L247" s="26" t="n">
        <f aca="false">SUMPRODUCT(($B$226:$B$242=$A247)*L$226:L$242*$C$226:$C$242)</f>
        <v>17.2048139776019</v>
      </c>
      <c r="M247" s="26" t="n">
        <f aca="false">SUMPRODUCT(($B$226:$B$242=$A247)*M$226:M$242*$C$226:$C$242)</f>
        <v>17.2048139776019</v>
      </c>
      <c r="N247" s="26" t="n">
        <f aca="false">SUMPRODUCT(($B$226:$B$242=$A247)*N$226:N$242*$C$226:$C$242)</f>
        <v>17.2048139776019</v>
      </c>
      <c r="O247" s="26" t="n">
        <f aca="false">SUMPRODUCT(($B$226:$B$242=$A247)*O$226:O$242*$C$226:$C$242)</f>
        <v>17.2048139776019</v>
      </c>
      <c r="P247" s="26" t="n">
        <f aca="false">SUMPRODUCT(($B$226:$B$242=$A247)*P$226:P$242*$C$226:$C$242)</f>
        <v>206.457767731223</v>
      </c>
    </row>
    <row r="248" customFormat="false" ht="15" hidden="false" customHeight="false" outlineLevel="0" collapsed="false">
      <c r="A248" s="5" t="s">
        <v>168</v>
      </c>
      <c r="D248" s="26" t="n">
        <f aca="false">SUMPRODUCT(($B$226:$B$242=$A248)*D$226:D$242*$C$226:$C$242)</f>
        <v>275.154020619403</v>
      </c>
      <c r="E248" s="26" t="n">
        <f aca="false">SUMPRODUCT(($B$226:$B$242=$A248)*E$226:E$242*$C$226:$C$242)</f>
        <v>275.154020619403</v>
      </c>
      <c r="F248" s="26" t="n">
        <f aca="false">SUMPRODUCT(($B$226:$B$242=$A248)*F$226:F$242*$C$226:$C$242)</f>
        <v>338.485258706082</v>
      </c>
      <c r="G248" s="26" t="n">
        <f aca="false">SUMPRODUCT(($B$226:$B$242=$A248)*G$226:G$242*$C$226:$C$242)</f>
        <v>405.252790239927</v>
      </c>
      <c r="H248" s="26" t="n">
        <f aca="false">SUMPRODUCT(($B$226:$B$242=$A248)*H$226:H$242*$C$226:$C$242)</f>
        <v>407.757046065398</v>
      </c>
      <c r="I248" s="26" t="n">
        <f aca="false">SUMPRODUCT(($B$226:$B$242=$A248)*I$226:I$242*$C$226:$C$242)</f>
        <v>395.968286076255</v>
      </c>
      <c r="J248" s="26" t="n">
        <f aca="false">SUMPRODUCT(($B$226:$B$242=$A248)*J$226:J$242*$C$226:$C$242)</f>
        <v>322.747193458985</v>
      </c>
      <c r="K248" s="26" t="n">
        <f aca="false">SUMPRODUCT(($B$226:$B$242=$A248)*K$226:K$242*$C$226:$C$242)</f>
        <v>323.352543825903</v>
      </c>
      <c r="L248" s="26" t="n">
        <f aca="false">SUMPRODUCT(($B$226:$B$242=$A248)*L$226:L$242*$C$226:$C$242)</f>
        <v>334.401775852161</v>
      </c>
      <c r="M248" s="26" t="n">
        <f aca="false">SUMPRODUCT(($B$226:$B$242=$A248)*M$226:M$242*$C$226:$C$242)</f>
        <v>334.401775852161</v>
      </c>
      <c r="N248" s="26" t="n">
        <f aca="false">SUMPRODUCT(($B$226:$B$242=$A248)*N$226:N$242*$C$226:$C$242)</f>
        <v>331.89752002669</v>
      </c>
      <c r="O248" s="26" t="n">
        <f aca="false">SUMPRODUCT(($B$226:$B$242=$A248)*O$226:O$242*$C$226:$C$242)</f>
        <v>343.686280015833</v>
      </c>
      <c r="P248" s="26" t="n">
        <f aca="false">SUMPRODUCT(($B$226:$B$242=$A248)*P$226:P$242*$C$226:$C$242)</f>
        <v>4088.2585113582</v>
      </c>
    </row>
    <row r="249" customFormat="false" ht="15" hidden="false" customHeight="false" outlineLevel="0" collapsed="false">
      <c r="A249" s="5" t="s">
        <v>169</v>
      </c>
      <c r="D249" s="26" t="n">
        <f aca="false">SUMPRODUCT(($B$226:$B$242=$A249)*D$226:D$242*$C$226:$C$242)</f>
        <v>274.898611393095</v>
      </c>
      <c r="E249" s="26" t="n">
        <f aca="false">SUMPRODUCT(($B$226:$B$242=$A249)*E$226:E$242*$C$226:$C$242)</f>
        <v>274.898611393095</v>
      </c>
      <c r="F249" s="26" t="n">
        <f aca="false">SUMPRODUCT(($B$226:$B$242=$A249)*F$226:F$242*$C$226:$C$242)</f>
        <v>274.898611393095</v>
      </c>
      <c r="G249" s="26" t="n">
        <f aca="false">SUMPRODUCT(($B$226:$B$242=$A249)*G$226:G$242*$C$226:$C$242)</f>
        <v>274.898611393095</v>
      </c>
      <c r="H249" s="26" t="n">
        <f aca="false">SUMPRODUCT(($B$226:$B$242=$A249)*H$226:H$242*$C$226:$C$242)</f>
        <v>274.898611393095</v>
      </c>
      <c r="I249" s="26" t="n">
        <f aca="false">SUMPRODUCT(($B$226:$B$242=$A249)*I$226:I$242*$C$226:$C$242)</f>
        <v>274.898611393095</v>
      </c>
      <c r="J249" s="26" t="n">
        <f aca="false">SUMPRODUCT(($B$226:$B$242=$A249)*J$226:J$242*$C$226:$C$242)</f>
        <v>274.898611393095</v>
      </c>
      <c r="K249" s="26" t="n">
        <f aca="false">SUMPRODUCT(($B$226:$B$242=$A249)*K$226:K$242*$C$226:$C$242)</f>
        <v>274.898611393095</v>
      </c>
      <c r="L249" s="26" t="n">
        <f aca="false">SUMPRODUCT(($B$226:$B$242=$A249)*L$226:L$242*$C$226:$C$242)</f>
        <v>274.898611393095</v>
      </c>
      <c r="M249" s="26" t="n">
        <f aca="false">SUMPRODUCT(($B$226:$B$242=$A249)*M$226:M$242*$C$226:$C$242)</f>
        <v>274.898611393095</v>
      </c>
      <c r="N249" s="26" t="n">
        <f aca="false">SUMPRODUCT(($B$226:$B$242=$A249)*N$226:N$242*$C$226:$C$242)</f>
        <v>274.898611393095</v>
      </c>
      <c r="O249" s="26" t="n">
        <f aca="false">SUMPRODUCT(($B$226:$B$242=$A249)*O$226:O$242*$C$226:$C$242)</f>
        <v>274.898611393095</v>
      </c>
      <c r="P249" s="26" t="n">
        <f aca="false">SUMPRODUCT(($B$226:$B$242=$A249)*P$226:P$242*$C$226:$C$242)</f>
        <v>3298.78333671714</v>
      </c>
    </row>
    <row r="250" customFormat="false" ht="15" hidden="false" customHeight="false" outlineLevel="0" collapsed="false">
      <c r="A250" s="5" t="s">
        <v>170</v>
      </c>
      <c r="D250" s="26" t="n">
        <f aca="false">SUMPRODUCT(($B$226:$B$242=$A250)*D$226:D$242*$C$226:$C$242)</f>
        <v>140.234250962518</v>
      </c>
      <c r="E250" s="26" t="n">
        <f aca="false">SUMPRODUCT(($B$226:$B$242=$A250)*E$226:E$242*$C$226:$C$242)</f>
        <v>140.234250962518</v>
      </c>
      <c r="F250" s="26" t="n">
        <f aca="false">SUMPRODUCT(($B$226:$B$242=$A250)*F$226:F$242*$C$226:$C$242)</f>
        <v>168.589521289053</v>
      </c>
      <c r="G250" s="26" t="n">
        <f aca="false">SUMPRODUCT(($B$226:$B$242=$A250)*G$226:G$242*$C$226:$C$242)</f>
        <v>190.435778405607</v>
      </c>
      <c r="H250" s="26" t="n">
        <f aca="false">SUMPRODUCT(($B$226:$B$242=$A250)*H$226:H$242*$C$226:$C$242)</f>
        <v>195.167361695753</v>
      </c>
      <c r="I250" s="26" t="n">
        <f aca="false">SUMPRODUCT(($B$226:$B$242=$A250)*I$226:I$242*$C$226:$C$242)</f>
        <v>191.209736069042</v>
      </c>
      <c r="J250" s="26" t="n">
        <f aca="false">SUMPRODUCT(($B$226:$B$242=$A250)*J$226:J$242*$C$226:$C$242)</f>
        <v>157.032784598924</v>
      </c>
      <c r="K250" s="26" t="n">
        <f aca="false">SUMPRODUCT(($B$226:$B$242=$A250)*K$226:K$242*$C$226:$C$242)</f>
        <v>163.628423405943</v>
      </c>
      <c r="L250" s="26" t="n">
        <f aca="false">SUMPRODUCT(($B$226:$B$242=$A250)*L$226:L$242*$C$226:$C$242)</f>
        <v>167.586049032653</v>
      </c>
      <c r="M250" s="26" t="n">
        <f aca="false">SUMPRODUCT(($B$226:$B$242=$A250)*M$226:M$242*$C$226:$C$242)</f>
        <v>167.586049032653</v>
      </c>
      <c r="N250" s="26" t="n">
        <f aca="false">SUMPRODUCT(($B$226:$B$242=$A250)*N$226:N$242*$C$226:$C$242)</f>
        <v>162.854465742507</v>
      </c>
      <c r="O250" s="26" t="n">
        <f aca="false">SUMPRODUCT(($B$226:$B$242=$A250)*O$226:O$242*$C$226:$C$242)</f>
        <v>166.812091369217</v>
      </c>
      <c r="P250" s="26" t="n">
        <f aca="false">SUMPRODUCT(($B$226:$B$242=$A250)*P$226:P$242*$C$226:$C$242)</f>
        <v>2011.37076256639</v>
      </c>
    </row>
    <row r="251" customFormat="false" ht="15" hidden="false" customHeight="false" outlineLevel="0" collapsed="false">
      <c r="A251" s="5" t="s">
        <v>171</v>
      </c>
      <c r="D251" s="26" t="n">
        <f aca="false">SUMPRODUCT(($B$226:$B$242=$A251)*D$226:D$242*$C$226:$C$242)</f>
        <v>966.43757292456</v>
      </c>
      <c r="E251" s="26" t="n">
        <f aca="false">SUMPRODUCT(($B$226:$B$242=$A251)*E$226:E$242*$C$226:$C$242)</f>
        <v>966.43757292456</v>
      </c>
      <c r="F251" s="26" t="n">
        <f aca="false">SUMPRODUCT(($B$226:$B$242=$A251)*F$226:F$242*$C$226:$C$242)</f>
        <v>1222.23097837687</v>
      </c>
      <c r="G251" s="26" t="n">
        <f aca="false">SUMPRODUCT(($B$226:$B$242=$A251)*G$226:G$242*$C$226:$C$242)</f>
        <v>1473.39063902057</v>
      </c>
      <c r="H251" s="26" t="n">
        <f aca="false">SUMPRODUCT(($B$226:$B$242=$A251)*H$226:H$242*$C$226:$C$242)</f>
        <v>1483.59681239292</v>
      </c>
      <c r="I251" s="26" t="n">
        <f aca="false">SUMPRODUCT(($B$226:$B$242=$A251)*I$226:I$242*$C$226:$C$242)</f>
        <v>1453.37236135229</v>
      </c>
      <c r="J251" s="26" t="n">
        <f aca="false">SUMPRODUCT(($B$226:$B$242=$A251)*J$226:J$242*$C$226:$C$242)</f>
        <v>1176.27880916298</v>
      </c>
      <c r="K251" s="26" t="n">
        <f aca="false">SUMPRODUCT(($B$226:$B$242=$A251)*K$226:K$242*$C$226:$C$242)</f>
        <v>1177.56067823171</v>
      </c>
      <c r="L251" s="26" t="n">
        <f aca="false">SUMPRODUCT(($B$226:$B$242=$A251)*L$226:L$242*$C$226:$C$242)</f>
        <v>1204.38289605357</v>
      </c>
      <c r="M251" s="26" t="n">
        <f aca="false">SUMPRODUCT(($B$226:$B$242=$A251)*M$226:M$242*$C$226:$C$242)</f>
        <v>1204.38289605357</v>
      </c>
      <c r="N251" s="26" t="n">
        <f aca="false">SUMPRODUCT(($B$226:$B$242=$A251)*N$226:N$242*$C$226:$C$242)</f>
        <v>1194.17672268122</v>
      </c>
      <c r="O251" s="26" t="n">
        <f aca="false">SUMPRODUCT(($B$226:$B$242=$A251)*O$226:O$242*$C$226:$C$242)</f>
        <v>1224.40117372184</v>
      </c>
      <c r="P251" s="26" t="n">
        <f aca="false">SUMPRODUCT(($B$226:$B$242=$A251)*P$226:P$242*$C$226:$C$242)</f>
        <v>14746.6491128967</v>
      </c>
    </row>
    <row r="252" customFormat="false" ht="15" hidden="false" customHeight="false" outlineLevel="0" collapsed="false">
      <c r="A252" s="5" t="s">
        <v>172</v>
      </c>
      <c r="D252" s="26" t="n">
        <f aca="false">SUMPRODUCT(($B$226:$B$242=$A252)*D$226:D$242*$C$226:$C$242)</f>
        <v>53.639990355596</v>
      </c>
      <c r="E252" s="26" t="n">
        <f aca="false">SUMPRODUCT(($B$226:$B$242=$A252)*E$226:E$242*$C$226:$C$242)</f>
        <v>53.639990355596</v>
      </c>
      <c r="F252" s="26" t="n">
        <f aca="false">SUMPRODUCT(($B$226:$B$242=$A252)*F$226:F$242*$C$226:$C$242)</f>
        <v>50.2146074835373</v>
      </c>
      <c r="G252" s="26" t="n">
        <f aca="false">SUMPRODUCT(($B$226:$B$242=$A252)*G$226:G$242*$C$226:$C$242)</f>
        <v>50.2146074835373</v>
      </c>
      <c r="H252" s="26" t="n">
        <f aca="false">SUMPRODUCT(($B$226:$B$242=$A252)*H$226:H$242*$C$226:$C$242)</f>
        <v>50.2146074835373</v>
      </c>
      <c r="I252" s="26" t="n">
        <f aca="false">SUMPRODUCT(($B$226:$B$242=$A252)*I$226:I$242*$C$226:$C$242)</f>
        <v>46.7892246114785</v>
      </c>
      <c r="J252" s="26" t="n">
        <f aca="false">SUMPRODUCT(($B$226:$B$242=$A252)*J$226:J$242*$C$226:$C$242)</f>
        <v>46.7892246114785</v>
      </c>
      <c r="K252" s="26" t="n">
        <f aca="false">SUMPRODUCT(($B$226:$B$242=$A252)*K$226:K$242*$C$226:$C$242)</f>
        <v>46.7892246114785</v>
      </c>
      <c r="L252" s="26" t="n">
        <f aca="false">SUMPRODUCT(($B$226:$B$242=$A252)*L$226:L$242*$C$226:$C$242)</f>
        <v>50.2146074835373</v>
      </c>
      <c r="M252" s="26" t="n">
        <f aca="false">SUMPRODUCT(($B$226:$B$242=$A252)*M$226:M$242*$C$226:$C$242)</f>
        <v>50.2146074835373</v>
      </c>
      <c r="N252" s="26" t="n">
        <f aca="false">SUMPRODUCT(($B$226:$B$242=$A252)*N$226:N$242*$C$226:$C$242)</f>
        <v>50.2146074835373</v>
      </c>
      <c r="O252" s="26" t="n">
        <f aca="false">SUMPRODUCT(($B$226:$B$242=$A252)*O$226:O$242*$C$226:$C$242)</f>
        <v>53.639990355596</v>
      </c>
      <c r="P252" s="26" t="n">
        <f aca="false">SUMPRODUCT(($B$226:$B$242=$A252)*P$226:P$242*$C$226:$C$242)</f>
        <v>602.575289802447</v>
      </c>
    </row>
    <row r="253" customFormat="false" ht="15" hidden="false" customHeight="false" outlineLevel="0" collapsed="false">
      <c r="A253" s="4" t="s">
        <v>387</v>
      </c>
      <c r="D253" s="27" t="n">
        <f aca="false">SUMPRODUCT(D$226:D$242*parametros_recargas!$D$55:$D$71)</f>
        <v>465.245984595316</v>
      </c>
      <c r="E253" s="27" t="n">
        <f aca="false">SUMPRODUCT(E$226:E$242*parametros_recargas!$D$55:$D$71)</f>
        <v>465.245984595316</v>
      </c>
      <c r="F253" s="27" t="n">
        <f aca="false">SUMPRODUCT(F$226:F$242*parametros_recargas!$D$55:$D$71)</f>
        <v>505.699617154932</v>
      </c>
      <c r="G253" s="27" t="n">
        <f aca="false">SUMPRODUCT(G$226:G$242*parametros_recargas!$D$55:$D$71)</f>
        <v>560.753999880862</v>
      </c>
      <c r="H253" s="27" t="n">
        <f aca="false">SUMPRODUCT(H$226:H$242*parametros_recargas!$D$55:$D$71)</f>
        <v>567.309197530563</v>
      </c>
      <c r="I253" s="27" t="n">
        <f aca="false">SUMPRODUCT(I$226:I$242*parametros_recargas!$D$55:$D$71)</f>
        <v>544.087035929395</v>
      </c>
      <c r="J253" s="27" t="n">
        <f aca="false">SUMPRODUCT(J$226:J$242*parametros_recargas!$D$55:$D$71)</f>
        <v>481.693617449015</v>
      </c>
      <c r="K253" s="27" t="n">
        <f aca="false">SUMPRODUCT(K$226:K$242*parametros_recargas!$D$55:$D$71)</f>
        <v>486.966439418311</v>
      </c>
      <c r="L253" s="27" t="n">
        <f aca="false">SUMPRODUCT(L$226:L$242*parametros_recargas!$D$55:$D$71)</f>
        <v>506.786367800715</v>
      </c>
      <c r="M253" s="27" t="n">
        <f aca="false">SUMPRODUCT(M$226:M$242*parametros_recargas!$D$55:$D$71)</f>
        <v>506.786367800715</v>
      </c>
      <c r="N253" s="27" t="n">
        <f aca="false">SUMPRODUCT(N$226:N$242*parametros_recargas!$D$55:$D$71)</f>
        <v>500.231170151015</v>
      </c>
      <c r="O253" s="27" t="n">
        <f aca="false">SUMPRODUCT(O$226:O$242*parametros_recargas!$D$55:$D$71)</f>
        <v>523.453331752183</v>
      </c>
      <c r="P253" s="27" t="n">
        <f aca="false">SUMPRODUCT(P$226:P$242*parametros_recargas!$D$55:$D$71)</f>
        <v>6114.25911405834</v>
      </c>
    </row>
    <row r="254" customFormat="false" ht="15" hidden="false" customHeight="false" outlineLevel="0" collapsed="false">
      <c r="A254" s="4" t="s">
        <v>388</v>
      </c>
      <c r="D254" s="27" t="n">
        <f aca="false">SUMPRODUCT(sobrestock_sustitutos!$I$73:$I$73,--(sobrestock_sustitutos!$F$30:$F$30="Fábrica: cilindro vacío"),parametros_recargas!$C$55:$C$55)*parametros_recargas!E$109+SUMPRODUCT(sobrestock_sustitutos!$I$74:$I$76,--(sobrestock_sustitutos!$F$31:$F$33="Fábrica: cilindro vacío"),parametros_recargas!$C$56:$C$58)*parametros_recargas!E$110+SUMPRODUCT(sobrestock_sustitutos!$I$86:$I$89,--(sobrestock_sustitutos!$F$43:$F$46="Fábrica: cilindro vacío"),parametros_recargas!$C$68:$C$71)*parametros_recargas!E$111</f>
        <v>18.244378122275</v>
      </c>
      <c r="E254" s="27" t="n">
        <f aca="false">SUMPRODUCT(sobrestock_sustitutos!$I$73:$I$73,--(sobrestock_sustitutos!$F$30:$F$30="Fábrica: cilindro vacío"),parametros_recargas!$C$55:$C$55)*parametros_recargas!F$109+SUMPRODUCT(sobrestock_sustitutos!$I$74:$I$76,--(sobrestock_sustitutos!$F$31:$F$33="Fábrica: cilindro vacío"),parametros_recargas!$C$56:$C$58)*parametros_recargas!F$110+SUMPRODUCT(sobrestock_sustitutos!$I$86:$I$89,--(sobrestock_sustitutos!$F$43:$F$46="Fábrica: cilindro vacío"),parametros_recargas!$C$68:$C$71)*parametros_recargas!F$111</f>
        <v>14.832380696125</v>
      </c>
      <c r="F254" s="27" t="n">
        <f aca="false">SUMPRODUCT(sobrestock_sustitutos!$I$73:$I$73,--(sobrestock_sustitutos!$F$30:$F$30="Fábrica: cilindro vacío"),parametros_recargas!$C$55:$C$55)*parametros_recargas!G$109+SUMPRODUCT(sobrestock_sustitutos!$I$74:$I$76,--(sobrestock_sustitutos!$F$31:$F$33="Fábrica: cilindro vacío"),parametros_recargas!$C$56:$C$58)*parametros_recargas!G$110+SUMPRODUCT(sobrestock_sustitutos!$I$86:$I$89,--(sobrestock_sustitutos!$F$43:$F$46="Fábrica: cilindro vacío"),parametros_recargas!$C$68:$C$71)*parametros_recargas!G$111</f>
        <v>16.10837683535</v>
      </c>
      <c r="G254" s="27" t="n">
        <f aca="false">SUMPRODUCT(sobrestock_sustitutos!$I$73:$I$73,--(sobrestock_sustitutos!$F$30:$F$30="Fábrica: cilindro vacío"),parametros_recargas!$C$55:$C$55)*parametros_recargas!H$109+SUMPRODUCT(sobrestock_sustitutos!$I$74:$I$76,--(sobrestock_sustitutos!$F$31:$F$33="Fábrica: cilindro vacío"),parametros_recargas!$C$56:$C$58)*parametros_recargas!H$110+SUMPRODUCT(sobrestock_sustitutos!$I$86:$I$89,--(sobrestock_sustitutos!$F$43:$F$46="Fábrica: cilindro vacío"),parametros_recargas!$C$68:$C$71)*parametros_recargas!H$111</f>
        <v>16.10837683535</v>
      </c>
      <c r="H254" s="27" t="n">
        <f aca="false">SUMPRODUCT(sobrestock_sustitutos!$I$73:$I$73,--(sobrestock_sustitutos!$F$30:$F$30="Fábrica: cilindro vacío"),parametros_recargas!$C$55:$C$55)*parametros_recargas!I$109+SUMPRODUCT(sobrestock_sustitutos!$I$74:$I$76,--(sobrestock_sustitutos!$F$31:$F$33="Fábrica: cilindro vacío"),parametros_recargas!$C$56:$C$58)*parametros_recargas!I$110+SUMPRODUCT(sobrestock_sustitutos!$I$86:$I$89,--(sobrestock_sustitutos!$F$43:$F$46="Fábrica: cilindro vacío"),parametros_recargas!$C$68:$C$71)*parametros_recargas!I$111</f>
        <v>15.33997683535</v>
      </c>
      <c r="I254" s="27" t="n">
        <f aca="false">SUMPRODUCT(sobrestock_sustitutos!$I$73:$I$73,--(sobrestock_sustitutos!$F$30:$F$30="Fábrica: cilindro vacío"),parametros_recargas!$C$55:$C$55)*parametros_recargas!J$109+SUMPRODUCT(sobrestock_sustitutos!$I$74:$I$76,--(sobrestock_sustitutos!$F$31:$F$33="Fábrica: cilindro vacío"),parametros_recargas!$C$56:$C$58)*parametros_recargas!J$110+SUMPRODUCT(sobrestock_sustitutos!$I$86:$I$89,--(sobrestock_sustitutos!$F$43:$F$46="Fábrica: cilindro vacío"),parametros_recargas!$C$68:$C$71)*parametros_recargas!J$111</f>
        <v>14.2331794092</v>
      </c>
      <c r="J254" s="27" t="n">
        <f aca="false">SUMPRODUCT(sobrestock_sustitutos!$I$73:$I$73,--(sobrestock_sustitutos!$F$30:$F$30="Fábrica: cilindro vacío"),parametros_recargas!$C$55:$C$55)*parametros_recargas!K$109+SUMPRODUCT(sobrestock_sustitutos!$I$74:$I$76,--(sobrestock_sustitutos!$F$31:$F$33="Fábrica: cilindro vacío"),parametros_recargas!$C$56:$C$58)*parametros_recargas!K$110+SUMPRODUCT(sobrestock_sustitutos!$I$86:$I$89,--(sobrestock_sustitutos!$F$43:$F$46="Fábrica: cilindro vacío"),parametros_recargas!$C$68:$C$71)*parametros_recargas!K$111</f>
        <v>15.33997683535</v>
      </c>
      <c r="K254" s="27" t="n">
        <f aca="false">SUMPRODUCT(sobrestock_sustitutos!$I$73:$I$73,--(sobrestock_sustitutos!$F$30:$F$30="Fábrica: cilindro vacío"),parametros_recargas!$C$55:$C$55)*parametros_recargas!L$109+SUMPRODUCT(sobrestock_sustitutos!$I$74:$I$76,--(sobrestock_sustitutos!$F$31:$F$33="Fábrica: cilindro vacío"),parametros_recargas!$C$56:$C$58)*parametros_recargas!L$110+SUMPRODUCT(sobrestock_sustitutos!$I$86:$I$89,--(sobrestock_sustitutos!$F$43:$F$46="Fábrica: cilindro vacío"),parametros_recargas!$C$68:$C$71)*parametros_recargas!L$111</f>
        <v>15.33997683535</v>
      </c>
      <c r="L254" s="27" t="n">
        <f aca="false">SUMPRODUCT(sobrestock_sustitutos!$I$73:$I$73,--(sobrestock_sustitutos!$F$30:$F$30="Fábrica: cilindro vacío"),parametros_recargas!$C$55:$C$55)*parametros_recargas!M$109+SUMPRODUCT(sobrestock_sustitutos!$I$74:$I$76,--(sobrestock_sustitutos!$F$31:$F$33="Fábrica: cilindro vacío"),parametros_recargas!$C$56:$C$58)*parametros_recargas!M$110+SUMPRODUCT(sobrestock_sustitutos!$I$86:$I$89,--(sobrestock_sustitutos!$F$43:$F$46="Fábrica: cilindro vacío"),parametros_recargas!$C$68:$C$71)*parametros_recargas!M$111</f>
        <v>15.170778122275</v>
      </c>
      <c r="M254" s="27" t="n">
        <f aca="false">SUMPRODUCT(sobrestock_sustitutos!$I$73:$I$73,--(sobrestock_sustitutos!$F$30:$F$30="Fábrica: cilindro vacío"),parametros_recargas!$C$55:$C$55)*parametros_recargas!N$109+SUMPRODUCT(sobrestock_sustitutos!$I$74:$I$76,--(sobrestock_sustitutos!$F$31:$F$33="Fábrica: cilindro vacío"),parametros_recargas!$C$56:$C$58)*parametros_recargas!N$110+SUMPRODUCT(sobrestock_sustitutos!$I$86:$I$89,--(sobrestock_sustitutos!$F$43:$F$46="Fábrica: cilindro vacío"),parametros_recargas!$C$68:$C$71)*parametros_recargas!N$111</f>
        <v>14.063980696125</v>
      </c>
      <c r="N254" s="27" t="n">
        <f aca="false">SUMPRODUCT(sobrestock_sustitutos!$I$73:$I$73,--(sobrestock_sustitutos!$F$30:$F$30="Fábrica: cilindro vacío"),parametros_recargas!$C$55:$C$55)*parametros_recargas!O$109+SUMPRODUCT(sobrestock_sustitutos!$I$74:$I$76,--(sobrestock_sustitutos!$F$31:$F$33="Fábrica: cilindro vacío"),parametros_recargas!$C$56:$C$58)*parametros_recargas!O$110+SUMPRODUCT(sobrestock_sustitutos!$I$86:$I$89,--(sobrestock_sustitutos!$F$43:$F$46="Fábrica: cilindro vacío"),parametros_recargas!$C$68:$C$71)*parametros_recargas!O$111</f>
        <v>13.12638198305</v>
      </c>
      <c r="O254" s="27" t="n">
        <f aca="false">SUMPRODUCT(sobrestock_sustitutos!$I$73:$I$73,--(sobrestock_sustitutos!$F$30:$F$30="Fábrica: cilindro vacío"),parametros_recargas!$C$55:$C$55)*parametros_recargas!P$109+SUMPRODUCT(sobrestock_sustitutos!$I$74:$I$76,--(sobrestock_sustitutos!$F$31:$F$33="Fábrica: cilindro vacío"),parametros_recargas!$C$56:$C$58)*parametros_recargas!P$110+SUMPRODUCT(sobrestock_sustitutos!$I$86:$I$89,--(sobrestock_sustitutos!$F$43:$F$46="Fábrica: cilindro vacío"),parametros_recargas!$C$68:$C$71)*parametros_recargas!P$111</f>
        <v>19.6119794092</v>
      </c>
      <c r="P254" s="12" t="n">
        <f aca="false">SUM(D254:O254)</f>
        <v>187.519742615</v>
      </c>
    </row>
    <row r="257" customFormat="false" ht="15" hidden="false" customHeight="false" outlineLevel="0" collapsed="false">
      <c r="A257" s="28" t="n">
        <v>2034</v>
      </c>
      <c r="B257" s="3" t="s">
        <v>383</v>
      </c>
      <c r="C257" s="3" t="s">
        <v>384</v>
      </c>
      <c r="D257" s="3" t="s">
        <v>64</v>
      </c>
      <c r="E257" s="3" t="s">
        <v>65</v>
      </c>
      <c r="F257" s="3" t="s">
        <v>66</v>
      </c>
      <c r="G257" s="3" t="s">
        <v>67</v>
      </c>
      <c r="H257" s="3" t="s">
        <v>68</v>
      </c>
      <c r="I257" s="3" t="s">
        <v>69</v>
      </c>
      <c r="J257" s="3" t="s">
        <v>70</v>
      </c>
      <c r="K257" s="3" t="s">
        <v>71</v>
      </c>
      <c r="L257" s="3" t="s">
        <v>72</v>
      </c>
      <c r="M257" s="3" t="s">
        <v>73</v>
      </c>
      <c r="N257" s="3" t="s">
        <v>74</v>
      </c>
      <c r="O257" s="3" t="s">
        <v>75</v>
      </c>
      <c r="P257" s="3" t="s">
        <v>132</v>
      </c>
    </row>
    <row r="258" customFormat="false" ht="15" hidden="false" customHeight="false" outlineLevel="0" collapsed="false">
      <c r="A258" s="6" t="str">
        <f aca="false">parametros_recargas!A55</f>
        <v>ABC 1 kg</v>
      </c>
      <c r="B258" s="6" t="str">
        <f aca="false">parametros_recargas!B55</f>
        <v>ABC</v>
      </c>
      <c r="C258" s="14" t="n">
        <f aca="false">parametros_recargas!C55</f>
        <v>1</v>
      </c>
      <c r="D258" s="26" t="n">
        <f aca="false">datos_base!$J$2*parametros_recargas!E$55+sobrestock_sustitutos!$I$51/12</f>
        <v>12210.7742041548</v>
      </c>
      <c r="E258" s="26" t="n">
        <f aca="false">datos_base!$J$2*parametros_recargas!F$55+sobrestock_sustitutos!$I$51/12</f>
        <v>9725.3980092249</v>
      </c>
      <c r="F258" s="26" t="n">
        <f aca="false">datos_base!$J$2*parametros_recargas!G$55+sobrestock_sustitutos!$I$51/12</f>
        <v>7244.94007427169</v>
      </c>
      <c r="G258" s="26" t="n">
        <f aca="false">datos_base!$J$2*parametros_recargas!H$55+sobrestock_sustitutos!$I$51/12</f>
        <v>7244.94007427169</v>
      </c>
      <c r="H258" s="26" t="n">
        <f aca="false">datos_base!$J$2*parametros_recargas!I$55+sobrestock_sustitutos!$I$51/12</f>
        <v>7249.8583342484</v>
      </c>
      <c r="I258" s="26" t="n">
        <f aca="false">datos_base!$J$2*parametros_recargas!J$55+sobrestock_sustitutos!$I$51/12</f>
        <v>7249.8583342484</v>
      </c>
      <c r="J258" s="26" t="n">
        <f aca="false">datos_base!$J$2*parametros_recargas!K$55+sobrestock_sustitutos!$I$51/12</f>
        <v>7241.35169837499</v>
      </c>
      <c r="K258" s="26" t="n">
        <f aca="false">datos_base!$J$2*parametros_recargas!L$55+sobrestock_sustitutos!$I$51/12</f>
        <v>7249.8583342484</v>
      </c>
      <c r="L258" s="26" t="n">
        <f aca="false">datos_base!$J$2*parametros_recargas!M$55+sobrestock_sustitutos!$I$51/12</f>
        <v>7249.1933922084</v>
      </c>
      <c r="M258" s="26" t="n">
        <f aca="false">datos_base!$J$2*parametros_recargas!N$55+sobrestock_sustitutos!$I$51/12</f>
        <v>7249.1933922084</v>
      </c>
      <c r="N258" s="26" t="n">
        <f aca="false">datos_base!$J$2*parametros_recargas!O$55+sobrestock_sustitutos!$I$51/12</f>
        <v>9729.6513271616</v>
      </c>
      <c r="O258" s="26" t="n">
        <f aca="false">datos_base!$J$2*parametros_recargas!P$55+sobrestock_sustitutos!$I$51/12</f>
        <v>12215.0275220915</v>
      </c>
      <c r="P258" s="12" t="n">
        <f aca="false">SUM(D258:O258)</f>
        <v>101860.044696713</v>
      </c>
    </row>
    <row r="259" customFormat="false" ht="15" hidden="false" customHeight="false" outlineLevel="0" collapsed="false">
      <c r="A259" s="6" t="str">
        <f aca="false">parametros_recargas!A56</f>
        <v>ABC 2,5 kg</v>
      </c>
      <c r="B259" s="6" t="str">
        <f aca="false">parametros_recargas!B56</f>
        <v>ABC</v>
      </c>
      <c r="C259" s="14" t="n">
        <f aca="false">parametros_recargas!C56</f>
        <v>1</v>
      </c>
      <c r="D259" s="26" t="n">
        <f aca="false">datos_base!$J$3*parametros_recargas!E$56+sobrestock_sustitutos!$I$52/12</f>
        <v>523.834883999015</v>
      </c>
      <c r="E259" s="26" t="n">
        <f aca="false">datos_base!$J$3*parametros_recargas!F$56+sobrestock_sustitutos!$I$52/12</f>
        <v>523.834883999015</v>
      </c>
      <c r="F259" s="26" t="n">
        <f aca="false">datos_base!$J$3*parametros_recargas!G$56+sobrestock_sustitutos!$I$52/12</f>
        <v>715.084188611342</v>
      </c>
      <c r="G259" s="26" t="n">
        <f aca="false">datos_base!$J$3*parametros_recargas!H$56+sobrestock_sustitutos!$I$52/12</f>
        <v>831.105704030862</v>
      </c>
      <c r="H259" s="26" t="n">
        <f aca="false">datos_base!$J$3*parametros_recargas!I$56+sobrestock_sustitutos!$I$52/12</f>
        <v>898.698016255163</v>
      </c>
      <c r="I259" s="26" t="n">
        <f aca="false">datos_base!$J$3*parametros_recargas!J$56+sobrestock_sustitutos!$I$52/12</f>
        <v>888.660246231796</v>
      </c>
      <c r="J259" s="26" t="n">
        <f aca="false">datos_base!$J$3*parametros_recargas!K$56+sobrestock_sustitutos!$I$52/12</f>
        <v>645.453585023628</v>
      </c>
      <c r="K259" s="26" t="n">
        <f aca="false">datos_base!$J$3*parametros_recargas!L$56+sobrestock_sustitutos!$I$52/12</f>
        <v>754.965483820403</v>
      </c>
      <c r="L259" s="26" t="n">
        <f aca="false">datos_base!$J$3*parametros_recargas!M$56+sobrestock_sustitutos!$I$52/12</f>
        <v>756.585202765824</v>
      </c>
      <c r="M259" s="26" t="n">
        <f aca="false">datos_base!$J$3*parametros_recargas!N$56+sobrestock_sustitutos!$I$52/12</f>
        <v>756.585202765824</v>
      </c>
      <c r="N259" s="26" t="n">
        <f aca="false">datos_base!$J$3*parametros_recargas!O$56+sobrestock_sustitutos!$I$52/12</f>
        <v>688.992890541523</v>
      </c>
      <c r="O259" s="26" t="n">
        <f aca="false">datos_base!$J$3*parametros_recargas!P$56+sobrestock_sustitutos!$I$52/12</f>
        <v>699.030660564891</v>
      </c>
      <c r="P259" s="12" t="n">
        <f aca="false">SUM(D259:O259)</f>
        <v>8682.83094860929</v>
      </c>
    </row>
    <row r="260" customFormat="false" ht="15" hidden="false" customHeight="false" outlineLevel="0" collapsed="false">
      <c r="A260" s="6" t="str">
        <f aca="false">parametros_recargas!A57</f>
        <v>ABC 5 kg</v>
      </c>
      <c r="B260" s="6" t="str">
        <f aca="false">parametros_recargas!B57</f>
        <v>ABC</v>
      </c>
      <c r="C260" s="14" t="n">
        <f aca="false">parametros_recargas!C57</f>
        <v>1</v>
      </c>
      <c r="D260" s="26" t="n">
        <f aca="false">datos_base!$J$4*parametros_recargas!E$57+sobrestock_sustitutos!$I$53/12</f>
        <v>3544.96470603223</v>
      </c>
      <c r="E260" s="26" t="n">
        <f aca="false">datos_base!$J$4*parametros_recargas!F$57+sobrestock_sustitutos!$I$53/12</f>
        <v>3458.69703862945</v>
      </c>
      <c r="F260" s="26" t="n">
        <f aca="false">datos_base!$J$4*parametros_recargas!G$57+sobrestock_sustitutos!$I$53/12</f>
        <v>4329.27631662097</v>
      </c>
      <c r="G260" s="26" t="n">
        <f aca="false">datos_base!$J$4*parametros_recargas!H$57+sobrestock_sustitutos!$I$53/12</f>
        <v>5265.10323666913</v>
      </c>
      <c r="H260" s="26" t="n">
        <f aca="false">datos_base!$J$4*parametros_recargas!I$57+sobrestock_sustitutos!$I$53/12</f>
        <v>5284.42586361003</v>
      </c>
      <c r="I260" s="26" t="n">
        <f aca="false">datos_base!$J$4*parametros_recargas!J$57+sobrestock_sustitutos!$I$53/12</f>
        <v>5218.38853572067</v>
      </c>
      <c r="J260" s="26" t="n">
        <f aca="false">datos_base!$J$4*parametros_recargas!K$57+sobrestock_sustitutos!$I$53/12</f>
        <v>4225.09133660259</v>
      </c>
      <c r="K260" s="26" t="n">
        <f aca="false">datos_base!$J$4*parametros_recargas!L$57+sobrestock_sustitutos!$I$53/12</f>
        <v>4214.82688937791</v>
      </c>
      <c r="L260" s="26" t="n">
        <f aca="false">datos_base!$J$4*parametros_recargas!M$57+sobrestock_sustitutos!$I$53/12</f>
        <v>4273.34304828767</v>
      </c>
      <c r="M260" s="26" t="n">
        <f aca="false">datos_base!$J$4*parametros_recargas!N$57+sobrestock_sustitutos!$I$53/12</f>
        <v>4273.34304828767</v>
      </c>
      <c r="N260" s="26" t="n">
        <f aca="false">datos_base!$J$4*parametros_recargas!O$57+sobrestock_sustitutos!$I$53/12</f>
        <v>4340.28808874955</v>
      </c>
      <c r="O260" s="26" t="n">
        <f aca="false">datos_base!$J$4*parametros_recargas!P$57+sobrestock_sustitutos!$I$53/12</f>
        <v>4492.5930840417</v>
      </c>
      <c r="P260" s="12" t="n">
        <f aca="false">SUM(D260:O260)</f>
        <v>52920.3411926296</v>
      </c>
    </row>
    <row r="261" customFormat="false" ht="15" hidden="false" customHeight="false" outlineLevel="0" collapsed="false">
      <c r="A261" s="6" t="str">
        <f aca="false">parametros_recargas!A58</f>
        <v>ABC 10 kg</v>
      </c>
      <c r="B261" s="6" t="str">
        <f aca="false">parametros_recargas!B58</f>
        <v>ABC</v>
      </c>
      <c r="C261" s="14" t="n">
        <f aca="false">parametros_recargas!C58</f>
        <v>1</v>
      </c>
      <c r="D261" s="26" t="n">
        <f aca="false">datos_base!$J$5*parametros_recargas!E$58+sobrestock_sustitutos!$I$54/12</f>
        <v>203.455186619921</v>
      </c>
      <c r="E261" s="26" t="n">
        <f aca="false">datos_base!$J$5*parametros_recargas!F$58+sobrestock_sustitutos!$I$54/12</f>
        <v>203.455186619921</v>
      </c>
      <c r="F261" s="26" t="n">
        <f aca="false">datos_base!$J$5*parametros_recargas!G$58+sobrestock_sustitutos!$I$54/12</f>
        <v>260.838185211831</v>
      </c>
      <c r="G261" s="26" t="n">
        <f aca="false">datos_base!$J$5*parametros_recargas!H$58+sobrestock_sustitutos!$I$54/12</f>
        <v>316.894121520501</v>
      </c>
      <c r="H261" s="26" t="n">
        <f aca="false">datos_base!$J$5*parametros_recargas!I$58+sobrestock_sustitutos!$I$54/12</f>
        <v>319.821939910247</v>
      </c>
      <c r="I261" s="26" t="n">
        <f aca="false">datos_base!$J$5*parametros_recargas!J$58+sobrestock_sustitutos!$I$54/12</f>
        <v>310.696051857368</v>
      </c>
      <c r="J261" s="26" t="n">
        <f aca="false">datos_base!$J$5*parametros_recargas!K$58+sobrestock_sustitutos!$I$54/12</f>
        <v>245.021912796019</v>
      </c>
      <c r="K261" s="26" t="n">
        <f aca="false">datos_base!$J$5*parametros_recargas!L$58+sobrestock_sustitutos!$I$54/12</f>
        <v>247.114983602325</v>
      </c>
      <c r="L261" s="26" t="n">
        <f aca="false">datos_base!$J$5*parametros_recargas!M$58+sobrestock_sustitutos!$I$54/12</f>
        <v>256.240871655204</v>
      </c>
      <c r="M261" s="26" t="n">
        <f aca="false">datos_base!$J$5*parametros_recargas!N$58+sobrestock_sustitutos!$I$54/12</f>
        <v>256.240871655204</v>
      </c>
      <c r="N261" s="26" t="n">
        <f aca="false">datos_base!$J$5*parametros_recargas!O$58+sobrestock_sustitutos!$I$54/12</f>
        <v>253.313053265458</v>
      </c>
      <c r="O261" s="26" t="n">
        <f aca="false">datos_base!$J$5*parametros_recargas!P$58+sobrestock_sustitutos!$I$54/12</f>
        <v>262.438941318337</v>
      </c>
      <c r="P261" s="12" t="n">
        <f aca="false">SUM(D261:O261)</f>
        <v>3135.53130603234</v>
      </c>
    </row>
    <row r="262" customFormat="false" ht="15" hidden="false" customHeight="false" outlineLevel="0" collapsed="false">
      <c r="A262" s="6" t="str">
        <f aca="false">parametros_recargas!A59</f>
        <v>Agua 10 l</v>
      </c>
      <c r="B262" s="6" t="str">
        <f aca="false">parametros_recargas!B59</f>
        <v>Agua</v>
      </c>
      <c r="C262" s="14" t="n">
        <f aca="false">parametros_recargas!C59</f>
        <v>1</v>
      </c>
      <c r="D262" s="26" t="n">
        <f aca="false">datos_base!$J$6*parametros_recargas!E$59+sobrestock_sustitutos!$I$55/12</f>
        <v>297.436468001072</v>
      </c>
      <c r="E262" s="26" t="n">
        <f aca="false">datos_base!$J$6*parametros_recargas!F$59+sobrestock_sustitutos!$I$55/12</f>
        <v>297.436468001072</v>
      </c>
      <c r="F262" s="26" t="n">
        <f aca="false">datos_base!$J$6*parametros_recargas!G$59+sobrestock_sustitutos!$I$55/12</f>
        <v>365.86936603378</v>
      </c>
      <c r="G262" s="26" t="n">
        <f aca="false">datos_base!$J$6*parametros_recargas!H$59+sobrestock_sustitutos!$I$55/12</f>
        <v>438.01536878676</v>
      </c>
      <c r="H262" s="26" t="n">
        <f aca="false">datos_base!$J$6*parametros_recargas!I$59+sobrestock_sustitutos!$I$55/12</f>
        <v>440.721355417208</v>
      </c>
      <c r="I262" s="26" t="n">
        <f aca="false">datos_base!$J$6*parametros_recargas!J$59+sobrestock_sustitutos!$I$55/12</f>
        <v>427.982949621873</v>
      </c>
      <c r="J262" s="26" t="n">
        <f aca="false">datos_base!$J$6*parametros_recargas!K$59+sobrestock_sustitutos!$I$55/12</f>
        <v>348.863517943259</v>
      </c>
      <c r="K262" s="26" t="n">
        <f aca="false">datos_base!$J$6*parametros_recargas!L$59+sobrestock_sustitutos!$I$55/12</f>
        <v>349.517632424278</v>
      </c>
      <c r="L262" s="26" t="n">
        <f aca="false">datos_base!$J$6*parametros_recargas!M$59+sobrestock_sustitutos!$I$55/12</f>
        <v>361.456937440828</v>
      </c>
      <c r="M262" s="26" t="n">
        <f aca="false">datos_base!$J$6*parametros_recargas!N$59+sobrestock_sustitutos!$I$55/12</f>
        <v>361.456937440828</v>
      </c>
      <c r="N262" s="26" t="n">
        <f aca="false">datos_base!$J$6*parametros_recargas!O$59+sobrestock_sustitutos!$I$55/12</f>
        <v>358.75095081038</v>
      </c>
      <c r="O262" s="26" t="n">
        <f aca="false">datos_base!$J$6*parametros_recargas!P$59+sobrestock_sustitutos!$I$55/12</f>
        <v>371.489356605715</v>
      </c>
      <c r="P262" s="12" t="n">
        <f aca="false">SUM(D262:O262)</f>
        <v>4418.99730852705</v>
      </c>
    </row>
    <row r="263" customFormat="false" ht="15" hidden="false" customHeight="false" outlineLevel="0" collapsed="false">
      <c r="A263" s="6" t="str">
        <f aca="false">parametros_recargas!A60</f>
        <v>AFFF 10 l</v>
      </c>
      <c r="B263" s="6" t="str">
        <f aca="false">parametros_recargas!B60</f>
        <v>AFFF</v>
      </c>
      <c r="C263" s="14" t="n">
        <f aca="false">parametros_recargas!C60</f>
        <v>1</v>
      </c>
      <c r="D263" s="26" t="n">
        <f aca="false">datos_base!$J$7*parametros_recargas!E$60+sobrestock_sustitutos!$I$56/12</f>
        <v>69.1108340049327</v>
      </c>
      <c r="E263" s="26" t="n">
        <f aca="false">datos_base!$J$7*parametros_recargas!F$60+sobrestock_sustitutos!$I$56/12</f>
        <v>69.1108340049327</v>
      </c>
      <c r="F263" s="26" t="n">
        <f aca="false">datos_base!$J$7*parametros_recargas!G$60+sobrestock_sustitutos!$I$56/12</f>
        <v>69.1108340049327</v>
      </c>
      <c r="G263" s="26" t="n">
        <f aca="false">datos_base!$J$7*parametros_recargas!H$60+sobrestock_sustitutos!$I$56/12</f>
        <v>69.1108340049327</v>
      </c>
      <c r="H263" s="26" t="n">
        <f aca="false">datos_base!$J$7*parametros_recargas!I$60+sobrestock_sustitutos!$I$56/12</f>
        <v>69.1108340049327</v>
      </c>
      <c r="I263" s="26" t="n">
        <f aca="false">datos_base!$J$7*parametros_recargas!J$60+sobrestock_sustitutos!$I$56/12</f>
        <v>69.1108340049327</v>
      </c>
      <c r="J263" s="26" t="n">
        <f aca="false">datos_base!$J$7*parametros_recargas!K$60+sobrestock_sustitutos!$I$56/12</f>
        <v>69.1108340049327</v>
      </c>
      <c r="K263" s="26" t="n">
        <f aca="false">datos_base!$J$7*parametros_recargas!L$60+sobrestock_sustitutos!$I$56/12</f>
        <v>69.1108340049327</v>
      </c>
      <c r="L263" s="26" t="n">
        <f aca="false">datos_base!$J$7*parametros_recargas!M$60+sobrestock_sustitutos!$I$56/12</f>
        <v>69.1108340049327</v>
      </c>
      <c r="M263" s="26" t="n">
        <f aca="false">datos_base!$J$7*parametros_recargas!N$60+sobrestock_sustitutos!$I$56/12</f>
        <v>69.1108340049327</v>
      </c>
      <c r="N263" s="26" t="n">
        <f aca="false">datos_base!$J$7*parametros_recargas!O$60+sobrestock_sustitutos!$I$56/12</f>
        <v>69.1108340049327</v>
      </c>
      <c r="O263" s="26" t="n">
        <f aca="false">datos_base!$J$7*parametros_recargas!P$60+sobrestock_sustitutos!$I$56/12</f>
        <v>69.1108340049327</v>
      </c>
      <c r="P263" s="12" t="n">
        <f aca="false">SUM(D263:O263)</f>
        <v>829.330008059193</v>
      </c>
    </row>
    <row r="264" customFormat="false" ht="15" hidden="false" customHeight="false" outlineLevel="0" collapsed="false">
      <c r="A264" s="6" t="str">
        <f aca="false">parametros_recargas!A61</f>
        <v>AFFF 50 l s/ruedas</v>
      </c>
      <c r="B264" s="6" t="str">
        <f aca="false">parametros_recargas!B61</f>
        <v>AFFF</v>
      </c>
      <c r="C264" s="14" t="n">
        <f aca="false">parametros_recargas!C61</f>
        <v>6.360853875</v>
      </c>
      <c r="D264" s="26" t="n">
        <f aca="false">datos_base!$J$8*parametros_recargas!E$61+sobrestock_sustitutos!$I$57/12</f>
        <v>36.1559712243328</v>
      </c>
      <c r="E264" s="26" t="n">
        <f aca="false">datos_base!$J$8*parametros_recargas!F$61+sobrestock_sustitutos!$I$57/12</f>
        <v>36.1559712243328</v>
      </c>
      <c r="F264" s="26" t="n">
        <f aca="false">datos_base!$J$8*parametros_recargas!G$61+sobrestock_sustitutos!$I$57/12</f>
        <v>36.1559712243328</v>
      </c>
      <c r="G264" s="26" t="n">
        <f aca="false">datos_base!$J$8*parametros_recargas!H$61+sobrestock_sustitutos!$I$57/12</f>
        <v>36.1559712243328</v>
      </c>
      <c r="H264" s="26" t="n">
        <f aca="false">datos_base!$J$8*parametros_recargas!I$61+sobrestock_sustitutos!$I$57/12</f>
        <v>36.1559712243328</v>
      </c>
      <c r="I264" s="26" t="n">
        <f aca="false">datos_base!$J$8*parametros_recargas!J$61+sobrestock_sustitutos!$I$57/12</f>
        <v>36.1559712243328</v>
      </c>
      <c r="J264" s="26" t="n">
        <f aca="false">datos_base!$J$8*parametros_recargas!K$61+sobrestock_sustitutos!$I$57/12</f>
        <v>36.1559712243328</v>
      </c>
      <c r="K264" s="26" t="n">
        <f aca="false">datos_base!$J$8*parametros_recargas!L$61+sobrestock_sustitutos!$I$57/12</f>
        <v>36.1559712243328</v>
      </c>
      <c r="L264" s="26" t="n">
        <f aca="false">datos_base!$J$8*parametros_recargas!M$61+sobrestock_sustitutos!$I$57/12</f>
        <v>36.1559712243328</v>
      </c>
      <c r="M264" s="26" t="n">
        <f aca="false">datos_base!$J$8*parametros_recargas!N$61+sobrestock_sustitutos!$I$57/12</f>
        <v>36.1559712243328</v>
      </c>
      <c r="N264" s="26" t="n">
        <f aca="false">datos_base!$J$8*parametros_recargas!O$61+sobrestock_sustitutos!$I$57/12</f>
        <v>36.1559712243328</v>
      </c>
      <c r="O264" s="26" t="n">
        <f aca="false">datos_base!$J$8*parametros_recargas!P$61+sobrestock_sustitutos!$I$57/12</f>
        <v>36.1559712243328</v>
      </c>
      <c r="P264" s="12" t="n">
        <f aca="false">SUM(D264:O264)</f>
        <v>433.871654691993</v>
      </c>
    </row>
    <row r="265" customFormat="false" ht="15" hidden="false" customHeight="false" outlineLevel="0" collapsed="false">
      <c r="A265" s="6" t="str">
        <f aca="false">parametros_recargas!A62</f>
        <v>BC 5 kg</v>
      </c>
      <c r="B265" s="6" t="str">
        <f aca="false">parametros_recargas!B62</f>
        <v>BC</v>
      </c>
      <c r="C265" s="14" t="n">
        <f aca="false">parametros_recargas!C62</f>
        <v>1</v>
      </c>
      <c r="D265" s="26" t="n">
        <f aca="false">datos_base!$J$9*parametros_recargas!E$62+sobrestock_sustitutos!$I$58/12</f>
        <v>20.8495739327679</v>
      </c>
      <c r="E265" s="26" t="n">
        <f aca="false">datos_base!$J$9*parametros_recargas!F$62+sobrestock_sustitutos!$I$58/12</f>
        <v>20.8495739327679</v>
      </c>
      <c r="F265" s="26" t="n">
        <f aca="false">datos_base!$J$9*parametros_recargas!G$62+sobrestock_sustitutos!$I$58/12</f>
        <v>20.8495739327679</v>
      </c>
      <c r="G265" s="26" t="n">
        <f aca="false">datos_base!$J$9*parametros_recargas!H$62+sobrestock_sustitutos!$I$58/12</f>
        <v>20.8495739327679</v>
      </c>
      <c r="H265" s="26" t="n">
        <f aca="false">datos_base!$J$9*parametros_recargas!I$62+sobrestock_sustitutos!$I$58/12</f>
        <v>20.8495739327679</v>
      </c>
      <c r="I265" s="26" t="n">
        <f aca="false">datos_base!$J$9*parametros_recargas!J$62+sobrestock_sustitutos!$I$58/12</f>
        <v>20.8495739327679</v>
      </c>
      <c r="J265" s="26" t="n">
        <f aca="false">datos_base!$J$9*parametros_recargas!K$62+sobrestock_sustitutos!$I$58/12</f>
        <v>20.8495739327679</v>
      </c>
      <c r="K265" s="26" t="n">
        <f aca="false">datos_base!$J$9*parametros_recargas!L$62+sobrestock_sustitutos!$I$58/12</f>
        <v>20.8495739327679</v>
      </c>
      <c r="L265" s="26" t="n">
        <f aca="false">datos_base!$J$9*parametros_recargas!M$62+sobrestock_sustitutos!$I$58/12</f>
        <v>20.8495739327679</v>
      </c>
      <c r="M265" s="26" t="n">
        <f aca="false">datos_base!$J$9*parametros_recargas!N$62+sobrestock_sustitutos!$I$58/12</f>
        <v>20.8495739327679</v>
      </c>
      <c r="N265" s="26" t="n">
        <f aca="false">datos_base!$J$9*parametros_recargas!O$62+sobrestock_sustitutos!$I$58/12</f>
        <v>20.8495739327679</v>
      </c>
      <c r="O265" s="26" t="n">
        <f aca="false">datos_base!$J$9*parametros_recargas!P$62+sobrestock_sustitutos!$I$58/12</f>
        <v>20.8495739327679</v>
      </c>
      <c r="P265" s="12" t="n">
        <f aca="false">SUM(D265:O265)</f>
        <v>250.194887193214</v>
      </c>
    </row>
    <row r="266" customFormat="false" ht="15" hidden="false" customHeight="false" outlineLevel="0" collapsed="false">
      <c r="A266" s="6" t="str">
        <f aca="false">parametros_recargas!A63</f>
        <v>Sales K 6 l</v>
      </c>
      <c r="B266" s="6" t="str">
        <f aca="false">parametros_recargas!B63</f>
        <v>Sales K</v>
      </c>
      <c r="C266" s="14" t="n">
        <f aca="false">parametros_recargas!C63</f>
        <v>1</v>
      </c>
      <c r="D266" s="26" t="n">
        <f aca="false">datos_base!$J$10*parametros_recargas!E$63+sobrestock_sustitutos!$I$59/12</f>
        <v>151.751467028597</v>
      </c>
      <c r="E266" s="26" t="n">
        <f aca="false">datos_base!$J$10*parametros_recargas!F$63+sobrestock_sustitutos!$I$59/12</f>
        <v>151.751467028597</v>
      </c>
      <c r="F266" s="26" t="n">
        <f aca="false">datos_base!$J$10*parametros_recargas!G$63+sobrestock_sustitutos!$I$59/12</f>
        <v>182.422109980288</v>
      </c>
      <c r="G266" s="26" t="n">
        <f aca="false">datos_base!$J$10*parametros_recargas!H$63+sobrestock_sustitutos!$I$59/12</f>
        <v>206.05224096252</v>
      </c>
      <c r="H266" s="26" t="n">
        <f aca="false">datos_base!$J$10*parametros_recargas!I$63+sobrestock_sustitutos!$I$59/12</f>
        <v>211.170185528629</v>
      </c>
      <c r="I266" s="26" t="n">
        <f aca="false">datos_base!$J$10*parametros_recargas!J$63+sobrestock_sustitutos!$I$59/12</f>
        <v>206.889396767476</v>
      </c>
      <c r="J266" s="26" t="n">
        <f aca="false">datos_base!$J$10*parametros_recargas!K$63+sobrestock_sustitutos!$I$59/12</f>
        <v>169.921698570775</v>
      </c>
      <c r="K266" s="26" t="n">
        <f aca="false">datos_base!$J$10*parametros_recargas!L$63+sobrestock_sustitutos!$I$59/12</f>
        <v>177.055909620742</v>
      </c>
      <c r="L266" s="26" t="n">
        <f aca="false">datos_base!$J$10*parametros_recargas!M$63+sobrestock_sustitutos!$I$59/12</f>
        <v>181.336698381895</v>
      </c>
      <c r="M266" s="26" t="n">
        <f aca="false">datos_base!$J$10*parametros_recargas!N$63+sobrestock_sustitutos!$I$59/12</f>
        <v>181.336698381895</v>
      </c>
      <c r="N266" s="26" t="n">
        <f aca="false">datos_base!$J$10*parametros_recargas!O$63+sobrestock_sustitutos!$I$59/12</f>
        <v>176.218753815786</v>
      </c>
      <c r="O266" s="26" t="n">
        <f aca="false">datos_base!$J$10*parametros_recargas!P$63+sobrestock_sustitutos!$I$59/12</f>
        <v>180.499542576939</v>
      </c>
      <c r="P266" s="12" t="n">
        <f aca="false">SUM(D266:O266)</f>
        <v>2176.40616864414</v>
      </c>
    </row>
    <row r="267" customFormat="false" ht="15" hidden="false" customHeight="false" outlineLevel="0" collapsed="false">
      <c r="A267" s="6" t="str">
        <f aca="false">parametros_recargas!A64</f>
        <v>CO₂ 2 kg</v>
      </c>
      <c r="B267" s="6" t="str">
        <f aca="false">parametros_recargas!B64</f>
        <v>CO₂</v>
      </c>
      <c r="C267" s="14" t="n">
        <f aca="false">parametros_recargas!C64</f>
        <v>1</v>
      </c>
      <c r="D267" s="26" t="n">
        <f aca="false">datos_base!$J$11*parametros_recargas!E$64+sobrestock_sustitutos!$I$60/12</f>
        <v>737.363996503195</v>
      </c>
      <c r="E267" s="26" t="n">
        <f aca="false">datos_base!$J$11*parametros_recargas!F$64+sobrestock_sustitutos!$I$60/12</f>
        <v>737.363996503195</v>
      </c>
      <c r="F267" s="26" t="n">
        <f aca="false">datos_base!$J$11*parametros_recargas!G$64+sobrestock_sustitutos!$I$60/12</f>
        <v>987.667084446087</v>
      </c>
      <c r="G267" s="26" t="n">
        <f aca="false">datos_base!$J$11*parametros_recargas!H$64+sobrestock_sustitutos!$I$60/12</f>
        <v>1223.09090949703</v>
      </c>
      <c r="H267" s="26" t="n">
        <f aca="false">datos_base!$J$11*parametros_recargas!I$64+sobrestock_sustitutos!$I$60/12</f>
        <v>1227.99863005473</v>
      </c>
      <c r="I267" s="26" t="n">
        <f aca="false">datos_base!$J$11*parametros_recargas!J$64+sobrestock_sustitutos!$I$60/12</f>
        <v>1212.55617197338</v>
      </c>
      <c r="J267" s="26" t="n">
        <f aca="false">datos_base!$J$11*parametros_recargas!K$64+sobrestock_sustitutos!$I$60/12</f>
        <v>954.609905599229</v>
      </c>
      <c r="K267" s="26" t="n">
        <f aca="false">datos_base!$J$11*parametros_recargas!L$64+sobrestock_sustitutos!$I$60/12</f>
        <v>951.718346506838</v>
      </c>
      <c r="L267" s="26" t="n">
        <f aca="false">datos_base!$J$11*parametros_recargas!M$64+sobrestock_sustitutos!$I$60/12</f>
        <v>967.160804588191</v>
      </c>
      <c r="M267" s="26" t="n">
        <f aca="false">datos_base!$J$11*parametros_recargas!N$64+sobrestock_sustitutos!$I$60/12</f>
        <v>967.160804588191</v>
      </c>
      <c r="N267" s="26" t="n">
        <f aca="false">datos_base!$J$11*parametros_recargas!O$64+sobrestock_sustitutos!$I$60/12</f>
        <v>962.253084030486</v>
      </c>
      <c r="O267" s="26" t="n">
        <f aca="false">datos_base!$J$11*parametros_recargas!P$64+sobrestock_sustitutos!$I$60/12</f>
        <v>977.695542111839</v>
      </c>
      <c r="P267" s="12" t="n">
        <f aca="false">SUM(D267:O267)</f>
        <v>11906.6392764024</v>
      </c>
    </row>
    <row r="268" customFormat="false" ht="15" hidden="false" customHeight="false" outlineLevel="0" collapsed="false">
      <c r="A268" s="6" t="str">
        <f aca="false">parametros_recargas!A65</f>
        <v>CO₂ 5 kg</v>
      </c>
      <c r="B268" s="6" t="str">
        <f aca="false">parametros_recargas!B65</f>
        <v>CO₂</v>
      </c>
      <c r="C268" s="14" t="n">
        <f aca="false">parametros_recargas!C65</f>
        <v>1</v>
      </c>
      <c r="D268" s="26" t="n">
        <f aca="false">datos_base!$J$12*parametros_recargas!E$65+sobrestock_sustitutos!$I$61/12</f>
        <v>308.067371043544</v>
      </c>
      <c r="E268" s="26" t="n">
        <f aca="false">datos_base!$J$12*parametros_recargas!F$65+sobrestock_sustitutos!$I$61/12</f>
        <v>308.067371043544</v>
      </c>
      <c r="F268" s="26" t="n">
        <f aca="false">datos_base!$J$12*parametros_recargas!G$65+sobrestock_sustitutos!$I$61/12</f>
        <v>333.902747045087</v>
      </c>
      <c r="G268" s="26" t="n">
        <f aca="false">datos_base!$J$12*parametros_recargas!H$65+sobrestock_sustitutos!$I$61/12</f>
        <v>369.697683275133</v>
      </c>
      <c r="H268" s="26" t="n">
        <f aca="false">datos_base!$J$12*parametros_recargas!I$65+sobrestock_sustitutos!$I$61/12</f>
        <v>375.848460229232</v>
      </c>
      <c r="I268" s="26" t="n">
        <f aca="false">datos_base!$J$12*parametros_recargas!J$65+sobrestock_sustitutos!$I$61/12</f>
        <v>358.549659782376</v>
      </c>
      <c r="J268" s="26" t="n">
        <f aca="false">datos_base!$J$12*parametros_recargas!K$65+sobrestock_sustitutos!$I$61/12</f>
        <v>317.257774093412</v>
      </c>
      <c r="K268" s="26" t="n">
        <f aca="false">datos_base!$J$12*parametros_recargas!L$65+sobrestock_sustitutos!$I$61/12</f>
        <v>321.566260288076</v>
      </c>
      <c r="L268" s="26" t="n">
        <f aca="false">datos_base!$J$12*parametros_recargas!M$65+sobrestock_sustitutos!$I$61/12</f>
        <v>335.165642694229</v>
      </c>
      <c r="M268" s="26" t="n">
        <f aca="false">datos_base!$J$12*parametros_recargas!N$65+sobrestock_sustitutos!$I$61/12</f>
        <v>335.165642694229</v>
      </c>
      <c r="N268" s="26" t="n">
        <f aca="false">datos_base!$J$12*parametros_recargas!O$65+sobrestock_sustitutos!$I$61/12</f>
        <v>329.014865740129</v>
      </c>
      <c r="O268" s="26" t="n">
        <f aca="false">datos_base!$J$12*parametros_recargas!P$65+sobrestock_sustitutos!$I$61/12</f>
        <v>346.313666186986</v>
      </c>
      <c r="P268" s="12" t="n">
        <f aca="false">SUM(D268:O268)</f>
        <v>4038.61714411598</v>
      </c>
    </row>
    <row r="269" customFormat="false" ht="15" hidden="false" customHeight="false" outlineLevel="0" collapsed="false">
      <c r="A269" s="6" t="str">
        <f aca="false">parametros_recargas!A66</f>
        <v>HCFC/HFC 5 kg</v>
      </c>
      <c r="B269" s="6" t="str">
        <f aca="false">parametros_recargas!B66</f>
        <v>Halogenado</v>
      </c>
      <c r="C269" s="14" t="n">
        <f aca="false">parametros_recargas!C66</f>
        <v>1</v>
      </c>
      <c r="D269" s="26" t="n">
        <f aca="false">datos_base!$J$13*parametros_recargas!E$66+sobrestock_sustitutos!$I$62/12</f>
        <v>58.6371585365969</v>
      </c>
      <c r="E269" s="26" t="n">
        <f aca="false">datos_base!$J$13*parametros_recargas!F$66+sobrestock_sustitutos!$I$62/12</f>
        <v>58.6371585365969</v>
      </c>
      <c r="F269" s="26" t="n">
        <f aca="false">datos_base!$J$13*parametros_recargas!G$66+sobrestock_sustitutos!$I$62/12</f>
        <v>54.8940352519832</v>
      </c>
      <c r="G269" s="26" t="n">
        <f aca="false">datos_base!$J$13*parametros_recargas!H$66+sobrestock_sustitutos!$I$62/12</f>
        <v>54.8940352519832</v>
      </c>
      <c r="H269" s="26" t="n">
        <f aca="false">datos_base!$J$13*parametros_recargas!I$66+sobrestock_sustitutos!$I$62/12</f>
        <v>54.8940352519832</v>
      </c>
      <c r="I269" s="26" t="n">
        <f aca="false">datos_base!$J$13*parametros_recargas!J$66+sobrestock_sustitutos!$I$62/12</f>
        <v>51.1509119673696</v>
      </c>
      <c r="J269" s="26" t="n">
        <f aca="false">datos_base!$J$13*parametros_recargas!K$66+sobrestock_sustitutos!$I$62/12</f>
        <v>51.1509119673696</v>
      </c>
      <c r="K269" s="26" t="n">
        <f aca="false">datos_base!$J$13*parametros_recargas!L$66+sobrestock_sustitutos!$I$62/12</f>
        <v>51.1509119673696</v>
      </c>
      <c r="L269" s="26" t="n">
        <f aca="false">datos_base!$J$13*parametros_recargas!M$66+sobrestock_sustitutos!$I$62/12</f>
        <v>54.8940352519832</v>
      </c>
      <c r="M269" s="26" t="n">
        <f aca="false">datos_base!$J$13*parametros_recargas!N$66+sobrestock_sustitutos!$I$62/12</f>
        <v>54.8940352519832</v>
      </c>
      <c r="N269" s="26" t="n">
        <f aca="false">datos_base!$J$13*parametros_recargas!O$66+sobrestock_sustitutos!$I$62/12</f>
        <v>54.8940352519832</v>
      </c>
      <c r="O269" s="26" t="n">
        <f aca="false">datos_base!$J$13*parametros_recargas!P$66+sobrestock_sustitutos!$I$62/12</f>
        <v>58.6371585365969</v>
      </c>
      <c r="P269" s="12" t="n">
        <f aca="false">SUM(D269:O269)</f>
        <v>658.728423023799</v>
      </c>
    </row>
    <row r="270" customFormat="false" ht="15" hidden="false" customHeight="false" outlineLevel="0" collapsed="false">
      <c r="A270" s="6" t="str">
        <f aca="false">parametros_recargas!A67</f>
        <v>Clase D 9 l</v>
      </c>
      <c r="B270" s="6" t="str">
        <f aca="false">parametros_recargas!B67</f>
        <v>Clase D</v>
      </c>
      <c r="C270" s="14" t="n">
        <f aca="false">parametros_recargas!C67</f>
        <v>1</v>
      </c>
      <c r="D270" s="26" t="n">
        <f aca="false">datos_base!$J$14*parametros_recargas!E$67+sobrestock_sustitutos!$I$63/12</f>
        <v>18.8117029405455</v>
      </c>
      <c r="E270" s="26" t="n">
        <f aca="false">datos_base!$J$14*parametros_recargas!F$67+sobrestock_sustitutos!$I$63/12</f>
        <v>18.8117029405455</v>
      </c>
      <c r="F270" s="26" t="n">
        <f aca="false">datos_base!$J$14*parametros_recargas!G$67+sobrestock_sustitutos!$I$63/12</f>
        <v>18.8117029405455</v>
      </c>
      <c r="G270" s="26" t="n">
        <f aca="false">datos_base!$J$14*parametros_recargas!H$67+sobrestock_sustitutos!$I$63/12</f>
        <v>18.8117029405455</v>
      </c>
      <c r="H270" s="26" t="n">
        <f aca="false">datos_base!$J$14*parametros_recargas!I$67+sobrestock_sustitutos!$I$63/12</f>
        <v>18.8117029405455</v>
      </c>
      <c r="I270" s="26" t="n">
        <f aca="false">datos_base!$J$14*parametros_recargas!J$67+sobrestock_sustitutos!$I$63/12</f>
        <v>18.8117029405455</v>
      </c>
      <c r="J270" s="26" t="n">
        <f aca="false">datos_base!$J$14*parametros_recargas!K$67+sobrestock_sustitutos!$I$63/12</f>
        <v>18.8117029405455</v>
      </c>
      <c r="K270" s="26" t="n">
        <f aca="false">datos_base!$J$14*parametros_recargas!L$67+sobrestock_sustitutos!$I$63/12</f>
        <v>18.8117029405455</v>
      </c>
      <c r="L270" s="26" t="n">
        <f aca="false">datos_base!$J$14*parametros_recargas!M$67+sobrestock_sustitutos!$I$63/12</f>
        <v>18.8117029405455</v>
      </c>
      <c r="M270" s="26" t="n">
        <f aca="false">datos_base!$J$14*parametros_recargas!N$67+sobrestock_sustitutos!$I$63/12</f>
        <v>18.8117029405455</v>
      </c>
      <c r="N270" s="26" t="n">
        <f aca="false">datos_base!$J$14*parametros_recargas!O$67+sobrestock_sustitutos!$I$63/12</f>
        <v>18.8117029405455</v>
      </c>
      <c r="O270" s="26" t="n">
        <f aca="false">datos_base!$J$14*parametros_recargas!P$67+sobrestock_sustitutos!$I$63/12</f>
        <v>18.8117029405455</v>
      </c>
      <c r="P270" s="12" t="n">
        <f aca="false">SUM(D270:O270)</f>
        <v>225.740435286546</v>
      </c>
    </row>
    <row r="271" customFormat="false" ht="15" hidden="false" customHeight="false" outlineLevel="0" collapsed="false">
      <c r="A271" s="6" t="str">
        <f aca="false">parametros_recargas!A68</f>
        <v>ABC 25 kg s/ruedas</v>
      </c>
      <c r="B271" s="6" t="str">
        <f aca="false">parametros_recargas!B68</f>
        <v>ABC</v>
      </c>
      <c r="C271" s="14" t="n">
        <f aca="false">parametros_recargas!C68</f>
        <v>6.360853875</v>
      </c>
      <c r="D271" s="26" t="n">
        <f aca="false">datos_base!$J$15*parametros_recargas!E$68+sobrestock_sustitutos!$I$64/12</f>
        <v>40.3694158218882</v>
      </c>
      <c r="E271" s="26" t="n">
        <f aca="false">datos_base!$J$15*parametros_recargas!F$68+sobrestock_sustitutos!$I$64/12</f>
        <v>40.3694158218882</v>
      </c>
      <c r="F271" s="26" t="n">
        <f aca="false">datos_base!$J$15*parametros_recargas!G$68+sobrestock_sustitutos!$I$64/12</f>
        <v>44.8976613611414</v>
      </c>
      <c r="G271" s="26" t="n">
        <f aca="false">datos_base!$J$15*parametros_recargas!H$68+sobrestock_sustitutos!$I$64/12</f>
        <v>50.9018684682405</v>
      </c>
      <c r="H271" s="26" t="n">
        <f aca="false">datos_base!$J$15*parametros_recargas!I$68+sobrestock_sustitutos!$I$64/12</f>
        <v>51.1456663764593</v>
      </c>
      <c r="I271" s="26" t="n">
        <f aca="false">datos_base!$J$15*parametros_recargas!J$68+sobrestock_sustitutos!$I$64/12</f>
        <v>49.1619502893594</v>
      </c>
      <c r="J271" s="26" t="n">
        <f aca="false">datos_base!$J$15*parametros_recargas!K$68+sobrestock_sustitutos!$I$64/12</f>
        <v>42.538169060305</v>
      </c>
      <c r="K271" s="26" t="n">
        <f aca="false">datos_base!$J$15*parametros_recargas!L$68+sobrestock_sustitutos!$I$64/12</f>
        <v>42.893786571225</v>
      </c>
      <c r="L271" s="26" t="n">
        <f aca="false">datos_base!$J$15*parametros_recargas!M$68+sobrestock_sustitutos!$I$64/12</f>
        <v>44.8775026583249</v>
      </c>
      <c r="M271" s="26" t="n">
        <f aca="false">datos_base!$J$15*parametros_recargas!N$68+sobrestock_sustitutos!$I$64/12</f>
        <v>44.8775026583249</v>
      </c>
      <c r="N271" s="26" t="n">
        <f aca="false">datos_base!$J$15*parametros_recargas!O$68+sobrestock_sustitutos!$I$64/12</f>
        <v>44.6337047501062</v>
      </c>
      <c r="O271" s="26" t="n">
        <f aca="false">datos_base!$J$15*parametros_recargas!P$68+sobrestock_sustitutos!$I$64/12</f>
        <v>46.6174208372061</v>
      </c>
      <c r="P271" s="12" t="n">
        <f aca="false">SUM(D271:O271)</f>
        <v>543.284064674469</v>
      </c>
    </row>
    <row r="272" customFormat="false" ht="15" hidden="false" customHeight="false" outlineLevel="0" collapsed="false">
      <c r="A272" s="6" t="str">
        <f aca="false">parametros_recargas!A69</f>
        <v>ABC 50 kg s/ruedas</v>
      </c>
      <c r="B272" s="6" t="str">
        <f aca="false">parametros_recargas!B69</f>
        <v>ABC</v>
      </c>
      <c r="C272" s="14" t="n">
        <f aca="false">parametros_recargas!C69</f>
        <v>6.360853875</v>
      </c>
      <c r="D272" s="26" t="n">
        <f aca="false">datos_base!$J$16*parametros_recargas!E$69+sobrestock_sustitutos!$I$65/12</f>
        <v>88.76282505641</v>
      </c>
      <c r="E272" s="26" t="n">
        <f aca="false">datos_base!$J$16*parametros_recargas!F$69+sobrestock_sustitutos!$I$65/12</f>
        <v>88.76282505641</v>
      </c>
      <c r="F272" s="26" t="n">
        <f aca="false">datos_base!$J$16*parametros_recargas!G$69+sobrestock_sustitutos!$I$65/12</f>
        <v>98.7249349564886</v>
      </c>
      <c r="G272" s="26" t="n">
        <f aca="false">datos_base!$J$16*parametros_recargas!H$69+sobrestock_sustitutos!$I$65/12</f>
        <v>111.934099338976</v>
      </c>
      <c r="H272" s="26" t="n">
        <f aca="false">datos_base!$J$16*parametros_recargas!I$69+sobrestock_sustitutos!$I$65/12</f>
        <v>112.470316521219</v>
      </c>
      <c r="I272" s="26" t="n">
        <f aca="false">datos_base!$J$16*parametros_recargas!J$69+sobrestock_sustitutos!$I$65/12</f>
        <v>108.106261323831</v>
      </c>
      <c r="J272" s="26" t="n">
        <f aca="false">datos_base!$J$16*parametros_recargas!K$69+sobrestock_sustitutos!$I$65/12</f>
        <v>93.5342708104895</v>
      </c>
      <c r="K272" s="26" t="n">
        <f aca="false">datos_base!$J$16*parametros_recargas!L$69+sobrestock_sustitutos!$I$65/12</f>
        <v>94.3163134086067</v>
      </c>
      <c r="L272" s="26" t="n">
        <f aca="false">datos_base!$J$16*parametros_recargas!M$69+sobrestock_sustitutos!$I$65/12</f>
        <v>98.6803686059948</v>
      </c>
      <c r="M272" s="26" t="n">
        <f aca="false">datos_base!$J$16*parametros_recargas!N$69+sobrestock_sustitutos!$I$65/12</f>
        <v>98.6803686059948</v>
      </c>
      <c r="N272" s="26" t="n">
        <f aca="false">datos_base!$J$16*parametros_recargas!O$69+sobrestock_sustitutos!$I$65/12</f>
        <v>98.1441514237521</v>
      </c>
      <c r="O272" s="26" t="n">
        <f aca="false">datos_base!$J$16*parametros_recargas!P$69+sobrestock_sustitutos!$I$65/12</f>
        <v>102.50820662114</v>
      </c>
      <c r="P272" s="12" t="n">
        <f aca="false">SUM(D272:O272)</f>
        <v>1194.62494172931</v>
      </c>
    </row>
    <row r="273" customFormat="false" ht="15" hidden="false" customHeight="false" outlineLevel="0" collapsed="false">
      <c r="A273" s="6" t="str">
        <f aca="false">parametros_recargas!A70</f>
        <v>ABC 70 kg s/ruedas</v>
      </c>
      <c r="B273" s="6" t="str">
        <f aca="false">parametros_recargas!B70</f>
        <v>ABC</v>
      </c>
      <c r="C273" s="14" t="n">
        <f aca="false">parametros_recargas!C70</f>
        <v>6.360853875</v>
      </c>
      <c r="D273" s="26" t="n">
        <f aca="false">datos_base!$J$17*parametros_recargas!E$70+sobrestock_sustitutos!$I$66/12</f>
        <v>19.3906804842903</v>
      </c>
      <c r="E273" s="26" t="n">
        <f aca="false">datos_base!$J$17*parametros_recargas!F$70+sobrestock_sustitutos!$I$66/12</f>
        <v>19.3906804842903</v>
      </c>
      <c r="F273" s="26" t="n">
        <f aca="false">datos_base!$J$17*parametros_recargas!G$70+sobrestock_sustitutos!$I$66/12</f>
        <v>21.5642067532214</v>
      </c>
      <c r="G273" s="26" t="n">
        <f aca="false">datos_base!$J$17*parametros_recargas!H$70+sobrestock_sustitutos!$I$66/12</f>
        <v>24.4462827048595</v>
      </c>
      <c r="H273" s="26" t="n">
        <f aca="false">datos_base!$J$17*parametros_recargas!I$70+sobrestock_sustitutos!$I$66/12</f>
        <v>24.5632233433616</v>
      </c>
      <c r="I273" s="26" t="n">
        <f aca="false">datos_base!$J$17*parametros_recargas!J$70+sobrestock_sustitutos!$I$66/12</f>
        <v>23.6110547404659</v>
      </c>
      <c r="J273" s="26" t="n">
        <f aca="false">datos_base!$J$17*parametros_recargas!K$70+sobrestock_sustitutos!$I$66/12</f>
        <v>20.4317583709802</v>
      </c>
      <c r="K273" s="26" t="n">
        <f aca="false">datos_base!$J$17*parametros_recargas!L$70+sobrestock_sustitutos!$I$66/12</f>
        <v>20.6023005071411</v>
      </c>
      <c r="L273" s="26" t="n">
        <f aca="false">datos_base!$J$17*parametros_recargas!M$70+sobrestock_sustitutos!$I$66/12</f>
        <v>21.5544691100368</v>
      </c>
      <c r="M273" s="26" t="n">
        <f aca="false">datos_base!$J$17*parametros_recargas!N$70+sobrestock_sustitutos!$I$66/12</f>
        <v>21.5544691100368</v>
      </c>
      <c r="N273" s="26" t="n">
        <f aca="false">datos_base!$J$17*parametros_recargas!O$70+sobrestock_sustitutos!$I$66/12</f>
        <v>21.4375284715347</v>
      </c>
      <c r="O273" s="26" t="n">
        <f aca="false">datos_base!$J$17*parametros_recargas!P$70+sobrestock_sustitutos!$I$66/12</f>
        <v>22.3896970744305</v>
      </c>
      <c r="P273" s="12" t="n">
        <f aca="false">SUM(D273:O273)</f>
        <v>260.936351154649</v>
      </c>
    </row>
    <row r="274" customFormat="false" ht="15" hidden="false" customHeight="false" outlineLevel="0" collapsed="false">
      <c r="A274" s="6" t="str">
        <f aca="false">parametros_recargas!A71</f>
        <v>ABC 100 kg s/ruedas</v>
      </c>
      <c r="B274" s="6" t="str">
        <f aca="false">parametros_recargas!B71</f>
        <v>ABC</v>
      </c>
      <c r="C274" s="14" t="n">
        <f aca="false">parametros_recargas!C71</f>
        <v>6.360853875</v>
      </c>
      <c r="D274" s="26" t="n">
        <f aca="false">datos_base!$J$18*parametros_recargas!E$71+sobrestock_sustitutos!$I$67/12</f>
        <v>12.9550117439455</v>
      </c>
      <c r="E274" s="26" t="n">
        <f aca="false">datos_base!$J$18*parametros_recargas!F$71+sobrestock_sustitutos!$I$67/12</f>
        <v>12.9550117439455</v>
      </c>
      <c r="F274" s="26" t="n">
        <f aca="false">datos_base!$J$18*parametros_recargas!G$71+sobrestock_sustitutos!$I$67/12</f>
        <v>14.403982101019</v>
      </c>
      <c r="G274" s="26" t="n">
        <f aca="false">datos_base!$J$18*parametros_recargas!H$71+sobrestock_sustitutos!$I$67/12</f>
        <v>16.3252305736124</v>
      </c>
      <c r="H274" s="26" t="n">
        <f aca="false">datos_base!$J$18*parametros_recargas!I$71+sobrestock_sustitutos!$I$67/12</f>
        <v>16.4031909991963</v>
      </c>
      <c r="I274" s="26" t="n">
        <f aca="false">datos_base!$J$18*parametros_recargas!J$71+sobrestock_sustitutos!$I$67/12</f>
        <v>15.7684119312841</v>
      </c>
      <c r="J274" s="26" t="n">
        <f aca="false">datos_base!$J$18*parametros_recargas!K$71+sobrestock_sustitutos!$I$67/12</f>
        <v>13.6489723441187</v>
      </c>
      <c r="K274" s="26" t="n">
        <f aca="false">datos_base!$J$18*parametros_recargas!L$71+sobrestock_sustitutos!$I$67/12</f>
        <v>13.7626229318823</v>
      </c>
      <c r="L274" s="26" t="n">
        <f aca="false">datos_base!$J$18*parametros_recargas!M$71+sobrestock_sustitutos!$I$67/12</f>
        <v>14.3974019997945</v>
      </c>
      <c r="M274" s="26" t="n">
        <f aca="false">datos_base!$J$18*parametros_recargas!N$71+sobrestock_sustitutos!$I$67/12</f>
        <v>14.3974019997945</v>
      </c>
      <c r="N274" s="26" t="n">
        <f aca="false">datos_base!$J$18*parametros_recargas!O$71+sobrestock_sustitutos!$I$67/12</f>
        <v>14.3194415742106</v>
      </c>
      <c r="O274" s="26" t="n">
        <f aca="false">datos_base!$J$18*parametros_recargas!P$71+sobrestock_sustitutos!$I$67/12</f>
        <v>14.9542206421228</v>
      </c>
      <c r="P274" s="12" t="n">
        <f aca="false">SUM(D274:O274)</f>
        <v>174.290900584926</v>
      </c>
    </row>
    <row r="275" customFormat="false" ht="15" hidden="false" customHeight="false" outlineLevel="0" collapsed="false">
      <c r="A275" s="4" t="s">
        <v>385</v>
      </c>
      <c r="D275" s="12" t="n">
        <f aca="false">SUM(D258:D274)</f>
        <v>18342.6914571281</v>
      </c>
      <c r="E275" s="12" t="n">
        <f aca="false">SUM(E258:E274)</f>
        <v>15771.0475947954</v>
      </c>
      <c r="F275" s="12" t="n">
        <f aca="false">SUM(F258:F274)</f>
        <v>14799.4129747475</v>
      </c>
      <c r="G275" s="12" t="n">
        <f aca="false">SUM(G258:G274)</f>
        <v>16298.3289374539</v>
      </c>
      <c r="H275" s="12" t="n">
        <f aca="false">SUM(H258:H274)</f>
        <v>16412.9472998484</v>
      </c>
      <c r="I275" s="12" t="n">
        <f aca="false">SUM(I258:I274)</f>
        <v>16266.3080185582</v>
      </c>
      <c r="J275" s="12" t="n">
        <f aca="false">SUM(J258:J274)</f>
        <v>14513.8035936597</v>
      </c>
      <c r="K275" s="12" t="n">
        <f aca="false">SUM(K258:K274)</f>
        <v>14634.2778573778</v>
      </c>
      <c r="L275" s="12" t="n">
        <f aca="false">SUM(L258:L274)</f>
        <v>14759.814457751</v>
      </c>
      <c r="M275" s="12" t="n">
        <f aca="false">SUM(M258:M274)</f>
        <v>14759.814457751</v>
      </c>
      <c r="N275" s="12" t="n">
        <f aca="false">SUM(N258:N274)</f>
        <v>17216.8399576891</v>
      </c>
      <c r="O275" s="12" t="n">
        <f aca="false">SUM(O258:O274)</f>
        <v>19935.123101312</v>
      </c>
      <c r="P275" s="12" t="n">
        <f aca="false">SUM(P258:P274)</f>
        <v>193710.409708072</v>
      </c>
    </row>
    <row r="276" customFormat="false" ht="15" hidden="false" customHeight="false" outlineLevel="0" collapsed="false">
      <c r="A276" s="4" t="s">
        <v>386</v>
      </c>
    </row>
    <row r="277" customFormat="false" ht="15" hidden="false" customHeight="false" outlineLevel="0" collapsed="false">
      <c r="A277" s="5" t="s">
        <v>165</v>
      </c>
      <c r="D277" s="26" t="n">
        <f aca="false">SUMPRODUCT(($B$258:$B$274=$A277)*D$258:D$274*$C$258:$C$274)</f>
        <v>17510.1665173337</v>
      </c>
      <c r="E277" s="26" t="n">
        <f aca="false">SUMPRODUCT(($B$258:$B$274=$A277)*E$258:E$274*$C$258:$C$274)</f>
        <v>14938.522655001</v>
      </c>
      <c r="F277" s="26" t="n">
        <f aca="false">SUMPRODUCT(($B$258:$B$274=$A277)*F$258:F$274*$C$258:$C$274)</f>
        <v>13692.4895064906</v>
      </c>
      <c r="G277" s="26" t="n">
        <f aca="false">SUMPRODUCT(($B$258:$B$274=$A277)*G$258:G$274*$C$258:$C$274)</f>
        <v>14953.1605715351</v>
      </c>
      <c r="H277" s="26" t="n">
        <f aca="false">SUMPRODUCT(($B$258:$B$274=$A277)*H$258:H$274*$C$258:$C$274)</f>
        <v>15054.1228882662</v>
      </c>
      <c r="I277" s="26" t="n">
        <f aca="false">SUMPRODUCT(($B$258:$B$274=$A277)*I$258:I$274*$C$258:$C$274)</f>
        <v>14918.4503144867</v>
      </c>
      <c r="J277" s="26" t="n">
        <f aca="false">SUMPRODUCT(($B$258:$B$274=$A277)*J$258:J$274*$C$258:$C$274)</f>
        <v>13439.237987262</v>
      </c>
      <c r="K277" s="26" t="n">
        <f aca="false">SUMPRODUCT(($B$258:$B$274=$A277)*K$258:K$274*$C$258:$C$274)</f>
        <v>13558.1293436161</v>
      </c>
      <c r="L277" s="26" t="n">
        <f aca="false">SUMPRODUCT(($B$258:$B$274=$A277)*L$258:L$274*$C$258:$C$274)</f>
        <v>13677.197755298</v>
      </c>
      <c r="M277" s="26" t="n">
        <f aca="false">SUMPRODUCT(($B$258:$B$274=$A277)*M$258:M$274*$C$258:$C$274)</f>
        <v>13677.197755298</v>
      </c>
      <c r="N277" s="26" t="n">
        <f aca="false">SUMPRODUCT(($B$258:$B$274=$A277)*N$258:N$274*$C$258:$C$274)</f>
        <v>16147.8793008996</v>
      </c>
      <c r="O277" s="26" t="n">
        <f aca="false">SUMPRODUCT(($B$258:$B$274=$A277)*O$258:O$274*$C$258:$C$274)</f>
        <v>18855.1957370117</v>
      </c>
      <c r="P277" s="26" t="n">
        <f aca="false">SUMPRODUCT(($B$258:$B$274=$A277)*P$258:P$274*$C$258:$C$274)</f>
        <v>180421.750332499</v>
      </c>
    </row>
    <row r="278" customFormat="false" ht="15" hidden="false" customHeight="false" outlineLevel="0" collapsed="false">
      <c r="A278" s="5" t="s">
        <v>166</v>
      </c>
      <c r="D278" s="26" t="n">
        <f aca="false">SUMPRODUCT(($B$258:$B$274=$A278)*D$258:D$274*$C$258:$C$274)</f>
        <v>20.8495739327679</v>
      </c>
      <c r="E278" s="26" t="n">
        <f aca="false">SUMPRODUCT(($B$258:$B$274=$A278)*E$258:E$274*$C$258:$C$274)</f>
        <v>20.8495739327679</v>
      </c>
      <c r="F278" s="26" t="n">
        <f aca="false">SUMPRODUCT(($B$258:$B$274=$A278)*F$258:F$274*$C$258:$C$274)</f>
        <v>20.8495739327679</v>
      </c>
      <c r="G278" s="26" t="n">
        <f aca="false">SUMPRODUCT(($B$258:$B$274=$A278)*G$258:G$274*$C$258:$C$274)</f>
        <v>20.8495739327679</v>
      </c>
      <c r="H278" s="26" t="n">
        <f aca="false">SUMPRODUCT(($B$258:$B$274=$A278)*H$258:H$274*$C$258:$C$274)</f>
        <v>20.8495739327679</v>
      </c>
      <c r="I278" s="26" t="n">
        <f aca="false">SUMPRODUCT(($B$258:$B$274=$A278)*I$258:I$274*$C$258:$C$274)</f>
        <v>20.8495739327679</v>
      </c>
      <c r="J278" s="26" t="n">
        <f aca="false">SUMPRODUCT(($B$258:$B$274=$A278)*J$258:J$274*$C$258:$C$274)</f>
        <v>20.8495739327679</v>
      </c>
      <c r="K278" s="26" t="n">
        <f aca="false">SUMPRODUCT(($B$258:$B$274=$A278)*K$258:K$274*$C$258:$C$274)</f>
        <v>20.8495739327679</v>
      </c>
      <c r="L278" s="26" t="n">
        <f aca="false">SUMPRODUCT(($B$258:$B$274=$A278)*L$258:L$274*$C$258:$C$274)</f>
        <v>20.8495739327679</v>
      </c>
      <c r="M278" s="26" t="n">
        <f aca="false">SUMPRODUCT(($B$258:$B$274=$A278)*M$258:M$274*$C$258:$C$274)</f>
        <v>20.8495739327679</v>
      </c>
      <c r="N278" s="26" t="n">
        <f aca="false">SUMPRODUCT(($B$258:$B$274=$A278)*N$258:N$274*$C$258:$C$274)</f>
        <v>20.8495739327679</v>
      </c>
      <c r="O278" s="26" t="n">
        <f aca="false">SUMPRODUCT(($B$258:$B$274=$A278)*O$258:O$274*$C$258:$C$274)</f>
        <v>20.8495739327679</v>
      </c>
      <c r="P278" s="26" t="n">
        <f aca="false">SUMPRODUCT(($B$258:$B$274=$A278)*P$258:P$274*$C$258:$C$274)</f>
        <v>250.194887193214</v>
      </c>
    </row>
    <row r="279" customFormat="false" ht="15" hidden="false" customHeight="false" outlineLevel="0" collapsed="false">
      <c r="A279" s="5" t="s">
        <v>167</v>
      </c>
      <c r="D279" s="26" t="n">
        <f aca="false">SUMPRODUCT(($B$258:$B$274=$A279)*D$258:D$274*$C$258:$C$274)</f>
        <v>18.8117029405455</v>
      </c>
      <c r="E279" s="26" t="n">
        <f aca="false">SUMPRODUCT(($B$258:$B$274=$A279)*E$258:E$274*$C$258:$C$274)</f>
        <v>18.8117029405455</v>
      </c>
      <c r="F279" s="26" t="n">
        <f aca="false">SUMPRODUCT(($B$258:$B$274=$A279)*F$258:F$274*$C$258:$C$274)</f>
        <v>18.8117029405455</v>
      </c>
      <c r="G279" s="26" t="n">
        <f aca="false">SUMPRODUCT(($B$258:$B$274=$A279)*G$258:G$274*$C$258:$C$274)</f>
        <v>18.8117029405455</v>
      </c>
      <c r="H279" s="26" t="n">
        <f aca="false">SUMPRODUCT(($B$258:$B$274=$A279)*H$258:H$274*$C$258:$C$274)</f>
        <v>18.8117029405455</v>
      </c>
      <c r="I279" s="26" t="n">
        <f aca="false">SUMPRODUCT(($B$258:$B$274=$A279)*I$258:I$274*$C$258:$C$274)</f>
        <v>18.8117029405455</v>
      </c>
      <c r="J279" s="26" t="n">
        <f aca="false">SUMPRODUCT(($B$258:$B$274=$A279)*J$258:J$274*$C$258:$C$274)</f>
        <v>18.8117029405455</v>
      </c>
      <c r="K279" s="26" t="n">
        <f aca="false">SUMPRODUCT(($B$258:$B$274=$A279)*K$258:K$274*$C$258:$C$274)</f>
        <v>18.8117029405455</v>
      </c>
      <c r="L279" s="26" t="n">
        <f aca="false">SUMPRODUCT(($B$258:$B$274=$A279)*L$258:L$274*$C$258:$C$274)</f>
        <v>18.8117029405455</v>
      </c>
      <c r="M279" s="26" t="n">
        <f aca="false">SUMPRODUCT(($B$258:$B$274=$A279)*M$258:M$274*$C$258:$C$274)</f>
        <v>18.8117029405455</v>
      </c>
      <c r="N279" s="26" t="n">
        <f aca="false">SUMPRODUCT(($B$258:$B$274=$A279)*N$258:N$274*$C$258:$C$274)</f>
        <v>18.8117029405455</v>
      </c>
      <c r="O279" s="26" t="n">
        <f aca="false">SUMPRODUCT(($B$258:$B$274=$A279)*O$258:O$274*$C$258:$C$274)</f>
        <v>18.8117029405455</v>
      </c>
      <c r="P279" s="26" t="n">
        <f aca="false">SUMPRODUCT(($B$258:$B$274=$A279)*P$258:P$274*$C$258:$C$274)</f>
        <v>225.740435286546</v>
      </c>
    </row>
    <row r="280" customFormat="false" ht="15" hidden="false" customHeight="false" outlineLevel="0" collapsed="false">
      <c r="A280" s="5" t="s">
        <v>168</v>
      </c>
      <c r="D280" s="26" t="n">
        <f aca="false">SUMPRODUCT(($B$258:$B$274=$A280)*D$258:D$274*$C$258:$C$274)</f>
        <v>297.436468001072</v>
      </c>
      <c r="E280" s="26" t="n">
        <f aca="false">SUMPRODUCT(($B$258:$B$274=$A280)*E$258:E$274*$C$258:$C$274)</f>
        <v>297.436468001072</v>
      </c>
      <c r="F280" s="26" t="n">
        <f aca="false">SUMPRODUCT(($B$258:$B$274=$A280)*F$258:F$274*$C$258:$C$274)</f>
        <v>365.86936603378</v>
      </c>
      <c r="G280" s="26" t="n">
        <f aca="false">SUMPRODUCT(($B$258:$B$274=$A280)*G$258:G$274*$C$258:$C$274)</f>
        <v>438.01536878676</v>
      </c>
      <c r="H280" s="26" t="n">
        <f aca="false">SUMPRODUCT(($B$258:$B$274=$A280)*H$258:H$274*$C$258:$C$274)</f>
        <v>440.721355417208</v>
      </c>
      <c r="I280" s="26" t="n">
        <f aca="false">SUMPRODUCT(($B$258:$B$274=$A280)*I$258:I$274*$C$258:$C$274)</f>
        <v>427.982949621873</v>
      </c>
      <c r="J280" s="26" t="n">
        <f aca="false">SUMPRODUCT(($B$258:$B$274=$A280)*J$258:J$274*$C$258:$C$274)</f>
        <v>348.863517943259</v>
      </c>
      <c r="K280" s="26" t="n">
        <f aca="false">SUMPRODUCT(($B$258:$B$274=$A280)*K$258:K$274*$C$258:$C$274)</f>
        <v>349.517632424278</v>
      </c>
      <c r="L280" s="26" t="n">
        <f aca="false">SUMPRODUCT(($B$258:$B$274=$A280)*L$258:L$274*$C$258:$C$274)</f>
        <v>361.456937440828</v>
      </c>
      <c r="M280" s="26" t="n">
        <f aca="false">SUMPRODUCT(($B$258:$B$274=$A280)*M$258:M$274*$C$258:$C$274)</f>
        <v>361.456937440828</v>
      </c>
      <c r="N280" s="26" t="n">
        <f aca="false">SUMPRODUCT(($B$258:$B$274=$A280)*N$258:N$274*$C$258:$C$274)</f>
        <v>358.75095081038</v>
      </c>
      <c r="O280" s="26" t="n">
        <f aca="false">SUMPRODUCT(($B$258:$B$274=$A280)*O$258:O$274*$C$258:$C$274)</f>
        <v>371.489356605715</v>
      </c>
      <c r="P280" s="26" t="n">
        <f aca="false">SUMPRODUCT(($B$258:$B$274=$A280)*P$258:P$274*$C$258:$C$274)</f>
        <v>4418.99730852705</v>
      </c>
    </row>
    <row r="281" customFormat="false" ht="15" hidden="false" customHeight="false" outlineLevel="0" collapsed="false">
      <c r="A281" s="5" t="s">
        <v>169</v>
      </c>
      <c r="D281" s="26" t="n">
        <f aca="false">SUMPRODUCT(($B$258:$B$274=$A281)*D$258:D$274*$C$258:$C$274)</f>
        <v>299.093683671618</v>
      </c>
      <c r="E281" s="26" t="n">
        <f aca="false">SUMPRODUCT(($B$258:$B$274=$A281)*E$258:E$274*$C$258:$C$274)</f>
        <v>299.093683671618</v>
      </c>
      <c r="F281" s="26" t="n">
        <f aca="false">SUMPRODUCT(($B$258:$B$274=$A281)*F$258:F$274*$C$258:$C$274)</f>
        <v>299.093683671618</v>
      </c>
      <c r="G281" s="26" t="n">
        <f aca="false">SUMPRODUCT(($B$258:$B$274=$A281)*G$258:G$274*$C$258:$C$274)</f>
        <v>299.093683671618</v>
      </c>
      <c r="H281" s="26" t="n">
        <f aca="false">SUMPRODUCT(($B$258:$B$274=$A281)*H$258:H$274*$C$258:$C$274)</f>
        <v>299.093683671618</v>
      </c>
      <c r="I281" s="26" t="n">
        <f aca="false">SUMPRODUCT(($B$258:$B$274=$A281)*I$258:I$274*$C$258:$C$274)</f>
        <v>299.093683671618</v>
      </c>
      <c r="J281" s="26" t="n">
        <f aca="false">SUMPRODUCT(($B$258:$B$274=$A281)*J$258:J$274*$C$258:$C$274)</f>
        <v>299.093683671618</v>
      </c>
      <c r="K281" s="26" t="n">
        <f aca="false">SUMPRODUCT(($B$258:$B$274=$A281)*K$258:K$274*$C$258:$C$274)</f>
        <v>299.093683671618</v>
      </c>
      <c r="L281" s="26" t="n">
        <f aca="false">SUMPRODUCT(($B$258:$B$274=$A281)*L$258:L$274*$C$258:$C$274)</f>
        <v>299.093683671618</v>
      </c>
      <c r="M281" s="26" t="n">
        <f aca="false">SUMPRODUCT(($B$258:$B$274=$A281)*M$258:M$274*$C$258:$C$274)</f>
        <v>299.093683671618</v>
      </c>
      <c r="N281" s="26" t="n">
        <f aca="false">SUMPRODUCT(($B$258:$B$274=$A281)*N$258:N$274*$C$258:$C$274)</f>
        <v>299.093683671618</v>
      </c>
      <c r="O281" s="26" t="n">
        <f aca="false">SUMPRODUCT(($B$258:$B$274=$A281)*O$258:O$274*$C$258:$C$274)</f>
        <v>299.093683671618</v>
      </c>
      <c r="P281" s="26" t="n">
        <f aca="false">SUMPRODUCT(($B$258:$B$274=$A281)*P$258:P$274*$C$258:$C$274)</f>
        <v>3589.12420405942</v>
      </c>
    </row>
    <row r="282" customFormat="false" ht="15" hidden="false" customHeight="false" outlineLevel="0" collapsed="false">
      <c r="A282" s="5" t="s">
        <v>170</v>
      </c>
      <c r="D282" s="26" t="n">
        <f aca="false">SUMPRODUCT(($B$258:$B$274=$A282)*D$258:D$274*$C$258:$C$274)</f>
        <v>151.751467028597</v>
      </c>
      <c r="E282" s="26" t="n">
        <f aca="false">SUMPRODUCT(($B$258:$B$274=$A282)*E$258:E$274*$C$258:$C$274)</f>
        <v>151.751467028597</v>
      </c>
      <c r="F282" s="26" t="n">
        <f aca="false">SUMPRODUCT(($B$258:$B$274=$A282)*F$258:F$274*$C$258:$C$274)</f>
        <v>182.422109980288</v>
      </c>
      <c r="G282" s="26" t="n">
        <f aca="false">SUMPRODUCT(($B$258:$B$274=$A282)*G$258:G$274*$C$258:$C$274)</f>
        <v>206.05224096252</v>
      </c>
      <c r="H282" s="26" t="n">
        <f aca="false">SUMPRODUCT(($B$258:$B$274=$A282)*H$258:H$274*$C$258:$C$274)</f>
        <v>211.170185528629</v>
      </c>
      <c r="I282" s="26" t="n">
        <f aca="false">SUMPRODUCT(($B$258:$B$274=$A282)*I$258:I$274*$C$258:$C$274)</f>
        <v>206.889396767476</v>
      </c>
      <c r="J282" s="26" t="n">
        <f aca="false">SUMPRODUCT(($B$258:$B$274=$A282)*J$258:J$274*$C$258:$C$274)</f>
        <v>169.921698570775</v>
      </c>
      <c r="K282" s="26" t="n">
        <f aca="false">SUMPRODUCT(($B$258:$B$274=$A282)*K$258:K$274*$C$258:$C$274)</f>
        <v>177.055909620742</v>
      </c>
      <c r="L282" s="26" t="n">
        <f aca="false">SUMPRODUCT(($B$258:$B$274=$A282)*L$258:L$274*$C$258:$C$274)</f>
        <v>181.336698381895</v>
      </c>
      <c r="M282" s="26" t="n">
        <f aca="false">SUMPRODUCT(($B$258:$B$274=$A282)*M$258:M$274*$C$258:$C$274)</f>
        <v>181.336698381895</v>
      </c>
      <c r="N282" s="26" t="n">
        <f aca="false">SUMPRODUCT(($B$258:$B$274=$A282)*N$258:N$274*$C$258:$C$274)</f>
        <v>176.218753815786</v>
      </c>
      <c r="O282" s="26" t="n">
        <f aca="false">SUMPRODUCT(($B$258:$B$274=$A282)*O$258:O$274*$C$258:$C$274)</f>
        <v>180.499542576939</v>
      </c>
      <c r="P282" s="26" t="n">
        <f aca="false">SUMPRODUCT(($B$258:$B$274=$A282)*P$258:P$274*$C$258:$C$274)</f>
        <v>2176.40616864414</v>
      </c>
    </row>
    <row r="283" customFormat="false" ht="15" hidden="false" customHeight="false" outlineLevel="0" collapsed="false">
      <c r="A283" s="5" t="s">
        <v>171</v>
      </c>
      <c r="D283" s="26" t="n">
        <f aca="false">SUMPRODUCT(($B$258:$B$274=$A283)*D$258:D$274*$C$258:$C$274)</f>
        <v>1045.43136754674</v>
      </c>
      <c r="E283" s="26" t="n">
        <f aca="false">SUMPRODUCT(($B$258:$B$274=$A283)*E$258:E$274*$C$258:$C$274)</f>
        <v>1045.43136754674</v>
      </c>
      <c r="F283" s="26" t="n">
        <f aca="false">SUMPRODUCT(($B$258:$B$274=$A283)*F$258:F$274*$C$258:$C$274)</f>
        <v>1321.56983149117</v>
      </c>
      <c r="G283" s="26" t="n">
        <f aca="false">SUMPRODUCT(($B$258:$B$274=$A283)*G$258:G$274*$C$258:$C$274)</f>
        <v>1592.78859277216</v>
      </c>
      <c r="H283" s="26" t="n">
        <f aca="false">SUMPRODUCT(($B$258:$B$274=$A283)*H$258:H$274*$C$258:$C$274)</f>
        <v>1603.84709028396</v>
      </c>
      <c r="I283" s="26" t="n">
        <f aca="false">SUMPRODUCT(($B$258:$B$274=$A283)*I$258:I$274*$C$258:$C$274)</f>
        <v>1571.10583175575</v>
      </c>
      <c r="J283" s="26" t="n">
        <f aca="false">SUMPRODUCT(($B$258:$B$274=$A283)*J$258:J$274*$C$258:$C$274)</f>
        <v>1271.86767969264</v>
      </c>
      <c r="K283" s="26" t="n">
        <f aca="false">SUMPRODUCT(($B$258:$B$274=$A283)*K$258:K$274*$C$258:$C$274)</f>
        <v>1273.28460679491</v>
      </c>
      <c r="L283" s="26" t="n">
        <f aca="false">SUMPRODUCT(($B$258:$B$274=$A283)*L$258:L$274*$C$258:$C$274)</f>
        <v>1302.32644728242</v>
      </c>
      <c r="M283" s="26" t="n">
        <f aca="false">SUMPRODUCT(($B$258:$B$274=$A283)*M$258:M$274*$C$258:$C$274)</f>
        <v>1302.32644728242</v>
      </c>
      <c r="N283" s="26" t="n">
        <f aca="false">SUMPRODUCT(($B$258:$B$274=$A283)*N$258:N$274*$C$258:$C$274)</f>
        <v>1291.26794977062</v>
      </c>
      <c r="O283" s="26" t="n">
        <f aca="false">SUMPRODUCT(($B$258:$B$274=$A283)*O$258:O$274*$C$258:$C$274)</f>
        <v>1324.00920829882</v>
      </c>
      <c r="P283" s="26" t="n">
        <f aca="false">SUMPRODUCT(($B$258:$B$274=$A283)*P$258:P$274*$C$258:$C$274)</f>
        <v>15945.2564205184</v>
      </c>
    </row>
    <row r="284" customFormat="false" ht="15" hidden="false" customHeight="false" outlineLevel="0" collapsed="false">
      <c r="A284" s="5" t="s">
        <v>172</v>
      </c>
      <c r="D284" s="26" t="n">
        <f aca="false">SUMPRODUCT(($B$258:$B$274=$A284)*D$258:D$274*$C$258:$C$274)</f>
        <v>58.6371585365969</v>
      </c>
      <c r="E284" s="26" t="n">
        <f aca="false">SUMPRODUCT(($B$258:$B$274=$A284)*E$258:E$274*$C$258:$C$274)</f>
        <v>58.6371585365969</v>
      </c>
      <c r="F284" s="26" t="n">
        <f aca="false">SUMPRODUCT(($B$258:$B$274=$A284)*F$258:F$274*$C$258:$C$274)</f>
        <v>54.8940352519832</v>
      </c>
      <c r="G284" s="26" t="n">
        <f aca="false">SUMPRODUCT(($B$258:$B$274=$A284)*G$258:G$274*$C$258:$C$274)</f>
        <v>54.8940352519832</v>
      </c>
      <c r="H284" s="26" t="n">
        <f aca="false">SUMPRODUCT(($B$258:$B$274=$A284)*H$258:H$274*$C$258:$C$274)</f>
        <v>54.8940352519832</v>
      </c>
      <c r="I284" s="26" t="n">
        <f aca="false">SUMPRODUCT(($B$258:$B$274=$A284)*I$258:I$274*$C$258:$C$274)</f>
        <v>51.1509119673696</v>
      </c>
      <c r="J284" s="26" t="n">
        <f aca="false">SUMPRODUCT(($B$258:$B$274=$A284)*J$258:J$274*$C$258:$C$274)</f>
        <v>51.1509119673696</v>
      </c>
      <c r="K284" s="26" t="n">
        <f aca="false">SUMPRODUCT(($B$258:$B$274=$A284)*K$258:K$274*$C$258:$C$274)</f>
        <v>51.1509119673696</v>
      </c>
      <c r="L284" s="26" t="n">
        <f aca="false">SUMPRODUCT(($B$258:$B$274=$A284)*L$258:L$274*$C$258:$C$274)</f>
        <v>54.8940352519832</v>
      </c>
      <c r="M284" s="26" t="n">
        <f aca="false">SUMPRODUCT(($B$258:$B$274=$A284)*M$258:M$274*$C$258:$C$274)</f>
        <v>54.8940352519832</v>
      </c>
      <c r="N284" s="26" t="n">
        <f aca="false">SUMPRODUCT(($B$258:$B$274=$A284)*N$258:N$274*$C$258:$C$274)</f>
        <v>54.8940352519832</v>
      </c>
      <c r="O284" s="26" t="n">
        <f aca="false">SUMPRODUCT(($B$258:$B$274=$A284)*O$258:O$274*$C$258:$C$274)</f>
        <v>58.6371585365969</v>
      </c>
      <c r="P284" s="26" t="n">
        <f aca="false">SUMPRODUCT(($B$258:$B$274=$A284)*P$258:P$274*$C$258:$C$274)</f>
        <v>658.728423023799</v>
      </c>
    </row>
    <row r="285" customFormat="false" ht="15" hidden="false" customHeight="false" outlineLevel="0" collapsed="false">
      <c r="A285" s="4" t="s">
        <v>387</v>
      </c>
      <c r="D285" s="27" t="n">
        <f aca="false">SUMPRODUCT(D$258:D$274*parametros_recargas!$D$55:$D$71)</f>
        <v>505.701275374411</v>
      </c>
      <c r="E285" s="27" t="n">
        <f aca="false">SUMPRODUCT(E$258:E$274*parametros_recargas!$D$55:$D$71)</f>
        <v>505.701275374411</v>
      </c>
      <c r="F285" s="27" t="n">
        <f aca="false">SUMPRODUCT(F$258:F$274*parametros_recargas!$D$55:$D$71)</f>
        <v>549.64950344129</v>
      </c>
      <c r="G285" s="27" t="n">
        <f aca="false">SUMPRODUCT(G$258:G$274*parametros_recargas!$D$55:$D$71)</f>
        <v>609.461135585154</v>
      </c>
      <c r="H285" s="27" t="n">
        <f aca="false">SUMPRODUCT(H$258:H$274*parametros_recargas!$D$55:$D$71)</f>
        <v>616.586828693801</v>
      </c>
      <c r="I285" s="27" t="n">
        <f aca="false">SUMPRODUCT(I$258:I$274*parametros_recargas!$D$55:$D$71)</f>
        <v>591.353309291649</v>
      </c>
      <c r="J285" s="27" t="n">
        <f aca="false">SUMPRODUCT(J$258:J$274*parametros_recargas!$D$55:$D$71)</f>
        <v>523.566915903638</v>
      </c>
      <c r="K285" s="27" t="n">
        <f aca="false">SUMPRODUCT(K$258:K$274*parametros_recargas!$D$55:$D$71)</f>
        <v>529.297254931264</v>
      </c>
      <c r="L285" s="27" t="n">
        <f aca="false">SUMPRODUCT(L$258:L$274*parametros_recargas!$D$55:$D$71)</f>
        <v>550.831356292713</v>
      </c>
      <c r="M285" s="27" t="n">
        <f aca="false">SUMPRODUCT(M$258:M$274*parametros_recargas!$D$55:$D$71)</f>
        <v>550.831356292713</v>
      </c>
      <c r="N285" s="27" t="n">
        <f aca="false">SUMPRODUCT(N$258:N$274*parametros_recargas!$D$55:$D$71)</f>
        <v>543.705663184066</v>
      </c>
      <c r="O285" s="27" t="n">
        <f aca="false">SUMPRODUCT(O$258:O$274*parametros_recargas!$D$55:$D$71)</f>
        <v>568.939182586218</v>
      </c>
      <c r="P285" s="27" t="n">
        <f aca="false">SUMPRODUCT(P$258:P$274*parametros_recargas!$D$55:$D$71)</f>
        <v>6645.62505695133</v>
      </c>
    </row>
    <row r="286" customFormat="false" ht="15" hidden="false" customHeight="false" outlineLevel="0" collapsed="false">
      <c r="A286" s="4" t="s">
        <v>388</v>
      </c>
      <c r="D286" s="27" t="n">
        <f aca="false">SUMPRODUCT(sobrestock_sustitutos!$J$73:$J$73,--(sobrestock_sustitutos!$F$30:$F$30="Fábrica: cilindro vacío"),parametros_recargas!$C$55:$C$55)*parametros_recargas!E$109+SUMPRODUCT(sobrestock_sustitutos!$J$74:$J$76,--(sobrestock_sustitutos!$F$31:$F$33="Fábrica: cilindro vacío"),parametros_recargas!$C$56:$C$58)*parametros_recargas!E$110+SUMPRODUCT(sobrestock_sustitutos!$J$86:$J$89,--(sobrestock_sustitutos!$F$43:$F$46="Fábrica: cilindro vacío"),parametros_recargas!$C$68:$C$71)*parametros_recargas!E$111</f>
        <v>16.496794382575</v>
      </c>
      <c r="E286" s="27" t="n">
        <f aca="false">SUMPRODUCT(sobrestock_sustitutos!$J$73:$J$73,--(sobrestock_sustitutos!$F$30:$F$30="Fábrica: cilindro vacío"),parametros_recargas!$C$55:$C$55)*parametros_recargas!F$109+SUMPRODUCT(sobrestock_sustitutos!$J$74:$J$76,--(sobrestock_sustitutos!$F$31:$F$33="Fábrica: cilindro vacío"),parametros_recargas!$C$56:$C$58)*parametros_recargas!F$110+SUMPRODUCT(sobrestock_sustitutos!$J$86:$J$89,--(sobrestock_sustitutos!$F$43:$F$46="Fábrica: cilindro vacío"),parametros_recargas!$C$68:$C$71)*parametros_recargas!F$111</f>
        <v>13.355947984625</v>
      </c>
      <c r="F286" s="27" t="n">
        <f aca="false">SUMPRODUCT(sobrestock_sustitutos!$J$73:$J$73,--(sobrestock_sustitutos!$F$30:$F$30="Fábrica: cilindro vacío"),parametros_recargas!$C$55:$C$55)*parametros_recargas!G$109+SUMPRODUCT(sobrestock_sustitutos!$J$74:$J$76,--(sobrestock_sustitutos!$F$31:$F$33="Fábrica: cilindro vacío"),parametros_recargas!$C$56:$C$58)*parametros_recargas!G$110+SUMPRODUCT(sobrestock_sustitutos!$J$86:$J$89,--(sobrestock_sustitutos!$F$43:$F$46="Fábrica: cilindro vacío"),parametros_recargas!$C$68:$C$71)*parametros_recargas!G$111</f>
        <v>14.42421758155</v>
      </c>
      <c r="G286" s="27" t="n">
        <f aca="false">SUMPRODUCT(sobrestock_sustitutos!$J$73:$J$73,--(sobrestock_sustitutos!$F$30:$F$30="Fábrica: cilindro vacío"),parametros_recargas!$C$55:$C$55)*parametros_recargas!H$109+SUMPRODUCT(sobrestock_sustitutos!$J$74:$J$76,--(sobrestock_sustitutos!$F$31:$F$33="Fábrica: cilindro vacío"),parametros_recargas!$C$56:$C$58)*parametros_recargas!H$110+SUMPRODUCT(sobrestock_sustitutos!$J$86:$J$89,--(sobrestock_sustitutos!$F$43:$F$46="Fábrica: cilindro vacío"),parametros_recargas!$C$68:$C$71)*parametros_recargas!H$111</f>
        <v>14.42421758155</v>
      </c>
      <c r="H286" s="27" t="n">
        <f aca="false">SUMPRODUCT(sobrestock_sustitutos!$J$73:$J$73,--(sobrestock_sustitutos!$F$30:$F$30="Fábrica: cilindro vacío"),parametros_recargas!$C$55:$C$55)*parametros_recargas!I$109+SUMPRODUCT(sobrestock_sustitutos!$J$74:$J$76,--(sobrestock_sustitutos!$F$31:$F$33="Fábrica: cilindro vacío"),parametros_recargas!$C$56:$C$58)*parametros_recargas!I$110+SUMPRODUCT(sobrestock_sustitutos!$J$86:$J$89,--(sobrestock_sustitutos!$F$43:$F$46="Fábrica: cilindro vacío"),parametros_recargas!$C$68:$C$71)*parametros_recargas!I$111</f>
        <v>13.69561758155</v>
      </c>
      <c r="I286" s="27" t="n">
        <f aca="false">SUMPRODUCT(sobrestock_sustitutos!$J$73:$J$73,--(sobrestock_sustitutos!$F$30:$F$30="Fábrica: cilindro vacío"),parametros_recargas!$C$55:$C$55)*parametros_recargas!J$109+SUMPRODUCT(sobrestock_sustitutos!$J$74:$J$76,--(sobrestock_sustitutos!$F$31:$F$33="Fábrica: cilindro vacío"),parametros_recargas!$C$56:$C$58)*parametros_recargas!J$110+SUMPRODUCT(sobrestock_sustitutos!$J$86:$J$89,--(sobrestock_sustitutos!$F$43:$F$46="Fábrica: cilindro vacío"),parametros_recargas!$C$68:$C$71)*parametros_recargas!J$111</f>
        <v>12.7405711836</v>
      </c>
      <c r="J286" s="27" t="n">
        <f aca="false">SUMPRODUCT(sobrestock_sustitutos!$J$73:$J$73,--(sobrestock_sustitutos!$F$30:$F$30="Fábrica: cilindro vacío"),parametros_recargas!$C$55:$C$55)*parametros_recargas!K$109+SUMPRODUCT(sobrestock_sustitutos!$J$74:$J$76,--(sobrestock_sustitutos!$F$31:$F$33="Fábrica: cilindro vacío"),parametros_recargas!$C$56:$C$58)*parametros_recargas!K$110+SUMPRODUCT(sobrestock_sustitutos!$J$86:$J$89,--(sobrestock_sustitutos!$F$43:$F$46="Fábrica: cilindro vacío"),parametros_recargas!$C$68:$C$71)*parametros_recargas!K$111</f>
        <v>13.69561758155</v>
      </c>
      <c r="K286" s="27" t="n">
        <f aca="false">SUMPRODUCT(sobrestock_sustitutos!$J$73:$J$73,--(sobrestock_sustitutos!$F$30:$F$30="Fábrica: cilindro vacío"),parametros_recargas!$C$55:$C$55)*parametros_recargas!L$109+SUMPRODUCT(sobrestock_sustitutos!$J$74:$J$76,--(sobrestock_sustitutos!$F$31:$F$33="Fábrica: cilindro vacío"),parametros_recargas!$C$56:$C$58)*parametros_recargas!L$110+SUMPRODUCT(sobrestock_sustitutos!$J$86:$J$89,--(sobrestock_sustitutos!$F$43:$F$46="Fábrica: cilindro vacío"),parametros_recargas!$C$68:$C$71)*parametros_recargas!L$111</f>
        <v>13.69561758155</v>
      </c>
      <c r="L286" s="27" t="n">
        <f aca="false">SUMPRODUCT(sobrestock_sustitutos!$J$73:$J$73,--(sobrestock_sustitutos!$F$30:$F$30="Fábrica: cilindro vacío"),parametros_recargas!$C$55:$C$55)*parametros_recargas!M$109+SUMPRODUCT(sobrestock_sustitutos!$J$74:$J$76,--(sobrestock_sustitutos!$F$31:$F$33="Fábrica: cilindro vacío"),parametros_recargas!$C$56:$C$58)*parametros_recargas!M$110+SUMPRODUCT(sobrestock_sustitutos!$J$86:$J$89,--(sobrestock_sustitutos!$F$43:$F$46="Fábrica: cilindro vacío"),parametros_recargas!$C$68:$C$71)*parametros_recargas!M$111</f>
        <v>13.582394382575</v>
      </c>
      <c r="M286" s="27" t="n">
        <f aca="false">SUMPRODUCT(sobrestock_sustitutos!$J$73:$J$73,--(sobrestock_sustitutos!$F$30:$F$30="Fábrica: cilindro vacío"),parametros_recargas!$C$55:$C$55)*parametros_recargas!N$109+SUMPRODUCT(sobrestock_sustitutos!$J$74:$J$76,--(sobrestock_sustitutos!$F$31:$F$33="Fábrica: cilindro vacío"),parametros_recargas!$C$56:$C$58)*parametros_recargas!N$110+SUMPRODUCT(sobrestock_sustitutos!$J$86:$J$89,--(sobrestock_sustitutos!$F$43:$F$46="Fábrica: cilindro vacío"),parametros_recargas!$C$68:$C$71)*parametros_recargas!N$111</f>
        <v>12.627347984625</v>
      </c>
      <c r="N286" s="27" t="n">
        <f aca="false">SUMPRODUCT(sobrestock_sustitutos!$J$73:$J$73,--(sobrestock_sustitutos!$F$30:$F$30="Fábrica: cilindro vacío"),parametros_recargas!$C$55:$C$55)*parametros_recargas!O$109+SUMPRODUCT(sobrestock_sustitutos!$J$74:$J$76,--(sobrestock_sustitutos!$F$31:$F$33="Fábrica: cilindro vacío"),parametros_recargas!$C$56:$C$58)*parametros_recargas!O$110+SUMPRODUCT(sobrestock_sustitutos!$J$86:$J$89,--(sobrestock_sustitutos!$F$43:$F$46="Fábrica: cilindro vacío"),parametros_recargas!$C$68:$C$71)*parametros_recargas!O$111</f>
        <v>11.78552478565</v>
      </c>
      <c r="O286" s="27" t="n">
        <f aca="false">SUMPRODUCT(sobrestock_sustitutos!$J$73:$J$73,--(sobrestock_sustitutos!$F$30:$F$30="Fábrica: cilindro vacío"),parametros_recargas!$C$55:$C$55)*parametros_recargas!P$109+SUMPRODUCT(sobrestock_sustitutos!$J$74:$J$76,--(sobrestock_sustitutos!$F$31:$F$33="Fábrica: cilindro vacío"),parametros_recargas!$C$56:$C$58)*parametros_recargas!P$110+SUMPRODUCT(sobrestock_sustitutos!$J$86:$J$89,--(sobrestock_sustitutos!$F$43:$F$46="Fábrica: cilindro vacío"),parametros_recargas!$C$68:$C$71)*parametros_recargas!P$111</f>
        <v>17.8407711836</v>
      </c>
      <c r="P286" s="12" t="n">
        <f aca="false">SUM(D286:O286)</f>
        <v>168.364639795</v>
      </c>
    </row>
    <row r="289" customFormat="false" ht="15" hidden="false" customHeight="false" outlineLevel="0" collapsed="false">
      <c r="A289" s="28" t="n">
        <v>2035</v>
      </c>
      <c r="B289" s="3" t="s">
        <v>383</v>
      </c>
      <c r="C289" s="3" t="s">
        <v>384</v>
      </c>
      <c r="D289" s="3" t="s">
        <v>64</v>
      </c>
      <c r="E289" s="3" t="s">
        <v>65</v>
      </c>
      <c r="F289" s="3" t="s">
        <v>66</v>
      </c>
      <c r="G289" s="3" t="s">
        <v>67</v>
      </c>
      <c r="H289" s="3" t="s">
        <v>68</v>
      </c>
      <c r="I289" s="3" t="s">
        <v>69</v>
      </c>
      <c r="J289" s="3" t="s">
        <v>70</v>
      </c>
      <c r="K289" s="3" t="s">
        <v>71</v>
      </c>
      <c r="L289" s="3" t="s">
        <v>72</v>
      </c>
      <c r="M289" s="3" t="s">
        <v>73</v>
      </c>
      <c r="N289" s="3" t="s">
        <v>74</v>
      </c>
      <c r="O289" s="3" t="s">
        <v>75</v>
      </c>
      <c r="P289" s="3" t="s">
        <v>132</v>
      </c>
    </row>
    <row r="290" customFormat="false" ht="15" hidden="false" customHeight="false" outlineLevel="0" collapsed="false">
      <c r="A290" s="6" t="str">
        <f aca="false">parametros_recargas!A55</f>
        <v>ABC 1 kg</v>
      </c>
      <c r="B290" s="6" t="str">
        <f aca="false">parametros_recargas!B55</f>
        <v>ABC</v>
      </c>
      <c r="C290" s="14" t="n">
        <f aca="false">parametros_recargas!C55</f>
        <v>1</v>
      </c>
      <c r="D290" s="26" t="n">
        <f aca="false">datos_base!$K$2*parametros_recargas!E$55+sobrestock_sustitutos!$J$51/12</f>
        <v>13047.8318430445</v>
      </c>
      <c r="E290" s="26" t="n">
        <f aca="false">datos_base!$K$2*parametros_recargas!F$55+sobrestock_sustitutos!$J$51/12</f>
        <v>10392.0812644188</v>
      </c>
      <c r="F290" s="26" t="n">
        <f aca="false">datos_base!$K$2*parametros_recargas!G$55+sobrestock_sustitutos!$J$51/12</f>
        <v>7741.58609614337</v>
      </c>
      <c r="G290" s="26" t="n">
        <f aca="false">datos_base!$K$2*parametros_recargas!H$55+sobrestock_sustitutos!$J$51/12</f>
        <v>7741.58609614337</v>
      </c>
      <c r="H290" s="26" t="n">
        <f aca="false">datos_base!$K$2*parametros_recargas!I$55+sobrestock_sustitutos!$J$51/12</f>
        <v>7746.84150649357</v>
      </c>
      <c r="I290" s="26" t="n">
        <f aca="false">datos_base!$K$2*parametros_recargas!J$55+sobrestock_sustitutos!$J$51/12</f>
        <v>7746.84150649357</v>
      </c>
      <c r="J290" s="26" t="n">
        <f aca="false">datos_base!$K$2*parametros_recargas!K$55+sobrestock_sustitutos!$J$51/12</f>
        <v>7737.75173441437</v>
      </c>
      <c r="K290" s="26" t="n">
        <f aca="false">datos_base!$K$2*parametros_recargas!L$55+sobrestock_sustitutos!$J$51/12</f>
        <v>7746.84150649357</v>
      </c>
      <c r="L290" s="26" t="n">
        <f aca="false">datos_base!$K$2*parametros_recargas!M$55+sobrestock_sustitutos!$J$51/12</f>
        <v>7746.13098218297</v>
      </c>
      <c r="M290" s="26" t="n">
        <f aca="false">datos_base!$K$2*parametros_recargas!N$55+sobrestock_sustitutos!$J$51/12</f>
        <v>7746.13098218297</v>
      </c>
      <c r="N290" s="26" t="n">
        <f aca="false">datos_base!$K$2*parametros_recargas!O$55+sobrestock_sustitutos!$J$51/12</f>
        <v>10396.6261504584</v>
      </c>
      <c r="O290" s="26" t="n">
        <f aca="false">datos_base!$K$2*parametros_recargas!P$55+sobrestock_sustitutos!$J$51/12</f>
        <v>13052.376729084</v>
      </c>
      <c r="P290" s="12" t="n">
        <f aca="false">SUM(D290:O290)</f>
        <v>108842.626397553</v>
      </c>
    </row>
    <row r="291" customFormat="false" ht="15" hidden="false" customHeight="false" outlineLevel="0" collapsed="false">
      <c r="A291" s="6" t="str">
        <f aca="false">parametros_recargas!A56</f>
        <v>ABC 2,5 kg</v>
      </c>
      <c r="B291" s="6" t="str">
        <f aca="false">parametros_recargas!B56</f>
        <v>ABC</v>
      </c>
      <c r="C291" s="14" t="n">
        <f aca="false">parametros_recargas!C56</f>
        <v>1</v>
      </c>
      <c r="D291" s="26" t="n">
        <f aca="false">datos_base!$K$3*parametros_recargas!E$56+sobrestock_sustitutos!$J$52/12</f>
        <v>564.270127630659</v>
      </c>
      <c r="E291" s="26" t="n">
        <f aca="false">datos_base!$K$3*parametros_recargas!F$56+sobrestock_sustitutos!$J$52/12</f>
        <v>564.270127630659</v>
      </c>
      <c r="F291" s="26" t="n">
        <f aca="false">datos_base!$K$3*parametros_recargas!G$56+sobrestock_sustitutos!$J$52/12</f>
        <v>770.240180569936</v>
      </c>
      <c r="G291" s="26" t="n">
        <f aca="false">datos_base!$K$3*parametros_recargas!H$56+sobrestock_sustitutos!$J$52/12</f>
        <v>895.192047566233</v>
      </c>
      <c r="H291" s="26" t="n">
        <f aca="false">datos_base!$K$3*parametros_recargas!I$56+sobrestock_sustitutos!$J$52/12</f>
        <v>967.987042326334</v>
      </c>
      <c r="I291" s="26" t="n">
        <f aca="false">datos_base!$K$3*parametros_recargas!J$56+sobrestock_sustitutos!$J$52/12</f>
        <v>957.176649957608</v>
      </c>
      <c r="J291" s="26" t="n">
        <f aca="false">datos_base!$K$3*parametros_recargas!K$56+sobrestock_sustitutos!$J$52/12</f>
        <v>695.250004076344</v>
      </c>
      <c r="K291" s="26" t="n">
        <f aca="false">datos_base!$K$3*parametros_recargas!L$56+sobrestock_sustitutos!$J$52/12</f>
        <v>813.191199409707</v>
      </c>
      <c r="L291" s="26" t="n">
        <f aca="false">datos_base!$K$3*parametros_recargas!M$56+sobrestock_sustitutos!$J$52/12</f>
        <v>814.935590572914</v>
      </c>
      <c r="M291" s="26" t="n">
        <f aca="false">datos_base!$K$3*parametros_recargas!N$56+sobrestock_sustitutos!$J$52/12</f>
        <v>814.935590572914</v>
      </c>
      <c r="N291" s="26" t="n">
        <f aca="false">datos_base!$K$3*parametros_recargas!O$56+sobrestock_sustitutos!$J$52/12</f>
        <v>742.140595812813</v>
      </c>
      <c r="O291" s="26" t="n">
        <f aca="false">datos_base!$K$3*parametros_recargas!P$56+sobrestock_sustitutos!$J$52/12</f>
        <v>752.950988181539</v>
      </c>
      <c r="P291" s="12" t="n">
        <f aca="false">SUM(D291:O291)</f>
        <v>9352.54014430766</v>
      </c>
    </row>
    <row r="292" customFormat="false" ht="15" hidden="false" customHeight="false" outlineLevel="0" collapsed="false">
      <c r="A292" s="6" t="str">
        <f aca="false">parametros_recargas!A57</f>
        <v>ABC 5 kg</v>
      </c>
      <c r="B292" s="6" t="str">
        <f aca="false">parametros_recargas!B57</f>
        <v>ABC</v>
      </c>
      <c r="C292" s="14" t="n">
        <f aca="false">parametros_recargas!C57</f>
        <v>1</v>
      </c>
      <c r="D292" s="26" t="n">
        <f aca="false">datos_base!$K$4*parametros_recargas!E$57+sobrestock_sustitutos!$J$53/12</f>
        <v>3808.60488540817</v>
      </c>
      <c r="E292" s="26" t="n">
        <f aca="false">datos_base!$K$4*parametros_recargas!F$57+sobrestock_sustitutos!$J$53/12</f>
        <v>3715.92789142967</v>
      </c>
      <c r="F292" s="26" t="n">
        <f aca="false">datos_base!$K$4*parametros_recargas!G$57+sobrestock_sustitutos!$J$53/12</f>
        <v>4651.18756557301</v>
      </c>
      <c r="G292" s="26" t="n">
        <f aca="false">datos_base!$K$4*parametros_recargas!H$57+sobrestock_sustitutos!$J$53/12</f>
        <v>5656.5425084543</v>
      </c>
      <c r="H292" s="26" t="n">
        <f aca="false">datos_base!$K$4*parametros_recargas!I$57+sobrestock_sustitutos!$J$53/12</f>
        <v>5677.30072569333</v>
      </c>
      <c r="I292" s="26" t="n">
        <f aca="false">datos_base!$K$4*parametros_recargas!J$57+sobrestock_sustitutos!$J$53/12</f>
        <v>5606.35710077086</v>
      </c>
      <c r="J292" s="26" t="n">
        <f aca="false">datos_base!$K$4*parametros_recargas!K$57+sobrestock_sustitutos!$J$53/12</f>
        <v>4539.26207765257</v>
      </c>
      <c r="K292" s="26" t="n">
        <f aca="false">datos_base!$K$4*parametros_recargas!L$57+sobrestock_sustitutos!$J$53/12</f>
        <v>4528.23502496558</v>
      </c>
      <c r="L292" s="26" t="n">
        <f aca="false">datos_base!$K$4*parametros_recargas!M$57+sobrestock_sustitutos!$J$53/12</f>
        <v>4591.09868953652</v>
      </c>
      <c r="M292" s="26" t="n">
        <f aca="false">datos_base!$K$4*parametros_recargas!N$57+sobrestock_sustitutos!$J$53/12</f>
        <v>4591.09868953652</v>
      </c>
      <c r="N292" s="26" t="n">
        <f aca="false">datos_base!$K$4*parametros_recargas!O$57+sobrestock_sustitutos!$J$53/12</f>
        <v>4663.017466276</v>
      </c>
      <c r="O292" s="26" t="n">
        <f aca="false">datos_base!$K$4*parametros_recargas!P$57+sobrestock_sustitutos!$J$53/12</f>
        <v>4826.63808517696</v>
      </c>
      <c r="P292" s="12" t="n">
        <f aca="false">SUM(D292:O292)</f>
        <v>56855.2707104735</v>
      </c>
    </row>
    <row r="293" customFormat="false" ht="15" hidden="false" customHeight="false" outlineLevel="0" collapsed="false">
      <c r="A293" s="6" t="str">
        <f aca="false">parametros_recargas!A58</f>
        <v>ABC 10 kg</v>
      </c>
      <c r="B293" s="6" t="str">
        <f aca="false">parametros_recargas!B58</f>
        <v>ABC</v>
      </c>
      <c r="C293" s="14" t="n">
        <f aca="false">parametros_recargas!C58</f>
        <v>1</v>
      </c>
      <c r="D293" s="26" t="n">
        <f aca="false">datos_base!$K$5*parametros_recargas!E$58+sobrestock_sustitutos!$J$54/12</f>
        <v>218.636216402166</v>
      </c>
      <c r="E293" s="26" t="n">
        <f aca="false">datos_base!$K$5*parametros_recargas!F$58+sobrestock_sustitutos!$J$54/12</f>
        <v>218.636216402166</v>
      </c>
      <c r="F293" s="26" t="n">
        <f aca="false">datos_base!$K$5*parametros_recargas!G$58+sobrestock_sustitutos!$J$54/12</f>
        <v>280.287311549606</v>
      </c>
      <c r="G293" s="26" t="n">
        <f aca="false">datos_base!$K$5*parametros_recargas!H$58+sobrestock_sustitutos!$J$54/12</f>
        <v>340.512638697843</v>
      </c>
      <c r="H293" s="26" t="n">
        <f aca="false">datos_base!$K$5*parametros_recargas!I$58+sobrestock_sustitutos!$J$54/12</f>
        <v>343.658225623413</v>
      </c>
      <c r="I293" s="26" t="n">
        <f aca="false">datos_base!$K$5*parametros_recargas!J$58+sobrestock_sustitutos!$J$54/12</f>
        <v>333.853562108804</v>
      </c>
      <c r="J293" s="26" t="n">
        <f aca="false">datos_base!$K$5*parametros_recargas!K$58+sobrestock_sustitutos!$J$54/12</f>
        <v>263.294638815306</v>
      </c>
      <c r="K293" s="26" t="n">
        <f aca="false">datos_base!$K$5*parametros_recargas!L$58+sobrestock_sustitutos!$J$54/12</f>
        <v>265.543390372325</v>
      </c>
      <c r="L293" s="26" t="n">
        <f aca="false">datos_base!$K$5*parametros_recargas!M$58+sobrestock_sustitutos!$J$54/12</f>
        <v>275.348053886934</v>
      </c>
      <c r="M293" s="26" t="n">
        <f aca="false">datos_base!$K$5*parametros_recargas!N$58+sobrestock_sustitutos!$J$54/12</f>
        <v>275.348053886934</v>
      </c>
      <c r="N293" s="26" t="n">
        <f aca="false">datos_base!$K$5*parametros_recargas!O$58+sobrestock_sustitutos!$J$54/12</f>
        <v>272.202466961364</v>
      </c>
      <c r="O293" s="26" t="n">
        <f aca="false">datos_base!$K$5*parametros_recargas!P$58+sobrestock_sustitutos!$J$54/12</f>
        <v>282.007130475973</v>
      </c>
      <c r="P293" s="12" t="n">
        <f aca="false">SUM(D293:O293)</f>
        <v>3369.32790518283</v>
      </c>
    </row>
    <row r="294" customFormat="false" ht="15" hidden="false" customHeight="false" outlineLevel="0" collapsed="false">
      <c r="A294" s="6" t="str">
        <f aca="false">parametros_recargas!A59</f>
        <v>Agua 10 l</v>
      </c>
      <c r="B294" s="6" t="str">
        <f aca="false">parametros_recargas!B59</f>
        <v>Agua</v>
      </c>
      <c r="C294" s="14" t="n">
        <f aca="false">parametros_recargas!C59</f>
        <v>1</v>
      </c>
      <c r="D294" s="26" t="n">
        <f aca="false">datos_base!$K$6*parametros_recargas!E$59+sobrestock_sustitutos!$J$55/12</f>
        <v>319.99827395285</v>
      </c>
      <c r="E294" s="26" t="n">
        <f aca="false">datos_base!$K$6*parametros_recargas!F$59+sobrestock_sustitutos!$J$55/12</f>
        <v>319.99827395285</v>
      </c>
      <c r="F294" s="26" t="n">
        <f aca="false">datos_base!$K$6*parametros_recargas!G$59+sobrestock_sustitutos!$J$55/12</f>
        <v>393.617777884818</v>
      </c>
      <c r="G294" s="26" t="n">
        <f aca="false">datos_base!$K$6*parametros_recargas!H$59+sobrestock_sustitutos!$J$55/12</f>
        <v>471.231806897737</v>
      </c>
      <c r="H294" s="26" t="n">
        <f aca="false">datos_base!$K$6*parametros_recargas!I$59+sobrestock_sustitutos!$J$55/12</f>
        <v>474.142883282153</v>
      </c>
      <c r="I294" s="26" t="n">
        <f aca="false">datos_base!$K$6*parametros_recargas!J$59+sobrestock_sustitutos!$J$55/12</f>
        <v>460.43901946086</v>
      </c>
      <c r="J294" s="26" t="n">
        <f aca="false">datos_base!$K$6*parametros_recargas!K$59+sobrestock_sustitutos!$J$55/12</f>
        <v>375.323037542707</v>
      </c>
      <c r="K294" s="26" t="n">
        <f aca="false">datos_base!$K$6*parametros_recargas!L$59+sobrestock_sustitutos!$J$55/12</f>
        <v>376.026728092015</v>
      </c>
      <c r="L294" s="26" t="n">
        <f aca="false">datos_base!$K$6*parametros_recargas!M$59+sobrestock_sustitutos!$J$55/12</f>
        <v>388.870926392528</v>
      </c>
      <c r="M294" s="26" t="n">
        <f aca="false">datos_base!$K$6*parametros_recargas!N$59+sobrestock_sustitutos!$J$55/12</f>
        <v>388.870926392528</v>
      </c>
      <c r="N294" s="26" t="n">
        <f aca="false">datos_base!$K$6*parametros_recargas!O$59+sobrestock_sustitutos!$J$55/12</f>
        <v>385.959850008112</v>
      </c>
      <c r="O294" s="26" t="n">
        <f aca="false">datos_base!$K$6*parametros_recargas!P$59+sobrestock_sustitutos!$J$55/12</f>
        <v>399.663713829405</v>
      </c>
      <c r="P294" s="12" t="n">
        <f aca="false">SUM(D294:O294)</f>
        <v>4754.14321768856</v>
      </c>
    </row>
    <row r="295" customFormat="false" ht="15" hidden="false" customHeight="false" outlineLevel="0" collapsed="false">
      <c r="A295" s="6" t="str">
        <f aca="false">parametros_recargas!A60</f>
        <v>AFFF 10 l</v>
      </c>
      <c r="B295" s="6" t="str">
        <f aca="false">parametros_recargas!B60</f>
        <v>AFFF</v>
      </c>
      <c r="C295" s="14" t="n">
        <f aca="false">parametros_recargas!C60</f>
        <v>1</v>
      </c>
      <c r="D295" s="26" t="n">
        <f aca="false">datos_base!$K$7*parametros_recargas!E$60+sobrestock_sustitutos!$J$56/12</f>
        <v>75.0578698673154</v>
      </c>
      <c r="E295" s="26" t="n">
        <f aca="false">datos_base!$K$7*parametros_recargas!F$60+sobrestock_sustitutos!$J$56/12</f>
        <v>75.0578698673154</v>
      </c>
      <c r="F295" s="26" t="n">
        <f aca="false">datos_base!$K$7*parametros_recargas!G$60+sobrestock_sustitutos!$J$56/12</f>
        <v>75.0578698673154</v>
      </c>
      <c r="G295" s="26" t="n">
        <f aca="false">datos_base!$K$7*parametros_recargas!H$60+sobrestock_sustitutos!$J$56/12</f>
        <v>75.0578698673154</v>
      </c>
      <c r="H295" s="26" t="n">
        <f aca="false">datos_base!$K$7*parametros_recargas!I$60+sobrestock_sustitutos!$J$56/12</f>
        <v>75.0578698673154</v>
      </c>
      <c r="I295" s="26" t="n">
        <f aca="false">datos_base!$K$7*parametros_recargas!J$60+sobrestock_sustitutos!$J$56/12</f>
        <v>75.0578698673154</v>
      </c>
      <c r="J295" s="26" t="n">
        <f aca="false">datos_base!$K$7*parametros_recargas!K$60+sobrestock_sustitutos!$J$56/12</f>
        <v>75.0578698673154</v>
      </c>
      <c r="K295" s="26" t="n">
        <f aca="false">datos_base!$K$7*parametros_recargas!L$60+sobrestock_sustitutos!$J$56/12</f>
        <v>75.0578698673154</v>
      </c>
      <c r="L295" s="26" t="n">
        <f aca="false">datos_base!$K$7*parametros_recargas!M$60+sobrestock_sustitutos!$J$56/12</f>
        <v>75.0578698673154</v>
      </c>
      <c r="M295" s="26" t="n">
        <f aca="false">datos_base!$K$7*parametros_recargas!N$60+sobrestock_sustitutos!$J$56/12</f>
        <v>75.0578698673154</v>
      </c>
      <c r="N295" s="26" t="n">
        <f aca="false">datos_base!$K$7*parametros_recargas!O$60+sobrestock_sustitutos!$J$56/12</f>
        <v>75.0578698673154</v>
      </c>
      <c r="O295" s="26" t="n">
        <f aca="false">datos_base!$K$7*parametros_recargas!P$60+sobrestock_sustitutos!$J$56/12</f>
        <v>75.0578698673154</v>
      </c>
      <c r="P295" s="12" t="n">
        <f aca="false">SUM(D295:O295)</f>
        <v>900.694438407785</v>
      </c>
    </row>
    <row r="296" customFormat="false" ht="15" hidden="false" customHeight="false" outlineLevel="0" collapsed="false">
      <c r="A296" s="6" t="str">
        <f aca="false">parametros_recargas!A61</f>
        <v>AFFF 50 l s/ruedas</v>
      </c>
      <c r="B296" s="6" t="str">
        <f aca="false">parametros_recargas!B61</f>
        <v>AFFF</v>
      </c>
      <c r="C296" s="14" t="n">
        <f aca="false">parametros_recargas!C61</f>
        <v>6.360853875</v>
      </c>
      <c r="D296" s="26" t="n">
        <f aca="false">datos_base!$K$8*parametros_recargas!E$61+sobrestock_sustitutos!$J$57/12</f>
        <v>39.1477525014504</v>
      </c>
      <c r="E296" s="26" t="n">
        <f aca="false">datos_base!$K$8*parametros_recargas!F$61+sobrestock_sustitutos!$J$57/12</f>
        <v>39.1477525014504</v>
      </c>
      <c r="F296" s="26" t="n">
        <f aca="false">datos_base!$K$8*parametros_recargas!G$61+sobrestock_sustitutos!$J$57/12</f>
        <v>39.1477525014504</v>
      </c>
      <c r="G296" s="26" t="n">
        <f aca="false">datos_base!$K$8*parametros_recargas!H$61+sobrestock_sustitutos!$J$57/12</f>
        <v>39.1477525014504</v>
      </c>
      <c r="H296" s="26" t="n">
        <f aca="false">datos_base!$K$8*parametros_recargas!I$61+sobrestock_sustitutos!$J$57/12</f>
        <v>39.1477525014504</v>
      </c>
      <c r="I296" s="26" t="n">
        <f aca="false">datos_base!$K$8*parametros_recargas!J$61+sobrestock_sustitutos!$J$57/12</f>
        <v>39.1477525014504</v>
      </c>
      <c r="J296" s="26" t="n">
        <f aca="false">datos_base!$K$8*parametros_recargas!K$61+sobrestock_sustitutos!$J$57/12</f>
        <v>39.1477525014504</v>
      </c>
      <c r="K296" s="26" t="n">
        <f aca="false">datos_base!$K$8*parametros_recargas!L$61+sobrestock_sustitutos!$J$57/12</f>
        <v>39.1477525014504</v>
      </c>
      <c r="L296" s="26" t="n">
        <f aca="false">datos_base!$K$8*parametros_recargas!M$61+sobrestock_sustitutos!$J$57/12</f>
        <v>39.1477525014504</v>
      </c>
      <c r="M296" s="26" t="n">
        <f aca="false">datos_base!$K$8*parametros_recargas!N$61+sobrestock_sustitutos!$J$57/12</f>
        <v>39.1477525014504</v>
      </c>
      <c r="N296" s="26" t="n">
        <f aca="false">datos_base!$K$8*parametros_recargas!O$61+sobrestock_sustitutos!$J$57/12</f>
        <v>39.1477525014504</v>
      </c>
      <c r="O296" s="26" t="n">
        <f aca="false">datos_base!$K$8*parametros_recargas!P$61+sobrestock_sustitutos!$J$57/12</f>
        <v>39.1477525014504</v>
      </c>
      <c r="P296" s="12" t="n">
        <f aca="false">SUM(D296:O296)</f>
        <v>469.773030017405</v>
      </c>
    </row>
    <row r="297" customFormat="false" ht="15" hidden="false" customHeight="false" outlineLevel="0" collapsed="false">
      <c r="A297" s="6" t="str">
        <f aca="false">parametros_recargas!A62</f>
        <v>BC 5 kg</v>
      </c>
      <c r="B297" s="6" t="str">
        <f aca="false">parametros_recargas!B62</f>
        <v>BC</v>
      </c>
      <c r="C297" s="14" t="n">
        <f aca="false">parametros_recargas!C62</f>
        <v>1</v>
      </c>
      <c r="D297" s="26" t="n">
        <f aca="false">datos_base!$K$9*parametros_recargas!E$62+sobrestock_sustitutos!$J$58/12</f>
        <v>22.6748967842617</v>
      </c>
      <c r="E297" s="26" t="n">
        <f aca="false">datos_base!$K$9*parametros_recargas!F$62+sobrestock_sustitutos!$J$58/12</f>
        <v>22.6748967842617</v>
      </c>
      <c r="F297" s="26" t="n">
        <f aca="false">datos_base!$K$9*parametros_recargas!G$62+sobrestock_sustitutos!$J$58/12</f>
        <v>22.6748967842617</v>
      </c>
      <c r="G297" s="26" t="n">
        <f aca="false">datos_base!$K$9*parametros_recargas!H$62+sobrestock_sustitutos!$J$58/12</f>
        <v>22.6748967842617</v>
      </c>
      <c r="H297" s="26" t="n">
        <f aca="false">datos_base!$K$9*parametros_recargas!I$62+sobrestock_sustitutos!$J$58/12</f>
        <v>22.6748967842617</v>
      </c>
      <c r="I297" s="26" t="n">
        <f aca="false">datos_base!$K$9*parametros_recargas!J$62+sobrestock_sustitutos!$J$58/12</f>
        <v>22.6748967842617</v>
      </c>
      <c r="J297" s="26" t="n">
        <f aca="false">datos_base!$K$9*parametros_recargas!K$62+sobrestock_sustitutos!$J$58/12</f>
        <v>22.6748967842617</v>
      </c>
      <c r="K297" s="26" t="n">
        <f aca="false">datos_base!$K$9*parametros_recargas!L$62+sobrestock_sustitutos!$J$58/12</f>
        <v>22.6748967842617</v>
      </c>
      <c r="L297" s="26" t="n">
        <f aca="false">datos_base!$K$9*parametros_recargas!M$62+sobrestock_sustitutos!$J$58/12</f>
        <v>22.6748967842617</v>
      </c>
      <c r="M297" s="26" t="n">
        <f aca="false">datos_base!$K$9*parametros_recargas!N$62+sobrestock_sustitutos!$J$58/12</f>
        <v>22.6748967842617</v>
      </c>
      <c r="N297" s="26" t="n">
        <f aca="false">datos_base!$K$9*parametros_recargas!O$62+sobrestock_sustitutos!$J$58/12</f>
        <v>22.6748967842617</v>
      </c>
      <c r="O297" s="26" t="n">
        <f aca="false">datos_base!$K$9*parametros_recargas!P$62+sobrestock_sustitutos!$J$58/12</f>
        <v>22.6748967842617</v>
      </c>
      <c r="P297" s="12" t="n">
        <f aca="false">SUM(D297:O297)</f>
        <v>272.09876141114</v>
      </c>
    </row>
    <row r="298" customFormat="false" ht="15" hidden="false" customHeight="false" outlineLevel="0" collapsed="false">
      <c r="A298" s="6" t="str">
        <f aca="false">parametros_recargas!A63</f>
        <v>Sales K 6 l</v>
      </c>
      <c r="B298" s="6" t="str">
        <f aca="false">parametros_recargas!B63</f>
        <v>Sales K</v>
      </c>
      <c r="C298" s="14" t="n">
        <f aca="false">parametros_recargas!C63</f>
        <v>1</v>
      </c>
      <c r="D298" s="26" t="n">
        <f aca="false">datos_base!$K$10*parametros_recargas!E$63+sobrestock_sustitutos!$J$59/12</f>
        <v>163.446172418027</v>
      </c>
      <c r="E298" s="26" t="n">
        <f aca="false">datos_base!$K$10*parametros_recargas!F$63+sobrestock_sustitutos!$J$59/12</f>
        <v>163.446172418027</v>
      </c>
      <c r="F298" s="26" t="n">
        <f aca="false">datos_base!$K$10*parametros_recargas!G$63+sobrestock_sustitutos!$J$59/12</f>
        <v>196.468661416358</v>
      </c>
      <c r="G298" s="26" t="n">
        <f aca="false">datos_base!$K$10*parametros_recargas!H$63+sobrestock_sustitutos!$J$59/12</f>
        <v>221.910767133509</v>
      </c>
      <c r="H298" s="26" t="n">
        <f aca="false">datos_base!$K$10*parametros_recargas!I$63+sobrestock_sustitutos!$J$59/12</f>
        <v>227.421159217386</v>
      </c>
      <c r="I298" s="26" t="n">
        <f aca="false">datos_base!$K$10*parametros_recargas!J$63+sobrestock_sustitutos!$J$59/12</f>
        <v>222.812116622745</v>
      </c>
      <c r="J298" s="26" t="n">
        <f aca="false">datos_base!$K$10*parametros_recargas!K$63+sobrestock_sustitutos!$J$59/12</f>
        <v>183.009709841869</v>
      </c>
      <c r="K298" s="26" t="n">
        <f aca="false">datos_base!$K$10*parametros_recargas!L$63+sobrestock_sustitutos!$J$59/12</f>
        <v>190.69097711365</v>
      </c>
      <c r="L298" s="26" t="n">
        <f aca="false">datos_base!$K$10*parametros_recargas!M$63+sobrestock_sustitutos!$J$59/12</f>
        <v>195.300019708291</v>
      </c>
      <c r="M298" s="26" t="n">
        <f aca="false">datos_base!$K$10*parametros_recargas!N$63+sobrestock_sustitutos!$J$59/12</f>
        <v>195.300019708291</v>
      </c>
      <c r="N298" s="26" t="n">
        <f aca="false">datos_base!$K$10*parametros_recargas!O$63+sobrestock_sustitutos!$J$59/12</f>
        <v>189.789627624414</v>
      </c>
      <c r="O298" s="26" t="n">
        <f aca="false">datos_base!$K$10*parametros_recargas!P$63+sobrestock_sustitutos!$J$59/12</f>
        <v>194.398670219055</v>
      </c>
      <c r="P298" s="12" t="n">
        <f aca="false">SUM(D298:O298)</f>
        <v>2343.99407344162</v>
      </c>
    </row>
    <row r="299" customFormat="false" ht="15" hidden="false" customHeight="false" outlineLevel="0" collapsed="false">
      <c r="A299" s="6" t="str">
        <f aca="false">parametros_recargas!A64</f>
        <v>CO₂ 2 kg</v>
      </c>
      <c r="B299" s="6" t="str">
        <f aca="false">parametros_recargas!B64</f>
        <v>CO₂</v>
      </c>
      <c r="C299" s="14" t="n">
        <f aca="false">parametros_recargas!C64</f>
        <v>1</v>
      </c>
      <c r="D299" s="26" t="n">
        <f aca="false">datos_base!$K$11*parametros_recargas!E$64+sobrestock_sustitutos!$J$60/12</f>
        <v>792.181261050837</v>
      </c>
      <c r="E299" s="26" t="n">
        <f aca="false">datos_base!$K$11*parametros_recargas!F$64+sobrestock_sustitutos!$J$60/12</f>
        <v>792.181261050837</v>
      </c>
      <c r="F299" s="26" t="n">
        <f aca="false">datos_base!$K$11*parametros_recargas!G$64+sobrestock_sustitutos!$J$60/12</f>
        <v>1061.08628331735</v>
      </c>
      <c r="G299" s="26" t="n">
        <f aca="false">datos_base!$K$11*parametros_recargas!H$64+sobrestock_sustitutos!$J$60/12</f>
        <v>1314.00625101601</v>
      </c>
      <c r="H299" s="26" t="n">
        <f aca="false">datos_base!$K$11*parametros_recargas!I$64+sobrestock_sustitutos!$J$60/12</f>
        <v>1319.27870177439</v>
      </c>
      <c r="I299" s="26" t="n">
        <f aca="false">datos_base!$K$11*parametros_recargas!J$64+sobrestock_sustitutos!$J$60/12</f>
        <v>1302.68859668082</v>
      </c>
      <c r="J299" s="26" t="n">
        <f aca="false">datos_base!$K$11*parametros_recargas!K$64+sobrestock_sustitutos!$J$60/12</f>
        <v>1025.5723730139</v>
      </c>
      <c r="K299" s="26" t="n">
        <f aca="false">datos_base!$K$11*parametros_recargas!L$64+sobrestock_sustitutos!$J$60/12</f>
        <v>1022.46592007912</v>
      </c>
      <c r="L299" s="26" t="n">
        <f aca="false">datos_base!$K$11*parametros_recargas!M$64+sobrestock_sustitutos!$J$60/12</f>
        <v>1039.05602517268</v>
      </c>
      <c r="M299" s="26" t="n">
        <f aca="false">datos_base!$K$11*parametros_recargas!N$64+sobrestock_sustitutos!$J$60/12</f>
        <v>1039.05602517268</v>
      </c>
      <c r="N299" s="26" t="n">
        <f aca="false">datos_base!$K$11*parametros_recargas!O$64+sobrestock_sustitutos!$J$60/12</f>
        <v>1033.78357441431</v>
      </c>
      <c r="O299" s="26" t="n">
        <f aca="false">datos_base!$K$11*parametros_recargas!P$64+sobrestock_sustitutos!$J$60/12</f>
        <v>1050.37367950787</v>
      </c>
      <c r="P299" s="12" t="n">
        <f aca="false">SUM(D299:O299)</f>
        <v>12791.7299522508</v>
      </c>
    </row>
    <row r="300" customFormat="false" ht="15" hidden="false" customHeight="false" outlineLevel="0" collapsed="false">
      <c r="A300" s="6" t="str">
        <f aca="false">parametros_recargas!A65</f>
        <v>CO₂ 5 kg</v>
      </c>
      <c r="B300" s="6" t="str">
        <f aca="false">parametros_recargas!B65</f>
        <v>CO₂</v>
      </c>
      <c r="C300" s="14" t="n">
        <f aca="false">parametros_recargas!C65</f>
        <v>1</v>
      </c>
      <c r="D300" s="26" t="n">
        <f aca="false">datos_base!$K$12*parametros_recargas!E$65+sobrestock_sustitutos!$J$61/12</f>
        <v>333.150150723457</v>
      </c>
      <c r="E300" s="26" t="n">
        <f aca="false">datos_base!$K$12*parametros_recargas!F$65+sobrestock_sustitutos!$J$61/12</f>
        <v>333.150150723457</v>
      </c>
      <c r="F300" s="26" t="n">
        <f aca="false">datos_base!$K$12*parametros_recargas!G$65+sobrestock_sustitutos!$J$61/12</f>
        <v>361.084758608858</v>
      </c>
      <c r="G300" s="26" t="n">
        <f aca="false">datos_base!$K$12*parametros_recargas!H$65+sobrestock_sustitutos!$J$61/12</f>
        <v>399.788182464953</v>
      </c>
      <c r="H300" s="26" t="n">
        <f aca="false">datos_base!$K$12*parametros_recargas!I$65+sobrestock_sustitutos!$J$61/12</f>
        <v>406.438735659653</v>
      </c>
      <c r="I300" s="26" t="n">
        <f aca="false">datos_base!$K$12*parametros_recargas!J$65+sobrestock_sustitutos!$J$61/12</f>
        <v>387.734335640784</v>
      </c>
      <c r="J300" s="26" t="n">
        <f aca="false">datos_base!$K$12*parametros_recargas!K$65+sobrestock_sustitutos!$J$61/12</f>
        <v>343.087312291824</v>
      </c>
      <c r="K300" s="26" t="n">
        <f aca="false">datos_base!$K$12*parametros_recargas!L$65+sobrestock_sustitutos!$J$61/12</f>
        <v>347.745880931214</v>
      </c>
      <c r="L300" s="26" t="n">
        <f aca="false">datos_base!$K$12*parametros_recargas!M$65+sobrestock_sustitutos!$J$61/12</f>
        <v>362.450269788446</v>
      </c>
      <c r="M300" s="26" t="n">
        <f aca="false">datos_base!$K$12*parametros_recargas!N$65+sobrestock_sustitutos!$J$61/12</f>
        <v>362.450269788446</v>
      </c>
      <c r="N300" s="26" t="n">
        <f aca="false">datos_base!$K$12*parametros_recargas!O$65+sobrestock_sustitutos!$J$61/12</f>
        <v>355.799716593746</v>
      </c>
      <c r="O300" s="26" t="n">
        <f aca="false">datos_base!$K$12*parametros_recargas!P$65+sobrestock_sustitutos!$J$61/12</f>
        <v>374.504116612615</v>
      </c>
      <c r="P300" s="12" t="n">
        <f aca="false">SUM(D300:O300)</f>
        <v>4367.38387982745</v>
      </c>
    </row>
    <row r="301" customFormat="false" ht="15" hidden="false" customHeight="false" outlineLevel="0" collapsed="false">
      <c r="A301" s="6" t="str">
        <f aca="false">parametros_recargas!A66</f>
        <v>HCFC/HFC 5 kg</v>
      </c>
      <c r="B301" s="6" t="str">
        <f aca="false">parametros_recargas!B66</f>
        <v>Halogenado</v>
      </c>
      <c r="C301" s="14" t="n">
        <f aca="false">parametros_recargas!C66</f>
        <v>1</v>
      </c>
      <c r="D301" s="26" t="n">
        <f aca="false">datos_base!$K$13*parametros_recargas!E$66+sobrestock_sustitutos!$J$62/12</f>
        <v>63.6730729658336</v>
      </c>
      <c r="E301" s="26" t="n">
        <f aca="false">datos_base!$K$13*parametros_recargas!F$66+sobrestock_sustitutos!$J$62/12</f>
        <v>63.6730729658336</v>
      </c>
      <c r="F301" s="26" t="n">
        <f aca="false">datos_base!$K$13*parametros_recargas!G$66+sobrestock_sustitutos!$J$62/12</f>
        <v>59.6097038428049</v>
      </c>
      <c r="G301" s="26" t="n">
        <f aca="false">datos_base!$K$13*parametros_recargas!H$66+sobrestock_sustitutos!$J$62/12</f>
        <v>59.6097038428049</v>
      </c>
      <c r="H301" s="26" t="n">
        <f aca="false">datos_base!$K$13*parametros_recargas!I$66+sobrestock_sustitutos!$J$62/12</f>
        <v>59.6097038428049</v>
      </c>
      <c r="I301" s="26" t="n">
        <f aca="false">datos_base!$K$13*parametros_recargas!J$66+sobrestock_sustitutos!$J$62/12</f>
        <v>55.5463347197763</v>
      </c>
      <c r="J301" s="26" t="n">
        <f aca="false">datos_base!$K$13*parametros_recargas!K$66+sobrestock_sustitutos!$J$62/12</f>
        <v>55.5463347197763</v>
      </c>
      <c r="K301" s="26" t="n">
        <f aca="false">datos_base!$K$13*parametros_recargas!L$66+sobrestock_sustitutos!$J$62/12</f>
        <v>55.5463347197763</v>
      </c>
      <c r="L301" s="26" t="n">
        <f aca="false">datos_base!$K$13*parametros_recargas!M$66+sobrestock_sustitutos!$J$62/12</f>
        <v>59.6097038428049</v>
      </c>
      <c r="M301" s="26" t="n">
        <f aca="false">datos_base!$K$13*parametros_recargas!N$66+sobrestock_sustitutos!$J$62/12</f>
        <v>59.6097038428049</v>
      </c>
      <c r="N301" s="26" t="n">
        <f aca="false">datos_base!$K$13*parametros_recargas!O$66+sobrestock_sustitutos!$J$62/12</f>
        <v>59.6097038428049</v>
      </c>
      <c r="O301" s="26" t="n">
        <f aca="false">datos_base!$K$13*parametros_recargas!P$66+sobrestock_sustitutos!$J$62/12</f>
        <v>63.6730729658336</v>
      </c>
      <c r="P301" s="12" t="n">
        <f aca="false">SUM(D301:O301)</f>
        <v>715.316446113659</v>
      </c>
    </row>
    <row r="302" customFormat="false" ht="15" hidden="false" customHeight="false" outlineLevel="0" collapsed="false">
      <c r="A302" s="6" t="str">
        <f aca="false">parametros_recargas!A67</f>
        <v>Clase D 9 l</v>
      </c>
      <c r="B302" s="6" t="str">
        <f aca="false">parametros_recargas!B67</f>
        <v>Clase D</v>
      </c>
      <c r="C302" s="14" t="n">
        <f aca="false">parametros_recargas!C67</f>
        <v>1</v>
      </c>
      <c r="D302" s="26" t="n">
        <f aca="false">datos_base!$K$14*parametros_recargas!E$67+sobrestock_sustitutos!$J$63/12</f>
        <v>20.4292866946434</v>
      </c>
      <c r="E302" s="26" t="n">
        <f aca="false">datos_base!$K$14*parametros_recargas!F$67+sobrestock_sustitutos!$J$63/12</f>
        <v>20.4292866946434</v>
      </c>
      <c r="F302" s="26" t="n">
        <f aca="false">datos_base!$K$14*parametros_recargas!G$67+sobrestock_sustitutos!$J$63/12</f>
        <v>20.4292866946434</v>
      </c>
      <c r="G302" s="26" t="n">
        <f aca="false">datos_base!$K$14*parametros_recargas!H$67+sobrestock_sustitutos!$J$63/12</f>
        <v>20.4292866946434</v>
      </c>
      <c r="H302" s="26" t="n">
        <f aca="false">datos_base!$K$14*parametros_recargas!I$67+sobrestock_sustitutos!$J$63/12</f>
        <v>20.4292866946434</v>
      </c>
      <c r="I302" s="26" t="n">
        <f aca="false">datos_base!$K$14*parametros_recargas!J$67+sobrestock_sustitutos!$J$63/12</f>
        <v>20.4292866946434</v>
      </c>
      <c r="J302" s="26" t="n">
        <f aca="false">datos_base!$K$14*parametros_recargas!K$67+sobrestock_sustitutos!$J$63/12</f>
        <v>20.4292866946434</v>
      </c>
      <c r="K302" s="26" t="n">
        <f aca="false">datos_base!$K$14*parametros_recargas!L$67+sobrestock_sustitutos!$J$63/12</f>
        <v>20.4292866946434</v>
      </c>
      <c r="L302" s="26" t="n">
        <f aca="false">datos_base!$K$14*parametros_recargas!M$67+sobrestock_sustitutos!$J$63/12</f>
        <v>20.4292866946434</v>
      </c>
      <c r="M302" s="26" t="n">
        <f aca="false">datos_base!$K$14*parametros_recargas!N$67+sobrestock_sustitutos!$J$63/12</f>
        <v>20.4292866946434</v>
      </c>
      <c r="N302" s="26" t="n">
        <f aca="false">datos_base!$K$14*parametros_recargas!O$67+sobrestock_sustitutos!$J$63/12</f>
        <v>20.4292866946434</v>
      </c>
      <c r="O302" s="26" t="n">
        <f aca="false">datos_base!$K$14*parametros_recargas!P$67+sobrestock_sustitutos!$J$63/12</f>
        <v>20.4292866946434</v>
      </c>
      <c r="P302" s="12" t="n">
        <f aca="false">SUM(D302:O302)</f>
        <v>245.151440335721</v>
      </c>
    </row>
    <row r="303" customFormat="false" ht="15" hidden="false" customHeight="false" outlineLevel="0" collapsed="false">
      <c r="A303" s="6" t="str">
        <f aca="false">parametros_recargas!A68</f>
        <v>ABC 25 kg s/ruedas</v>
      </c>
      <c r="B303" s="6" t="str">
        <f aca="false">parametros_recargas!B68</f>
        <v>ABC</v>
      </c>
      <c r="C303" s="14" t="n">
        <f aca="false">parametros_recargas!C68</f>
        <v>6.360853875</v>
      </c>
      <c r="D303" s="26" t="n">
        <f aca="false">datos_base!$K$15*parametros_recargas!E$68+sobrestock_sustitutos!$J$64/12</f>
        <v>43.5211103738071</v>
      </c>
      <c r="E303" s="26" t="n">
        <f aca="false">datos_base!$K$15*parametros_recargas!F$68+sobrestock_sustitutos!$J$64/12</f>
        <v>43.5211103738071</v>
      </c>
      <c r="F303" s="26" t="n">
        <f aca="false">datos_base!$K$15*parametros_recargas!G$68+sobrestock_sustitutos!$J$64/12</f>
        <v>48.4088183457503</v>
      </c>
      <c r="G303" s="26" t="n">
        <f aca="false">datos_base!$K$15*parametros_recargas!H$68+sobrestock_sustitutos!$J$64/12</f>
        <v>54.8896530726159</v>
      </c>
      <c r="H303" s="26" t="n">
        <f aca="false">datos_base!$K$15*parametros_recargas!I$68+sobrestock_sustitutos!$J$64/12</f>
        <v>55.1528042134307</v>
      </c>
      <c r="I303" s="26" t="n">
        <f aca="false">datos_base!$K$15*parametros_recargas!J$68+sobrestock_sustitutos!$J$64/12</f>
        <v>53.0116162303715</v>
      </c>
      <c r="J303" s="26" t="n">
        <f aca="false">datos_base!$K$15*parametros_recargas!K$68+sobrestock_sustitutos!$J$64/12</f>
        <v>45.8620241782153</v>
      </c>
      <c r="K303" s="26" t="n">
        <f aca="false">datos_base!$K$15*parametros_recargas!L$68+sobrestock_sustitutos!$J$64/12</f>
        <v>46.2458714161839</v>
      </c>
      <c r="L303" s="26" t="n">
        <f aca="false">datos_base!$K$15*parametros_recargas!M$68+sobrestock_sustitutos!$J$64/12</f>
        <v>48.3870593992431</v>
      </c>
      <c r="M303" s="26" t="n">
        <f aca="false">datos_base!$K$15*parametros_recargas!N$68+sobrestock_sustitutos!$J$64/12</f>
        <v>48.3870593992431</v>
      </c>
      <c r="N303" s="26" t="n">
        <f aca="false">datos_base!$K$15*parametros_recargas!O$68+sobrestock_sustitutos!$J$64/12</f>
        <v>48.1239082584283</v>
      </c>
      <c r="O303" s="26" t="n">
        <f aca="false">datos_base!$K$15*parametros_recargas!P$68+sobrestock_sustitutos!$J$64/12</f>
        <v>50.2650962414875</v>
      </c>
      <c r="P303" s="12" t="n">
        <f aca="false">SUM(D303:O303)</f>
        <v>585.776131502584</v>
      </c>
    </row>
    <row r="304" customFormat="false" ht="15" hidden="false" customHeight="false" outlineLevel="0" collapsed="false">
      <c r="A304" s="6" t="str">
        <f aca="false">parametros_recargas!A69</f>
        <v>ABC 50 kg s/ruedas</v>
      </c>
      <c r="B304" s="6" t="str">
        <f aca="false">parametros_recargas!B69</f>
        <v>ABC</v>
      </c>
      <c r="C304" s="14" t="n">
        <f aca="false">parametros_recargas!C69</f>
        <v>6.360853875</v>
      </c>
      <c r="D304" s="26" t="n">
        <f aca="false">datos_base!$K$16*parametros_recargas!E$69+sobrestock_sustitutos!$J$65/12</f>
        <v>95.7798951425355</v>
      </c>
      <c r="E304" s="26" t="n">
        <f aca="false">datos_base!$K$16*parametros_recargas!F$69+sobrestock_sustitutos!$J$65/12</f>
        <v>95.7798951425355</v>
      </c>
      <c r="F304" s="26" t="n">
        <f aca="false">datos_base!$K$16*parametros_recargas!G$69+sobrestock_sustitutos!$J$65/12</f>
        <v>106.532819988834</v>
      </c>
      <c r="G304" s="26" t="n">
        <f aca="false">datos_base!$K$16*parametros_recargas!H$69+sobrestock_sustitutos!$J$65/12</f>
        <v>120.790557888933</v>
      </c>
      <c r="H304" s="26" t="n">
        <f aca="false">datos_base!$K$16*parametros_recargas!I$69+sobrestock_sustitutos!$J$65/12</f>
        <v>121.369341210918</v>
      </c>
      <c r="I304" s="26" t="n">
        <f aca="false">datos_base!$K$16*parametros_recargas!J$69+sobrestock_sustitutos!$J$65/12</f>
        <v>116.65885738437</v>
      </c>
      <c r="J304" s="26" t="n">
        <f aca="false">datos_base!$K$16*parametros_recargas!K$69+sobrestock_sustitutos!$J$65/12</f>
        <v>100.930109114919</v>
      </c>
      <c r="K304" s="26" t="n">
        <f aca="false">datos_base!$K$16*parametros_recargas!L$69+sobrestock_sustitutos!$J$65/12</f>
        <v>101.774232033508</v>
      </c>
      <c r="L304" s="26" t="n">
        <f aca="false">datos_base!$K$16*parametros_recargas!M$69+sobrestock_sustitutos!$J$65/12</f>
        <v>106.484715860056</v>
      </c>
      <c r="M304" s="26" t="n">
        <f aca="false">datos_base!$K$16*parametros_recargas!N$69+sobrestock_sustitutos!$J$65/12</f>
        <v>106.484715860056</v>
      </c>
      <c r="N304" s="26" t="n">
        <f aca="false">datos_base!$K$16*parametros_recargas!O$69+sobrestock_sustitutos!$J$65/12</f>
        <v>105.905932538071</v>
      </c>
      <c r="O304" s="26" t="n">
        <f aca="false">datos_base!$K$16*parametros_recargas!P$69+sobrestock_sustitutos!$J$65/12</f>
        <v>110.616416364619</v>
      </c>
      <c r="P304" s="12" t="n">
        <f aca="false">SUM(D304:O304)</f>
        <v>1289.10748852936</v>
      </c>
    </row>
    <row r="305" customFormat="false" ht="15" hidden="false" customHeight="false" outlineLevel="0" collapsed="false">
      <c r="A305" s="6" t="str">
        <f aca="false">parametros_recargas!A70</f>
        <v>ABC 70 kg s/ruedas</v>
      </c>
      <c r="B305" s="6" t="str">
        <f aca="false">parametros_recargas!B70</f>
        <v>ABC</v>
      </c>
      <c r="C305" s="14" t="n">
        <f aca="false">parametros_recargas!C70</f>
        <v>6.360853875</v>
      </c>
      <c r="D305" s="26" t="n">
        <f aca="false">datos_base!$K$17*parametros_recargas!E$70+sobrestock_sustitutos!$J$66/12</f>
        <v>20.9034960494714</v>
      </c>
      <c r="E305" s="26" t="n">
        <f aca="false">datos_base!$K$17*parametros_recargas!F$70+sobrestock_sustitutos!$J$66/12</f>
        <v>20.9034960494714</v>
      </c>
      <c r="F305" s="26" t="n">
        <f aca="false">datos_base!$K$17*parametros_recargas!G$70+sobrestock_sustitutos!$J$66/12</f>
        <v>23.2495617775897</v>
      </c>
      <c r="G305" s="26" t="n">
        <f aca="false">datos_base!$K$17*parametros_recargas!H$70+sobrestock_sustitutos!$J$66/12</f>
        <v>26.3604234739139</v>
      </c>
      <c r="H305" s="26" t="n">
        <f aca="false">datos_base!$K$17*parametros_recargas!I$70+sobrestock_sustitutos!$J$66/12</f>
        <v>26.4866471262965</v>
      </c>
      <c r="I305" s="26" t="n">
        <f aca="false">datos_base!$K$17*parametros_recargas!J$70+sobrestock_sustitutos!$J$66/12</f>
        <v>25.4588932138754</v>
      </c>
      <c r="J305" s="26" t="n">
        <f aca="false">datos_base!$K$17*parametros_recargas!K$70+sobrestock_sustitutos!$J$66/12</f>
        <v>22.0272170668697</v>
      </c>
      <c r="K305" s="26" t="n">
        <f aca="false">datos_base!$K$17*parametros_recargas!L$70+sobrestock_sustitutos!$J$66/12</f>
        <v>22.2112972257185</v>
      </c>
      <c r="L305" s="26" t="n">
        <f aca="false">datos_base!$K$17*parametros_recargas!M$70+sobrestock_sustitutos!$J$66/12</f>
        <v>23.2390511381396</v>
      </c>
      <c r="M305" s="26" t="n">
        <f aca="false">datos_base!$K$17*parametros_recargas!N$70+sobrestock_sustitutos!$J$66/12</f>
        <v>23.2390511381396</v>
      </c>
      <c r="N305" s="26" t="n">
        <f aca="false">datos_base!$K$17*parametros_recargas!O$70+sobrestock_sustitutos!$J$66/12</f>
        <v>23.112827485757</v>
      </c>
      <c r="O305" s="26" t="n">
        <f aca="false">datos_base!$K$17*parametros_recargas!P$70+sobrestock_sustitutos!$J$66/12</f>
        <v>24.1405813981782</v>
      </c>
      <c r="P305" s="12" t="n">
        <f aca="false">SUM(D305:O305)</f>
        <v>281.332543143421</v>
      </c>
    </row>
    <row r="306" customFormat="false" ht="15" hidden="false" customHeight="false" outlineLevel="0" collapsed="false">
      <c r="A306" s="6" t="str">
        <f aca="false">parametros_recargas!A71</f>
        <v>ABC 100 kg s/ruedas</v>
      </c>
      <c r="B306" s="6" t="str">
        <f aca="false">parametros_recargas!B71</f>
        <v>ABC</v>
      </c>
      <c r="C306" s="14" t="n">
        <f aca="false">parametros_recargas!C71</f>
        <v>6.360853875</v>
      </c>
      <c r="D306" s="26" t="n">
        <f aca="false">datos_base!$K$18*parametros_recargas!E$71+sobrestock_sustitutos!$J$67/12</f>
        <v>13.9635644627088</v>
      </c>
      <c r="E306" s="26" t="n">
        <f aca="false">datos_base!$K$18*parametros_recargas!F$71+sobrestock_sustitutos!$J$67/12</f>
        <v>13.9635644627088</v>
      </c>
      <c r="F306" s="26" t="n">
        <f aca="false">datos_base!$K$18*parametros_recargas!G$71+sobrestock_sustitutos!$J$67/12</f>
        <v>15.5275573811531</v>
      </c>
      <c r="G306" s="26" t="n">
        <f aca="false">datos_base!$K$18*parametros_recargas!H$71+sobrestock_sustitutos!$J$67/12</f>
        <v>17.6013189257141</v>
      </c>
      <c r="H306" s="26" t="n">
        <f aca="false">datos_base!$K$18*parametros_recargas!I$71+sobrestock_sustitutos!$J$67/12</f>
        <v>17.6854680271343</v>
      </c>
      <c r="I306" s="26" t="n">
        <f aca="false">datos_base!$K$18*parametros_recargas!J$71+sobrestock_sustitutos!$J$67/12</f>
        <v>17.0002987535568</v>
      </c>
      <c r="J306" s="26" t="n">
        <f aca="false">datos_base!$K$18*parametros_recargas!K$71+sobrestock_sustitutos!$J$67/12</f>
        <v>14.7126132331352</v>
      </c>
      <c r="K306" s="26" t="n">
        <f aca="false">datos_base!$K$18*parametros_recargas!L$71+sobrestock_sustitutos!$J$67/12</f>
        <v>14.8352856629552</v>
      </c>
      <c r="L306" s="26" t="n">
        <f aca="false">datos_base!$K$18*parametros_recargas!M$71+sobrestock_sustitutos!$J$67/12</f>
        <v>15.5204549365327</v>
      </c>
      <c r="M306" s="26" t="n">
        <f aca="false">datos_base!$K$18*parametros_recargas!N$71+sobrestock_sustitutos!$J$67/12</f>
        <v>15.5204549365327</v>
      </c>
      <c r="N306" s="26" t="n">
        <f aca="false">datos_base!$K$18*parametros_recargas!O$71+sobrestock_sustitutos!$J$67/12</f>
        <v>15.4363058351125</v>
      </c>
      <c r="O306" s="26" t="n">
        <f aca="false">datos_base!$K$18*parametros_recargas!P$71+sobrestock_sustitutos!$J$67/12</f>
        <v>16.12147510869</v>
      </c>
      <c r="P306" s="12" t="n">
        <f aca="false">SUM(D306:O306)</f>
        <v>187.888361725934</v>
      </c>
    </row>
    <row r="307" customFormat="false" ht="15" hidden="false" customHeight="false" outlineLevel="0" collapsed="false">
      <c r="A307" s="4" t="s">
        <v>385</v>
      </c>
      <c r="D307" s="12" t="n">
        <f aca="false">SUM(D290:D306)</f>
        <v>19643.2698754726</v>
      </c>
      <c r="E307" s="12" t="n">
        <f aca="false">SUM(E290:E306)</f>
        <v>16894.8423028685</v>
      </c>
      <c r="F307" s="12" t="n">
        <f aca="false">SUM(F290:F306)</f>
        <v>15866.1969022471</v>
      </c>
      <c r="G307" s="12" t="n">
        <f aca="false">SUM(G290:G306)</f>
        <v>17477.3317614256</v>
      </c>
      <c r="H307" s="12" t="n">
        <f aca="false">SUM(H290:H306)</f>
        <v>17600.6827503385</v>
      </c>
      <c r="I307" s="12" t="n">
        <f aca="false">SUM(I290:I306)</f>
        <v>17442.8886938857</v>
      </c>
      <c r="J307" s="12" t="n">
        <f aca="false">SUM(J290:J306)</f>
        <v>15558.9389918095</v>
      </c>
      <c r="K307" s="12" t="n">
        <f aca="false">SUM(K290:K306)</f>
        <v>15688.663454363</v>
      </c>
      <c r="L307" s="12" t="n">
        <f aca="false">SUM(L290:L306)</f>
        <v>15823.7413482657</v>
      </c>
      <c r="M307" s="12" t="n">
        <f aca="false">SUM(M290:M306)</f>
        <v>15823.7413482657</v>
      </c>
      <c r="N307" s="12" t="n">
        <f aca="false">SUM(N290:N306)</f>
        <v>18448.817931957</v>
      </c>
      <c r="O307" s="12" t="n">
        <f aca="false">SUM(O290:O306)</f>
        <v>21355.0395610139</v>
      </c>
      <c r="P307" s="12" t="n">
        <f aca="false">SUM(P290:P306)</f>
        <v>207624.154921913</v>
      </c>
    </row>
    <row r="308" customFormat="false" ht="15" hidden="false" customHeight="false" outlineLevel="0" collapsed="false">
      <c r="A308" s="4" t="s">
        <v>386</v>
      </c>
    </row>
    <row r="309" customFormat="false" ht="15" hidden="false" customHeight="false" outlineLevel="0" collapsed="false">
      <c r="A309" s="5" t="s">
        <v>165</v>
      </c>
      <c r="D309" s="26" t="n">
        <f aca="false">SUMPRODUCT(($B$290:$B$306=$A309)*D$290:D$306*$C$290:$C$306)</f>
        <v>18747.2006901842</v>
      </c>
      <c r="E309" s="26" t="n">
        <f aca="false">SUMPRODUCT(($B$290:$B$306=$A309)*E$290:E$306*$C$290:$C$306)</f>
        <v>15998.7731175801</v>
      </c>
      <c r="F309" s="26" t="n">
        <f aca="false">SUMPRODUCT(($B$290:$B$306=$A309)*F$290:F$306*$C$290:$C$306)</f>
        <v>14675.5178630975</v>
      </c>
      <c r="G309" s="26" t="n">
        <f aca="false">SUMPRODUCT(($B$290:$B$306=$A309)*G$290:G$306*$C$290:$C$306)</f>
        <v>16030.9436610118</v>
      </c>
      <c r="H309" s="26" t="n">
        <f aca="false">SUMPRODUCT(($B$290:$B$306=$A309)*H$290:H$306*$C$290:$C$306)</f>
        <v>16139.5914427231</v>
      </c>
      <c r="I309" s="26" t="n">
        <f aca="false">SUMPRODUCT(($B$290:$B$306=$A309)*I$290:I$306*$C$290:$C$306)</f>
        <v>15993.5546246517</v>
      </c>
      <c r="J309" s="26" t="n">
        <f aca="false">SUMPRODUCT(($B$290:$B$306=$A309)*J$290:J$306*$C$290:$C$306)</f>
        <v>14402.9784567664</v>
      </c>
      <c r="K309" s="26" t="n">
        <f aca="false">SUMPRODUCT(($B$290:$B$306=$A309)*K$290:K$306*$C$290:$C$306)</f>
        <v>14530.99327017</v>
      </c>
      <c r="L309" s="26" t="n">
        <f aca="false">SUMPRODUCT(($B$290:$B$306=$A309)*L$290:L$306*$C$290:$C$306)</f>
        <v>14659.1736023737</v>
      </c>
      <c r="M309" s="26" t="n">
        <f aca="false">SUMPRODUCT(($B$290:$B$306=$A309)*M$290:M$306*$C$290:$C$306)</f>
        <v>14659.1736023737</v>
      </c>
      <c r="N309" s="26" t="n">
        <f aca="false">SUMPRODUCT(($B$290:$B$306=$A309)*N$290:N$306*$C$290:$C$306)</f>
        <v>17298.9533932666</v>
      </c>
      <c r="O309" s="26" t="n">
        <f aca="false">SUMPRODUCT(($B$290:$B$306=$A309)*O$290:O$306*$C$290:$C$306)</f>
        <v>20193.4177839421</v>
      </c>
      <c r="P309" s="26" t="n">
        <f aca="false">SUMPRODUCT(($B$290:$B$306=$A309)*P$290:P$306*$C$290:$C$306)</f>
        <v>193330.271508141</v>
      </c>
    </row>
    <row r="310" customFormat="false" ht="15" hidden="false" customHeight="false" outlineLevel="0" collapsed="false">
      <c r="A310" s="5" t="s">
        <v>166</v>
      </c>
      <c r="D310" s="26" t="n">
        <f aca="false">SUMPRODUCT(($B$290:$B$306=$A310)*D$290:D$306*$C$290:$C$306)</f>
        <v>22.6748967842617</v>
      </c>
      <c r="E310" s="26" t="n">
        <f aca="false">SUMPRODUCT(($B$290:$B$306=$A310)*E$290:E$306*$C$290:$C$306)</f>
        <v>22.6748967842617</v>
      </c>
      <c r="F310" s="26" t="n">
        <f aca="false">SUMPRODUCT(($B$290:$B$306=$A310)*F$290:F$306*$C$290:$C$306)</f>
        <v>22.6748967842617</v>
      </c>
      <c r="G310" s="26" t="n">
        <f aca="false">SUMPRODUCT(($B$290:$B$306=$A310)*G$290:G$306*$C$290:$C$306)</f>
        <v>22.6748967842617</v>
      </c>
      <c r="H310" s="26" t="n">
        <f aca="false">SUMPRODUCT(($B$290:$B$306=$A310)*H$290:H$306*$C$290:$C$306)</f>
        <v>22.6748967842617</v>
      </c>
      <c r="I310" s="26" t="n">
        <f aca="false">SUMPRODUCT(($B$290:$B$306=$A310)*I$290:I$306*$C$290:$C$306)</f>
        <v>22.6748967842617</v>
      </c>
      <c r="J310" s="26" t="n">
        <f aca="false">SUMPRODUCT(($B$290:$B$306=$A310)*J$290:J$306*$C$290:$C$306)</f>
        <v>22.6748967842617</v>
      </c>
      <c r="K310" s="26" t="n">
        <f aca="false">SUMPRODUCT(($B$290:$B$306=$A310)*K$290:K$306*$C$290:$C$306)</f>
        <v>22.6748967842617</v>
      </c>
      <c r="L310" s="26" t="n">
        <f aca="false">SUMPRODUCT(($B$290:$B$306=$A310)*L$290:L$306*$C$290:$C$306)</f>
        <v>22.6748967842617</v>
      </c>
      <c r="M310" s="26" t="n">
        <f aca="false">SUMPRODUCT(($B$290:$B$306=$A310)*M$290:M$306*$C$290:$C$306)</f>
        <v>22.6748967842617</v>
      </c>
      <c r="N310" s="26" t="n">
        <f aca="false">SUMPRODUCT(($B$290:$B$306=$A310)*N$290:N$306*$C$290:$C$306)</f>
        <v>22.6748967842617</v>
      </c>
      <c r="O310" s="26" t="n">
        <f aca="false">SUMPRODUCT(($B$290:$B$306=$A310)*O$290:O$306*$C$290:$C$306)</f>
        <v>22.6748967842617</v>
      </c>
      <c r="P310" s="26" t="n">
        <f aca="false">SUMPRODUCT(($B$290:$B$306=$A310)*P$290:P$306*$C$290:$C$306)</f>
        <v>272.09876141114</v>
      </c>
    </row>
    <row r="311" customFormat="false" ht="15" hidden="false" customHeight="false" outlineLevel="0" collapsed="false">
      <c r="A311" s="5" t="s">
        <v>167</v>
      </c>
      <c r="D311" s="26" t="n">
        <f aca="false">SUMPRODUCT(($B$290:$B$306=$A311)*D$290:D$306*$C$290:$C$306)</f>
        <v>20.4292866946434</v>
      </c>
      <c r="E311" s="26" t="n">
        <f aca="false">SUMPRODUCT(($B$290:$B$306=$A311)*E$290:E$306*$C$290:$C$306)</f>
        <v>20.4292866946434</v>
      </c>
      <c r="F311" s="26" t="n">
        <f aca="false">SUMPRODUCT(($B$290:$B$306=$A311)*F$290:F$306*$C$290:$C$306)</f>
        <v>20.4292866946434</v>
      </c>
      <c r="G311" s="26" t="n">
        <f aca="false">SUMPRODUCT(($B$290:$B$306=$A311)*G$290:G$306*$C$290:$C$306)</f>
        <v>20.4292866946434</v>
      </c>
      <c r="H311" s="26" t="n">
        <f aca="false">SUMPRODUCT(($B$290:$B$306=$A311)*H$290:H$306*$C$290:$C$306)</f>
        <v>20.4292866946434</v>
      </c>
      <c r="I311" s="26" t="n">
        <f aca="false">SUMPRODUCT(($B$290:$B$306=$A311)*I$290:I$306*$C$290:$C$306)</f>
        <v>20.4292866946434</v>
      </c>
      <c r="J311" s="26" t="n">
        <f aca="false">SUMPRODUCT(($B$290:$B$306=$A311)*J$290:J$306*$C$290:$C$306)</f>
        <v>20.4292866946434</v>
      </c>
      <c r="K311" s="26" t="n">
        <f aca="false">SUMPRODUCT(($B$290:$B$306=$A311)*K$290:K$306*$C$290:$C$306)</f>
        <v>20.4292866946434</v>
      </c>
      <c r="L311" s="26" t="n">
        <f aca="false">SUMPRODUCT(($B$290:$B$306=$A311)*L$290:L$306*$C$290:$C$306)</f>
        <v>20.4292866946434</v>
      </c>
      <c r="M311" s="26" t="n">
        <f aca="false">SUMPRODUCT(($B$290:$B$306=$A311)*M$290:M$306*$C$290:$C$306)</f>
        <v>20.4292866946434</v>
      </c>
      <c r="N311" s="26" t="n">
        <f aca="false">SUMPRODUCT(($B$290:$B$306=$A311)*N$290:N$306*$C$290:$C$306)</f>
        <v>20.4292866946434</v>
      </c>
      <c r="O311" s="26" t="n">
        <f aca="false">SUMPRODUCT(($B$290:$B$306=$A311)*O$290:O$306*$C$290:$C$306)</f>
        <v>20.4292866946434</v>
      </c>
      <c r="P311" s="26" t="n">
        <f aca="false">SUMPRODUCT(($B$290:$B$306=$A311)*P$290:P$306*$C$290:$C$306)</f>
        <v>245.151440335721</v>
      </c>
    </row>
    <row r="312" customFormat="false" ht="15" hidden="false" customHeight="false" outlineLevel="0" collapsed="false">
      <c r="A312" s="5" t="s">
        <v>168</v>
      </c>
      <c r="D312" s="26" t="n">
        <f aca="false">SUMPRODUCT(($B$290:$B$306=$A312)*D$290:D$306*$C$290:$C$306)</f>
        <v>319.99827395285</v>
      </c>
      <c r="E312" s="26" t="n">
        <f aca="false">SUMPRODUCT(($B$290:$B$306=$A312)*E$290:E$306*$C$290:$C$306)</f>
        <v>319.99827395285</v>
      </c>
      <c r="F312" s="26" t="n">
        <f aca="false">SUMPRODUCT(($B$290:$B$306=$A312)*F$290:F$306*$C$290:$C$306)</f>
        <v>393.617777884818</v>
      </c>
      <c r="G312" s="26" t="n">
        <f aca="false">SUMPRODUCT(($B$290:$B$306=$A312)*G$290:G$306*$C$290:$C$306)</f>
        <v>471.231806897737</v>
      </c>
      <c r="H312" s="26" t="n">
        <f aca="false">SUMPRODUCT(($B$290:$B$306=$A312)*H$290:H$306*$C$290:$C$306)</f>
        <v>474.142883282153</v>
      </c>
      <c r="I312" s="26" t="n">
        <f aca="false">SUMPRODUCT(($B$290:$B$306=$A312)*I$290:I$306*$C$290:$C$306)</f>
        <v>460.43901946086</v>
      </c>
      <c r="J312" s="26" t="n">
        <f aca="false">SUMPRODUCT(($B$290:$B$306=$A312)*J$290:J$306*$C$290:$C$306)</f>
        <v>375.323037542707</v>
      </c>
      <c r="K312" s="26" t="n">
        <f aca="false">SUMPRODUCT(($B$290:$B$306=$A312)*K$290:K$306*$C$290:$C$306)</f>
        <v>376.026728092015</v>
      </c>
      <c r="L312" s="26" t="n">
        <f aca="false">SUMPRODUCT(($B$290:$B$306=$A312)*L$290:L$306*$C$290:$C$306)</f>
        <v>388.870926392528</v>
      </c>
      <c r="M312" s="26" t="n">
        <f aca="false">SUMPRODUCT(($B$290:$B$306=$A312)*M$290:M$306*$C$290:$C$306)</f>
        <v>388.870926392528</v>
      </c>
      <c r="N312" s="26" t="n">
        <f aca="false">SUMPRODUCT(($B$290:$B$306=$A312)*N$290:N$306*$C$290:$C$306)</f>
        <v>385.959850008112</v>
      </c>
      <c r="O312" s="26" t="n">
        <f aca="false">SUMPRODUCT(($B$290:$B$306=$A312)*O$290:O$306*$C$290:$C$306)</f>
        <v>399.663713829405</v>
      </c>
      <c r="P312" s="26" t="n">
        <f aca="false">SUMPRODUCT(($B$290:$B$306=$A312)*P$290:P$306*$C$290:$C$306)</f>
        <v>4754.14321768856</v>
      </c>
    </row>
    <row r="313" customFormat="false" ht="15" hidden="false" customHeight="false" outlineLevel="0" collapsed="false">
      <c r="A313" s="5" t="s">
        <v>169</v>
      </c>
      <c r="D313" s="26" t="n">
        <f aca="false">SUMPRODUCT(($B$290:$B$306=$A313)*D$290:D$306*$C$290:$C$306)</f>
        <v>324.071003063707</v>
      </c>
      <c r="E313" s="26" t="n">
        <f aca="false">SUMPRODUCT(($B$290:$B$306=$A313)*E$290:E$306*$C$290:$C$306)</f>
        <v>324.071003063707</v>
      </c>
      <c r="F313" s="26" t="n">
        <f aca="false">SUMPRODUCT(($B$290:$B$306=$A313)*F$290:F$306*$C$290:$C$306)</f>
        <v>324.071003063707</v>
      </c>
      <c r="G313" s="26" t="n">
        <f aca="false">SUMPRODUCT(($B$290:$B$306=$A313)*G$290:G$306*$C$290:$C$306)</f>
        <v>324.071003063707</v>
      </c>
      <c r="H313" s="26" t="n">
        <f aca="false">SUMPRODUCT(($B$290:$B$306=$A313)*H$290:H$306*$C$290:$C$306)</f>
        <v>324.071003063707</v>
      </c>
      <c r="I313" s="26" t="n">
        <f aca="false">SUMPRODUCT(($B$290:$B$306=$A313)*I$290:I$306*$C$290:$C$306)</f>
        <v>324.071003063707</v>
      </c>
      <c r="J313" s="26" t="n">
        <f aca="false">SUMPRODUCT(($B$290:$B$306=$A313)*J$290:J$306*$C$290:$C$306)</f>
        <v>324.071003063707</v>
      </c>
      <c r="K313" s="26" t="n">
        <f aca="false">SUMPRODUCT(($B$290:$B$306=$A313)*K$290:K$306*$C$290:$C$306)</f>
        <v>324.071003063707</v>
      </c>
      <c r="L313" s="26" t="n">
        <f aca="false">SUMPRODUCT(($B$290:$B$306=$A313)*L$290:L$306*$C$290:$C$306)</f>
        <v>324.071003063707</v>
      </c>
      <c r="M313" s="26" t="n">
        <f aca="false">SUMPRODUCT(($B$290:$B$306=$A313)*M$290:M$306*$C$290:$C$306)</f>
        <v>324.071003063707</v>
      </c>
      <c r="N313" s="26" t="n">
        <f aca="false">SUMPRODUCT(($B$290:$B$306=$A313)*N$290:N$306*$C$290:$C$306)</f>
        <v>324.071003063707</v>
      </c>
      <c r="O313" s="26" t="n">
        <f aca="false">SUMPRODUCT(($B$290:$B$306=$A313)*O$290:O$306*$C$290:$C$306)</f>
        <v>324.071003063707</v>
      </c>
      <c r="P313" s="26" t="n">
        <f aca="false">SUMPRODUCT(($B$290:$B$306=$A313)*P$290:P$306*$C$290:$C$306)</f>
        <v>3888.85203676449</v>
      </c>
    </row>
    <row r="314" customFormat="false" ht="15" hidden="false" customHeight="false" outlineLevel="0" collapsed="false">
      <c r="A314" s="5" t="s">
        <v>170</v>
      </c>
      <c r="D314" s="26" t="n">
        <f aca="false">SUMPRODUCT(($B$290:$B$306=$A314)*D$290:D$306*$C$290:$C$306)</f>
        <v>163.446172418027</v>
      </c>
      <c r="E314" s="26" t="n">
        <f aca="false">SUMPRODUCT(($B$290:$B$306=$A314)*E$290:E$306*$C$290:$C$306)</f>
        <v>163.446172418027</v>
      </c>
      <c r="F314" s="26" t="n">
        <f aca="false">SUMPRODUCT(($B$290:$B$306=$A314)*F$290:F$306*$C$290:$C$306)</f>
        <v>196.468661416358</v>
      </c>
      <c r="G314" s="26" t="n">
        <f aca="false">SUMPRODUCT(($B$290:$B$306=$A314)*G$290:G$306*$C$290:$C$306)</f>
        <v>221.910767133509</v>
      </c>
      <c r="H314" s="26" t="n">
        <f aca="false">SUMPRODUCT(($B$290:$B$306=$A314)*H$290:H$306*$C$290:$C$306)</f>
        <v>227.421159217386</v>
      </c>
      <c r="I314" s="26" t="n">
        <f aca="false">SUMPRODUCT(($B$290:$B$306=$A314)*I$290:I$306*$C$290:$C$306)</f>
        <v>222.812116622745</v>
      </c>
      <c r="J314" s="26" t="n">
        <f aca="false">SUMPRODUCT(($B$290:$B$306=$A314)*J$290:J$306*$C$290:$C$306)</f>
        <v>183.009709841869</v>
      </c>
      <c r="K314" s="26" t="n">
        <f aca="false">SUMPRODUCT(($B$290:$B$306=$A314)*K$290:K$306*$C$290:$C$306)</f>
        <v>190.69097711365</v>
      </c>
      <c r="L314" s="26" t="n">
        <f aca="false">SUMPRODUCT(($B$290:$B$306=$A314)*L$290:L$306*$C$290:$C$306)</f>
        <v>195.300019708291</v>
      </c>
      <c r="M314" s="26" t="n">
        <f aca="false">SUMPRODUCT(($B$290:$B$306=$A314)*M$290:M$306*$C$290:$C$306)</f>
        <v>195.300019708291</v>
      </c>
      <c r="N314" s="26" t="n">
        <f aca="false">SUMPRODUCT(($B$290:$B$306=$A314)*N$290:N$306*$C$290:$C$306)</f>
        <v>189.789627624414</v>
      </c>
      <c r="O314" s="26" t="n">
        <f aca="false">SUMPRODUCT(($B$290:$B$306=$A314)*O$290:O$306*$C$290:$C$306)</f>
        <v>194.398670219055</v>
      </c>
      <c r="P314" s="26" t="n">
        <f aca="false">SUMPRODUCT(($B$290:$B$306=$A314)*P$290:P$306*$C$290:$C$306)</f>
        <v>2343.99407344162</v>
      </c>
    </row>
    <row r="315" customFormat="false" ht="15" hidden="false" customHeight="false" outlineLevel="0" collapsed="false">
      <c r="A315" s="5" t="s">
        <v>171</v>
      </c>
      <c r="D315" s="26" t="n">
        <f aca="false">SUMPRODUCT(($B$290:$B$306=$A315)*D$290:D$306*$C$290:$C$306)</f>
        <v>1125.33141177429</v>
      </c>
      <c r="E315" s="26" t="n">
        <f aca="false">SUMPRODUCT(($B$290:$B$306=$A315)*E$290:E$306*$C$290:$C$306)</f>
        <v>1125.33141177429</v>
      </c>
      <c r="F315" s="26" t="n">
        <f aca="false">SUMPRODUCT(($B$290:$B$306=$A315)*F$290:F$306*$C$290:$C$306)</f>
        <v>1422.17104192621</v>
      </c>
      <c r="G315" s="26" t="n">
        <f aca="false">SUMPRODUCT(($B$290:$B$306=$A315)*G$290:G$306*$C$290:$C$306)</f>
        <v>1713.79443348097</v>
      </c>
      <c r="H315" s="26" t="n">
        <f aca="false">SUMPRODUCT(($B$290:$B$306=$A315)*H$290:H$306*$C$290:$C$306)</f>
        <v>1725.71743743404</v>
      </c>
      <c r="I315" s="26" t="n">
        <f aca="false">SUMPRODUCT(($B$290:$B$306=$A315)*I$290:I$306*$C$290:$C$306)</f>
        <v>1690.42293232161</v>
      </c>
      <c r="J315" s="26" t="n">
        <f aca="false">SUMPRODUCT(($B$290:$B$306=$A315)*J$290:J$306*$C$290:$C$306)</f>
        <v>1368.65968530572</v>
      </c>
      <c r="K315" s="26" t="n">
        <f aca="false">SUMPRODUCT(($B$290:$B$306=$A315)*K$290:K$306*$C$290:$C$306)</f>
        <v>1370.21180101033</v>
      </c>
      <c r="L315" s="26" t="n">
        <f aca="false">SUMPRODUCT(($B$290:$B$306=$A315)*L$290:L$306*$C$290:$C$306)</f>
        <v>1401.50629496113</v>
      </c>
      <c r="M315" s="26" t="n">
        <f aca="false">SUMPRODUCT(($B$290:$B$306=$A315)*M$290:M$306*$C$290:$C$306)</f>
        <v>1401.50629496113</v>
      </c>
      <c r="N315" s="26" t="n">
        <f aca="false">SUMPRODUCT(($B$290:$B$306=$A315)*N$290:N$306*$C$290:$C$306)</f>
        <v>1389.58329100805</v>
      </c>
      <c r="O315" s="26" t="n">
        <f aca="false">SUMPRODUCT(($B$290:$B$306=$A315)*O$290:O$306*$C$290:$C$306)</f>
        <v>1424.87779612049</v>
      </c>
      <c r="P315" s="26" t="n">
        <f aca="false">SUMPRODUCT(($B$290:$B$306=$A315)*P$290:P$306*$C$290:$C$306)</f>
        <v>17159.1138320783</v>
      </c>
    </row>
    <row r="316" customFormat="false" ht="15" hidden="false" customHeight="false" outlineLevel="0" collapsed="false">
      <c r="A316" s="5" t="s">
        <v>172</v>
      </c>
      <c r="D316" s="26" t="n">
        <f aca="false">SUMPRODUCT(($B$290:$B$306=$A316)*D$290:D$306*$C$290:$C$306)</f>
        <v>63.6730729658336</v>
      </c>
      <c r="E316" s="26" t="n">
        <f aca="false">SUMPRODUCT(($B$290:$B$306=$A316)*E$290:E$306*$C$290:$C$306)</f>
        <v>63.6730729658336</v>
      </c>
      <c r="F316" s="26" t="n">
        <f aca="false">SUMPRODUCT(($B$290:$B$306=$A316)*F$290:F$306*$C$290:$C$306)</f>
        <v>59.6097038428049</v>
      </c>
      <c r="G316" s="26" t="n">
        <f aca="false">SUMPRODUCT(($B$290:$B$306=$A316)*G$290:G$306*$C$290:$C$306)</f>
        <v>59.6097038428049</v>
      </c>
      <c r="H316" s="26" t="n">
        <f aca="false">SUMPRODUCT(($B$290:$B$306=$A316)*H$290:H$306*$C$290:$C$306)</f>
        <v>59.6097038428049</v>
      </c>
      <c r="I316" s="26" t="n">
        <f aca="false">SUMPRODUCT(($B$290:$B$306=$A316)*I$290:I$306*$C$290:$C$306)</f>
        <v>55.5463347197763</v>
      </c>
      <c r="J316" s="26" t="n">
        <f aca="false">SUMPRODUCT(($B$290:$B$306=$A316)*J$290:J$306*$C$290:$C$306)</f>
        <v>55.5463347197763</v>
      </c>
      <c r="K316" s="26" t="n">
        <f aca="false">SUMPRODUCT(($B$290:$B$306=$A316)*K$290:K$306*$C$290:$C$306)</f>
        <v>55.5463347197763</v>
      </c>
      <c r="L316" s="26" t="n">
        <f aca="false">SUMPRODUCT(($B$290:$B$306=$A316)*L$290:L$306*$C$290:$C$306)</f>
        <v>59.6097038428049</v>
      </c>
      <c r="M316" s="26" t="n">
        <f aca="false">SUMPRODUCT(($B$290:$B$306=$A316)*M$290:M$306*$C$290:$C$306)</f>
        <v>59.6097038428049</v>
      </c>
      <c r="N316" s="26" t="n">
        <f aca="false">SUMPRODUCT(($B$290:$B$306=$A316)*N$290:N$306*$C$290:$C$306)</f>
        <v>59.6097038428049</v>
      </c>
      <c r="O316" s="26" t="n">
        <f aca="false">SUMPRODUCT(($B$290:$B$306=$A316)*O$290:O$306*$C$290:$C$306)</f>
        <v>63.6730729658336</v>
      </c>
      <c r="P316" s="26" t="n">
        <f aca="false">SUMPRODUCT(($B$290:$B$306=$A316)*P$290:P$306*$C$290:$C$306)</f>
        <v>715.316446113659</v>
      </c>
    </row>
    <row r="317" customFormat="false" ht="15" hidden="false" customHeight="false" outlineLevel="0" collapsed="false">
      <c r="A317" s="4" t="s">
        <v>387</v>
      </c>
      <c r="D317" s="27" t="n">
        <f aca="false">SUMPRODUCT(D$290:D$306*parametros_recargas!$D$55:$D$71)</f>
        <v>546.46596925343</v>
      </c>
      <c r="E317" s="27" t="n">
        <f aca="false">SUMPRODUCT(E$290:E$306*parametros_recargas!$D$55:$D$71)</f>
        <v>546.46596925343</v>
      </c>
      <c r="F317" s="27" t="n">
        <f aca="false">SUMPRODUCT(F$290:F$306*parametros_recargas!$D$55:$D$71)</f>
        <v>593.951268603636</v>
      </c>
      <c r="G317" s="27" t="n">
        <f aca="false">SUMPRODUCT(G$290:G$306*parametros_recargas!$D$55:$D$71)</f>
        <v>658.57788832758</v>
      </c>
      <c r="H317" s="27" t="n">
        <f aca="false">SUMPRODUCT(H$290:H$306*parametros_recargas!$D$55:$D$71)</f>
        <v>666.280748738882</v>
      </c>
      <c r="I317" s="27" t="n">
        <f aca="false">SUMPRODUCT(I$290:I$306*parametros_recargas!$D$55:$D$71)</f>
        <v>639.011753724408</v>
      </c>
      <c r="J317" s="27" t="n">
        <f aca="false">SUMPRODUCT(J$290:J$306*parametros_recargas!$D$55:$D$71)</f>
        <v>565.767028386414</v>
      </c>
      <c r="K317" s="27" t="n">
        <f aca="false">SUMPRODUCT(K$290:K$306*parametros_recargas!$D$55:$D$71)</f>
        <v>571.96031977103</v>
      </c>
      <c r="L317" s="27" t="n">
        <f aca="false">SUMPRODUCT(L$290:L$306*parametros_recargas!$D$55:$D$71)</f>
        <v>595.229303623868</v>
      </c>
      <c r="M317" s="27" t="n">
        <f aca="false">SUMPRODUCT(M$290:M$306*parametros_recargas!$D$55:$D$71)</f>
        <v>595.229303623868</v>
      </c>
      <c r="N317" s="27" t="n">
        <f aca="false">SUMPRODUCT(N$290:N$306*parametros_recargas!$D$55:$D$71)</f>
        <v>587.526443212566</v>
      </c>
      <c r="O317" s="27" t="n">
        <f aca="false">SUMPRODUCT(O$290:O$306*parametros_recargas!$D$55:$D$71)</f>
        <v>614.79543822704</v>
      </c>
      <c r="P317" s="27" t="n">
        <f aca="false">SUMPRODUCT(P$290:P$306*parametros_recargas!$D$55:$D$71)</f>
        <v>7181.26143474615</v>
      </c>
    </row>
    <row r="318" customFormat="false" ht="15" hidden="false" customHeight="false" outlineLevel="0" collapsed="false">
      <c r="A318" s="4" t="s">
        <v>388</v>
      </c>
      <c r="D318" s="27" t="n">
        <f aca="false">SUMPRODUCT(sobrestock_sustitutos!$K$73:$K$73,--(sobrestock_sustitutos!$F$30:$F$30="Fábrica: cilindro vacío"),parametros_recargas!$C$55:$C$55)*parametros_recargas!E$109+SUMPRODUCT(sobrestock_sustitutos!$K$74:$K$76,--(sobrestock_sustitutos!$F$31:$F$33="Fábrica: cilindro vacío"),parametros_recargas!$C$56:$C$58)*parametros_recargas!E$110+SUMPRODUCT(sobrestock_sustitutos!$K$86:$K$89,--(sobrestock_sustitutos!$F$43:$F$46="Fábrica: cilindro vacío"),parametros_recargas!$C$68:$C$71)*parametros_recargas!E$111</f>
        <v>18.105393347675</v>
      </c>
      <c r="E318" s="27" t="n">
        <f aca="false">SUMPRODUCT(sobrestock_sustitutos!$K$73:$K$73,--(sobrestock_sustitutos!$F$30:$F$30="Fábrica: cilindro vacío"),parametros_recargas!$C$55:$C$55)*parametros_recargas!F$109+SUMPRODUCT(sobrestock_sustitutos!$K$74:$K$76,--(sobrestock_sustitutos!$F$31:$F$33="Fábrica: cilindro vacío"),parametros_recargas!$C$56:$C$58)*parametros_recargas!F$110+SUMPRODUCT(sobrestock_sustitutos!$K$86:$K$89,--(sobrestock_sustitutos!$F$43:$F$46="Fábrica: cilindro vacío"),parametros_recargas!$C$68:$C$71)*parametros_recargas!F$111</f>
        <v>14.735441189125</v>
      </c>
      <c r="F318" s="27" t="n">
        <f aca="false">SUMPRODUCT(sobrestock_sustitutos!$K$73:$K$73,--(sobrestock_sustitutos!$F$30:$F$30="Fábrica: cilindro vacío"),parametros_recargas!$C$55:$C$55)*parametros_recargas!G$109+SUMPRODUCT(sobrestock_sustitutos!$K$74:$K$76,--(sobrestock_sustitutos!$F$31:$F$33="Fábrica: cilindro vacío"),parametros_recargas!$C$56:$C$58)*parametros_recargas!G$110+SUMPRODUCT(sobrestock_sustitutos!$K$86:$K$89,--(sobrestock_sustitutos!$F$43:$F$46="Fábrica: cilindro vacío"),parametros_recargas!$C$68:$C$71)*parametros_recargas!G$111</f>
        <v>16.02636942695</v>
      </c>
      <c r="G318" s="27" t="n">
        <f aca="false">SUMPRODUCT(sobrestock_sustitutos!$K$73:$K$73,--(sobrestock_sustitutos!$F$30:$F$30="Fábrica: cilindro vacío"),parametros_recargas!$C$55:$C$55)*parametros_recargas!H$109+SUMPRODUCT(sobrestock_sustitutos!$K$74:$K$76,--(sobrestock_sustitutos!$F$31:$F$33="Fábrica: cilindro vacío"),parametros_recargas!$C$56:$C$58)*parametros_recargas!H$110+SUMPRODUCT(sobrestock_sustitutos!$K$86:$K$89,--(sobrestock_sustitutos!$F$43:$F$46="Fábrica: cilindro vacío"),parametros_recargas!$C$68:$C$71)*parametros_recargas!H$111</f>
        <v>16.02636942695</v>
      </c>
      <c r="H318" s="27" t="n">
        <f aca="false">SUMPRODUCT(sobrestock_sustitutos!$K$73:$K$73,--(sobrestock_sustitutos!$F$30:$F$30="Fábrica: cilindro vacío"),parametros_recargas!$C$55:$C$55)*parametros_recargas!I$109+SUMPRODUCT(sobrestock_sustitutos!$K$74:$K$76,--(sobrestock_sustitutos!$F$31:$F$33="Fábrica: cilindro vacío"),parametros_recargas!$C$56:$C$58)*parametros_recargas!I$110+SUMPRODUCT(sobrestock_sustitutos!$K$86:$K$89,--(sobrestock_sustitutos!$F$43:$F$46="Fábrica: cilindro vacío"),parametros_recargas!$C$68:$C$71)*parametros_recargas!I$111</f>
        <v>15.27356942695</v>
      </c>
      <c r="I318" s="27" t="n">
        <f aca="false">SUMPRODUCT(sobrestock_sustitutos!$K$73:$K$73,--(sobrestock_sustitutos!$F$30:$F$30="Fábrica: cilindro vacío"),parametros_recargas!$C$55:$C$55)*parametros_recargas!J$109+SUMPRODUCT(sobrestock_sustitutos!$K$74:$K$76,--(sobrestock_sustitutos!$F$31:$F$33="Fábrica: cilindro vacío"),parametros_recargas!$C$56:$C$58)*parametros_recargas!J$110+SUMPRODUCT(sobrestock_sustitutos!$K$86:$K$89,--(sobrestock_sustitutos!$F$43:$F$46="Fábrica: cilindro vacío"),parametros_recargas!$C$68:$C$71)*parametros_recargas!J$111</f>
        <v>14.1620172684</v>
      </c>
      <c r="J318" s="27" t="n">
        <f aca="false">SUMPRODUCT(sobrestock_sustitutos!$K$73:$K$73,--(sobrestock_sustitutos!$F$30:$F$30="Fábrica: cilindro vacío"),parametros_recargas!$C$55:$C$55)*parametros_recargas!K$109+SUMPRODUCT(sobrestock_sustitutos!$K$74:$K$76,--(sobrestock_sustitutos!$F$31:$F$33="Fábrica: cilindro vacío"),parametros_recargas!$C$56:$C$58)*parametros_recargas!K$110+SUMPRODUCT(sobrestock_sustitutos!$K$86:$K$89,--(sobrestock_sustitutos!$F$43:$F$46="Fábrica: cilindro vacío"),parametros_recargas!$C$68:$C$71)*parametros_recargas!K$111</f>
        <v>15.27356942695</v>
      </c>
      <c r="K318" s="27" t="n">
        <f aca="false">SUMPRODUCT(sobrestock_sustitutos!$K$73:$K$73,--(sobrestock_sustitutos!$F$30:$F$30="Fábrica: cilindro vacío"),parametros_recargas!$C$55:$C$55)*parametros_recargas!L$109+SUMPRODUCT(sobrestock_sustitutos!$K$74:$K$76,--(sobrestock_sustitutos!$F$31:$F$33="Fábrica: cilindro vacío"),parametros_recargas!$C$56:$C$58)*parametros_recargas!L$110+SUMPRODUCT(sobrestock_sustitutos!$K$86:$K$89,--(sobrestock_sustitutos!$F$43:$F$46="Fábrica: cilindro vacío"),parametros_recargas!$C$68:$C$71)*parametros_recargas!L$111</f>
        <v>15.27356942695</v>
      </c>
      <c r="L318" s="27" t="n">
        <f aca="false">SUMPRODUCT(sobrestock_sustitutos!$K$73:$K$73,--(sobrestock_sustitutos!$F$30:$F$30="Fábrica: cilindro vacío"),parametros_recargas!$C$55:$C$55)*parametros_recargas!M$109+SUMPRODUCT(sobrestock_sustitutos!$K$74:$K$76,--(sobrestock_sustitutos!$F$31:$F$33="Fábrica: cilindro vacío"),parametros_recargas!$C$56:$C$58)*parametros_recargas!M$110+SUMPRODUCT(sobrestock_sustitutos!$K$86:$K$89,--(sobrestock_sustitutos!$F$43:$F$46="Fábrica: cilindro vacío"),parametros_recargas!$C$68:$C$71)*parametros_recargas!M$111</f>
        <v>15.094193347675</v>
      </c>
      <c r="M318" s="27" t="n">
        <f aca="false">SUMPRODUCT(sobrestock_sustitutos!$K$73:$K$73,--(sobrestock_sustitutos!$F$30:$F$30="Fábrica: cilindro vacío"),parametros_recargas!$C$55:$C$55)*parametros_recargas!N$109+SUMPRODUCT(sobrestock_sustitutos!$K$74:$K$76,--(sobrestock_sustitutos!$F$31:$F$33="Fábrica: cilindro vacío"),parametros_recargas!$C$56:$C$58)*parametros_recargas!N$110+SUMPRODUCT(sobrestock_sustitutos!$K$86:$K$89,--(sobrestock_sustitutos!$F$43:$F$46="Fábrica: cilindro vacío"),parametros_recargas!$C$68:$C$71)*parametros_recargas!N$111</f>
        <v>13.982641189125</v>
      </c>
      <c r="N318" s="27" t="n">
        <f aca="false">SUMPRODUCT(sobrestock_sustitutos!$K$73:$K$73,--(sobrestock_sustitutos!$F$30:$F$30="Fábrica: cilindro vacío"),parametros_recargas!$C$55:$C$55)*parametros_recargas!O$109+SUMPRODUCT(sobrestock_sustitutos!$K$74:$K$76,--(sobrestock_sustitutos!$F$31:$F$33="Fábrica: cilindro vacío"),parametros_recargas!$C$56:$C$58)*parametros_recargas!O$110+SUMPRODUCT(sobrestock_sustitutos!$K$86:$K$89,--(sobrestock_sustitutos!$F$43:$F$46="Fábrica: cilindro vacío"),parametros_recargas!$C$68:$C$71)*parametros_recargas!O$111</f>
        <v>13.05046510985</v>
      </c>
      <c r="O318" s="27" t="n">
        <f aca="false">SUMPRODUCT(sobrestock_sustitutos!$K$73:$K$73,--(sobrestock_sustitutos!$F$30:$F$30="Fábrica: cilindro vacío"),parametros_recargas!$C$55:$C$55)*parametros_recargas!P$109+SUMPRODUCT(sobrestock_sustitutos!$K$74:$K$76,--(sobrestock_sustitutos!$F$31:$F$33="Fábrica: cilindro vacío"),parametros_recargas!$C$56:$C$58)*parametros_recargas!P$110+SUMPRODUCT(sobrestock_sustitutos!$K$86:$K$89,--(sobrestock_sustitutos!$F$43:$F$46="Fábrica: cilindro vacío"),parametros_recargas!$C$68:$C$71)*parametros_recargas!P$111</f>
        <v>19.4316172684</v>
      </c>
      <c r="P318" s="12" t="n">
        <f aca="false">SUM(D318:O318)</f>
        <v>186.435215855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13" min="2" style="0" width="9"/>
    <col collapsed="false" customWidth="true" hidden="false" outlineLevel="0" max="14" min="14" style="0" width="11"/>
    <col collapsed="false" customWidth="true" hidden="false" outlineLevel="0" max="15" min="15" style="0" width="13"/>
    <col collapsed="false" customWidth="true" hidden="false" outlineLevel="0" max="16" min="16" style="0" width="12"/>
  </cols>
  <sheetData>
    <row r="1" customFormat="false" ht="23.85" hidden="false" customHeight="false" outlineLevel="0" collapsed="false">
      <c r="A1" s="3" t="s">
        <v>389</v>
      </c>
      <c r="B1" s="3" t="s">
        <v>64</v>
      </c>
      <c r="C1" s="3" t="s">
        <v>65</v>
      </c>
      <c r="D1" s="3" t="s">
        <v>66</v>
      </c>
      <c r="E1" s="3" t="s">
        <v>67</v>
      </c>
      <c r="F1" s="3" t="s">
        <v>68</v>
      </c>
      <c r="G1" s="3" t="s">
        <v>69</v>
      </c>
      <c r="H1" s="3" t="s">
        <v>70</v>
      </c>
      <c r="I1" s="3" t="s">
        <v>71</v>
      </c>
      <c r="J1" s="3" t="s">
        <v>72</v>
      </c>
      <c r="K1" s="3" t="s">
        <v>73</v>
      </c>
      <c r="L1" s="3" t="s">
        <v>74</v>
      </c>
      <c r="M1" s="3" t="s">
        <v>75</v>
      </c>
      <c r="N1" s="3" t="s">
        <v>390</v>
      </c>
      <c r="O1" s="3" t="s">
        <v>391</v>
      </c>
      <c r="P1" s="3" t="s">
        <v>392</v>
      </c>
    </row>
    <row r="2" customFormat="false" ht="15" hidden="false" customHeight="false" outlineLevel="0" collapsed="false">
      <c r="A2" s="6" t="str">
        <f aca="false">parametros_recargas!$B$76</f>
        <v>Recepción y registro</v>
      </c>
      <c r="B2" s="26" t="n">
        <f aca="false">parametros_recargas!$E$76*'Plan mensual'!D21+parametros_recargas!$F$76*'Plan mensual'!D22+parametros_recargas!$G$76*'Plan mensual'!D23+parametros_recargas!$H$76*'Plan mensual'!D24+parametros_recargas!$I$76*'Plan mensual'!D25+parametros_recargas!$J$76*'Plan mensual'!D26+parametros_recargas!$K$76*'Plan mensual'!D27+parametros_recargas!$L$76*'Plan mensual'!D28+parametros_recargas!$M$76*'Plan mensual'!D30</f>
        <v>377.097143973717</v>
      </c>
      <c r="C2" s="26" t="n">
        <f aca="false">parametros_recargas!$E$76*'Plan mensual'!E21+parametros_recargas!$F$76*'Plan mensual'!E22+parametros_recargas!$G$76*'Plan mensual'!E23+parametros_recargas!$H$76*'Plan mensual'!E24+parametros_recargas!$I$76*'Plan mensual'!E25+parametros_recargas!$J$76*'Plan mensual'!E26+parametros_recargas!$K$76*'Plan mensual'!E27+parametros_recargas!$L$76*'Plan mensual'!E28+parametros_recargas!$M$76*'Plan mensual'!E30</f>
        <v>327.563580693009</v>
      </c>
      <c r="D2" s="26" t="n">
        <f aca="false">parametros_recargas!$E$76*'Plan mensual'!F21+parametros_recargas!$F$76*'Plan mensual'!F22+parametros_recargas!$G$76*'Plan mensual'!F23+parametros_recargas!$H$76*'Plan mensual'!F24+parametros_recargas!$I$76*'Plan mensual'!F25+parametros_recargas!$J$76*'Plan mensual'!F26+parametros_recargas!$K$76*'Plan mensual'!F27+parametros_recargas!$L$76*'Plan mensual'!F28+parametros_recargas!$M$76*'Plan mensual'!F30</f>
        <v>314.313050383461</v>
      </c>
      <c r="E2" s="26" t="n">
        <f aca="false">parametros_recargas!$E$76*'Plan mensual'!G21+parametros_recargas!$F$76*'Plan mensual'!G22+parametros_recargas!$G$76*'Plan mensual'!G23+parametros_recargas!$H$76*'Plan mensual'!G24+parametros_recargas!$I$76*'Plan mensual'!G25+parametros_recargas!$J$76*'Plan mensual'!G26+parametros_recargas!$K$76*'Plan mensual'!G27+parametros_recargas!$L$76*'Plan mensual'!G28+parametros_recargas!$M$76*'Plan mensual'!G30</f>
        <v>347.771723105976</v>
      </c>
      <c r="F2" s="26" t="n">
        <f aca="false">parametros_recargas!$E$76*'Plan mensual'!H21+parametros_recargas!$F$76*'Plan mensual'!H22+parametros_recargas!$G$76*'Plan mensual'!H23+parametros_recargas!$H$76*'Plan mensual'!H24+parametros_recargas!$I$76*'Plan mensual'!H25+parametros_recargas!$J$76*'Plan mensual'!H26+parametros_recargas!$K$76*'Plan mensual'!H27+parametros_recargas!$L$76*'Plan mensual'!H28+parametros_recargas!$M$76*'Plan mensual'!H30</f>
        <v>350.150970356803</v>
      </c>
      <c r="G2" s="26" t="n">
        <f aca="false">parametros_recargas!$E$76*'Plan mensual'!I21+parametros_recargas!$F$76*'Plan mensual'!I22+parametros_recargas!$G$76*'Plan mensual'!I23+parametros_recargas!$H$76*'Plan mensual'!I24+parametros_recargas!$I$76*'Plan mensual'!I25+parametros_recargas!$J$76*'Plan mensual'!I26+parametros_recargas!$K$76*'Plan mensual'!I27+parametros_recargas!$L$76*'Plan mensual'!I28+parametros_recargas!$M$76*'Plan mensual'!I30</f>
        <v>346.049901582963</v>
      </c>
      <c r="H2" s="26" t="n">
        <f aca="false">parametros_recargas!$E$76*'Plan mensual'!J21+parametros_recargas!$F$76*'Plan mensual'!J22+parametros_recargas!$G$76*'Plan mensual'!J23+parametros_recargas!$H$76*'Plan mensual'!J24+parametros_recargas!$I$76*'Plan mensual'!J25+parametros_recargas!$J$76*'Plan mensual'!J26+parametros_recargas!$K$76*'Plan mensual'!J27+parametros_recargas!$L$76*'Plan mensual'!J28+parametros_recargas!$M$76*'Plan mensual'!J30</f>
        <v>307.392578339559</v>
      </c>
      <c r="I2" s="26" t="n">
        <f aca="false">parametros_recargas!$E$76*'Plan mensual'!K21+parametros_recargas!$F$76*'Plan mensual'!K22+parametros_recargas!$G$76*'Plan mensual'!K23+parametros_recargas!$H$76*'Plan mensual'!K24+parametros_recargas!$I$76*'Plan mensual'!K25+parametros_recargas!$J$76*'Plan mensual'!K26+parametros_recargas!$K$76*'Plan mensual'!K27+parametros_recargas!$L$76*'Plan mensual'!K28+parametros_recargas!$M$76*'Plan mensual'!K30</f>
        <v>310.07000078629</v>
      </c>
      <c r="J2" s="26" t="n">
        <f aca="false">parametros_recargas!$E$76*'Plan mensual'!L21+parametros_recargas!$F$76*'Plan mensual'!L22+parametros_recargas!$G$76*'Plan mensual'!L23+parametros_recargas!$H$76*'Plan mensual'!L24+parametros_recargas!$I$76*'Plan mensual'!L25+parametros_recargas!$J$76*'Plan mensual'!L26+parametros_recargas!$K$76*'Plan mensual'!L27+parametros_recargas!$L$76*'Plan mensual'!L28+parametros_recargas!$M$76*'Plan mensual'!L30</f>
        <v>313.250297857457</v>
      </c>
      <c r="K2" s="26" t="n">
        <f aca="false">parametros_recargas!$E$76*'Plan mensual'!M21+parametros_recargas!$F$76*'Plan mensual'!M22+parametros_recargas!$G$76*'Plan mensual'!M23+parametros_recargas!$H$76*'Plan mensual'!M24+parametros_recargas!$I$76*'Plan mensual'!M25+parametros_recargas!$J$76*'Plan mensual'!M26+parametros_recargas!$K$76*'Plan mensual'!M27+parametros_recargas!$L$76*'Plan mensual'!M28+parametros_recargas!$M$76*'Plan mensual'!M30</f>
        <v>312.885863702457</v>
      </c>
      <c r="L2" s="26" t="n">
        <f aca="false">parametros_recargas!$E$76*'Plan mensual'!N21+parametros_recargas!$F$76*'Plan mensual'!N22+parametros_recargas!$G$76*'Plan mensual'!N23+parametros_recargas!$H$76*'Plan mensual'!N24+parametros_recargas!$I$76*'Plan mensual'!N25+parametros_recargas!$J$76*'Plan mensual'!N26+parametros_recargas!$K$76*'Plan mensual'!N27+parametros_recargas!$L$76*'Plan mensual'!N28+parametros_recargas!$M$76*'Plan mensual'!N30</f>
        <v>358.998528499839</v>
      </c>
      <c r="M2" s="26" t="n">
        <f aca="false">parametros_recargas!$E$76*'Plan mensual'!O21+parametros_recargas!$F$76*'Plan mensual'!O22+parametros_recargas!$G$76*'Plan mensual'!O23+parametros_recargas!$H$76*'Plan mensual'!O24+parametros_recargas!$I$76*'Plan mensual'!O25+parametros_recargas!$J$76*'Plan mensual'!O26+parametros_recargas!$K$76*'Plan mensual'!O27+parametros_recargas!$L$76*'Plan mensual'!O28+parametros_recargas!$M$76*'Plan mensual'!O30</f>
        <v>412.708726399387</v>
      </c>
      <c r="N2" s="12" t="n">
        <f aca="false">SUM(B2:M2)</f>
        <v>4078.25236568092</v>
      </c>
      <c r="O2" s="27" t="n">
        <f aca="false">MAX(B2:M2)</f>
        <v>412.708726399387</v>
      </c>
      <c r="P2" s="16" t="n">
        <f aca="false">O2/parametros_recargas!$B$6</f>
        <v>2.75139150932925</v>
      </c>
    </row>
    <row r="3" customFormat="false" ht="15" hidden="false" customHeight="false" outlineLevel="0" collapsed="false">
      <c r="A3" s="6" t="str">
        <f aca="false">parametros_recargas!$B$77</f>
        <v>Inspección visual</v>
      </c>
      <c r="B3" s="26" t="n">
        <f aca="false">parametros_recargas!$E$77*'Plan mensual'!D21+parametros_recargas!$F$77*'Plan mensual'!D22+parametros_recargas!$G$77*'Plan mensual'!D23+parametros_recargas!$H$77*'Plan mensual'!D24+parametros_recargas!$I$77*'Plan mensual'!D25+parametros_recargas!$J$77*'Plan mensual'!D26+parametros_recargas!$K$77*'Plan mensual'!D27+parametros_recargas!$L$77*'Plan mensual'!D28+parametros_recargas!$M$77*'Plan mensual'!D30</f>
        <v>372.734453656217</v>
      </c>
      <c r="C3" s="26" t="n">
        <f aca="false">parametros_recargas!$E$77*'Plan mensual'!E21+parametros_recargas!$F$77*'Plan mensual'!E22+parametros_recargas!$G$77*'Plan mensual'!E23+parametros_recargas!$H$77*'Plan mensual'!E24+parametros_recargas!$I$77*'Plan mensual'!E25+parametros_recargas!$J$77*'Plan mensual'!E26+parametros_recargas!$K$77*'Plan mensual'!E27+parametros_recargas!$L$77*'Plan mensual'!E28+parametros_recargas!$M$77*'Plan mensual'!E30</f>
        <v>323.895324530509</v>
      </c>
      <c r="D3" s="26" t="n">
        <f aca="false">parametros_recargas!$E$77*'Plan mensual'!F21+parametros_recargas!$F$77*'Plan mensual'!F22+parametros_recargas!$G$77*'Plan mensual'!F23+parametros_recargas!$H$77*'Plan mensual'!F24+parametros_recargas!$I$77*'Plan mensual'!F25+parametros_recargas!$J$77*'Plan mensual'!F26+parametros_recargas!$K$77*'Plan mensual'!F27+parametros_recargas!$L$77*'Plan mensual'!F28+parametros_recargas!$M$77*'Plan mensual'!F30</f>
        <v>310.153142988461</v>
      </c>
      <c r="E3" s="26" t="n">
        <f aca="false">parametros_recargas!$E$77*'Plan mensual'!G21+parametros_recargas!$F$77*'Plan mensual'!G22+parametros_recargas!$G$77*'Plan mensual'!G23+parametros_recargas!$H$77*'Plan mensual'!G24+parametros_recargas!$I$77*'Plan mensual'!G25+parametros_recargas!$J$77*'Plan mensual'!G26+parametros_recargas!$K$77*'Plan mensual'!G27+parametros_recargas!$L$77*'Plan mensual'!G28+parametros_recargas!$M$77*'Plan mensual'!G30</f>
        <v>343.611815710976</v>
      </c>
      <c r="F3" s="26" t="n">
        <f aca="false">parametros_recargas!$E$77*'Plan mensual'!H21+parametros_recargas!$F$77*'Plan mensual'!H22+parametros_recargas!$G$77*'Plan mensual'!H23+parametros_recargas!$H$77*'Plan mensual'!H24+parametros_recargas!$I$77*'Plan mensual'!H25+parametros_recargas!$J$77*'Plan mensual'!H26+parametros_recargas!$K$77*'Plan mensual'!H27+parametros_recargas!$L$77*'Plan mensual'!H28+parametros_recargas!$M$77*'Plan mensual'!H30</f>
        <v>346.101062961803</v>
      </c>
      <c r="G3" s="26" t="n">
        <f aca="false">parametros_recargas!$E$77*'Plan mensual'!I21+parametros_recargas!$F$77*'Plan mensual'!I22+parametros_recargas!$G$77*'Plan mensual'!I23+parametros_recargas!$H$77*'Plan mensual'!I24+parametros_recargas!$I$77*'Plan mensual'!I25+parametros_recargas!$J$77*'Plan mensual'!I26+parametros_recargas!$K$77*'Plan mensual'!I27+parametros_recargas!$L$77*'Plan mensual'!I28+parametros_recargas!$M$77*'Plan mensual'!I30</f>
        <v>342.364428342963</v>
      </c>
      <c r="H3" s="26" t="n">
        <f aca="false">parametros_recargas!$E$77*'Plan mensual'!J21+parametros_recargas!$F$77*'Plan mensual'!J22+parametros_recargas!$G$77*'Plan mensual'!J23+parametros_recargas!$H$77*'Plan mensual'!J24+parametros_recargas!$I$77*'Plan mensual'!J25+parametros_recargas!$J$77*'Plan mensual'!J26+parametros_recargas!$K$77*'Plan mensual'!J27+parametros_recargas!$L$77*'Plan mensual'!J28+parametros_recargas!$M$77*'Plan mensual'!J30</f>
        <v>303.342670944559</v>
      </c>
      <c r="I3" s="26" t="n">
        <f aca="false">parametros_recargas!$E$77*'Plan mensual'!K21+parametros_recargas!$F$77*'Plan mensual'!K22+parametros_recargas!$G$77*'Plan mensual'!K23+parametros_recargas!$H$77*'Plan mensual'!K24+parametros_recargas!$I$77*'Plan mensual'!K25+parametros_recargas!$J$77*'Plan mensual'!K26+parametros_recargas!$K$77*'Plan mensual'!K27+parametros_recargas!$L$77*'Plan mensual'!K28+parametros_recargas!$M$77*'Plan mensual'!K30</f>
        <v>306.02009339129</v>
      </c>
      <c r="J3" s="26" t="n">
        <f aca="false">parametros_recargas!$E$77*'Plan mensual'!L21+parametros_recargas!$F$77*'Plan mensual'!L22+parametros_recargas!$G$77*'Plan mensual'!L23+parametros_recargas!$H$77*'Plan mensual'!L24+parametros_recargas!$I$77*'Plan mensual'!L25+parametros_recargas!$J$77*'Plan mensual'!L26+parametros_recargas!$K$77*'Plan mensual'!L27+parametros_recargas!$L$77*'Plan mensual'!L28+parametros_recargas!$M$77*'Plan mensual'!L30</f>
        <v>309.327607539957</v>
      </c>
      <c r="K3" s="26" t="n">
        <f aca="false">parametros_recargas!$E$77*'Plan mensual'!M21+parametros_recargas!$F$77*'Plan mensual'!M22+parametros_recargas!$G$77*'Plan mensual'!M23+parametros_recargas!$H$77*'Plan mensual'!M24+parametros_recargas!$I$77*'Plan mensual'!M25+parametros_recargas!$J$77*'Plan mensual'!M26+parametros_recargas!$K$77*'Plan mensual'!M27+parametros_recargas!$L$77*'Plan mensual'!M28+parametros_recargas!$M$77*'Plan mensual'!M30</f>
        <v>309.327607539957</v>
      </c>
      <c r="L3" s="26" t="n">
        <f aca="false">parametros_recargas!$E$77*'Plan mensual'!N21+parametros_recargas!$F$77*'Plan mensual'!N22+parametros_recargas!$G$77*'Plan mensual'!N23+parametros_recargas!$H$77*'Plan mensual'!N24+parametros_recargas!$I$77*'Plan mensual'!N25+parametros_recargas!$J$77*'Plan mensual'!N26+parametros_recargas!$K$77*'Plan mensual'!N27+parametros_recargas!$L$77*'Plan mensual'!N28+parametros_recargas!$M$77*'Plan mensual'!N30</f>
        <v>355.677489414839</v>
      </c>
      <c r="M3" s="26" t="n">
        <f aca="false">parametros_recargas!$E$77*'Plan mensual'!O21+parametros_recargas!$F$77*'Plan mensual'!O22+parametros_recargas!$G$77*'Plan mensual'!O23+parametros_recargas!$H$77*'Plan mensual'!O24+parametros_recargas!$I$77*'Plan mensual'!O25+parametros_recargas!$J$77*'Plan mensual'!O26+parametros_recargas!$K$77*'Plan mensual'!O27+parametros_recargas!$L$77*'Plan mensual'!O28+parametros_recargas!$M$77*'Plan mensual'!O30</f>
        <v>408.253253159387</v>
      </c>
      <c r="N3" s="12" t="n">
        <f aca="false">SUM(B3:M3)</f>
        <v>4030.80895018092</v>
      </c>
      <c r="O3" s="27" t="n">
        <f aca="false">MAX(B3:M3)</f>
        <v>408.253253159387</v>
      </c>
      <c r="P3" s="16" t="n">
        <f aca="false">O3/parametros_recargas!$B$6</f>
        <v>2.72168835439591</v>
      </c>
    </row>
    <row r="4" customFormat="false" ht="15" hidden="false" customHeight="false" outlineLevel="0" collapsed="false">
      <c r="A4" s="6" t="str">
        <f aca="false">parametros_recargas!$B$78</f>
        <v>Descarga ABC — ruta recuperable</v>
      </c>
      <c r="B4" s="26" t="n">
        <f aca="false">parametros_recargas!$E$78*'Plan mensual'!D21+parametros_recargas!$F$78*'Plan mensual'!D22+parametros_recargas!$G$78*'Plan mensual'!D23+parametros_recargas!$H$78*'Plan mensual'!D24+parametros_recargas!$I$78*'Plan mensual'!D25+parametros_recargas!$J$78*'Plan mensual'!D26+parametros_recargas!$K$78*'Plan mensual'!D27+parametros_recargas!$L$78*'Plan mensual'!D28+parametros_recargas!$M$78*'Plan mensual'!D30</f>
        <v>288.168161069115</v>
      </c>
      <c r="C4" s="26" t="n">
        <f aca="false">parametros_recargas!$E$78*'Plan mensual'!E21+parametros_recargas!$F$78*'Plan mensual'!E22+parametros_recargas!$G$78*'Plan mensual'!E23+parametros_recargas!$H$78*'Plan mensual'!E24+parametros_recargas!$I$78*'Plan mensual'!E25+parametros_recargas!$J$78*'Plan mensual'!E26+parametros_recargas!$K$78*'Plan mensual'!E27+parametros_recargas!$L$78*'Plan mensual'!E28+parametros_recargas!$M$78*'Plan mensual'!E30</f>
        <v>246.410705666634</v>
      </c>
      <c r="D4" s="26" t="n">
        <f aca="false">parametros_recargas!$E$78*'Plan mensual'!F21+parametros_recargas!$F$78*'Plan mensual'!F22+parametros_recargas!$G$78*'Plan mensual'!F23+parametros_recargas!$H$78*'Plan mensual'!F24+parametros_recargas!$I$78*'Plan mensual'!F25+parametros_recargas!$J$78*'Plan mensual'!F26+parametros_recargas!$K$78*'Plan mensual'!F27+parametros_recargas!$L$78*'Plan mensual'!F28+parametros_recargas!$M$78*'Plan mensual'!F30</f>
        <v>228.027364961338</v>
      </c>
      <c r="E4" s="26" t="n">
        <f aca="false">parametros_recargas!$E$78*'Plan mensual'!G21+parametros_recargas!$F$78*'Plan mensual'!G22+parametros_recargas!$G$78*'Plan mensual'!G23+parametros_recargas!$H$78*'Plan mensual'!G24+parametros_recargas!$I$78*'Plan mensual'!G25+parametros_recargas!$J$78*'Plan mensual'!G26+parametros_recargas!$K$78*'Plan mensual'!G27+parametros_recargas!$L$78*'Plan mensual'!G28+parametros_recargas!$M$78*'Plan mensual'!G30</f>
        <v>250.136617623432</v>
      </c>
      <c r="F4" s="26" t="n">
        <f aca="false">parametros_recargas!$E$78*'Plan mensual'!H21+parametros_recargas!$F$78*'Plan mensual'!H22+parametros_recargas!$G$78*'Plan mensual'!H23+parametros_recargas!$H$78*'Plan mensual'!H24+parametros_recargas!$I$78*'Plan mensual'!H25+parametros_recargas!$J$78*'Plan mensual'!H26+parametros_recargas!$K$78*'Plan mensual'!H27+parametros_recargas!$L$78*'Plan mensual'!H28+parametros_recargas!$M$78*'Plan mensual'!H30</f>
        <v>251.944423881144</v>
      </c>
      <c r="G4" s="26" t="n">
        <f aca="false">parametros_recargas!$E$78*'Plan mensual'!I21+parametros_recargas!$F$78*'Plan mensual'!I22+parametros_recargas!$G$78*'Plan mensual'!I23+parametros_recargas!$H$78*'Plan mensual'!I24+parametros_recargas!$I$78*'Plan mensual'!I25+parametros_recargas!$J$78*'Plan mensual'!I26+parametros_recargas!$K$78*'Plan mensual'!I27+parametros_recargas!$L$78*'Plan mensual'!I28+parametros_recargas!$M$78*'Plan mensual'!I30</f>
        <v>249.636470000865</v>
      </c>
      <c r="H4" s="26" t="n">
        <f aca="false">parametros_recargas!$E$78*'Plan mensual'!J21+parametros_recargas!$F$78*'Plan mensual'!J22+parametros_recargas!$G$78*'Plan mensual'!J23+parametros_recargas!$H$78*'Plan mensual'!J24+parametros_recargas!$I$78*'Plan mensual'!J25+parametros_recargas!$J$78*'Plan mensual'!J26+parametros_recargas!$K$78*'Plan mensual'!J27+parametros_recargas!$L$78*'Plan mensual'!J28+parametros_recargas!$M$78*'Plan mensual'!J30</f>
        <v>223.624988495881</v>
      </c>
      <c r="I4" s="26" t="n">
        <f aca="false">parametros_recargas!$E$78*'Plan mensual'!K21+parametros_recargas!$F$78*'Plan mensual'!K22+parametros_recargas!$G$78*'Plan mensual'!K23+parametros_recargas!$H$78*'Plan mensual'!K24+parametros_recargas!$I$78*'Plan mensual'!K25+parametros_recargas!$J$78*'Plan mensual'!K26+parametros_recargas!$K$78*'Plan mensual'!K27+parametros_recargas!$L$78*'Plan mensual'!K28+parametros_recargas!$M$78*'Plan mensual'!K30</f>
        <v>225.762207681113</v>
      </c>
      <c r="J4" s="26" t="n">
        <f aca="false">parametros_recargas!$E$78*'Plan mensual'!L21+parametros_recargas!$F$78*'Plan mensual'!L22+parametros_recargas!$G$78*'Plan mensual'!L23+parametros_recargas!$H$78*'Plan mensual'!L24+parametros_recargas!$I$78*'Plan mensual'!L25+parametros_recargas!$J$78*'Plan mensual'!L26+parametros_recargas!$K$78*'Plan mensual'!L27+parametros_recargas!$L$78*'Plan mensual'!L28+parametros_recargas!$M$78*'Plan mensual'!L30</f>
        <v>227.772217310711</v>
      </c>
      <c r="K4" s="26" t="n">
        <f aca="false">parametros_recargas!$E$78*'Plan mensual'!M21+parametros_recargas!$F$78*'Plan mensual'!M22+parametros_recargas!$G$78*'Plan mensual'!M23+parametros_recargas!$H$78*'Plan mensual'!M24+parametros_recargas!$I$78*'Plan mensual'!M25+parametros_recargas!$J$78*'Plan mensual'!M26+parametros_recargas!$K$78*'Plan mensual'!M27+parametros_recargas!$L$78*'Plan mensual'!M28+parametros_recargas!$M$78*'Plan mensual'!M30</f>
        <v>227.772217310711</v>
      </c>
      <c r="L4" s="26" t="n">
        <f aca="false">parametros_recargas!$E$78*'Plan mensual'!N21+parametros_recargas!$F$78*'Plan mensual'!N22+parametros_recargas!$G$78*'Plan mensual'!N23+parametros_recargas!$H$78*'Plan mensual'!N24+parametros_recargas!$I$78*'Plan mensual'!N25+parametros_recargas!$J$78*'Plan mensual'!N26+parametros_recargas!$K$78*'Plan mensual'!N27+parametros_recargas!$L$78*'Plan mensual'!N28+parametros_recargas!$M$78*'Plan mensual'!N30</f>
        <v>267.721866455479</v>
      </c>
      <c r="M4" s="26" t="n">
        <f aca="false">parametros_recargas!$E$78*'Plan mensual'!O21+parametros_recargas!$F$78*'Plan mensual'!O22+parametros_recargas!$G$78*'Plan mensual'!O23+parametros_recargas!$H$78*'Plan mensual'!O24+parametros_recargas!$I$78*'Plan mensual'!O25+parametros_recargas!$J$78*'Plan mensual'!O26+parametros_recargas!$K$78*'Plan mensual'!O27+parametros_recargas!$L$78*'Plan mensual'!O28+parametros_recargas!$M$78*'Plan mensual'!O30</f>
        <v>311.787275738239</v>
      </c>
      <c r="N4" s="12" t="n">
        <f aca="false">SUM(B4:M4)</f>
        <v>2998.76451619466</v>
      </c>
      <c r="O4" s="27" t="n">
        <f aca="false">MAX(B4:M4)</f>
        <v>311.787275738239</v>
      </c>
      <c r="P4" s="16" t="n">
        <f aca="false">O4/parametros_recargas!$B$6</f>
        <v>2.07858183825493</v>
      </c>
    </row>
    <row r="5" customFormat="false" ht="15" hidden="false" customHeight="false" outlineLevel="0" collapsed="false">
      <c r="A5" s="6" t="str">
        <f aca="false">parametros_recargas!$B$79</f>
        <v>Descarga a descarte (ABC, BC y Clase D)</v>
      </c>
      <c r="B5" s="26" t="n">
        <f aca="false">parametros_recargas!$E$79*'Plan mensual'!D21+parametros_recargas!$F$79*'Plan mensual'!D22+parametros_recargas!$G$79*'Plan mensual'!D23+parametros_recargas!$H$79*'Plan mensual'!D24+parametros_recargas!$I$79*'Plan mensual'!D25+parametros_recargas!$J$79*'Plan mensual'!D26+parametros_recargas!$K$79*'Plan mensual'!D27+parametros_recargas!$L$79*'Plan mensual'!D28+parametros_recargas!$M$79*'Plan mensual'!D30</f>
        <v>32.6181334460627</v>
      </c>
      <c r="C5" s="26" t="n">
        <f aca="false">parametros_recargas!$E$79*'Plan mensual'!E21+parametros_recargas!$F$79*'Plan mensual'!E22+parametros_recargas!$G$79*'Plan mensual'!E23+parametros_recargas!$H$79*'Plan mensual'!E24+parametros_recargas!$I$79*'Plan mensual'!E25+parametros_recargas!$J$79*'Plan mensual'!E26+parametros_recargas!$K$79*'Plan mensual'!E27+parametros_recargas!$L$79*'Plan mensual'!E28+parametros_recargas!$M$79*'Plan mensual'!E30</f>
        <v>27.9784161791204</v>
      </c>
      <c r="D5" s="26" t="n">
        <f aca="false">parametros_recargas!$E$79*'Plan mensual'!F21+parametros_recargas!$F$79*'Plan mensual'!F22+parametros_recargas!$G$79*'Plan mensual'!F23+parametros_recargas!$H$79*'Plan mensual'!F24+parametros_recargas!$I$79*'Plan mensual'!F25+parametros_recargas!$J$79*'Plan mensual'!F26+parametros_recargas!$K$79*'Plan mensual'!F27+parametros_recargas!$L$79*'Plan mensual'!F28+parametros_recargas!$M$79*'Plan mensual'!F30</f>
        <v>25.9358227674209</v>
      </c>
      <c r="E5" s="26" t="n">
        <f aca="false">parametros_recargas!$E$79*'Plan mensual'!G21+parametros_recargas!$F$79*'Plan mensual'!G22+parametros_recargas!$G$79*'Plan mensual'!G23+parametros_recargas!$H$79*'Plan mensual'!G24+parametros_recargas!$I$79*'Plan mensual'!G25+parametros_recargas!$J$79*'Plan mensual'!G26+parametros_recargas!$K$79*'Plan mensual'!G27+parametros_recargas!$L$79*'Plan mensual'!G28+parametros_recargas!$M$79*'Plan mensual'!G30</f>
        <v>28.3924063965424</v>
      </c>
      <c r="F5" s="26" t="n">
        <f aca="false">parametros_recargas!$E$79*'Plan mensual'!H21+parametros_recargas!$F$79*'Plan mensual'!H22+parametros_recargas!$G$79*'Plan mensual'!H23+parametros_recargas!$H$79*'Plan mensual'!H24+parametros_recargas!$I$79*'Plan mensual'!H25+parametros_recargas!$J$79*'Plan mensual'!H26+parametros_recargas!$K$79*'Plan mensual'!H27+parametros_recargas!$L$79*'Plan mensual'!H28+parametros_recargas!$M$79*'Plan mensual'!H30</f>
        <v>28.5932737585105</v>
      </c>
      <c r="G5" s="26" t="n">
        <f aca="false">parametros_recargas!$E$79*'Plan mensual'!I21+parametros_recargas!$F$79*'Plan mensual'!I22+parametros_recargas!$G$79*'Plan mensual'!I23+parametros_recargas!$H$79*'Plan mensual'!I24+parametros_recargas!$I$79*'Plan mensual'!I25+parametros_recargas!$J$79*'Plan mensual'!I26+parametros_recargas!$K$79*'Plan mensual'!I27+parametros_recargas!$L$79*'Plan mensual'!I28+parametros_recargas!$M$79*'Plan mensual'!I30</f>
        <v>28.3368344384794</v>
      </c>
      <c r="H5" s="26" t="n">
        <f aca="false">parametros_recargas!$E$79*'Plan mensual'!J21+parametros_recargas!$F$79*'Plan mensual'!J22+parametros_recargas!$G$79*'Plan mensual'!J23+parametros_recargas!$H$79*'Plan mensual'!J24+parametros_recargas!$I$79*'Plan mensual'!J25+parametros_recargas!$J$79*'Plan mensual'!J26+parametros_recargas!$K$79*'Plan mensual'!J27+parametros_recargas!$L$79*'Plan mensual'!J28+parametros_recargas!$M$79*'Plan mensual'!J30</f>
        <v>25.4466698268145</v>
      </c>
      <c r="I5" s="26" t="n">
        <f aca="false">parametros_recargas!$E$79*'Plan mensual'!K21+parametros_recargas!$F$79*'Plan mensual'!K22+parametros_recargas!$G$79*'Plan mensual'!K23+parametros_recargas!$H$79*'Plan mensual'!K24+parametros_recargas!$I$79*'Plan mensual'!K25+parametros_recargas!$J$79*'Plan mensual'!K26+parametros_recargas!$K$79*'Plan mensual'!K27+parametros_recargas!$L$79*'Plan mensual'!K28+parametros_recargas!$M$79*'Plan mensual'!K30</f>
        <v>25.6841386251737</v>
      </c>
      <c r="J5" s="26" t="n">
        <f aca="false">parametros_recargas!$E$79*'Plan mensual'!L21+parametros_recargas!$F$79*'Plan mensual'!L22+parametros_recargas!$G$79*'Plan mensual'!L23+parametros_recargas!$H$79*'Plan mensual'!L24+parametros_recargas!$I$79*'Plan mensual'!L25+parametros_recargas!$J$79*'Plan mensual'!L26+parametros_recargas!$K$79*'Plan mensual'!L27+parametros_recargas!$L$79*'Plan mensual'!L28+parametros_recargas!$M$79*'Plan mensual'!L30</f>
        <v>25.9074730284623</v>
      </c>
      <c r="K5" s="26" t="n">
        <f aca="false">parametros_recargas!$E$79*'Plan mensual'!M21+parametros_recargas!$F$79*'Plan mensual'!M22+parametros_recargas!$G$79*'Plan mensual'!M23+parametros_recargas!$H$79*'Plan mensual'!M24+parametros_recargas!$I$79*'Plan mensual'!M25+parametros_recargas!$J$79*'Plan mensual'!M26+parametros_recargas!$K$79*'Plan mensual'!M27+parametros_recargas!$L$79*'Plan mensual'!M28+parametros_recargas!$M$79*'Plan mensual'!M30</f>
        <v>25.9074730284623</v>
      </c>
      <c r="L5" s="26" t="n">
        <f aca="false">parametros_recargas!$E$79*'Plan mensual'!N21+parametros_recargas!$F$79*'Plan mensual'!N22+parametros_recargas!$G$79*'Plan mensual'!N23+parametros_recargas!$H$79*'Plan mensual'!N24+parametros_recargas!$I$79*'Plan mensual'!N25+parametros_recargas!$J$79*'Plan mensual'!N26+parametros_recargas!$K$79*'Plan mensual'!N27+parametros_recargas!$L$79*'Plan mensual'!N28+parametros_recargas!$M$79*'Plan mensual'!N30</f>
        <v>30.3463229334365</v>
      </c>
      <c r="M5" s="26" t="n">
        <f aca="false">parametros_recargas!$E$79*'Plan mensual'!O21+parametros_recargas!$F$79*'Plan mensual'!O22+parametros_recargas!$G$79*'Plan mensual'!O23+parametros_recargas!$H$79*'Plan mensual'!O24+parametros_recargas!$I$79*'Plan mensual'!O25+parametros_recargas!$J$79*'Plan mensual'!O26+parametros_recargas!$K$79*'Plan mensual'!O27+parametros_recargas!$L$79*'Plan mensual'!O28+parametros_recargas!$M$79*'Plan mensual'!O30</f>
        <v>35.2424795204099</v>
      </c>
      <c r="N5" s="12" t="n">
        <f aca="false">SUM(B5:M5)</f>
        <v>340.389443948895</v>
      </c>
      <c r="O5" s="27" t="n">
        <f aca="false">MAX(B5:M5)</f>
        <v>35.2424795204099</v>
      </c>
      <c r="P5" s="16" t="n">
        <f aca="false">O5/parametros_recargas!$B$6</f>
        <v>0.234949863469399</v>
      </c>
    </row>
    <row r="6" customFormat="false" ht="15" hidden="false" customHeight="false" outlineLevel="0" collapsed="false">
      <c r="A6" s="6" t="str">
        <f aca="false">parametros_recargas!$B$80</f>
        <v>Descarga y carga de agua / AFFF / sales K</v>
      </c>
      <c r="B6" s="26" t="n">
        <f aca="false">parametros_recargas!$E$80*'Plan mensual'!D21+parametros_recargas!$F$80*'Plan mensual'!D22+parametros_recargas!$G$80*'Plan mensual'!D23+parametros_recargas!$H$80*'Plan mensual'!D24+parametros_recargas!$I$80*'Plan mensual'!D25+parametros_recargas!$J$80*'Plan mensual'!D26+parametros_recargas!$K$80*'Plan mensual'!D27+parametros_recargas!$L$80*'Plan mensual'!D28+parametros_recargas!$M$80*'Plan mensual'!D30</f>
        <v>12.8070405557014</v>
      </c>
      <c r="C6" s="26" t="n">
        <f aca="false">parametros_recargas!$E$80*'Plan mensual'!E21+parametros_recargas!$F$80*'Plan mensual'!E22+parametros_recargas!$G$80*'Plan mensual'!E23+parametros_recargas!$H$80*'Plan mensual'!E24+parametros_recargas!$I$80*'Plan mensual'!E25+parametros_recargas!$J$80*'Plan mensual'!E26+parametros_recargas!$K$80*'Plan mensual'!E27+parametros_recargas!$L$80*'Plan mensual'!E28+parametros_recargas!$M$80*'Plan mensual'!E30</f>
        <v>12.8070405557014</v>
      </c>
      <c r="D6" s="26" t="n">
        <f aca="false">parametros_recargas!$E$80*'Plan mensual'!F21+parametros_recargas!$F$80*'Plan mensual'!F22+parametros_recargas!$G$80*'Plan mensual'!F23+parametros_recargas!$H$80*'Plan mensual'!F24+parametros_recargas!$I$80*'Plan mensual'!F25+parametros_recargas!$J$80*'Plan mensual'!F26+parametros_recargas!$K$80*'Plan mensual'!F27+parametros_recargas!$L$80*'Plan mensual'!F28+parametros_recargas!$M$80*'Plan mensual'!F30</f>
        <v>14.7422027550034</v>
      </c>
      <c r="E6" s="26" t="n">
        <f aca="false">parametros_recargas!$E$80*'Plan mensual'!G21+parametros_recargas!$F$80*'Plan mensual'!G22+parametros_recargas!$G$80*'Plan mensual'!G23+parametros_recargas!$H$80*'Plan mensual'!G24+parametros_recargas!$I$80*'Plan mensual'!G25+parametros_recargas!$J$80*'Plan mensual'!G26+parametros_recargas!$K$80*'Plan mensual'!G27+parametros_recargas!$L$80*'Plan mensual'!G28+parametros_recargas!$M$80*'Plan mensual'!G30</f>
        <v>16.6073299220501</v>
      </c>
      <c r="F6" s="26" t="n">
        <f aca="false">parametros_recargas!$E$80*'Plan mensual'!H21+parametros_recargas!$F$80*'Plan mensual'!H22+parametros_recargas!$G$80*'Plan mensual'!H23+parametros_recargas!$H$80*'Plan mensual'!H24+parametros_recargas!$I$80*'Plan mensual'!H25+parametros_recargas!$J$80*'Plan mensual'!H26+parametros_recargas!$K$80*'Plan mensual'!H27+parametros_recargas!$L$80*'Plan mensual'!H28+parametros_recargas!$M$80*'Plan mensual'!H30</f>
        <v>16.7623761358325</v>
      </c>
      <c r="G6" s="26" t="n">
        <f aca="false">parametros_recargas!$E$80*'Plan mensual'!I21+parametros_recargas!$F$80*'Plan mensual'!I22+parametros_recargas!$G$80*'Plan mensual'!I23+parametros_recargas!$H$80*'Plan mensual'!I24+parametros_recargas!$I$80*'Plan mensual'!I25+parametros_recargas!$J$80*'Plan mensual'!I26+parametros_recargas!$K$80*'Plan mensual'!I27+parametros_recargas!$L$80*'Plan mensual'!I28+parametros_recargas!$M$80*'Plan mensual'!I30</f>
        <v>16.4308785472206</v>
      </c>
      <c r="H6" s="26" t="n">
        <f aca="false">parametros_recargas!$E$80*'Plan mensual'!J21+parametros_recargas!$F$80*'Plan mensual'!J22+parametros_recargas!$G$80*'Plan mensual'!J23+parametros_recargas!$H$80*'Plan mensual'!J24+parametros_recargas!$I$80*'Plan mensual'!J25+parametros_recargas!$J$80*'Plan mensual'!J26+parametros_recargas!$K$80*'Plan mensual'!J27+parametros_recargas!$L$80*'Plan mensual'!J28+parametros_recargas!$M$80*'Plan mensual'!J30</f>
        <v>14.163206774612</v>
      </c>
      <c r="I6" s="26" t="n">
        <f aca="false">parametros_recargas!$E$80*'Plan mensual'!K21+parametros_recargas!$F$80*'Plan mensual'!K22+parametros_recargas!$G$80*'Plan mensual'!K23+parametros_recargas!$H$80*'Plan mensual'!K24+parametros_recargas!$I$80*'Plan mensual'!K25+parametros_recargas!$J$80*'Plan mensual'!K26+parametros_recargas!$K$80*'Plan mensual'!K27+parametros_recargas!$L$80*'Plan mensual'!K28+parametros_recargas!$M$80*'Plan mensual'!K30</f>
        <v>14.3192649730891</v>
      </c>
      <c r="J6" s="26" t="n">
        <f aca="false">parametros_recargas!$E$80*'Plan mensual'!L21+parametros_recargas!$F$80*'Plan mensual'!L22+parametros_recargas!$G$80*'Plan mensual'!L23+parametros_recargas!$H$80*'Plan mensual'!L24+parametros_recargas!$I$80*'Plan mensual'!L25+parametros_recargas!$J$80*'Plan mensual'!L26+parametros_recargas!$K$80*'Plan mensual'!L27+parametros_recargas!$L$80*'Plan mensual'!L28+parametros_recargas!$M$80*'Plan mensual'!L30</f>
        <v>14.6353670489283</v>
      </c>
      <c r="K6" s="26" t="n">
        <f aca="false">parametros_recargas!$E$80*'Plan mensual'!M21+parametros_recargas!$F$80*'Plan mensual'!M22+parametros_recargas!$G$80*'Plan mensual'!M23+parametros_recargas!$H$80*'Plan mensual'!M24+parametros_recargas!$I$80*'Plan mensual'!M25+parametros_recargas!$J$80*'Plan mensual'!M26+parametros_recargas!$K$80*'Plan mensual'!M27+parametros_recargas!$L$80*'Plan mensual'!M28+parametros_recargas!$M$80*'Plan mensual'!M30</f>
        <v>14.6353670489283</v>
      </c>
      <c r="L6" s="26" t="n">
        <f aca="false">parametros_recargas!$E$80*'Plan mensual'!N21+parametros_recargas!$F$80*'Plan mensual'!N22+parametros_recargas!$G$80*'Plan mensual'!N23+parametros_recargas!$H$80*'Plan mensual'!N24+parametros_recargas!$I$80*'Plan mensual'!N25+parametros_recargas!$J$80*'Plan mensual'!N26+parametros_recargas!$K$80*'Plan mensual'!N27+parametros_recargas!$L$80*'Plan mensual'!N28+parametros_recargas!$M$80*'Plan mensual'!N30</f>
        <v>14.4803208351459</v>
      </c>
      <c r="M6" s="26" t="n">
        <f aca="false">parametros_recargas!$E$80*'Plan mensual'!O21+parametros_recargas!$F$80*'Plan mensual'!O22+parametros_recargas!$G$80*'Plan mensual'!O23+parametros_recargas!$H$80*'Plan mensual'!O24+parametros_recargas!$I$80*'Plan mensual'!O25+parametros_recargas!$J$80*'Plan mensual'!O26+parametros_recargas!$K$80*'Plan mensual'!O27+parametros_recargas!$L$80*'Plan mensual'!O28+parametros_recargas!$M$80*'Plan mensual'!O30</f>
        <v>14.8118184237578</v>
      </c>
      <c r="N6" s="12" t="n">
        <f aca="false">SUM(B6:M6)</f>
        <v>177.202213575971</v>
      </c>
      <c r="O6" s="27" t="n">
        <f aca="false">MAX(B6:M6)</f>
        <v>16.7623761358325</v>
      </c>
      <c r="P6" s="16" t="n">
        <f aca="false">O6/parametros_recargas!$B$6</f>
        <v>0.111749174238883</v>
      </c>
    </row>
    <row r="7" customFormat="false" ht="15" hidden="false" customHeight="false" outlineLevel="0" collapsed="false">
      <c r="A7" s="6" t="str">
        <f aca="false">parametros_recargas!$B$81</f>
        <v>Recuperación y carga de CO₂</v>
      </c>
      <c r="B7" s="26" t="n">
        <f aca="false">parametros_recargas!$E$81*'Plan mensual'!D21+parametros_recargas!$F$81*'Plan mensual'!D22+parametros_recargas!$G$81*'Plan mensual'!D23+parametros_recargas!$H$81*'Plan mensual'!D24+parametros_recargas!$I$81*'Plan mensual'!D25+parametros_recargas!$J$81*'Plan mensual'!D26+parametros_recargas!$K$81*'Plan mensual'!D27+parametros_recargas!$L$81*'Plan mensual'!D28+parametros_recargas!$M$81*'Plan mensual'!D30</f>
        <v>12.5397230658514</v>
      </c>
      <c r="C7" s="26" t="n">
        <f aca="false">parametros_recargas!$E$81*'Plan mensual'!E21+parametros_recargas!$F$81*'Plan mensual'!E22+parametros_recargas!$G$81*'Plan mensual'!E23+parametros_recargas!$H$81*'Plan mensual'!E24+parametros_recargas!$I$81*'Plan mensual'!E25+parametros_recargas!$J$81*'Plan mensual'!E26+parametros_recargas!$K$81*'Plan mensual'!E27+parametros_recargas!$L$81*'Plan mensual'!E28+parametros_recargas!$M$81*'Plan mensual'!E30</f>
        <v>12.5397230658514</v>
      </c>
      <c r="D7" s="26" t="n">
        <f aca="false">parametros_recargas!$E$81*'Plan mensual'!F21+parametros_recargas!$F$81*'Plan mensual'!F22+parametros_recargas!$G$81*'Plan mensual'!F23+parametros_recargas!$H$81*'Plan mensual'!F24+parametros_recargas!$I$81*'Plan mensual'!F25+parametros_recargas!$J$81*'Plan mensual'!F26+parametros_recargas!$K$81*'Plan mensual'!F27+parametros_recargas!$L$81*'Plan mensual'!F28+parametros_recargas!$M$81*'Plan mensual'!F30</f>
        <v>16.0438192304239</v>
      </c>
      <c r="E7" s="26" t="n">
        <f aca="false">parametros_recargas!$E$81*'Plan mensual'!G21+parametros_recargas!$F$81*'Plan mensual'!G22+parametros_recargas!$G$81*'Plan mensual'!G23+parametros_recargas!$H$81*'Plan mensual'!G24+parametros_recargas!$I$81*'Plan mensual'!G25+parametros_recargas!$J$81*'Plan mensual'!G26+parametros_recargas!$K$81*'Plan mensual'!G27+parametros_recargas!$L$81*'Plan mensual'!G28+parametros_recargas!$M$81*'Plan mensual'!G30</f>
        <v>19.4610115720578</v>
      </c>
      <c r="F7" s="26" t="n">
        <f aca="false">parametros_recargas!$E$81*'Plan mensual'!H21+parametros_recargas!$F$81*'Plan mensual'!H22+parametros_recargas!$G$81*'Plan mensual'!H23+parametros_recargas!$H$81*'Plan mensual'!H24+parametros_recargas!$I$81*'Plan mensual'!H25+parametros_recargas!$J$81*'Plan mensual'!H26+parametros_recargas!$K$81*'Plan mensual'!H27+parametros_recargas!$L$81*'Plan mensual'!H28+parametros_recargas!$M$81*'Plan mensual'!H30</f>
        <v>19.5893228241485</v>
      </c>
      <c r="G7" s="26" t="n">
        <f aca="false">parametros_recargas!$E$81*'Plan mensual'!I21+parametros_recargas!$F$81*'Plan mensual'!I22+parametros_recargas!$G$81*'Plan mensual'!I23+parametros_recargas!$H$81*'Plan mensual'!I24+parametros_recargas!$I$81*'Plan mensual'!I25+parametros_recargas!$J$81*'Plan mensual'!I26+parametros_recargas!$K$81*'Plan mensual'!I27+parametros_recargas!$L$81*'Plan mensual'!I28+parametros_recargas!$M$81*'Plan mensual'!I30</f>
        <v>19.207285301108</v>
      </c>
      <c r="H7" s="26" t="n">
        <f aca="false">parametros_recargas!$E$81*'Plan mensual'!J21+parametros_recargas!$F$81*'Plan mensual'!J22+parametros_recargas!$G$81*'Plan mensual'!J23+parametros_recargas!$H$81*'Plan mensual'!J24+parametros_recargas!$I$81*'Plan mensual'!J25+parametros_recargas!$J$81*'Plan mensual'!J26+parametros_recargas!$K$81*'Plan mensual'!J27+parametros_recargas!$L$81*'Plan mensual'!J28+parametros_recargas!$M$81*'Plan mensual'!J30</f>
        <v>15.4412911629177</v>
      </c>
      <c r="I7" s="26" t="n">
        <f aca="false">parametros_recargas!$E$81*'Plan mensual'!K21+parametros_recargas!$F$81*'Plan mensual'!K22+parametros_recargas!$G$81*'Plan mensual'!K23+parametros_recargas!$H$81*'Plan mensual'!K24+parametros_recargas!$I$81*'Plan mensual'!K25+parametros_recargas!$J$81*'Plan mensual'!K26+parametros_recargas!$K$81*'Plan mensual'!K27+parametros_recargas!$L$81*'Plan mensual'!K28+parametros_recargas!$M$81*'Plan mensual'!K30</f>
        <v>15.4494628655858</v>
      </c>
      <c r="J7" s="26" t="n">
        <f aca="false">parametros_recargas!$E$81*'Plan mensual'!L21+parametros_recargas!$F$81*'Plan mensual'!L22+parametros_recargas!$G$81*'Plan mensual'!L23+parametros_recargas!$H$81*'Plan mensual'!L24+parametros_recargas!$I$81*'Plan mensual'!L25+parametros_recargas!$J$81*'Plan mensual'!L26+parametros_recargas!$K$81*'Plan mensual'!L27+parametros_recargas!$L$81*'Plan mensual'!L28+parametros_recargas!$M$81*'Plan mensual'!L30</f>
        <v>15.7924325113417</v>
      </c>
      <c r="K7" s="26" t="n">
        <f aca="false">parametros_recargas!$E$81*'Plan mensual'!M21+parametros_recargas!$F$81*'Plan mensual'!M22+parametros_recargas!$G$81*'Plan mensual'!M23+parametros_recargas!$H$81*'Plan mensual'!M24+parametros_recargas!$I$81*'Plan mensual'!M25+parametros_recargas!$J$81*'Plan mensual'!M26+parametros_recargas!$K$81*'Plan mensual'!M27+parametros_recargas!$L$81*'Plan mensual'!M28+parametros_recargas!$M$81*'Plan mensual'!M30</f>
        <v>15.7924325113417</v>
      </c>
      <c r="L7" s="26" t="n">
        <f aca="false">parametros_recargas!$E$81*'Plan mensual'!N21+parametros_recargas!$F$81*'Plan mensual'!N22+parametros_recargas!$G$81*'Plan mensual'!N23+parametros_recargas!$H$81*'Plan mensual'!N24+parametros_recargas!$I$81*'Plan mensual'!N25+parametros_recargas!$J$81*'Plan mensual'!N26+parametros_recargas!$K$81*'Plan mensual'!N27+parametros_recargas!$L$81*'Plan mensual'!N28+parametros_recargas!$M$81*'Plan mensual'!N30</f>
        <v>15.664121259251</v>
      </c>
      <c r="M7" s="26" t="n">
        <f aca="false">parametros_recargas!$E$81*'Plan mensual'!O21+parametros_recargas!$F$81*'Plan mensual'!O22+parametros_recargas!$G$81*'Plan mensual'!O23+parametros_recargas!$H$81*'Plan mensual'!O24+parametros_recargas!$I$81*'Plan mensual'!O25+parametros_recargas!$J$81*'Plan mensual'!O26+parametros_recargas!$K$81*'Plan mensual'!O27+parametros_recargas!$L$81*'Plan mensual'!O28+parametros_recargas!$M$81*'Plan mensual'!O30</f>
        <v>16.0461587822914</v>
      </c>
      <c r="N7" s="12" t="n">
        <f aca="false">SUM(B7:M7)</f>
        <v>193.56678415217</v>
      </c>
      <c r="O7" s="27" t="n">
        <f aca="false">MAX(B7:M7)</f>
        <v>19.5893228241485</v>
      </c>
      <c r="P7" s="16" t="n">
        <f aca="false">O7/parametros_recargas!$B$6</f>
        <v>0.130595485494323</v>
      </c>
    </row>
    <row r="8" customFormat="false" ht="15" hidden="false" customHeight="false" outlineLevel="0" collapsed="false">
      <c r="A8" s="6" t="str">
        <f aca="false">parametros_recargas!$B$82</f>
        <v>Recuperación y carga de halogenado</v>
      </c>
      <c r="B8" s="26" t="n">
        <f aca="false">parametros_recargas!$E$82*'Plan mensual'!D21+parametros_recargas!$F$82*'Plan mensual'!D22+parametros_recargas!$G$82*'Plan mensual'!D23+parametros_recargas!$H$82*'Plan mensual'!D24+parametros_recargas!$I$82*'Plan mensual'!D25+parametros_recargas!$J$82*'Plan mensual'!D26+parametros_recargas!$K$82*'Plan mensual'!D27+parametros_recargas!$L$82*'Plan mensual'!D28+parametros_recargas!$M$82*'Plan mensual'!D30</f>
        <v>0.314823372626377</v>
      </c>
      <c r="C8" s="26" t="n">
        <f aca="false">parametros_recargas!$E$82*'Plan mensual'!E21+parametros_recargas!$F$82*'Plan mensual'!E22+parametros_recargas!$G$82*'Plan mensual'!E23+parametros_recargas!$H$82*'Plan mensual'!E24+parametros_recargas!$I$82*'Plan mensual'!E25+parametros_recargas!$J$82*'Plan mensual'!E26+parametros_recargas!$K$82*'Plan mensual'!E27+parametros_recargas!$L$82*'Plan mensual'!E28+parametros_recargas!$M$82*'Plan mensual'!E30</f>
        <v>0.314823372626377</v>
      </c>
      <c r="D8" s="26" t="n">
        <f aca="false">parametros_recargas!$E$82*'Plan mensual'!F21+parametros_recargas!$F$82*'Plan mensual'!F22+parametros_recargas!$G$82*'Plan mensual'!F23+parametros_recargas!$H$82*'Plan mensual'!F24+parametros_recargas!$I$82*'Plan mensual'!F25+parametros_recargas!$J$82*'Plan mensual'!F26+parametros_recargas!$K$82*'Plan mensual'!F27+parametros_recargas!$L$82*'Plan mensual'!F28+parametros_recargas!$M$82*'Plan mensual'!F30</f>
        <v>0.294466134053794</v>
      </c>
      <c r="E8" s="26" t="n">
        <f aca="false">parametros_recargas!$E$82*'Plan mensual'!G21+parametros_recargas!$F$82*'Plan mensual'!G22+parametros_recargas!$G$82*'Plan mensual'!G23+parametros_recargas!$H$82*'Plan mensual'!G24+parametros_recargas!$I$82*'Plan mensual'!G25+parametros_recargas!$J$82*'Plan mensual'!G26+parametros_recargas!$K$82*'Plan mensual'!G27+parametros_recargas!$L$82*'Plan mensual'!G28+parametros_recargas!$M$82*'Plan mensual'!G30</f>
        <v>0.294466134053794</v>
      </c>
      <c r="F8" s="26" t="n">
        <f aca="false">parametros_recargas!$E$82*'Plan mensual'!H21+parametros_recargas!$F$82*'Plan mensual'!H22+parametros_recargas!$G$82*'Plan mensual'!H23+parametros_recargas!$H$82*'Plan mensual'!H24+parametros_recargas!$I$82*'Plan mensual'!H25+parametros_recargas!$J$82*'Plan mensual'!H26+parametros_recargas!$K$82*'Plan mensual'!H27+parametros_recargas!$L$82*'Plan mensual'!H28+parametros_recargas!$M$82*'Plan mensual'!H30</f>
        <v>0.294466134053794</v>
      </c>
      <c r="G8" s="26" t="n">
        <f aca="false">parametros_recargas!$E$82*'Plan mensual'!I21+parametros_recargas!$F$82*'Plan mensual'!I22+parametros_recargas!$G$82*'Plan mensual'!I23+parametros_recargas!$H$82*'Plan mensual'!I24+parametros_recargas!$I$82*'Plan mensual'!I25+parametros_recargas!$J$82*'Plan mensual'!I26+parametros_recargas!$K$82*'Plan mensual'!I27+parametros_recargas!$L$82*'Plan mensual'!I28+parametros_recargas!$M$82*'Plan mensual'!I30</f>
        <v>0.274108895481212</v>
      </c>
      <c r="H8" s="26" t="n">
        <f aca="false">parametros_recargas!$E$82*'Plan mensual'!J21+parametros_recargas!$F$82*'Plan mensual'!J22+parametros_recargas!$G$82*'Plan mensual'!J23+parametros_recargas!$H$82*'Plan mensual'!J24+parametros_recargas!$I$82*'Plan mensual'!J25+parametros_recargas!$J$82*'Plan mensual'!J26+parametros_recargas!$K$82*'Plan mensual'!J27+parametros_recargas!$L$82*'Plan mensual'!J28+parametros_recargas!$M$82*'Plan mensual'!J30</f>
        <v>0.274108895481212</v>
      </c>
      <c r="I8" s="26" t="n">
        <f aca="false">parametros_recargas!$E$82*'Plan mensual'!K21+parametros_recargas!$F$82*'Plan mensual'!K22+parametros_recargas!$G$82*'Plan mensual'!K23+parametros_recargas!$H$82*'Plan mensual'!K24+parametros_recargas!$I$82*'Plan mensual'!K25+parametros_recargas!$J$82*'Plan mensual'!K26+parametros_recargas!$K$82*'Plan mensual'!K27+parametros_recargas!$L$82*'Plan mensual'!K28+parametros_recargas!$M$82*'Plan mensual'!K30</f>
        <v>0.274108895481212</v>
      </c>
      <c r="J8" s="26" t="n">
        <f aca="false">parametros_recargas!$E$82*'Plan mensual'!L21+parametros_recargas!$F$82*'Plan mensual'!L22+parametros_recargas!$G$82*'Plan mensual'!L23+parametros_recargas!$H$82*'Plan mensual'!L24+parametros_recargas!$I$82*'Plan mensual'!L25+parametros_recargas!$J$82*'Plan mensual'!L26+parametros_recargas!$K$82*'Plan mensual'!L27+parametros_recargas!$L$82*'Plan mensual'!L28+parametros_recargas!$M$82*'Plan mensual'!L30</f>
        <v>0.294466134053794</v>
      </c>
      <c r="K8" s="26" t="n">
        <f aca="false">parametros_recargas!$E$82*'Plan mensual'!M21+parametros_recargas!$F$82*'Plan mensual'!M22+parametros_recargas!$G$82*'Plan mensual'!M23+parametros_recargas!$H$82*'Plan mensual'!M24+parametros_recargas!$I$82*'Plan mensual'!M25+parametros_recargas!$J$82*'Plan mensual'!M26+parametros_recargas!$K$82*'Plan mensual'!M27+parametros_recargas!$L$82*'Plan mensual'!M28+parametros_recargas!$M$82*'Plan mensual'!M30</f>
        <v>0.294466134053794</v>
      </c>
      <c r="L8" s="26" t="n">
        <f aca="false">parametros_recargas!$E$82*'Plan mensual'!N21+parametros_recargas!$F$82*'Plan mensual'!N22+parametros_recargas!$G$82*'Plan mensual'!N23+parametros_recargas!$H$82*'Plan mensual'!N24+parametros_recargas!$I$82*'Plan mensual'!N25+parametros_recargas!$J$82*'Plan mensual'!N26+parametros_recargas!$K$82*'Plan mensual'!N27+parametros_recargas!$L$82*'Plan mensual'!N28+parametros_recargas!$M$82*'Plan mensual'!N30</f>
        <v>0.294466134053794</v>
      </c>
      <c r="M8" s="26" t="n">
        <f aca="false">parametros_recargas!$E$82*'Plan mensual'!O21+parametros_recargas!$F$82*'Plan mensual'!O22+parametros_recargas!$G$82*'Plan mensual'!O23+parametros_recargas!$H$82*'Plan mensual'!O24+parametros_recargas!$I$82*'Plan mensual'!O25+parametros_recargas!$J$82*'Plan mensual'!O26+parametros_recargas!$K$82*'Plan mensual'!O27+parametros_recargas!$L$82*'Plan mensual'!O28+parametros_recargas!$M$82*'Plan mensual'!O30</f>
        <v>0.314823372626377</v>
      </c>
      <c r="N8" s="12" t="n">
        <f aca="false">SUM(B8:M8)</f>
        <v>3.53359360864553</v>
      </c>
      <c r="O8" s="27" t="n">
        <f aca="false">MAX(B8:M8)</f>
        <v>0.314823372626377</v>
      </c>
      <c r="P8" s="16" t="n">
        <f aca="false">O8/parametros_recargas!$B$6</f>
        <v>0.00209882248417584</v>
      </c>
    </row>
    <row r="9" customFormat="false" ht="15" hidden="false" customHeight="false" outlineLevel="0" collapsed="false">
      <c r="A9" s="6" t="str">
        <f aca="false">parametros_recargas!$B$83</f>
        <v>Desarme y limpieza — recinto</v>
      </c>
      <c r="B9" s="26" t="n">
        <f aca="false">parametros_recargas!$E$83*'Plan mensual'!D21+parametros_recargas!$F$83*'Plan mensual'!D22+parametros_recargas!$G$83*'Plan mensual'!D23+parametros_recargas!$H$83*'Plan mensual'!D24+parametros_recargas!$I$83*'Plan mensual'!D25+parametros_recargas!$J$83*'Plan mensual'!D26+parametros_recargas!$K$83*'Plan mensual'!D27+parametros_recargas!$L$83*'Plan mensual'!D28+parametros_recargas!$M$83*'Plan mensual'!D30</f>
        <v>337.669783700187</v>
      </c>
      <c r="C9" s="26" t="n">
        <f aca="false">parametros_recargas!$E$83*'Plan mensual'!E21+parametros_recargas!$F$83*'Plan mensual'!E22+parametros_recargas!$G$83*'Plan mensual'!E23+parametros_recargas!$H$83*'Plan mensual'!E24+parametros_recargas!$I$83*'Plan mensual'!E25+parametros_recargas!$J$83*'Plan mensual'!E26+parametros_recargas!$K$83*'Plan mensual'!E27+parametros_recargas!$L$83*'Plan mensual'!E28+parametros_recargas!$M$83*'Plan mensual'!E30</f>
        <v>288.830654574478</v>
      </c>
      <c r="D9" s="26" t="n">
        <f aca="false">parametros_recargas!$E$83*'Plan mensual'!F21+parametros_recargas!$F$83*'Plan mensual'!F22+parametros_recargas!$G$83*'Plan mensual'!F23+parametros_recargas!$H$83*'Plan mensual'!F24+parametros_recargas!$I$83*'Plan mensual'!F25+parametros_recargas!$J$83*'Plan mensual'!F26+parametros_recargas!$K$83*'Plan mensual'!F27+parametros_recargas!$L$83*'Plan mensual'!F28+parametros_recargas!$M$83*'Plan mensual'!F30</f>
        <v>267.329671293431</v>
      </c>
      <c r="E9" s="26" t="n">
        <f aca="false">parametros_recargas!$E$83*'Plan mensual'!G21+parametros_recargas!$F$83*'Plan mensual'!G22+parametros_recargas!$G$83*'Plan mensual'!G23+parametros_recargas!$H$83*'Plan mensual'!G24+parametros_recargas!$I$83*'Plan mensual'!G25+parametros_recargas!$J$83*'Plan mensual'!G26+parametros_recargas!$K$83*'Plan mensual'!G27+parametros_recargas!$L$83*'Plan mensual'!G28+parametros_recargas!$M$83*'Plan mensual'!G30</f>
        <v>293.188446336815</v>
      </c>
      <c r="F9" s="26" t="n">
        <f aca="false">parametros_recargas!$E$83*'Plan mensual'!H21+parametros_recargas!$F$83*'Plan mensual'!H22+parametros_recargas!$G$83*'Plan mensual'!H23+parametros_recargas!$H$83*'Plan mensual'!H24+parametros_recargas!$I$83*'Plan mensual'!H25+parametros_recargas!$J$83*'Plan mensual'!H26+parametros_recargas!$K$83*'Plan mensual'!H27+parametros_recargas!$L$83*'Plan mensual'!H28+parametros_recargas!$M$83*'Plan mensual'!H30</f>
        <v>295.302839620689</v>
      </c>
      <c r="G9" s="26" t="n">
        <f aca="false">parametros_recargas!$E$83*'Plan mensual'!I21+parametros_recargas!$F$83*'Plan mensual'!I22+parametros_recargas!$G$83*'Plan mensual'!I23+parametros_recargas!$H$83*'Plan mensual'!I24+parametros_recargas!$I$83*'Plan mensual'!I25+parametros_recargas!$J$83*'Plan mensual'!I26+parametros_recargas!$K$83*'Plan mensual'!I27+parametros_recargas!$L$83*'Plan mensual'!I28+parametros_recargas!$M$83*'Plan mensual'!I30</f>
        <v>292.603478357204</v>
      </c>
      <c r="H9" s="26" t="n">
        <f aca="false">parametros_recargas!$E$83*'Plan mensual'!J21+parametros_recargas!$F$83*'Plan mensual'!J22+parametros_recargas!$G$83*'Plan mensual'!J23+parametros_recargas!$H$83*'Plan mensual'!J24+parametros_recargas!$I$83*'Plan mensual'!J25+parametros_recargas!$J$83*'Plan mensual'!J26+parametros_recargas!$K$83*'Plan mensual'!J27+parametros_recargas!$L$83*'Plan mensual'!J28+parametros_recargas!$M$83*'Plan mensual'!J30</f>
        <v>262.180692971258</v>
      </c>
      <c r="I9" s="26" t="n">
        <f aca="false">parametros_recargas!$E$83*'Plan mensual'!K21+parametros_recargas!$F$83*'Plan mensual'!K22+parametros_recargas!$G$83*'Plan mensual'!K23+parametros_recargas!$H$83*'Plan mensual'!K24+parametros_recargas!$I$83*'Plan mensual'!K25+parametros_recargas!$J$83*'Plan mensual'!K26+parametros_recargas!$K$83*'Plan mensual'!K27+parametros_recargas!$L$83*'Plan mensual'!K28+parametros_recargas!$M$83*'Plan mensual'!K30</f>
        <v>264.680364532934</v>
      </c>
      <c r="J9" s="26" t="n">
        <f aca="false">parametros_recargas!$E$83*'Plan mensual'!L21+parametros_recargas!$F$83*'Plan mensual'!L22+parametros_recargas!$G$83*'Plan mensual'!L23+parametros_recargas!$H$83*'Plan mensual'!L24+parametros_recargas!$I$83*'Plan mensual'!L25+parametros_recargas!$J$83*'Plan mensual'!L26+parametros_recargas!$K$83*'Plan mensual'!L27+parametros_recargas!$L$83*'Plan mensual'!L28+parametros_recargas!$M$83*'Plan mensual'!L30</f>
        <v>267.031252988603</v>
      </c>
      <c r="K9" s="26" t="n">
        <f aca="false">parametros_recargas!$E$83*'Plan mensual'!M21+parametros_recargas!$F$83*'Plan mensual'!M22+parametros_recargas!$G$83*'Plan mensual'!M23+parametros_recargas!$H$83*'Plan mensual'!M24+parametros_recargas!$I$83*'Plan mensual'!M25+parametros_recargas!$J$83*'Plan mensual'!M26+parametros_recargas!$K$83*'Plan mensual'!M27+parametros_recargas!$L$83*'Plan mensual'!M28+parametros_recargas!$M$83*'Plan mensual'!M30</f>
        <v>267.031252988603</v>
      </c>
      <c r="L9" s="26" t="n">
        <f aca="false">parametros_recargas!$E$83*'Plan mensual'!N21+parametros_recargas!$F$83*'Plan mensual'!N22+parametros_recargas!$G$83*'Plan mensual'!N23+parametros_recargas!$H$83*'Plan mensual'!N24+parametros_recargas!$I$83*'Plan mensual'!N25+parametros_recargas!$J$83*'Plan mensual'!N26+parametros_recargas!$K$83*'Plan mensual'!N27+parametros_recargas!$L$83*'Plan mensual'!N28+parametros_recargas!$M$83*'Plan mensual'!N30</f>
        <v>313.755988830437</v>
      </c>
      <c r="M9" s="26" t="n">
        <f aca="false">parametros_recargas!$E$83*'Plan mensual'!O21+parametros_recargas!$F$83*'Plan mensual'!O22+parametros_recargas!$G$83*'Plan mensual'!O23+parametros_recargas!$H$83*'Plan mensual'!O24+parametros_recargas!$I$83*'Plan mensual'!O25+parametros_recargas!$J$83*'Plan mensual'!O26+parametros_recargas!$K$83*'Plan mensual'!O27+parametros_recargas!$L$83*'Plan mensual'!O28+parametros_recargas!$M$83*'Plan mensual'!O30</f>
        <v>365.29447921963</v>
      </c>
      <c r="N9" s="12" t="n">
        <f aca="false">SUM(B9:M9)</f>
        <v>3514.89890541427</v>
      </c>
      <c r="O9" s="27" t="n">
        <f aca="false">MAX(B9:M9)</f>
        <v>365.29447921963</v>
      </c>
      <c r="P9" s="16" t="n">
        <f aca="false">O9/parametros_recargas!$B$6</f>
        <v>2.43529652813087</v>
      </c>
    </row>
    <row r="10" customFormat="false" ht="15" hidden="false" customHeight="false" outlineLevel="0" collapsed="false">
      <c r="A10" s="6" t="str">
        <f aca="false">parametros_recargas!$B$84</f>
        <v>Desarme e inspección interior — zona general</v>
      </c>
      <c r="B10" s="26" t="n">
        <f aca="false">parametros_recargas!$E$84*'Plan mensual'!D21+parametros_recargas!$F$84*'Plan mensual'!D22+parametros_recargas!$G$84*'Plan mensual'!D23+parametros_recargas!$H$84*'Plan mensual'!D24+parametros_recargas!$I$84*'Plan mensual'!D25+parametros_recargas!$J$84*'Plan mensual'!D26+parametros_recargas!$K$84*'Plan mensual'!D27+parametros_recargas!$L$84*'Plan mensual'!D28+parametros_recargas!$M$84*'Plan mensual'!D30</f>
        <v>20.0011424795809</v>
      </c>
      <c r="C10" s="26" t="n">
        <f aca="false">parametros_recargas!$E$84*'Plan mensual'!E21+parametros_recargas!$F$84*'Plan mensual'!E22+parametros_recargas!$G$84*'Plan mensual'!E23+parametros_recargas!$H$84*'Plan mensual'!E24+parametros_recargas!$I$84*'Plan mensual'!E25+parametros_recargas!$J$84*'Plan mensual'!E26+parametros_recargas!$K$84*'Plan mensual'!E27+parametros_recargas!$L$84*'Plan mensual'!E28+parametros_recargas!$M$84*'Plan mensual'!E30</f>
        <v>20.0011424795809</v>
      </c>
      <c r="D10" s="26" t="n">
        <f aca="false">parametros_recargas!$E$84*'Plan mensual'!F21+parametros_recargas!$F$84*'Plan mensual'!F22+parametros_recargas!$G$84*'Plan mensual'!F23+parametros_recargas!$H$84*'Plan mensual'!F24+parametros_recargas!$I$84*'Plan mensual'!F25+parametros_recargas!$J$84*'Plan mensual'!F26+parametros_recargas!$K$84*'Plan mensual'!F27+parametros_recargas!$L$84*'Plan mensual'!F28+parametros_recargas!$M$84*'Plan mensual'!F30</f>
        <v>23.7517838133013</v>
      </c>
      <c r="E10" s="26" t="n">
        <f aca="false">parametros_recargas!$E$84*'Plan mensual'!G21+parametros_recargas!$F$84*'Plan mensual'!G22+parametros_recargas!$G$84*'Plan mensual'!G23+parametros_recargas!$H$84*'Plan mensual'!G24+parametros_recargas!$I$84*'Plan mensual'!G25+parametros_recargas!$J$84*'Plan mensual'!G26+parametros_recargas!$K$84*'Plan mensual'!G27+parametros_recargas!$L$84*'Plan mensual'!G28+parametros_recargas!$M$84*'Plan mensual'!G30</f>
        <v>27.4060573453907</v>
      </c>
      <c r="F10" s="26" t="n">
        <f aca="false">parametros_recargas!$E$84*'Plan mensual'!H21+parametros_recargas!$F$84*'Plan mensual'!H22+parametros_recargas!$G$84*'Plan mensual'!H23+parametros_recargas!$H$84*'Plan mensual'!H24+parametros_recargas!$I$84*'Plan mensual'!H25+parametros_recargas!$J$84*'Plan mensual'!H26+parametros_recargas!$K$84*'Plan mensual'!H27+parametros_recargas!$L$84*'Plan mensual'!H28+parametros_recargas!$M$84*'Plan mensual'!H30</f>
        <v>27.6327581140529</v>
      </c>
      <c r="G10" s="26" t="n">
        <f aca="false">parametros_recargas!$E$84*'Plan mensual'!I21+parametros_recargas!$F$84*'Plan mensual'!I22+parametros_recargas!$G$84*'Plan mensual'!I23+parametros_recargas!$H$84*'Plan mensual'!I24+parametros_recargas!$I$84*'Plan mensual'!I25+parametros_recargas!$J$84*'Plan mensual'!I26+parametros_recargas!$K$84*'Plan mensual'!I27+parametros_recargas!$L$84*'Plan mensual'!I28+parametros_recargas!$M$84*'Plan mensual'!I30</f>
        <v>27.074406549425</v>
      </c>
      <c r="H10" s="26" t="n">
        <f aca="false">parametros_recargas!$E$84*'Plan mensual'!J21+parametros_recargas!$F$84*'Plan mensual'!J22+parametros_recargas!$G$84*'Plan mensual'!J23+parametros_recargas!$H$84*'Plan mensual'!J24+parametros_recargas!$I$84*'Plan mensual'!J25+parametros_recargas!$J$84*'Plan mensual'!J26+parametros_recargas!$K$84*'Plan mensual'!J27+parametros_recargas!$L$84*'Plan mensual'!J28+parametros_recargas!$M$84*'Plan mensual'!J30</f>
        <v>22.8237989027131</v>
      </c>
      <c r="I10" s="26" t="n">
        <f aca="false">parametros_recargas!$E$84*'Plan mensual'!K21+parametros_recargas!$F$84*'Plan mensual'!K22+parametros_recargas!$G$84*'Plan mensual'!K23+parametros_recargas!$H$84*'Plan mensual'!K24+parametros_recargas!$I$84*'Plan mensual'!K25+parametros_recargas!$J$84*'Plan mensual'!K26+parametros_recargas!$K$84*'Plan mensual'!K27+parametros_recargas!$L$84*'Plan mensual'!K28+parametros_recargas!$M$84*'Plan mensual'!K30</f>
        <v>22.992114419739</v>
      </c>
      <c r="J10" s="26" t="n">
        <f aca="false">parametros_recargas!$E$84*'Plan mensual'!L21+parametros_recargas!$F$84*'Plan mensual'!L22+parametros_recargas!$G$84*'Plan mensual'!L23+parametros_recargas!$H$84*'Plan mensual'!L24+parametros_recargas!$I$84*'Plan mensual'!L25+parametros_recargas!$J$84*'Plan mensual'!L26+parametros_recargas!$K$84*'Plan mensual'!L27+parametros_recargas!$L$84*'Plan mensual'!L28+parametros_recargas!$M$84*'Plan mensual'!L30</f>
        <v>23.5149276236168</v>
      </c>
      <c r="K10" s="26" t="n">
        <f aca="false">parametros_recargas!$E$84*'Plan mensual'!M21+parametros_recargas!$F$84*'Plan mensual'!M22+parametros_recargas!$G$84*'Plan mensual'!M23+parametros_recargas!$H$84*'Plan mensual'!M24+parametros_recargas!$I$84*'Plan mensual'!M25+parametros_recargas!$J$84*'Plan mensual'!M26+parametros_recargas!$K$84*'Plan mensual'!M27+parametros_recargas!$L$84*'Plan mensual'!M28+parametros_recargas!$M$84*'Plan mensual'!M30</f>
        <v>23.5149276236168</v>
      </c>
      <c r="L10" s="26" t="n">
        <f aca="false">parametros_recargas!$E$84*'Plan mensual'!N21+parametros_recargas!$F$84*'Plan mensual'!N22+parametros_recargas!$G$84*'Plan mensual'!N23+parametros_recargas!$H$84*'Plan mensual'!N24+parametros_recargas!$I$84*'Plan mensual'!N25+parametros_recargas!$J$84*'Plan mensual'!N26+parametros_recargas!$K$84*'Plan mensual'!N27+parametros_recargas!$L$84*'Plan mensual'!N28+parametros_recargas!$M$84*'Plan mensual'!N30</f>
        <v>23.2882268549545</v>
      </c>
      <c r="M10" s="26" t="n">
        <f aca="false">parametros_recargas!$E$84*'Plan mensual'!O21+parametros_recargas!$F$84*'Plan mensual'!O22+parametros_recargas!$G$84*'Plan mensual'!O23+parametros_recargas!$H$84*'Plan mensual'!O24+parametros_recargas!$I$84*'Plan mensual'!O25+parametros_recargas!$J$84*'Plan mensual'!O26+parametros_recargas!$K$84*'Plan mensual'!O27+parametros_recargas!$L$84*'Plan mensual'!O28+parametros_recargas!$M$84*'Plan mensual'!O30</f>
        <v>23.8465784195824</v>
      </c>
      <c r="N10" s="12" t="n">
        <f aca="false">SUM(B10:M10)</f>
        <v>285.847864625554</v>
      </c>
      <c r="O10" s="27" t="n">
        <f aca="false">MAX(B10:M10)</f>
        <v>27.6327581140529</v>
      </c>
      <c r="P10" s="16" t="n">
        <f aca="false">O10/parametros_recargas!$B$6</f>
        <v>0.18421838742702</v>
      </c>
    </row>
    <row r="11" customFormat="false" ht="15" hidden="false" customHeight="false" outlineLevel="0" collapsed="false">
      <c r="A11" s="6" t="str">
        <f aca="false">parametros_recargas!$B$85</f>
        <v>Laboratorio — Puffer y mufla</v>
      </c>
      <c r="B11" s="26" t="n">
        <f aca="false">parametros_recargas!$E$85*'Plan mensual'!D21+parametros_recargas!$F$85*'Plan mensual'!D22+parametros_recargas!$G$85*'Plan mensual'!D23+parametros_recargas!$H$85*'Plan mensual'!D24+parametros_recargas!$I$85*'Plan mensual'!D25+parametros_recargas!$J$85*'Plan mensual'!D26+parametros_recargas!$K$85*'Plan mensual'!D27+parametros_recargas!$L$85*'Plan mensual'!D28+parametros_recargas!$M$85*'Plan mensual'!D30</f>
        <v>3.50749251412876</v>
      </c>
      <c r="C11" s="26" t="n">
        <f aca="false">parametros_recargas!$E$85*'Plan mensual'!E21+parametros_recargas!$F$85*'Plan mensual'!E22+parametros_recargas!$G$85*'Plan mensual'!E23+parametros_recargas!$H$85*'Plan mensual'!E24+parametros_recargas!$I$85*'Plan mensual'!E25+parametros_recargas!$J$85*'Plan mensual'!E26+parametros_recargas!$K$85*'Plan mensual'!E27+parametros_recargas!$L$85*'Plan mensual'!E28+parametros_recargas!$M$85*'Plan mensual'!E30</f>
        <v>2.99923385817635</v>
      </c>
      <c r="D11" s="26" t="n">
        <f aca="false">parametros_recargas!$E$85*'Plan mensual'!F21+parametros_recargas!$F$85*'Plan mensual'!F22+parametros_recargas!$G$85*'Plan mensual'!F23+parametros_recargas!$H$85*'Plan mensual'!F24+parametros_recargas!$I$85*'Plan mensual'!F25+parametros_recargas!$J$85*'Plan mensual'!F26+parametros_recargas!$K$85*'Plan mensual'!F27+parametros_recargas!$L$85*'Plan mensual'!F28+parametros_recargas!$M$85*'Plan mensual'!F30</f>
        <v>2.77547759839635</v>
      </c>
      <c r="E11" s="26" t="n">
        <f aca="false">parametros_recargas!$E$85*'Plan mensual'!G21+parametros_recargas!$F$85*'Plan mensual'!G22+parametros_recargas!$G$85*'Plan mensual'!G23+parametros_recargas!$H$85*'Plan mensual'!G24+parametros_recargas!$I$85*'Plan mensual'!G25+parametros_recargas!$J$85*'Plan mensual'!G26+parametros_recargas!$K$85*'Plan mensual'!G27+parametros_recargas!$L$85*'Plan mensual'!G28+parametros_recargas!$M$85*'Plan mensual'!G30</f>
        <v>3.04458449041929</v>
      </c>
      <c r="F11" s="26" t="n">
        <f aca="false">parametros_recargas!$E$85*'Plan mensual'!H21+parametros_recargas!$F$85*'Plan mensual'!H22+parametros_recargas!$G$85*'Plan mensual'!H23+parametros_recargas!$H$85*'Plan mensual'!H24+parametros_recargas!$I$85*'Plan mensual'!H25+parametros_recargas!$J$85*'Plan mensual'!H26+parametros_recargas!$K$85*'Plan mensual'!H27+parametros_recargas!$L$85*'Plan mensual'!H28+parametros_recargas!$M$85*'Plan mensual'!H30</f>
        <v>3.06658854143033</v>
      </c>
      <c r="G11" s="26" t="n">
        <f aca="false">parametros_recargas!$E$85*'Plan mensual'!I21+parametros_recargas!$F$85*'Plan mensual'!I22+parametros_recargas!$G$85*'Plan mensual'!I23+parametros_recargas!$H$85*'Plan mensual'!I24+parametros_recargas!$I$85*'Plan mensual'!I25+parametros_recargas!$J$85*'Plan mensual'!I26+parametros_recargas!$K$85*'Plan mensual'!I27+parametros_recargas!$L$85*'Plan mensual'!I28+parametros_recargas!$M$85*'Plan mensual'!I30</f>
        <v>3.03849685035661</v>
      </c>
      <c r="H11" s="26" t="n">
        <f aca="false">parametros_recargas!$E$85*'Plan mensual'!J21+parametros_recargas!$F$85*'Plan mensual'!J22+parametros_recargas!$G$85*'Plan mensual'!J23+parametros_recargas!$H$85*'Plan mensual'!J24+parametros_recargas!$I$85*'Plan mensual'!J25+parametros_recargas!$J$85*'Plan mensual'!J26+parametros_recargas!$K$85*'Plan mensual'!J27+parametros_recargas!$L$85*'Plan mensual'!J28+parametros_recargas!$M$85*'Plan mensual'!J30</f>
        <v>2.72189325222959</v>
      </c>
      <c r="I11" s="26" t="n">
        <f aca="false">parametros_recargas!$E$85*'Plan mensual'!K21+parametros_recargas!$F$85*'Plan mensual'!K22+parametros_recargas!$G$85*'Plan mensual'!K23+parametros_recargas!$H$85*'Plan mensual'!K24+parametros_recargas!$I$85*'Plan mensual'!K25+parametros_recargas!$J$85*'Plan mensual'!K26+parametros_recargas!$K$85*'Plan mensual'!K27+parametros_recargas!$L$85*'Plan mensual'!K28+parametros_recargas!$M$85*'Plan mensual'!K30</f>
        <v>2.74790681412152</v>
      </c>
      <c r="J11" s="26" t="n">
        <f aca="false">parametros_recargas!$E$85*'Plan mensual'!L21+parametros_recargas!$F$85*'Plan mensual'!L22+parametros_recargas!$G$85*'Plan mensual'!L23+parametros_recargas!$H$85*'Plan mensual'!L24+parametros_recargas!$I$85*'Plan mensual'!L25+parametros_recargas!$J$85*'Plan mensual'!L26+parametros_recargas!$K$85*'Plan mensual'!L27+parametros_recargas!$L$85*'Plan mensual'!L28+parametros_recargas!$M$85*'Plan mensual'!L30</f>
        <v>2.7723720211832</v>
      </c>
      <c r="K11" s="26" t="n">
        <f aca="false">parametros_recargas!$E$85*'Plan mensual'!M21+parametros_recargas!$F$85*'Plan mensual'!M22+parametros_recargas!$G$85*'Plan mensual'!M23+parametros_recargas!$H$85*'Plan mensual'!M24+parametros_recargas!$I$85*'Plan mensual'!M25+parametros_recargas!$J$85*'Plan mensual'!M26+parametros_recargas!$K$85*'Plan mensual'!M27+parametros_recargas!$L$85*'Plan mensual'!M28+parametros_recargas!$M$85*'Plan mensual'!M30</f>
        <v>2.7723720211832</v>
      </c>
      <c r="L11" s="26" t="n">
        <f aca="false">parametros_recargas!$E$85*'Plan mensual'!N21+parametros_recargas!$F$85*'Plan mensual'!N22+parametros_recargas!$G$85*'Plan mensual'!N23+parametros_recargas!$H$85*'Plan mensual'!N24+parametros_recargas!$I$85*'Plan mensual'!N25+parametros_recargas!$J$85*'Plan mensual'!N26+parametros_recargas!$K$85*'Plan mensual'!N27+parametros_recargas!$L$85*'Plan mensual'!N28+parametros_recargas!$M$85*'Plan mensual'!N30</f>
        <v>3.25862662612457</v>
      </c>
      <c r="M11" s="26" t="n">
        <f aca="false">parametros_recargas!$E$85*'Plan mensual'!O21+parametros_recargas!$F$85*'Plan mensual'!O22+parametros_recargas!$G$85*'Plan mensual'!O23+parametros_recargas!$H$85*'Plan mensual'!O24+parametros_recargas!$I$85*'Plan mensual'!O25+parametros_recargas!$J$85*'Plan mensual'!O26+parametros_recargas!$K$85*'Plan mensual'!O27+parametros_recargas!$L$85*'Plan mensual'!O28+parametros_recargas!$M$85*'Plan mensual'!O30</f>
        <v>3.7949769731507</v>
      </c>
      <c r="N11" s="12" t="n">
        <f aca="false">SUM(B11:M11)</f>
        <v>36.5000215609005</v>
      </c>
      <c r="O11" s="27" t="n">
        <f aca="false">MAX(B11:M11)</f>
        <v>3.7949769731507</v>
      </c>
      <c r="P11" s="16" t="n">
        <f aca="false">O11/parametros_recargas!$B$6</f>
        <v>0.0252998464876713</v>
      </c>
    </row>
    <row r="12" customFormat="false" ht="15" hidden="false" customHeight="false" outlineLevel="0" collapsed="false">
      <c r="A12" s="6" t="str">
        <f aca="false">parametros_recargas!$B$86</f>
        <v>Prueba hidráulica</v>
      </c>
      <c r="B12" s="26" t="n">
        <f aca="false">parametros_recargas!$E$86*'Plan mensual'!D21+parametros_recargas!$F$86*'Plan mensual'!D22+parametros_recargas!$G$86*'Plan mensual'!D23+parametros_recargas!$H$86*'Plan mensual'!D24+parametros_recargas!$I$86*'Plan mensual'!D25+parametros_recargas!$J$86*'Plan mensual'!D26+parametros_recargas!$K$86*'Plan mensual'!D27+parametros_recargas!$L$86*'Plan mensual'!D28+parametros_recargas!$M$86*'Plan mensual'!D30</f>
        <v>97.2279420105916</v>
      </c>
      <c r="C12" s="26" t="n">
        <f aca="false">parametros_recargas!$E$86*'Plan mensual'!E21+parametros_recargas!$F$86*'Plan mensual'!E22+parametros_recargas!$G$86*'Plan mensual'!E23+parametros_recargas!$H$86*'Plan mensual'!E24+parametros_recargas!$I$86*'Plan mensual'!E25+parametros_recargas!$J$86*'Plan mensual'!E26+parametros_recargas!$K$86*'Plan mensual'!E27+parametros_recargas!$L$86*'Plan mensual'!E28+parametros_recargas!$M$86*'Plan mensual'!E30</f>
        <v>85.0181597291645</v>
      </c>
      <c r="D12" s="26" t="n">
        <f aca="false">parametros_recargas!$E$86*'Plan mensual'!F21+parametros_recargas!$F$86*'Plan mensual'!F22+parametros_recargas!$G$86*'Plan mensual'!F23+parametros_recargas!$H$86*'Plan mensual'!F24+parametros_recargas!$I$86*'Plan mensual'!F25+parametros_recargas!$J$86*'Plan mensual'!F26+parametros_recargas!$K$86*'Plan mensual'!F27+parametros_recargas!$L$86*'Plan mensual'!F28+parametros_recargas!$M$86*'Plan mensual'!F30</f>
        <v>82.1937181960637</v>
      </c>
      <c r="E12" s="26" t="n">
        <f aca="false">parametros_recargas!$E$86*'Plan mensual'!G21+parametros_recargas!$F$86*'Plan mensual'!G22+parametros_recargas!$G$86*'Plan mensual'!G23+parametros_recargas!$H$86*'Plan mensual'!G24+parametros_recargas!$I$86*'Plan mensual'!G25+parametros_recargas!$J$86*'Plan mensual'!G26+parametros_recargas!$K$86*'Plan mensual'!G27+parametros_recargas!$L$86*'Plan mensual'!G28+parametros_recargas!$M$86*'Plan mensual'!G30</f>
        <v>91.1473739031283</v>
      </c>
      <c r="F12" s="26" t="n">
        <f aca="false">parametros_recargas!$E$86*'Plan mensual'!H21+parametros_recargas!$F$86*'Plan mensual'!H22+parametros_recargas!$G$86*'Plan mensual'!H23+parametros_recargas!$H$86*'Plan mensual'!H24+parametros_recargas!$I$86*'Plan mensual'!H25+parametros_recargas!$J$86*'Plan mensual'!H26+parametros_recargas!$K$86*'Plan mensual'!H27+parametros_recargas!$L$86*'Plan mensual'!H28+parametros_recargas!$M$86*'Plan mensual'!H30</f>
        <v>91.8186476780821</v>
      </c>
      <c r="G12" s="26" t="n">
        <f aca="false">parametros_recargas!$E$86*'Plan mensual'!I21+parametros_recargas!$F$86*'Plan mensual'!I22+parametros_recargas!$G$86*'Plan mensual'!I23+parametros_recargas!$H$86*'Plan mensual'!I24+parametros_recargas!$I$86*'Plan mensual'!I25+parametros_recargas!$J$86*'Plan mensual'!I26+parametros_recargas!$K$86*'Plan mensual'!I27+parametros_recargas!$L$86*'Plan mensual'!I28+parametros_recargas!$M$86*'Plan mensual'!I30</f>
        <v>90.7798055743367</v>
      </c>
      <c r="H12" s="26" t="n">
        <f aca="false">parametros_recargas!$E$86*'Plan mensual'!J21+parametros_recargas!$F$86*'Plan mensual'!J22+parametros_recargas!$G$86*'Plan mensual'!J23+parametros_recargas!$H$86*'Plan mensual'!J24+parametros_recargas!$I$86*'Plan mensual'!J25+parametros_recargas!$J$86*'Plan mensual'!J26+parametros_recargas!$K$86*'Plan mensual'!J27+parametros_recargas!$L$86*'Plan mensual'!J28+parametros_recargas!$M$86*'Plan mensual'!J30</f>
        <v>80.3082593491752</v>
      </c>
      <c r="I12" s="26" t="n">
        <f aca="false">parametros_recargas!$E$86*'Plan mensual'!K21+parametros_recargas!$F$86*'Plan mensual'!K22+parametros_recargas!$G$86*'Plan mensual'!K23+parametros_recargas!$H$86*'Plan mensual'!K24+parametros_recargas!$I$86*'Plan mensual'!K25+parametros_recargas!$J$86*'Plan mensual'!K26+parametros_recargas!$K$86*'Plan mensual'!K27+parametros_recargas!$L$86*'Plan mensual'!K28+parametros_recargas!$M$86*'Plan mensual'!K30</f>
        <v>81.026896497219</v>
      </c>
      <c r="J12" s="26" t="n">
        <f aca="false">parametros_recargas!$E$86*'Plan mensual'!L21+parametros_recargas!$F$86*'Plan mensual'!L22+parametros_recargas!$G$86*'Plan mensual'!L23+parametros_recargas!$H$86*'Plan mensual'!L24+parametros_recargas!$I$86*'Plan mensual'!L25+parametros_recargas!$J$86*'Plan mensual'!L26+parametros_recargas!$K$86*'Plan mensual'!L27+parametros_recargas!$L$86*'Plan mensual'!L28+parametros_recargas!$M$86*'Plan mensual'!L30</f>
        <v>81.9535967425457</v>
      </c>
      <c r="K12" s="26" t="n">
        <f aca="false">parametros_recargas!$E$86*'Plan mensual'!M21+parametros_recargas!$F$86*'Plan mensual'!M22+parametros_recargas!$G$86*'Plan mensual'!M23+parametros_recargas!$H$86*'Plan mensual'!M24+parametros_recargas!$I$86*'Plan mensual'!M25+parametros_recargas!$J$86*'Plan mensual'!M26+parametros_recargas!$K$86*'Plan mensual'!M27+parametros_recargas!$L$86*'Plan mensual'!M28+parametros_recargas!$M$86*'Plan mensual'!M30</f>
        <v>81.9535967425457</v>
      </c>
      <c r="L12" s="26" t="n">
        <f aca="false">parametros_recargas!$E$86*'Plan mensual'!N21+parametros_recargas!$F$86*'Plan mensual'!N22+parametros_recargas!$G$86*'Plan mensual'!N23+parametros_recargas!$H$86*'Plan mensual'!N24+parametros_recargas!$I$86*'Plan mensual'!N25+parametros_recargas!$J$86*'Plan mensual'!N26+parametros_recargas!$K$86*'Plan mensual'!N27+parametros_recargas!$L$86*'Plan mensual'!N28+parametros_recargas!$M$86*'Plan mensual'!N30</f>
        <v>93.492105249019</v>
      </c>
      <c r="M12" s="26" t="n">
        <f aca="false">parametros_recargas!$E$86*'Plan mensual'!O21+parametros_recargas!$F$86*'Plan mensual'!O22+parametros_recargas!$G$86*'Plan mensual'!O23+parametros_recargas!$H$86*'Plan mensual'!O24+parametros_recargas!$I$86*'Plan mensual'!O25+parametros_recargas!$J$86*'Plan mensual'!O26+parametros_recargas!$K$86*'Plan mensual'!O27+parametros_recargas!$L$86*'Plan mensual'!O28+parametros_recargas!$M$86*'Plan mensual'!O30</f>
        <v>106.740729634191</v>
      </c>
      <c r="N12" s="12" t="n">
        <f aca="false">SUM(B12:M12)</f>
        <v>1063.66083130606</v>
      </c>
      <c r="O12" s="27" t="n">
        <f aca="false">MAX(B12:M12)</f>
        <v>106.740729634191</v>
      </c>
      <c r="P12" s="16" t="n">
        <f aca="false">O12/parametros_recargas!$B$6</f>
        <v>0.711604864227942</v>
      </c>
    </row>
    <row r="13" customFormat="false" ht="15" hidden="false" customHeight="false" outlineLevel="0" collapsed="false">
      <c r="A13" s="6" t="str">
        <f aca="false">parametros_recargas!$B$87</f>
        <v>Secado</v>
      </c>
      <c r="B13" s="26" t="n">
        <f aca="false">parametros_recargas!$E$87*'Plan mensual'!D21+parametros_recargas!$F$87*'Plan mensual'!D22+parametros_recargas!$G$87*'Plan mensual'!D23+parametros_recargas!$H$87*'Plan mensual'!D24+parametros_recargas!$I$87*'Plan mensual'!D25+parametros_recargas!$J$87*'Plan mensual'!D26+parametros_recargas!$K$87*'Plan mensual'!D27+parametros_recargas!$L$87*'Plan mensual'!D28+parametros_recargas!$M$87*'Plan mensual'!D30</f>
        <v>93.1900374206084</v>
      </c>
      <c r="C13" s="26" t="n">
        <f aca="false">parametros_recargas!$E$87*'Plan mensual'!E21+parametros_recargas!$F$87*'Plan mensual'!E22+parametros_recargas!$G$87*'Plan mensual'!E23+parametros_recargas!$H$87*'Plan mensual'!E24+parametros_recargas!$I$87*'Plan mensual'!E25+parametros_recargas!$J$87*'Plan mensual'!E26+parametros_recargas!$K$87*'Plan mensual'!E27+parametros_recargas!$L$87*'Plan mensual'!E28+parametros_recargas!$M$87*'Plan mensual'!E30</f>
        <v>80.4918638479243</v>
      </c>
      <c r="D13" s="26" t="n">
        <f aca="false">parametros_recargas!$E$87*'Plan mensual'!F21+parametros_recargas!$F$87*'Plan mensual'!F22+parametros_recargas!$G$87*'Plan mensual'!F23+parametros_recargas!$H$87*'Plan mensual'!F24+parametros_recargas!$I$87*'Plan mensual'!F25+parametros_recargas!$J$87*'Plan mensual'!F26+parametros_recargas!$K$87*'Plan mensual'!F27+parametros_recargas!$L$87*'Plan mensual'!F28+parametros_recargas!$M$87*'Plan mensual'!F30</f>
        <v>76.3320554192592</v>
      </c>
      <c r="E13" s="26" t="n">
        <f aca="false">parametros_recargas!$E$87*'Plan mensual'!G21+parametros_recargas!$F$87*'Plan mensual'!G22+parametros_recargas!$G$87*'Plan mensual'!G23+parametros_recargas!$H$87*'Plan mensual'!G24+parametros_recargas!$I$87*'Plan mensual'!G25+parametros_recargas!$J$87*'Plan mensual'!G26+parametros_recargas!$K$87*'Plan mensual'!G27+parametros_recargas!$L$87*'Plan mensual'!G28+parametros_recargas!$M$87*'Plan mensual'!G30</f>
        <v>84.4644884116253</v>
      </c>
      <c r="F13" s="26" t="n">
        <f aca="false">parametros_recargas!$E$87*'Plan mensual'!H21+parametros_recargas!$F$87*'Plan mensual'!H22+parametros_recargas!$G$87*'Plan mensual'!H23+parametros_recargas!$H$87*'Plan mensual'!H24+parametros_recargas!$I$87*'Plan mensual'!H25+parametros_recargas!$J$87*'Plan mensual'!H26+parametros_recargas!$K$87*'Plan mensual'!H27+parametros_recargas!$L$87*'Plan mensual'!H28+parametros_recargas!$M$87*'Plan mensual'!H30</f>
        <v>85.0671425219649</v>
      </c>
      <c r="G13" s="26" t="n">
        <f aca="false">parametros_recargas!$E$87*'Plan mensual'!I21+parametros_recargas!$F$87*'Plan mensual'!I22+parametros_recargas!$G$87*'Plan mensual'!I23+parametros_recargas!$H$87*'Plan mensual'!I24+parametros_recargas!$I$87*'Plan mensual'!I25+parametros_recargas!$J$87*'Plan mensual'!I26+parametros_recargas!$K$87*'Plan mensual'!I27+parametros_recargas!$L$87*'Plan mensual'!I28+parametros_recargas!$M$87*'Plan mensual'!I30</f>
        <v>84.1932264621495</v>
      </c>
      <c r="H13" s="26" t="n">
        <f aca="false">parametros_recargas!$E$87*'Plan mensual'!J21+parametros_recargas!$F$87*'Plan mensual'!J22+parametros_recargas!$G$87*'Plan mensual'!J23+parametros_recargas!$H$87*'Plan mensual'!J24+parametros_recargas!$I$87*'Plan mensual'!J25+parametros_recargas!$J$87*'Plan mensual'!J26+parametros_recargas!$K$87*'Plan mensual'!J27+parametros_recargas!$L$87*'Plan mensual'!J28+parametros_recargas!$M$87*'Plan mensual'!J30</f>
        <v>74.7303149883229</v>
      </c>
      <c r="I13" s="26" t="n">
        <f aca="false">parametros_recargas!$E$87*'Plan mensual'!K21+parametros_recargas!$F$87*'Plan mensual'!K22+parametros_recargas!$G$87*'Plan mensual'!K23+parametros_recargas!$H$87*'Plan mensual'!K24+parametros_recargas!$I$87*'Plan mensual'!K25+parametros_recargas!$J$87*'Plan mensual'!K26+parametros_recargas!$K$87*'Plan mensual'!K27+parametros_recargas!$L$87*'Plan mensual'!K28+parametros_recargas!$M$87*'Plan mensual'!K30</f>
        <v>75.3835993686546</v>
      </c>
      <c r="J13" s="26" t="n">
        <f aca="false">parametros_recargas!$E$87*'Plan mensual'!L21+parametros_recargas!$F$87*'Plan mensual'!L22+parametros_recargas!$G$87*'Plan mensual'!L23+parametros_recargas!$H$87*'Plan mensual'!L24+parametros_recargas!$I$87*'Plan mensual'!L25+parametros_recargas!$J$87*'Plan mensual'!L26+parametros_recargas!$K$87*'Plan mensual'!L27+parametros_recargas!$L$87*'Plan mensual'!L28+parametros_recargas!$M$87*'Plan mensual'!L30</f>
        <v>76.1508020335784</v>
      </c>
      <c r="K13" s="26" t="n">
        <f aca="false">parametros_recargas!$E$87*'Plan mensual'!M21+parametros_recargas!$F$87*'Plan mensual'!M22+parametros_recargas!$G$87*'Plan mensual'!M23+parametros_recargas!$H$87*'Plan mensual'!M24+parametros_recargas!$I$87*'Plan mensual'!M25+parametros_recargas!$J$87*'Plan mensual'!M26+parametros_recargas!$K$87*'Plan mensual'!M27+parametros_recargas!$L$87*'Plan mensual'!M28+parametros_recargas!$M$87*'Plan mensual'!M30</f>
        <v>76.1508020335784</v>
      </c>
      <c r="L13" s="26" t="n">
        <f aca="false">parametros_recargas!$E$87*'Plan mensual'!N21+parametros_recargas!$F$87*'Plan mensual'!N22+parametros_recargas!$G$87*'Plan mensual'!N23+parametros_recargas!$H$87*'Plan mensual'!N24+parametros_recargas!$I$87*'Plan mensual'!N25+parametros_recargas!$J$87*'Plan mensual'!N26+parametros_recargas!$K$87*'Plan mensual'!N27+parametros_recargas!$L$87*'Plan mensual'!N28+parametros_recargas!$M$87*'Plan mensual'!N30</f>
        <v>88.246321495923</v>
      </c>
      <c r="M13" s="26" t="n">
        <f aca="false">parametros_recargas!$E$87*'Plan mensual'!O21+parametros_recargas!$F$87*'Plan mensual'!O22+parametros_recargas!$G$87*'Plan mensual'!O23+parametros_recargas!$H$87*'Plan mensual'!O24+parametros_recargas!$I$87*'Plan mensual'!O25+parametros_recargas!$J$87*'Plan mensual'!O26+parametros_recargas!$K$87*'Plan mensual'!O27+parametros_recargas!$L$87*'Plan mensual'!O28+parametros_recargas!$M$87*'Plan mensual'!O30</f>
        <v>101.818411128423</v>
      </c>
      <c r="N13" s="12" t="n">
        <f aca="false">SUM(B13:M13)</f>
        <v>996.219065132012</v>
      </c>
      <c r="O13" s="27" t="n">
        <f aca="false">MAX(B13:M13)</f>
        <v>101.818411128423</v>
      </c>
      <c r="P13" s="16" t="n">
        <f aca="false">O13/parametros_recargas!$B$6</f>
        <v>0.678789407522817</v>
      </c>
    </row>
    <row r="14" customFormat="false" ht="15" hidden="false" customHeight="false" outlineLevel="0" collapsed="false">
      <c r="A14" s="6" t="str">
        <f aca="false">parametros_recargas!$B$88</f>
        <v>Inspección interior con videoscopio</v>
      </c>
      <c r="B14" s="26" t="n">
        <f aca="false">parametros_recargas!$E$88*'Plan mensual'!D21+parametros_recargas!$F$88*'Plan mensual'!D22+parametros_recargas!$G$88*'Plan mensual'!D23+parametros_recargas!$H$88*'Plan mensual'!D24+parametros_recargas!$I$88*'Plan mensual'!D25+parametros_recargas!$J$88*'Plan mensual'!D26+parametros_recargas!$K$88*'Plan mensual'!D27+parametros_recargas!$L$88*'Plan mensual'!D28+parametros_recargas!$M$88*'Plan mensual'!D30</f>
        <v>93.1900374206084</v>
      </c>
      <c r="C14" s="26" t="n">
        <f aca="false">parametros_recargas!$E$88*'Plan mensual'!E21+parametros_recargas!$F$88*'Plan mensual'!E22+parametros_recargas!$G$88*'Plan mensual'!E23+parametros_recargas!$H$88*'Plan mensual'!E24+parametros_recargas!$I$88*'Plan mensual'!E25+parametros_recargas!$J$88*'Plan mensual'!E26+parametros_recargas!$K$88*'Plan mensual'!E27+parametros_recargas!$L$88*'Plan mensual'!E28+parametros_recargas!$M$88*'Plan mensual'!E30</f>
        <v>80.4918638479243</v>
      </c>
      <c r="D14" s="26" t="n">
        <f aca="false">parametros_recargas!$E$88*'Plan mensual'!F21+parametros_recargas!$F$88*'Plan mensual'!F22+parametros_recargas!$G$88*'Plan mensual'!F23+parametros_recargas!$H$88*'Plan mensual'!F24+parametros_recargas!$I$88*'Plan mensual'!F25+parametros_recargas!$J$88*'Plan mensual'!F26+parametros_recargas!$K$88*'Plan mensual'!F27+parametros_recargas!$L$88*'Plan mensual'!F28+parametros_recargas!$M$88*'Plan mensual'!F30</f>
        <v>76.3320554192592</v>
      </c>
      <c r="E14" s="26" t="n">
        <f aca="false">parametros_recargas!$E$88*'Plan mensual'!G21+parametros_recargas!$F$88*'Plan mensual'!G22+parametros_recargas!$G$88*'Plan mensual'!G23+parametros_recargas!$H$88*'Plan mensual'!G24+parametros_recargas!$I$88*'Plan mensual'!G25+parametros_recargas!$J$88*'Plan mensual'!G26+parametros_recargas!$K$88*'Plan mensual'!G27+parametros_recargas!$L$88*'Plan mensual'!G28+parametros_recargas!$M$88*'Plan mensual'!G30</f>
        <v>84.4644884116253</v>
      </c>
      <c r="F14" s="26" t="n">
        <f aca="false">parametros_recargas!$E$88*'Plan mensual'!H21+parametros_recargas!$F$88*'Plan mensual'!H22+parametros_recargas!$G$88*'Plan mensual'!H23+parametros_recargas!$H$88*'Plan mensual'!H24+parametros_recargas!$I$88*'Plan mensual'!H25+parametros_recargas!$J$88*'Plan mensual'!H26+parametros_recargas!$K$88*'Plan mensual'!H27+parametros_recargas!$L$88*'Plan mensual'!H28+parametros_recargas!$M$88*'Plan mensual'!H30</f>
        <v>85.0671425219649</v>
      </c>
      <c r="G14" s="26" t="n">
        <f aca="false">parametros_recargas!$E$88*'Plan mensual'!I21+parametros_recargas!$F$88*'Plan mensual'!I22+parametros_recargas!$G$88*'Plan mensual'!I23+parametros_recargas!$H$88*'Plan mensual'!I24+parametros_recargas!$I$88*'Plan mensual'!I25+parametros_recargas!$J$88*'Plan mensual'!I26+parametros_recargas!$K$88*'Plan mensual'!I27+parametros_recargas!$L$88*'Plan mensual'!I28+parametros_recargas!$M$88*'Plan mensual'!I30</f>
        <v>84.1932264621495</v>
      </c>
      <c r="H14" s="26" t="n">
        <f aca="false">parametros_recargas!$E$88*'Plan mensual'!J21+parametros_recargas!$F$88*'Plan mensual'!J22+parametros_recargas!$G$88*'Plan mensual'!J23+parametros_recargas!$H$88*'Plan mensual'!J24+parametros_recargas!$I$88*'Plan mensual'!J25+parametros_recargas!$J$88*'Plan mensual'!J26+parametros_recargas!$K$88*'Plan mensual'!J27+parametros_recargas!$L$88*'Plan mensual'!J28+parametros_recargas!$M$88*'Plan mensual'!J30</f>
        <v>74.7303149883229</v>
      </c>
      <c r="I14" s="26" t="n">
        <f aca="false">parametros_recargas!$E$88*'Plan mensual'!K21+parametros_recargas!$F$88*'Plan mensual'!K22+parametros_recargas!$G$88*'Plan mensual'!K23+parametros_recargas!$H$88*'Plan mensual'!K24+parametros_recargas!$I$88*'Plan mensual'!K25+parametros_recargas!$J$88*'Plan mensual'!K26+parametros_recargas!$K$88*'Plan mensual'!K27+parametros_recargas!$L$88*'Plan mensual'!K28+parametros_recargas!$M$88*'Plan mensual'!K30</f>
        <v>75.3835993686546</v>
      </c>
      <c r="J14" s="26" t="n">
        <f aca="false">parametros_recargas!$E$88*'Plan mensual'!L21+parametros_recargas!$F$88*'Plan mensual'!L22+parametros_recargas!$G$88*'Plan mensual'!L23+parametros_recargas!$H$88*'Plan mensual'!L24+parametros_recargas!$I$88*'Plan mensual'!L25+parametros_recargas!$J$88*'Plan mensual'!L26+parametros_recargas!$K$88*'Plan mensual'!L27+parametros_recargas!$L$88*'Plan mensual'!L28+parametros_recargas!$M$88*'Plan mensual'!L30</f>
        <v>76.1508020335784</v>
      </c>
      <c r="K14" s="26" t="n">
        <f aca="false">parametros_recargas!$E$88*'Plan mensual'!M21+parametros_recargas!$F$88*'Plan mensual'!M22+parametros_recargas!$G$88*'Plan mensual'!M23+parametros_recargas!$H$88*'Plan mensual'!M24+parametros_recargas!$I$88*'Plan mensual'!M25+parametros_recargas!$J$88*'Plan mensual'!M26+parametros_recargas!$K$88*'Plan mensual'!M27+parametros_recargas!$L$88*'Plan mensual'!M28+parametros_recargas!$M$88*'Plan mensual'!M30</f>
        <v>76.1508020335784</v>
      </c>
      <c r="L14" s="26" t="n">
        <f aca="false">parametros_recargas!$E$88*'Plan mensual'!N21+parametros_recargas!$F$88*'Plan mensual'!N22+parametros_recargas!$G$88*'Plan mensual'!N23+parametros_recargas!$H$88*'Plan mensual'!N24+parametros_recargas!$I$88*'Plan mensual'!N25+parametros_recargas!$J$88*'Plan mensual'!N26+parametros_recargas!$K$88*'Plan mensual'!N27+parametros_recargas!$L$88*'Plan mensual'!N28+parametros_recargas!$M$88*'Plan mensual'!N30</f>
        <v>88.246321495923</v>
      </c>
      <c r="M14" s="26" t="n">
        <f aca="false">parametros_recargas!$E$88*'Plan mensual'!O21+parametros_recargas!$F$88*'Plan mensual'!O22+parametros_recargas!$G$88*'Plan mensual'!O23+parametros_recargas!$H$88*'Plan mensual'!O24+parametros_recargas!$I$88*'Plan mensual'!O25+parametros_recargas!$J$88*'Plan mensual'!O26+parametros_recargas!$K$88*'Plan mensual'!O27+parametros_recargas!$L$88*'Plan mensual'!O28+parametros_recargas!$M$88*'Plan mensual'!O30</f>
        <v>101.818411128423</v>
      </c>
      <c r="N14" s="12" t="n">
        <f aca="false">SUM(B14:M14)</f>
        <v>996.219065132012</v>
      </c>
      <c r="O14" s="27" t="n">
        <f aca="false">MAX(B14:M14)</f>
        <v>101.818411128423</v>
      </c>
      <c r="P14" s="16" t="n">
        <f aca="false">O14/parametros_recargas!$B$6</f>
        <v>0.678789407522817</v>
      </c>
    </row>
    <row r="15" customFormat="false" ht="15" hidden="false" customHeight="false" outlineLevel="0" collapsed="false">
      <c r="A15" s="6" t="str">
        <f aca="false">parametros_recargas!$B$89</f>
        <v>Pintura</v>
      </c>
      <c r="B15" s="26" t="n">
        <f aca="false">parametros_recargas!$E$89*'Plan mensual'!D21+parametros_recargas!$F$89*'Plan mensual'!D22+parametros_recargas!$G$89*'Plan mensual'!D23+parametros_recargas!$H$89*'Plan mensual'!D24+parametros_recargas!$I$89*'Plan mensual'!D25+parametros_recargas!$J$89*'Plan mensual'!D26+parametros_recargas!$K$89*'Plan mensual'!D27+parametros_recargas!$L$89*'Plan mensual'!D28+parametros_recargas!$M$89*'Plan mensual'!D30</f>
        <v>55.9101680484326</v>
      </c>
      <c r="C15" s="26" t="n">
        <f aca="false">parametros_recargas!$E$89*'Plan mensual'!E21+parametros_recargas!$F$89*'Plan mensual'!E22+parametros_recargas!$G$89*'Plan mensual'!E23+parametros_recargas!$H$89*'Plan mensual'!E24+parametros_recargas!$I$89*'Plan mensual'!E25+parametros_recargas!$J$89*'Plan mensual'!E26+parametros_recargas!$K$89*'Plan mensual'!E27+parametros_recargas!$L$89*'Plan mensual'!E28+parametros_recargas!$M$89*'Plan mensual'!E30</f>
        <v>48.5842986795764</v>
      </c>
      <c r="D15" s="26" t="n">
        <f aca="false">parametros_recargas!$E$89*'Plan mensual'!F21+parametros_recargas!$F$89*'Plan mensual'!F22+parametros_recargas!$G$89*'Plan mensual'!F23+parametros_recargas!$H$89*'Plan mensual'!F24+parametros_recargas!$I$89*'Plan mensual'!F25+parametros_recargas!$J$89*'Plan mensual'!F26+parametros_recargas!$K$89*'Plan mensual'!F27+parametros_recargas!$L$89*'Plan mensual'!F28+parametros_recargas!$M$89*'Plan mensual'!F30</f>
        <v>46.5229714482691</v>
      </c>
      <c r="E15" s="26" t="n">
        <f aca="false">parametros_recargas!$E$89*'Plan mensual'!G21+parametros_recargas!$F$89*'Plan mensual'!G22+parametros_recargas!$G$89*'Plan mensual'!G23+parametros_recargas!$H$89*'Plan mensual'!G24+parametros_recargas!$I$89*'Plan mensual'!G25+parametros_recargas!$J$89*'Plan mensual'!G26+parametros_recargas!$K$89*'Plan mensual'!G27+parametros_recargas!$L$89*'Plan mensual'!G28+parametros_recargas!$M$89*'Plan mensual'!G30</f>
        <v>51.5417723566464</v>
      </c>
      <c r="F15" s="26" t="n">
        <f aca="false">parametros_recargas!$E$89*'Plan mensual'!H21+parametros_recargas!$F$89*'Plan mensual'!H22+parametros_recargas!$G$89*'Plan mensual'!H23+parametros_recargas!$H$89*'Plan mensual'!H24+parametros_recargas!$I$89*'Plan mensual'!H25+parametros_recargas!$J$89*'Plan mensual'!H26+parametros_recargas!$K$89*'Plan mensual'!H27+parametros_recargas!$L$89*'Plan mensual'!H28+parametros_recargas!$M$89*'Plan mensual'!H30</f>
        <v>51.9151594442705</v>
      </c>
      <c r="G15" s="26" t="n">
        <f aca="false">parametros_recargas!$E$89*'Plan mensual'!I21+parametros_recargas!$F$89*'Plan mensual'!I22+parametros_recargas!$G$89*'Plan mensual'!I23+parametros_recargas!$H$89*'Plan mensual'!I24+parametros_recargas!$I$89*'Plan mensual'!I25+parametros_recargas!$J$89*'Plan mensual'!I26+parametros_recargas!$K$89*'Plan mensual'!I27+parametros_recargas!$L$89*'Plan mensual'!I28+parametros_recargas!$M$89*'Plan mensual'!I30</f>
        <v>51.3546642514445</v>
      </c>
      <c r="H15" s="26" t="n">
        <f aca="false">parametros_recargas!$E$89*'Plan mensual'!J21+parametros_recargas!$F$89*'Plan mensual'!J22+parametros_recargas!$G$89*'Plan mensual'!J23+parametros_recargas!$H$89*'Plan mensual'!J24+parametros_recargas!$I$89*'Plan mensual'!J25+parametros_recargas!$J$89*'Plan mensual'!J26+parametros_recargas!$K$89*'Plan mensual'!J27+parametros_recargas!$L$89*'Plan mensual'!J28+parametros_recargas!$M$89*'Plan mensual'!J30</f>
        <v>45.5014006416839</v>
      </c>
      <c r="I15" s="26" t="n">
        <f aca="false">parametros_recargas!$E$89*'Plan mensual'!K21+parametros_recargas!$F$89*'Plan mensual'!K22+parametros_recargas!$G$89*'Plan mensual'!K23+parametros_recargas!$H$89*'Plan mensual'!K24+parametros_recargas!$I$89*'Plan mensual'!K25+parametros_recargas!$J$89*'Plan mensual'!K26+parametros_recargas!$K$89*'Plan mensual'!K27+parametros_recargas!$L$89*'Plan mensual'!K28+parametros_recargas!$M$89*'Plan mensual'!K30</f>
        <v>45.9030140086934</v>
      </c>
      <c r="J15" s="26" t="n">
        <f aca="false">parametros_recargas!$E$89*'Plan mensual'!L21+parametros_recargas!$F$89*'Plan mensual'!L22+parametros_recargas!$G$89*'Plan mensual'!L23+parametros_recargas!$H$89*'Plan mensual'!L24+parametros_recargas!$I$89*'Plan mensual'!L25+parametros_recargas!$J$89*'Plan mensual'!L26+parametros_recargas!$K$89*'Plan mensual'!L27+parametros_recargas!$L$89*'Plan mensual'!L28+parametros_recargas!$M$89*'Plan mensual'!L30</f>
        <v>46.3991411309936</v>
      </c>
      <c r="K15" s="26" t="n">
        <f aca="false">parametros_recargas!$E$89*'Plan mensual'!M21+parametros_recargas!$F$89*'Plan mensual'!M22+parametros_recargas!$G$89*'Plan mensual'!M23+parametros_recargas!$H$89*'Plan mensual'!M24+parametros_recargas!$I$89*'Plan mensual'!M25+parametros_recargas!$J$89*'Plan mensual'!M26+parametros_recargas!$K$89*'Plan mensual'!M27+parametros_recargas!$L$89*'Plan mensual'!M28+parametros_recargas!$M$89*'Plan mensual'!M30</f>
        <v>46.3991411309936</v>
      </c>
      <c r="L15" s="26" t="n">
        <f aca="false">parametros_recargas!$E$89*'Plan mensual'!N21+parametros_recargas!$F$89*'Plan mensual'!N22+parametros_recargas!$G$89*'Plan mensual'!N23+parametros_recargas!$H$89*'Plan mensual'!N24+parametros_recargas!$I$89*'Plan mensual'!N25+parametros_recargas!$J$89*'Plan mensual'!N26+parametros_recargas!$K$89*'Plan mensual'!N27+parametros_recargas!$L$89*'Plan mensual'!N28+parametros_recargas!$M$89*'Plan mensual'!N30</f>
        <v>53.3516234122258</v>
      </c>
      <c r="M15" s="26" t="n">
        <f aca="false">parametros_recargas!$E$89*'Plan mensual'!O21+parametros_recargas!$F$89*'Plan mensual'!O22+parametros_recargas!$G$89*'Plan mensual'!O23+parametros_recargas!$H$89*'Plan mensual'!O24+parametros_recargas!$I$89*'Plan mensual'!O25+parametros_recargas!$J$89*'Plan mensual'!O26+parametros_recargas!$K$89*'Plan mensual'!O27+parametros_recargas!$L$89*'Plan mensual'!O28+parametros_recargas!$M$89*'Plan mensual'!O30</f>
        <v>61.2379879739081</v>
      </c>
      <c r="N15" s="12" t="n">
        <f aca="false">SUM(B15:M15)</f>
        <v>604.621342527138</v>
      </c>
      <c r="O15" s="27" t="n">
        <f aca="false">MAX(B15:M15)</f>
        <v>61.2379879739081</v>
      </c>
      <c r="P15" s="16" t="n">
        <f aca="false">O15/parametros_recargas!$B$6</f>
        <v>0.408253253159387</v>
      </c>
    </row>
    <row r="16" customFormat="false" ht="15" hidden="false" customHeight="false" outlineLevel="0" collapsed="false">
      <c r="A16" s="6" t="str">
        <f aca="false">parametros_recargas!$B$90</f>
        <v>Carga de polvo ABC, BC y Clase D</v>
      </c>
      <c r="B16" s="26" t="n">
        <f aca="false">parametros_recargas!$E$90*'Plan mensual'!D21+parametros_recargas!$F$90*'Plan mensual'!D22+parametros_recargas!$G$90*'Plan mensual'!D23+parametros_recargas!$H$90*'Plan mensual'!D24+parametros_recargas!$I$90*'Plan mensual'!D25+parametros_recargas!$J$90*'Plan mensual'!D26+parametros_recargas!$K$90*'Plan mensual'!D27+parametros_recargas!$L$90*'Plan mensual'!D28+parametros_recargas!$M$90*'Plan mensual'!D30</f>
        <v>342.489948165108</v>
      </c>
      <c r="C16" s="26" t="n">
        <f aca="false">parametros_recargas!$E$90*'Plan mensual'!E21+parametros_recargas!$F$90*'Plan mensual'!E22+parametros_recargas!$G$90*'Plan mensual'!E23+parametros_recargas!$H$90*'Plan mensual'!E24+parametros_recargas!$I$90*'Plan mensual'!E25+parametros_recargas!$J$90*'Plan mensual'!E26+parametros_recargas!$K$90*'Plan mensual'!E27+parametros_recargas!$L$90*'Plan mensual'!E28+parametros_recargas!$M$90*'Plan mensual'!E30</f>
        <v>292.9563848844</v>
      </c>
      <c r="D16" s="26" t="n">
        <f aca="false">parametros_recargas!$E$90*'Plan mensual'!F21+parametros_recargas!$F$90*'Plan mensual'!F22+parametros_recargas!$G$90*'Plan mensual'!F23+parametros_recargas!$H$90*'Plan mensual'!F24+parametros_recargas!$I$90*'Plan mensual'!F25+parametros_recargas!$J$90*'Plan mensual'!F26+parametros_recargas!$K$90*'Plan mensual'!F27+parametros_recargas!$L$90*'Plan mensual'!F28+parametros_recargas!$M$90*'Plan mensual'!F30</f>
        <v>271.947052835852</v>
      </c>
      <c r="E16" s="26" t="n">
        <f aca="false">parametros_recargas!$E$90*'Plan mensual'!G21+parametros_recargas!$F$90*'Plan mensual'!G22+parametros_recargas!$G$90*'Plan mensual'!G23+parametros_recargas!$H$90*'Plan mensual'!G24+parametros_recargas!$I$90*'Plan mensual'!G25+parametros_recargas!$J$90*'Plan mensual'!G26+parametros_recargas!$K$90*'Plan mensual'!G27+parametros_recargas!$L$90*'Plan mensual'!G28+parametros_recargas!$M$90*'Plan mensual'!G30</f>
        <v>297.805827879236</v>
      </c>
      <c r="F16" s="26" t="n">
        <f aca="false">parametros_recargas!$E$90*'Plan mensual'!H21+parametros_recargas!$F$90*'Plan mensual'!H22+parametros_recargas!$G$90*'Plan mensual'!H23+parametros_recargas!$H$90*'Plan mensual'!H24+parametros_recargas!$I$90*'Plan mensual'!H25+parametros_recargas!$J$90*'Plan mensual'!H26+parametros_recargas!$K$90*'Plan mensual'!H27+parametros_recargas!$L$90*'Plan mensual'!H28+parametros_recargas!$M$90*'Plan mensual'!H30</f>
        <v>299.810221163111</v>
      </c>
      <c r="G16" s="26" t="n">
        <f aca="false">parametros_recargas!$E$90*'Plan mensual'!I21+parametros_recargas!$F$90*'Plan mensual'!I22+parametros_recargas!$G$90*'Plan mensual'!I23+parametros_recargas!$H$90*'Plan mensual'!I24+parametros_recargas!$I$90*'Plan mensual'!I25+parametros_recargas!$J$90*'Plan mensual'!I26+parametros_recargas!$K$90*'Plan mensual'!I27+parametros_recargas!$L$90*'Plan mensual'!I28+parametros_recargas!$M$90*'Plan mensual'!I30</f>
        <v>296.746425744626</v>
      </c>
      <c r="H16" s="26" t="n">
        <f aca="false">parametros_recargas!$E$90*'Plan mensual'!J21+parametros_recargas!$F$90*'Plan mensual'!J22+parametros_recargas!$G$90*'Plan mensual'!J23+parametros_recargas!$H$90*'Plan mensual'!J24+parametros_recargas!$I$90*'Plan mensual'!J25+parametros_recargas!$J$90*'Plan mensual'!J26+parametros_recargas!$K$90*'Plan mensual'!J27+parametros_recargas!$L$90*'Plan mensual'!J28+parametros_recargas!$M$90*'Plan mensual'!J30</f>
        <v>266.68807451368</v>
      </c>
      <c r="I16" s="26" t="n">
        <f aca="false">parametros_recargas!$E$90*'Plan mensual'!K21+parametros_recargas!$F$90*'Plan mensual'!K22+parametros_recargas!$G$90*'Plan mensual'!K23+parametros_recargas!$H$90*'Plan mensual'!K24+parametros_recargas!$I$90*'Plan mensual'!K25+parametros_recargas!$J$90*'Plan mensual'!K26+parametros_recargas!$K$90*'Plan mensual'!K27+parametros_recargas!$L$90*'Plan mensual'!K28+parametros_recargas!$M$90*'Plan mensual'!K30</f>
        <v>269.187746075355</v>
      </c>
      <c r="J16" s="26" t="n">
        <f aca="false">parametros_recargas!$E$90*'Plan mensual'!L21+parametros_recargas!$F$90*'Plan mensual'!L22+parametros_recargas!$G$90*'Plan mensual'!L23+parametros_recargas!$H$90*'Plan mensual'!L24+parametros_recargas!$I$90*'Plan mensual'!L25+parametros_recargas!$J$90*'Plan mensual'!L26+parametros_recargas!$K$90*'Plan mensual'!L27+parametros_recargas!$L$90*'Plan mensual'!L28+parametros_recargas!$M$90*'Plan mensual'!L30</f>
        <v>271.411417453524</v>
      </c>
      <c r="K16" s="26" t="n">
        <f aca="false">parametros_recargas!$E$90*'Plan mensual'!M21+parametros_recargas!$F$90*'Plan mensual'!M22+parametros_recargas!$G$90*'Plan mensual'!M23+parametros_recargas!$H$90*'Plan mensual'!M24+parametros_recargas!$I$90*'Plan mensual'!M25+parametros_recargas!$J$90*'Plan mensual'!M26+parametros_recargas!$K$90*'Plan mensual'!M27+parametros_recargas!$L$90*'Plan mensual'!M28+parametros_recargas!$M$90*'Plan mensual'!M30</f>
        <v>271.046983298524</v>
      </c>
      <c r="L16" s="26" t="n">
        <f aca="false">parametros_recargas!$E$90*'Plan mensual'!N21+parametros_recargas!$F$90*'Plan mensual'!N22+parametros_recargas!$G$90*'Plan mensual'!N23+parametros_recargas!$H$90*'Plan mensual'!N24+parametros_recargas!$I$90*'Plan mensual'!N25+parametros_recargas!$J$90*'Plan mensual'!N26+parametros_recargas!$K$90*'Plan mensual'!N27+parametros_recargas!$L$90*'Plan mensual'!N28+parametros_recargas!$M$90*'Plan mensual'!N30</f>
        <v>317.534502062858</v>
      </c>
      <c r="M16" s="26" t="n">
        <f aca="false">parametros_recargas!$E$90*'Plan mensual'!O21+parametros_recargas!$F$90*'Plan mensual'!O22+parametros_recargas!$G$90*'Plan mensual'!O23+parametros_recargas!$H$90*'Plan mensual'!O24+parametros_recargas!$I$90*'Plan mensual'!O25+parametros_recargas!$J$90*'Plan mensual'!O26+parametros_recargas!$K$90*'Plan mensual'!O27+parametros_recargas!$L$90*'Plan mensual'!O28+parametros_recargas!$M$90*'Plan mensual'!O30</f>
        <v>370.207426607052</v>
      </c>
      <c r="N16" s="12" t="n">
        <f aca="false">SUM(B16:M16)</f>
        <v>3567.83201068332</v>
      </c>
      <c r="O16" s="27" t="n">
        <f aca="false">MAX(B16:M16)</f>
        <v>370.207426607052</v>
      </c>
      <c r="P16" s="16" t="n">
        <f aca="false">O16/parametros_recargas!$B$6</f>
        <v>2.46804951071368</v>
      </c>
    </row>
    <row r="17" customFormat="false" ht="15" hidden="false" customHeight="false" outlineLevel="0" collapsed="false">
      <c r="A17" s="6" t="str">
        <f aca="false">parametros_recargas!$B$91</f>
        <v>Ensamblaje y marbete — recinto</v>
      </c>
      <c r="B17" s="26" t="n">
        <f aca="false">parametros_recargas!$E$91*'Plan mensual'!D21+parametros_recargas!$F$91*'Plan mensual'!D22+parametros_recargas!$G$91*'Plan mensual'!D23+parametros_recargas!$H$91*'Plan mensual'!D24+parametros_recargas!$I$91*'Plan mensual'!D25+parametros_recargas!$J$91*'Plan mensual'!D26+parametros_recargas!$K$91*'Plan mensual'!D27+parametros_recargas!$L$91*'Plan mensual'!D28+parametros_recargas!$M$91*'Plan mensual'!D30</f>
        <v>342.032474017687</v>
      </c>
      <c r="C17" s="26" t="n">
        <f aca="false">parametros_recargas!$E$91*'Plan mensual'!E21+parametros_recargas!$F$91*'Plan mensual'!E22+parametros_recargas!$G$91*'Plan mensual'!E23+parametros_recargas!$H$91*'Plan mensual'!E24+parametros_recargas!$I$91*'Plan mensual'!E25+parametros_recargas!$J$91*'Plan mensual'!E26+parametros_recargas!$K$91*'Plan mensual'!E27+parametros_recargas!$L$91*'Plan mensual'!E28+parametros_recargas!$M$91*'Plan mensual'!E30</f>
        <v>292.498910736978</v>
      </c>
      <c r="D17" s="26" t="n">
        <f aca="false">parametros_recargas!$E$91*'Plan mensual'!F21+parametros_recargas!$F$91*'Plan mensual'!F22+parametros_recargas!$G$91*'Plan mensual'!F23+parametros_recargas!$H$91*'Plan mensual'!F24+parametros_recargas!$I$91*'Plan mensual'!F25+parametros_recargas!$J$91*'Plan mensual'!F26+parametros_recargas!$K$91*'Plan mensual'!F27+parametros_recargas!$L$91*'Plan mensual'!F28+parametros_recargas!$M$91*'Plan mensual'!F30</f>
        <v>271.489578688431</v>
      </c>
      <c r="E17" s="26" t="n">
        <f aca="false">parametros_recargas!$E$91*'Plan mensual'!G21+parametros_recargas!$F$91*'Plan mensual'!G22+parametros_recargas!$G$91*'Plan mensual'!G23+parametros_recargas!$H$91*'Plan mensual'!G24+parametros_recargas!$I$91*'Plan mensual'!G25+parametros_recargas!$J$91*'Plan mensual'!G26+parametros_recargas!$K$91*'Plan mensual'!G27+parametros_recargas!$L$91*'Plan mensual'!G28+parametros_recargas!$M$91*'Plan mensual'!G30</f>
        <v>297.348353731815</v>
      </c>
      <c r="F17" s="26" t="n">
        <f aca="false">parametros_recargas!$E$91*'Plan mensual'!H21+parametros_recargas!$F$91*'Plan mensual'!H22+parametros_recargas!$G$91*'Plan mensual'!H23+parametros_recargas!$H$91*'Plan mensual'!H24+parametros_recargas!$I$91*'Plan mensual'!H25+parametros_recargas!$J$91*'Plan mensual'!H26+parametros_recargas!$K$91*'Plan mensual'!H27+parametros_recargas!$L$91*'Plan mensual'!H28+parametros_recargas!$M$91*'Plan mensual'!H30</f>
        <v>299.352747015689</v>
      </c>
      <c r="G17" s="26" t="n">
        <f aca="false">parametros_recargas!$E$91*'Plan mensual'!I21+parametros_recargas!$F$91*'Plan mensual'!I22+parametros_recargas!$G$91*'Plan mensual'!I23+parametros_recargas!$H$91*'Plan mensual'!I24+parametros_recargas!$I$91*'Plan mensual'!I25+parametros_recargas!$J$91*'Plan mensual'!I26+parametros_recargas!$K$91*'Plan mensual'!I27+parametros_recargas!$L$91*'Plan mensual'!I28+parametros_recargas!$M$91*'Plan mensual'!I30</f>
        <v>296.288951597204</v>
      </c>
      <c r="H17" s="26" t="n">
        <f aca="false">parametros_recargas!$E$91*'Plan mensual'!J21+parametros_recargas!$F$91*'Plan mensual'!J22+parametros_recargas!$G$91*'Plan mensual'!J23+parametros_recargas!$H$91*'Plan mensual'!J24+parametros_recargas!$I$91*'Plan mensual'!J25+parametros_recargas!$J$91*'Plan mensual'!J26+parametros_recargas!$K$91*'Plan mensual'!J27+parametros_recargas!$L$91*'Plan mensual'!J28+parametros_recargas!$M$91*'Plan mensual'!J30</f>
        <v>266.230600366258</v>
      </c>
      <c r="I17" s="26" t="n">
        <f aca="false">parametros_recargas!$E$91*'Plan mensual'!K21+parametros_recargas!$F$91*'Plan mensual'!K22+parametros_recargas!$G$91*'Plan mensual'!K23+parametros_recargas!$H$91*'Plan mensual'!K24+parametros_recargas!$I$91*'Plan mensual'!K25+parametros_recargas!$J$91*'Plan mensual'!K26+parametros_recargas!$K$91*'Plan mensual'!K27+parametros_recargas!$L$91*'Plan mensual'!K28+parametros_recargas!$M$91*'Plan mensual'!K30</f>
        <v>268.730271927934</v>
      </c>
      <c r="J17" s="26" t="n">
        <f aca="false">parametros_recargas!$E$91*'Plan mensual'!L21+parametros_recargas!$F$91*'Plan mensual'!L22+parametros_recargas!$G$91*'Plan mensual'!L23+parametros_recargas!$H$91*'Plan mensual'!L24+parametros_recargas!$I$91*'Plan mensual'!L25+parametros_recargas!$J$91*'Plan mensual'!L26+parametros_recargas!$K$91*'Plan mensual'!L27+parametros_recargas!$L$91*'Plan mensual'!L28+parametros_recargas!$M$91*'Plan mensual'!L30</f>
        <v>270.953943306103</v>
      </c>
      <c r="K17" s="26" t="n">
        <f aca="false">parametros_recargas!$E$91*'Plan mensual'!M21+parametros_recargas!$F$91*'Plan mensual'!M22+parametros_recargas!$G$91*'Plan mensual'!M23+parametros_recargas!$H$91*'Plan mensual'!M24+parametros_recargas!$I$91*'Plan mensual'!M25+parametros_recargas!$J$91*'Plan mensual'!M26+parametros_recargas!$K$91*'Plan mensual'!M27+parametros_recargas!$L$91*'Plan mensual'!M28+parametros_recargas!$M$91*'Plan mensual'!M30</f>
        <v>270.589509151103</v>
      </c>
      <c r="L17" s="26" t="n">
        <f aca="false">parametros_recargas!$E$91*'Plan mensual'!N21+parametros_recargas!$F$91*'Plan mensual'!N22+parametros_recargas!$G$91*'Plan mensual'!N23+parametros_recargas!$H$91*'Plan mensual'!N24+parametros_recargas!$I$91*'Plan mensual'!N25+parametros_recargas!$J$91*'Plan mensual'!N26+parametros_recargas!$K$91*'Plan mensual'!N27+parametros_recargas!$L$91*'Plan mensual'!N28+parametros_recargas!$M$91*'Plan mensual'!N30</f>
        <v>317.077027915437</v>
      </c>
      <c r="M17" s="26" t="n">
        <f aca="false">parametros_recargas!$E$91*'Plan mensual'!O21+parametros_recargas!$F$91*'Plan mensual'!O22+parametros_recargas!$G$91*'Plan mensual'!O23+parametros_recargas!$H$91*'Plan mensual'!O24+parametros_recargas!$I$91*'Plan mensual'!O25+parametros_recargas!$J$91*'Plan mensual'!O26+parametros_recargas!$K$91*'Plan mensual'!O27+parametros_recargas!$L$91*'Plan mensual'!O28+parametros_recargas!$M$91*'Plan mensual'!O30</f>
        <v>369.74995245963</v>
      </c>
      <c r="N17" s="12" t="n">
        <f aca="false">SUM(B17:M17)</f>
        <v>3562.34232091427</v>
      </c>
      <c r="O17" s="27" t="n">
        <f aca="false">MAX(B17:M17)</f>
        <v>369.74995245963</v>
      </c>
      <c r="P17" s="16" t="n">
        <f aca="false">O17/parametros_recargas!$B$6</f>
        <v>2.4649996830642</v>
      </c>
    </row>
    <row r="18" customFormat="false" ht="15" hidden="false" customHeight="false" outlineLevel="0" collapsed="false">
      <c r="A18" s="6" t="str">
        <f aca="false">parametros_recargas!$B$92</f>
        <v>Presurización — recinto</v>
      </c>
      <c r="B18" s="26" t="n">
        <f aca="false">parametros_recargas!$E$92*'Plan mensual'!D21+parametros_recargas!$F$92*'Plan mensual'!D22+parametros_recargas!$G$92*'Plan mensual'!D23+parametros_recargas!$H$92*'Plan mensual'!D24+parametros_recargas!$I$92*'Plan mensual'!D25+parametros_recargas!$J$92*'Plan mensual'!D26+parametros_recargas!$K$92*'Plan mensual'!D27+parametros_recargas!$L$92*'Plan mensual'!D28+parametros_recargas!$M$92*'Plan mensual'!D30</f>
        <v>342.032474017687</v>
      </c>
      <c r="C18" s="26" t="n">
        <f aca="false">parametros_recargas!$E$92*'Plan mensual'!E21+parametros_recargas!$F$92*'Plan mensual'!E22+parametros_recargas!$G$92*'Plan mensual'!E23+parametros_recargas!$H$92*'Plan mensual'!E24+parametros_recargas!$I$92*'Plan mensual'!E25+parametros_recargas!$J$92*'Plan mensual'!E26+parametros_recargas!$K$92*'Plan mensual'!E27+parametros_recargas!$L$92*'Plan mensual'!E28+parametros_recargas!$M$92*'Plan mensual'!E30</f>
        <v>292.498910736978</v>
      </c>
      <c r="D18" s="26" t="n">
        <f aca="false">parametros_recargas!$E$92*'Plan mensual'!F21+parametros_recargas!$F$92*'Plan mensual'!F22+parametros_recargas!$G$92*'Plan mensual'!F23+parametros_recargas!$H$92*'Plan mensual'!F24+parametros_recargas!$I$92*'Plan mensual'!F25+parametros_recargas!$J$92*'Plan mensual'!F26+parametros_recargas!$K$92*'Plan mensual'!F27+parametros_recargas!$L$92*'Plan mensual'!F28+parametros_recargas!$M$92*'Plan mensual'!F30</f>
        <v>271.489578688431</v>
      </c>
      <c r="E18" s="26" t="n">
        <f aca="false">parametros_recargas!$E$92*'Plan mensual'!G21+parametros_recargas!$F$92*'Plan mensual'!G22+parametros_recargas!$G$92*'Plan mensual'!G23+parametros_recargas!$H$92*'Plan mensual'!G24+parametros_recargas!$I$92*'Plan mensual'!G25+parametros_recargas!$J$92*'Plan mensual'!G26+parametros_recargas!$K$92*'Plan mensual'!G27+parametros_recargas!$L$92*'Plan mensual'!G28+parametros_recargas!$M$92*'Plan mensual'!G30</f>
        <v>297.348353731815</v>
      </c>
      <c r="F18" s="26" t="n">
        <f aca="false">parametros_recargas!$E$92*'Plan mensual'!H21+parametros_recargas!$F$92*'Plan mensual'!H22+parametros_recargas!$G$92*'Plan mensual'!H23+parametros_recargas!$H$92*'Plan mensual'!H24+parametros_recargas!$I$92*'Plan mensual'!H25+parametros_recargas!$J$92*'Plan mensual'!H26+parametros_recargas!$K$92*'Plan mensual'!H27+parametros_recargas!$L$92*'Plan mensual'!H28+parametros_recargas!$M$92*'Plan mensual'!H30</f>
        <v>299.352747015689</v>
      </c>
      <c r="G18" s="26" t="n">
        <f aca="false">parametros_recargas!$E$92*'Plan mensual'!I21+parametros_recargas!$F$92*'Plan mensual'!I22+parametros_recargas!$G$92*'Plan mensual'!I23+parametros_recargas!$H$92*'Plan mensual'!I24+parametros_recargas!$I$92*'Plan mensual'!I25+parametros_recargas!$J$92*'Plan mensual'!I26+parametros_recargas!$K$92*'Plan mensual'!I27+parametros_recargas!$L$92*'Plan mensual'!I28+parametros_recargas!$M$92*'Plan mensual'!I30</f>
        <v>296.288951597204</v>
      </c>
      <c r="H18" s="26" t="n">
        <f aca="false">parametros_recargas!$E$92*'Plan mensual'!J21+parametros_recargas!$F$92*'Plan mensual'!J22+parametros_recargas!$G$92*'Plan mensual'!J23+parametros_recargas!$H$92*'Plan mensual'!J24+parametros_recargas!$I$92*'Plan mensual'!J25+parametros_recargas!$J$92*'Plan mensual'!J26+parametros_recargas!$K$92*'Plan mensual'!J27+parametros_recargas!$L$92*'Plan mensual'!J28+parametros_recargas!$M$92*'Plan mensual'!J30</f>
        <v>266.230600366258</v>
      </c>
      <c r="I18" s="26" t="n">
        <f aca="false">parametros_recargas!$E$92*'Plan mensual'!K21+parametros_recargas!$F$92*'Plan mensual'!K22+parametros_recargas!$G$92*'Plan mensual'!K23+parametros_recargas!$H$92*'Plan mensual'!K24+parametros_recargas!$I$92*'Plan mensual'!K25+parametros_recargas!$J$92*'Plan mensual'!K26+parametros_recargas!$K$92*'Plan mensual'!K27+parametros_recargas!$L$92*'Plan mensual'!K28+parametros_recargas!$M$92*'Plan mensual'!K30</f>
        <v>268.730271927934</v>
      </c>
      <c r="J18" s="26" t="n">
        <f aca="false">parametros_recargas!$E$92*'Plan mensual'!L21+parametros_recargas!$F$92*'Plan mensual'!L22+parametros_recargas!$G$92*'Plan mensual'!L23+parametros_recargas!$H$92*'Plan mensual'!L24+parametros_recargas!$I$92*'Plan mensual'!L25+parametros_recargas!$J$92*'Plan mensual'!L26+parametros_recargas!$K$92*'Plan mensual'!L27+parametros_recargas!$L$92*'Plan mensual'!L28+parametros_recargas!$M$92*'Plan mensual'!L30</f>
        <v>270.953943306103</v>
      </c>
      <c r="K18" s="26" t="n">
        <f aca="false">parametros_recargas!$E$92*'Plan mensual'!M21+parametros_recargas!$F$92*'Plan mensual'!M22+parametros_recargas!$G$92*'Plan mensual'!M23+parametros_recargas!$H$92*'Plan mensual'!M24+parametros_recargas!$I$92*'Plan mensual'!M25+parametros_recargas!$J$92*'Plan mensual'!M26+parametros_recargas!$K$92*'Plan mensual'!M27+parametros_recargas!$L$92*'Plan mensual'!M28+parametros_recargas!$M$92*'Plan mensual'!M30</f>
        <v>270.589509151103</v>
      </c>
      <c r="L18" s="26" t="n">
        <f aca="false">parametros_recargas!$E$92*'Plan mensual'!N21+parametros_recargas!$F$92*'Plan mensual'!N22+parametros_recargas!$G$92*'Plan mensual'!N23+parametros_recargas!$H$92*'Plan mensual'!N24+parametros_recargas!$I$92*'Plan mensual'!N25+parametros_recargas!$J$92*'Plan mensual'!N26+parametros_recargas!$K$92*'Plan mensual'!N27+parametros_recargas!$L$92*'Plan mensual'!N28+parametros_recargas!$M$92*'Plan mensual'!N30</f>
        <v>317.077027915437</v>
      </c>
      <c r="M18" s="26" t="n">
        <f aca="false">parametros_recargas!$E$92*'Plan mensual'!O21+parametros_recargas!$F$92*'Plan mensual'!O22+parametros_recargas!$G$92*'Plan mensual'!O23+parametros_recargas!$H$92*'Plan mensual'!O24+parametros_recargas!$I$92*'Plan mensual'!O25+parametros_recargas!$J$92*'Plan mensual'!O26+parametros_recargas!$K$92*'Plan mensual'!O27+parametros_recargas!$L$92*'Plan mensual'!O28+parametros_recargas!$M$92*'Plan mensual'!O30</f>
        <v>369.74995245963</v>
      </c>
      <c r="N18" s="12" t="n">
        <f aca="false">SUM(B18:M18)</f>
        <v>3562.34232091427</v>
      </c>
      <c r="O18" s="27" t="n">
        <f aca="false">MAX(B18:M18)</f>
        <v>369.74995245963</v>
      </c>
      <c r="P18" s="16" t="n">
        <f aca="false">O18/parametros_recargas!$B$6</f>
        <v>2.4649996830642</v>
      </c>
    </row>
    <row r="19" customFormat="false" ht="15" hidden="false" customHeight="false" outlineLevel="0" collapsed="false">
      <c r="A19" s="6" t="str">
        <f aca="false">parametros_recargas!$B$93</f>
        <v>Ensamblaje y presurización — zona general</v>
      </c>
      <c r="B19" s="26" t="n">
        <f aca="false">parametros_recargas!$E$93*'Plan mensual'!D21+parametros_recargas!$F$93*'Plan mensual'!D22+parametros_recargas!$G$93*'Plan mensual'!D23+parametros_recargas!$H$93*'Plan mensual'!D24+parametros_recargas!$I$93*'Plan mensual'!D25+parametros_recargas!$J$93*'Plan mensual'!D26+parametros_recargas!$K$93*'Plan mensual'!D27+parametros_recargas!$L$93*'Plan mensual'!D28+parametros_recargas!$M$93*'Plan mensual'!D30</f>
        <v>20.0011424795809</v>
      </c>
      <c r="C19" s="26" t="n">
        <f aca="false">parametros_recargas!$E$93*'Plan mensual'!E21+parametros_recargas!$F$93*'Plan mensual'!E22+parametros_recargas!$G$93*'Plan mensual'!E23+parametros_recargas!$H$93*'Plan mensual'!E24+parametros_recargas!$I$93*'Plan mensual'!E25+parametros_recargas!$J$93*'Plan mensual'!E26+parametros_recargas!$K$93*'Plan mensual'!E27+parametros_recargas!$L$93*'Plan mensual'!E28+parametros_recargas!$M$93*'Plan mensual'!E30</f>
        <v>20.0011424795809</v>
      </c>
      <c r="D19" s="26" t="n">
        <f aca="false">parametros_recargas!$E$93*'Plan mensual'!F21+parametros_recargas!$F$93*'Plan mensual'!F22+parametros_recargas!$G$93*'Plan mensual'!F23+parametros_recargas!$H$93*'Plan mensual'!F24+parametros_recargas!$I$93*'Plan mensual'!F25+parametros_recargas!$J$93*'Plan mensual'!F26+parametros_recargas!$K$93*'Plan mensual'!F27+parametros_recargas!$L$93*'Plan mensual'!F28+parametros_recargas!$M$93*'Plan mensual'!F30</f>
        <v>23.7517838133013</v>
      </c>
      <c r="E19" s="26" t="n">
        <f aca="false">parametros_recargas!$E$93*'Plan mensual'!G21+parametros_recargas!$F$93*'Plan mensual'!G22+parametros_recargas!$G$93*'Plan mensual'!G23+parametros_recargas!$H$93*'Plan mensual'!G24+parametros_recargas!$I$93*'Plan mensual'!G25+parametros_recargas!$J$93*'Plan mensual'!G26+parametros_recargas!$K$93*'Plan mensual'!G27+parametros_recargas!$L$93*'Plan mensual'!G28+parametros_recargas!$M$93*'Plan mensual'!G30</f>
        <v>27.4060573453907</v>
      </c>
      <c r="F19" s="26" t="n">
        <f aca="false">parametros_recargas!$E$93*'Plan mensual'!H21+parametros_recargas!$F$93*'Plan mensual'!H22+parametros_recargas!$G$93*'Plan mensual'!H23+parametros_recargas!$H$93*'Plan mensual'!H24+parametros_recargas!$I$93*'Plan mensual'!H25+parametros_recargas!$J$93*'Plan mensual'!H26+parametros_recargas!$K$93*'Plan mensual'!H27+parametros_recargas!$L$93*'Plan mensual'!H28+parametros_recargas!$M$93*'Plan mensual'!H30</f>
        <v>27.6327581140529</v>
      </c>
      <c r="G19" s="26" t="n">
        <f aca="false">parametros_recargas!$E$93*'Plan mensual'!I21+parametros_recargas!$F$93*'Plan mensual'!I22+parametros_recargas!$G$93*'Plan mensual'!I23+parametros_recargas!$H$93*'Plan mensual'!I24+parametros_recargas!$I$93*'Plan mensual'!I25+parametros_recargas!$J$93*'Plan mensual'!I26+parametros_recargas!$K$93*'Plan mensual'!I27+parametros_recargas!$L$93*'Plan mensual'!I28+parametros_recargas!$M$93*'Plan mensual'!I30</f>
        <v>27.074406549425</v>
      </c>
      <c r="H19" s="26" t="n">
        <f aca="false">parametros_recargas!$E$93*'Plan mensual'!J21+parametros_recargas!$F$93*'Plan mensual'!J22+parametros_recargas!$G$93*'Plan mensual'!J23+parametros_recargas!$H$93*'Plan mensual'!J24+parametros_recargas!$I$93*'Plan mensual'!J25+parametros_recargas!$J$93*'Plan mensual'!J26+parametros_recargas!$K$93*'Plan mensual'!J27+parametros_recargas!$L$93*'Plan mensual'!J28+parametros_recargas!$M$93*'Plan mensual'!J30</f>
        <v>22.8237989027131</v>
      </c>
      <c r="I19" s="26" t="n">
        <f aca="false">parametros_recargas!$E$93*'Plan mensual'!K21+parametros_recargas!$F$93*'Plan mensual'!K22+parametros_recargas!$G$93*'Plan mensual'!K23+parametros_recargas!$H$93*'Plan mensual'!K24+parametros_recargas!$I$93*'Plan mensual'!K25+parametros_recargas!$J$93*'Plan mensual'!K26+parametros_recargas!$K$93*'Plan mensual'!K27+parametros_recargas!$L$93*'Plan mensual'!K28+parametros_recargas!$M$93*'Plan mensual'!K30</f>
        <v>22.992114419739</v>
      </c>
      <c r="J19" s="26" t="n">
        <f aca="false">parametros_recargas!$E$93*'Plan mensual'!L21+parametros_recargas!$F$93*'Plan mensual'!L22+parametros_recargas!$G$93*'Plan mensual'!L23+parametros_recargas!$H$93*'Plan mensual'!L24+parametros_recargas!$I$93*'Plan mensual'!L25+parametros_recargas!$J$93*'Plan mensual'!L26+parametros_recargas!$K$93*'Plan mensual'!L27+parametros_recargas!$L$93*'Plan mensual'!L28+parametros_recargas!$M$93*'Plan mensual'!L30</f>
        <v>23.5149276236168</v>
      </c>
      <c r="K19" s="26" t="n">
        <f aca="false">parametros_recargas!$E$93*'Plan mensual'!M21+parametros_recargas!$F$93*'Plan mensual'!M22+parametros_recargas!$G$93*'Plan mensual'!M23+parametros_recargas!$H$93*'Plan mensual'!M24+parametros_recargas!$I$93*'Plan mensual'!M25+parametros_recargas!$J$93*'Plan mensual'!M26+parametros_recargas!$K$93*'Plan mensual'!M27+parametros_recargas!$L$93*'Plan mensual'!M28+parametros_recargas!$M$93*'Plan mensual'!M30</f>
        <v>23.5149276236168</v>
      </c>
      <c r="L19" s="26" t="n">
        <f aca="false">parametros_recargas!$E$93*'Plan mensual'!N21+parametros_recargas!$F$93*'Plan mensual'!N22+parametros_recargas!$G$93*'Plan mensual'!N23+parametros_recargas!$H$93*'Plan mensual'!N24+parametros_recargas!$I$93*'Plan mensual'!N25+parametros_recargas!$J$93*'Plan mensual'!N26+parametros_recargas!$K$93*'Plan mensual'!N27+parametros_recargas!$L$93*'Plan mensual'!N28+parametros_recargas!$M$93*'Plan mensual'!N30</f>
        <v>23.2882268549545</v>
      </c>
      <c r="M19" s="26" t="n">
        <f aca="false">parametros_recargas!$E$93*'Plan mensual'!O21+parametros_recargas!$F$93*'Plan mensual'!O22+parametros_recargas!$G$93*'Plan mensual'!O23+parametros_recargas!$H$93*'Plan mensual'!O24+parametros_recargas!$I$93*'Plan mensual'!O25+parametros_recargas!$J$93*'Plan mensual'!O26+parametros_recargas!$K$93*'Plan mensual'!O27+parametros_recargas!$L$93*'Plan mensual'!O28+parametros_recargas!$M$93*'Plan mensual'!O30</f>
        <v>23.8465784195824</v>
      </c>
      <c r="N19" s="12" t="n">
        <f aca="false">SUM(B19:M19)</f>
        <v>285.847864625554</v>
      </c>
      <c r="O19" s="27" t="n">
        <f aca="false">MAX(B19:M19)</f>
        <v>27.6327581140529</v>
      </c>
      <c r="P19" s="16" t="n">
        <f aca="false">O19/parametros_recargas!$B$6</f>
        <v>0.18421838742702</v>
      </c>
    </row>
    <row r="20" customFormat="false" ht="15" hidden="false" customHeight="false" outlineLevel="0" collapsed="false">
      <c r="A20" s="6" t="str">
        <f aca="false">parametros_recargas!$B$94</f>
        <v>Control de peso (CO₂ y halogenados sin recarga)</v>
      </c>
      <c r="B20" s="26" t="n">
        <f aca="false">parametros_recargas!$E$94*'Plan mensual'!D21+parametros_recargas!$F$94*'Plan mensual'!D22+parametros_recargas!$G$94*'Plan mensual'!D23+parametros_recargas!$H$94*'Plan mensual'!D24+parametros_recargas!$I$94*'Plan mensual'!D25+parametros_recargas!$J$94*'Plan mensual'!D26+parametros_recargas!$K$94*'Plan mensual'!D27+parametros_recargas!$L$94*'Plan mensual'!D28+parametros_recargas!$M$94*'Plan mensual'!D30</f>
        <v>14.0293235122558</v>
      </c>
      <c r="C20" s="26" t="n">
        <f aca="false">parametros_recargas!$E$94*'Plan mensual'!E21+parametros_recargas!$F$94*'Plan mensual'!E22+parametros_recargas!$G$94*'Plan mensual'!E23+parametros_recargas!$H$94*'Plan mensual'!E24+parametros_recargas!$I$94*'Plan mensual'!E25+parametros_recargas!$J$94*'Plan mensual'!E26+parametros_recargas!$K$94*'Plan mensual'!E27+parametros_recargas!$L$94*'Plan mensual'!E28+parametros_recargas!$M$94*'Plan mensual'!E30</f>
        <v>14.0293235122558</v>
      </c>
      <c r="D20" s="26" t="n">
        <f aca="false">parametros_recargas!$E$94*'Plan mensual'!F21+parametros_recargas!$F$94*'Plan mensual'!F22+parametros_recargas!$G$94*'Plan mensual'!F23+parametros_recargas!$H$94*'Plan mensual'!F24+parametros_recargas!$I$94*'Plan mensual'!F25+parametros_recargas!$J$94*'Plan mensual'!F26+parametros_recargas!$K$94*'Plan mensual'!F27+parametros_recargas!$L$94*'Plan mensual'!F28+parametros_recargas!$M$94*'Plan mensual'!F30</f>
        <v>17.7484862957149</v>
      </c>
      <c r="E20" s="26" t="n">
        <f aca="false">parametros_recargas!$E$94*'Plan mensual'!G21+parametros_recargas!$F$94*'Plan mensual'!G22+parametros_recargas!$G$94*'Plan mensual'!G23+parametros_recargas!$H$94*'Plan mensual'!G24+parametros_recargas!$I$94*'Plan mensual'!G25+parametros_recargas!$J$94*'Plan mensual'!G26+parametros_recargas!$K$94*'Plan mensual'!G27+parametros_recargas!$L$94*'Plan mensual'!G28+parametros_recargas!$M$94*'Plan mensual'!G30</f>
        <v>21.4122801465389</v>
      </c>
      <c r="F20" s="26" t="n">
        <f aca="false">parametros_recargas!$E$94*'Plan mensual'!H21+parametros_recargas!$F$94*'Plan mensual'!H22+parametros_recargas!$G$94*'Plan mensual'!H23+parametros_recargas!$H$94*'Plan mensual'!H24+parametros_recargas!$I$94*'Plan mensual'!H25+parametros_recargas!$J$94*'Plan mensual'!H26+parametros_recargas!$K$94*'Plan mensual'!H27+parametros_recargas!$L$94*'Plan mensual'!H28+parametros_recargas!$M$94*'Plan mensual'!H30</f>
        <v>21.5498509735227</v>
      </c>
      <c r="G20" s="26" t="n">
        <f aca="false">parametros_recargas!$E$94*'Plan mensual'!I21+parametros_recargas!$F$94*'Plan mensual'!I22+parametros_recargas!$G$94*'Plan mensual'!I23+parametros_recargas!$H$94*'Plan mensual'!I24+parametros_recargas!$I$94*'Plan mensual'!I25+parametros_recargas!$J$94*'Plan mensual'!I26+parametros_recargas!$K$94*'Plan mensual'!I27+parametros_recargas!$L$94*'Plan mensual'!I28+parametros_recargas!$M$94*'Plan mensual'!I30</f>
        <v>21.1024374321185</v>
      </c>
      <c r="H20" s="26" t="n">
        <f aca="false">parametros_recargas!$E$94*'Plan mensual'!J21+parametros_recargas!$F$94*'Plan mensual'!J22+parametros_recargas!$G$94*'Plan mensual'!J23+parametros_recargas!$H$94*'Plan mensual'!J24+parametros_recargas!$I$94*'Plan mensual'!J25+parametros_recargas!$J$94*'Plan mensual'!J26+parametros_recargas!$K$94*'Plan mensual'!J27+parametros_recargas!$L$94*'Plan mensual'!J28+parametros_recargas!$M$94*'Plan mensual'!J30</f>
        <v>17.0646705210691</v>
      </c>
      <c r="I20" s="26" t="n">
        <f aca="false">parametros_recargas!$E$94*'Plan mensual'!K21+parametros_recargas!$F$94*'Plan mensual'!K22+parametros_recargas!$G$94*'Plan mensual'!K23+parametros_recargas!$H$94*'Plan mensual'!K24+parametros_recargas!$I$94*'Plan mensual'!K25+parametros_recargas!$J$94*'Plan mensual'!K26+parametros_recargas!$K$94*'Plan mensual'!K27+parametros_recargas!$L$94*'Plan mensual'!K28+parametros_recargas!$M$94*'Plan mensual'!K30</f>
        <v>17.073431934239</v>
      </c>
      <c r="J20" s="26" t="n">
        <f aca="false">parametros_recargas!$E$94*'Plan mensual'!L21+parametros_recargas!$F$94*'Plan mensual'!L22+parametros_recargas!$G$94*'Plan mensual'!L23+parametros_recargas!$H$94*'Plan mensual'!L24+parametros_recargas!$I$94*'Plan mensual'!L25+parametros_recargas!$J$94*'Plan mensual'!L26+parametros_recargas!$K$94*'Plan mensual'!L27+parametros_recargas!$L$94*'Plan mensual'!L28+parametros_recargas!$M$94*'Plan mensual'!L30</f>
        <v>17.4789582670082</v>
      </c>
      <c r="K20" s="26" t="n">
        <f aca="false">parametros_recargas!$E$94*'Plan mensual'!M21+parametros_recargas!$F$94*'Plan mensual'!M22+parametros_recargas!$G$94*'Plan mensual'!M23+parametros_recargas!$H$94*'Plan mensual'!M24+parametros_recargas!$I$94*'Plan mensual'!M25+parametros_recargas!$J$94*'Plan mensual'!M26+parametros_recargas!$K$94*'Plan mensual'!M27+parametros_recargas!$L$94*'Plan mensual'!M28+parametros_recargas!$M$94*'Plan mensual'!M30</f>
        <v>17.4789582670082</v>
      </c>
      <c r="L20" s="26" t="n">
        <f aca="false">parametros_recargas!$E$94*'Plan mensual'!N21+parametros_recargas!$F$94*'Plan mensual'!N22+parametros_recargas!$G$94*'Plan mensual'!N23+parametros_recargas!$H$94*'Plan mensual'!N24+parametros_recargas!$I$94*'Plan mensual'!N25+parametros_recargas!$J$94*'Plan mensual'!N26+parametros_recargas!$K$94*'Plan mensual'!N27+parametros_recargas!$L$94*'Plan mensual'!N28+parametros_recargas!$M$94*'Plan mensual'!N30</f>
        <v>17.3413874400243</v>
      </c>
      <c r="M20" s="26" t="n">
        <f aca="false">parametros_recargas!$E$94*'Plan mensual'!O21+parametros_recargas!$F$94*'Plan mensual'!O22+parametros_recargas!$G$94*'Plan mensual'!O23+parametros_recargas!$H$94*'Plan mensual'!O24+parametros_recargas!$I$94*'Plan mensual'!O25+parametros_recargas!$J$94*'Plan mensual'!O26+parametros_recargas!$K$94*'Plan mensual'!O27+parametros_recargas!$L$94*'Plan mensual'!O28+parametros_recargas!$M$94*'Plan mensual'!O30</f>
        <v>17.7888009814286</v>
      </c>
      <c r="N20" s="12" t="n">
        <f aca="false">SUM(B20:M20)</f>
        <v>214.097909283184</v>
      </c>
      <c r="O20" s="27" t="n">
        <f aca="false">MAX(B20:M20)</f>
        <v>21.5498509735227</v>
      </c>
      <c r="P20" s="16" t="n">
        <f aca="false">O20/parametros_recargas!$B$6</f>
        <v>0.143665673156818</v>
      </c>
    </row>
    <row r="21" customFormat="false" ht="15" hidden="false" customHeight="false" outlineLevel="0" collapsed="false">
      <c r="A21" s="6" t="str">
        <f aca="false">parametros_recargas!$B$95</f>
        <v>Ensayo de pérdidas</v>
      </c>
      <c r="B21" s="26" t="n">
        <f aca="false">parametros_recargas!$E$95*'Plan mensual'!D21+parametros_recargas!$F$95*'Plan mensual'!D22+parametros_recargas!$G$95*'Plan mensual'!D23+parametros_recargas!$H$95*'Plan mensual'!D24+parametros_recargas!$I$95*'Plan mensual'!D25+parametros_recargas!$J$95*'Plan mensual'!D26+parametros_recargas!$K$95*'Plan mensual'!D27+parametros_recargas!$L$95*'Plan mensual'!D28+parametros_recargas!$M$95*'Plan mensual'!D30</f>
        <v>377.097143973717</v>
      </c>
      <c r="C21" s="26" t="n">
        <f aca="false">parametros_recargas!$E$95*'Plan mensual'!E21+parametros_recargas!$F$95*'Plan mensual'!E22+parametros_recargas!$G$95*'Plan mensual'!E23+parametros_recargas!$H$95*'Plan mensual'!E24+parametros_recargas!$I$95*'Plan mensual'!E25+parametros_recargas!$J$95*'Plan mensual'!E26+parametros_recargas!$K$95*'Plan mensual'!E27+parametros_recargas!$L$95*'Plan mensual'!E28+parametros_recargas!$M$95*'Plan mensual'!E30</f>
        <v>327.563580693009</v>
      </c>
      <c r="D21" s="26" t="n">
        <f aca="false">parametros_recargas!$E$95*'Plan mensual'!F21+parametros_recargas!$F$95*'Plan mensual'!F22+parametros_recargas!$G$95*'Plan mensual'!F23+parametros_recargas!$H$95*'Plan mensual'!F24+parametros_recargas!$I$95*'Plan mensual'!F25+parametros_recargas!$J$95*'Plan mensual'!F26+parametros_recargas!$K$95*'Plan mensual'!F27+parametros_recargas!$L$95*'Plan mensual'!F28+parametros_recargas!$M$95*'Plan mensual'!F30</f>
        <v>314.313050383461</v>
      </c>
      <c r="E21" s="26" t="n">
        <f aca="false">parametros_recargas!$E$95*'Plan mensual'!G21+parametros_recargas!$F$95*'Plan mensual'!G22+parametros_recargas!$G$95*'Plan mensual'!G23+parametros_recargas!$H$95*'Plan mensual'!G24+parametros_recargas!$I$95*'Plan mensual'!G25+parametros_recargas!$J$95*'Plan mensual'!G26+parametros_recargas!$K$95*'Plan mensual'!G27+parametros_recargas!$L$95*'Plan mensual'!G28+parametros_recargas!$M$95*'Plan mensual'!G30</f>
        <v>347.771723105976</v>
      </c>
      <c r="F21" s="26" t="n">
        <f aca="false">parametros_recargas!$E$95*'Plan mensual'!H21+parametros_recargas!$F$95*'Plan mensual'!H22+parametros_recargas!$G$95*'Plan mensual'!H23+parametros_recargas!$H$95*'Plan mensual'!H24+parametros_recargas!$I$95*'Plan mensual'!H25+parametros_recargas!$J$95*'Plan mensual'!H26+parametros_recargas!$K$95*'Plan mensual'!H27+parametros_recargas!$L$95*'Plan mensual'!H28+parametros_recargas!$M$95*'Plan mensual'!H30</f>
        <v>350.150970356803</v>
      </c>
      <c r="G21" s="26" t="n">
        <f aca="false">parametros_recargas!$E$95*'Plan mensual'!I21+parametros_recargas!$F$95*'Plan mensual'!I22+parametros_recargas!$G$95*'Plan mensual'!I23+parametros_recargas!$H$95*'Plan mensual'!I24+parametros_recargas!$I$95*'Plan mensual'!I25+parametros_recargas!$J$95*'Plan mensual'!I26+parametros_recargas!$K$95*'Plan mensual'!I27+parametros_recargas!$L$95*'Plan mensual'!I28+parametros_recargas!$M$95*'Plan mensual'!I30</f>
        <v>346.049901582963</v>
      </c>
      <c r="H21" s="26" t="n">
        <f aca="false">parametros_recargas!$E$95*'Plan mensual'!J21+parametros_recargas!$F$95*'Plan mensual'!J22+parametros_recargas!$G$95*'Plan mensual'!J23+parametros_recargas!$H$95*'Plan mensual'!J24+parametros_recargas!$I$95*'Plan mensual'!J25+parametros_recargas!$J$95*'Plan mensual'!J26+parametros_recargas!$K$95*'Plan mensual'!J27+parametros_recargas!$L$95*'Plan mensual'!J28+parametros_recargas!$M$95*'Plan mensual'!J30</f>
        <v>307.392578339559</v>
      </c>
      <c r="I21" s="26" t="n">
        <f aca="false">parametros_recargas!$E$95*'Plan mensual'!K21+parametros_recargas!$F$95*'Plan mensual'!K22+parametros_recargas!$G$95*'Plan mensual'!K23+parametros_recargas!$H$95*'Plan mensual'!K24+parametros_recargas!$I$95*'Plan mensual'!K25+parametros_recargas!$J$95*'Plan mensual'!K26+parametros_recargas!$K$95*'Plan mensual'!K27+parametros_recargas!$L$95*'Plan mensual'!K28+parametros_recargas!$M$95*'Plan mensual'!K30</f>
        <v>310.07000078629</v>
      </c>
      <c r="J21" s="26" t="n">
        <f aca="false">parametros_recargas!$E$95*'Plan mensual'!L21+parametros_recargas!$F$95*'Plan mensual'!L22+parametros_recargas!$G$95*'Plan mensual'!L23+parametros_recargas!$H$95*'Plan mensual'!L24+parametros_recargas!$I$95*'Plan mensual'!L25+parametros_recargas!$J$95*'Plan mensual'!L26+parametros_recargas!$K$95*'Plan mensual'!L27+parametros_recargas!$L$95*'Plan mensual'!L28+parametros_recargas!$M$95*'Plan mensual'!L30</f>
        <v>313.250297857457</v>
      </c>
      <c r="K21" s="26" t="n">
        <f aca="false">parametros_recargas!$E$95*'Plan mensual'!M21+parametros_recargas!$F$95*'Plan mensual'!M22+parametros_recargas!$G$95*'Plan mensual'!M23+parametros_recargas!$H$95*'Plan mensual'!M24+parametros_recargas!$I$95*'Plan mensual'!M25+parametros_recargas!$J$95*'Plan mensual'!M26+parametros_recargas!$K$95*'Plan mensual'!M27+parametros_recargas!$L$95*'Plan mensual'!M28+parametros_recargas!$M$95*'Plan mensual'!M30</f>
        <v>312.885863702457</v>
      </c>
      <c r="L21" s="26" t="n">
        <f aca="false">parametros_recargas!$E$95*'Plan mensual'!N21+parametros_recargas!$F$95*'Plan mensual'!N22+parametros_recargas!$G$95*'Plan mensual'!N23+parametros_recargas!$H$95*'Plan mensual'!N24+parametros_recargas!$I$95*'Plan mensual'!N25+parametros_recargas!$J$95*'Plan mensual'!N26+parametros_recargas!$K$95*'Plan mensual'!N27+parametros_recargas!$L$95*'Plan mensual'!N28+parametros_recargas!$M$95*'Plan mensual'!N30</f>
        <v>358.998528499839</v>
      </c>
      <c r="M21" s="26" t="n">
        <f aca="false">parametros_recargas!$E$95*'Plan mensual'!O21+parametros_recargas!$F$95*'Plan mensual'!O22+parametros_recargas!$G$95*'Plan mensual'!O23+parametros_recargas!$H$95*'Plan mensual'!O24+parametros_recargas!$I$95*'Plan mensual'!O25+parametros_recargas!$J$95*'Plan mensual'!O26+parametros_recargas!$K$95*'Plan mensual'!O27+parametros_recargas!$L$95*'Plan mensual'!O28+parametros_recargas!$M$95*'Plan mensual'!O30</f>
        <v>412.708726399387</v>
      </c>
      <c r="N21" s="12" t="n">
        <f aca="false">SUM(B21:M21)</f>
        <v>4078.25236568092</v>
      </c>
      <c r="O21" s="27" t="n">
        <f aca="false">MAX(B21:M21)</f>
        <v>412.708726399387</v>
      </c>
      <c r="P21" s="16" t="n">
        <f aca="false">O21/parametros_recargas!$B$6</f>
        <v>2.75139150932925</v>
      </c>
    </row>
    <row r="22" customFormat="false" ht="15" hidden="false" customHeight="false" outlineLevel="0" collapsed="false">
      <c r="A22" s="6" t="str">
        <f aca="false">parametros_recargas!$B$96</f>
        <v>Precinto, etiqueta y despacho</v>
      </c>
      <c r="B22" s="26" t="n">
        <f aca="false">parametros_recargas!$E$96*'Plan mensual'!D21+parametros_recargas!$F$96*'Plan mensual'!D22+parametros_recargas!$G$96*'Plan mensual'!D23+parametros_recargas!$H$96*'Plan mensual'!D24+parametros_recargas!$I$96*'Plan mensual'!D25+parametros_recargas!$J$96*'Plan mensual'!D26+parametros_recargas!$K$96*'Plan mensual'!D27+parametros_recargas!$L$96*'Plan mensual'!D28+parametros_recargas!$M$96*'Plan mensual'!D30</f>
        <v>377.097143973717</v>
      </c>
      <c r="C22" s="26" t="n">
        <f aca="false">parametros_recargas!$E$96*'Plan mensual'!E21+parametros_recargas!$F$96*'Plan mensual'!E22+parametros_recargas!$G$96*'Plan mensual'!E23+parametros_recargas!$H$96*'Plan mensual'!E24+parametros_recargas!$I$96*'Plan mensual'!E25+parametros_recargas!$J$96*'Plan mensual'!E26+parametros_recargas!$K$96*'Plan mensual'!E27+parametros_recargas!$L$96*'Plan mensual'!E28+parametros_recargas!$M$96*'Plan mensual'!E30</f>
        <v>327.563580693009</v>
      </c>
      <c r="D22" s="26" t="n">
        <f aca="false">parametros_recargas!$E$96*'Plan mensual'!F21+parametros_recargas!$F$96*'Plan mensual'!F22+parametros_recargas!$G$96*'Plan mensual'!F23+parametros_recargas!$H$96*'Plan mensual'!F24+parametros_recargas!$I$96*'Plan mensual'!F25+parametros_recargas!$J$96*'Plan mensual'!F26+parametros_recargas!$K$96*'Plan mensual'!F27+parametros_recargas!$L$96*'Plan mensual'!F28+parametros_recargas!$M$96*'Plan mensual'!F30</f>
        <v>314.313050383461</v>
      </c>
      <c r="E22" s="26" t="n">
        <f aca="false">parametros_recargas!$E$96*'Plan mensual'!G21+parametros_recargas!$F$96*'Plan mensual'!G22+parametros_recargas!$G$96*'Plan mensual'!G23+parametros_recargas!$H$96*'Plan mensual'!G24+parametros_recargas!$I$96*'Plan mensual'!G25+parametros_recargas!$J$96*'Plan mensual'!G26+parametros_recargas!$K$96*'Plan mensual'!G27+parametros_recargas!$L$96*'Plan mensual'!G28+parametros_recargas!$M$96*'Plan mensual'!G30</f>
        <v>347.771723105976</v>
      </c>
      <c r="F22" s="26" t="n">
        <f aca="false">parametros_recargas!$E$96*'Plan mensual'!H21+parametros_recargas!$F$96*'Plan mensual'!H22+parametros_recargas!$G$96*'Plan mensual'!H23+parametros_recargas!$H$96*'Plan mensual'!H24+parametros_recargas!$I$96*'Plan mensual'!H25+parametros_recargas!$J$96*'Plan mensual'!H26+parametros_recargas!$K$96*'Plan mensual'!H27+parametros_recargas!$L$96*'Plan mensual'!H28+parametros_recargas!$M$96*'Plan mensual'!H30</f>
        <v>350.150970356803</v>
      </c>
      <c r="G22" s="26" t="n">
        <f aca="false">parametros_recargas!$E$96*'Plan mensual'!I21+parametros_recargas!$F$96*'Plan mensual'!I22+parametros_recargas!$G$96*'Plan mensual'!I23+parametros_recargas!$H$96*'Plan mensual'!I24+parametros_recargas!$I$96*'Plan mensual'!I25+parametros_recargas!$J$96*'Plan mensual'!I26+parametros_recargas!$K$96*'Plan mensual'!I27+parametros_recargas!$L$96*'Plan mensual'!I28+parametros_recargas!$M$96*'Plan mensual'!I30</f>
        <v>346.049901582963</v>
      </c>
      <c r="H22" s="26" t="n">
        <f aca="false">parametros_recargas!$E$96*'Plan mensual'!J21+parametros_recargas!$F$96*'Plan mensual'!J22+parametros_recargas!$G$96*'Plan mensual'!J23+parametros_recargas!$H$96*'Plan mensual'!J24+parametros_recargas!$I$96*'Plan mensual'!J25+parametros_recargas!$J$96*'Plan mensual'!J26+parametros_recargas!$K$96*'Plan mensual'!J27+parametros_recargas!$L$96*'Plan mensual'!J28+parametros_recargas!$M$96*'Plan mensual'!J30</f>
        <v>307.392578339559</v>
      </c>
      <c r="I22" s="26" t="n">
        <f aca="false">parametros_recargas!$E$96*'Plan mensual'!K21+parametros_recargas!$F$96*'Plan mensual'!K22+parametros_recargas!$G$96*'Plan mensual'!K23+parametros_recargas!$H$96*'Plan mensual'!K24+parametros_recargas!$I$96*'Plan mensual'!K25+parametros_recargas!$J$96*'Plan mensual'!K26+parametros_recargas!$K$96*'Plan mensual'!K27+parametros_recargas!$L$96*'Plan mensual'!K28+parametros_recargas!$M$96*'Plan mensual'!K30</f>
        <v>310.07000078629</v>
      </c>
      <c r="J22" s="26" t="n">
        <f aca="false">parametros_recargas!$E$96*'Plan mensual'!L21+parametros_recargas!$F$96*'Plan mensual'!L22+parametros_recargas!$G$96*'Plan mensual'!L23+parametros_recargas!$H$96*'Plan mensual'!L24+parametros_recargas!$I$96*'Plan mensual'!L25+parametros_recargas!$J$96*'Plan mensual'!L26+parametros_recargas!$K$96*'Plan mensual'!L27+parametros_recargas!$L$96*'Plan mensual'!L28+parametros_recargas!$M$96*'Plan mensual'!L30</f>
        <v>313.250297857457</v>
      </c>
      <c r="K22" s="26" t="n">
        <f aca="false">parametros_recargas!$E$96*'Plan mensual'!M21+parametros_recargas!$F$96*'Plan mensual'!M22+parametros_recargas!$G$96*'Plan mensual'!M23+parametros_recargas!$H$96*'Plan mensual'!M24+parametros_recargas!$I$96*'Plan mensual'!M25+parametros_recargas!$J$96*'Plan mensual'!M26+parametros_recargas!$K$96*'Plan mensual'!M27+parametros_recargas!$L$96*'Plan mensual'!M28+parametros_recargas!$M$96*'Plan mensual'!M30</f>
        <v>312.885863702457</v>
      </c>
      <c r="L22" s="26" t="n">
        <f aca="false">parametros_recargas!$E$96*'Plan mensual'!N21+parametros_recargas!$F$96*'Plan mensual'!N22+parametros_recargas!$G$96*'Plan mensual'!N23+parametros_recargas!$H$96*'Plan mensual'!N24+parametros_recargas!$I$96*'Plan mensual'!N25+parametros_recargas!$J$96*'Plan mensual'!N26+parametros_recargas!$K$96*'Plan mensual'!N27+parametros_recargas!$L$96*'Plan mensual'!N28+parametros_recargas!$M$96*'Plan mensual'!N30</f>
        <v>358.998528499839</v>
      </c>
      <c r="M22" s="26" t="n">
        <f aca="false">parametros_recargas!$E$96*'Plan mensual'!O21+parametros_recargas!$F$96*'Plan mensual'!O22+parametros_recargas!$G$96*'Plan mensual'!O23+parametros_recargas!$H$96*'Plan mensual'!O24+parametros_recargas!$I$96*'Plan mensual'!O25+parametros_recargas!$J$96*'Plan mensual'!O26+parametros_recargas!$K$96*'Plan mensual'!O27+parametros_recargas!$L$96*'Plan mensual'!O28+parametros_recargas!$M$96*'Plan mensual'!O30</f>
        <v>412.708726399387</v>
      </c>
      <c r="N22" s="12" t="n">
        <f aca="false">SUM(B22:M22)</f>
        <v>4078.25236568092</v>
      </c>
      <c r="O22" s="27" t="n">
        <f aca="false">MAX(B22:M22)</f>
        <v>412.708726399387</v>
      </c>
      <c r="P22" s="16" t="n">
        <f aca="false">O22/parametros_recargas!$B$6</f>
        <v>2.75139150932925</v>
      </c>
    </row>
    <row r="23" customFormat="false" ht="15" hidden="false" customHeight="false" outlineLevel="0" collapsed="false">
      <c r="A23" s="6" t="str">
        <f aca="false">parametros_recargas!$B$97</f>
        <v>Inutilización y disposición final</v>
      </c>
      <c r="B23" s="26" t="n">
        <f aca="false">parametros_recargas!$E$97*'Plan mensual'!D21+parametros_recargas!$F$97*'Plan mensual'!D22+parametros_recargas!$G$97*'Plan mensual'!D23+parametros_recargas!$H$97*'Plan mensual'!D24+parametros_recargas!$I$97*'Plan mensual'!D25+parametros_recargas!$J$97*'Plan mensual'!D26+parametros_recargas!$K$97*'Plan mensual'!D27+parametros_recargas!$L$97*'Plan mensual'!D28+parametros_recargas!$M$97*'Plan mensual'!D30</f>
        <v>29.4740216377661</v>
      </c>
      <c r="C23" s="26" t="n">
        <f aca="false">parametros_recargas!$E$97*'Plan mensual'!E21+parametros_recargas!$F$97*'Plan mensual'!E22+parametros_recargas!$G$97*'Plan mensual'!E23+parametros_recargas!$H$97*'Plan mensual'!E24+parametros_recargas!$I$97*'Plan mensual'!E25+parametros_recargas!$J$97*'Plan mensual'!E26+parametros_recargas!$K$97*'Plan mensual'!E27+parametros_recargas!$L$97*'Plan mensual'!E28+parametros_recargas!$M$97*'Plan mensual'!E30</f>
        <v>25.5668913077094</v>
      </c>
      <c r="D23" s="26" t="n">
        <f aca="false">parametros_recargas!$E$97*'Plan mensual'!F21+parametros_recargas!$F$97*'Plan mensual'!F22+parametros_recargas!$G$97*'Plan mensual'!F23+parametros_recargas!$H$97*'Plan mensual'!F24+parametros_recargas!$I$97*'Plan mensual'!F25+parametros_recargas!$J$97*'Plan mensual'!F26+parametros_recargas!$K$97*'Plan mensual'!F27+parametros_recargas!$L$97*'Plan mensual'!F28+parametros_recargas!$M$97*'Plan mensual'!F30</f>
        <v>24.3711842437388</v>
      </c>
      <c r="E23" s="26" t="n">
        <f aca="false">parametros_recargas!$E$97*'Plan mensual'!G21+parametros_recargas!$F$97*'Plan mensual'!G22+parametros_recargas!$G$97*'Plan mensual'!G23+parametros_recargas!$H$97*'Plan mensual'!G24+parametros_recargas!$I$97*'Plan mensual'!G25+parametros_recargas!$J$97*'Plan mensual'!G26+parametros_recargas!$K$97*'Plan mensual'!G27+parametros_recargas!$L$97*'Plan mensual'!G28+parametros_recargas!$M$97*'Plan mensual'!G30</f>
        <v>26.9539346294676</v>
      </c>
      <c r="F23" s="26" t="n">
        <f aca="false">parametros_recargas!$E$97*'Plan mensual'!H21+parametros_recargas!$F$97*'Plan mensual'!H22+parametros_recargas!$G$97*'Plan mensual'!H23+parametros_recargas!$H$97*'Plan mensual'!H24+parametros_recargas!$I$97*'Plan mensual'!H25+parametros_recargas!$J$97*'Plan mensual'!H26+parametros_recargas!$K$97*'Plan mensual'!H27+parametros_recargas!$L$97*'Plan mensual'!H28+parametros_recargas!$M$97*'Plan mensual'!H30</f>
        <v>27.1495469524316</v>
      </c>
      <c r="G23" s="26" t="n">
        <f aca="false">parametros_recargas!$E$97*'Plan mensual'!I21+parametros_recargas!$F$97*'Plan mensual'!I22+parametros_recargas!$G$97*'Plan mensual'!I23+parametros_recargas!$H$97*'Plan mensual'!I24+parametros_recargas!$I$97*'Plan mensual'!I25+parametros_recargas!$J$97*'Plan mensual'!I26+parametros_recargas!$K$97*'Plan mensual'!I27+parametros_recargas!$L$97*'Plan mensual'!I28+parametros_recargas!$M$97*'Plan mensual'!I30</f>
        <v>26.8611189326987</v>
      </c>
      <c r="H23" s="26" t="n">
        <f aca="false">parametros_recargas!$E$97*'Plan mensual'!J21+parametros_recargas!$F$97*'Plan mensual'!J22+parametros_recargas!$G$97*'Plan mensual'!J23+parametros_recargas!$H$97*'Plan mensual'!J24+parametros_recargas!$I$97*'Plan mensual'!J25+parametros_recargas!$J$97*'Plan mensual'!J26+parametros_recargas!$K$97*'Plan mensual'!J27+parametros_recargas!$L$97*'Plan mensual'!J28+parametros_recargas!$M$97*'Plan mensual'!J30</f>
        <v>23.8429108257251</v>
      </c>
      <c r="I23" s="26" t="n">
        <f aca="false">parametros_recargas!$E$97*'Plan mensual'!K21+parametros_recargas!$F$97*'Plan mensual'!K22+parametros_recargas!$G$97*'Plan mensual'!K23+parametros_recargas!$H$97*'Plan mensual'!K24+parametros_recargas!$I$97*'Plan mensual'!K25+parametros_recargas!$J$97*'Plan mensual'!K26+parametros_recargas!$K$97*'Plan mensual'!K27+parametros_recargas!$L$97*'Plan mensual'!K28+parametros_recargas!$M$97*'Plan mensual'!K30</f>
        <v>24.0568799698438</v>
      </c>
      <c r="J23" s="26" t="n">
        <f aca="false">parametros_recargas!$E$97*'Plan mensual'!L21+parametros_recargas!$F$97*'Plan mensual'!L22+parametros_recargas!$G$97*'Plan mensual'!L23+parametros_recargas!$H$97*'Plan mensual'!L24+parametros_recargas!$I$97*'Plan mensual'!L25+parametros_recargas!$J$97*'Plan mensual'!L26+parametros_recargas!$K$97*'Plan mensual'!L27+parametros_recargas!$L$97*'Plan mensual'!L28+parametros_recargas!$M$97*'Plan mensual'!L30</f>
        <v>24.3120523829535</v>
      </c>
      <c r="K23" s="26" t="n">
        <f aca="false">parametros_recargas!$E$97*'Plan mensual'!M21+parametros_recargas!$F$97*'Plan mensual'!M22+parametros_recargas!$G$97*'Plan mensual'!M23+parametros_recargas!$H$97*'Plan mensual'!M24+parametros_recargas!$I$97*'Plan mensual'!M25+parametros_recargas!$J$97*'Plan mensual'!M26+parametros_recargas!$K$97*'Plan mensual'!M27+parametros_recargas!$L$97*'Plan mensual'!M28+parametros_recargas!$M$97*'Plan mensual'!M30</f>
        <v>24.3120523829535</v>
      </c>
      <c r="L23" s="26" t="n">
        <f aca="false">parametros_recargas!$E$97*'Plan mensual'!N21+parametros_recargas!$F$97*'Plan mensual'!N22+parametros_recargas!$G$97*'Plan mensual'!N23+parametros_recargas!$H$97*'Plan mensual'!N24+parametros_recargas!$I$97*'Plan mensual'!N25+parametros_recargas!$J$97*'Plan mensual'!N26+parametros_recargas!$K$97*'Plan mensual'!N27+parametros_recargas!$L$97*'Plan mensual'!N28+parametros_recargas!$M$97*'Plan mensual'!N30</f>
        <v>28.0235703900462</v>
      </c>
      <c r="M23" s="26" t="n">
        <f aca="false">parametros_recargas!$E$97*'Plan mensual'!O21+parametros_recargas!$F$97*'Plan mensual'!O22+parametros_recargas!$G$97*'Plan mensual'!O23+parametros_recargas!$H$97*'Plan mensual'!O24+parametros_recargas!$I$97*'Plan mensual'!O25+parametros_recargas!$J$97*'Plan mensual'!O26+parametros_recargas!$K$97*'Plan mensual'!O27+parametros_recargas!$L$97*'Plan mensual'!O28+parametros_recargas!$M$97*'Plan mensual'!O30</f>
        <v>32.2191287398357</v>
      </c>
      <c r="N23" s="12" t="n">
        <f aca="false">SUM(B23:M23)</f>
        <v>317.14329239517</v>
      </c>
      <c r="O23" s="27" t="n">
        <f aca="false">MAX(B23:M23)</f>
        <v>32.2191287398357</v>
      </c>
      <c r="P23" s="16" t="n">
        <f aca="false">O23/parametros_recargas!$B$6</f>
        <v>0.214794191598905</v>
      </c>
    </row>
    <row r="24" customFormat="false" ht="15" hidden="false" customHeight="false" outlineLevel="0" collapsed="false">
      <c r="A24" s="6" t="str">
        <f aca="false">parametros_recargas!$B$98</f>
        <v>PH de mangueras (CO₂ y rodantes)</v>
      </c>
      <c r="B24" s="26" t="n">
        <f aca="false">'Plan mensual'!D29</f>
        <v>8.71554331237862</v>
      </c>
      <c r="C24" s="26" t="n">
        <f aca="false">'Plan mensual'!E29</f>
        <v>8.71554331237862</v>
      </c>
      <c r="D24" s="26" t="n">
        <f aca="false">'Plan mensual'!F29</f>
        <v>9.49653188043194</v>
      </c>
      <c r="E24" s="26" t="n">
        <f aca="false">'Plan mensual'!G29</f>
        <v>10.558883111593</v>
      </c>
      <c r="F24" s="26" t="n">
        <f aca="false">'Plan mensual'!H29</f>
        <v>10.6838395681905</v>
      </c>
      <c r="G24" s="26" t="n">
        <f aca="false">'Plan mensual'!I29</f>
        <v>10.2375240303911</v>
      </c>
      <c r="H24" s="26" t="n">
        <f aca="false">'Plan mensual'!J29</f>
        <v>9.03414539586489</v>
      </c>
      <c r="I24" s="26" t="n">
        <f aca="false">'Plan mensual'!K29</f>
        <v>9.13517638113587</v>
      </c>
      <c r="J24" s="26" t="n">
        <f aca="false">'Plan mensual'!L29</f>
        <v>9.51705005949679</v>
      </c>
      <c r="K24" s="26" t="n">
        <f aca="false">'Plan mensual'!M29</f>
        <v>9.51705005949679</v>
      </c>
      <c r="L24" s="26" t="n">
        <f aca="false">'Plan mensual'!N29</f>
        <v>9.39209360289923</v>
      </c>
      <c r="M24" s="26" t="n">
        <f aca="false">'Plan mensual'!O29</f>
        <v>9.83840914069867</v>
      </c>
      <c r="N24" s="12" t="n">
        <f aca="false">SUM(B24:M24)</f>
        <v>114.841789854956</v>
      </c>
      <c r="O24" s="27" t="n">
        <f aca="false">MAX(B24:M24)</f>
        <v>10.6838395681905</v>
      </c>
      <c r="P24" s="16" t="n">
        <f aca="false">O24/parametros_recargas!$B$6</f>
        <v>0.07122559712127</v>
      </c>
    </row>
    <row r="33" customFormat="false" ht="23.85" hidden="false" customHeight="false" outlineLevel="0" collapsed="false">
      <c r="A33" s="3" t="s">
        <v>393</v>
      </c>
      <c r="B33" s="3" t="s">
        <v>64</v>
      </c>
      <c r="C33" s="3" t="s">
        <v>65</v>
      </c>
      <c r="D33" s="3" t="s">
        <v>66</v>
      </c>
      <c r="E33" s="3" t="s">
        <v>67</v>
      </c>
      <c r="F33" s="3" t="s">
        <v>68</v>
      </c>
      <c r="G33" s="3" t="s">
        <v>69</v>
      </c>
      <c r="H33" s="3" t="s">
        <v>70</v>
      </c>
      <c r="I33" s="3" t="s">
        <v>71</v>
      </c>
      <c r="J33" s="3" t="s">
        <v>72</v>
      </c>
      <c r="K33" s="3" t="s">
        <v>73</v>
      </c>
      <c r="L33" s="3" t="s">
        <v>74</v>
      </c>
      <c r="M33" s="3" t="s">
        <v>75</v>
      </c>
      <c r="N33" s="3" t="s">
        <v>390</v>
      </c>
      <c r="O33" s="3" t="s">
        <v>391</v>
      </c>
      <c r="P33" s="3" t="s">
        <v>392</v>
      </c>
    </row>
    <row r="34" customFormat="false" ht="15" hidden="false" customHeight="false" outlineLevel="0" collapsed="false">
      <c r="A34" s="6" t="str">
        <f aca="false">parametros_recargas!$B$76</f>
        <v>Recepción y registro</v>
      </c>
      <c r="B34" s="26" t="n">
        <f aca="false">parametros_recargas!$E$76*'Plan mensual'!D53+parametros_recargas!$F$76*'Plan mensual'!D54+parametros_recargas!$G$76*'Plan mensual'!D55+parametros_recargas!$H$76*'Plan mensual'!D56+parametros_recargas!$I$76*'Plan mensual'!D57+parametros_recargas!$J$76*'Plan mensual'!D58+parametros_recargas!$K$76*'Plan mensual'!D59+parametros_recargas!$L$76*'Plan mensual'!D60+parametros_recargas!$M$76*'Plan mensual'!D62</f>
        <v>1744.08115625923</v>
      </c>
      <c r="C34" s="26" t="n">
        <f aca="false">parametros_recargas!$E$76*'Plan mensual'!E53+parametros_recargas!$F$76*'Plan mensual'!E54+parametros_recargas!$G$76*'Plan mensual'!E55+parametros_recargas!$H$76*'Plan mensual'!E56+parametros_recargas!$I$76*'Plan mensual'!E57+parametros_recargas!$J$76*'Plan mensual'!E58+parametros_recargas!$K$76*'Plan mensual'!E59+parametros_recargas!$L$76*'Plan mensual'!E60+parametros_recargas!$M$76*'Plan mensual'!E62</f>
        <v>1505.86727971624</v>
      </c>
      <c r="D34" s="26" t="n">
        <f aca="false">parametros_recargas!$E$76*'Plan mensual'!F53+parametros_recargas!$F$76*'Plan mensual'!F54+parametros_recargas!$G$76*'Plan mensual'!F55+parametros_recargas!$H$76*'Plan mensual'!F56+parametros_recargas!$I$76*'Plan mensual'!F57+parametros_recargas!$J$76*'Plan mensual'!F58+parametros_recargas!$K$76*'Plan mensual'!F59+parametros_recargas!$L$76*'Plan mensual'!F60+parametros_recargas!$M$76*'Plan mensual'!F62</f>
        <v>1410.82559762755</v>
      </c>
      <c r="E34" s="26" t="n">
        <f aca="false">parametros_recargas!$E$76*'Plan mensual'!G53+parametros_recargas!$F$76*'Plan mensual'!G54+parametros_recargas!$G$76*'Plan mensual'!G55+parametros_recargas!$H$76*'Plan mensual'!G56+parametros_recargas!$I$76*'Plan mensual'!G57+parametros_recargas!$J$76*'Plan mensual'!G58+parametros_recargas!$K$76*'Plan mensual'!G59+parametros_recargas!$L$76*'Plan mensual'!G60+parametros_recargas!$M$76*'Plan mensual'!G62</f>
        <v>1546.65173774463</v>
      </c>
      <c r="F34" s="26" t="n">
        <f aca="false">parametros_recargas!$E$76*'Plan mensual'!H53+parametros_recargas!$F$76*'Plan mensual'!H54+parametros_recargas!$G$76*'Plan mensual'!H55+parametros_recargas!$H$76*'Plan mensual'!H56+parametros_recargas!$I$76*'Plan mensual'!H57+parametros_recargas!$J$76*'Plan mensual'!H58+parametros_recargas!$K$76*'Plan mensual'!H59+parametros_recargas!$L$76*'Plan mensual'!H60+parametros_recargas!$M$76*'Plan mensual'!H62</f>
        <v>1556.42035029841</v>
      </c>
      <c r="G34" s="26" t="n">
        <f aca="false">parametros_recargas!$E$76*'Plan mensual'!I53+parametros_recargas!$F$76*'Plan mensual'!I54+parametros_recargas!$G$76*'Plan mensual'!I55+parametros_recargas!$H$76*'Plan mensual'!I56+parametros_recargas!$I$76*'Plan mensual'!I57+parametros_recargas!$J$76*'Plan mensual'!I58+parametros_recargas!$K$76*'Plan mensual'!I59+parametros_recargas!$L$76*'Plan mensual'!I60+parametros_recargas!$M$76*'Plan mensual'!I62</f>
        <v>1539.88649510105</v>
      </c>
      <c r="H34" s="26" t="n">
        <f aca="false">parametros_recargas!$E$76*'Plan mensual'!J53+parametros_recargas!$F$76*'Plan mensual'!J54+parametros_recargas!$G$76*'Plan mensual'!J55+parametros_recargas!$H$76*'Plan mensual'!J56+parametros_recargas!$I$76*'Plan mensual'!J57+parametros_recargas!$J$76*'Plan mensual'!J58+parametros_recargas!$K$76*'Plan mensual'!J59+parametros_recargas!$L$76*'Plan mensual'!J60+parametros_recargas!$M$76*'Plan mensual'!J62</f>
        <v>1382.09657202047</v>
      </c>
      <c r="I34" s="26" t="n">
        <f aca="false">parametros_recargas!$E$76*'Plan mensual'!K53+parametros_recargas!$F$76*'Plan mensual'!K54+parametros_recargas!$G$76*'Plan mensual'!K55+parametros_recargas!$H$76*'Plan mensual'!K56+parametros_recargas!$I$76*'Plan mensual'!K57+parametros_recargas!$J$76*'Plan mensual'!K58+parametros_recargas!$K$76*'Plan mensual'!K59+parametros_recargas!$L$76*'Plan mensual'!K60+parametros_recargas!$M$76*'Plan mensual'!K62</f>
        <v>1392.95729272333</v>
      </c>
      <c r="J34" s="26" t="n">
        <f aca="false">parametros_recargas!$E$76*'Plan mensual'!L53+parametros_recargas!$F$76*'Plan mensual'!L54+parametros_recargas!$G$76*'Plan mensual'!L55+parametros_recargas!$H$76*'Plan mensual'!L56+parametros_recargas!$I$76*'Plan mensual'!L57+parametros_recargas!$J$76*'Plan mensual'!L58+parametros_recargas!$K$76*'Plan mensual'!L59+parametros_recargas!$L$76*'Plan mensual'!L60+parametros_recargas!$M$76*'Plan mensual'!L62</f>
        <v>1407.24830719457</v>
      </c>
      <c r="K34" s="26" t="n">
        <f aca="false">parametros_recargas!$E$76*'Plan mensual'!M53+parametros_recargas!$F$76*'Plan mensual'!M54+parametros_recargas!$G$76*'Plan mensual'!M55+parametros_recargas!$H$76*'Plan mensual'!M56+parametros_recargas!$I$76*'Plan mensual'!M57+parametros_recargas!$J$76*'Plan mensual'!M58+parametros_recargas!$K$76*'Plan mensual'!M59+parametros_recargas!$L$76*'Plan mensual'!M60+parametros_recargas!$M$76*'Plan mensual'!M62</f>
        <v>1406.83554392342</v>
      </c>
      <c r="L34" s="26" t="n">
        <f aca="false">parametros_recargas!$E$76*'Plan mensual'!N53+parametros_recargas!$F$76*'Plan mensual'!N54+parametros_recargas!$G$76*'Plan mensual'!N55+parametros_recargas!$H$76*'Plan mensual'!N56+parametros_recargas!$I$76*'Plan mensual'!N57+parametros_recargas!$J$76*'Plan mensual'!N58+parametros_recargas!$K$76*'Plan mensual'!N59+parametros_recargas!$L$76*'Plan mensual'!N60+parametros_recargas!$M$76*'Plan mensual'!N62</f>
        <v>1633.18206300592</v>
      </c>
      <c r="M34" s="26" t="n">
        <f aca="false">parametros_recargas!$E$76*'Plan mensual'!O53+parametros_recargas!$F$76*'Plan mensual'!O54+parametros_recargas!$G$76*'Plan mensual'!O55+parametros_recargas!$H$76*'Plan mensual'!O56+parametros_recargas!$I$76*'Plan mensual'!O57+parametros_recargas!$J$76*'Plan mensual'!O58+parametros_recargas!$K$76*'Plan mensual'!O59+parametros_recargas!$L$76*'Plan mensual'!O60+parametros_recargas!$M$76*'Plan mensual'!O62</f>
        <v>1888.83223147512</v>
      </c>
      <c r="N34" s="12" t="n">
        <f aca="false">SUM(B34:M34)</f>
        <v>18414.8846270899</v>
      </c>
      <c r="O34" s="27" t="n">
        <f aca="false">MAX(B34:M34)</f>
        <v>1888.83223147512</v>
      </c>
      <c r="P34" s="16" t="n">
        <f aca="false">O34/parametros_recargas!$B$6</f>
        <v>12.5922148765008</v>
      </c>
    </row>
    <row r="35" customFormat="false" ht="15" hidden="false" customHeight="false" outlineLevel="0" collapsed="false">
      <c r="A35" s="6" t="str">
        <f aca="false">parametros_recargas!$B$77</f>
        <v>Inspección visual</v>
      </c>
      <c r="B35" s="26" t="n">
        <f aca="false">parametros_recargas!$E$77*'Plan mensual'!D53+parametros_recargas!$F$77*'Plan mensual'!D54+parametros_recargas!$G$77*'Plan mensual'!D55+parametros_recargas!$H$77*'Plan mensual'!D56+parametros_recargas!$I$77*'Plan mensual'!D57+parametros_recargas!$J$77*'Plan mensual'!D58+parametros_recargas!$K$77*'Plan mensual'!D59+parametros_recargas!$L$77*'Plan mensual'!D60+parametros_recargas!$M$77*'Plan mensual'!D62</f>
        <v>1736.79146845446</v>
      </c>
      <c r="C35" s="26" t="n">
        <f aca="false">parametros_recargas!$E$77*'Plan mensual'!E53+parametros_recargas!$F$77*'Plan mensual'!E54+parametros_recargas!$G$77*'Plan mensual'!E55+parametros_recargas!$H$77*'Plan mensual'!E56+parametros_recargas!$I$77*'Plan mensual'!E57+parametros_recargas!$J$77*'Plan mensual'!E58+parametros_recargas!$K$77*'Plan mensual'!E59+parametros_recargas!$L$77*'Plan mensual'!E60+parametros_recargas!$M$77*'Plan mensual'!E62</f>
        <v>1499.97675518261</v>
      </c>
      <c r="D35" s="26" t="n">
        <f aca="false">parametros_recargas!$E$77*'Plan mensual'!F53+parametros_recargas!$F$77*'Plan mensual'!F54+parametros_recargas!$G$77*'Plan mensual'!F55+parametros_recargas!$H$77*'Plan mensual'!F56+parametros_recargas!$I$77*'Plan mensual'!F57+parametros_recargas!$J$77*'Plan mensual'!F58+parametros_recargas!$K$77*'Plan mensual'!F59+parametros_recargas!$L$77*'Plan mensual'!F60+parametros_recargas!$M$77*'Plan mensual'!F62</f>
        <v>1404.4803281872</v>
      </c>
      <c r="E35" s="26" t="n">
        <f aca="false">parametros_recargas!$E$77*'Plan mensual'!G53+parametros_recargas!$F$77*'Plan mensual'!G54+parametros_recargas!$G$77*'Plan mensual'!G55+parametros_recargas!$H$77*'Plan mensual'!G56+parametros_recargas!$I$77*'Plan mensual'!G57+parametros_recargas!$J$77*'Plan mensual'!G58+parametros_recargas!$K$77*'Plan mensual'!G59+parametros_recargas!$L$77*'Plan mensual'!G60+parametros_recargas!$M$77*'Plan mensual'!G62</f>
        <v>1540.30646830428</v>
      </c>
      <c r="F35" s="26" t="n">
        <f aca="false">parametros_recargas!$E$77*'Plan mensual'!H53+parametros_recargas!$F$77*'Plan mensual'!H54+parametros_recargas!$G$77*'Plan mensual'!H55+parametros_recargas!$H$77*'Plan mensual'!H56+parametros_recargas!$I$77*'Plan mensual'!H57+parametros_recargas!$J$77*'Plan mensual'!H58+parametros_recargas!$K$77*'Plan mensual'!H59+parametros_recargas!$L$77*'Plan mensual'!H60+parametros_recargas!$M$77*'Plan mensual'!H62</f>
        <v>1550.40388085806</v>
      </c>
      <c r="G35" s="26" t="n">
        <f aca="false">parametros_recargas!$E$77*'Plan mensual'!I53+parametros_recargas!$F$77*'Plan mensual'!I54+parametros_recargas!$G$77*'Plan mensual'!I55+parametros_recargas!$H$77*'Plan mensual'!I56+parametros_recargas!$I$77*'Plan mensual'!I57+parametros_recargas!$J$77*'Plan mensual'!I58+parametros_recargas!$K$77*'Plan mensual'!I59+parametros_recargas!$L$77*'Plan mensual'!I60+parametros_recargas!$M$77*'Plan mensual'!I62</f>
        <v>1534.28278893185</v>
      </c>
      <c r="H35" s="26" t="n">
        <f aca="false">parametros_recargas!$E$77*'Plan mensual'!J53+parametros_recargas!$F$77*'Plan mensual'!J54+parametros_recargas!$G$77*'Plan mensual'!J55+parametros_recargas!$H$77*'Plan mensual'!J56+parametros_recargas!$I$77*'Plan mensual'!J57+parametros_recargas!$J$77*'Plan mensual'!J58+parametros_recargas!$K$77*'Plan mensual'!J59+parametros_recargas!$L$77*'Plan mensual'!J60+parametros_recargas!$M$77*'Plan mensual'!J62</f>
        <v>1376.08010258012</v>
      </c>
      <c r="I35" s="26" t="n">
        <f aca="false">parametros_recargas!$E$77*'Plan mensual'!K53+parametros_recargas!$F$77*'Plan mensual'!K54+parametros_recargas!$G$77*'Plan mensual'!K55+parametros_recargas!$H$77*'Plan mensual'!K56+parametros_recargas!$I$77*'Plan mensual'!K57+parametros_recargas!$J$77*'Plan mensual'!K58+parametros_recargas!$K$77*'Plan mensual'!K59+parametros_recargas!$L$77*'Plan mensual'!K60+parametros_recargas!$M$77*'Plan mensual'!K62</f>
        <v>1386.94082328298</v>
      </c>
      <c r="J35" s="26" t="n">
        <f aca="false">parametros_recargas!$E$77*'Plan mensual'!L53+parametros_recargas!$F$77*'Plan mensual'!L54+parametros_recargas!$G$77*'Plan mensual'!L55+parametros_recargas!$H$77*'Plan mensual'!L56+parametros_recargas!$I$77*'Plan mensual'!L57+parametros_recargas!$J$77*'Plan mensual'!L58+parametros_recargas!$K$77*'Plan mensual'!L59+parametros_recargas!$L$77*'Plan mensual'!L60+parametros_recargas!$M$77*'Plan mensual'!L62</f>
        <v>1401.27381938979</v>
      </c>
      <c r="K35" s="26" t="n">
        <f aca="false">parametros_recargas!$E$77*'Plan mensual'!M53+parametros_recargas!$F$77*'Plan mensual'!M54+parametros_recargas!$G$77*'Plan mensual'!M55+parametros_recargas!$H$77*'Plan mensual'!M56+parametros_recargas!$I$77*'Plan mensual'!M57+parametros_recargas!$J$77*'Plan mensual'!M58+parametros_recargas!$K$77*'Plan mensual'!M59+parametros_recargas!$L$77*'Plan mensual'!M60+parametros_recargas!$M$77*'Plan mensual'!M62</f>
        <v>1401.27381938979</v>
      </c>
      <c r="L35" s="26" t="n">
        <f aca="false">parametros_recargas!$E$77*'Plan mensual'!N53+parametros_recargas!$F$77*'Plan mensual'!N54+parametros_recargas!$G$77*'Plan mensual'!N55+parametros_recargas!$H$77*'Plan mensual'!N56+parametros_recargas!$I$77*'Plan mensual'!N57+parametros_recargas!$J$77*'Plan mensual'!N58+parametros_recargas!$K$77*'Plan mensual'!N59+parametros_recargas!$L$77*'Plan mensual'!N60+parametros_recargas!$M$77*'Plan mensual'!N62</f>
        <v>1627.99112010787</v>
      </c>
      <c r="M35" s="26" t="n">
        <f aca="false">parametros_recargas!$E$77*'Plan mensual'!O53+parametros_recargas!$F$77*'Plan mensual'!O54+parametros_recargas!$G$77*'Plan mensual'!O55+parametros_recargas!$H$77*'Plan mensual'!O56+parametros_recargas!$I$77*'Plan mensual'!O57+parametros_recargas!$J$77*'Plan mensual'!O58+parametros_recargas!$K$77*'Plan mensual'!O59+parametros_recargas!$L$77*'Plan mensual'!O60+parametros_recargas!$M$77*'Plan mensual'!O62</f>
        <v>1880.92692530592</v>
      </c>
      <c r="N35" s="12" t="n">
        <f aca="false">SUM(B35:M35)</f>
        <v>18340.7282999749</v>
      </c>
      <c r="O35" s="27" t="n">
        <f aca="false">MAX(B35:M35)</f>
        <v>1880.92692530592</v>
      </c>
      <c r="P35" s="16" t="n">
        <f aca="false">O35/parametros_recargas!$B$6</f>
        <v>12.5395128353728</v>
      </c>
    </row>
    <row r="36" customFormat="false" ht="15" hidden="false" customHeight="false" outlineLevel="0" collapsed="false">
      <c r="A36" s="6" t="str">
        <f aca="false">parametros_recargas!$B$78</f>
        <v>Descarga ABC — ruta recuperable</v>
      </c>
      <c r="B36" s="26" t="n">
        <f aca="false">parametros_recargas!$E$78*'Plan mensual'!D53+parametros_recargas!$F$78*'Plan mensual'!D54+parametros_recargas!$G$78*'Plan mensual'!D55+parametros_recargas!$H$78*'Plan mensual'!D56+parametros_recargas!$I$78*'Plan mensual'!D57+parametros_recargas!$J$78*'Plan mensual'!D58+parametros_recargas!$K$78*'Plan mensual'!D59+parametros_recargas!$L$78*'Plan mensual'!D60+parametros_recargas!$M$78*'Plan mensual'!D62</f>
        <v>1343.41661146524</v>
      </c>
      <c r="C36" s="26" t="n">
        <f aca="false">parametros_recargas!$E$78*'Plan mensual'!E53+parametros_recargas!$F$78*'Plan mensual'!E54+parametros_recargas!$G$78*'Plan mensual'!E55+parametros_recargas!$H$78*'Plan mensual'!E56+parametros_recargas!$I$78*'Plan mensual'!E57+parametros_recargas!$J$78*'Plan mensual'!E58+parametros_recargas!$K$78*'Plan mensual'!E59+parametros_recargas!$L$78*'Plan mensual'!E60+parametros_recargas!$M$78*'Plan mensual'!E62</f>
        <v>1140.94003161781</v>
      </c>
      <c r="D36" s="26" t="n">
        <f aca="false">parametros_recargas!$E$78*'Plan mensual'!F53+parametros_recargas!$F$78*'Plan mensual'!F54+parametros_recargas!$G$78*'Plan mensual'!F55+parametros_recargas!$H$78*'Plan mensual'!F56+parametros_recargas!$I$78*'Plan mensual'!F57+parametros_recargas!$J$78*'Plan mensual'!F58+parametros_recargas!$K$78*'Plan mensual'!F59+parametros_recargas!$L$78*'Plan mensual'!F60+parametros_recargas!$M$78*'Plan mensual'!F62</f>
        <v>1033.38987942158</v>
      </c>
      <c r="E36" s="26" t="n">
        <f aca="false">parametros_recargas!$E$78*'Plan mensual'!G53+parametros_recargas!$F$78*'Plan mensual'!G54+parametros_recargas!$G$78*'Plan mensual'!G55+parametros_recargas!$H$78*'Plan mensual'!G56+parametros_recargas!$I$78*'Plan mensual'!G57+parametros_recargas!$J$78*'Plan mensual'!G58+parametros_recargas!$K$78*'Plan mensual'!G59+parametros_recargas!$L$78*'Plan mensual'!G60+parametros_recargas!$M$78*'Plan mensual'!G62</f>
        <v>1123.83352020415</v>
      </c>
      <c r="F36" s="26" t="n">
        <f aca="false">parametros_recargas!$E$78*'Plan mensual'!H53+parametros_recargas!$F$78*'Plan mensual'!H54+parametros_recargas!$G$78*'Plan mensual'!H55+parametros_recargas!$H$78*'Plan mensual'!H56+parametros_recargas!$I$78*'Plan mensual'!H57+parametros_recargas!$J$78*'Plan mensual'!H58+parametros_recargas!$K$78*'Plan mensual'!H59+parametros_recargas!$L$78*'Plan mensual'!H60+parametros_recargas!$M$78*'Plan mensual'!H62</f>
        <v>1131.09056502855</v>
      </c>
      <c r="G36" s="26" t="n">
        <f aca="false">parametros_recargas!$E$78*'Plan mensual'!I53+parametros_recargas!$F$78*'Plan mensual'!I54+parametros_recargas!$G$78*'Plan mensual'!I55+parametros_recargas!$H$78*'Plan mensual'!I56+parametros_recargas!$I$78*'Plan mensual'!I57+parametros_recargas!$J$78*'Plan mensual'!I58+parametros_recargas!$K$78*'Plan mensual'!I59+parametros_recargas!$L$78*'Plan mensual'!I60+parametros_recargas!$M$78*'Plan mensual'!I62</f>
        <v>1121.20608902971</v>
      </c>
      <c r="H36" s="26" t="n">
        <f aca="false">parametros_recargas!$E$78*'Plan mensual'!J53+parametros_recargas!$F$78*'Plan mensual'!J54+parametros_recargas!$G$78*'Plan mensual'!J55+parametros_recargas!$H$78*'Plan mensual'!J56+parametros_recargas!$I$78*'Plan mensual'!J57+parametros_recargas!$J$78*'Plan mensual'!J58+parametros_recargas!$K$78*'Plan mensual'!J59+parametros_recargas!$L$78*'Plan mensual'!J60+parametros_recargas!$M$78*'Plan mensual'!J62</f>
        <v>1015.07234327265</v>
      </c>
      <c r="I36" s="26" t="n">
        <f aca="false">parametros_recargas!$E$78*'Plan mensual'!K53+parametros_recargas!$F$78*'Plan mensual'!K54+parametros_recargas!$G$78*'Plan mensual'!K55+parametros_recargas!$H$78*'Plan mensual'!K56+parametros_recargas!$I$78*'Plan mensual'!K57+parametros_recargas!$J$78*'Plan mensual'!K58+parametros_recargas!$K$78*'Plan mensual'!K59+parametros_recargas!$L$78*'Plan mensual'!K60+parametros_recargas!$M$78*'Plan mensual'!K62</f>
        <v>1023.65223020408</v>
      </c>
      <c r="J36" s="26" t="n">
        <f aca="false">parametros_recargas!$E$78*'Plan mensual'!L53+parametros_recargas!$F$78*'Plan mensual'!L54+parametros_recargas!$G$78*'Plan mensual'!L55+parametros_recargas!$H$78*'Plan mensual'!L56+parametros_recargas!$I$78*'Plan mensual'!L57+parametros_recargas!$J$78*'Plan mensual'!L58+parametros_recargas!$K$78*'Plan mensual'!L59+parametros_recargas!$L$78*'Plan mensual'!L60+parametros_recargas!$M$78*'Plan mensual'!L62</f>
        <v>1032.347159355</v>
      </c>
      <c r="K36" s="26" t="n">
        <f aca="false">parametros_recargas!$E$78*'Plan mensual'!M53+parametros_recargas!$F$78*'Plan mensual'!M54+parametros_recargas!$G$78*'Plan mensual'!M55+parametros_recargas!$H$78*'Plan mensual'!M56+parametros_recargas!$I$78*'Plan mensual'!M57+parametros_recargas!$J$78*'Plan mensual'!M58+parametros_recargas!$K$78*'Plan mensual'!M59+parametros_recargas!$L$78*'Plan mensual'!M60+parametros_recargas!$M$78*'Plan mensual'!M62</f>
        <v>1032.347159355</v>
      </c>
      <c r="L36" s="26" t="n">
        <f aca="false">parametros_recargas!$E$78*'Plan mensual'!N53+parametros_recargas!$F$78*'Plan mensual'!N54+parametros_recargas!$G$78*'Plan mensual'!N55+parametros_recargas!$H$78*'Plan mensual'!N56+parametros_recargas!$I$78*'Plan mensual'!N57+parametros_recargas!$J$78*'Plan mensual'!N58+parametros_recargas!$K$78*'Plan mensual'!N59+parametros_recargas!$L$78*'Plan mensual'!N60+parametros_recargas!$M$78*'Plan mensual'!N62</f>
        <v>1227.56669437803</v>
      </c>
      <c r="M36" s="26" t="n">
        <f aca="false">parametros_recargas!$E$78*'Plan mensual'!O53+parametros_recargas!$F$78*'Plan mensual'!O54+parametros_recargas!$G$78*'Plan mensual'!O55+parametros_recargas!$H$78*'Plan mensual'!O56+parametros_recargas!$I$78*'Plan mensual'!O57+parametros_recargas!$J$78*'Plan mensual'!O58+parametros_recargas!$K$78*'Plan mensual'!O59+parametros_recargas!$L$78*'Plan mensual'!O60+parametros_recargas!$M$78*'Plan mensual'!O62</f>
        <v>1439.9277502243</v>
      </c>
      <c r="N36" s="12" t="n">
        <f aca="false">SUM(B36:M36)</f>
        <v>13664.7900335561</v>
      </c>
      <c r="O36" s="27" t="n">
        <f aca="false">MAX(B36:M36)</f>
        <v>1439.9277502243</v>
      </c>
      <c r="P36" s="16" t="n">
        <f aca="false">O36/parametros_recargas!$B$6</f>
        <v>9.59951833482865</v>
      </c>
    </row>
    <row r="37" customFormat="false" ht="15" hidden="false" customHeight="false" outlineLevel="0" collapsed="false">
      <c r="A37" s="6" t="str">
        <f aca="false">parametros_recargas!$B$79</f>
        <v>Descarga a descarte (ABC, BC y Clase D)</v>
      </c>
      <c r="B37" s="26" t="n">
        <f aca="false">parametros_recargas!$E$79*'Plan mensual'!D53+parametros_recargas!$F$79*'Plan mensual'!D54+parametros_recargas!$G$79*'Plan mensual'!D55+parametros_recargas!$H$79*'Plan mensual'!D56+parametros_recargas!$I$79*'Plan mensual'!D57+parametros_recargas!$J$79*'Plan mensual'!D58+parametros_recargas!$K$79*'Plan mensual'!D59+parametros_recargas!$L$79*'Plan mensual'!D60+parametros_recargas!$M$79*'Plan mensual'!D62</f>
        <v>153.559815932806</v>
      </c>
      <c r="C37" s="26" t="n">
        <f aca="false">parametros_recargas!$E$79*'Plan mensual'!E53+parametros_recargas!$F$79*'Plan mensual'!E54+parametros_recargas!$G$79*'Plan mensual'!E55+parametros_recargas!$H$79*'Plan mensual'!E56+parametros_recargas!$I$79*'Plan mensual'!E57+parametros_recargas!$J$79*'Plan mensual'!E58+parametros_recargas!$K$79*'Plan mensual'!E59+parametros_recargas!$L$79*'Plan mensual'!E60+parametros_recargas!$M$79*'Plan mensual'!E62</f>
        <v>131.062418171981</v>
      </c>
      <c r="D37" s="26" t="n">
        <f aca="false">parametros_recargas!$E$79*'Plan mensual'!F53+parametros_recargas!$F$79*'Plan mensual'!F54+parametros_recargas!$G$79*'Plan mensual'!F55+parametros_recargas!$H$79*'Plan mensual'!F56+parametros_recargas!$I$79*'Plan mensual'!F57+parametros_recargas!$J$79*'Plan mensual'!F58+parametros_recargas!$K$79*'Plan mensual'!F59+parametros_recargas!$L$79*'Plan mensual'!F60+parametros_recargas!$M$79*'Plan mensual'!F62</f>
        <v>119.112401261288</v>
      </c>
      <c r="E37" s="26" t="n">
        <f aca="false">parametros_recargas!$E$79*'Plan mensual'!G53+parametros_recargas!$F$79*'Plan mensual'!G54+parametros_recargas!$G$79*'Plan mensual'!G55+parametros_recargas!$H$79*'Plan mensual'!G56+parametros_recargas!$I$79*'Plan mensual'!G57+parametros_recargas!$J$79*'Plan mensual'!G58+parametros_recargas!$K$79*'Plan mensual'!G59+parametros_recargas!$L$79*'Plan mensual'!G60+parametros_recargas!$M$79*'Plan mensual'!G62</f>
        <v>129.161694681574</v>
      </c>
      <c r="F37" s="26" t="n">
        <f aca="false">parametros_recargas!$E$79*'Plan mensual'!H53+parametros_recargas!$F$79*'Plan mensual'!H54+parametros_recargas!$G$79*'Plan mensual'!H55+parametros_recargas!$H$79*'Plan mensual'!H56+parametros_recargas!$I$79*'Plan mensual'!H57+parametros_recargas!$J$79*'Plan mensual'!H58+parametros_recargas!$K$79*'Plan mensual'!H59+parametros_recargas!$L$79*'Plan mensual'!H60+parametros_recargas!$M$79*'Plan mensual'!H62</f>
        <v>129.968032995397</v>
      </c>
      <c r="G37" s="26" t="n">
        <f aca="false">parametros_recargas!$E$79*'Plan mensual'!I53+parametros_recargas!$F$79*'Plan mensual'!I54+parametros_recargas!$G$79*'Plan mensual'!I55+parametros_recargas!$H$79*'Plan mensual'!I56+parametros_recargas!$I$79*'Plan mensual'!I57+parametros_recargas!$J$79*'Plan mensual'!I58+parametros_recargas!$K$79*'Plan mensual'!I59+parametros_recargas!$L$79*'Plan mensual'!I60+parametros_recargas!$M$79*'Plan mensual'!I62</f>
        <v>128.869757884414</v>
      </c>
      <c r="H37" s="26" t="n">
        <f aca="false">parametros_recargas!$E$79*'Plan mensual'!J53+parametros_recargas!$F$79*'Plan mensual'!J54+parametros_recargas!$G$79*'Plan mensual'!J55+parametros_recargas!$H$79*'Plan mensual'!J56+parametros_recargas!$I$79*'Plan mensual'!J57+parametros_recargas!$J$79*'Plan mensual'!J58+parametros_recargas!$K$79*'Plan mensual'!J59+parametros_recargas!$L$79*'Plan mensual'!J60+parametros_recargas!$M$79*'Plan mensual'!J62</f>
        <v>117.077119466963</v>
      </c>
      <c r="I37" s="26" t="n">
        <f aca="false">parametros_recargas!$E$79*'Plan mensual'!K53+parametros_recargas!$F$79*'Plan mensual'!K54+parametros_recargas!$G$79*'Plan mensual'!K55+parametros_recargas!$H$79*'Plan mensual'!K56+parametros_recargas!$I$79*'Plan mensual'!K57+parametros_recargas!$J$79*'Plan mensual'!K58+parametros_recargas!$K$79*'Plan mensual'!K59+parametros_recargas!$L$79*'Plan mensual'!K60+parametros_recargas!$M$79*'Plan mensual'!K62</f>
        <v>118.030440237122</v>
      </c>
      <c r="J37" s="26" t="n">
        <f aca="false">parametros_recargas!$E$79*'Plan mensual'!L53+parametros_recargas!$F$79*'Plan mensual'!L54+parametros_recargas!$G$79*'Plan mensual'!L55+parametros_recargas!$H$79*'Plan mensual'!L56+parametros_recargas!$I$79*'Plan mensual'!L57+parametros_recargas!$J$79*'Plan mensual'!L58+parametros_recargas!$K$79*'Plan mensual'!L59+parametros_recargas!$L$79*'Plan mensual'!L60+parametros_recargas!$M$79*'Plan mensual'!L62</f>
        <v>118.996543476113</v>
      </c>
      <c r="K37" s="26" t="n">
        <f aca="false">parametros_recargas!$E$79*'Plan mensual'!M53+parametros_recargas!$F$79*'Plan mensual'!M54+parametros_recargas!$G$79*'Plan mensual'!M55+parametros_recargas!$H$79*'Plan mensual'!M56+parametros_recargas!$I$79*'Plan mensual'!M57+parametros_recargas!$J$79*'Plan mensual'!M58+parametros_recargas!$K$79*'Plan mensual'!M59+parametros_recargas!$L$79*'Plan mensual'!M60+parametros_recargas!$M$79*'Plan mensual'!M62</f>
        <v>118.996543476113</v>
      </c>
      <c r="L37" s="26" t="n">
        <f aca="false">parametros_recargas!$E$79*'Plan mensual'!N53+parametros_recargas!$F$79*'Plan mensual'!N54+parametros_recargas!$G$79*'Plan mensual'!N55+parametros_recargas!$H$79*'Plan mensual'!N56+parametros_recargas!$I$79*'Plan mensual'!N57+parametros_recargas!$J$79*'Plan mensual'!N58+parametros_recargas!$K$79*'Plan mensual'!N59+parametros_recargas!$L$79*'Plan mensual'!N60+parametros_recargas!$M$79*'Plan mensual'!N62</f>
        <v>140.687602923116</v>
      </c>
      <c r="M37" s="26" t="n">
        <f aca="false">parametros_recargas!$E$79*'Plan mensual'!O53+parametros_recargas!$F$79*'Plan mensual'!O54+parametros_recargas!$G$79*'Plan mensual'!O55+parametros_recargas!$H$79*'Plan mensual'!O56+parametros_recargas!$I$79*'Plan mensual'!O57+parametros_recargas!$J$79*'Plan mensual'!O58+parametros_recargas!$K$79*'Plan mensual'!O59+parametros_recargas!$L$79*'Plan mensual'!O60+parametros_recargas!$M$79*'Plan mensual'!O62</f>
        <v>164.283275794924</v>
      </c>
      <c r="N37" s="12" t="n">
        <f aca="false">SUM(B37:M37)</f>
        <v>1569.80564630181</v>
      </c>
      <c r="O37" s="27" t="n">
        <f aca="false">MAX(B37:M37)</f>
        <v>164.283275794924</v>
      </c>
      <c r="P37" s="16" t="n">
        <f aca="false">O37/parametros_recargas!$B$6</f>
        <v>1.09522183863282</v>
      </c>
    </row>
    <row r="38" customFormat="false" ht="15" hidden="false" customHeight="false" outlineLevel="0" collapsed="false">
      <c r="A38" s="6" t="str">
        <f aca="false">parametros_recargas!$B$80</f>
        <v>Descarga y carga de agua / AFFF / sales K</v>
      </c>
      <c r="B38" s="26" t="n">
        <f aca="false">parametros_recargas!$E$80*'Plan mensual'!D53+parametros_recargas!$F$80*'Plan mensual'!D54+parametros_recargas!$G$80*'Plan mensual'!D55+parametros_recargas!$H$80*'Plan mensual'!D56+parametros_recargas!$I$80*'Plan mensual'!D57+parametros_recargas!$J$80*'Plan mensual'!D58+parametros_recargas!$K$80*'Plan mensual'!D59+parametros_recargas!$L$80*'Plan mensual'!D60+parametros_recargas!$M$80*'Plan mensual'!D62</f>
        <v>66.1628401072278</v>
      </c>
      <c r="C38" s="26" t="n">
        <f aca="false">parametros_recargas!$E$80*'Plan mensual'!E53+parametros_recargas!$F$80*'Plan mensual'!E54+parametros_recargas!$G$80*'Plan mensual'!E55+parametros_recargas!$H$80*'Plan mensual'!E56+parametros_recargas!$I$80*'Plan mensual'!E57+parametros_recargas!$J$80*'Plan mensual'!E58+parametros_recargas!$K$80*'Plan mensual'!E59+parametros_recargas!$L$80*'Plan mensual'!E60+parametros_recargas!$M$80*'Plan mensual'!E62</f>
        <v>66.1628401072278</v>
      </c>
      <c r="D38" s="26" t="n">
        <f aca="false">parametros_recargas!$E$80*'Plan mensual'!F53+parametros_recargas!$F$80*'Plan mensual'!F54+parametros_recargas!$G$80*'Plan mensual'!F55+parametros_recargas!$H$80*'Plan mensual'!F56+parametros_recargas!$I$80*'Plan mensual'!F57+parametros_recargas!$J$80*'Plan mensual'!F58+parametros_recargas!$K$80*'Plan mensual'!F59+parametros_recargas!$L$80*'Plan mensual'!F60+parametros_recargas!$M$80*'Plan mensual'!F62</f>
        <v>74.0125019001134</v>
      </c>
      <c r="E38" s="26" t="n">
        <f aca="false">parametros_recargas!$E$80*'Plan mensual'!G53+parametros_recargas!$F$80*'Plan mensual'!G54+parametros_recargas!$G$80*'Plan mensual'!G55+parametros_recargas!$H$80*'Plan mensual'!G56+parametros_recargas!$I$80*'Plan mensual'!G57+parametros_recargas!$J$80*'Plan mensual'!G58+parametros_recargas!$K$80*'Plan mensual'!G59+parametros_recargas!$L$80*'Plan mensual'!G60+parametros_recargas!$M$80*'Plan mensual'!G62</f>
        <v>81.5715352241316</v>
      </c>
      <c r="F38" s="26" t="n">
        <f aca="false">parametros_recargas!$E$80*'Plan mensual'!H53+parametros_recargas!$F$80*'Plan mensual'!H54+parametros_recargas!$G$80*'Plan mensual'!H55+parametros_recargas!$H$80*'Plan mensual'!H56+parametros_recargas!$I$80*'Plan mensual'!H57+parametros_recargas!$J$80*'Plan mensual'!H58+parametros_recargas!$K$80*'Plan mensual'!H59+parametros_recargas!$L$80*'Plan mensual'!H60+parametros_recargas!$M$80*'Plan mensual'!H62</f>
        <v>82.2033896645713</v>
      </c>
      <c r="G38" s="26" t="n">
        <f aca="false">parametros_recargas!$E$80*'Plan mensual'!I53+parametros_recargas!$F$80*'Plan mensual'!I54+parametros_recargas!$G$80*'Plan mensual'!I55+parametros_recargas!$H$80*'Plan mensual'!I56+parametros_recargas!$I$80*'Plan mensual'!I57+parametros_recargas!$J$80*'Plan mensual'!I58+parametros_recargas!$K$80*'Plan mensual'!I59+parametros_recargas!$L$80*'Plan mensual'!I60+parametros_recargas!$M$80*'Plan mensual'!I62</f>
        <v>80.8597988188384</v>
      </c>
      <c r="H38" s="26" t="n">
        <f aca="false">parametros_recargas!$E$80*'Plan mensual'!J53+parametros_recargas!$F$80*'Plan mensual'!J54+parametros_recargas!$G$80*'Plan mensual'!J55+parametros_recargas!$H$80*'Plan mensual'!J56+parametros_recargas!$I$80*'Plan mensual'!J57+parametros_recargas!$J$80*'Plan mensual'!J58+parametros_recargas!$K$80*'Plan mensual'!J59+parametros_recargas!$L$80*'Plan mensual'!J60+parametros_recargas!$M$80*'Plan mensual'!J62</f>
        <v>71.6602344047778</v>
      </c>
      <c r="I38" s="26" t="n">
        <f aca="false">parametros_recargas!$E$80*'Plan mensual'!K53+parametros_recargas!$F$80*'Plan mensual'!K54+parametros_recargas!$G$80*'Plan mensual'!K55+parametros_recargas!$H$80*'Plan mensual'!K56+parametros_recargas!$I$80*'Plan mensual'!K57+parametros_recargas!$J$80*'Plan mensual'!K58+parametros_recargas!$K$80*'Plan mensual'!K59+parametros_recargas!$L$80*'Plan mensual'!K60+parametros_recargas!$M$80*'Plan mensual'!K62</f>
        <v>72.2984006206595</v>
      </c>
      <c r="J38" s="26" t="n">
        <f aca="false">parametros_recargas!$E$80*'Plan mensual'!L53+parametros_recargas!$F$80*'Plan mensual'!L54+parametros_recargas!$G$80*'Plan mensual'!L55+parametros_recargas!$H$80*'Plan mensual'!L56+parametros_recargas!$I$80*'Plan mensual'!L57+parametros_recargas!$J$80*'Plan mensual'!L58+parametros_recargas!$K$80*'Plan mensual'!L59+parametros_recargas!$L$80*'Plan mensual'!L60+parametros_recargas!$M$80*'Plan mensual'!L62</f>
        <v>73.5798113524338</v>
      </c>
      <c r="K38" s="26" t="n">
        <f aca="false">parametros_recargas!$E$80*'Plan mensual'!M53+parametros_recargas!$F$80*'Plan mensual'!M54+parametros_recargas!$G$80*'Plan mensual'!M55+parametros_recargas!$H$80*'Plan mensual'!M56+parametros_recargas!$I$80*'Plan mensual'!M57+parametros_recargas!$J$80*'Plan mensual'!M58+parametros_recargas!$K$80*'Plan mensual'!M59+parametros_recargas!$L$80*'Plan mensual'!M60+parametros_recargas!$M$80*'Plan mensual'!M62</f>
        <v>73.5798113524338</v>
      </c>
      <c r="L38" s="26" t="n">
        <f aca="false">parametros_recargas!$E$80*'Plan mensual'!N53+parametros_recargas!$F$80*'Plan mensual'!N54+parametros_recargas!$G$80*'Plan mensual'!N55+parametros_recargas!$H$80*'Plan mensual'!N56+parametros_recargas!$I$80*'Plan mensual'!N57+parametros_recargas!$J$80*'Plan mensual'!N58+parametros_recargas!$K$80*'Plan mensual'!N59+parametros_recargas!$L$80*'Plan mensual'!N60+parametros_recargas!$M$80*'Plan mensual'!N62</f>
        <v>72.9479569119941</v>
      </c>
      <c r="M38" s="26" t="n">
        <f aca="false">parametros_recargas!$E$80*'Plan mensual'!O53+parametros_recargas!$F$80*'Plan mensual'!O54+parametros_recargas!$G$80*'Plan mensual'!O55+parametros_recargas!$H$80*'Plan mensual'!O56+parametros_recargas!$I$80*'Plan mensual'!O57+parametros_recargas!$J$80*'Plan mensual'!O58+parametros_recargas!$K$80*'Plan mensual'!O59+parametros_recargas!$L$80*'Plan mensual'!O60+parametros_recargas!$M$80*'Plan mensual'!O62</f>
        <v>74.291547757727</v>
      </c>
      <c r="N38" s="12" t="n">
        <f aca="false">SUM(B38:M38)</f>
        <v>889.330668222136</v>
      </c>
      <c r="O38" s="27" t="n">
        <f aca="false">MAX(B38:M38)</f>
        <v>82.2033896645713</v>
      </c>
      <c r="P38" s="16" t="n">
        <f aca="false">O38/parametros_recargas!$B$6</f>
        <v>0.548022597763809</v>
      </c>
    </row>
    <row r="39" customFormat="false" ht="15" hidden="false" customHeight="false" outlineLevel="0" collapsed="false">
      <c r="A39" s="6" t="str">
        <f aca="false">parametros_recargas!$B$81</f>
        <v>Recuperación y carga de CO₂</v>
      </c>
      <c r="B39" s="26" t="n">
        <f aca="false">parametros_recargas!$E$81*'Plan mensual'!D53+parametros_recargas!$F$81*'Plan mensual'!D54+parametros_recargas!$G$81*'Plan mensual'!D55+parametros_recargas!$H$81*'Plan mensual'!D56+parametros_recargas!$I$81*'Plan mensual'!D57+parametros_recargas!$J$81*'Plan mensual'!D58+parametros_recargas!$K$81*'Plan mensual'!D59+parametros_recargas!$L$81*'Plan mensual'!D60+parametros_recargas!$M$81*'Plan mensual'!D62</f>
        <v>51.9928205108176</v>
      </c>
      <c r="C39" s="26" t="n">
        <f aca="false">parametros_recargas!$E$81*'Plan mensual'!E53+parametros_recargas!$F$81*'Plan mensual'!E54+parametros_recargas!$G$81*'Plan mensual'!E55+parametros_recargas!$H$81*'Plan mensual'!E56+parametros_recargas!$I$81*'Plan mensual'!E57+parametros_recargas!$J$81*'Plan mensual'!E58+parametros_recargas!$K$81*'Plan mensual'!E59+parametros_recargas!$L$81*'Plan mensual'!E60+parametros_recargas!$M$81*'Plan mensual'!E62</f>
        <v>51.9928205108176</v>
      </c>
      <c r="D39" s="26" t="n">
        <f aca="false">parametros_recargas!$E$81*'Plan mensual'!F53+parametros_recargas!$F$81*'Plan mensual'!F54+parametros_recargas!$G$81*'Plan mensual'!F55+parametros_recargas!$H$81*'Plan mensual'!F56+parametros_recargas!$I$81*'Plan mensual'!F57+parametros_recargas!$J$81*'Plan mensual'!F58+parametros_recargas!$K$81*'Plan mensual'!F59+parametros_recargas!$L$81*'Plan mensual'!F60+parametros_recargas!$M$81*'Plan mensual'!F62</f>
        <v>65.5658245630283</v>
      </c>
      <c r="E39" s="26" t="n">
        <f aca="false">parametros_recargas!$E$81*'Plan mensual'!G53+parametros_recargas!$F$81*'Plan mensual'!G54+parametros_recargas!$G$81*'Plan mensual'!G55+parametros_recargas!$H$81*'Plan mensual'!G56+parametros_recargas!$I$81*'Plan mensual'!G57+parametros_recargas!$J$81*'Plan mensual'!G58+parametros_recargas!$K$81*'Plan mensual'!G59+parametros_recargas!$L$81*'Plan mensual'!G60+parametros_recargas!$M$81*'Plan mensual'!G62</f>
        <v>78.9562058898766</v>
      </c>
      <c r="F39" s="26" t="n">
        <f aca="false">parametros_recargas!$E$81*'Plan mensual'!H53+parametros_recargas!$F$81*'Plan mensual'!H54+parametros_recargas!$G$81*'Plan mensual'!H55+parametros_recargas!$H$81*'Plan mensual'!H56+parametros_recargas!$I$81*'Plan mensual'!H57+parametros_recargas!$J$81*'Plan mensual'!H58+parametros_recargas!$K$81*'Plan mensual'!H59+parametros_recargas!$L$81*'Plan mensual'!H60+parametros_recargas!$M$81*'Plan mensual'!H62</f>
        <v>79.5288277431675</v>
      </c>
      <c r="G39" s="26" t="n">
        <f aca="false">parametros_recargas!$E$81*'Plan mensual'!I53+parametros_recargas!$F$81*'Plan mensual'!I54+parametros_recargas!$G$81*'Plan mensual'!I55+parametros_recargas!$H$81*'Plan mensual'!I56+parametros_recargas!$I$81*'Plan mensual'!I57+parametros_recargas!$J$81*'Plan mensual'!I58+parametros_recargas!$K$81*'Plan mensual'!I59+parametros_recargas!$L$81*'Plan mensual'!I60+parametros_recargas!$M$81*'Plan mensual'!I62</f>
        <v>77.8386284194173</v>
      </c>
      <c r="H39" s="26" t="n">
        <f aca="false">parametros_recargas!$E$81*'Plan mensual'!J53+parametros_recargas!$F$81*'Plan mensual'!J54+parametros_recargas!$G$81*'Plan mensual'!J55+parametros_recargas!$H$81*'Plan mensual'!J56+parametros_recargas!$I$81*'Plan mensual'!J57+parametros_recargas!$J$81*'Plan mensual'!J58+parametros_recargas!$K$81*'Plan mensual'!J59+parametros_recargas!$L$81*'Plan mensual'!J60+parametros_recargas!$M$81*'Plan mensual'!J62</f>
        <v>63.0546775363895</v>
      </c>
      <c r="I39" s="26" t="n">
        <f aca="false">parametros_recargas!$E$81*'Plan mensual'!K53+parametros_recargas!$F$81*'Plan mensual'!K54+parametros_recargas!$G$81*'Plan mensual'!K55+parametros_recargas!$H$81*'Plan mensual'!K56+parametros_recargas!$I$81*'Plan mensual'!K57+parametros_recargas!$J$81*'Plan mensual'!K58+parametros_recargas!$K$81*'Plan mensual'!K59+parametros_recargas!$L$81*'Plan mensual'!K60+parametros_recargas!$M$81*'Plan mensual'!K62</f>
        <v>63.1480468967473</v>
      </c>
      <c r="J39" s="26" t="n">
        <f aca="false">parametros_recargas!$E$81*'Plan mensual'!L53+parametros_recargas!$F$81*'Plan mensual'!L54+parametros_recargas!$G$81*'Plan mensual'!L55+parametros_recargas!$H$81*'Plan mensual'!L56+parametros_recargas!$I$81*'Plan mensual'!L57+parametros_recargas!$J$81*'Plan mensual'!L58+parametros_recargas!$K$81*'Plan mensual'!L59+parametros_recargas!$L$81*'Plan mensual'!L60+parametros_recargas!$M$81*'Plan mensual'!L62</f>
        <v>64.637359096341</v>
      </c>
      <c r="K39" s="26" t="n">
        <f aca="false">parametros_recargas!$E$81*'Plan mensual'!M53+parametros_recargas!$F$81*'Plan mensual'!M54+parametros_recargas!$G$81*'Plan mensual'!M55+parametros_recargas!$H$81*'Plan mensual'!M56+parametros_recargas!$I$81*'Plan mensual'!M57+parametros_recargas!$J$81*'Plan mensual'!M58+parametros_recargas!$K$81*'Plan mensual'!M59+parametros_recargas!$L$81*'Plan mensual'!M60+parametros_recargas!$M$81*'Plan mensual'!M62</f>
        <v>64.637359096341</v>
      </c>
      <c r="L39" s="26" t="n">
        <f aca="false">parametros_recargas!$E$81*'Plan mensual'!N53+parametros_recargas!$F$81*'Plan mensual'!N54+parametros_recargas!$G$81*'Plan mensual'!N55+parametros_recargas!$H$81*'Plan mensual'!N56+parametros_recargas!$I$81*'Plan mensual'!N57+parametros_recargas!$J$81*'Plan mensual'!N58+parametros_recargas!$K$81*'Plan mensual'!N59+parametros_recargas!$L$81*'Plan mensual'!N60+parametros_recargas!$M$81*'Plan mensual'!N62</f>
        <v>64.0647372430501</v>
      </c>
      <c r="M39" s="26" t="n">
        <f aca="false">parametros_recargas!$E$81*'Plan mensual'!O53+parametros_recargas!$F$81*'Plan mensual'!O54+parametros_recargas!$G$81*'Plan mensual'!O55+parametros_recargas!$H$81*'Plan mensual'!O56+parametros_recargas!$I$81*'Plan mensual'!O57+parametros_recargas!$J$81*'Plan mensual'!O58+parametros_recargas!$K$81*'Plan mensual'!O59+parametros_recargas!$L$81*'Plan mensual'!O60+parametros_recargas!$M$81*'Plan mensual'!O62</f>
        <v>65.7549365668003</v>
      </c>
      <c r="N39" s="12" t="n">
        <f aca="false">SUM(B39:M39)</f>
        <v>791.172244072794</v>
      </c>
      <c r="O39" s="27" t="n">
        <f aca="false">MAX(B39:M39)</f>
        <v>79.5288277431675</v>
      </c>
      <c r="P39" s="16" t="n">
        <f aca="false">O39/parametros_recargas!$B$6</f>
        <v>0.53019218495445</v>
      </c>
    </row>
    <row r="40" customFormat="false" ht="15" hidden="false" customHeight="false" outlineLevel="0" collapsed="false">
      <c r="A40" s="6" t="str">
        <f aca="false">parametros_recargas!$B$82</f>
        <v>Recuperación y carga de halogenado</v>
      </c>
      <c r="B40" s="26" t="n">
        <f aca="false">parametros_recargas!$E$82*'Plan mensual'!D53+parametros_recargas!$F$82*'Plan mensual'!D54+parametros_recargas!$G$82*'Plan mensual'!D55+parametros_recargas!$H$82*'Plan mensual'!D56+parametros_recargas!$I$82*'Plan mensual'!D57+parametros_recargas!$J$82*'Plan mensual'!D58+parametros_recargas!$K$82*'Plan mensual'!D59+parametros_recargas!$L$82*'Plan mensual'!D60+parametros_recargas!$M$82*'Plan mensual'!D62</f>
        <v>1.96712591804568</v>
      </c>
      <c r="C40" s="26" t="n">
        <f aca="false">parametros_recargas!$E$82*'Plan mensual'!E53+parametros_recargas!$F$82*'Plan mensual'!E54+parametros_recargas!$G$82*'Plan mensual'!E55+parametros_recargas!$H$82*'Plan mensual'!E56+parametros_recargas!$I$82*'Plan mensual'!E57+parametros_recargas!$J$82*'Plan mensual'!E58+parametros_recargas!$K$82*'Plan mensual'!E59+parametros_recargas!$L$82*'Plan mensual'!E60+parametros_recargas!$M$82*'Plan mensual'!E62</f>
        <v>1.96712591804568</v>
      </c>
      <c r="D40" s="26" t="n">
        <f aca="false">parametros_recargas!$E$82*'Plan mensual'!F53+parametros_recargas!$F$82*'Plan mensual'!F54+parametros_recargas!$G$82*'Plan mensual'!F55+parametros_recargas!$H$82*'Plan mensual'!F56+parametros_recargas!$I$82*'Plan mensual'!F57+parametros_recargas!$J$82*'Plan mensual'!F58+parametros_recargas!$K$82*'Plan mensual'!F59+parametros_recargas!$L$82*'Plan mensual'!F60+parametros_recargas!$M$82*'Plan mensual'!F62</f>
        <v>1.84181279883491</v>
      </c>
      <c r="E40" s="26" t="n">
        <f aca="false">parametros_recargas!$E$82*'Plan mensual'!G53+parametros_recargas!$F$82*'Plan mensual'!G54+parametros_recargas!$G$82*'Plan mensual'!G55+parametros_recargas!$H$82*'Plan mensual'!G56+parametros_recargas!$I$82*'Plan mensual'!G57+parametros_recargas!$J$82*'Plan mensual'!G58+parametros_recargas!$K$82*'Plan mensual'!G59+parametros_recargas!$L$82*'Plan mensual'!G60+parametros_recargas!$M$82*'Plan mensual'!G62</f>
        <v>1.84181279883491</v>
      </c>
      <c r="F40" s="26" t="n">
        <f aca="false">parametros_recargas!$E$82*'Plan mensual'!H53+parametros_recargas!$F$82*'Plan mensual'!H54+parametros_recargas!$G$82*'Plan mensual'!H55+parametros_recargas!$H$82*'Plan mensual'!H56+parametros_recargas!$I$82*'Plan mensual'!H57+parametros_recargas!$J$82*'Plan mensual'!H58+parametros_recargas!$K$82*'Plan mensual'!H59+parametros_recargas!$L$82*'Plan mensual'!H60+parametros_recargas!$M$82*'Plan mensual'!H62</f>
        <v>1.84181279883491</v>
      </c>
      <c r="G40" s="26" t="n">
        <f aca="false">parametros_recargas!$E$82*'Plan mensual'!I53+parametros_recargas!$F$82*'Plan mensual'!I54+parametros_recargas!$G$82*'Plan mensual'!I55+parametros_recargas!$H$82*'Plan mensual'!I56+parametros_recargas!$I$82*'Plan mensual'!I57+parametros_recargas!$J$82*'Plan mensual'!I58+parametros_recargas!$K$82*'Plan mensual'!I59+parametros_recargas!$L$82*'Plan mensual'!I60+parametros_recargas!$M$82*'Plan mensual'!I62</f>
        <v>1.71649967962414</v>
      </c>
      <c r="H40" s="26" t="n">
        <f aca="false">parametros_recargas!$E$82*'Plan mensual'!J53+parametros_recargas!$F$82*'Plan mensual'!J54+parametros_recargas!$G$82*'Plan mensual'!J55+parametros_recargas!$H$82*'Plan mensual'!J56+parametros_recargas!$I$82*'Plan mensual'!J57+parametros_recargas!$J$82*'Plan mensual'!J58+parametros_recargas!$K$82*'Plan mensual'!J59+parametros_recargas!$L$82*'Plan mensual'!J60+parametros_recargas!$M$82*'Plan mensual'!J62</f>
        <v>1.71649967962414</v>
      </c>
      <c r="I40" s="26" t="n">
        <f aca="false">parametros_recargas!$E$82*'Plan mensual'!K53+parametros_recargas!$F$82*'Plan mensual'!K54+parametros_recargas!$G$82*'Plan mensual'!K55+parametros_recargas!$H$82*'Plan mensual'!K56+parametros_recargas!$I$82*'Plan mensual'!K57+parametros_recargas!$J$82*'Plan mensual'!K58+parametros_recargas!$K$82*'Plan mensual'!K59+parametros_recargas!$L$82*'Plan mensual'!K60+parametros_recargas!$M$82*'Plan mensual'!K62</f>
        <v>1.71649967962414</v>
      </c>
      <c r="J40" s="26" t="n">
        <f aca="false">parametros_recargas!$E$82*'Plan mensual'!L53+parametros_recargas!$F$82*'Plan mensual'!L54+parametros_recargas!$G$82*'Plan mensual'!L55+parametros_recargas!$H$82*'Plan mensual'!L56+parametros_recargas!$I$82*'Plan mensual'!L57+parametros_recargas!$J$82*'Plan mensual'!L58+parametros_recargas!$K$82*'Plan mensual'!L59+parametros_recargas!$L$82*'Plan mensual'!L60+parametros_recargas!$M$82*'Plan mensual'!L62</f>
        <v>1.84181279883491</v>
      </c>
      <c r="K40" s="26" t="n">
        <f aca="false">parametros_recargas!$E$82*'Plan mensual'!M53+parametros_recargas!$F$82*'Plan mensual'!M54+parametros_recargas!$G$82*'Plan mensual'!M55+parametros_recargas!$H$82*'Plan mensual'!M56+parametros_recargas!$I$82*'Plan mensual'!M57+parametros_recargas!$J$82*'Plan mensual'!M58+parametros_recargas!$K$82*'Plan mensual'!M59+parametros_recargas!$L$82*'Plan mensual'!M60+parametros_recargas!$M$82*'Plan mensual'!M62</f>
        <v>1.84181279883491</v>
      </c>
      <c r="L40" s="26" t="n">
        <f aca="false">parametros_recargas!$E$82*'Plan mensual'!N53+parametros_recargas!$F$82*'Plan mensual'!N54+parametros_recargas!$G$82*'Plan mensual'!N55+parametros_recargas!$H$82*'Plan mensual'!N56+parametros_recargas!$I$82*'Plan mensual'!N57+parametros_recargas!$J$82*'Plan mensual'!N58+parametros_recargas!$K$82*'Plan mensual'!N59+parametros_recargas!$L$82*'Plan mensual'!N60+parametros_recargas!$M$82*'Plan mensual'!N62</f>
        <v>1.84181279883491</v>
      </c>
      <c r="M40" s="26" t="n">
        <f aca="false">parametros_recargas!$E$82*'Plan mensual'!O53+parametros_recargas!$F$82*'Plan mensual'!O54+parametros_recargas!$G$82*'Plan mensual'!O55+parametros_recargas!$H$82*'Plan mensual'!O56+parametros_recargas!$I$82*'Plan mensual'!O57+parametros_recargas!$J$82*'Plan mensual'!O58+parametros_recargas!$K$82*'Plan mensual'!O59+parametros_recargas!$L$82*'Plan mensual'!O60+parametros_recargas!$M$82*'Plan mensual'!O62</f>
        <v>1.96712591804568</v>
      </c>
      <c r="N40" s="12" t="n">
        <f aca="false">SUM(B40:M40)</f>
        <v>22.101753586019</v>
      </c>
      <c r="O40" s="27" t="n">
        <f aca="false">MAX(B40:M40)</f>
        <v>1.96712591804568</v>
      </c>
      <c r="P40" s="16" t="n">
        <f aca="false">O40/parametros_recargas!$B$6</f>
        <v>0.0131141727869712</v>
      </c>
    </row>
    <row r="41" customFormat="false" ht="15" hidden="false" customHeight="false" outlineLevel="0" collapsed="false">
      <c r="A41" s="6" t="str">
        <f aca="false">parametros_recargas!$B$83</f>
        <v>Desarme y limpieza — recinto</v>
      </c>
      <c r="B41" s="26" t="n">
        <f aca="false">parametros_recargas!$E$83*'Plan mensual'!D53+parametros_recargas!$F$83*'Plan mensual'!D54+parametros_recargas!$G$83*'Plan mensual'!D55+parametros_recargas!$H$83*'Plan mensual'!D56+parametros_recargas!$I$83*'Plan mensual'!D57+parametros_recargas!$J$83*'Plan mensual'!D58+parametros_recargas!$K$83*'Plan mensual'!D59+parametros_recargas!$L$83*'Plan mensual'!D60+parametros_recargas!$M$83*'Plan mensual'!D62</f>
        <v>1575.764660419</v>
      </c>
      <c r="C41" s="26" t="n">
        <f aca="false">parametros_recargas!$E$83*'Plan mensual'!E53+parametros_recargas!$F$83*'Plan mensual'!E54+parametros_recargas!$G$83*'Plan mensual'!E55+parametros_recargas!$H$83*'Plan mensual'!E56+parametros_recargas!$I$83*'Plan mensual'!E57+parametros_recargas!$J$83*'Plan mensual'!E58+parametros_recargas!$K$83*'Plan mensual'!E59+parametros_recargas!$L$83*'Plan mensual'!E60+parametros_recargas!$M$83*'Plan mensual'!E62</f>
        <v>1338.94994714715</v>
      </c>
      <c r="D41" s="26" t="n">
        <f aca="false">parametros_recargas!$E$83*'Plan mensual'!F53+parametros_recargas!$F$83*'Plan mensual'!F54+parametros_recargas!$G$83*'Plan mensual'!F55+parametros_recargas!$H$83*'Plan mensual'!F56+parametros_recargas!$I$83*'Plan mensual'!F57+parametros_recargas!$J$83*'Plan mensual'!F58+parametros_recargas!$K$83*'Plan mensual'!F59+parametros_recargas!$L$83*'Plan mensual'!F60+parametros_recargas!$M$83*'Plan mensual'!F62</f>
        <v>1213.16029545565</v>
      </c>
      <c r="E41" s="26" t="n">
        <f aca="false">parametros_recargas!$E$83*'Plan mensual'!G53+parametros_recargas!$F$83*'Plan mensual'!G54+parametros_recargas!$G$83*'Plan mensual'!G55+parametros_recargas!$H$83*'Plan mensual'!G56+parametros_recargas!$I$83*'Plan mensual'!G57+parametros_recargas!$J$83*'Plan mensual'!G58+parametros_recargas!$K$83*'Plan mensual'!G59+parametros_recargas!$L$83*'Plan mensual'!G60+parametros_recargas!$M$83*'Plan mensual'!G62</f>
        <v>1318.94233145866</v>
      </c>
      <c r="F41" s="26" t="n">
        <f aca="false">parametros_recargas!$E$83*'Plan mensual'!H53+parametros_recargas!$F$83*'Plan mensual'!H54+parametros_recargas!$G$83*'Plan mensual'!H55+parametros_recargas!$H$83*'Plan mensual'!H56+parametros_recargas!$I$83*'Plan mensual'!H57+parametros_recargas!$J$83*'Plan mensual'!H58+parametros_recargas!$K$83*'Plan mensual'!H59+parametros_recargas!$L$83*'Plan mensual'!H60+parametros_recargas!$M$83*'Plan mensual'!H62</f>
        <v>1327.4301031831</v>
      </c>
      <c r="G41" s="26" t="n">
        <f aca="false">parametros_recargas!$E$83*'Plan mensual'!I53+parametros_recargas!$F$83*'Plan mensual'!I54+parametros_recargas!$G$83*'Plan mensual'!I55+parametros_recargas!$H$83*'Plan mensual'!I56+parametros_recargas!$I$83*'Plan mensual'!I57+parametros_recargas!$J$83*'Plan mensual'!I58+parametros_recargas!$K$83*'Plan mensual'!I59+parametros_recargas!$L$83*'Plan mensual'!I60+parametros_recargas!$M$83*'Plan mensual'!I62</f>
        <v>1315.86931254118</v>
      </c>
      <c r="H41" s="26" t="n">
        <f aca="false">parametros_recargas!$E$83*'Plan mensual'!J53+parametros_recargas!$F$83*'Plan mensual'!J54+parametros_recargas!$G$83*'Plan mensual'!J55+parametros_recargas!$H$83*'Plan mensual'!J56+parametros_recargas!$I$83*'Plan mensual'!J57+parametros_recargas!$J$83*'Plan mensual'!J58+parametros_recargas!$K$83*'Plan mensual'!J59+parametros_recargas!$L$83*'Plan mensual'!J60+parametros_recargas!$M$83*'Plan mensual'!J62</f>
        <v>1191.73627656801</v>
      </c>
      <c r="I41" s="26" t="n">
        <f aca="false">parametros_recargas!$E$83*'Plan mensual'!K53+parametros_recargas!$F$83*'Plan mensual'!K54+parametros_recargas!$G$83*'Plan mensual'!K55+parametros_recargas!$H$83*'Plan mensual'!K56+parametros_recargas!$I$83*'Plan mensual'!K57+parametros_recargas!$J$83*'Plan mensual'!K58+parametros_recargas!$K$83*'Plan mensual'!K59+parametros_recargas!$L$83*'Plan mensual'!K60+parametros_recargas!$M$83*'Plan mensual'!K62</f>
        <v>1201.77123204337</v>
      </c>
      <c r="J41" s="26" t="n">
        <f aca="false">parametros_recargas!$E$83*'Plan mensual'!L53+parametros_recargas!$F$83*'Plan mensual'!L54+parametros_recargas!$G$83*'Plan mensual'!L55+parametros_recargas!$H$83*'Plan mensual'!L56+parametros_recargas!$I$83*'Plan mensual'!L57+parametros_recargas!$J$83*'Plan mensual'!L58+parametros_recargas!$K$83*'Plan mensual'!L59+parametros_recargas!$L$83*'Plan mensual'!L60+parametros_recargas!$M$83*'Plan mensual'!L62</f>
        <v>1211.94073982222</v>
      </c>
      <c r="K41" s="26" t="n">
        <f aca="false">parametros_recargas!$E$83*'Plan mensual'!M53+parametros_recargas!$F$83*'Plan mensual'!M54+parametros_recargas!$G$83*'Plan mensual'!M55+parametros_recargas!$H$83*'Plan mensual'!M56+parametros_recargas!$I$83*'Plan mensual'!M57+parametros_recargas!$J$83*'Plan mensual'!M58+parametros_recargas!$K$83*'Plan mensual'!M59+parametros_recargas!$L$83*'Plan mensual'!M60+parametros_recargas!$M$83*'Plan mensual'!M62</f>
        <v>1211.94073982222</v>
      </c>
      <c r="L41" s="26" t="n">
        <f aca="false">parametros_recargas!$E$83*'Plan mensual'!N53+parametros_recargas!$F$83*'Plan mensual'!N54+parametros_recargas!$G$83*'Plan mensual'!N55+parametros_recargas!$H$83*'Plan mensual'!N56+parametros_recargas!$I$83*'Plan mensual'!N57+parametros_recargas!$J$83*'Plan mensual'!N58+parametros_recargas!$K$83*'Plan mensual'!N59+parametros_recargas!$L$83*'Plan mensual'!N60+parametros_recargas!$M$83*'Plan mensual'!N62</f>
        <v>1440.26768136962</v>
      </c>
      <c r="M41" s="26" t="n">
        <f aca="false">parametros_recargas!$E$83*'Plan mensual'!O53+parametros_recargas!$F$83*'Plan mensual'!O54+parametros_recargas!$G$83*'Plan mensual'!O55+parametros_recargas!$H$83*'Plan mensual'!O56+parametros_recargas!$I$83*'Plan mensual'!O57+parametros_recargas!$J$83*'Plan mensual'!O58+parametros_recargas!$K$83*'Plan mensual'!O59+parametros_recargas!$L$83*'Plan mensual'!O60+parametros_recargas!$M$83*'Plan mensual'!O62</f>
        <v>1688.64318528339</v>
      </c>
      <c r="N41" s="12" t="n">
        <f aca="false">SUM(B41:M41)</f>
        <v>16036.4165051136</v>
      </c>
      <c r="O41" s="27" t="n">
        <f aca="false">MAX(B41:M41)</f>
        <v>1688.64318528339</v>
      </c>
      <c r="P41" s="16" t="n">
        <f aca="false">O41/parametros_recargas!$B$6</f>
        <v>11.2576212352226</v>
      </c>
    </row>
    <row r="42" customFormat="false" ht="15" hidden="false" customHeight="false" outlineLevel="0" collapsed="false">
      <c r="A42" s="6" t="str">
        <f aca="false">parametros_recargas!$B$84</f>
        <v>Desarme e inspección interior — zona general</v>
      </c>
      <c r="B42" s="26" t="n">
        <f aca="false">parametros_recargas!$E$84*'Plan mensual'!D53+parametros_recargas!$F$84*'Plan mensual'!D54+parametros_recargas!$G$84*'Plan mensual'!D55+parametros_recargas!$H$84*'Plan mensual'!D56+parametros_recargas!$I$84*'Plan mensual'!D57+parametros_recargas!$J$84*'Plan mensual'!D58+parametros_recargas!$K$84*'Plan mensual'!D59+parametros_recargas!$L$84*'Plan mensual'!D60+parametros_recargas!$M$84*'Plan mensual'!D62</f>
        <v>97.3406267937307</v>
      </c>
      <c r="C42" s="26" t="n">
        <f aca="false">parametros_recargas!$E$84*'Plan mensual'!E53+parametros_recargas!$F$84*'Plan mensual'!E54+parametros_recargas!$G$84*'Plan mensual'!E55+parametros_recargas!$H$84*'Plan mensual'!E56+parametros_recargas!$I$84*'Plan mensual'!E57+parametros_recargas!$J$84*'Plan mensual'!E58+parametros_recargas!$K$84*'Plan mensual'!E59+parametros_recargas!$L$84*'Plan mensual'!E60+parametros_recargas!$M$84*'Plan mensual'!E62</f>
        <v>97.3406267937307</v>
      </c>
      <c r="D42" s="26" t="n">
        <f aca="false">parametros_recargas!$E$84*'Plan mensual'!F53+parametros_recargas!$F$84*'Plan mensual'!F54+parametros_recargas!$G$84*'Plan mensual'!F55+parametros_recargas!$H$84*'Plan mensual'!F56+parametros_recargas!$I$84*'Plan mensual'!F57+parametros_recargas!$J$84*'Plan mensual'!F58+parametros_recargas!$K$84*'Plan mensual'!F59+parametros_recargas!$L$84*'Plan mensual'!F60+parametros_recargas!$M$84*'Plan mensual'!F62</f>
        <v>112.19465364946</v>
      </c>
      <c r="E42" s="26" t="n">
        <f aca="false">parametros_recargas!$E$84*'Plan mensual'!G53+parametros_recargas!$F$84*'Plan mensual'!G54+parametros_recargas!$G$84*'Plan mensual'!G55+parametros_recargas!$H$84*'Plan mensual'!G56+parametros_recargas!$I$84*'Plan mensual'!G57+parametros_recargas!$J$84*'Plan mensual'!G58+parametros_recargas!$K$84*'Plan mensual'!G59+parametros_recargas!$L$84*'Plan mensual'!G60+parametros_recargas!$M$84*'Plan mensual'!G62</f>
        <v>126.777698911902</v>
      </c>
      <c r="F42" s="26" t="n">
        <f aca="false">parametros_recargas!$E$84*'Plan mensual'!H53+parametros_recargas!$F$84*'Plan mensual'!H54+parametros_recargas!$G$84*'Plan mensual'!H55+parametros_recargas!$H$84*'Plan mensual'!H56+parametros_recargas!$I$84*'Plan mensual'!H57+parametros_recargas!$J$84*'Plan mensual'!H58+parametros_recargas!$K$84*'Plan mensual'!H59+parametros_recargas!$L$84*'Plan mensual'!H60+parametros_recargas!$M$84*'Plan mensual'!H62</f>
        <v>127.726168116815</v>
      </c>
      <c r="G42" s="26" t="n">
        <f aca="false">parametros_recargas!$E$84*'Plan mensual'!I53+parametros_recargas!$F$84*'Plan mensual'!I54+parametros_recargas!$G$84*'Plan mensual'!I55+parametros_recargas!$H$84*'Plan mensual'!I56+parametros_recargas!$I$84*'Plan mensual'!I57+parametros_recargas!$J$84*'Plan mensual'!I58+parametros_recargas!$K$84*'Plan mensual'!I59+parametros_recargas!$L$84*'Plan mensual'!I60+parametros_recargas!$M$84*'Plan mensual'!I62</f>
        <v>125.350161549974</v>
      </c>
      <c r="H42" s="26" t="n">
        <f aca="false">parametros_recargas!$E$84*'Plan mensual'!J53+parametros_recargas!$F$84*'Plan mensual'!J54+parametros_recargas!$G$84*'Plan mensual'!J55+parametros_recargas!$H$84*'Plan mensual'!J56+parametros_recargas!$I$84*'Plan mensual'!J57+parametros_recargas!$J$84*'Plan mensual'!J58+parametros_recargas!$K$84*'Plan mensual'!J59+parametros_recargas!$L$84*'Plan mensual'!J60+parametros_recargas!$M$84*'Plan mensual'!J62</f>
        <v>108.350640026046</v>
      </c>
      <c r="I42" s="26" t="n">
        <f aca="false">parametros_recargas!$E$84*'Plan mensual'!K53+parametros_recargas!$F$84*'Plan mensual'!K54+parametros_recargas!$G$84*'Plan mensual'!K55+parametros_recargas!$H$84*'Plan mensual'!K56+parametros_recargas!$I$84*'Plan mensual'!K57+parametros_recargas!$J$84*'Plan mensual'!K58+parametros_recargas!$K$84*'Plan mensual'!K59+parametros_recargas!$L$84*'Plan mensual'!K60+parametros_recargas!$M$84*'Plan mensual'!K62</f>
        <v>109.068597332317</v>
      </c>
      <c r="J42" s="26" t="n">
        <f aca="false">parametros_recargas!$E$84*'Plan mensual'!L53+parametros_recargas!$F$84*'Plan mensual'!L54+parametros_recargas!$G$84*'Plan mensual'!L55+parametros_recargas!$H$84*'Plan mensual'!L56+parametros_recargas!$I$84*'Plan mensual'!L57+parametros_recargas!$J$84*'Plan mensual'!L58+parametros_recargas!$K$84*'Plan mensual'!L59+parametros_recargas!$L$84*'Plan mensual'!L60+parametros_recargas!$M$84*'Plan mensual'!L62</f>
        <v>111.279743086184</v>
      </c>
      <c r="K42" s="26" t="n">
        <f aca="false">parametros_recargas!$E$84*'Plan mensual'!M53+parametros_recargas!$F$84*'Plan mensual'!M54+parametros_recargas!$G$84*'Plan mensual'!M55+parametros_recargas!$H$84*'Plan mensual'!M56+parametros_recargas!$I$84*'Plan mensual'!M57+parametros_recargas!$J$84*'Plan mensual'!M58+parametros_recargas!$K$84*'Plan mensual'!M59+parametros_recargas!$L$84*'Plan mensual'!M60+parametros_recargas!$M$84*'Plan mensual'!M62</f>
        <v>111.279743086184</v>
      </c>
      <c r="L42" s="26" t="n">
        <f aca="false">parametros_recargas!$E$84*'Plan mensual'!N53+parametros_recargas!$F$84*'Plan mensual'!N54+parametros_recargas!$G$84*'Plan mensual'!N55+parametros_recargas!$H$84*'Plan mensual'!N56+parametros_recargas!$I$84*'Plan mensual'!N57+parametros_recargas!$J$84*'Plan mensual'!N58+parametros_recargas!$K$84*'Plan mensual'!N59+parametros_recargas!$L$84*'Plan mensual'!N60+parametros_recargas!$M$84*'Plan mensual'!N62</f>
        <v>110.331273881271</v>
      </c>
      <c r="M42" s="26" t="n">
        <f aca="false">parametros_recargas!$E$84*'Plan mensual'!O53+parametros_recargas!$F$84*'Plan mensual'!O54+parametros_recargas!$G$84*'Plan mensual'!O55+parametros_recargas!$H$84*'Plan mensual'!O56+parametros_recargas!$I$84*'Plan mensual'!O57+parametros_recargas!$J$84*'Plan mensual'!O58+parametros_recargas!$K$84*'Plan mensual'!O59+parametros_recargas!$L$84*'Plan mensual'!O60+parametros_recargas!$M$84*'Plan mensual'!O62</f>
        <v>112.707280448112</v>
      </c>
      <c r="N42" s="12" t="n">
        <f aca="false">SUM(B42:M42)</f>
        <v>1349.74721367573</v>
      </c>
      <c r="O42" s="27" t="n">
        <f aca="false">MAX(B42:M42)</f>
        <v>127.726168116815</v>
      </c>
      <c r="P42" s="16" t="n">
        <f aca="false">O42/parametros_recargas!$B$6</f>
        <v>0.851507787445432</v>
      </c>
    </row>
    <row r="43" customFormat="false" ht="15" hidden="false" customHeight="false" outlineLevel="0" collapsed="false">
      <c r="A43" s="6" t="str">
        <f aca="false">parametros_recargas!$B$85</f>
        <v>Laboratorio — Puffer y mufla</v>
      </c>
      <c r="B43" s="26" t="n">
        <f aca="false">parametros_recargas!$E$85*'Plan mensual'!D53+parametros_recargas!$F$85*'Plan mensual'!D54+parametros_recargas!$G$85*'Plan mensual'!D55+parametros_recargas!$H$85*'Plan mensual'!D56+parametros_recargas!$I$85*'Plan mensual'!D57+parametros_recargas!$J$85*'Plan mensual'!D58+parametros_recargas!$K$85*'Plan mensual'!D59+parametros_recargas!$L$85*'Plan mensual'!D60+parametros_recargas!$M$85*'Plan mensual'!D62</f>
        <v>16.3516458257872</v>
      </c>
      <c r="C43" s="26" t="n">
        <f aca="false">parametros_recargas!$E$85*'Plan mensual'!E53+parametros_recargas!$F$85*'Plan mensual'!E54+parametros_recargas!$G$85*'Plan mensual'!E55+parametros_recargas!$H$85*'Plan mensual'!E56+parametros_recargas!$I$85*'Plan mensual'!E57+parametros_recargas!$J$85*'Plan mensual'!E58+parametros_recargas!$K$85*'Plan mensual'!E59+parametros_recargas!$L$85*'Plan mensual'!E60+parametros_recargas!$M$85*'Plan mensual'!E62</f>
        <v>13.8871643734767</v>
      </c>
      <c r="D43" s="26" t="n">
        <f aca="false">parametros_recargas!$E$85*'Plan mensual'!F53+parametros_recargas!$F$85*'Plan mensual'!F54+parametros_recargas!$G$85*'Plan mensual'!F55+parametros_recargas!$H$85*'Plan mensual'!F56+parametros_recargas!$I$85*'Plan mensual'!F57+parametros_recargas!$J$85*'Plan mensual'!F58+parametros_recargas!$K$85*'Plan mensual'!F59+parametros_recargas!$L$85*'Plan mensual'!F60+parametros_recargas!$M$85*'Plan mensual'!F62</f>
        <v>12.5780976385461</v>
      </c>
      <c r="E43" s="26" t="n">
        <f aca="false">parametros_recargas!$E$85*'Plan mensual'!G53+parametros_recargas!$F$85*'Plan mensual'!G54+parametros_recargas!$G$85*'Plan mensual'!G55+parametros_recargas!$H$85*'Plan mensual'!G56+parametros_recargas!$I$85*'Plan mensual'!G57+parametros_recargas!$J$85*'Plan mensual'!G58+parametros_recargas!$K$85*'Plan mensual'!G59+parametros_recargas!$L$85*'Plan mensual'!G60+parametros_recargas!$M$85*'Plan mensual'!G62</f>
        <v>13.6789492795411</v>
      </c>
      <c r="F43" s="26" t="n">
        <f aca="false">parametros_recargas!$E$85*'Plan mensual'!H53+parametros_recargas!$F$85*'Plan mensual'!H54+parametros_recargas!$G$85*'Plan mensual'!H55+parametros_recargas!$H$85*'Plan mensual'!H56+parametros_recargas!$I$85*'Plan mensual'!H57+parametros_recargas!$J$85*'Plan mensual'!H58+parametros_recargas!$K$85*'Plan mensual'!H59+parametros_recargas!$L$85*'Plan mensual'!H60+parametros_recargas!$M$85*'Plan mensual'!H62</f>
        <v>13.7672797540176</v>
      </c>
      <c r="G43" s="26" t="n">
        <f aca="false">parametros_recargas!$E$85*'Plan mensual'!I53+parametros_recargas!$F$85*'Plan mensual'!I54+parametros_recargas!$G$85*'Plan mensual'!I55+parametros_recargas!$H$85*'Plan mensual'!I56+parametros_recargas!$I$85*'Plan mensual'!I57+parametros_recargas!$J$85*'Plan mensual'!I58+parametros_recargas!$K$85*'Plan mensual'!I59+parametros_recargas!$L$85*'Plan mensual'!I60+parametros_recargas!$M$85*'Plan mensual'!I62</f>
        <v>13.6469690110008</v>
      </c>
      <c r="H43" s="26" t="n">
        <f aca="false">parametros_recargas!$E$85*'Plan mensual'!J53+parametros_recargas!$F$85*'Plan mensual'!J54+parametros_recargas!$G$85*'Plan mensual'!J55+parametros_recargas!$H$85*'Plan mensual'!J56+parametros_recargas!$I$85*'Plan mensual'!J57+parametros_recargas!$J$85*'Plan mensual'!J58+parametros_recargas!$K$85*'Plan mensual'!J59+parametros_recargas!$L$85*'Plan mensual'!J60+parametros_recargas!$M$85*'Plan mensual'!J62</f>
        <v>12.3551423311961</v>
      </c>
      <c r="I43" s="26" t="n">
        <f aca="false">parametros_recargas!$E$85*'Plan mensual'!K53+parametros_recargas!$F$85*'Plan mensual'!K54+parametros_recargas!$G$85*'Plan mensual'!K55+parametros_recargas!$H$85*'Plan mensual'!K56+parametros_recargas!$I$85*'Plan mensual'!K57+parametros_recargas!$J$85*'Plan mensual'!K58+parametros_recargas!$K$85*'Plan mensual'!K59+parametros_recargas!$L$85*'Plan mensual'!K60+parametros_recargas!$M$85*'Plan mensual'!K62</f>
        <v>12.4595740250807</v>
      </c>
      <c r="J43" s="26" t="n">
        <f aca="false">parametros_recargas!$E$85*'Plan mensual'!L53+parametros_recargas!$F$85*'Plan mensual'!L54+parametros_recargas!$G$85*'Plan mensual'!L55+parametros_recargas!$H$85*'Plan mensual'!L56+parametros_recargas!$I$85*'Plan mensual'!L57+parametros_recargas!$J$85*'Plan mensual'!L58+parametros_recargas!$K$85*'Plan mensual'!L59+parametros_recargas!$L$85*'Plan mensual'!L60+parametros_recargas!$M$85*'Plan mensual'!L62</f>
        <v>12.5654059767946</v>
      </c>
      <c r="K43" s="26" t="n">
        <f aca="false">parametros_recargas!$E$85*'Plan mensual'!M53+parametros_recargas!$F$85*'Plan mensual'!M54+parametros_recargas!$G$85*'Plan mensual'!M55+parametros_recargas!$H$85*'Plan mensual'!M56+parametros_recargas!$I$85*'Plan mensual'!M57+parametros_recargas!$J$85*'Plan mensual'!M58+parametros_recargas!$K$85*'Plan mensual'!M59+parametros_recargas!$L$85*'Plan mensual'!M60+parametros_recargas!$M$85*'Plan mensual'!M62</f>
        <v>12.5654059767946</v>
      </c>
      <c r="L43" s="26" t="n">
        <f aca="false">parametros_recargas!$E$85*'Plan mensual'!N53+parametros_recargas!$F$85*'Plan mensual'!N54+parametros_recargas!$G$85*'Plan mensual'!N55+parametros_recargas!$H$85*'Plan mensual'!N56+parametros_recargas!$I$85*'Plan mensual'!N57+parametros_recargas!$J$85*'Plan mensual'!N58+parametros_recargas!$K$85*'Plan mensual'!N59+parametros_recargas!$L$85*'Plan mensual'!N60+parametros_recargas!$M$85*'Plan mensual'!N62</f>
        <v>14.9415569546284</v>
      </c>
      <c r="M43" s="26" t="n">
        <f aca="false">parametros_recargas!$E$85*'Plan mensual'!O53+parametros_recargas!$F$85*'Plan mensual'!O54+parametros_recargas!$G$85*'Plan mensual'!O55+parametros_recargas!$H$85*'Plan mensual'!O56+parametros_recargas!$I$85*'Plan mensual'!O57+parametros_recargas!$J$85*'Plan mensual'!O58+parametros_recargas!$K$85*'Plan mensual'!O59+parametros_recargas!$L$85*'Plan mensual'!O60+parametros_recargas!$M$85*'Plan mensual'!O62</f>
        <v>17.5263491499557</v>
      </c>
      <c r="N43" s="12" t="n">
        <f aca="false">SUM(B43:M43)</f>
        <v>166.32354029682</v>
      </c>
      <c r="O43" s="27" t="n">
        <f aca="false">MAX(B43:M43)</f>
        <v>17.5263491499557</v>
      </c>
      <c r="P43" s="16" t="n">
        <f aca="false">O43/parametros_recargas!$B$6</f>
        <v>0.116842327666372</v>
      </c>
    </row>
    <row r="44" customFormat="false" ht="15" hidden="false" customHeight="false" outlineLevel="0" collapsed="false">
      <c r="A44" s="6" t="str">
        <f aca="false">parametros_recargas!$B$86</f>
        <v>Prueba hidráulica</v>
      </c>
      <c r="B44" s="26" t="n">
        <f aca="false">parametros_recargas!$E$86*'Plan mensual'!D53+parametros_recargas!$F$86*'Plan mensual'!D54+parametros_recargas!$G$86*'Plan mensual'!D55+parametros_recargas!$H$86*'Plan mensual'!D56+parametros_recargas!$I$86*'Plan mensual'!D57+parametros_recargas!$J$86*'Plan mensual'!D58+parametros_recargas!$K$86*'Plan mensual'!D59+parametros_recargas!$L$86*'Plan mensual'!D60+parametros_recargas!$M$86*'Plan mensual'!D62</f>
        <v>455.091395568529</v>
      </c>
      <c r="C44" s="26" t="n">
        <f aca="false">parametros_recargas!$E$86*'Plan mensual'!E53+parametros_recargas!$F$86*'Plan mensual'!E54+parametros_recargas!$G$86*'Plan mensual'!E55+parametros_recargas!$H$86*'Plan mensual'!E56+parametros_recargas!$I$86*'Plan mensual'!E57+parametros_recargas!$J$86*'Plan mensual'!E58+parametros_recargas!$K$86*'Plan mensual'!E59+parametros_recargas!$L$86*'Plan mensual'!E60+parametros_recargas!$M$86*'Plan mensual'!E62</f>
        <v>395.887717250567</v>
      </c>
      <c r="D44" s="26" t="n">
        <f aca="false">parametros_recargas!$E$86*'Plan mensual'!F53+parametros_recargas!$F$86*'Plan mensual'!F54+parametros_recargas!$G$86*'Plan mensual'!F55+parametros_recargas!$H$86*'Plan mensual'!F56+parametros_recargas!$I$86*'Plan mensual'!F57+parametros_recargas!$J$86*'Plan mensual'!F58+parametros_recargas!$K$86*'Plan mensual'!F59+parametros_recargas!$L$86*'Plan mensual'!F60+parametros_recargas!$M$86*'Plan mensual'!F62</f>
        <v>374.492451067889</v>
      </c>
      <c r="E44" s="26" t="n">
        <f aca="false">parametros_recargas!$E$86*'Plan mensual'!G53+parametros_recargas!$F$86*'Plan mensual'!G54+parametros_recargas!$G$86*'Plan mensual'!G55+parametros_recargas!$H$86*'Plan mensual'!G56+parametros_recargas!$I$86*'Plan mensual'!G57+parametros_recargas!$J$86*'Plan mensual'!G58+parametros_recargas!$K$86*'Plan mensual'!G59+parametros_recargas!$L$86*'Plan mensual'!G60+parametros_recargas!$M$86*'Plan mensual'!G62</f>
        <v>410.836049252112</v>
      </c>
      <c r="F44" s="26" t="n">
        <f aca="false">parametros_recargas!$E$86*'Plan mensual'!H53+parametros_recargas!$F$86*'Plan mensual'!H54+parametros_recargas!$G$86*'Plan mensual'!H55+parametros_recargas!$H$86*'Plan mensual'!H56+parametros_recargas!$I$86*'Plan mensual'!H57+parametros_recargas!$J$86*'Plan mensual'!H58+parametros_recargas!$K$86*'Plan mensual'!H59+parametros_recargas!$L$86*'Plan mensual'!H60+parametros_recargas!$M$86*'Plan mensual'!H62</f>
        <v>413.559935371747</v>
      </c>
      <c r="G44" s="26" t="n">
        <f aca="false">parametros_recargas!$E$86*'Plan mensual'!I53+parametros_recargas!$F$86*'Plan mensual'!I54+parametros_recargas!$G$86*'Plan mensual'!I55+parametros_recargas!$H$86*'Plan mensual'!I56+parametros_recargas!$I$86*'Plan mensual'!I57+parametros_recargas!$J$86*'Plan mensual'!I58+parametros_recargas!$K$86*'Plan mensual'!I59+parametros_recargas!$L$86*'Plan mensual'!I60+parametros_recargas!$M$86*'Plan mensual'!I62</f>
        <v>409.105370544175</v>
      </c>
      <c r="H44" s="26" t="n">
        <f aca="false">parametros_recargas!$E$86*'Plan mensual'!J53+parametros_recargas!$F$86*'Plan mensual'!J54+parametros_recargas!$G$86*'Plan mensual'!J55+parametros_recargas!$H$86*'Plan mensual'!J56+parametros_recargas!$I$86*'Plan mensual'!J57+parametros_recargas!$J$86*'Plan mensual'!J58+parametros_recargas!$K$86*'Plan mensual'!J59+parametros_recargas!$L$86*'Plan mensual'!J60+parametros_recargas!$M$86*'Plan mensual'!J62</f>
        <v>366.649573351801</v>
      </c>
      <c r="I44" s="26" t="n">
        <f aca="false">parametros_recargas!$E$86*'Plan mensual'!K53+parametros_recargas!$F$86*'Plan mensual'!K54+parametros_recargas!$G$86*'Plan mensual'!K55+parametros_recargas!$H$86*'Plan mensual'!K56+parametros_recargas!$I$86*'Plan mensual'!K57+parametros_recargas!$J$86*'Plan mensual'!K58+parametros_recargas!$K$86*'Plan mensual'!K59+parametros_recargas!$L$86*'Plan mensual'!K60+parametros_recargas!$M$86*'Plan mensual'!K62</f>
        <v>369.566279700954</v>
      </c>
      <c r="J44" s="26" t="n">
        <f aca="false">parametros_recargas!$E$86*'Plan mensual'!L53+parametros_recargas!$F$86*'Plan mensual'!L54+parametros_recargas!$G$86*'Plan mensual'!L55+parametros_recargas!$H$86*'Plan mensual'!L56+parametros_recargas!$I$86*'Plan mensual'!L57+parametros_recargas!$J$86*'Plan mensual'!L58+parametros_recargas!$K$86*'Plan mensual'!L59+parametros_recargas!$L$86*'Plan mensual'!L60+parametros_recargas!$M$86*'Plan mensual'!L62</f>
        <v>373.554184748217</v>
      </c>
      <c r="K44" s="26" t="n">
        <f aca="false">parametros_recargas!$E$86*'Plan mensual'!M53+parametros_recargas!$F$86*'Plan mensual'!M54+parametros_recargas!$G$86*'Plan mensual'!M55+parametros_recargas!$H$86*'Plan mensual'!M56+parametros_recargas!$I$86*'Plan mensual'!M57+parametros_recargas!$J$86*'Plan mensual'!M58+parametros_recargas!$K$86*'Plan mensual'!M59+parametros_recargas!$L$86*'Plan mensual'!M60+parametros_recargas!$M$86*'Plan mensual'!M62</f>
        <v>373.554184748217</v>
      </c>
      <c r="L44" s="26" t="n">
        <f aca="false">parametros_recargas!$E$86*'Plan mensual'!N53+parametros_recargas!$F$86*'Plan mensual'!N54+parametros_recargas!$G$86*'Plan mensual'!N55+parametros_recargas!$H$86*'Plan mensual'!N56+parametros_recargas!$I$86*'Plan mensual'!N57+parametros_recargas!$J$86*'Plan mensual'!N58+parametros_recargas!$K$86*'Plan mensual'!N59+parametros_recargas!$L$86*'Plan mensual'!N60+parametros_recargas!$M$86*'Plan mensual'!N62</f>
        <v>430.033976946543</v>
      </c>
      <c r="M44" s="26" t="n">
        <f aca="false">parametros_recargas!$E$86*'Plan mensual'!O53+parametros_recargas!$F$86*'Plan mensual'!O54+parametros_recargas!$G$86*'Plan mensual'!O55+parametros_recargas!$H$86*'Plan mensual'!O56+parametros_recargas!$I$86*'Plan mensual'!O57+parametros_recargas!$J$86*'Plan mensual'!O58+parametros_recargas!$K$86*'Plan mensual'!O59+parametros_recargas!$L$86*'Plan mensual'!O60+parametros_recargas!$M$86*'Plan mensual'!O62</f>
        <v>493.692220092077</v>
      </c>
      <c r="N44" s="12" t="n">
        <f aca="false">SUM(B44:M44)</f>
        <v>4866.02333864283</v>
      </c>
      <c r="O44" s="27" t="n">
        <f aca="false">MAX(B44:M44)</f>
        <v>493.692220092077</v>
      </c>
      <c r="P44" s="16" t="n">
        <f aca="false">O44/parametros_recargas!$B$6</f>
        <v>3.29128146728051</v>
      </c>
    </row>
    <row r="45" customFormat="false" ht="15" hidden="false" customHeight="false" outlineLevel="0" collapsed="false">
      <c r="A45" s="6" t="str">
        <f aca="false">parametros_recargas!$B$87</f>
        <v>Secado</v>
      </c>
      <c r="B45" s="26" t="n">
        <f aca="false">parametros_recargas!$E$87*'Plan mensual'!D53+parametros_recargas!$F$87*'Plan mensual'!D54+parametros_recargas!$G$87*'Plan mensual'!D55+parametros_recargas!$H$87*'Plan mensual'!D56+parametros_recargas!$I$87*'Plan mensual'!D57+parametros_recargas!$J$87*'Plan mensual'!D58+parametros_recargas!$K$87*'Plan mensual'!D59+parametros_recargas!$L$87*'Plan mensual'!D60+parametros_recargas!$M$87*'Plan mensual'!D62</f>
        <v>432.544240005376</v>
      </c>
      <c r="C45" s="26" t="n">
        <f aca="false">parametros_recargas!$E$87*'Plan mensual'!E53+parametros_recargas!$F$87*'Plan mensual'!E54+parametros_recargas!$G$87*'Plan mensual'!E55+parametros_recargas!$H$87*'Plan mensual'!E56+parametros_recargas!$I$87*'Plan mensual'!E57+parametros_recargas!$J$87*'Plan mensual'!E58+parametros_recargas!$K$87*'Plan mensual'!E59+parametros_recargas!$L$87*'Plan mensual'!E60+parametros_recargas!$M$87*'Plan mensual'!E62</f>
        <v>370.972414554696</v>
      </c>
      <c r="D45" s="26" t="n">
        <f aca="false">parametros_recargas!$E$87*'Plan mensual'!F53+parametros_recargas!$F$87*'Plan mensual'!F54+parametros_recargas!$G$87*'Plan mensual'!F55+parametros_recargas!$H$87*'Plan mensual'!F56+parametros_recargas!$I$87*'Plan mensual'!F57+parametros_recargas!$J$87*'Plan mensual'!F58+parametros_recargas!$K$87*'Plan mensual'!F59+parametros_recargas!$L$87*'Plan mensual'!F60+parametros_recargas!$M$87*'Plan mensual'!F62</f>
        <v>343.774710817117</v>
      </c>
      <c r="E45" s="26" t="n">
        <f aca="false">parametros_recargas!$E$87*'Plan mensual'!G53+parametros_recargas!$F$87*'Plan mensual'!G54+parametros_recargas!$G$87*'Plan mensual'!G55+parametros_recargas!$H$87*'Plan mensual'!G56+parametros_recargas!$I$87*'Plan mensual'!G57+parametros_recargas!$J$87*'Plan mensual'!G58+parametros_recargas!$K$87*'Plan mensual'!G59+parametros_recargas!$L$87*'Plan mensual'!G60+parametros_recargas!$M$87*'Plan mensual'!G62</f>
        <v>376.799846910622</v>
      </c>
      <c r="F45" s="26" t="n">
        <f aca="false">parametros_recargas!$E$87*'Plan mensual'!H53+parametros_recargas!$F$87*'Plan mensual'!H54+parametros_recargas!$G$87*'Plan mensual'!H55+parametros_recargas!$H$87*'Plan mensual'!H56+parametros_recargas!$I$87*'Plan mensual'!H57+parametros_recargas!$J$87*'Plan mensual'!H58+parametros_recargas!$K$87*'Plan mensual'!H59+parametros_recargas!$L$87*'Plan mensual'!H60+parametros_recargas!$M$87*'Plan mensual'!H62</f>
        <v>379.242800281984</v>
      </c>
      <c r="G45" s="26" t="n">
        <f aca="false">parametros_recargas!$E$87*'Plan mensual'!I53+parametros_recargas!$F$87*'Plan mensual'!I54+parametros_recargas!$G$87*'Plan mensual'!I55+parametros_recargas!$H$87*'Plan mensual'!I56+parametros_recargas!$I$87*'Plan mensual'!I57+parametros_recargas!$J$87*'Plan mensual'!I58+parametros_recargas!$K$87*'Plan mensual'!I59+parametros_recargas!$L$87*'Plan mensual'!I60+parametros_recargas!$M$87*'Plan mensual'!I62</f>
        <v>375.450495932364</v>
      </c>
      <c r="H45" s="26" t="n">
        <f aca="false">parametros_recargas!$E$87*'Plan mensual'!J53+parametros_recargas!$F$87*'Plan mensual'!J54+parametros_recargas!$G$87*'Plan mensual'!J55+parametros_recargas!$H$87*'Plan mensual'!J56+parametros_recargas!$I$87*'Plan mensual'!J57+parametros_recargas!$J$87*'Plan mensual'!J58+parametros_recargas!$K$87*'Plan mensual'!J59+parametros_recargas!$L$87*'Plan mensual'!J60+parametros_recargas!$M$87*'Plan mensual'!J62</f>
        <v>337.079431988399</v>
      </c>
      <c r="I45" s="26" t="n">
        <f aca="false">parametros_recargas!$E$87*'Plan mensual'!K53+parametros_recargas!$F$87*'Plan mensual'!K54+parametros_recargas!$G$87*'Plan mensual'!K55+parametros_recargas!$H$87*'Plan mensual'!K56+parametros_recargas!$I$87*'Plan mensual'!K57+parametros_recargas!$J$87*'Plan mensual'!K58+parametros_recargas!$K$87*'Plan mensual'!K59+parametros_recargas!$L$87*'Plan mensual'!K60+parametros_recargas!$M$87*'Plan mensual'!K62</f>
        <v>339.727023241006</v>
      </c>
      <c r="J45" s="26" t="n">
        <f aca="false">parametros_recargas!$E$87*'Plan mensual'!L53+parametros_recargas!$F$87*'Plan mensual'!L54+parametros_recargas!$G$87*'Plan mensual'!L55+parametros_recargas!$H$87*'Plan mensual'!L56+parametros_recargas!$I$87*'Plan mensual'!L57+parametros_recargas!$J$87*'Plan mensual'!L58+parametros_recargas!$K$87*'Plan mensual'!L59+parametros_recargas!$L$87*'Plan mensual'!L60+parametros_recargas!$M$87*'Plan mensual'!L62</f>
        <v>343.07475399503</v>
      </c>
      <c r="K45" s="26" t="n">
        <f aca="false">parametros_recargas!$E$87*'Plan mensual'!M53+parametros_recargas!$F$87*'Plan mensual'!M54+parametros_recargas!$G$87*'Plan mensual'!M55+parametros_recargas!$H$87*'Plan mensual'!M56+parametros_recargas!$I$87*'Plan mensual'!M57+parametros_recargas!$J$87*'Plan mensual'!M58+parametros_recargas!$K$87*'Plan mensual'!M59+parametros_recargas!$L$87*'Plan mensual'!M60+parametros_recargas!$M$87*'Plan mensual'!M62</f>
        <v>343.07475399503</v>
      </c>
      <c r="L45" s="26" t="n">
        <f aca="false">parametros_recargas!$E$87*'Plan mensual'!N53+parametros_recargas!$F$87*'Plan mensual'!N54+parametros_recargas!$G$87*'Plan mensual'!N55+parametros_recargas!$H$87*'Plan mensual'!N56+parametros_recargas!$I$87*'Plan mensual'!N57+parametros_recargas!$J$87*'Plan mensual'!N58+parametros_recargas!$K$87*'Plan mensual'!N59+parametros_recargas!$L$87*'Plan mensual'!N60+parametros_recargas!$M$87*'Plan mensual'!N62</f>
        <v>402.203626074348</v>
      </c>
      <c r="M45" s="26" t="n">
        <f aca="false">parametros_recargas!$E$87*'Plan mensual'!O53+parametros_recargas!$F$87*'Plan mensual'!O54+parametros_recargas!$G$87*'Plan mensual'!O55+parametros_recargas!$H$87*'Plan mensual'!O56+parametros_recargas!$I$87*'Plan mensual'!O57+parametros_recargas!$J$87*'Plan mensual'!O58+parametros_recargas!$K$87*'Plan mensual'!O59+parametros_recargas!$L$87*'Plan mensual'!O60+parametros_recargas!$M$87*'Plan mensual'!O62</f>
        <v>467.567755874648</v>
      </c>
      <c r="N45" s="12" t="n">
        <f aca="false">SUM(B45:M45)</f>
        <v>4511.51185367062</v>
      </c>
      <c r="O45" s="27" t="n">
        <f aca="false">MAX(B45:M45)</f>
        <v>467.567755874648</v>
      </c>
      <c r="P45" s="16" t="n">
        <f aca="false">O45/parametros_recargas!$B$6</f>
        <v>3.11711837249765</v>
      </c>
    </row>
    <row r="46" customFormat="false" ht="15" hidden="false" customHeight="false" outlineLevel="0" collapsed="false">
      <c r="A46" s="6" t="str">
        <f aca="false">parametros_recargas!$B$88</f>
        <v>Inspección interior con videoscopio</v>
      </c>
      <c r="B46" s="26" t="n">
        <f aca="false">parametros_recargas!$E$88*'Plan mensual'!D53+parametros_recargas!$F$88*'Plan mensual'!D54+parametros_recargas!$G$88*'Plan mensual'!D55+parametros_recargas!$H$88*'Plan mensual'!D56+parametros_recargas!$I$88*'Plan mensual'!D57+parametros_recargas!$J$88*'Plan mensual'!D58+parametros_recargas!$K$88*'Plan mensual'!D59+parametros_recargas!$L$88*'Plan mensual'!D60+parametros_recargas!$M$88*'Plan mensual'!D62</f>
        <v>432.544240005376</v>
      </c>
      <c r="C46" s="26" t="n">
        <f aca="false">parametros_recargas!$E$88*'Plan mensual'!E53+parametros_recargas!$F$88*'Plan mensual'!E54+parametros_recargas!$G$88*'Plan mensual'!E55+parametros_recargas!$H$88*'Plan mensual'!E56+parametros_recargas!$I$88*'Plan mensual'!E57+parametros_recargas!$J$88*'Plan mensual'!E58+parametros_recargas!$K$88*'Plan mensual'!E59+parametros_recargas!$L$88*'Plan mensual'!E60+parametros_recargas!$M$88*'Plan mensual'!E62</f>
        <v>370.972414554696</v>
      </c>
      <c r="D46" s="26" t="n">
        <f aca="false">parametros_recargas!$E$88*'Plan mensual'!F53+parametros_recargas!$F$88*'Plan mensual'!F54+parametros_recargas!$G$88*'Plan mensual'!F55+parametros_recargas!$H$88*'Plan mensual'!F56+parametros_recargas!$I$88*'Plan mensual'!F57+parametros_recargas!$J$88*'Plan mensual'!F58+parametros_recargas!$K$88*'Plan mensual'!F59+parametros_recargas!$L$88*'Plan mensual'!F60+parametros_recargas!$M$88*'Plan mensual'!F62</f>
        <v>343.774710817117</v>
      </c>
      <c r="E46" s="26" t="n">
        <f aca="false">parametros_recargas!$E$88*'Plan mensual'!G53+parametros_recargas!$F$88*'Plan mensual'!G54+parametros_recargas!$G$88*'Plan mensual'!G55+parametros_recargas!$H$88*'Plan mensual'!G56+parametros_recargas!$I$88*'Plan mensual'!G57+parametros_recargas!$J$88*'Plan mensual'!G58+parametros_recargas!$K$88*'Plan mensual'!G59+parametros_recargas!$L$88*'Plan mensual'!G60+parametros_recargas!$M$88*'Plan mensual'!G62</f>
        <v>376.799846910622</v>
      </c>
      <c r="F46" s="26" t="n">
        <f aca="false">parametros_recargas!$E$88*'Plan mensual'!H53+parametros_recargas!$F$88*'Plan mensual'!H54+parametros_recargas!$G$88*'Plan mensual'!H55+parametros_recargas!$H$88*'Plan mensual'!H56+parametros_recargas!$I$88*'Plan mensual'!H57+parametros_recargas!$J$88*'Plan mensual'!H58+parametros_recargas!$K$88*'Plan mensual'!H59+parametros_recargas!$L$88*'Plan mensual'!H60+parametros_recargas!$M$88*'Plan mensual'!H62</f>
        <v>379.242800281984</v>
      </c>
      <c r="G46" s="26" t="n">
        <f aca="false">parametros_recargas!$E$88*'Plan mensual'!I53+parametros_recargas!$F$88*'Plan mensual'!I54+parametros_recargas!$G$88*'Plan mensual'!I55+parametros_recargas!$H$88*'Plan mensual'!I56+parametros_recargas!$I$88*'Plan mensual'!I57+parametros_recargas!$J$88*'Plan mensual'!I58+parametros_recargas!$K$88*'Plan mensual'!I59+parametros_recargas!$L$88*'Plan mensual'!I60+parametros_recargas!$M$88*'Plan mensual'!I62</f>
        <v>375.450495932364</v>
      </c>
      <c r="H46" s="26" t="n">
        <f aca="false">parametros_recargas!$E$88*'Plan mensual'!J53+parametros_recargas!$F$88*'Plan mensual'!J54+parametros_recargas!$G$88*'Plan mensual'!J55+parametros_recargas!$H$88*'Plan mensual'!J56+parametros_recargas!$I$88*'Plan mensual'!J57+parametros_recargas!$J$88*'Plan mensual'!J58+parametros_recargas!$K$88*'Plan mensual'!J59+parametros_recargas!$L$88*'Plan mensual'!J60+parametros_recargas!$M$88*'Plan mensual'!J62</f>
        <v>337.079431988399</v>
      </c>
      <c r="I46" s="26" t="n">
        <f aca="false">parametros_recargas!$E$88*'Plan mensual'!K53+parametros_recargas!$F$88*'Plan mensual'!K54+parametros_recargas!$G$88*'Plan mensual'!K55+parametros_recargas!$H$88*'Plan mensual'!K56+parametros_recargas!$I$88*'Plan mensual'!K57+parametros_recargas!$J$88*'Plan mensual'!K58+parametros_recargas!$K$88*'Plan mensual'!K59+parametros_recargas!$L$88*'Plan mensual'!K60+parametros_recargas!$M$88*'Plan mensual'!K62</f>
        <v>339.727023241006</v>
      </c>
      <c r="J46" s="26" t="n">
        <f aca="false">parametros_recargas!$E$88*'Plan mensual'!L53+parametros_recargas!$F$88*'Plan mensual'!L54+parametros_recargas!$G$88*'Plan mensual'!L55+parametros_recargas!$H$88*'Plan mensual'!L56+parametros_recargas!$I$88*'Plan mensual'!L57+parametros_recargas!$J$88*'Plan mensual'!L58+parametros_recargas!$K$88*'Plan mensual'!L59+parametros_recargas!$L$88*'Plan mensual'!L60+parametros_recargas!$M$88*'Plan mensual'!L62</f>
        <v>343.07475399503</v>
      </c>
      <c r="K46" s="26" t="n">
        <f aca="false">parametros_recargas!$E$88*'Plan mensual'!M53+parametros_recargas!$F$88*'Plan mensual'!M54+parametros_recargas!$G$88*'Plan mensual'!M55+parametros_recargas!$H$88*'Plan mensual'!M56+parametros_recargas!$I$88*'Plan mensual'!M57+parametros_recargas!$J$88*'Plan mensual'!M58+parametros_recargas!$K$88*'Plan mensual'!M59+parametros_recargas!$L$88*'Plan mensual'!M60+parametros_recargas!$M$88*'Plan mensual'!M62</f>
        <v>343.07475399503</v>
      </c>
      <c r="L46" s="26" t="n">
        <f aca="false">parametros_recargas!$E$88*'Plan mensual'!N53+parametros_recargas!$F$88*'Plan mensual'!N54+parametros_recargas!$G$88*'Plan mensual'!N55+parametros_recargas!$H$88*'Plan mensual'!N56+parametros_recargas!$I$88*'Plan mensual'!N57+parametros_recargas!$J$88*'Plan mensual'!N58+parametros_recargas!$K$88*'Plan mensual'!N59+parametros_recargas!$L$88*'Plan mensual'!N60+parametros_recargas!$M$88*'Plan mensual'!N62</f>
        <v>402.203626074348</v>
      </c>
      <c r="M46" s="26" t="n">
        <f aca="false">parametros_recargas!$E$88*'Plan mensual'!O53+parametros_recargas!$F$88*'Plan mensual'!O54+parametros_recargas!$G$88*'Plan mensual'!O55+parametros_recargas!$H$88*'Plan mensual'!O56+parametros_recargas!$I$88*'Plan mensual'!O57+parametros_recargas!$J$88*'Plan mensual'!O58+parametros_recargas!$K$88*'Plan mensual'!O59+parametros_recargas!$L$88*'Plan mensual'!O60+parametros_recargas!$M$88*'Plan mensual'!O62</f>
        <v>467.567755874648</v>
      </c>
      <c r="N46" s="12" t="n">
        <f aca="false">SUM(B46:M46)</f>
        <v>4511.51185367062</v>
      </c>
      <c r="O46" s="27" t="n">
        <f aca="false">MAX(B46:M46)</f>
        <v>467.567755874648</v>
      </c>
      <c r="P46" s="16" t="n">
        <f aca="false">O46/parametros_recargas!$B$6</f>
        <v>3.11711837249765</v>
      </c>
    </row>
    <row r="47" customFormat="false" ht="15" hidden="false" customHeight="false" outlineLevel="0" collapsed="false">
      <c r="A47" s="6" t="str">
        <f aca="false">parametros_recargas!$B$89</f>
        <v>Pintura</v>
      </c>
      <c r="B47" s="26" t="n">
        <f aca="false">parametros_recargas!$E$89*'Plan mensual'!D53+parametros_recargas!$F$89*'Plan mensual'!D54+parametros_recargas!$G$89*'Plan mensual'!D55+parametros_recargas!$H$89*'Plan mensual'!D56+parametros_recargas!$I$89*'Plan mensual'!D57+parametros_recargas!$J$89*'Plan mensual'!D58+parametros_recargas!$K$89*'Plan mensual'!D59+parametros_recargas!$L$89*'Plan mensual'!D60+parametros_recargas!$M$89*'Plan mensual'!D62</f>
        <v>260.518720268169</v>
      </c>
      <c r="C47" s="26" t="n">
        <f aca="false">parametros_recargas!$E$89*'Plan mensual'!E53+parametros_recargas!$F$89*'Plan mensual'!E54+parametros_recargas!$G$89*'Plan mensual'!E55+parametros_recargas!$H$89*'Plan mensual'!E56+parametros_recargas!$I$89*'Plan mensual'!E57+parametros_recargas!$J$89*'Plan mensual'!E58+parametros_recargas!$K$89*'Plan mensual'!E59+parametros_recargas!$L$89*'Plan mensual'!E60+parametros_recargas!$M$89*'Plan mensual'!E62</f>
        <v>224.996513277392</v>
      </c>
      <c r="D47" s="26" t="n">
        <f aca="false">parametros_recargas!$E$89*'Plan mensual'!F53+parametros_recargas!$F$89*'Plan mensual'!F54+parametros_recargas!$G$89*'Plan mensual'!F55+parametros_recargas!$H$89*'Plan mensual'!F56+parametros_recargas!$I$89*'Plan mensual'!F57+parametros_recargas!$J$89*'Plan mensual'!F58+parametros_recargas!$K$89*'Plan mensual'!F59+parametros_recargas!$L$89*'Plan mensual'!F60+parametros_recargas!$M$89*'Plan mensual'!F62</f>
        <v>210.672049228081</v>
      </c>
      <c r="E47" s="26" t="n">
        <f aca="false">parametros_recargas!$E$89*'Plan mensual'!G53+parametros_recargas!$F$89*'Plan mensual'!G54+parametros_recargas!$G$89*'Plan mensual'!G55+parametros_recargas!$H$89*'Plan mensual'!G56+parametros_recargas!$I$89*'Plan mensual'!G57+parametros_recargas!$J$89*'Plan mensual'!G58+parametros_recargas!$K$89*'Plan mensual'!G59+parametros_recargas!$L$89*'Plan mensual'!G60+parametros_recargas!$M$89*'Plan mensual'!G62</f>
        <v>231.045970245642</v>
      </c>
      <c r="F47" s="26" t="n">
        <f aca="false">parametros_recargas!$E$89*'Plan mensual'!H53+parametros_recargas!$F$89*'Plan mensual'!H54+parametros_recargas!$G$89*'Plan mensual'!H55+parametros_recargas!$H$89*'Plan mensual'!H56+parametros_recargas!$I$89*'Plan mensual'!H57+parametros_recargas!$J$89*'Plan mensual'!H58+parametros_recargas!$K$89*'Plan mensual'!H59+parametros_recargas!$L$89*'Plan mensual'!H60+parametros_recargas!$M$89*'Plan mensual'!H62</f>
        <v>232.560582128708</v>
      </c>
      <c r="G47" s="26" t="n">
        <f aca="false">parametros_recargas!$E$89*'Plan mensual'!I53+parametros_recargas!$F$89*'Plan mensual'!I54+parametros_recargas!$G$89*'Plan mensual'!I55+parametros_recargas!$H$89*'Plan mensual'!I56+parametros_recargas!$I$89*'Plan mensual'!I57+parametros_recargas!$J$89*'Plan mensual'!I58+parametros_recargas!$K$89*'Plan mensual'!I59+parametros_recargas!$L$89*'Plan mensual'!I60+parametros_recargas!$M$89*'Plan mensual'!I62</f>
        <v>230.142418339778</v>
      </c>
      <c r="H47" s="26" t="n">
        <f aca="false">parametros_recargas!$E$89*'Plan mensual'!J53+parametros_recargas!$F$89*'Plan mensual'!J54+parametros_recargas!$G$89*'Plan mensual'!J55+parametros_recargas!$H$89*'Plan mensual'!J56+parametros_recargas!$I$89*'Plan mensual'!J57+parametros_recargas!$J$89*'Plan mensual'!J58+parametros_recargas!$K$89*'Plan mensual'!J59+parametros_recargas!$L$89*'Plan mensual'!J60+parametros_recargas!$M$89*'Plan mensual'!J62</f>
        <v>206.412015387018</v>
      </c>
      <c r="I47" s="26" t="n">
        <f aca="false">parametros_recargas!$E$89*'Plan mensual'!K53+parametros_recargas!$F$89*'Plan mensual'!K54+parametros_recargas!$G$89*'Plan mensual'!K55+parametros_recargas!$H$89*'Plan mensual'!K56+parametros_recargas!$I$89*'Plan mensual'!K57+parametros_recargas!$J$89*'Plan mensual'!K58+parametros_recargas!$K$89*'Plan mensual'!K59+parametros_recargas!$L$89*'Plan mensual'!K60+parametros_recargas!$M$89*'Plan mensual'!K62</f>
        <v>208.041123492448</v>
      </c>
      <c r="J47" s="26" t="n">
        <f aca="false">parametros_recargas!$E$89*'Plan mensual'!L53+parametros_recargas!$F$89*'Plan mensual'!L54+parametros_recargas!$G$89*'Plan mensual'!L55+parametros_recargas!$H$89*'Plan mensual'!L56+parametros_recargas!$I$89*'Plan mensual'!L57+parametros_recargas!$J$89*'Plan mensual'!L58+parametros_recargas!$K$89*'Plan mensual'!L59+parametros_recargas!$L$89*'Plan mensual'!L60+parametros_recargas!$M$89*'Plan mensual'!L62</f>
        <v>210.191072908469</v>
      </c>
      <c r="K47" s="26" t="n">
        <f aca="false">parametros_recargas!$E$89*'Plan mensual'!M53+parametros_recargas!$F$89*'Plan mensual'!M54+parametros_recargas!$G$89*'Plan mensual'!M55+parametros_recargas!$H$89*'Plan mensual'!M56+parametros_recargas!$I$89*'Plan mensual'!M57+parametros_recargas!$J$89*'Plan mensual'!M58+parametros_recargas!$K$89*'Plan mensual'!M59+parametros_recargas!$L$89*'Plan mensual'!M60+parametros_recargas!$M$89*'Plan mensual'!M62</f>
        <v>210.191072908469</v>
      </c>
      <c r="L47" s="26" t="n">
        <f aca="false">parametros_recargas!$E$89*'Plan mensual'!N53+parametros_recargas!$F$89*'Plan mensual'!N54+parametros_recargas!$G$89*'Plan mensual'!N55+parametros_recargas!$H$89*'Plan mensual'!N56+parametros_recargas!$I$89*'Plan mensual'!N57+parametros_recargas!$J$89*'Plan mensual'!N58+parametros_recargas!$K$89*'Plan mensual'!N59+parametros_recargas!$L$89*'Plan mensual'!N60+parametros_recargas!$M$89*'Plan mensual'!N62</f>
        <v>244.19866801618</v>
      </c>
      <c r="M47" s="26" t="n">
        <f aca="false">parametros_recargas!$E$89*'Plan mensual'!O53+parametros_recargas!$F$89*'Plan mensual'!O54+parametros_recargas!$G$89*'Plan mensual'!O55+parametros_recargas!$H$89*'Plan mensual'!O56+parametros_recargas!$I$89*'Plan mensual'!O57+parametros_recargas!$J$89*'Plan mensual'!O58+parametros_recargas!$K$89*'Plan mensual'!O59+parametros_recargas!$L$89*'Plan mensual'!O60+parametros_recargas!$M$89*'Plan mensual'!O62</f>
        <v>282.139038795887</v>
      </c>
      <c r="N47" s="12" t="n">
        <f aca="false">SUM(B47:M47)</f>
        <v>2751.10924499624</v>
      </c>
      <c r="O47" s="27" t="n">
        <f aca="false">MAX(B47:M47)</f>
        <v>282.139038795887</v>
      </c>
      <c r="P47" s="16" t="n">
        <f aca="false">O47/parametros_recargas!$B$6</f>
        <v>1.88092692530592</v>
      </c>
    </row>
    <row r="48" customFormat="false" ht="15" hidden="false" customHeight="false" outlineLevel="0" collapsed="false">
      <c r="A48" s="6" t="str">
        <f aca="false">parametros_recargas!$B$90</f>
        <v>Carga de polvo ABC, BC y Clase D</v>
      </c>
      <c r="B48" s="26" t="n">
        <f aca="false">parametros_recargas!$E$90*'Plan mensual'!D53+parametros_recargas!$F$90*'Plan mensual'!D54+parametros_recargas!$G$90*'Plan mensual'!D55+parametros_recargas!$H$90*'Plan mensual'!D56+parametros_recargas!$I$90*'Plan mensual'!D57+parametros_recargas!$J$90*'Plan mensual'!D58+parametros_recargas!$K$90*'Plan mensual'!D59+parametros_recargas!$L$90*'Plan mensual'!D60+parametros_recargas!$M$90*'Plan mensual'!D62</f>
        <v>1586.32929040497</v>
      </c>
      <c r="C48" s="26" t="n">
        <f aca="false">parametros_recargas!$E$90*'Plan mensual'!E53+parametros_recargas!$F$90*'Plan mensual'!E54+parametros_recargas!$G$90*'Plan mensual'!E55+parametros_recargas!$H$90*'Plan mensual'!E56+parametros_recargas!$I$90*'Plan mensual'!E57+parametros_recargas!$J$90*'Plan mensual'!E58+parametros_recargas!$K$90*'Plan mensual'!E59+parametros_recargas!$L$90*'Plan mensual'!E60+parametros_recargas!$M$90*'Plan mensual'!E62</f>
        <v>1348.11541386198</v>
      </c>
      <c r="D48" s="26" t="n">
        <f aca="false">parametros_recargas!$E$90*'Plan mensual'!F53+parametros_recargas!$F$90*'Plan mensual'!F54+parametros_recargas!$G$90*'Plan mensual'!F55+parametros_recargas!$H$90*'Plan mensual'!F56+parametros_recargas!$I$90*'Plan mensual'!F57+parametros_recargas!$J$90*'Plan mensual'!F58+parametros_recargas!$K$90*'Plan mensual'!F59+parametros_recargas!$L$90*'Plan mensual'!F60+parametros_recargas!$M$90*'Plan mensual'!F62</f>
        <v>1222.7805070772</v>
      </c>
      <c r="E48" s="26" t="n">
        <f aca="false">parametros_recargas!$E$90*'Plan mensual'!G53+parametros_recargas!$F$90*'Plan mensual'!G54+parametros_recargas!$G$90*'Plan mensual'!G55+parametros_recargas!$H$90*'Plan mensual'!G56+parametros_recargas!$I$90*'Plan mensual'!G57+parametros_recargas!$J$90*'Plan mensual'!G58+parametros_recargas!$K$90*'Plan mensual'!G59+parametros_recargas!$L$90*'Plan mensual'!G60+parametros_recargas!$M$90*'Plan mensual'!G62</f>
        <v>1328.56254308021</v>
      </c>
      <c r="F48" s="26" t="n">
        <f aca="false">parametros_recargas!$E$90*'Plan mensual'!H53+parametros_recargas!$F$90*'Plan mensual'!H54+parametros_recargas!$G$90*'Plan mensual'!H55+parametros_recargas!$H$90*'Plan mensual'!H56+parametros_recargas!$I$90*'Plan mensual'!H57+parametros_recargas!$J$90*'Plan mensual'!H58+parametros_recargas!$K$90*'Plan mensual'!H59+parametros_recargas!$L$90*'Plan mensual'!H60+parametros_recargas!$M$90*'Plan mensual'!H62</f>
        <v>1336.72151480466</v>
      </c>
      <c r="G48" s="26" t="n">
        <f aca="false">parametros_recargas!$E$90*'Plan mensual'!I53+parametros_recargas!$F$90*'Plan mensual'!I54+parametros_recargas!$G$90*'Plan mensual'!I55+parametros_recargas!$H$90*'Plan mensual'!I56+parametros_recargas!$I$90*'Plan mensual'!I57+parametros_recargas!$J$90*'Plan mensual'!I58+parametros_recargas!$K$90*'Plan mensual'!I59+parametros_recargas!$L$90*'Plan mensual'!I60+parametros_recargas!$M$90*'Plan mensual'!I62</f>
        <v>1324.74796089159</v>
      </c>
      <c r="H48" s="26" t="n">
        <f aca="false">parametros_recargas!$E$90*'Plan mensual'!J53+parametros_recargas!$F$90*'Plan mensual'!J54+parametros_recargas!$G$90*'Plan mensual'!J55+parametros_recargas!$H$90*'Plan mensual'!J56+parametros_recargas!$I$90*'Plan mensual'!J57+parametros_recargas!$J$90*'Plan mensual'!J58+parametros_recargas!$K$90*'Plan mensual'!J59+parametros_recargas!$L$90*'Plan mensual'!J60+parametros_recargas!$M$90*'Plan mensual'!J62</f>
        <v>1201.02768818956</v>
      </c>
      <c r="I48" s="26" t="n">
        <f aca="false">parametros_recargas!$E$90*'Plan mensual'!K53+parametros_recargas!$F$90*'Plan mensual'!K54+parametros_recargas!$G$90*'Plan mensual'!K55+parametros_recargas!$H$90*'Plan mensual'!K56+parametros_recargas!$I$90*'Plan mensual'!K57+parametros_recargas!$J$90*'Plan mensual'!K58+parametros_recargas!$K$90*'Plan mensual'!K59+parametros_recargas!$L$90*'Plan mensual'!K60+parametros_recargas!$M$90*'Plan mensual'!K62</f>
        <v>1211.06264366492</v>
      </c>
      <c r="J48" s="26" t="n">
        <f aca="false">parametros_recargas!$E$90*'Plan mensual'!L53+parametros_recargas!$F$90*'Plan mensual'!L54+parametros_recargas!$G$90*'Plan mensual'!L55+parametros_recargas!$H$90*'Plan mensual'!L56+parametros_recargas!$I$90*'Plan mensual'!L57+parametros_recargas!$J$90*'Plan mensual'!L58+parametros_recargas!$K$90*'Plan mensual'!L59+parametros_recargas!$L$90*'Plan mensual'!L60+parametros_recargas!$M$90*'Plan mensual'!L62</f>
        <v>1221.1901698082</v>
      </c>
      <c r="K48" s="26" t="n">
        <f aca="false">parametros_recargas!$E$90*'Plan mensual'!M53+parametros_recargas!$F$90*'Plan mensual'!M54+parametros_recargas!$G$90*'Plan mensual'!M55+parametros_recargas!$H$90*'Plan mensual'!M56+parametros_recargas!$I$90*'Plan mensual'!M57+parametros_recargas!$J$90*'Plan mensual'!M58+parametros_recargas!$K$90*'Plan mensual'!M59+parametros_recargas!$L$90*'Plan mensual'!M60+parametros_recargas!$M$90*'Plan mensual'!M62</f>
        <v>1220.77740653705</v>
      </c>
      <c r="L48" s="26" t="n">
        <f aca="false">parametros_recargas!$E$90*'Plan mensual'!N53+parametros_recargas!$F$90*'Plan mensual'!N54+parametros_recargas!$G$90*'Plan mensual'!N55+parametros_recargas!$H$90*'Plan mensual'!N56+parametros_recargas!$I$90*'Plan mensual'!N57+parametros_recargas!$J$90*'Plan mensual'!N58+parametros_recargas!$K$90*'Plan mensual'!N59+parametros_recargas!$L$90*'Plan mensual'!N60+parametros_recargas!$M$90*'Plan mensual'!N62</f>
        <v>1448.73356644887</v>
      </c>
      <c r="M48" s="26" t="n">
        <f aca="false">parametros_recargas!$E$90*'Plan mensual'!O53+parametros_recargas!$F$90*'Plan mensual'!O54+parametros_recargas!$G$90*'Plan mensual'!O55+parametros_recargas!$H$90*'Plan mensual'!O56+parametros_recargas!$I$90*'Plan mensual'!O57+parametros_recargas!$J$90*'Plan mensual'!O58+parametros_recargas!$K$90*'Plan mensual'!O59+parametros_recargas!$L$90*'Plan mensual'!O60+parametros_recargas!$M$90*'Plan mensual'!O62</f>
        <v>1699.82343363379</v>
      </c>
      <c r="N48" s="12" t="n">
        <f aca="false">SUM(B48:M48)</f>
        <v>16149.872138403</v>
      </c>
      <c r="O48" s="27" t="n">
        <f aca="false">MAX(B48:M48)</f>
        <v>1699.82343363379</v>
      </c>
      <c r="P48" s="16" t="n">
        <f aca="false">O48/parametros_recargas!$B$6</f>
        <v>11.3321562242253</v>
      </c>
    </row>
    <row r="49" customFormat="false" ht="15" hidden="false" customHeight="false" outlineLevel="0" collapsed="false">
      <c r="A49" s="6" t="str">
        <f aca="false">parametros_recargas!$B$91</f>
        <v>Ensamblaje y marbete — recinto</v>
      </c>
      <c r="B49" s="26" t="n">
        <f aca="false">parametros_recargas!$E$91*'Plan mensual'!D53+parametros_recargas!$F$91*'Plan mensual'!D54+parametros_recargas!$G$91*'Plan mensual'!D55+parametros_recargas!$H$91*'Plan mensual'!D56+parametros_recargas!$I$91*'Plan mensual'!D57+parametros_recargas!$J$91*'Plan mensual'!D58+parametros_recargas!$K$91*'Plan mensual'!D59+parametros_recargas!$L$91*'Plan mensual'!D60+parametros_recargas!$M$91*'Plan mensual'!D62</f>
        <v>1583.05434822377</v>
      </c>
      <c r="C49" s="26" t="n">
        <f aca="false">parametros_recargas!$E$91*'Plan mensual'!E53+parametros_recargas!$F$91*'Plan mensual'!E54+parametros_recargas!$G$91*'Plan mensual'!E55+parametros_recargas!$H$91*'Plan mensual'!E56+parametros_recargas!$I$91*'Plan mensual'!E57+parametros_recargas!$J$91*'Plan mensual'!E58+parametros_recargas!$K$91*'Plan mensual'!E59+parametros_recargas!$L$91*'Plan mensual'!E60+parametros_recargas!$M$91*'Plan mensual'!E62</f>
        <v>1344.84047168077</v>
      </c>
      <c r="D49" s="26" t="n">
        <f aca="false">parametros_recargas!$E$91*'Plan mensual'!F53+parametros_recargas!$F$91*'Plan mensual'!F54+parametros_recargas!$G$91*'Plan mensual'!F55+parametros_recargas!$H$91*'Plan mensual'!F56+parametros_recargas!$I$91*'Plan mensual'!F57+parametros_recargas!$J$91*'Plan mensual'!F58+parametros_recargas!$K$91*'Plan mensual'!F59+parametros_recargas!$L$91*'Plan mensual'!F60+parametros_recargas!$M$91*'Plan mensual'!F62</f>
        <v>1219.505564896</v>
      </c>
      <c r="E49" s="26" t="n">
        <f aca="false">parametros_recargas!$E$91*'Plan mensual'!G53+parametros_recargas!$F$91*'Plan mensual'!G54+parametros_recargas!$G$91*'Plan mensual'!G55+parametros_recargas!$H$91*'Plan mensual'!G56+parametros_recargas!$I$91*'Plan mensual'!G57+parametros_recargas!$J$91*'Plan mensual'!G58+parametros_recargas!$K$91*'Plan mensual'!G59+parametros_recargas!$L$91*'Plan mensual'!G60+parametros_recargas!$M$91*'Plan mensual'!G62</f>
        <v>1325.28760089901</v>
      </c>
      <c r="F49" s="26" t="n">
        <f aca="false">parametros_recargas!$E$91*'Plan mensual'!H53+parametros_recargas!$F$91*'Plan mensual'!H54+parametros_recargas!$G$91*'Plan mensual'!H55+parametros_recargas!$H$91*'Plan mensual'!H56+parametros_recargas!$I$91*'Plan mensual'!H57+parametros_recargas!$J$91*'Plan mensual'!H58+parametros_recargas!$K$91*'Plan mensual'!H59+parametros_recargas!$L$91*'Plan mensual'!H60+parametros_recargas!$M$91*'Plan mensual'!H62</f>
        <v>1333.44657262345</v>
      </c>
      <c r="G49" s="26" t="n">
        <f aca="false">parametros_recargas!$E$91*'Plan mensual'!I53+parametros_recargas!$F$91*'Plan mensual'!I54+parametros_recargas!$G$91*'Plan mensual'!I55+parametros_recargas!$H$91*'Plan mensual'!I56+parametros_recargas!$I$91*'Plan mensual'!I57+parametros_recargas!$J$91*'Plan mensual'!I58+parametros_recargas!$K$91*'Plan mensual'!I59+parametros_recargas!$L$91*'Plan mensual'!I60+parametros_recargas!$M$91*'Plan mensual'!I62</f>
        <v>1321.47301871038</v>
      </c>
      <c r="H49" s="26" t="n">
        <f aca="false">parametros_recargas!$E$91*'Plan mensual'!J53+parametros_recargas!$F$91*'Plan mensual'!J54+parametros_recargas!$G$91*'Plan mensual'!J55+parametros_recargas!$H$91*'Plan mensual'!J56+parametros_recargas!$I$91*'Plan mensual'!J57+parametros_recargas!$J$91*'Plan mensual'!J58+parametros_recargas!$K$91*'Plan mensual'!J59+parametros_recargas!$L$91*'Plan mensual'!J60+parametros_recargas!$M$91*'Plan mensual'!J62</f>
        <v>1197.75274600836</v>
      </c>
      <c r="I49" s="26" t="n">
        <f aca="false">parametros_recargas!$E$91*'Plan mensual'!K53+parametros_recargas!$F$91*'Plan mensual'!K54+parametros_recargas!$G$91*'Plan mensual'!K55+parametros_recargas!$H$91*'Plan mensual'!K56+parametros_recargas!$I$91*'Plan mensual'!K57+parametros_recargas!$J$91*'Plan mensual'!K58+parametros_recargas!$K$91*'Plan mensual'!K59+parametros_recargas!$L$91*'Plan mensual'!K60+parametros_recargas!$M$91*'Plan mensual'!K62</f>
        <v>1207.78770148372</v>
      </c>
      <c r="J49" s="26" t="n">
        <f aca="false">parametros_recargas!$E$91*'Plan mensual'!L53+parametros_recargas!$F$91*'Plan mensual'!L54+parametros_recargas!$G$91*'Plan mensual'!L55+parametros_recargas!$H$91*'Plan mensual'!L56+parametros_recargas!$I$91*'Plan mensual'!L57+parametros_recargas!$J$91*'Plan mensual'!L58+parametros_recargas!$K$91*'Plan mensual'!L59+parametros_recargas!$L$91*'Plan mensual'!L60+parametros_recargas!$M$91*'Plan mensual'!L62</f>
        <v>1217.915227627</v>
      </c>
      <c r="K49" s="26" t="n">
        <f aca="false">parametros_recargas!$E$91*'Plan mensual'!M53+parametros_recargas!$F$91*'Plan mensual'!M54+parametros_recargas!$G$91*'Plan mensual'!M55+parametros_recargas!$H$91*'Plan mensual'!M56+parametros_recargas!$I$91*'Plan mensual'!M57+parametros_recargas!$J$91*'Plan mensual'!M58+parametros_recargas!$K$91*'Plan mensual'!M59+parametros_recargas!$L$91*'Plan mensual'!M60+parametros_recargas!$M$91*'Plan mensual'!M62</f>
        <v>1217.50246435585</v>
      </c>
      <c r="L49" s="26" t="n">
        <f aca="false">parametros_recargas!$E$91*'Plan mensual'!N53+parametros_recargas!$F$91*'Plan mensual'!N54+parametros_recargas!$G$91*'Plan mensual'!N55+parametros_recargas!$H$91*'Plan mensual'!N56+parametros_recargas!$I$91*'Plan mensual'!N57+parametros_recargas!$J$91*'Plan mensual'!N58+parametros_recargas!$K$91*'Plan mensual'!N59+parametros_recargas!$L$91*'Plan mensual'!N60+parametros_recargas!$M$91*'Plan mensual'!N62</f>
        <v>1445.45862426767</v>
      </c>
      <c r="M49" s="26" t="n">
        <f aca="false">parametros_recargas!$E$91*'Plan mensual'!O53+parametros_recargas!$F$91*'Plan mensual'!O54+parametros_recargas!$G$91*'Plan mensual'!O55+parametros_recargas!$H$91*'Plan mensual'!O56+parametros_recargas!$I$91*'Plan mensual'!O57+parametros_recargas!$J$91*'Plan mensual'!O58+parametros_recargas!$K$91*'Plan mensual'!O59+parametros_recargas!$L$91*'Plan mensual'!O60+parametros_recargas!$M$91*'Plan mensual'!O62</f>
        <v>1696.54849145259</v>
      </c>
      <c r="N49" s="12" t="n">
        <f aca="false">SUM(B49:M49)</f>
        <v>16110.5728322286</v>
      </c>
      <c r="O49" s="27" t="n">
        <f aca="false">MAX(B49:M49)</f>
        <v>1696.54849145259</v>
      </c>
      <c r="P49" s="16" t="n">
        <f aca="false">O49/parametros_recargas!$B$6</f>
        <v>11.3103232763506</v>
      </c>
    </row>
    <row r="50" customFormat="false" ht="15" hidden="false" customHeight="false" outlineLevel="0" collapsed="false">
      <c r="A50" s="6" t="str">
        <f aca="false">parametros_recargas!$B$92</f>
        <v>Presurización — recinto</v>
      </c>
      <c r="B50" s="26" t="n">
        <f aca="false">parametros_recargas!$E$92*'Plan mensual'!D53+parametros_recargas!$F$92*'Plan mensual'!D54+parametros_recargas!$G$92*'Plan mensual'!D55+parametros_recargas!$H$92*'Plan mensual'!D56+parametros_recargas!$I$92*'Plan mensual'!D57+parametros_recargas!$J$92*'Plan mensual'!D58+parametros_recargas!$K$92*'Plan mensual'!D59+parametros_recargas!$L$92*'Plan mensual'!D60+parametros_recargas!$M$92*'Plan mensual'!D62</f>
        <v>1583.05434822377</v>
      </c>
      <c r="C50" s="26" t="n">
        <f aca="false">parametros_recargas!$E$92*'Plan mensual'!E53+parametros_recargas!$F$92*'Plan mensual'!E54+parametros_recargas!$G$92*'Plan mensual'!E55+parametros_recargas!$H$92*'Plan mensual'!E56+parametros_recargas!$I$92*'Plan mensual'!E57+parametros_recargas!$J$92*'Plan mensual'!E58+parametros_recargas!$K$92*'Plan mensual'!E59+parametros_recargas!$L$92*'Plan mensual'!E60+parametros_recargas!$M$92*'Plan mensual'!E62</f>
        <v>1344.84047168077</v>
      </c>
      <c r="D50" s="26" t="n">
        <f aca="false">parametros_recargas!$E$92*'Plan mensual'!F53+parametros_recargas!$F$92*'Plan mensual'!F54+parametros_recargas!$G$92*'Plan mensual'!F55+parametros_recargas!$H$92*'Plan mensual'!F56+parametros_recargas!$I$92*'Plan mensual'!F57+parametros_recargas!$J$92*'Plan mensual'!F58+parametros_recargas!$K$92*'Plan mensual'!F59+parametros_recargas!$L$92*'Plan mensual'!F60+parametros_recargas!$M$92*'Plan mensual'!F62</f>
        <v>1219.505564896</v>
      </c>
      <c r="E50" s="26" t="n">
        <f aca="false">parametros_recargas!$E$92*'Plan mensual'!G53+parametros_recargas!$F$92*'Plan mensual'!G54+parametros_recargas!$G$92*'Plan mensual'!G55+parametros_recargas!$H$92*'Plan mensual'!G56+parametros_recargas!$I$92*'Plan mensual'!G57+parametros_recargas!$J$92*'Plan mensual'!G58+parametros_recargas!$K$92*'Plan mensual'!G59+parametros_recargas!$L$92*'Plan mensual'!G60+parametros_recargas!$M$92*'Plan mensual'!G62</f>
        <v>1325.28760089901</v>
      </c>
      <c r="F50" s="26" t="n">
        <f aca="false">parametros_recargas!$E$92*'Plan mensual'!H53+parametros_recargas!$F$92*'Plan mensual'!H54+parametros_recargas!$G$92*'Plan mensual'!H55+parametros_recargas!$H$92*'Plan mensual'!H56+parametros_recargas!$I$92*'Plan mensual'!H57+parametros_recargas!$J$92*'Plan mensual'!H58+parametros_recargas!$K$92*'Plan mensual'!H59+parametros_recargas!$L$92*'Plan mensual'!H60+parametros_recargas!$M$92*'Plan mensual'!H62</f>
        <v>1333.44657262345</v>
      </c>
      <c r="G50" s="26" t="n">
        <f aca="false">parametros_recargas!$E$92*'Plan mensual'!I53+parametros_recargas!$F$92*'Plan mensual'!I54+parametros_recargas!$G$92*'Plan mensual'!I55+parametros_recargas!$H$92*'Plan mensual'!I56+parametros_recargas!$I$92*'Plan mensual'!I57+parametros_recargas!$J$92*'Plan mensual'!I58+parametros_recargas!$K$92*'Plan mensual'!I59+parametros_recargas!$L$92*'Plan mensual'!I60+parametros_recargas!$M$92*'Plan mensual'!I62</f>
        <v>1321.47301871038</v>
      </c>
      <c r="H50" s="26" t="n">
        <f aca="false">parametros_recargas!$E$92*'Plan mensual'!J53+parametros_recargas!$F$92*'Plan mensual'!J54+parametros_recargas!$G$92*'Plan mensual'!J55+parametros_recargas!$H$92*'Plan mensual'!J56+parametros_recargas!$I$92*'Plan mensual'!J57+parametros_recargas!$J$92*'Plan mensual'!J58+parametros_recargas!$K$92*'Plan mensual'!J59+parametros_recargas!$L$92*'Plan mensual'!J60+parametros_recargas!$M$92*'Plan mensual'!J62</f>
        <v>1197.75274600836</v>
      </c>
      <c r="I50" s="26" t="n">
        <f aca="false">parametros_recargas!$E$92*'Plan mensual'!K53+parametros_recargas!$F$92*'Plan mensual'!K54+parametros_recargas!$G$92*'Plan mensual'!K55+parametros_recargas!$H$92*'Plan mensual'!K56+parametros_recargas!$I$92*'Plan mensual'!K57+parametros_recargas!$J$92*'Plan mensual'!K58+parametros_recargas!$K$92*'Plan mensual'!K59+parametros_recargas!$L$92*'Plan mensual'!K60+parametros_recargas!$M$92*'Plan mensual'!K62</f>
        <v>1207.78770148372</v>
      </c>
      <c r="J50" s="26" t="n">
        <f aca="false">parametros_recargas!$E$92*'Plan mensual'!L53+parametros_recargas!$F$92*'Plan mensual'!L54+parametros_recargas!$G$92*'Plan mensual'!L55+parametros_recargas!$H$92*'Plan mensual'!L56+parametros_recargas!$I$92*'Plan mensual'!L57+parametros_recargas!$J$92*'Plan mensual'!L58+parametros_recargas!$K$92*'Plan mensual'!L59+parametros_recargas!$L$92*'Plan mensual'!L60+parametros_recargas!$M$92*'Plan mensual'!L62</f>
        <v>1217.915227627</v>
      </c>
      <c r="K50" s="26" t="n">
        <f aca="false">parametros_recargas!$E$92*'Plan mensual'!M53+parametros_recargas!$F$92*'Plan mensual'!M54+parametros_recargas!$G$92*'Plan mensual'!M55+parametros_recargas!$H$92*'Plan mensual'!M56+parametros_recargas!$I$92*'Plan mensual'!M57+parametros_recargas!$J$92*'Plan mensual'!M58+parametros_recargas!$K$92*'Plan mensual'!M59+parametros_recargas!$L$92*'Plan mensual'!M60+parametros_recargas!$M$92*'Plan mensual'!M62</f>
        <v>1217.50246435585</v>
      </c>
      <c r="L50" s="26" t="n">
        <f aca="false">parametros_recargas!$E$92*'Plan mensual'!N53+parametros_recargas!$F$92*'Plan mensual'!N54+parametros_recargas!$G$92*'Plan mensual'!N55+parametros_recargas!$H$92*'Plan mensual'!N56+parametros_recargas!$I$92*'Plan mensual'!N57+parametros_recargas!$J$92*'Plan mensual'!N58+parametros_recargas!$K$92*'Plan mensual'!N59+parametros_recargas!$L$92*'Plan mensual'!N60+parametros_recargas!$M$92*'Plan mensual'!N62</f>
        <v>1445.45862426767</v>
      </c>
      <c r="M50" s="26" t="n">
        <f aca="false">parametros_recargas!$E$92*'Plan mensual'!O53+parametros_recargas!$F$92*'Plan mensual'!O54+parametros_recargas!$G$92*'Plan mensual'!O55+parametros_recargas!$H$92*'Plan mensual'!O56+parametros_recargas!$I$92*'Plan mensual'!O57+parametros_recargas!$J$92*'Plan mensual'!O58+parametros_recargas!$K$92*'Plan mensual'!O59+parametros_recargas!$L$92*'Plan mensual'!O60+parametros_recargas!$M$92*'Plan mensual'!O62</f>
        <v>1696.54849145259</v>
      </c>
      <c r="N50" s="12" t="n">
        <f aca="false">SUM(B50:M50)</f>
        <v>16110.5728322286</v>
      </c>
      <c r="O50" s="27" t="n">
        <f aca="false">MAX(B50:M50)</f>
        <v>1696.54849145259</v>
      </c>
      <c r="P50" s="16" t="n">
        <f aca="false">O50/parametros_recargas!$B$6</f>
        <v>11.3103232763506</v>
      </c>
    </row>
    <row r="51" customFormat="false" ht="15" hidden="false" customHeight="false" outlineLevel="0" collapsed="false">
      <c r="A51" s="6" t="str">
        <f aca="false">parametros_recargas!$B$93</f>
        <v>Ensamblaje y presurización — zona general</v>
      </c>
      <c r="B51" s="26" t="n">
        <f aca="false">parametros_recargas!$E$93*'Plan mensual'!D53+parametros_recargas!$F$93*'Plan mensual'!D54+parametros_recargas!$G$93*'Plan mensual'!D55+parametros_recargas!$H$93*'Plan mensual'!D56+parametros_recargas!$I$93*'Plan mensual'!D57+parametros_recargas!$J$93*'Plan mensual'!D58+parametros_recargas!$K$93*'Plan mensual'!D59+parametros_recargas!$L$93*'Plan mensual'!D60+parametros_recargas!$M$93*'Plan mensual'!D62</f>
        <v>97.3406267937307</v>
      </c>
      <c r="C51" s="26" t="n">
        <f aca="false">parametros_recargas!$E$93*'Plan mensual'!E53+parametros_recargas!$F$93*'Plan mensual'!E54+parametros_recargas!$G$93*'Plan mensual'!E55+parametros_recargas!$H$93*'Plan mensual'!E56+parametros_recargas!$I$93*'Plan mensual'!E57+parametros_recargas!$J$93*'Plan mensual'!E58+parametros_recargas!$K$93*'Plan mensual'!E59+parametros_recargas!$L$93*'Plan mensual'!E60+parametros_recargas!$M$93*'Plan mensual'!E62</f>
        <v>97.3406267937307</v>
      </c>
      <c r="D51" s="26" t="n">
        <f aca="false">parametros_recargas!$E$93*'Plan mensual'!F53+parametros_recargas!$F$93*'Plan mensual'!F54+parametros_recargas!$G$93*'Plan mensual'!F55+parametros_recargas!$H$93*'Plan mensual'!F56+parametros_recargas!$I$93*'Plan mensual'!F57+parametros_recargas!$J$93*'Plan mensual'!F58+parametros_recargas!$K$93*'Plan mensual'!F59+parametros_recargas!$L$93*'Plan mensual'!F60+parametros_recargas!$M$93*'Plan mensual'!F62</f>
        <v>112.19465364946</v>
      </c>
      <c r="E51" s="26" t="n">
        <f aca="false">parametros_recargas!$E$93*'Plan mensual'!G53+parametros_recargas!$F$93*'Plan mensual'!G54+parametros_recargas!$G$93*'Plan mensual'!G55+parametros_recargas!$H$93*'Plan mensual'!G56+parametros_recargas!$I$93*'Plan mensual'!G57+parametros_recargas!$J$93*'Plan mensual'!G58+parametros_recargas!$K$93*'Plan mensual'!G59+parametros_recargas!$L$93*'Plan mensual'!G60+parametros_recargas!$M$93*'Plan mensual'!G62</f>
        <v>126.777698911902</v>
      </c>
      <c r="F51" s="26" t="n">
        <f aca="false">parametros_recargas!$E$93*'Plan mensual'!H53+parametros_recargas!$F$93*'Plan mensual'!H54+parametros_recargas!$G$93*'Plan mensual'!H55+parametros_recargas!$H$93*'Plan mensual'!H56+parametros_recargas!$I$93*'Plan mensual'!H57+parametros_recargas!$J$93*'Plan mensual'!H58+parametros_recargas!$K$93*'Plan mensual'!H59+parametros_recargas!$L$93*'Plan mensual'!H60+parametros_recargas!$M$93*'Plan mensual'!H62</f>
        <v>127.726168116815</v>
      </c>
      <c r="G51" s="26" t="n">
        <f aca="false">parametros_recargas!$E$93*'Plan mensual'!I53+parametros_recargas!$F$93*'Plan mensual'!I54+parametros_recargas!$G$93*'Plan mensual'!I55+parametros_recargas!$H$93*'Plan mensual'!I56+parametros_recargas!$I$93*'Plan mensual'!I57+parametros_recargas!$J$93*'Plan mensual'!I58+parametros_recargas!$K$93*'Plan mensual'!I59+parametros_recargas!$L$93*'Plan mensual'!I60+parametros_recargas!$M$93*'Plan mensual'!I62</f>
        <v>125.350161549974</v>
      </c>
      <c r="H51" s="26" t="n">
        <f aca="false">parametros_recargas!$E$93*'Plan mensual'!J53+parametros_recargas!$F$93*'Plan mensual'!J54+parametros_recargas!$G$93*'Plan mensual'!J55+parametros_recargas!$H$93*'Plan mensual'!J56+parametros_recargas!$I$93*'Plan mensual'!J57+parametros_recargas!$J$93*'Plan mensual'!J58+parametros_recargas!$K$93*'Plan mensual'!J59+parametros_recargas!$L$93*'Plan mensual'!J60+parametros_recargas!$M$93*'Plan mensual'!J62</f>
        <v>108.350640026046</v>
      </c>
      <c r="I51" s="26" t="n">
        <f aca="false">parametros_recargas!$E$93*'Plan mensual'!K53+parametros_recargas!$F$93*'Plan mensual'!K54+parametros_recargas!$G$93*'Plan mensual'!K55+parametros_recargas!$H$93*'Plan mensual'!K56+parametros_recargas!$I$93*'Plan mensual'!K57+parametros_recargas!$J$93*'Plan mensual'!K58+parametros_recargas!$K$93*'Plan mensual'!K59+parametros_recargas!$L$93*'Plan mensual'!K60+parametros_recargas!$M$93*'Plan mensual'!K62</f>
        <v>109.068597332317</v>
      </c>
      <c r="J51" s="26" t="n">
        <f aca="false">parametros_recargas!$E$93*'Plan mensual'!L53+parametros_recargas!$F$93*'Plan mensual'!L54+parametros_recargas!$G$93*'Plan mensual'!L55+parametros_recargas!$H$93*'Plan mensual'!L56+parametros_recargas!$I$93*'Plan mensual'!L57+parametros_recargas!$J$93*'Plan mensual'!L58+parametros_recargas!$K$93*'Plan mensual'!L59+parametros_recargas!$L$93*'Plan mensual'!L60+parametros_recargas!$M$93*'Plan mensual'!L62</f>
        <v>111.279743086184</v>
      </c>
      <c r="K51" s="26" t="n">
        <f aca="false">parametros_recargas!$E$93*'Plan mensual'!M53+parametros_recargas!$F$93*'Plan mensual'!M54+parametros_recargas!$G$93*'Plan mensual'!M55+parametros_recargas!$H$93*'Plan mensual'!M56+parametros_recargas!$I$93*'Plan mensual'!M57+parametros_recargas!$J$93*'Plan mensual'!M58+parametros_recargas!$K$93*'Plan mensual'!M59+parametros_recargas!$L$93*'Plan mensual'!M60+parametros_recargas!$M$93*'Plan mensual'!M62</f>
        <v>111.279743086184</v>
      </c>
      <c r="L51" s="26" t="n">
        <f aca="false">parametros_recargas!$E$93*'Plan mensual'!N53+parametros_recargas!$F$93*'Plan mensual'!N54+parametros_recargas!$G$93*'Plan mensual'!N55+parametros_recargas!$H$93*'Plan mensual'!N56+parametros_recargas!$I$93*'Plan mensual'!N57+parametros_recargas!$J$93*'Plan mensual'!N58+parametros_recargas!$K$93*'Plan mensual'!N59+parametros_recargas!$L$93*'Plan mensual'!N60+parametros_recargas!$M$93*'Plan mensual'!N62</f>
        <v>110.331273881271</v>
      </c>
      <c r="M51" s="26" t="n">
        <f aca="false">parametros_recargas!$E$93*'Plan mensual'!O53+parametros_recargas!$F$93*'Plan mensual'!O54+parametros_recargas!$G$93*'Plan mensual'!O55+parametros_recargas!$H$93*'Plan mensual'!O56+parametros_recargas!$I$93*'Plan mensual'!O57+parametros_recargas!$J$93*'Plan mensual'!O58+parametros_recargas!$K$93*'Plan mensual'!O59+parametros_recargas!$L$93*'Plan mensual'!O60+parametros_recargas!$M$93*'Plan mensual'!O62</f>
        <v>112.707280448112</v>
      </c>
      <c r="N51" s="12" t="n">
        <f aca="false">SUM(B51:M51)</f>
        <v>1349.74721367573</v>
      </c>
      <c r="O51" s="27" t="n">
        <f aca="false">MAX(B51:M51)</f>
        <v>127.726168116815</v>
      </c>
      <c r="P51" s="16" t="n">
        <f aca="false">O51/parametros_recargas!$B$6</f>
        <v>0.851507787445432</v>
      </c>
    </row>
    <row r="52" customFormat="false" ht="15" hidden="false" customHeight="false" outlineLevel="0" collapsed="false">
      <c r="A52" s="6" t="str">
        <f aca="false">parametros_recargas!$B$94</f>
        <v>Control de peso (CO₂ y halogenados sin recarga)</v>
      </c>
      <c r="B52" s="26" t="n">
        <f aca="false">parametros_recargas!$E$94*'Plan mensual'!D53+parametros_recargas!$F$94*'Plan mensual'!D54+parametros_recargas!$G$94*'Plan mensual'!D55+parametros_recargas!$H$94*'Plan mensual'!D56+parametros_recargas!$I$94*'Plan mensual'!D57+parametros_recargas!$J$94*'Plan mensual'!D58+parametros_recargas!$K$94*'Plan mensual'!D59+parametros_recargas!$L$94*'Plan mensual'!D60+parametros_recargas!$M$94*'Plan mensual'!D62</f>
        <v>59.3981135707376</v>
      </c>
      <c r="C52" s="26" t="n">
        <f aca="false">parametros_recargas!$E$94*'Plan mensual'!E53+parametros_recargas!$F$94*'Plan mensual'!E54+parametros_recargas!$G$94*'Plan mensual'!E55+parametros_recargas!$H$94*'Plan mensual'!E56+parametros_recargas!$I$94*'Plan mensual'!E57+parametros_recargas!$J$94*'Plan mensual'!E58+parametros_recargas!$K$94*'Plan mensual'!E59+parametros_recargas!$L$94*'Plan mensual'!E60+parametros_recargas!$M$94*'Plan mensual'!E62</f>
        <v>59.3981135707376</v>
      </c>
      <c r="D52" s="26" t="n">
        <f aca="false">parametros_recargas!$E$94*'Plan mensual'!F53+parametros_recargas!$F$94*'Plan mensual'!F54+parametros_recargas!$G$94*'Plan mensual'!F55+parametros_recargas!$H$94*'Plan mensual'!F56+parametros_recargas!$I$94*'Plan mensual'!F57+parametros_recargas!$J$94*'Plan mensual'!F58+parametros_recargas!$K$94*'Plan mensual'!F59+parametros_recargas!$L$94*'Plan mensual'!F60+parametros_recargas!$M$94*'Plan mensual'!F62</f>
        <v>73.7178883964881</v>
      </c>
      <c r="E52" s="26" t="n">
        <f aca="false">parametros_recargas!$E$94*'Plan mensual'!G53+parametros_recargas!$F$94*'Plan mensual'!G54+parametros_recargas!$G$94*'Plan mensual'!G55+parametros_recargas!$H$94*'Plan mensual'!G56+parametros_recargas!$I$94*'Plan mensual'!G57+parametros_recargas!$J$94*'Plan mensual'!G58+parametros_recargas!$K$94*'Plan mensual'!G59+parametros_recargas!$L$94*'Plan mensual'!G60+parametros_recargas!$M$94*'Plan mensual'!G62</f>
        <v>88.0745859015626</v>
      </c>
      <c r="F52" s="26" t="n">
        <f aca="false">parametros_recargas!$E$94*'Plan mensual'!H53+parametros_recargas!$F$94*'Plan mensual'!H54+parametros_recargas!$G$94*'Plan mensual'!H55+parametros_recargas!$H$94*'Plan mensual'!H56+parametros_recargas!$I$94*'Plan mensual'!H57+parametros_recargas!$J$94*'Plan mensual'!H58+parametros_recargas!$K$94*'Plan mensual'!H59+parametros_recargas!$L$94*'Plan mensual'!H60+parametros_recargas!$M$94*'Plan mensual'!H62</f>
        <v>88.6885309813797</v>
      </c>
      <c r="G52" s="26" t="n">
        <f aca="false">parametros_recargas!$E$94*'Plan mensual'!I53+parametros_recargas!$F$94*'Plan mensual'!I54+parametros_recargas!$G$94*'Plan mensual'!I55+parametros_recargas!$H$94*'Plan mensual'!I56+parametros_recargas!$I$94*'Plan mensual'!I57+parametros_recargas!$J$94*'Plan mensual'!I58+parametros_recargas!$K$94*'Plan mensual'!I59+parametros_recargas!$L$94*'Plan mensual'!I60+parametros_recargas!$M$94*'Plan mensual'!I62</f>
        <v>86.6436341463061</v>
      </c>
      <c r="H52" s="26" t="n">
        <f aca="false">parametros_recargas!$E$94*'Plan mensual'!J53+parametros_recargas!$F$94*'Plan mensual'!J54+parametros_recargas!$G$94*'Plan mensual'!J55+parametros_recargas!$H$94*'Plan mensual'!J56+parametros_recargas!$I$94*'Plan mensual'!J57+parametros_recargas!$J$94*'Plan mensual'!J58+parametros_recargas!$K$94*'Plan mensual'!J59+parametros_recargas!$L$94*'Plan mensual'!J60+parametros_recargas!$M$94*'Plan mensual'!J62</f>
        <v>70.7928002098639</v>
      </c>
      <c r="I52" s="26" t="n">
        <f aca="false">parametros_recargas!$E$94*'Plan mensual'!K53+parametros_recargas!$F$94*'Plan mensual'!K54+parametros_recargas!$G$94*'Plan mensual'!K55+parametros_recargas!$H$94*'Plan mensual'!K56+parametros_recargas!$I$94*'Plan mensual'!K57+parametros_recargas!$J$94*'Plan mensual'!K58+parametros_recargas!$K$94*'Plan mensual'!K59+parametros_recargas!$L$94*'Plan mensual'!K60+parametros_recargas!$M$94*'Plan mensual'!K62</f>
        <v>70.8929075652991</v>
      </c>
      <c r="J52" s="26" t="n">
        <f aca="false">parametros_recargas!$E$94*'Plan mensual'!L53+parametros_recargas!$F$94*'Plan mensual'!L54+parametros_recargas!$G$94*'Plan mensual'!L55+parametros_recargas!$H$94*'Plan mensual'!L56+parametros_recargas!$I$94*'Plan mensual'!L57+parametros_recargas!$J$94*'Plan mensual'!L58+parametros_recargas!$K$94*'Plan mensual'!L59+parametros_recargas!$L$94*'Plan mensual'!L60+parametros_recargas!$M$94*'Plan mensual'!L62</f>
        <v>72.7224202672564</v>
      </c>
      <c r="K52" s="26" t="n">
        <f aca="false">parametros_recargas!$E$94*'Plan mensual'!M53+parametros_recargas!$F$94*'Plan mensual'!M54+parametros_recargas!$G$94*'Plan mensual'!M55+parametros_recargas!$H$94*'Plan mensual'!M56+parametros_recargas!$I$94*'Plan mensual'!M57+parametros_recargas!$J$94*'Plan mensual'!M58+parametros_recargas!$K$94*'Plan mensual'!M59+parametros_recargas!$L$94*'Plan mensual'!M60+parametros_recargas!$M$94*'Plan mensual'!M62</f>
        <v>72.7224202672564</v>
      </c>
      <c r="L52" s="26" t="n">
        <f aca="false">parametros_recargas!$E$94*'Plan mensual'!N53+parametros_recargas!$F$94*'Plan mensual'!N54+parametros_recargas!$G$94*'Plan mensual'!N55+parametros_recargas!$H$94*'Plan mensual'!N56+parametros_recargas!$I$94*'Plan mensual'!N57+parametros_recargas!$J$94*'Plan mensual'!N58+parametros_recargas!$K$94*'Plan mensual'!N59+parametros_recargas!$L$94*'Plan mensual'!N60+parametros_recargas!$M$94*'Plan mensual'!N62</f>
        <v>72.1084751874393</v>
      </c>
      <c r="M52" s="26" t="n">
        <f aca="false">parametros_recargas!$E$94*'Plan mensual'!O53+parametros_recargas!$F$94*'Plan mensual'!O54+parametros_recargas!$G$94*'Plan mensual'!O55+parametros_recargas!$H$94*'Plan mensual'!O56+parametros_recargas!$I$94*'Plan mensual'!O57+parametros_recargas!$J$94*'Plan mensual'!O58+parametros_recargas!$K$94*'Plan mensual'!O59+parametros_recargas!$L$94*'Plan mensual'!O60+parametros_recargas!$M$94*'Plan mensual'!O62</f>
        <v>74.1533720225129</v>
      </c>
      <c r="N52" s="12" t="n">
        <f aca="false">SUM(B52:M52)</f>
        <v>889.31326208684</v>
      </c>
      <c r="O52" s="27" t="n">
        <f aca="false">MAX(B52:M52)</f>
        <v>88.6885309813797</v>
      </c>
      <c r="P52" s="16" t="n">
        <f aca="false">O52/parametros_recargas!$B$6</f>
        <v>0.591256873209198</v>
      </c>
    </row>
    <row r="53" customFormat="false" ht="15" hidden="false" customHeight="false" outlineLevel="0" collapsed="false">
      <c r="A53" s="6" t="str">
        <f aca="false">parametros_recargas!$B$95</f>
        <v>Ensayo de pérdidas</v>
      </c>
      <c r="B53" s="26" t="n">
        <f aca="false">parametros_recargas!$E$95*'Plan mensual'!D53+parametros_recargas!$F$95*'Plan mensual'!D54+parametros_recargas!$G$95*'Plan mensual'!D55+parametros_recargas!$H$95*'Plan mensual'!D56+parametros_recargas!$I$95*'Plan mensual'!D57+parametros_recargas!$J$95*'Plan mensual'!D58+parametros_recargas!$K$95*'Plan mensual'!D59+parametros_recargas!$L$95*'Plan mensual'!D60+parametros_recargas!$M$95*'Plan mensual'!D62</f>
        <v>1744.08115625923</v>
      </c>
      <c r="C53" s="26" t="n">
        <f aca="false">parametros_recargas!$E$95*'Plan mensual'!E53+parametros_recargas!$F$95*'Plan mensual'!E54+parametros_recargas!$G$95*'Plan mensual'!E55+parametros_recargas!$H$95*'Plan mensual'!E56+parametros_recargas!$I$95*'Plan mensual'!E57+parametros_recargas!$J$95*'Plan mensual'!E58+parametros_recargas!$K$95*'Plan mensual'!E59+parametros_recargas!$L$95*'Plan mensual'!E60+parametros_recargas!$M$95*'Plan mensual'!E62</f>
        <v>1505.86727971624</v>
      </c>
      <c r="D53" s="26" t="n">
        <f aca="false">parametros_recargas!$E$95*'Plan mensual'!F53+parametros_recargas!$F$95*'Plan mensual'!F54+parametros_recargas!$G$95*'Plan mensual'!F55+parametros_recargas!$H$95*'Plan mensual'!F56+parametros_recargas!$I$95*'Plan mensual'!F57+parametros_recargas!$J$95*'Plan mensual'!F58+parametros_recargas!$K$95*'Plan mensual'!F59+parametros_recargas!$L$95*'Plan mensual'!F60+parametros_recargas!$M$95*'Plan mensual'!F62</f>
        <v>1410.82559762755</v>
      </c>
      <c r="E53" s="26" t="n">
        <f aca="false">parametros_recargas!$E$95*'Plan mensual'!G53+parametros_recargas!$F$95*'Plan mensual'!G54+parametros_recargas!$G$95*'Plan mensual'!G55+parametros_recargas!$H$95*'Plan mensual'!G56+parametros_recargas!$I$95*'Plan mensual'!G57+parametros_recargas!$J$95*'Plan mensual'!G58+parametros_recargas!$K$95*'Plan mensual'!G59+parametros_recargas!$L$95*'Plan mensual'!G60+parametros_recargas!$M$95*'Plan mensual'!G62</f>
        <v>1546.65173774463</v>
      </c>
      <c r="F53" s="26" t="n">
        <f aca="false">parametros_recargas!$E$95*'Plan mensual'!H53+parametros_recargas!$F$95*'Plan mensual'!H54+parametros_recargas!$G$95*'Plan mensual'!H55+parametros_recargas!$H$95*'Plan mensual'!H56+parametros_recargas!$I$95*'Plan mensual'!H57+parametros_recargas!$J$95*'Plan mensual'!H58+parametros_recargas!$K$95*'Plan mensual'!H59+parametros_recargas!$L$95*'Plan mensual'!H60+parametros_recargas!$M$95*'Plan mensual'!H62</f>
        <v>1556.42035029841</v>
      </c>
      <c r="G53" s="26" t="n">
        <f aca="false">parametros_recargas!$E$95*'Plan mensual'!I53+parametros_recargas!$F$95*'Plan mensual'!I54+parametros_recargas!$G$95*'Plan mensual'!I55+parametros_recargas!$H$95*'Plan mensual'!I56+parametros_recargas!$I$95*'Plan mensual'!I57+parametros_recargas!$J$95*'Plan mensual'!I58+parametros_recargas!$K$95*'Plan mensual'!I59+parametros_recargas!$L$95*'Plan mensual'!I60+parametros_recargas!$M$95*'Plan mensual'!I62</f>
        <v>1539.88649510105</v>
      </c>
      <c r="H53" s="26" t="n">
        <f aca="false">parametros_recargas!$E$95*'Plan mensual'!J53+parametros_recargas!$F$95*'Plan mensual'!J54+parametros_recargas!$G$95*'Plan mensual'!J55+parametros_recargas!$H$95*'Plan mensual'!J56+parametros_recargas!$I$95*'Plan mensual'!J57+parametros_recargas!$J$95*'Plan mensual'!J58+parametros_recargas!$K$95*'Plan mensual'!J59+parametros_recargas!$L$95*'Plan mensual'!J60+parametros_recargas!$M$95*'Plan mensual'!J62</f>
        <v>1382.09657202047</v>
      </c>
      <c r="I53" s="26" t="n">
        <f aca="false">parametros_recargas!$E$95*'Plan mensual'!K53+parametros_recargas!$F$95*'Plan mensual'!K54+parametros_recargas!$G$95*'Plan mensual'!K55+parametros_recargas!$H$95*'Plan mensual'!K56+parametros_recargas!$I$95*'Plan mensual'!K57+parametros_recargas!$J$95*'Plan mensual'!K58+parametros_recargas!$K$95*'Plan mensual'!K59+parametros_recargas!$L$95*'Plan mensual'!K60+parametros_recargas!$M$95*'Plan mensual'!K62</f>
        <v>1392.95729272333</v>
      </c>
      <c r="J53" s="26" t="n">
        <f aca="false">parametros_recargas!$E$95*'Plan mensual'!L53+parametros_recargas!$F$95*'Plan mensual'!L54+parametros_recargas!$G$95*'Plan mensual'!L55+parametros_recargas!$H$95*'Plan mensual'!L56+parametros_recargas!$I$95*'Plan mensual'!L57+parametros_recargas!$J$95*'Plan mensual'!L58+parametros_recargas!$K$95*'Plan mensual'!L59+parametros_recargas!$L$95*'Plan mensual'!L60+parametros_recargas!$M$95*'Plan mensual'!L62</f>
        <v>1407.24830719457</v>
      </c>
      <c r="K53" s="26" t="n">
        <f aca="false">parametros_recargas!$E$95*'Plan mensual'!M53+parametros_recargas!$F$95*'Plan mensual'!M54+parametros_recargas!$G$95*'Plan mensual'!M55+parametros_recargas!$H$95*'Plan mensual'!M56+parametros_recargas!$I$95*'Plan mensual'!M57+parametros_recargas!$J$95*'Plan mensual'!M58+parametros_recargas!$K$95*'Plan mensual'!M59+parametros_recargas!$L$95*'Plan mensual'!M60+parametros_recargas!$M$95*'Plan mensual'!M62</f>
        <v>1406.83554392342</v>
      </c>
      <c r="L53" s="26" t="n">
        <f aca="false">parametros_recargas!$E$95*'Plan mensual'!N53+parametros_recargas!$F$95*'Plan mensual'!N54+parametros_recargas!$G$95*'Plan mensual'!N55+parametros_recargas!$H$95*'Plan mensual'!N56+parametros_recargas!$I$95*'Plan mensual'!N57+parametros_recargas!$J$95*'Plan mensual'!N58+parametros_recargas!$K$95*'Plan mensual'!N59+parametros_recargas!$L$95*'Plan mensual'!N60+parametros_recargas!$M$95*'Plan mensual'!N62</f>
        <v>1633.18206300592</v>
      </c>
      <c r="M53" s="26" t="n">
        <f aca="false">parametros_recargas!$E$95*'Plan mensual'!O53+parametros_recargas!$F$95*'Plan mensual'!O54+parametros_recargas!$G$95*'Plan mensual'!O55+parametros_recargas!$H$95*'Plan mensual'!O56+parametros_recargas!$I$95*'Plan mensual'!O57+parametros_recargas!$J$95*'Plan mensual'!O58+parametros_recargas!$K$95*'Plan mensual'!O59+parametros_recargas!$L$95*'Plan mensual'!O60+parametros_recargas!$M$95*'Plan mensual'!O62</f>
        <v>1888.83223147512</v>
      </c>
      <c r="N53" s="12" t="n">
        <f aca="false">SUM(B53:M53)</f>
        <v>18414.8846270899</v>
      </c>
      <c r="O53" s="27" t="n">
        <f aca="false">MAX(B53:M53)</f>
        <v>1888.83223147512</v>
      </c>
      <c r="P53" s="16" t="n">
        <f aca="false">O53/parametros_recargas!$B$6</f>
        <v>12.5922148765008</v>
      </c>
    </row>
    <row r="54" customFormat="false" ht="15" hidden="false" customHeight="false" outlineLevel="0" collapsed="false">
      <c r="A54" s="6" t="str">
        <f aca="false">parametros_recargas!$B$96</f>
        <v>Precinto, etiqueta y despacho</v>
      </c>
      <c r="B54" s="26" t="n">
        <f aca="false">parametros_recargas!$E$96*'Plan mensual'!D53+parametros_recargas!$F$96*'Plan mensual'!D54+parametros_recargas!$G$96*'Plan mensual'!D55+parametros_recargas!$H$96*'Plan mensual'!D56+parametros_recargas!$I$96*'Plan mensual'!D57+parametros_recargas!$J$96*'Plan mensual'!D58+parametros_recargas!$K$96*'Plan mensual'!D59+parametros_recargas!$L$96*'Plan mensual'!D60+parametros_recargas!$M$96*'Plan mensual'!D62</f>
        <v>1744.08115625923</v>
      </c>
      <c r="C54" s="26" t="n">
        <f aca="false">parametros_recargas!$E$96*'Plan mensual'!E53+parametros_recargas!$F$96*'Plan mensual'!E54+parametros_recargas!$G$96*'Plan mensual'!E55+parametros_recargas!$H$96*'Plan mensual'!E56+parametros_recargas!$I$96*'Plan mensual'!E57+parametros_recargas!$J$96*'Plan mensual'!E58+parametros_recargas!$K$96*'Plan mensual'!E59+parametros_recargas!$L$96*'Plan mensual'!E60+parametros_recargas!$M$96*'Plan mensual'!E62</f>
        <v>1505.86727971624</v>
      </c>
      <c r="D54" s="26" t="n">
        <f aca="false">parametros_recargas!$E$96*'Plan mensual'!F53+parametros_recargas!$F$96*'Plan mensual'!F54+parametros_recargas!$G$96*'Plan mensual'!F55+parametros_recargas!$H$96*'Plan mensual'!F56+parametros_recargas!$I$96*'Plan mensual'!F57+parametros_recargas!$J$96*'Plan mensual'!F58+parametros_recargas!$K$96*'Plan mensual'!F59+parametros_recargas!$L$96*'Plan mensual'!F60+parametros_recargas!$M$96*'Plan mensual'!F62</f>
        <v>1410.82559762755</v>
      </c>
      <c r="E54" s="26" t="n">
        <f aca="false">parametros_recargas!$E$96*'Plan mensual'!G53+parametros_recargas!$F$96*'Plan mensual'!G54+parametros_recargas!$G$96*'Plan mensual'!G55+parametros_recargas!$H$96*'Plan mensual'!G56+parametros_recargas!$I$96*'Plan mensual'!G57+parametros_recargas!$J$96*'Plan mensual'!G58+parametros_recargas!$K$96*'Plan mensual'!G59+parametros_recargas!$L$96*'Plan mensual'!G60+parametros_recargas!$M$96*'Plan mensual'!G62</f>
        <v>1546.65173774463</v>
      </c>
      <c r="F54" s="26" t="n">
        <f aca="false">parametros_recargas!$E$96*'Plan mensual'!H53+parametros_recargas!$F$96*'Plan mensual'!H54+parametros_recargas!$G$96*'Plan mensual'!H55+parametros_recargas!$H$96*'Plan mensual'!H56+parametros_recargas!$I$96*'Plan mensual'!H57+parametros_recargas!$J$96*'Plan mensual'!H58+parametros_recargas!$K$96*'Plan mensual'!H59+parametros_recargas!$L$96*'Plan mensual'!H60+parametros_recargas!$M$96*'Plan mensual'!H62</f>
        <v>1556.42035029841</v>
      </c>
      <c r="G54" s="26" t="n">
        <f aca="false">parametros_recargas!$E$96*'Plan mensual'!I53+parametros_recargas!$F$96*'Plan mensual'!I54+parametros_recargas!$G$96*'Plan mensual'!I55+parametros_recargas!$H$96*'Plan mensual'!I56+parametros_recargas!$I$96*'Plan mensual'!I57+parametros_recargas!$J$96*'Plan mensual'!I58+parametros_recargas!$K$96*'Plan mensual'!I59+parametros_recargas!$L$96*'Plan mensual'!I60+parametros_recargas!$M$96*'Plan mensual'!I62</f>
        <v>1539.88649510105</v>
      </c>
      <c r="H54" s="26" t="n">
        <f aca="false">parametros_recargas!$E$96*'Plan mensual'!J53+parametros_recargas!$F$96*'Plan mensual'!J54+parametros_recargas!$G$96*'Plan mensual'!J55+parametros_recargas!$H$96*'Plan mensual'!J56+parametros_recargas!$I$96*'Plan mensual'!J57+parametros_recargas!$J$96*'Plan mensual'!J58+parametros_recargas!$K$96*'Plan mensual'!J59+parametros_recargas!$L$96*'Plan mensual'!J60+parametros_recargas!$M$96*'Plan mensual'!J62</f>
        <v>1382.09657202047</v>
      </c>
      <c r="I54" s="26" t="n">
        <f aca="false">parametros_recargas!$E$96*'Plan mensual'!K53+parametros_recargas!$F$96*'Plan mensual'!K54+parametros_recargas!$G$96*'Plan mensual'!K55+parametros_recargas!$H$96*'Plan mensual'!K56+parametros_recargas!$I$96*'Plan mensual'!K57+parametros_recargas!$J$96*'Plan mensual'!K58+parametros_recargas!$K$96*'Plan mensual'!K59+parametros_recargas!$L$96*'Plan mensual'!K60+parametros_recargas!$M$96*'Plan mensual'!K62</f>
        <v>1392.95729272333</v>
      </c>
      <c r="J54" s="26" t="n">
        <f aca="false">parametros_recargas!$E$96*'Plan mensual'!L53+parametros_recargas!$F$96*'Plan mensual'!L54+parametros_recargas!$G$96*'Plan mensual'!L55+parametros_recargas!$H$96*'Plan mensual'!L56+parametros_recargas!$I$96*'Plan mensual'!L57+parametros_recargas!$J$96*'Plan mensual'!L58+parametros_recargas!$K$96*'Plan mensual'!L59+parametros_recargas!$L$96*'Plan mensual'!L60+parametros_recargas!$M$96*'Plan mensual'!L62</f>
        <v>1407.24830719457</v>
      </c>
      <c r="K54" s="26" t="n">
        <f aca="false">parametros_recargas!$E$96*'Plan mensual'!M53+parametros_recargas!$F$96*'Plan mensual'!M54+parametros_recargas!$G$96*'Plan mensual'!M55+parametros_recargas!$H$96*'Plan mensual'!M56+parametros_recargas!$I$96*'Plan mensual'!M57+parametros_recargas!$J$96*'Plan mensual'!M58+parametros_recargas!$K$96*'Plan mensual'!M59+parametros_recargas!$L$96*'Plan mensual'!M60+parametros_recargas!$M$96*'Plan mensual'!M62</f>
        <v>1406.83554392342</v>
      </c>
      <c r="L54" s="26" t="n">
        <f aca="false">parametros_recargas!$E$96*'Plan mensual'!N53+parametros_recargas!$F$96*'Plan mensual'!N54+parametros_recargas!$G$96*'Plan mensual'!N55+parametros_recargas!$H$96*'Plan mensual'!N56+parametros_recargas!$I$96*'Plan mensual'!N57+parametros_recargas!$J$96*'Plan mensual'!N58+parametros_recargas!$K$96*'Plan mensual'!N59+parametros_recargas!$L$96*'Plan mensual'!N60+parametros_recargas!$M$96*'Plan mensual'!N62</f>
        <v>1633.18206300592</v>
      </c>
      <c r="M54" s="26" t="n">
        <f aca="false">parametros_recargas!$E$96*'Plan mensual'!O53+parametros_recargas!$F$96*'Plan mensual'!O54+parametros_recargas!$G$96*'Plan mensual'!O55+parametros_recargas!$H$96*'Plan mensual'!O56+parametros_recargas!$I$96*'Plan mensual'!O57+parametros_recargas!$J$96*'Plan mensual'!O58+parametros_recargas!$K$96*'Plan mensual'!O59+parametros_recargas!$L$96*'Plan mensual'!O60+parametros_recargas!$M$96*'Plan mensual'!O62</f>
        <v>1888.83223147512</v>
      </c>
      <c r="N54" s="12" t="n">
        <f aca="false">SUM(B54:M54)</f>
        <v>18414.8846270899</v>
      </c>
      <c r="O54" s="27" t="n">
        <f aca="false">MAX(B54:M54)</f>
        <v>1888.83223147512</v>
      </c>
      <c r="P54" s="16" t="n">
        <f aca="false">O54/parametros_recargas!$B$6</f>
        <v>12.5922148765008</v>
      </c>
    </row>
    <row r="55" customFormat="false" ht="15" hidden="false" customHeight="false" outlineLevel="0" collapsed="false">
      <c r="A55" s="6" t="str">
        <f aca="false">parametros_recargas!$B$97</f>
        <v>Inutilización y disposición final</v>
      </c>
      <c r="B55" s="26" t="n">
        <f aca="false">parametros_recargas!$E$97*'Plan mensual'!D53+parametros_recargas!$F$97*'Plan mensual'!D54+parametros_recargas!$G$97*'Plan mensual'!D55+parametros_recargas!$H$97*'Plan mensual'!D56+parametros_recargas!$I$97*'Plan mensual'!D57+parametros_recargas!$J$97*'Plan mensual'!D58+parametros_recargas!$K$97*'Plan mensual'!D59+parametros_recargas!$L$97*'Plan mensual'!D60+parametros_recargas!$M$97*'Plan mensual'!D62</f>
        <v>137.513961586025</v>
      </c>
      <c r="C55" s="26" t="n">
        <f aca="false">parametros_recargas!$E$97*'Plan mensual'!E53+parametros_recargas!$F$97*'Plan mensual'!E54+parametros_recargas!$G$97*'Plan mensual'!E55+parametros_recargas!$H$97*'Plan mensual'!E56+parametros_recargas!$I$97*'Plan mensual'!E57+parametros_recargas!$J$97*'Plan mensual'!E58+parametros_recargas!$K$97*'Plan mensual'!E59+parametros_recargas!$L$97*'Plan mensual'!E60+parametros_recargas!$M$97*'Plan mensual'!E62</f>
        <v>118.568784524277</v>
      </c>
      <c r="D55" s="26" t="n">
        <f aca="false">parametros_recargas!$E$97*'Plan mensual'!F53+parametros_recargas!$F$97*'Plan mensual'!F54+parametros_recargas!$G$97*'Plan mensual'!F55+parametros_recargas!$H$97*'Plan mensual'!F56+parametros_recargas!$I$97*'Plan mensual'!F57+parametros_recargas!$J$97*'Plan mensual'!F58+parametros_recargas!$K$97*'Plan mensual'!F59+parametros_recargas!$L$97*'Plan mensual'!F60+parametros_recargas!$M$97*'Plan mensual'!F62</f>
        <v>110.555929359773</v>
      </c>
      <c r="E55" s="26" t="n">
        <f aca="false">parametros_recargas!$E$97*'Plan mensual'!G53+parametros_recargas!$F$97*'Plan mensual'!G54+parametros_recargas!$G$97*'Plan mensual'!G55+parametros_recargas!$H$97*'Plan mensual'!G56+parametros_recargas!$I$97*'Plan mensual'!G57+parametros_recargas!$J$97*'Plan mensual'!G58+parametros_recargas!$K$97*'Plan mensual'!G59+parametros_recargas!$L$97*'Plan mensual'!G60+parametros_recargas!$M$97*'Plan mensual'!G62</f>
        <v>121.053900120291</v>
      </c>
      <c r="F55" s="26" t="n">
        <f aca="false">parametros_recargas!$E$97*'Plan mensual'!H53+parametros_recargas!$F$97*'Plan mensual'!H54+parametros_recargas!$G$97*'Plan mensual'!H55+parametros_recargas!$H$97*'Plan mensual'!H56+parametros_recargas!$I$97*'Plan mensual'!H57+parametros_recargas!$J$97*'Plan mensual'!H58+parametros_recargas!$K$97*'Plan mensual'!H59+parametros_recargas!$L$97*'Plan mensual'!H60+parametros_recargas!$M$97*'Plan mensual'!H62</f>
        <v>121.845950943059</v>
      </c>
      <c r="G55" s="26" t="n">
        <f aca="false">parametros_recargas!$E$97*'Plan mensual'!I53+parametros_recargas!$F$97*'Plan mensual'!I54+parametros_recargas!$G$97*'Plan mensual'!I55+parametros_recargas!$H$97*'Plan mensual'!I56+parametros_recargas!$I$97*'Plan mensual'!I57+parametros_recargas!$J$97*'Plan mensual'!I58+parametros_recargas!$K$97*'Plan mensual'!I59+parametros_recargas!$L$97*'Plan mensual'!I60+parametros_recargas!$M$97*'Plan mensual'!I62</f>
        <v>120.602729549753</v>
      </c>
      <c r="H55" s="26" t="n">
        <f aca="false">parametros_recargas!$E$97*'Plan mensual'!J53+parametros_recargas!$F$97*'Plan mensual'!J54+parametros_recargas!$G$97*'Plan mensual'!J55+parametros_recargas!$H$97*'Plan mensual'!J56+parametros_recargas!$I$97*'Plan mensual'!J57+parametros_recargas!$J$97*'Plan mensual'!J58+parametros_recargas!$K$97*'Plan mensual'!J59+parametros_recargas!$L$97*'Plan mensual'!J60+parametros_recargas!$M$97*'Plan mensual'!J62</f>
        <v>108.35294628101</v>
      </c>
      <c r="I55" s="26" t="n">
        <f aca="false">parametros_recargas!$E$97*'Plan mensual'!K53+parametros_recargas!$F$97*'Plan mensual'!K54+parametros_recargas!$G$97*'Plan mensual'!K55+parametros_recargas!$H$97*'Plan mensual'!K56+parametros_recargas!$I$97*'Plan mensual'!K57+parametros_recargas!$J$97*'Plan mensual'!K58+parametros_recargas!$K$97*'Plan mensual'!K59+parametros_recargas!$L$97*'Plan mensual'!K60+parametros_recargas!$M$97*'Plan mensual'!K62</f>
        <v>109.219237081972</v>
      </c>
      <c r="J55" s="26" t="n">
        <f aca="false">parametros_recargas!$E$97*'Plan mensual'!L53+parametros_recargas!$F$97*'Plan mensual'!L54+parametros_recargas!$G$97*'Plan mensual'!L55+parametros_recargas!$H$97*'Plan mensual'!L56+parametros_recargas!$I$97*'Plan mensual'!L57+parametros_recargas!$J$97*'Plan mensual'!L58+parametros_recargas!$K$97*'Plan mensual'!L59+parametros_recargas!$L$97*'Plan mensual'!L60+parametros_recargas!$M$97*'Plan mensual'!L62</f>
        <v>110.324933479807</v>
      </c>
      <c r="K55" s="26" t="n">
        <f aca="false">parametros_recargas!$E$97*'Plan mensual'!M53+parametros_recargas!$F$97*'Plan mensual'!M54+parametros_recargas!$G$97*'Plan mensual'!M55+parametros_recargas!$H$97*'Plan mensual'!M56+parametros_recargas!$I$97*'Plan mensual'!M57+parametros_recargas!$J$97*'Plan mensual'!M58+parametros_recargas!$K$97*'Plan mensual'!M59+parametros_recargas!$L$97*'Plan mensual'!M60+parametros_recargas!$M$97*'Plan mensual'!M62</f>
        <v>110.324933479807</v>
      </c>
      <c r="L55" s="26" t="n">
        <f aca="false">parametros_recargas!$E$97*'Plan mensual'!N53+parametros_recargas!$F$97*'Plan mensual'!N54+parametros_recargas!$G$97*'Plan mensual'!N55+parametros_recargas!$H$97*'Plan mensual'!N56+parametros_recargas!$I$97*'Plan mensual'!N57+parametros_recargas!$J$97*'Plan mensual'!N58+parametros_recargas!$K$97*'Plan mensual'!N59+parametros_recargas!$L$97*'Plan mensual'!N60+parametros_recargas!$M$97*'Plan mensual'!N62</f>
        <v>128.478059718786</v>
      </c>
      <c r="M55" s="26" t="n">
        <f aca="false">parametros_recargas!$E$97*'Plan mensual'!O53+parametros_recargas!$F$97*'Plan mensual'!O54+parametros_recargas!$G$97*'Plan mensual'!O55+parametros_recargas!$H$97*'Plan mensual'!O56+parametros_recargas!$I$97*'Plan mensual'!O57+parametros_recargas!$J$97*'Plan mensual'!O58+parametros_recargas!$K$97*'Plan mensual'!O59+parametros_recargas!$L$97*'Plan mensual'!O60+parametros_recargas!$M$97*'Plan mensual'!O62</f>
        <v>148.66645817384</v>
      </c>
      <c r="N55" s="12" t="n">
        <f aca="false">SUM(B55:M55)</f>
        <v>1445.5078242984</v>
      </c>
      <c r="O55" s="27" t="n">
        <f aca="false">MAX(B55:M55)</f>
        <v>148.66645817384</v>
      </c>
      <c r="P55" s="16" t="n">
        <f aca="false">O55/parametros_recargas!$B$6</f>
        <v>0.99110972115893</v>
      </c>
    </row>
    <row r="56" customFormat="false" ht="15" hidden="false" customHeight="false" outlineLevel="0" collapsed="false">
      <c r="A56" s="6" t="str">
        <f aca="false">parametros_recargas!$B$98</f>
        <v>PH de mangueras (CO₂ y rodantes)</v>
      </c>
      <c r="B56" s="26" t="n">
        <f aca="false">'Plan mensual'!D61</f>
        <v>45.7664561790467</v>
      </c>
      <c r="C56" s="26" t="n">
        <f aca="false">'Plan mensual'!E61</f>
        <v>45.7664561790467</v>
      </c>
      <c r="D56" s="26" t="n">
        <f aca="false">'Plan mensual'!F61</f>
        <v>49.6940076322749</v>
      </c>
      <c r="E56" s="26" t="n">
        <f aca="false">'Plan mensual'!G61</f>
        <v>55.0395474632064</v>
      </c>
      <c r="F56" s="26" t="n">
        <f aca="false">'Plan mensual'!H61</f>
        <v>55.6773215088332</v>
      </c>
      <c r="G56" s="26" t="n">
        <f aca="false">'Plan mensual'!I61</f>
        <v>53.4210448284678</v>
      </c>
      <c r="H56" s="26" t="n">
        <f aca="false">'Plan mensual'!J61</f>
        <v>47.3624201873536</v>
      </c>
      <c r="I56" s="26" t="n">
        <f aca="false">'Plan mensual'!K61</f>
        <v>47.874990740501</v>
      </c>
      <c r="J56" s="26" t="n">
        <f aca="false">'Plan mensual'!L61</f>
        <v>49.7999072160721</v>
      </c>
      <c r="K56" s="26" t="n">
        <f aca="false">'Plan mensual'!M61</f>
        <v>49.7999072160721</v>
      </c>
      <c r="L56" s="26" t="n">
        <f aca="false">'Plan mensual'!N61</f>
        <v>49.1621331704453</v>
      </c>
      <c r="M56" s="26" t="n">
        <f aca="false">'Plan mensual'!O61</f>
        <v>51.4184098508107</v>
      </c>
      <c r="N56" s="12" t="n">
        <f aca="false">SUM(B56:M56)</f>
        <v>600.782602172131</v>
      </c>
      <c r="O56" s="27" t="n">
        <f aca="false">MAX(B56:M56)</f>
        <v>55.6773215088332</v>
      </c>
      <c r="P56" s="16" t="n">
        <f aca="false">O56/parametros_recargas!$B$6</f>
        <v>0.371182143392222</v>
      </c>
    </row>
    <row r="65" customFormat="false" ht="23.85" hidden="false" customHeight="false" outlineLevel="0" collapsed="false">
      <c r="A65" s="3" t="s">
        <v>394</v>
      </c>
      <c r="B65" s="3" t="s">
        <v>64</v>
      </c>
      <c r="C65" s="3" t="s">
        <v>65</v>
      </c>
      <c r="D65" s="3" t="s">
        <v>66</v>
      </c>
      <c r="E65" s="3" t="s">
        <v>67</v>
      </c>
      <c r="F65" s="3" t="s">
        <v>68</v>
      </c>
      <c r="G65" s="3" t="s">
        <v>69</v>
      </c>
      <c r="H65" s="3" t="s">
        <v>70</v>
      </c>
      <c r="I65" s="3" t="s">
        <v>71</v>
      </c>
      <c r="J65" s="3" t="s">
        <v>72</v>
      </c>
      <c r="K65" s="3" t="s">
        <v>73</v>
      </c>
      <c r="L65" s="3" t="s">
        <v>74</v>
      </c>
      <c r="M65" s="3" t="s">
        <v>75</v>
      </c>
      <c r="N65" s="3" t="s">
        <v>390</v>
      </c>
      <c r="O65" s="3" t="s">
        <v>391</v>
      </c>
      <c r="P65" s="3" t="s">
        <v>392</v>
      </c>
    </row>
    <row r="66" customFormat="false" ht="15" hidden="false" customHeight="false" outlineLevel="0" collapsed="false">
      <c r="A66" s="6" t="str">
        <f aca="false">parametros_recargas!$B$76</f>
        <v>Recepción y registro</v>
      </c>
      <c r="B66" s="26" t="n">
        <f aca="false">parametros_recargas!$E$76*'Plan mensual'!D85+parametros_recargas!$F$76*'Plan mensual'!D86+parametros_recargas!$G$76*'Plan mensual'!D87+parametros_recargas!$H$76*'Plan mensual'!D88+parametros_recargas!$I$76*'Plan mensual'!D89+parametros_recargas!$J$76*'Plan mensual'!D90+parametros_recargas!$K$76*'Plan mensual'!D91+parametros_recargas!$L$76*'Plan mensual'!D92+parametros_recargas!$M$76*'Plan mensual'!D94</f>
        <v>3404.90830676181</v>
      </c>
      <c r="C66" s="26" t="n">
        <f aca="false">parametros_recargas!$E$76*'Plan mensual'!E85+parametros_recargas!$F$76*'Plan mensual'!E86+parametros_recargas!$G$76*'Plan mensual'!E87+parametros_recargas!$H$76*'Plan mensual'!E88+parametros_recargas!$I$76*'Plan mensual'!E89+parametros_recargas!$J$76*'Plan mensual'!E90+parametros_recargas!$K$76*'Plan mensual'!E91+parametros_recargas!$L$76*'Plan mensual'!E92+parametros_recargas!$M$76*'Plan mensual'!E94</f>
        <v>2972.84305955984</v>
      </c>
      <c r="D66" s="26" t="n">
        <f aca="false">parametros_recargas!$E$76*'Plan mensual'!F85+parametros_recargas!$F$76*'Plan mensual'!F86+parametros_recargas!$G$76*'Plan mensual'!F87+parametros_recargas!$H$76*'Plan mensual'!F88+parametros_recargas!$I$76*'Plan mensual'!F89+parametros_recargas!$J$76*'Plan mensual'!F90+parametros_recargas!$K$76*'Plan mensual'!F91+parametros_recargas!$L$76*'Plan mensual'!F92+parametros_recargas!$M$76*'Plan mensual'!F94</f>
        <v>2864.83626946714</v>
      </c>
      <c r="E66" s="26" t="n">
        <f aca="false">parametros_recargas!$E$76*'Plan mensual'!G85+parametros_recargas!$F$76*'Plan mensual'!G86+parametros_recargas!$G$76*'Plan mensual'!G87+parametros_recargas!$H$76*'Plan mensual'!G88+parametros_recargas!$I$76*'Plan mensual'!G89+parametros_recargas!$J$76*'Plan mensual'!G90+parametros_recargas!$K$76*'Plan mensual'!G91+parametros_recargas!$L$76*'Plan mensual'!G92+parametros_recargas!$M$76*'Plan mensual'!G94</f>
        <v>3172.60528528231</v>
      </c>
      <c r="F66" s="26" t="n">
        <f aca="false">parametros_recargas!$E$76*'Plan mensual'!H85+parametros_recargas!$F$76*'Plan mensual'!H86+parametros_recargas!$G$76*'Plan mensual'!H87+parametros_recargas!$H$76*'Plan mensual'!H88+parametros_recargas!$I$76*'Plan mensual'!H89+parametros_recargas!$J$76*'Plan mensual'!H90+parametros_recargas!$K$76*'Plan mensual'!H91+parametros_recargas!$L$76*'Plan mensual'!H92+parametros_recargas!$M$76*'Plan mensual'!H94</f>
        <v>3194.74552847312</v>
      </c>
      <c r="G66" s="26" t="n">
        <f aca="false">parametros_recargas!$E$76*'Plan mensual'!I85+parametros_recargas!$F$76*'Plan mensual'!I86+parametros_recargas!$G$76*'Plan mensual'!I87+parametros_recargas!$H$76*'Plan mensual'!I88+parametros_recargas!$I$76*'Plan mensual'!I89+parametros_recargas!$J$76*'Plan mensual'!I90+parametros_recargas!$K$76*'Plan mensual'!I91+parametros_recargas!$L$76*'Plan mensual'!I92+parametros_recargas!$M$76*'Plan mensual'!I94</f>
        <v>3157.97245270124</v>
      </c>
      <c r="H66" s="26" t="n">
        <f aca="false">parametros_recargas!$E$76*'Plan mensual'!J85+parametros_recargas!$F$76*'Plan mensual'!J86+parametros_recargas!$G$76*'Plan mensual'!J87+parametros_recargas!$H$76*'Plan mensual'!J88+parametros_recargas!$I$76*'Plan mensual'!J89+parametros_recargas!$J$76*'Plan mensual'!J90+parametros_recargas!$K$76*'Plan mensual'!J91+parametros_recargas!$L$76*'Plan mensual'!J92+parametros_recargas!$M$76*'Plan mensual'!J94</f>
        <v>2800.46167612644</v>
      </c>
      <c r="I66" s="26" t="n">
        <f aca="false">parametros_recargas!$E$76*'Plan mensual'!K85+parametros_recargas!$F$76*'Plan mensual'!K86+parametros_recargas!$G$76*'Plan mensual'!K87+parametros_recargas!$H$76*'Plan mensual'!K88+parametros_recargas!$I$76*'Plan mensual'!K89+parametros_recargas!$J$76*'Plan mensual'!K90+parametros_recargas!$K$76*'Plan mensual'!K91+parametros_recargas!$L$76*'Plan mensual'!K92+parametros_recargas!$M$76*'Plan mensual'!K94</f>
        <v>2824.76957365378</v>
      </c>
      <c r="J66" s="26" t="n">
        <f aca="false">parametros_recargas!$E$76*'Plan mensual'!L85+parametros_recargas!$F$76*'Plan mensual'!L86+parametros_recargas!$G$76*'Plan mensual'!L87+parametros_recargas!$H$76*'Plan mensual'!L88+parametros_recargas!$I$76*'Plan mensual'!L89+parametros_recargas!$J$76*'Plan mensual'!L90+parametros_recargas!$K$76*'Plan mensual'!L91+parametros_recargas!$L$76*'Plan mensual'!L92+parametros_recargas!$M$76*'Plan mensual'!L94</f>
        <v>2856.6567845169</v>
      </c>
      <c r="K66" s="26" t="n">
        <f aca="false">parametros_recargas!$E$76*'Plan mensual'!M85+parametros_recargas!$F$76*'Plan mensual'!M86+parametros_recargas!$G$76*'Plan mensual'!M87+parametros_recargas!$H$76*'Plan mensual'!M88+parametros_recargas!$I$76*'Plan mensual'!M89+parametros_recargas!$J$76*'Plan mensual'!M90+parametros_recargas!$K$76*'Plan mensual'!M91+parametros_recargas!$L$76*'Plan mensual'!M92+parametros_recargas!$M$76*'Plan mensual'!M94</f>
        <v>2855.87611548515</v>
      </c>
      <c r="L66" s="26" t="n">
        <f aca="false">parametros_recargas!$E$76*'Plan mensual'!N85+parametros_recargas!$F$76*'Plan mensual'!N86+parametros_recargas!$G$76*'Plan mensual'!N87+parametros_recargas!$H$76*'Plan mensual'!N88+parametros_recargas!$I$76*'Plan mensual'!N89+parametros_recargas!$J$76*'Plan mensual'!N90+parametros_recargas!$K$76*'Plan mensual'!N91+parametros_recargas!$L$76*'Plan mensual'!N92+parametros_recargas!$M$76*'Plan mensual'!N94</f>
        <v>3262.09031594867</v>
      </c>
      <c r="M66" s="26" t="n">
        <f aca="false">parametros_recargas!$E$76*'Plan mensual'!O85+parametros_recargas!$F$76*'Plan mensual'!O86+parametros_recargas!$G$76*'Plan mensual'!O87+parametros_recargas!$H$76*'Plan mensual'!O88+parametros_recargas!$I$76*'Plan mensual'!O89+parametros_recargas!$J$76*'Plan mensual'!O90+parametros_recargas!$K$76*'Plan mensual'!O91+parametros_recargas!$L$76*'Plan mensual'!O92+parametros_recargas!$M$76*'Plan mensual'!O94</f>
        <v>3732.40556989078</v>
      </c>
      <c r="N66" s="12" t="n">
        <f aca="false">SUM(B66:M66)</f>
        <v>37100.1709378672</v>
      </c>
      <c r="O66" s="27" t="n">
        <f aca="false">MAX(B66:M66)</f>
        <v>3732.40556989078</v>
      </c>
      <c r="P66" s="16" t="n">
        <f aca="false">O66/parametros_recargas!$B$6</f>
        <v>24.8827037992719</v>
      </c>
    </row>
    <row r="67" customFormat="false" ht="15" hidden="false" customHeight="false" outlineLevel="0" collapsed="false">
      <c r="A67" s="6" t="str">
        <f aca="false">parametros_recargas!$B$77</f>
        <v>Inspección visual</v>
      </c>
      <c r="B67" s="26" t="n">
        <f aca="false">parametros_recargas!$E$77*'Plan mensual'!D85+parametros_recargas!$F$77*'Plan mensual'!D86+parametros_recargas!$G$77*'Plan mensual'!D87+parametros_recargas!$H$77*'Plan mensual'!D88+parametros_recargas!$I$77*'Plan mensual'!D89+parametros_recargas!$J$77*'Plan mensual'!D90+parametros_recargas!$K$77*'Plan mensual'!D91+parametros_recargas!$L$77*'Plan mensual'!D92+parametros_recargas!$M$77*'Plan mensual'!D94</f>
        <v>3391.78201999194</v>
      </c>
      <c r="C67" s="26" t="n">
        <f aca="false">parametros_recargas!$E$77*'Plan mensual'!E85+parametros_recargas!$F$77*'Plan mensual'!E86+parametros_recargas!$G$77*'Plan mensual'!E87+parametros_recargas!$H$77*'Plan mensual'!E88+parametros_recargas!$I$77*'Plan mensual'!E89+parametros_recargas!$J$77*'Plan mensual'!E90+parametros_recargas!$K$77*'Plan mensual'!E91+parametros_recargas!$L$77*'Plan mensual'!E92+parametros_recargas!$M$77*'Plan mensual'!E94</f>
        <v>2962.19064182172</v>
      </c>
      <c r="D67" s="26" t="n">
        <f aca="false">parametros_recargas!$E$77*'Plan mensual'!F85+parametros_recargas!$F$77*'Plan mensual'!F86+parametros_recargas!$G$77*'Plan mensual'!F87+parametros_recargas!$H$77*'Plan mensual'!F88+parametros_recargas!$I$77*'Plan mensual'!F89+parametros_recargas!$J$77*'Plan mensual'!F90+parametros_recargas!$K$77*'Plan mensual'!F91+parametros_recargas!$L$77*'Plan mensual'!F92+parametros_recargas!$M$77*'Plan mensual'!F94</f>
        <v>2853.29504818139</v>
      </c>
      <c r="E67" s="26" t="n">
        <f aca="false">parametros_recargas!$E$77*'Plan mensual'!G85+parametros_recargas!$F$77*'Plan mensual'!G86+parametros_recargas!$G$77*'Plan mensual'!G87+parametros_recargas!$H$77*'Plan mensual'!G88+parametros_recargas!$I$77*'Plan mensual'!G89+parametros_recargas!$J$77*'Plan mensual'!G90+parametros_recargas!$K$77*'Plan mensual'!G91+parametros_recargas!$L$77*'Plan mensual'!G92+parametros_recargas!$M$77*'Plan mensual'!G94</f>
        <v>3161.06406399656</v>
      </c>
      <c r="F67" s="26" t="n">
        <f aca="false">parametros_recargas!$E$77*'Plan mensual'!H85+parametros_recargas!$F$77*'Plan mensual'!H86+parametros_recargas!$G$77*'Plan mensual'!H87+parametros_recargas!$H$77*'Plan mensual'!H88+parametros_recargas!$I$77*'Plan mensual'!H89+parametros_recargas!$J$77*'Plan mensual'!H90+parametros_recargas!$K$77*'Plan mensual'!H91+parametros_recargas!$L$77*'Plan mensual'!H92+parametros_recargas!$M$77*'Plan mensual'!H94</f>
        <v>3183.76870718737</v>
      </c>
      <c r="G67" s="26" t="n">
        <f aca="false">parametros_recargas!$E$77*'Plan mensual'!I85+parametros_recargas!$F$77*'Plan mensual'!I86+parametros_recargas!$G$77*'Plan mensual'!I87+parametros_recargas!$H$77*'Plan mensual'!I88+parametros_recargas!$I$77*'Plan mensual'!I89+parametros_recargas!$J$77*'Plan mensual'!I90+parametros_recargas!$K$77*'Plan mensual'!I91+parametros_recargas!$L$77*'Plan mensual'!I92+parametros_recargas!$M$77*'Plan mensual'!I94</f>
        <v>3147.77630044724</v>
      </c>
      <c r="H67" s="26" t="n">
        <f aca="false">parametros_recargas!$E$77*'Plan mensual'!J85+parametros_recargas!$F$77*'Plan mensual'!J86+parametros_recargas!$G$77*'Plan mensual'!J87+parametros_recargas!$H$77*'Plan mensual'!J88+parametros_recargas!$I$77*'Plan mensual'!J89+parametros_recargas!$J$77*'Plan mensual'!J90+parametros_recargas!$K$77*'Plan mensual'!J91+parametros_recargas!$L$77*'Plan mensual'!J92+parametros_recargas!$M$77*'Plan mensual'!J94</f>
        <v>2789.48485484069</v>
      </c>
      <c r="I67" s="26" t="n">
        <f aca="false">parametros_recargas!$E$77*'Plan mensual'!K85+parametros_recargas!$F$77*'Plan mensual'!K86+parametros_recargas!$G$77*'Plan mensual'!K87+parametros_recargas!$H$77*'Plan mensual'!K88+parametros_recargas!$I$77*'Plan mensual'!K89+parametros_recargas!$J$77*'Plan mensual'!K90+parametros_recargas!$K$77*'Plan mensual'!K91+parametros_recargas!$L$77*'Plan mensual'!K92+parametros_recargas!$M$77*'Plan mensual'!K94</f>
        <v>2813.79275236803</v>
      </c>
      <c r="J67" s="26" t="n">
        <f aca="false">parametros_recargas!$E$77*'Plan mensual'!L85+parametros_recargas!$F$77*'Plan mensual'!L86+parametros_recargas!$G$77*'Plan mensual'!L87+parametros_recargas!$H$77*'Plan mensual'!L88+parametros_recargas!$I$77*'Plan mensual'!L89+parametros_recargas!$J$77*'Plan mensual'!L90+parametros_recargas!$K$77*'Plan mensual'!L91+parametros_recargas!$L$77*'Plan mensual'!L92+parametros_recargas!$M$77*'Plan mensual'!L94</f>
        <v>2845.78809774702</v>
      </c>
      <c r="K67" s="26" t="n">
        <f aca="false">parametros_recargas!$E$77*'Plan mensual'!M85+parametros_recargas!$F$77*'Plan mensual'!M86+parametros_recargas!$G$77*'Plan mensual'!M87+parametros_recargas!$H$77*'Plan mensual'!M88+parametros_recargas!$I$77*'Plan mensual'!M89+parametros_recargas!$J$77*'Plan mensual'!M90+parametros_recargas!$K$77*'Plan mensual'!M91+parametros_recargas!$L$77*'Plan mensual'!M92+parametros_recargas!$M$77*'Plan mensual'!M94</f>
        <v>2845.78809774702</v>
      </c>
      <c r="L67" s="26" t="n">
        <f aca="false">parametros_recargas!$E$77*'Plan mensual'!N85+parametros_recargas!$F$77*'Plan mensual'!N86+parametros_recargas!$G$77*'Plan mensual'!N87+parametros_recargas!$H$77*'Plan mensual'!N88+parametros_recargas!$I$77*'Plan mensual'!N89+parametros_recargas!$J$77*'Plan mensual'!N90+parametros_recargas!$K$77*'Plan mensual'!N91+parametros_recargas!$L$77*'Plan mensual'!N92+parametros_recargas!$M$77*'Plan mensual'!N94</f>
        <v>3252.67483272642</v>
      </c>
      <c r="M67" s="26" t="n">
        <f aca="false">parametros_recargas!$E$77*'Plan mensual'!O85+parametros_recargas!$F$77*'Plan mensual'!O86+parametros_recargas!$G$77*'Plan mensual'!O87+parametros_recargas!$H$77*'Plan mensual'!O88+parametros_recargas!$I$77*'Plan mensual'!O89+parametros_recargas!$J$77*'Plan mensual'!O90+parametros_recargas!$K$77*'Plan mensual'!O91+parametros_recargas!$L$77*'Plan mensual'!O92+parametros_recargas!$M$77*'Plan mensual'!O94</f>
        <v>3718.25861763678</v>
      </c>
      <c r="N67" s="12" t="n">
        <f aca="false">SUM(B67:M67)</f>
        <v>36965.6640346922</v>
      </c>
      <c r="O67" s="27" t="n">
        <f aca="false">MAX(B67:M67)</f>
        <v>3718.25861763678</v>
      </c>
      <c r="P67" s="16" t="n">
        <f aca="false">O67/parametros_recargas!$B$6</f>
        <v>24.7883907842452</v>
      </c>
    </row>
    <row r="68" customFormat="false" ht="15" hidden="false" customHeight="false" outlineLevel="0" collapsed="false">
      <c r="A68" s="6" t="str">
        <f aca="false">parametros_recargas!$B$78</f>
        <v>Descarga ABC — ruta recuperable</v>
      </c>
      <c r="B68" s="26" t="n">
        <f aca="false">parametros_recargas!$E$78*'Plan mensual'!D85+parametros_recargas!$F$78*'Plan mensual'!D86+parametros_recargas!$G$78*'Plan mensual'!D87+parametros_recargas!$H$78*'Plan mensual'!D88+parametros_recargas!$I$78*'Plan mensual'!D89+parametros_recargas!$J$78*'Plan mensual'!D90+parametros_recargas!$K$78*'Plan mensual'!D91+parametros_recargas!$L$78*'Plan mensual'!D92+parametros_recargas!$M$78*'Plan mensual'!D94</f>
        <v>2589.53642738333</v>
      </c>
      <c r="C68" s="26" t="n">
        <f aca="false">parametros_recargas!$E$78*'Plan mensual'!E85+parametros_recargas!$F$78*'Plan mensual'!E86+parametros_recargas!$G$78*'Plan mensual'!E87+parametros_recargas!$H$78*'Plan mensual'!E88+parametros_recargas!$I$78*'Plan mensual'!E89+parametros_recargas!$J$78*'Plan mensual'!E90+parametros_recargas!$K$78*'Plan mensual'!E91+parametros_recargas!$L$78*'Plan mensual'!E92+parametros_recargas!$M$78*'Plan mensual'!E94</f>
        <v>2222.23579904779</v>
      </c>
      <c r="D68" s="26" t="n">
        <f aca="false">parametros_recargas!$E$78*'Plan mensual'!F85+parametros_recargas!$F$78*'Plan mensual'!F86+parametros_recargas!$G$78*'Plan mensual'!F87+parametros_recargas!$H$78*'Plan mensual'!F88+parametros_recargas!$I$78*'Plan mensual'!F89+parametros_recargas!$J$78*'Plan mensual'!F90+parametros_recargas!$K$78*'Plan mensual'!F91+parametros_recargas!$L$78*'Plan mensual'!F92+parametros_recargas!$M$78*'Plan mensual'!F94</f>
        <v>2069.49339896644</v>
      </c>
      <c r="E68" s="26" t="n">
        <f aca="false">parametros_recargas!$E$78*'Plan mensual'!G85+parametros_recargas!$F$78*'Plan mensual'!G86+parametros_recargas!$G$78*'Plan mensual'!G87+parametros_recargas!$H$78*'Plan mensual'!G88+parametros_recargas!$I$78*'Plan mensual'!G89+parametros_recargas!$J$78*'Plan mensual'!G90+parametros_recargas!$K$78*'Plan mensual'!G91+parametros_recargas!$L$78*'Plan mensual'!G92+parametros_recargas!$M$78*'Plan mensual'!G94</f>
        <v>2273.68146136407</v>
      </c>
      <c r="F68" s="26" t="n">
        <f aca="false">parametros_recargas!$E$78*'Plan mensual'!H85+parametros_recargas!$F$78*'Plan mensual'!H86+parametros_recargas!$G$78*'Plan mensual'!H87+parametros_recargas!$H$78*'Plan mensual'!H88+parametros_recargas!$I$78*'Plan mensual'!H89+parametros_recargas!$J$78*'Plan mensual'!H90+parametros_recargas!$K$78*'Plan mensual'!H91+parametros_recargas!$L$78*'Plan mensual'!H92+parametros_recargas!$M$78*'Plan mensual'!H94</f>
        <v>2290.02464856871</v>
      </c>
      <c r="G68" s="26" t="n">
        <f aca="false">parametros_recargas!$E$78*'Plan mensual'!I85+parametros_recargas!$F$78*'Plan mensual'!I86+parametros_recargas!$G$78*'Plan mensual'!I87+parametros_recargas!$H$78*'Plan mensual'!I88+parametros_recargas!$I$78*'Plan mensual'!I89+parametros_recargas!$J$78*'Plan mensual'!I90+parametros_recargas!$K$78*'Plan mensual'!I91+parametros_recargas!$L$78*'Plan mensual'!I92+parametros_recargas!$M$78*'Plan mensual'!I94</f>
        <v>2267.93102819787</v>
      </c>
      <c r="H68" s="26" t="n">
        <f aca="false">parametros_recargas!$E$78*'Plan mensual'!J85+parametros_recargas!$F$78*'Plan mensual'!J86+parametros_recargas!$G$78*'Plan mensual'!J87+parametros_recargas!$H$78*'Plan mensual'!J88+parametros_recargas!$I$78*'Plan mensual'!J89+parametros_recargas!$J$78*'Plan mensual'!J90+parametros_recargas!$K$78*'Plan mensual'!J91+parametros_recargas!$L$78*'Plan mensual'!J92+parametros_recargas!$M$78*'Plan mensual'!J94</f>
        <v>2028.36375414462</v>
      </c>
      <c r="I68" s="26" t="n">
        <f aca="false">parametros_recargas!$E$78*'Plan mensual'!K85+parametros_recargas!$F$78*'Plan mensual'!K86+parametros_recargas!$G$78*'Plan mensual'!K87+parametros_recargas!$H$78*'Plan mensual'!K88+parametros_recargas!$I$78*'Plan mensual'!K89+parametros_recargas!$J$78*'Plan mensual'!K90+parametros_recargas!$K$78*'Plan mensual'!K91+parametros_recargas!$L$78*'Plan mensual'!K92+parametros_recargas!$M$78*'Plan mensual'!K94</f>
        <v>2047.62236677748</v>
      </c>
      <c r="J68" s="26" t="n">
        <f aca="false">parametros_recargas!$E$78*'Plan mensual'!L85+parametros_recargas!$F$78*'Plan mensual'!L86+parametros_recargas!$G$78*'Plan mensual'!L87+parametros_recargas!$H$78*'Plan mensual'!L88+parametros_recargas!$I$78*'Plan mensual'!L89+parametros_recargas!$J$78*'Plan mensual'!L90+parametros_recargas!$K$78*'Plan mensual'!L91+parametros_recargas!$L$78*'Plan mensual'!L92+parametros_recargas!$M$78*'Plan mensual'!L94</f>
        <v>2067.03225601581</v>
      </c>
      <c r="K68" s="26" t="n">
        <f aca="false">parametros_recargas!$E$78*'Plan mensual'!M85+parametros_recargas!$F$78*'Plan mensual'!M86+parametros_recargas!$G$78*'Plan mensual'!M87+parametros_recargas!$H$78*'Plan mensual'!M88+parametros_recargas!$I$78*'Plan mensual'!M89+parametros_recargas!$J$78*'Plan mensual'!M90+parametros_recargas!$K$78*'Plan mensual'!M91+parametros_recargas!$L$78*'Plan mensual'!M92+parametros_recargas!$M$78*'Plan mensual'!M94</f>
        <v>2067.03225601581</v>
      </c>
      <c r="L68" s="26" t="n">
        <f aca="false">parametros_recargas!$E$78*'Plan mensual'!N85+parametros_recargas!$F$78*'Plan mensual'!N86+parametros_recargas!$G$78*'Plan mensual'!N87+parametros_recargas!$H$78*'Plan mensual'!N88+parametros_recargas!$I$78*'Plan mensual'!N89+parametros_recargas!$J$78*'Plan mensual'!N90+parametros_recargas!$K$78*'Plan mensual'!N91+parametros_recargas!$L$78*'Plan mensual'!N92+parametros_recargas!$M$78*'Plan mensual'!N94</f>
        <v>2417.98969714671</v>
      </c>
      <c r="M68" s="26" t="n">
        <f aca="false">parametros_recargas!$E$78*'Plan mensual'!O85+parametros_recargas!$F$78*'Plan mensual'!O86+parametros_recargas!$G$78*'Plan mensual'!O87+parametros_recargas!$H$78*'Plan mensual'!O88+parametros_recargas!$I$78*'Plan mensual'!O89+parametros_recargas!$J$78*'Plan mensual'!O90+parametros_recargas!$K$78*'Plan mensual'!O91+parametros_recargas!$L$78*'Plan mensual'!O92+parametros_recargas!$M$78*'Plan mensual'!O94</f>
        <v>2807.38394585308</v>
      </c>
      <c r="N68" s="12" t="n">
        <f aca="false">SUM(B68:M68)</f>
        <v>27148.3270394817</v>
      </c>
      <c r="O68" s="27" t="n">
        <f aca="false">MAX(B68:M68)</f>
        <v>2807.38394585308</v>
      </c>
      <c r="P68" s="16" t="n">
        <f aca="false">O68/parametros_recargas!$B$6</f>
        <v>18.7158929723539</v>
      </c>
    </row>
    <row r="69" customFormat="false" ht="15" hidden="false" customHeight="false" outlineLevel="0" collapsed="false">
      <c r="A69" s="6" t="str">
        <f aca="false">parametros_recargas!$B$79</f>
        <v>Descarga a descarte (ABC, BC y Clase D)</v>
      </c>
      <c r="B69" s="26" t="n">
        <f aca="false">parametros_recargas!$E$79*'Plan mensual'!D85+parametros_recargas!$F$79*'Plan mensual'!D86+parametros_recargas!$G$79*'Plan mensual'!D87+parametros_recargas!$H$79*'Plan mensual'!D88+parametros_recargas!$I$79*'Plan mensual'!D89+parametros_recargas!$J$79*'Plan mensual'!D90+parametros_recargas!$K$79*'Plan mensual'!D91+parametros_recargas!$L$79*'Plan mensual'!D92+parametros_recargas!$M$79*'Plan mensual'!D94</f>
        <v>295.689024030943</v>
      </c>
      <c r="C69" s="26" t="n">
        <f aca="false">parametros_recargas!$E$79*'Plan mensual'!E85+parametros_recargas!$F$79*'Plan mensual'!E86+parametros_recargas!$G$79*'Plan mensual'!E87+parametros_recargas!$H$79*'Plan mensual'!E88+parametros_recargas!$I$79*'Plan mensual'!E89+parametros_recargas!$J$79*'Plan mensual'!E90+parametros_recargas!$K$79*'Plan mensual'!E91+parametros_recargas!$L$79*'Plan mensual'!E92+parametros_recargas!$M$79*'Plan mensual'!E94</f>
        <v>254.877843104772</v>
      </c>
      <c r="D69" s="26" t="n">
        <f aca="false">parametros_recargas!$E$79*'Plan mensual'!F85+parametros_recargas!$F$79*'Plan mensual'!F86+parametros_recargas!$G$79*'Plan mensual'!F87+parametros_recargas!$H$79*'Plan mensual'!F88+parametros_recargas!$I$79*'Plan mensual'!F89+parametros_recargas!$J$79*'Plan mensual'!F90+parametros_recargas!$K$79*'Plan mensual'!F91+parametros_recargas!$L$79*'Plan mensual'!F92+parametros_recargas!$M$79*'Plan mensual'!F94</f>
        <v>237.906465317955</v>
      </c>
      <c r="E69" s="26" t="n">
        <f aca="false">parametros_recargas!$E$79*'Plan mensual'!G85+parametros_recargas!$F$79*'Plan mensual'!G86+parametros_recargas!$G$79*'Plan mensual'!G87+parametros_recargas!$H$79*'Plan mensual'!G88+parametros_recargas!$I$79*'Plan mensual'!G89+parametros_recargas!$J$79*'Plan mensual'!G90+parametros_recargas!$K$79*'Plan mensual'!G91+parametros_recargas!$L$79*'Plan mensual'!G92+parametros_recargas!$M$79*'Plan mensual'!G94</f>
        <v>260.594027806581</v>
      </c>
      <c r="F69" s="26" t="n">
        <f aca="false">parametros_recargas!$E$79*'Plan mensual'!H85+parametros_recargas!$F$79*'Plan mensual'!H86+parametros_recargas!$G$79*'Plan mensual'!H87+parametros_recargas!$H$79*'Plan mensual'!H88+parametros_recargas!$I$79*'Plan mensual'!H89+parametros_recargas!$J$79*'Plan mensual'!H90+parametros_recargas!$K$79*'Plan mensual'!H91+parametros_recargas!$L$79*'Plan mensual'!H92+parametros_recargas!$M$79*'Plan mensual'!H94</f>
        <v>262.409937495985</v>
      </c>
      <c r="G69" s="26" t="n">
        <f aca="false">parametros_recargas!$E$79*'Plan mensual'!I85+parametros_recargas!$F$79*'Plan mensual'!I86+parametros_recargas!$G$79*'Plan mensual'!I87+parametros_recargas!$H$79*'Plan mensual'!I88+parametros_recargas!$I$79*'Plan mensual'!I89+parametros_recargas!$J$79*'Plan mensual'!I90+parametros_recargas!$K$79*'Plan mensual'!I91+parametros_recargas!$L$79*'Plan mensual'!I92+parametros_recargas!$M$79*'Plan mensual'!I94</f>
        <v>259.955090788114</v>
      </c>
      <c r="H69" s="26" t="n">
        <f aca="false">parametros_recargas!$E$79*'Plan mensual'!J85+parametros_recargas!$F$79*'Plan mensual'!J86+parametros_recargas!$G$79*'Plan mensual'!J87+parametros_recargas!$H$79*'Plan mensual'!J88+parametros_recargas!$I$79*'Plan mensual'!J89+parametros_recargas!$J$79*'Plan mensual'!J90+parametros_recargas!$K$79*'Plan mensual'!J91+parametros_recargas!$L$79*'Plan mensual'!J92+parametros_recargas!$M$79*'Plan mensual'!J94</f>
        <v>233.336504782197</v>
      </c>
      <c r="I69" s="26" t="n">
        <f aca="false">parametros_recargas!$E$79*'Plan mensual'!K85+parametros_recargas!$F$79*'Plan mensual'!K86+parametros_recargas!$G$79*'Plan mensual'!K87+parametros_recargas!$H$79*'Plan mensual'!K88+parametros_recargas!$I$79*'Plan mensual'!K89+parametros_recargas!$J$79*'Plan mensual'!K90+parametros_recargas!$K$79*'Plan mensual'!K91+parametros_recargas!$L$79*'Plan mensual'!K92+parametros_recargas!$M$79*'Plan mensual'!K94</f>
        <v>235.476350630293</v>
      </c>
      <c r="J69" s="26" t="n">
        <f aca="false">parametros_recargas!$E$79*'Plan mensual'!L85+parametros_recargas!$F$79*'Plan mensual'!L86+parametros_recargas!$G$79*'Plan mensual'!L87+parametros_recargas!$H$79*'Plan mensual'!L88+parametros_recargas!$I$79*'Plan mensual'!L89+parametros_recargas!$J$79*'Plan mensual'!L90+parametros_recargas!$K$79*'Plan mensual'!L91+parametros_recargas!$L$79*'Plan mensual'!L92+parametros_recargas!$M$79*'Plan mensual'!L94</f>
        <v>237.633004990107</v>
      </c>
      <c r="K69" s="26" t="n">
        <f aca="false">parametros_recargas!$E$79*'Plan mensual'!M85+parametros_recargas!$F$79*'Plan mensual'!M86+parametros_recargas!$G$79*'Plan mensual'!M87+parametros_recargas!$H$79*'Plan mensual'!M88+parametros_recargas!$I$79*'Plan mensual'!M89+parametros_recargas!$J$79*'Plan mensual'!M90+parametros_recargas!$K$79*'Plan mensual'!M91+parametros_recargas!$L$79*'Plan mensual'!M92+parametros_recargas!$M$79*'Plan mensual'!M94</f>
        <v>237.633004990107</v>
      </c>
      <c r="L69" s="26" t="n">
        <f aca="false">parametros_recargas!$E$79*'Plan mensual'!N85+parametros_recargas!$F$79*'Plan mensual'!N86+parametros_recargas!$G$79*'Plan mensual'!N87+parametros_recargas!$H$79*'Plan mensual'!N88+parametros_recargas!$I$79*'Plan mensual'!N89+parametros_recargas!$J$79*'Plan mensual'!N90+parametros_recargas!$K$79*'Plan mensual'!N91+parametros_recargas!$L$79*'Plan mensual'!N92+parametros_recargas!$M$79*'Plan mensual'!N94</f>
        <v>276.628276226874</v>
      </c>
      <c r="M69" s="26" t="n">
        <f aca="false">parametros_recargas!$E$79*'Plan mensual'!O85+parametros_recargas!$F$79*'Plan mensual'!O86+parametros_recargas!$G$79*'Plan mensual'!O87+parametros_recargas!$H$79*'Plan mensual'!O88+parametros_recargas!$I$79*'Plan mensual'!O89+parametros_recargas!$J$79*'Plan mensual'!O90+parametros_recargas!$K$79*'Plan mensual'!O91+parametros_recargas!$L$79*'Plan mensual'!O92+parametros_recargas!$M$79*'Plan mensual'!O94</f>
        <v>319.894303860915</v>
      </c>
      <c r="N69" s="12" t="n">
        <f aca="false">SUM(B69:M69)</f>
        <v>3112.03383402484</v>
      </c>
      <c r="O69" s="27" t="n">
        <f aca="false">MAX(B69:M69)</f>
        <v>319.894303860915</v>
      </c>
      <c r="P69" s="16" t="n">
        <f aca="false">O69/parametros_recargas!$B$6</f>
        <v>2.1326286924061</v>
      </c>
    </row>
    <row r="70" customFormat="false" ht="15" hidden="false" customHeight="false" outlineLevel="0" collapsed="false">
      <c r="A70" s="6" t="str">
        <f aca="false">parametros_recargas!$B$80</f>
        <v>Descarga y carga de agua / AFFF / sales K</v>
      </c>
      <c r="B70" s="26" t="n">
        <f aca="false">parametros_recargas!$E$80*'Plan mensual'!D85+parametros_recargas!$F$80*'Plan mensual'!D86+parametros_recargas!$G$80*'Plan mensual'!D87+parametros_recargas!$H$80*'Plan mensual'!D88+parametros_recargas!$I$80*'Plan mensual'!D89+parametros_recargas!$J$80*'Plan mensual'!D90+parametros_recargas!$K$80*'Plan mensual'!D91+parametros_recargas!$L$80*'Plan mensual'!D92+parametros_recargas!$M$80*'Plan mensual'!D94</f>
        <v>140.643997434645</v>
      </c>
      <c r="C70" s="26" t="n">
        <f aca="false">parametros_recargas!$E$80*'Plan mensual'!E85+parametros_recargas!$F$80*'Plan mensual'!E86+parametros_recargas!$G$80*'Plan mensual'!E87+parametros_recargas!$H$80*'Plan mensual'!E88+parametros_recargas!$I$80*'Plan mensual'!E89+parametros_recargas!$J$80*'Plan mensual'!E90+parametros_recargas!$K$80*'Plan mensual'!E91+parametros_recargas!$L$80*'Plan mensual'!E92+parametros_recargas!$M$80*'Plan mensual'!E94</f>
        <v>140.643997434645</v>
      </c>
      <c r="D70" s="26" t="n">
        <f aca="false">parametros_recargas!$E$80*'Plan mensual'!F85+parametros_recargas!$F$80*'Plan mensual'!F86+parametros_recargas!$G$80*'Plan mensual'!F87+parametros_recargas!$H$80*'Plan mensual'!F88+parametros_recargas!$I$80*'Plan mensual'!F89+parametros_recargas!$J$80*'Plan mensual'!F90+parametros_recargas!$K$80*'Plan mensual'!F91+parametros_recargas!$L$80*'Plan mensual'!F92+parametros_recargas!$M$80*'Plan mensual'!F94</f>
        <v>158.465781946063</v>
      </c>
      <c r="E70" s="26" t="n">
        <f aca="false">parametros_recargas!$E$80*'Plan mensual'!G85+parametros_recargas!$F$80*'Plan mensual'!G86+parametros_recargas!$G$80*'Plan mensual'!G87+parametros_recargas!$H$80*'Plan mensual'!G88+parametros_recargas!$I$80*'Plan mensual'!G89+parametros_recargas!$J$80*'Plan mensual'!G90+parametros_recargas!$K$80*'Plan mensual'!G91+parametros_recargas!$L$80*'Plan mensual'!G92+parametros_recargas!$M$80*'Plan mensual'!G94</f>
        <v>175.659532299587</v>
      </c>
      <c r="F70" s="26" t="n">
        <f aca="false">parametros_recargas!$E$80*'Plan mensual'!H85+parametros_recargas!$F$80*'Plan mensual'!H86+parametros_recargas!$G$80*'Plan mensual'!H87+parametros_recargas!$H$80*'Plan mensual'!H88+parametros_recargas!$I$80*'Plan mensual'!H89+parametros_recargas!$J$80*'Plan mensual'!H90+parametros_recargas!$K$80*'Plan mensual'!H91+parametros_recargas!$L$80*'Plan mensual'!H92+parametros_recargas!$M$80*'Plan mensual'!H94</f>
        <v>177.079818740145</v>
      </c>
      <c r="G70" s="26" t="n">
        <f aca="false">parametros_recargas!$E$80*'Plan mensual'!I85+parametros_recargas!$F$80*'Plan mensual'!I86+parametros_recargas!$G$80*'Plan mensual'!I87+parametros_recargas!$H$80*'Plan mensual'!I88+parametros_recargas!$I$80*'Plan mensual'!I89+parametros_recargas!$J$80*'Plan mensual'!I90+parametros_recargas!$K$80*'Plan mensual'!I91+parametros_recargas!$L$80*'Plan mensual'!I92+parametros_recargas!$M$80*'Plan mensual'!I94</f>
        <v>174.024126003982</v>
      </c>
      <c r="H70" s="26" t="n">
        <f aca="false">parametros_recargas!$E$80*'Plan mensual'!J85+parametros_recargas!$F$80*'Plan mensual'!J86+parametros_recargas!$G$80*'Plan mensual'!J87+parametros_recargas!$H$80*'Plan mensual'!J88+parametros_recargas!$I$80*'Plan mensual'!J89+parametros_recargas!$J$80*'Plan mensual'!J90+parametros_recargas!$K$80*'Plan mensual'!J91+parametros_recargas!$L$80*'Plan mensual'!J92+parametros_recargas!$M$80*'Plan mensual'!J94</f>
        <v>153.143045828103</v>
      </c>
      <c r="I70" s="26" t="n">
        <f aca="false">parametros_recargas!$E$80*'Plan mensual'!K85+parametros_recargas!$F$80*'Plan mensual'!K86+parametros_recargas!$G$80*'Plan mensual'!K87+parametros_recargas!$H$80*'Plan mensual'!K88+parametros_recargas!$I$80*'Plan mensual'!K89+parametros_recargas!$J$80*'Plan mensual'!K90+parametros_recargas!$K$80*'Plan mensual'!K91+parametros_recargas!$L$80*'Plan mensual'!K92+parametros_recargas!$M$80*'Plan mensual'!K94</f>
        <v>154.566935196959</v>
      </c>
      <c r="J70" s="26" t="n">
        <f aca="false">parametros_recargas!$E$80*'Plan mensual'!L85+parametros_recargas!$F$80*'Plan mensual'!L86+parametros_recargas!$G$80*'Plan mensual'!L87+parametros_recargas!$H$80*'Plan mensual'!L88+parametros_recargas!$I$80*'Plan mensual'!L89+parametros_recargas!$J$80*'Plan mensual'!L90+parametros_recargas!$K$80*'Plan mensual'!L91+parametros_recargas!$L$80*'Plan mensual'!L92+parametros_recargas!$M$80*'Plan mensual'!L94</f>
        <v>157.480146290367</v>
      </c>
      <c r="K70" s="26" t="n">
        <f aca="false">parametros_recargas!$E$80*'Plan mensual'!M85+parametros_recargas!$F$80*'Plan mensual'!M86+parametros_recargas!$G$80*'Plan mensual'!M87+parametros_recargas!$H$80*'Plan mensual'!M88+parametros_recargas!$I$80*'Plan mensual'!M89+parametros_recargas!$J$80*'Plan mensual'!M90+parametros_recargas!$K$80*'Plan mensual'!M91+parametros_recargas!$L$80*'Plan mensual'!M92+parametros_recargas!$M$80*'Plan mensual'!M94</f>
        <v>157.480146290367</v>
      </c>
      <c r="L70" s="26" t="n">
        <f aca="false">parametros_recargas!$E$80*'Plan mensual'!N85+parametros_recargas!$F$80*'Plan mensual'!N86+parametros_recargas!$G$80*'Plan mensual'!N87+parametros_recargas!$H$80*'Plan mensual'!N88+parametros_recargas!$I$80*'Plan mensual'!N89+parametros_recargas!$J$80*'Plan mensual'!N90+parametros_recargas!$K$80*'Plan mensual'!N91+parametros_recargas!$L$80*'Plan mensual'!N92+parametros_recargas!$M$80*'Plan mensual'!N94</f>
        <v>156.059859849809</v>
      </c>
      <c r="M70" s="26" t="n">
        <f aca="false">parametros_recargas!$E$80*'Plan mensual'!O85+parametros_recargas!$F$80*'Plan mensual'!O86+parametros_recargas!$G$80*'Plan mensual'!O87+parametros_recargas!$H$80*'Plan mensual'!O88+parametros_recargas!$I$80*'Plan mensual'!O89+parametros_recargas!$J$80*'Plan mensual'!O90+parametros_recargas!$K$80*'Plan mensual'!O91+parametros_recargas!$L$80*'Plan mensual'!O92+parametros_recargas!$M$80*'Plan mensual'!O94</f>
        <v>159.115552585972</v>
      </c>
      <c r="N70" s="12" t="n">
        <f aca="false">SUM(B70:M70)</f>
        <v>1904.36293990064</v>
      </c>
      <c r="O70" s="27" t="n">
        <f aca="false">MAX(B70:M70)</f>
        <v>177.079818740145</v>
      </c>
      <c r="P70" s="16" t="n">
        <f aca="false">O70/parametros_recargas!$B$6</f>
        <v>1.1805321249343</v>
      </c>
    </row>
    <row r="71" customFormat="false" ht="15" hidden="false" customHeight="false" outlineLevel="0" collapsed="false">
      <c r="A71" s="6" t="str">
        <f aca="false">parametros_recargas!$B$81</f>
        <v>Recuperación y carga de CO₂</v>
      </c>
      <c r="B71" s="26" t="n">
        <f aca="false">parametros_recargas!$E$81*'Plan mensual'!D85+parametros_recargas!$F$81*'Plan mensual'!D86+parametros_recargas!$G$81*'Plan mensual'!D87+parametros_recargas!$H$81*'Plan mensual'!D88+parametros_recargas!$I$81*'Plan mensual'!D89+parametros_recargas!$J$81*'Plan mensual'!D90+parametros_recargas!$K$81*'Plan mensual'!D91+parametros_recargas!$L$81*'Plan mensual'!D92+parametros_recargas!$M$81*'Plan mensual'!D94</f>
        <v>118.269897147526</v>
      </c>
      <c r="C71" s="26" t="n">
        <f aca="false">parametros_recargas!$E$81*'Plan mensual'!E85+parametros_recargas!$F$81*'Plan mensual'!E86+parametros_recargas!$G$81*'Plan mensual'!E87+parametros_recargas!$H$81*'Plan mensual'!E88+parametros_recargas!$I$81*'Plan mensual'!E89+parametros_recargas!$J$81*'Plan mensual'!E90+parametros_recargas!$K$81*'Plan mensual'!E91+parametros_recargas!$L$81*'Plan mensual'!E92+parametros_recargas!$M$81*'Plan mensual'!E94</f>
        <v>118.269897147526</v>
      </c>
      <c r="D71" s="26" t="n">
        <f aca="false">parametros_recargas!$E$81*'Plan mensual'!F85+parametros_recargas!$F$81*'Plan mensual'!F86+parametros_recargas!$G$81*'Plan mensual'!F87+parametros_recargas!$H$81*'Plan mensual'!F88+parametros_recargas!$I$81*'Plan mensual'!F89+parametros_recargas!$J$81*'Plan mensual'!F90+parametros_recargas!$K$81*'Plan mensual'!F91+parametros_recargas!$L$81*'Plan mensual'!F92+parametros_recargas!$M$81*'Plan mensual'!F94</f>
        <v>149.630122162681</v>
      </c>
      <c r="E71" s="26" t="n">
        <f aca="false">parametros_recargas!$E$81*'Plan mensual'!G85+parametros_recargas!$F$81*'Plan mensual'!G86+parametros_recargas!$G$81*'Plan mensual'!G87+parametros_recargas!$H$81*'Plan mensual'!G88+parametros_recargas!$I$81*'Plan mensual'!G89+parametros_recargas!$J$81*'Plan mensual'!G90+parametros_recargas!$K$81*'Plan mensual'!G91+parametros_recargas!$L$81*'Plan mensual'!G92+parametros_recargas!$M$81*'Plan mensual'!G94</f>
        <v>180.46028932787</v>
      </c>
      <c r="F71" s="26" t="n">
        <f aca="false">parametros_recargas!$E$81*'Plan mensual'!H85+parametros_recargas!$F$81*'Plan mensual'!H86+parametros_recargas!$G$81*'Plan mensual'!H87+parametros_recargas!$H$81*'Plan mensual'!H88+parametros_recargas!$I$81*'Plan mensual'!H89+parametros_recargas!$J$81*'Plan mensual'!H90+parametros_recargas!$K$81*'Plan mensual'!H91+parametros_recargas!$L$81*'Plan mensual'!H92+parametros_recargas!$M$81*'Plan mensual'!H94</f>
        <v>181.730241213251</v>
      </c>
      <c r="G71" s="26" t="n">
        <f aca="false">parametros_recargas!$E$81*'Plan mensual'!I85+parametros_recargas!$F$81*'Plan mensual'!I86+parametros_recargas!$G$81*'Plan mensual'!I87+parametros_recargas!$H$81*'Plan mensual'!I88+parametros_recargas!$I$81*'Plan mensual'!I89+parametros_recargas!$J$81*'Plan mensual'!I90+parametros_recargas!$K$81*'Plan mensual'!I91+parametros_recargas!$L$81*'Plan mensual'!I92+parametros_recargas!$M$81*'Plan mensual'!I94</f>
        <v>177.972761092156</v>
      </c>
      <c r="H71" s="26" t="n">
        <f aca="false">parametros_recargas!$E$81*'Plan mensual'!J85+parametros_recargas!$F$81*'Plan mensual'!J86+parametros_recargas!$G$81*'Plan mensual'!J87+parametros_recargas!$H$81*'Plan mensual'!J88+parametros_recargas!$I$81*'Plan mensual'!J89+parametros_recargas!$J$81*'Plan mensual'!J90+parametros_recargas!$K$81*'Plan mensual'!J91+parametros_recargas!$L$81*'Plan mensual'!J92+parametros_recargas!$M$81*'Plan mensual'!J94</f>
        <v>143.952606422135</v>
      </c>
      <c r="I71" s="26" t="n">
        <f aca="false">parametros_recargas!$E$81*'Plan mensual'!K85+parametros_recargas!$F$81*'Plan mensual'!K86+parametros_recargas!$G$81*'Plan mensual'!K87+parametros_recargas!$H$81*'Plan mensual'!K88+parametros_recargas!$I$81*'Plan mensual'!K89+parametros_recargas!$J$81*'Plan mensual'!K90+parametros_recargas!$K$81*'Plan mensual'!K91+parametros_recargas!$L$81*'Plan mensual'!K92+parametros_recargas!$M$81*'Plan mensual'!K94</f>
        <v>144.125007841287</v>
      </c>
      <c r="J71" s="26" t="n">
        <f aca="false">parametros_recargas!$E$81*'Plan mensual'!L85+parametros_recargas!$F$81*'Plan mensual'!L86+parametros_recargas!$G$81*'Plan mensual'!L87+parametros_recargas!$H$81*'Plan mensual'!L88+parametros_recargas!$I$81*'Plan mensual'!L89+parametros_recargas!$J$81*'Plan mensual'!L90+parametros_recargas!$K$81*'Plan mensual'!L91+parametros_recargas!$L$81*'Plan mensual'!L92+parametros_recargas!$M$81*'Plan mensual'!L94</f>
        <v>147.453133307997</v>
      </c>
      <c r="K71" s="26" t="n">
        <f aca="false">parametros_recargas!$E$81*'Plan mensual'!M85+parametros_recargas!$F$81*'Plan mensual'!M86+parametros_recargas!$G$81*'Plan mensual'!M87+parametros_recargas!$H$81*'Plan mensual'!M88+parametros_recargas!$I$81*'Plan mensual'!M89+parametros_recargas!$J$81*'Plan mensual'!M90+parametros_recargas!$K$81*'Plan mensual'!M91+parametros_recargas!$L$81*'Plan mensual'!M92+parametros_recargas!$M$81*'Plan mensual'!M94</f>
        <v>147.453133307997</v>
      </c>
      <c r="L71" s="26" t="n">
        <f aca="false">parametros_recargas!$E$81*'Plan mensual'!N85+parametros_recargas!$F$81*'Plan mensual'!N86+parametros_recargas!$G$81*'Plan mensual'!N87+parametros_recargas!$H$81*'Plan mensual'!N88+parametros_recargas!$I$81*'Plan mensual'!N89+parametros_recargas!$J$81*'Plan mensual'!N90+parametros_recargas!$K$81*'Plan mensual'!N91+parametros_recargas!$L$81*'Plan mensual'!N92+parametros_recargas!$M$81*'Plan mensual'!N94</f>
        <v>146.183181422615</v>
      </c>
      <c r="M71" s="26" t="n">
        <f aca="false">parametros_recargas!$E$81*'Plan mensual'!O85+parametros_recargas!$F$81*'Plan mensual'!O86+parametros_recargas!$G$81*'Plan mensual'!O87+parametros_recargas!$H$81*'Plan mensual'!O88+parametros_recargas!$I$81*'Plan mensual'!O89+parametros_recargas!$J$81*'Plan mensual'!O90+parametros_recargas!$K$81*'Plan mensual'!O91+parametros_recargas!$L$81*'Plan mensual'!O92+parametros_recargas!$M$81*'Plan mensual'!O94</f>
        <v>149.94066154371</v>
      </c>
      <c r="N71" s="12" t="n">
        <f aca="false">SUM(B71:M71)</f>
        <v>1805.44093193675</v>
      </c>
      <c r="O71" s="27" t="n">
        <f aca="false">MAX(B71:M71)</f>
        <v>181.730241213251</v>
      </c>
      <c r="P71" s="16" t="n">
        <f aca="false">O71/parametros_recargas!$B$6</f>
        <v>1.21153494142168</v>
      </c>
    </row>
    <row r="72" customFormat="false" ht="15" hidden="false" customHeight="false" outlineLevel="0" collapsed="false">
      <c r="A72" s="6" t="str">
        <f aca="false">parametros_recargas!$B$82</f>
        <v>Recuperación y carga de halogenado</v>
      </c>
      <c r="B72" s="26" t="n">
        <f aca="false">parametros_recargas!$E$82*'Plan mensual'!D85+parametros_recargas!$F$82*'Plan mensual'!D86+parametros_recargas!$G$82*'Plan mensual'!D87+parametros_recargas!$H$82*'Plan mensual'!D88+parametros_recargas!$I$82*'Plan mensual'!D89+parametros_recargas!$J$82*'Plan mensual'!D90+parametros_recargas!$K$82*'Plan mensual'!D91+parametros_recargas!$L$82*'Plan mensual'!D92+parametros_recargas!$M$82*'Plan mensual'!D94</f>
        <v>4.05017127640674</v>
      </c>
      <c r="C72" s="26" t="n">
        <f aca="false">parametros_recargas!$E$82*'Plan mensual'!E85+parametros_recargas!$F$82*'Plan mensual'!E86+parametros_recargas!$G$82*'Plan mensual'!E87+parametros_recargas!$H$82*'Plan mensual'!E88+parametros_recargas!$I$82*'Plan mensual'!E89+parametros_recargas!$J$82*'Plan mensual'!E90+parametros_recargas!$K$82*'Plan mensual'!E91+parametros_recargas!$L$82*'Plan mensual'!E92+parametros_recargas!$M$82*'Plan mensual'!E94</f>
        <v>4.05017127640674</v>
      </c>
      <c r="D72" s="26" t="n">
        <f aca="false">parametros_recargas!$E$82*'Plan mensual'!F85+parametros_recargas!$F$82*'Plan mensual'!F86+parametros_recargas!$G$82*'Plan mensual'!F87+parametros_recargas!$H$82*'Plan mensual'!F88+parametros_recargas!$I$82*'Plan mensual'!F89+parametros_recargas!$J$82*'Plan mensual'!F90+parametros_recargas!$K$82*'Plan mensual'!F91+parametros_recargas!$L$82*'Plan mensual'!F92+parametros_recargas!$M$82*'Plan mensual'!F94</f>
        <v>3.79204940739712</v>
      </c>
      <c r="E72" s="26" t="n">
        <f aca="false">parametros_recargas!$E$82*'Plan mensual'!G85+parametros_recargas!$F$82*'Plan mensual'!G86+parametros_recargas!$G$82*'Plan mensual'!G87+parametros_recargas!$H$82*'Plan mensual'!G88+parametros_recargas!$I$82*'Plan mensual'!G89+parametros_recargas!$J$82*'Plan mensual'!G90+parametros_recargas!$K$82*'Plan mensual'!G91+parametros_recargas!$L$82*'Plan mensual'!G92+parametros_recargas!$M$82*'Plan mensual'!G94</f>
        <v>3.79204940739712</v>
      </c>
      <c r="F72" s="26" t="n">
        <f aca="false">parametros_recargas!$E$82*'Plan mensual'!H85+parametros_recargas!$F$82*'Plan mensual'!H86+parametros_recargas!$G$82*'Plan mensual'!H87+parametros_recargas!$H$82*'Plan mensual'!H88+parametros_recargas!$I$82*'Plan mensual'!H89+parametros_recargas!$J$82*'Plan mensual'!H90+parametros_recargas!$K$82*'Plan mensual'!H91+parametros_recargas!$L$82*'Plan mensual'!H92+parametros_recargas!$M$82*'Plan mensual'!H94</f>
        <v>3.79204940739712</v>
      </c>
      <c r="G72" s="26" t="n">
        <f aca="false">parametros_recargas!$E$82*'Plan mensual'!I85+parametros_recargas!$F$82*'Plan mensual'!I86+parametros_recargas!$G$82*'Plan mensual'!I87+parametros_recargas!$H$82*'Plan mensual'!I88+parametros_recargas!$I$82*'Plan mensual'!I89+parametros_recargas!$J$82*'Plan mensual'!I90+parametros_recargas!$K$82*'Plan mensual'!I91+parametros_recargas!$L$82*'Plan mensual'!I92+parametros_recargas!$M$82*'Plan mensual'!I94</f>
        <v>3.5339275383875</v>
      </c>
      <c r="H72" s="26" t="n">
        <f aca="false">parametros_recargas!$E$82*'Plan mensual'!J85+parametros_recargas!$F$82*'Plan mensual'!J86+parametros_recargas!$G$82*'Plan mensual'!J87+parametros_recargas!$H$82*'Plan mensual'!J88+parametros_recargas!$I$82*'Plan mensual'!J89+parametros_recargas!$J$82*'Plan mensual'!J90+parametros_recargas!$K$82*'Plan mensual'!J91+parametros_recargas!$L$82*'Plan mensual'!J92+parametros_recargas!$M$82*'Plan mensual'!J94</f>
        <v>3.5339275383875</v>
      </c>
      <c r="I72" s="26" t="n">
        <f aca="false">parametros_recargas!$E$82*'Plan mensual'!K85+parametros_recargas!$F$82*'Plan mensual'!K86+parametros_recargas!$G$82*'Plan mensual'!K87+parametros_recargas!$H$82*'Plan mensual'!K88+parametros_recargas!$I$82*'Plan mensual'!K89+parametros_recargas!$J$82*'Plan mensual'!K90+parametros_recargas!$K$82*'Plan mensual'!K91+parametros_recargas!$L$82*'Plan mensual'!K92+parametros_recargas!$M$82*'Plan mensual'!K94</f>
        <v>3.5339275383875</v>
      </c>
      <c r="J72" s="26" t="n">
        <f aca="false">parametros_recargas!$E$82*'Plan mensual'!L85+parametros_recargas!$F$82*'Plan mensual'!L86+parametros_recargas!$G$82*'Plan mensual'!L87+parametros_recargas!$H$82*'Plan mensual'!L88+parametros_recargas!$I$82*'Plan mensual'!L89+parametros_recargas!$J$82*'Plan mensual'!L90+parametros_recargas!$K$82*'Plan mensual'!L91+parametros_recargas!$L$82*'Plan mensual'!L92+parametros_recargas!$M$82*'Plan mensual'!L94</f>
        <v>3.79204940739712</v>
      </c>
      <c r="K72" s="26" t="n">
        <f aca="false">parametros_recargas!$E$82*'Plan mensual'!M85+parametros_recargas!$F$82*'Plan mensual'!M86+parametros_recargas!$G$82*'Plan mensual'!M87+parametros_recargas!$H$82*'Plan mensual'!M88+parametros_recargas!$I$82*'Plan mensual'!M89+parametros_recargas!$J$82*'Plan mensual'!M90+parametros_recargas!$K$82*'Plan mensual'!M91+parametros_recargas!$L$82*'Plan mensual'!M92+parametros_recargas!$M$82*'Plan mensual'!M94</f>
        <v>3.79204940739712</v>
      </c>
      <c r="L72" s="26" t="n">
        <f aca="false">parametros_recargas!$E$82*'Plan mensual'!N85+parametros_recargas!$F$82*'Plan mensual'!N86+parametros_recargas!$G$82*'Plan mensual'!N87+parametros_recargas!$H$82*'Plan mensual'!N88+parametros_recargas!$I$82*'Plan mensual'!N89+parametros_recargas!$J$82*'Plan mensual'!N90+parametros_recargas!$K$82*'Plan mensual'!N91+parametros_recargas!$L$82*'Plan mensual'!N92+parametros_recargas!$M$82*'Plan mensual'!N94</f>
        <v>3.79204940739712</v>
      </c>
      <c r="M72" s="26" t="n">
        <f aca="false">parametros_recargas!$E$82*'Plan mensual'!O85+parametros_recargas!$F$82*'Plan mensual'!O86+parametros_recargas!$G$82*'Plan mensual'!O87+parametros_recargas!$H$82*'Plan mensual'!O88+parametros_recargas!$I$82*'Plan mensual'!O89+parametros_recargas!$J$82*'Plan mensual'!O90+parametros_recargas!$K$82*'Plan mensual'!O91+parametros_recargas!$L$82*'Plan mensual'!O92+parametros_recargas!$M$82*'Plan mensual'!O94</f>
        <v>4.05017127640674</v>
      </c>
      <c r="N72" s="12" t="n">
        <f aca="false">SUM(B72:M72)</f>
        <v>45.5045928887655</v>
      </c>
      <c r="O72" s="27" t="n">
        <f aca="false">MAX(B72:M72)</f>
        <v>4.05017127640674</v>
      </c>
      <c r="P72" s="16" t="n">
        <f aca="false">O72/parametros_recargas!$B$6</f>
        <v>0.0270011418427116</v>
      </c>
    </row>
    <row r="73" customFormat="false" ht="15" hidden="false" customHeight="false" outlineLevel="0" collapsed="false">
      <c r="A73" s="6" t="str">
        <f aca="false">parametros_recargas!$B$83</f>
        <v>Desarme y limpieza — recinto</v>
      </c>
      <c r="B73" s="26" t="n">
        <f aca="false">parametros_recargas!$E$83*'Plan mensual'!D85+parametros_recargas!$F$83*'Plan mensual'!D86+parametros_recargas!$G$83*'Plan mensual'!D87+parametros_recargas!$H$83*'Plan mensual'!D88+parametros_recargas!$I$83*'Plan mensual'!D89+parametros_recargas!$J$83*'Plan mensual'!D90+parametros_recargas!$K$83*'Plan mensual'!D91+parametros_recargas!$L$83*'Plan mensual'!D92+parametros_recargas!$M$83*'Plan mensual'!D94</f>
        <v>3037.07942254134</v>
      </c>
      <c r="C73" s="26" t="n">
        <f aca="false">parametros_recargas!$E$83*'Plan mensual'!E85+parametros_recargas!$F$83*'Plan mensual'!E86+parametros_recargas!$G$83*'Plan mensual'!E87+parametros_recargas!$H$83*'Plan mensual'!E88+parametros_recargas!$I$83*'Plan mensual'!E89+parametros_recargas!$J$83*'Plan mensual'!E90+parametros_recargas!$K$83*'Plan mensual'!E91+parametros_recargas!$L$83*'Plan mensual'!E92+parametros_recargas!$M$83*'Plan mensual'!E94</f>
        <v>2607.48804437112</v>
      </c>
      <c r="D73" s="26" t="n">
        <f aca="false">parametros_recargas!$E$83*'Plan mensual'!F85+parametros_recargas!$F$83*'Plan mensual'!F86+parametros_recargas!$G$83*'Plan mensual'!F87+parametros_recargas!$H$83*'Plan mensual'!F88+parametros_recargas!$I$83*'Plan mensual'!F89+parametros_recargas!$J$83*'Plan mensual'!F90+parametros_recargas!$K$83*'Plan mensual'!F91+parametros_recargas!$L$83*'Plan mensual'!F92+parametros_recargas!$M$83*'Plan mensual'!F94</f>
        <v>2428.84196240463</v>
      </c>
      <c r="E73" s="26" t="n">
        <f aca="false">parametros_recargas!$E$83*'Plan mensual'!G85+parametros_recargas!$F$83*'Plan mensual'!G86+parametros_recargas!$G$83*'Plan mensual'!G87+parametros_recargas!$H$83*'Plan mensual'!G88+parametros_recargas!$I$83*'Plan mensual'!G89+parametros_recargas!$J$83*'Plan mensual'!G90+parametros_recargas!$K$83*'Plan mensual'!G91+parametros_recargas!$L$83*'Plan mensual'!G92+parametros_recargas!$M$83*'Plan mensual'!G94</f>
        <v>2667.65840965332</v>
      </c>
      <c r="F73" s="26" t="n">
        <f aca="false">parametros_recargas!$E$83*'Plan mensual'!H85+parametros_recargas!$F$83*'Plan mensual'!H86+parametros_recargas!$G$83*'Plan mensual'!H87+parametros_recargas!$H$83*'Plan mensual'!H88+parametros_recargas!$I$83*'Plan mensual'!H89+parametros_recargas!$J$83*'Plan mensual'!H90+parametros_recargas!$K$83*'Plan mensual'!H91+parametros_recargas!$L$83*'Plan mensual'!H92+parametros_recargas!$M$83*'Plan mensual'!H94</f>
        <v>2686.77324848915</v>
      </c>
      <c r="G73" s="26" t="n">
        <f aca="false">parametros_recargas!$E$83*'Plan mensual'!I85+parametros_recargas!$F$83*'Plan mensual'!I86+parametros_recargas!$G$83*'Plan mensual'!I87+parametros_recargas!$H$83*'Plan mensual'!I88+parametros_recargas!$I$83*'Plan mensual'!I89+parametros_recargas!$J$83*'Plan mensual'!I90+parametros_recargas!$K$83*'Plan mensual'!I91+parametros_recargas!$L$83*'Plan mensual'!I92+parametros_recargas!$M$83*'Plan mensual'!I94</f>
        <v>2660.93275682735</v>
      </c>
      <c r="H73" s="26" t="n">
        <f aca="false">parametros_recargas!$E$83*'Plan mensual'!J85+parametros_recargas!$F$83*'Plan mensual'!J86+parametros_recargas!$G$83*'Plan mensual'!J87+parametros_recargas!$H$83*'Plan mensual'!J88+parametros_recargas!$I$83*'Plan mensual'!J89+parametros_recargas!$J$83*'Plan mensual'!J90+parametros_recargas!$K$83*'Plan mensual'!J91+parametros_recargas!$L$83*'Plan mensual'!J92+parametros_recargas!$M$83*'Plan mensual'!J94</f>
        <v>2380.73711465981</v>
      </c>
      <c r="I73" s="26" t="n">
        <f aca="false">parametros_recargas!$E$83*'Plan mensual'!K85+parametros_recargas!$F$83*'Plan mensual'!K86+parametros_recargas!$G$83*'Plan mensual'!K87+parametros_recargas!$H$83*'Plan mensual'!K88+parametros_recargas!$I$83*'Plan mensual'!K89+parametros_recargas!$J$83*'Plan mensual'!K90+parametros_recargas!$K$83*'Plan mensual'!K91+parametros_recargas!$L$83*'Plan mensual'!K92+parametros_recargas!$M$83*'Plan mensual'!K94</f>
        <v>2403.26180779766</v>
      </c>
      <c r="J73" s="26" t="n">
        <f aca="false">parametros_recargas!$E$83*'Plan mensual'!L85+parametros_recargas!$F$83*'Plan mensual'!L86+parametros_recargas!$G$83*'Plan mensual'!L87+parametros_recargas!$H$83*'Plan mensual'!L88+parametros_recargas!$I$83*'Plan mensual'!L89+parametros_recargas!$J$83*'Plan mensual'!L90+parametros_recargas!$K$83*'Plan mensual'!L91+parametros_recargas!$L$83*'Plan mensual'!L92+parametros_recargas!$M$83*'Plan mensual'!L94</f>
        <v>2425.9634326378</v>
      </c>
      <c r="K73" s="26" t="n">
        <f aca="false">parametros_recargas!$E$83*'Plan mensual'!M85+parametros_recargas!$F$83*'Plan mensual'!M86+parametros_recargas!$G$83*'Plan mensual'!M87+parametros_recargas!$H$83*'Plan mensual'!M88+parametros_recargas!$I$83*'Plan mensual'!M89+parametros_recargas!$J$83*'Plan mensual'!M90+parametros_recargas!$K$83*'Plan mensual'!M91+parametros_recargas!$L$83*'Plan mensual'!M92+parametros_recargas!$M$83*'Plan mensual'!M94</f>
        <v>2425.9634326378</v>
      </c>
      <c r="L73" s="26" t="n">
        <f aca="false">parametros_recargas!$E$83*'Plan mensual'!N85+parametros_recargas!$F$83*'Plan mensual'!N86+parametros_recargas!$G$83*'Plan mensual'!N87+parametros_recargas!$H$83*'Plan mensual'!N88+parametros_recargas!$I$83*'Plan mensual'!N89+parametros_recargas!$J$83*'Plan mensual'!N90+parametros_recargas!$K$83*'Plan mensual'!N91+parametros_recargas!$L$83*'Plan mensual'!N92+parametros_recargas!$M$83*'Plan mensual'!N94</f>
        <v>2836.43997197219</v>
      </c>
      <c r="M73" s="26" t="n">
        <f aca="false">parametros_recargas!$E$83*'Plan mensual'!O85+parametros_recargas!$F$83*'Plan mensual'!O86+parametros_recargas!$G$83*'Plan mensual'!O87+parametros_recargas!$H$83*'Plan mensual'!O88+parametros_recargas!$I$83*'Plan mensual'!O89+parametros_recargas!$J$83*'Plan mensual'!O90+parametros_recargas!$K$83*'Plan mensual'!O91+parametros_recargas!$L$83*'Plan mensual'!O92+parametros_recargas!$M$83*'Plan mensual'!O94</f>
        <v>3291.87184180421</v>
      </c>
      <c r="N73" s="12" t="n">
        <f aca="false">SUM(B73:M73)</f>
        <v>31853.0114457964</v>
      </c>
      <c r="O73" s="27" t="n">
        <f aca="false">MAX(B73:M73)</f>
        <v>3291.87184180421</v>
      </c>
      <c r="P73" s="16" t="n">
        <f aca="false">O73/parametros_recargas!$B$6</f>
        <v>21.9458122786947</v>
      </c>
    </row>
    <row r="74" customFormat="false" ht="15" hidden="false" customHeight="false" outlineLevel="0" collapsed="false">
      <c r="A74" s="6" t="str">
        <f aca="false">parametros_recargas!$B$84</f>
        <v>Desarme e inspección interior — zona general</v>
      </c>
      <c r="B74" s="26" t="n">
        <f aca="false">parametros_recargas!$E$84*'Plan mensual'!D85+parametros_recargas!$F$84*'Plan mensual'!D86+parametros_recargas!$G$84*'Plan mensual'!D87+parametros_recargas!$H$84*'Plan mensual'!D88+parametros_recargas!$I$84*'Plan mensual'!D89+parametros_recargas!$J$84*'Plan mensual'!D90+parametros_recargas!$K$84*'Plan mensual'!D91+parametros_recargas!$L$84*'Plan mensual'!D92+parametros_recargas!$M$84*'Plan mensual'!D94</f>
        <v>210.621794294179</v>
      </c>
      <c r="C74" s="26" t="n">
        <f aca="false">parametros_recargas!$E$84*'Plan mensual'!E85+parametros_recargas!$F$84*'Plan mensual'!E86+parametros_recargas!$G$84*'Plan mensual'!E87+parametros_recargas!$H$84*'Plan mensual'!E88+parametros_recargas!$I$84*'Plan mensual'!E89+parametros_recargas!$J$84*'Plan mensual'!E90+parametros_recargas!$K$84*'Plan mensual'!E91+parametros_recargas!$L$84*'Plan mensual'!E92+parametros_recargas!$M$84*'Plan mensual'!E94</f>
        <v>210.621794294179</v>
      </c>
      <c r="D74" s="26" t="n">
        <f aca="false">parametros_recargas!$E$84*'Plan mensual'!F85+parametros_recargas!$F$84*'Plan mensual'!F86+parametros_recargas!$G$84*'Plan mensual'!F87+parametros_recargas!$H$84*'Plan mensual'!F88+parametros_recargas!$I$84*'Plan mensual'!F89+parametros_recargas!$J$84*'Plan mensual'!F90+parametros_recargas!$K$84*'Plan mensual'!F91+parametros_recargas!$L$84*'Plan mensual'!F92+parametros_recargas!$M$84*'Plan mensual'!F94</f>
        <v>244.641907458253</v>
      </c>
      <c r="E74" s="26" t="n">
        <f aca="false">parametros_recargas!$E$84*'Plan mensual'!G85+parametros_recargas!$F$84*'Plan mensual'!G86+parametros_recargas!$G$84*'Plan mensual'!G87+parametros_recargas!$H$84*'Plan mensual'!G88+parametros_recargas!$I$84*'Plan mensual'!G89+parametros_recargas!$J$84*'Plan mensual'!G90+parametros_recargas!$K$84*'Plan mensual'!G91+parametros_recargas!$L$84*'Plan mensual'!G92+parametros_recargas!$M$84*'Plan mensual'!G94</f>
        <v>277.996757236055</v>
      </c>
      <c r="F74" s="26" t="n">
        <f aca="false">parametros_recargas!$E$84*'Plan mensual'!H85+parametros_recargas!$F$84*'Plan mensual'!H86+parametros_recargas!$G$84*'Plan mensual'!H87+parametros_recargas!$H$84*'Plan mensual'!H88+parametros_recargas!$I$84*'Plan mensual'!H89+parametros_recargas!$J$84*'Plan mensual'!H90+parametros_recargas!$K$84*'Plan mensual'!H91+parametros_recargas!$L$84*'Plan mensual'!H92+parametros_recargas!$M$84*'Plan mensual'!H94</f>
        <v>280.120225393489</v>
      </c>
      <c r="G74" s="26" t="n">
        <f aca="false">parametros_recargas!$E$84*'Plan mensual'!I85+parametros_recargas!$F$84*'Plan mensual'!I86+parametros_recargas!$G$84*'Plan mensual'!I87+parametros_recargas!$H$84*'Plan mensual'!I88+parametros_recargas!$I$84*'Plan mensual'!I89+parametros_recargas!$J$84*'Plan mensual'!I90+parametros_recargas!$K$84*'Plan mensual'!I91+parametros_recargas!$L$84*'Plan mensual'!I92+parametros_recargas!$M$84*'Plan mensual'!I94</f>
        <v>274.786213248518</v>
      </c>
      <c r="H74" s="26" t="n">
        <f aca="false">parametros_recargas!$E$84*'Plan mensual'!J85+parametros_recargas!$F$84*'Plan mensual'!J86+parametros_recargas!$G$84*'Plan mensual'!J87+parametros_recargas!$H$84*'Plan mensual'!J88+parametros_recargas!$I$84*'Plan mensual'!J89+parametros_recargas!$J$84*'Plan mensual'!J90+parametros_recargas!$K$84*'Plan mensual'!J91+parametros_recargas!$L$84*'Plan mensual'!J92+parametros_recargas!$M$84*'Plan mensual'!J94</f>
        <v>235.971413139856</v>
      </c>
      <c r="I74" s="26" t="n">
        <f aca="false">parametros_recargas!$E$84*'Plan mensual'!K85+parametros_recargas!$F$84*'Plan mensual'!K86+parametros_recargas!$G$84*'Plan mensual'!K87+parametros_recargas!$H$84*'Plan mensual'!K88+parametros_recargas!$I$84*'Plan mensual'!K89+parametros_recargas!$J$84*'Plan mensual'!K90+parametros_recargas!$K$84*'Plan mensual'!K91+parametros_recargas!$L$84*'Plan mensual'!K92+parametros_recargas!$M$84*'Plan mensual'!K94</f>
        <v>237.555556096909</v>
      </c>
      <c r="J74" s="26" t="n">
        <f aca="false">parametros_recargas!$E$84*'Plan mensual'!L85+parametros_recargas!$F$84*'Plan mensual'!L86+parametros_recargas!$G$84*'Plan mensual'!L87+parametros_recargas!$H$84*'Plan mensual'!L88+parametros_recargas!$I$84*'Plan mensual'!L89+parametros_recargas!$J$84*'Plan mensual'!L90+parametros_recargas!$K$84*'Plan mensual'!L91+parametros_recargas!$L$84*'Plan mensual'!L92+parametros_recargas!$M$84*'Plan mensual'!L94</f>
        <v>242.527123406423</v>
      </c>
      <c r="K74" s="26" t="n">
        <f aca="false">parametros_recargas!$E$84*'Plan mensual'!M85+parametros_recargas!$F$84*'Plan mensual'!M86+parametros_recargas!$G$84*'Plan mensual'!M87+parametros_recargas!$H$84*'Plan mensual'!M88+parametros_recargas!$I$84*'Plan mensual'!M89+parametros_recargas!$J$84*'Plan mensual'!M90+parametros_recargas!$K$84*'Plan mensual'!M91+parametros_recargas!$L$84*'Plan mensual'!M92+parametros_recargas!$M$84*'Plan mensual'!M94</f>
        <v>242.527123406423</v>
      </c>
      <c r="L74" s="26" t="n">
        <f aca="false">parametros_recargas!$E$84*'Plan mensual'!N85+parametros_recargas!$F$84*'Plan mensual'!N86+parametros_recargas!$G$84*'Plan mensual'!N87+parametros_recargas!$H$84*'Plan mensual'!N88+parametros_recargas!$I$84*'Plan mensual'!N89+parametros_recargas!$J$84*'Plan mensual'!N90+parametros_recargas!$K$84*'Plan mensual'!N91+parametros_recargas!$L$84*'Plan mensual'!N92+parametros_recargas!$M$84*'Plan mensual'!N94</f>
        <v>240.403655248989</v>
      </c>
      <c r="M74" s="26" t="n">
        <f aca="false">parametros_recargas!$E$84*'Plan mensual'!O85+parametros_recargas!$F$84*'Plan mensual'!O86+parametros_recargas!$G$84*'Plan mensual'!O87+parametros_recargas!$H$84*'Plan mensual'!O88+parametros_recargas!$I$84*'Plan mensual'!O89+parametros_recargas!$J$84*'Plan mensual'!O90+parametros_recargas!$K$84*'Plan mensual'!O91+parametros_recargas!$L$84*'Plan mensual'!O92+parametros_recargas!$M$84*'Plan mensual'!O94</f>
        <v>245.73766739396</v>
      </c>
      <c r="N74" s="12" t="n">
        <f aca="false">SUM(B74:M74)</f>
        <v>2943.51123061723</v>
      </c>
      <c r="O74" s="27" t="n">
        <f aca="false">MAX(B74:M74)</f>
        <v>280.120225393489</v>
      </c>
      <c r="P74" s="16" t="n">
        <f aca="false">O74/parametros_recargas!$B$6</f>
        <v>1.86746816928993</v>
      </c>
    </row>
    <row r="75" customFormat="false" ht="15" hidden="false" customHeight="false" outlineLevel="0" collapsed="false">
      <c r="A75" s="6" t="str">
        <f aca="false">parametros_recargas!$B$85</f>
        <v>Laboratorio — Puffer y mufla</v>
      </c>
      <c r="B75" s="26" t="n">
        <f aca="false">parametros_recargas!$E$85*'Plan mensual'!D85+parametros_recargas!$F$85*'Plan mensual'!D86+parametros_recargas!$G$85*'Plan mensual'!D87+parametros_recargas!$H$85*'Plan mensual'!D88+parametros_recargas!$I$85*'Plan mensual'!D89+parametros_recargas!$J$85*'Plan mensual'!D90+parametros_recargas!$K$85*'Plan mensual'!D91+parametros_recargas!$L$85*'Plan mensual'!D92+parametros_recargas!$M$85*'Plan mensual'!D94</f>
        <v>31.5190255592891</v>
      </c>
      <c r="C75" s="26" t="n">
        <f aca="false">parametros_recargas!$E$85*'Plan mensual'!E85+parametros_recargas!$F$85*'Plan mensual'!E86+parametros_recargas!$G$85*'Plan mensual'!E87+parametros_recargas!$H$85*'Plan mensual'!E88+parametros_recargas!$I$85*'Plan mensual'!E89+parametros_recargas!$J$85*'Plan mensual'!E90+parametros_recargas!$K$85*'Plan mensual'!E91+parametros_recargas!$L$85*'Plan mensual'!E92+parametros_recargas!$M$85*'Plan mensual'!E94</f>
        <v>27.0483574620849</v>
      </c>
      <c r="D75" s="26" t="n">
        <f aca="false">parametros_recargas!$E$85*'Plan mensual'!F85+parametros_recargas!$F$85*'Plan mensual'!F86+parametros_recargas!$G$85*'Plan mensual'!F87+parametros_recargas!$H$85*'Plan mensual'!F88+parametros_recargas!$I$85*'Plan mensual'!F89+parametros_recargas!$J$85*'Plan mensual'!F90+parametros_recargas!$K$85*'Plan mensual'!F91+parametros_recargas!$L$85*'Plan mensual'!F92+parametros_recargas!$M$85*'Plan mensual'!F94</f>
        <v>25.1892248539308</v>
      </c>
      <c r="E75" s="26" t="n">
        <f aca="false">parametros_recargas!$E$85*'Plan mensual'!G85+parametros_recargas!$F$85*'Plan mensual'!G86+parametros_recargas!$G$85*'Plan mensual'!G87+parametros_recargas!$H$85*'Plan mensual'!G88+parametros_recargas!$I$85*'Plan mensual'!G89+parametros_recargas!$J$85*'Plan mensual'!G90+parametros_recargas!$K$85*'Plan mensual'!G91+parametros_recargas!$L$85*'Plan mensual'!G92+parametros_recargas!$M$85*'Plan mensual'!G94</f>
        <v>27.6745379352825</v>
      </c>
      <c r="F75" s="26" t="n">
        <f aca="false">parametros_recargas!$E$85*'Plan mensual'!H85+parametros_recargas!$F$85*'Plan mensual'!H86+parametros_recargas!$G$85*'Plan mensual'!H87+parametros_recargas!$H$85*'Plan mensual'!H88+parametros_recargas!$I$85*'Plan mensual'!H89+parametros_recargas!$J$85*'Plan mensual'!H90+parametros_recargas!$K$85*'Plan mensual'!H91+parametros_recargas!$L$85*'Plan mensual'!H92+parametros_recargas!$M$85*'Plan mensual'!H94</f>
        <v>27.8734620862525</v>
      </c>
      <c r="G75" s="26" t="n">
        <f aca="false">parametros_recargas!$E$85*'Plan mensual'!I85+parametros_recargas!$F$85*'Plan mensual'!I86+parametros_recargas!$G$85*'Plan mensual'!I87+parametros_recargas!$H$85*'Plan mensual'!I88+parametros_recargas!$I$85*'Plan mensual'!I89+parametros_recargas!$J$85*'Plan mensual'!I90+parametros_recargas!$K$85*'Plan mensual'!I91+parametros_recargas!$L$85*'Plan mensual'!I92+parametros_recargas!$M$85*'Plan mensual'!I94</f>
        <v>27.604545465578</v>
      </c>
      <c r="H75" s="26" t="n">
        <f aca="false">parametros_recargas!$E$85*'Plan mensual'!J85+parametros_recargas!$F$85*'Plan mensual'!J86+parametros_recargas!$G$85*'Plan mensual'!J87+parametros_recargas!$H$85*'Plan mensual'!J88+parametros_recargas!$I$85*'Plan mensual'!J89+parametros_recargas!$J$85*'Plan mensual'!J90+parametros_recargas!$K$85*'Plan mensual'!J91+parametros_recargas!$L$85*'Plan mensual'!J92+parametros_recargas!$M$85*'Plan mensual'!J94</f>
        <v>24.6886077115439</v>
      </c>
      <c r="I75" s="26" t="n">
        <f aca="false">parametros_recargas!$E$85*'Plan mensual'!K85+parametros_recargas!$F$85*'Plan mensual'!K86+parametros_recargas!$G$85*'Plan mensual'!K87+parametros_recargas!$H$85*'Plan mensual'!K88+parametros_recargas!$I$85*'Plan mensual'!K89+parametros_recargas!$J$85*'Plan mensual'!K90+parametros_recargas!$K$85*'Plan mensual'!K91+parametros_recargas!$L$85*'Plan mensual'!K92+parametros_recargas!$M$85*'Plan mensual'!K94</f>
        <v>24.9230175068234</v>
      </c>
      <c r="J75" s="26" t="n">
        <f aca="false">parametros_recargas!$E$85*'Plan mensual'!L85+parametros_recargas!$F$85*'Plan mensual'!L86+parametros_recargas!$G$85*'Plan mensual'!L87+parametros_recargas!$H$85*'Plan mensual'!L88+parametros_recargas!$I$85*'Plan mensual'!L89+parametros_recargas!$J$85*'Plan mensual'!L90+parametros_recargas!$K$85*'Plan mensual'!L91+parametros_recargas!$L$85*'Plan mensual'!L92+parametros_recargas!$M$85*'Plan mensual'!L94</f>
        <v>25.1592685935184</v>
      </c>
      <c r="K75" s="26" t="n">
        <f aca="false">parametros_recargas!$E$85*'Plan mensual'!M85+parametros_recargas!$F$85*'Plan mensual'!M86+parametros_recargas!$G$85*'Plan mensual'!M87+parametros_recargas!$H$85*'Plan mensual'!M88+parametros_recargas!$I$85*'Plan mensual'!M89+parametros_recargas!$J$85*'Plan mensual'!M90+parametros_recargas!$K$85*'Plan mensual'!M91+parametros_recargas!$L$85*'Plan mensual'!M92+parametros_recargas!$M$85*'Plan mensual'!M94</f>
        <v>25.1592685935184</v>
      </c>
      <c r="L75" s="26" t="n">
        <f aca="false">parametros_recargas!$E$85*'Plan mensual'!N85+parametros_recargas!$F$85*'Plan mensual'!N86+parametros_recargas!$G$85*'Plan mensual'!N87+parametros_recargas!$H$85*'Plan mensual'!N88+parametros_recargas!$I$85*'Plan mensual'!N89+parametros_recargas!$J$85*'Plan mensual'!N90+parametros_recargas!$K$85*'Plan mensual'!N91+parametros_recargas!$L$85*'Plan mensual'!N92+parametros_recargas!$M$85*'Plan mensual'!N94</f>
        <v>29.4310125397526</v>
      </c>
      <c r="M75" s="26" t="n">
        <f aca="false">parametros_recargas!$E$85*'Plan mensual'!O85+parametros_recargas!$F$85*'Plan mensual'!O86+parametros_recargas!$G$85*'Plan mensual'!O87+parametros_recargas!$H$85*'Plan mensual'!O88+parametros_recargas!$I$85*'Plan mensual'!O89+parametros_recargas!$J$85*'Plan mensual'!O90+parametros_recargas!$K$85*'Plan mensual'!O91+parametros_recargas!$L$85*'Plan mensual'!O92+parametros_recargas!$M$85*'Plan mensual'!O94</f>
        <v>34.1705972576313</v>
      </c>
      <c r="N75" s="12" t="n">
        <f aca="false">SUM(B75:M75)</f>
        <v>330.440925565206</v>
      </c>
      <c r="O75" s="27" t="n">
        <f aca="false">MAX(B75:M75)</f>
        <v>34.1705972576313</v>
      </c>
      <c r="P75" s="16" t="n">
        <f aca="false">O75/parametros_recargas!$B$6</f>
        <v>0.227803981717542</v>
      </c>
    </row>
    <row r="76" customFormat="false" ht="15" hidden="false" customHeight="false" outlineLevel="0" collapsed="false">
      <c r="A76" s="6" t="str">
        <f aca="false">parametros_recargas!$B$86</f>
        <v>Prueba hidráulica</v>
      </c>
      <c r="B76" s="26" t="n">
        <f aca="false">parametros_recargas!$E$86*'Plan mensual'!D85+parametros_recargas!$F$86*'Plan mensual'!D86+parametros_recargas!$G$86*'Plan mensual'!D87+parametros_recargas!$H$86*'Plan mensual'!D88+parametros_recargas!$I$86*'Plan mensual'!D89+parametros_recargas!$J$86*'Plan mensual'!D90+parametros_recargas!$K$86*'Plan mensual'!D91+parametros_recargas!$L$86*'Plan mensual'!D92+parametros_recargas!$M$86*'Plan mensual'!D94</f>
        <v>892.359398924715</v>
      </c>
      <c r="C76" s="26" t="n">
        <f aca="false">parametros_recargas!$E$86*'Plan mensual'!E85+parametros_recargas!$F$86*'Plan mensual'!E86+parametros_recargas!$G$86*'Plan mensual'!E87+parametros_recargas!$H$86*'Plan mensual'!E88+parametros_recargas!$I$86*'Plan mensual'!E89+parametros_recargas!$J$86*'Plan mensual'!E90+parametros_recargas!$K$86*'Plan mensual'!E91+parametros_recargas!$L$86*'Plan mensual'!E92+parametros_recargas!$M$86*'Plan mensual'!E94</f>
        <v>784.96155438216</v>
      </c>
      <c r="D76" s="26" t="n">
        <f aca="false">parametros_recargas!$E$86*'Plan mensual'!F85+parametros_recargas!$F$86*'Plan mensual'!F86+parametros_recargas!$G$86*'Plan mensual'!F87+parametros_recargas!$H$86*'Plan mensual'!F88+parametros_recargas!$I$86*'Plan mensual'!F89+parametros_recargas!$J$86*'Plan mensual'!F90+parametros_recargas!$K$86*'Plan mensual'!F91+parametros_recargas!$L$86*'Plan mensual'!F92+parametros_recargas!$M$86*'Plan mensual'!F94</f>
        <v>763.365587923053</v>
      </c>
      <c r="E76" s="26" t="n">
        <f aca="false">parametros_recargas!$E$86*'Plan mensual'!G85+parametros_recargas!$F$86*'Plan mensual'!G86+parametros_recargas!$G$86*'Plan mensual'!G87+parametros_recargas!$H$86*'Plan mensual'!G88+parametros_recargas!$I$86*'Plan mensual'!G89+parametros_recargas!$J$86*'Plan mensual'!G90+parametros_recargas!$K$86*'Plan mensual'!G91+parametros_recargas!$L$86*'Plan mensual'!G92+parametros_recargas!$M$86*'Plan mensual'!G94</f>
        <v>845.73744725164</v>
      </c>
      <c r="F76" s="26" t="n">
        <f aca="false">parametros_recargas!$E$86*'Plan mensual'!H85+parametros_recargas!$F$86*'Plan mensual'!H86+parametros_recargas!$G$86*'Plan mensual'!H87+parametros_recargas!$H$86*'Plan mensual'!H88+parametros_recargas!$I$86*'Plan mensual'!H89+parametros_recargas!$J$86*'Plan mensual'!H90+parametros_recargas!$K$86*'Plan mensual'!H91+parametros_recargas!$L$86*'Plan mensual'!H92+parametros_recargas!$M$86*'Plan mensual'!H94</f>
        <v>851.86211955689</v>
      </c>
      <c r="G76" s="26" t="n">
        <f aca="false">parametros_recargas!$E$86*'Plan mensual'!I85+parametros_recargas!$F$86*'Plan mensual'!I86+parametros_recargas!$G$86*'Plan mensual'!I87+parametros_recargas!$H$86*'Plan mensual'!I88+parametros_recargas!$I$86*'Plan mensual'!I89+parametros_recargas!$J$86*'Plan mensual'!I90+parametros_recargas!$K$86*'Plan mensual'!I91+parametros_recargas!$L$86*'Plan mensual'!I92+parametros_recargas!$M$86*'Plan mensual'!I94</f>
        <v>841.899062270962</v>
      </c>
      <c r="H76" s="26" t="n">
        <f aca="false">parametros_recargas!$E$86*'Plan mensual'!J85+parametros_recargas!$F$86*'Plan mensual'!J86+parametros_recargas!$G$86*'Plan mensual'!J87+parametros_recargas!$H$86*'Plan mensual'!J88+parametros_recargas!$I$86*'Plan mensual'!J89+parametros_recargas!$J$86*'Plan mensual'!J90+parametros_recargas!$K$86*'Plan mensual'!J91+parametros_recargas!$L$86*'Plan mensual'!J92+parametros_recargas!$M$86*'Plan mensual'!J94</f>
        <v>745.732175550627</v>
      </c>
      <c r="I76" s="26" t="n">
        <f aca="false">parametros_recargas!$E$86*'Plan mensual'!K85+parametros_recargas!$F$86*'Plan mensual'!K86+parametros_recargas!$G$86*'Plan mensual'!K87+parametros_recargas!$H$86*'Plan mensual'!K88+parametros_recargas!$I$86*'Plan mensual'!K89+parametros_recargas!$J$86*'Plan mensual'!K90+parametros_recargas!$K$86*'Plan mensual'!K91+parametros_recargas!$L$86*'Plan mensual'!K92+parametros_recargas!$M$86*'Plan mensual'!K94</f>
        <v>752.258799206836</v>
      </c>
      <c r="J76" s="26" t="n">
        <f aca="false">parametros_recargas!$E$86*'Plan mensual'!L85+parametros_recargas!$F$86*'Plan mensual'!L86+parametros_recargas!$G$86*'Plan mensual'!L87+parametros_recargas!$H$86*'Plan mensual'!L88+parametros_recargas!$I$86*'Plan mensual'!L89+parametros_recargas!$J$86*'Plan mensual'!L90+parametros_recargas!$K$86*'Plan mensual'!L91+parametros_recargas!$L$86*'Plan mensual'!L92+parametros_recargas!$M$86*'Plan mensual'!L94</f>
        <v>761.177596949503</v>
      </c>
      <c r="K76" s="26" t="n">
        <f aca="false">parametros_recargas!$E$86*'Plan mensual'!M85+parametros_recargas!$F$86*'Plan mensual'!M86+parametros_recargas!$G$86*'Plan mensual'!M87+parametros_recargas!$H$86*'Plan mensual'!M88+parametros_recargas!$I$86*'Plan mensual'!M89+parametros_recargas!$J$86*'Plan mensual'!M90+parametros_recargas!$K$86*'Plan mensual'!M91+parametros_recargas!$L$86*'Plan mensual'!M92+parametros_recargas!$M$86*'Plan mensual'!M94</f>
        <v>761.177596949503</v>
      </c>
      <c r="L76" s="26" t="n">
        <f aca="false">parametros_recargas!$E$86*'Plan mensual'!N85+parametros_recargas!$F$86*'Plan mensual'!N86+parametros_recargas!$G$86*'Plan mensual'!N87+parametros_recargas!$H$86*'Plan mensual'!N88+parametros_recargas!$I$86*'Plan mensual'!N89+parametros_recargas!$J$86*'Plan mensual'!N90+parametros_recargas!$K$86*'Plan mensual'!N91+parametros_recargas!$L$86*'Plan mensual'!N92+parametros_recargas!$M$86*'Plan mensual'!N94</f>
        <v>862.450769186808</v>
      </c>
      <c r="M76" s="26" t="n">
        <f aca="false">parametros_recargas!$E$86*'Plan mensual'!O85+parametros_recargas!$F$86*'Plan mensual'!O86+parametros_recargas!$G$86*'Plan mensual'!O87+parametros_recargas!$H$86*'Plan mensual'!O88+parametros_recargas!$I$86*'Plan mensual'!O89+parametros_recargas!$J$86*'Plan mensual'!O90+parametros_recargas!$K$86*'Plan mensual'!O91+parametros_recargas!$L$86*'Plan mensual'!O92+parametros_recargas!$M$86*'Plan mensual'!O94</f>
        <v>979.811671015291</v>
      </c>
      <c r="N76" s="12" t="n">
        <f aca="false">SUM(B76:M76)</f>
        <v>9842.79377916799</v>
      </c>
      <c r="O76" s="27" t="n">
        <f aca="false">MAX(B76:M76)</f>
        <v>979.811671015291</v>
      </c>
      <c r="P76" s="16" t="n">
        <f aca="false">O76/parametros_recargas!$B$6</f>
        <v>6.53207780676861</v>
      </c>
    </row>
    <row r="77" customFormat="false" ht="15" hidden="false" customHeight="false" outlineLevel="0" collapsed="false">
      <c r="A77" s="6" t="str">
        <f aca="false">parametros_recargas!$B$87</f>
        <v>Secado</v>
      </c>
      <c r="B77" s="26" t="n">
        <f aca="false">parametros_recargas!$E$87*'Plan mensual'!D85+parametros_recargas!$F$87*'Plan mensual'!D86+parametros_recargas!$G$87*'Plan mensual'!D87+parametros_recargas!$H$87*'Plan mensual'!D88+parametros_recargas!$I$87*'Plan mensual'!D89+parametros_recargas!$J$87*'Plan mensual'!D90+parametros_recargas!$K$87*'Plan mensual'!D91+parametros_recargas!$L$87*'Plan mensual'!D92+parametros_recargas!$M$87*'Plan mensual'!D94</f>
        <v>841.304720951123</v>
      </c>
      <c r="C77" s="26" t="n">
        <f aca="false">parametros_recargas!$E$87*'Plan mensual'!E85+parametros_recargas!$F$87*'Plan mensual'!E86+parametros_recargas!$G$87*'Plan mensual'!E87+parametros_recargas!$H$87*'Plan mensual'!E88+parametros_recargas!$I$87*'Plan mensual'!E89+parametros_recargas!$J$87*'Plan mensual'!E90+parametros_recargas!$K$87*'Plan mensual'!E91+parametros_recargas!$L$87*'Plan mensual'!E92+parametros_recargas!$M$87*'Plan mensual'!E94</f>
        <v>729.610962626866</v>
      </c>
      <c r="D77" s="26" t="n">
        <f aca="false">parametros_recargas!$E$87*'Plan mensual'!F85+parametros_recargas!$F$87*'Plan mensual'!F86+parametros_recargas!$G$87*'Plan mensual'!F87+parametros_recargas!$H$87*'Plan mensual'!F88+parametros_recargas!$I$87*'Plan mensual'!F89+parametros_recargas!$J$87*'Plan mensual'!F90+parametros_recargas!$K$87*'Plan mensual'!F91+parametros_recargas!$L$87*'Plan mensual'!F92+parametros_recargas!$M$87*'Plan mensual'!F94</f>
        <v>695.910660104642</v>
      </c>
      <c r="E77" s="26" t="n">
        <f aca="false">parametros_recargas!$E$87*'Plan mensual'!G85+parametros_recargas!$F$87*'Plan mensual'!G86+parametros_recargas!$G$87*'Plan mensual'!G87+parametros_recargas!$H$87*'Plan mensual'!G88+parametros_recargas!$I$87*'Plan mensual'!G89+parametros_recargas!$J$87*'Plan mensual'!G90+parametros_recargas!$K$87*'Plan mensual'!G91+parametros_recargas!$L$87*'Plan mensual'!G92+parametros_recargas!$M$87*'Plan mensual'!G94</f>
        <v>770.716407385254</v>
      </c>
      <c r="F77" s="26" t="n">
        <f aca="false">parametros_recargas!$E$87*'Plan mensual'!H85+parametros_recargas!$F$87*'Plan mensual'!H86+parametros_recargas!$G$87*'Plan mensual'!H87+parametros_recargas!$H$87*'Plan mensual'!H88+parametros_recargas!$I$87*'Plan mensual'!H89+parametros_recargas!$J$87*'Plan mensual'!H90+parametros_recargas!$K$87*'Plan mensual'!H91+parametros_recargas!$L$87*'Plan mensual'!H92+parametros_recargas!$M$87*'Plan mensual'!H94</f>
        <v>776.209956981697</v>
      </c>
      <c r="G77" s="26" t="n">
        <f aca="false">parametros_recargas!$E$87*'Plan mensual'!I85+parametros_recargas!$F$87*'Plan mensual'!I86+parametros_recargas!$G$87*'Plan mensual'!I87+parametros_recargas!$H$87*'Plan mensual'!I88+parametros_recargas!$I$87*'Plan mensual'!I89+parametros_recargas!$J$87*'Plan mensual'!I90+parametros_recargas!$K$87*'Plan mensual'!I91+parametros_recargas!$L$87*'Plan mensual'!I92+parametros_recargas!$M$87*'Plan mensual'!I94</f>
        <v>767.757580047456</v>
      </c>
      <c r="H77" s="26" t="n">
        <f aca="false">parametros_recargas!$E$87*'Plan mensual'!J85+parametros_recargas!$F$87*'Plan mensual'!J86+parametros_recargas!$G$87*'Plan mensual'!J87+parametros_recargas!$H$87*'Plan mensual'!J88+parametros_recargas!$I$87*'Plan mensual'!J89+parametros_recargas!$J$87*'Plan mensual'!J90+parametros_recargas!$K$87*'Plan mensual'!J91+parametros_recargas!$L$87*'Plan mensual'!J92+parametros_recargas!$M$87*'Plan mensual'!J94</f>
        <v>680.87778332306</v>
      </c>
      <c r="I77" s="26" t="n">
        <f aca="false">parametros_recargas!$E$87*'Plan mensual'!K85+parametros_recargas!$F$87*'Plan mensual'!K86+parametros_recargas!$G$87*'Plan mensual'!K87+parametros_recargas!$H$87*'Plan mensual'!K88+parametros_recargas!$I$87*'Plan mensual'!K89+parametros_recargas!$J$87*'Plan mensual'!K90+parametros_recargas!$K$87*'Plan mensual'!K91+parametros_recargas!$L$87*'Plan mensual'!K92+parametros_recargas!$M$87*'Plan mensual'!K94</f>
        <v>686.805296907625</v>
      </c>
      <c r="J77" s="26" t="n">
        <f aca="false">parametros_recargas!$E$87*'Plan mensual'!L85+parametros_recargas!$F$87*'Plan mensual'!L86+parametros_recargas!$G$87*'Plan mensual'!L87+parametros_recargas!$H$87*'Plan mensual'!L88+parametros_recargas!$I$87*'Plan mensual'!L89+parametros_recargas!$J$87*'Plan mensual'!L90+parametros_recargas!$K$87*'Plan mensual'!L91+parametros_recargas!$L$87*'Plan mensual'!L92+parametros_recargas!$M$87*'Plan mensual'!L94</f>
        <v>694.264515002511</v>
      </c>
      <c r="K77" s="26" t="n">
        <f aca="false">parametros_recargas!$E$87*'Plan mensual'!M85+parametros_recargas!$F$87*'Plan mensual'!M86+parametros_recargas!$G$87*'Plan mensual'!M87+parametros_recargas!$H$87*'Plan mensual'!M88+parametros_recargas!$I$87*'Plan mensual'!M89+parametros_recargas!$J$87*'Plan mensual'!M90+parametros_recargas!$K$87*'Plan mensual'!M91+parametros_recargas!$L$87*'Plan mensual'!M92+parametros_recargas!$M$87*'Plan mensual'!M94</f>
        <v>694.264515002511</v>
      </c>
      <c r="L77" s="26" t="n">
        <f aca="false">parametros_recargas!$E$87*'Plan mensual'!N85+parametros_recargas!$F$87*'Plan mensual'!N86+parametros_recargas!$G$87*'Plan mensual'!N87+parametros_recargas!$H$87*'Plan mensual'!N88+parametros_recargas!$I$87*'Plan mensual'!N89+parametros_recargas!$J$87*'Plan mensual'!N90+parametros_recargas!$K$87*'Plan mensual'!N91+parametros_recargas!$L$87*'Plan mensual'!N92+parametros_recargas!$M$87*'Plan mensual'!N94</f>
        <v>800.464723730325</v>
      </c>
      <c r="M77" s="26" t="n">
        <f aca="false">parametros_recargas!$E$87*'Plan mensual'!O85+parametros_recargas!$F$87*'Plan mensual'!O86+parametros_recargas!$G$87*'Plan mensual'!O87+parametros_recargas!$H$87*'Plan mensual'!O88+parametros_recargas!$I$87*'Plan mensual'!O89+parametros_recargas!$J$87*'Plan mensual'!O90+parametros_recargas!$K$87*'Plan mensual'!O91+parametros_recargas!$L$87*'Plan mensual'!O92+parametros_recargas!$M$87*'Plan mensual'!O94</f>
        <v>920.610858988823</v>
      </c>
      <c r="N77" s="12" t="n">
        <f aca="false">SUM(B77:M77)</f>
        <v>9058.79798105189</v>
      </c>
      <c r="O77" s="27" t="n">
        <f aca="false">MAX(B77:M77)</f>
        <v>920.610858988823</v>
      </c>
      <c r="P77" s="16" t="n">
        <f aca="false">O77/parametros_recargas!$B$6</f>
        <v>6.13740572659215</v>
      </c>
    </row>
    <row r="78" customFormat="false" ht="15" hidden="false" customHeight="false" outlineLevel="0" collapsed="false">
      <c r="A78" s="6" t="str">
        <f aca="false">parametros_recargas!$B$88</f>
        <v>Inspección interior con videoscopio</v>
      </c>
      <c r="B78" s="26" t="n">
        <f aca="false">parametros_recargas!$E$88*'Plan mensual'!D85+parametros_recargas!$F$88*'Plan mensual'!D86+parametros_recargas!$G$88*'Plan mensual'!D87+parametros_recargas!$H$88*'Plan mensual'!D88+parametros_recargas!$I$88*'Plan mensual'!D89+parametros_recargas!$J$88*'Plan mensual'!D90+parametros_recargas!$K$88*'Plan mensual'!D91+parametros_recargas!$L$88*'Plan mensual'!D92+parametros_recargas!$M$88*'Plan mensual'!D94</f>
        <v>841.304720951123</v>
      </c>
      <c r="C78" s="26" t="n">
        <f aca="false">parametros_recargas!$E$88*'Plan mensual'!E85+parametros_recargas!$F$88*'Plan mensual'!E86+parametros_recargas!$G$88*'Plan mensual'!E87+parametros_recargas!$H$88*'Plan mensual'!E88+parametros_recargas!$I$88*'Plan mensual'!E89+parametros_recargas!$J$88*'Plan mensual'!E90+parametros_recargas!$K$88*'Plan mensual'!E91+parametros_recargas!$L$88*'Plan mensual'!E92+parametros_recargas!$M$88*'Plan mensual'!E94</f>
        <v>729.610962626866</v>
      </c>
      <c r="D78" s="26" t="n">
        <f aca="false">parametros_recargas!$E$88*'Plan mensual'!F85+parametros_recargas!$F$88*'Plan mensual'!F86+parametros_recargas!$G$88*'Plan mensual'!F87+parametros_recargas!$H$88*'Plan mensual'!F88+parametros_recargas!$I$88*'Plan mensual'!F89+parametros_recargas!$J$88*'Plan mensual'!F90+parametros_recargas!$K$88*'Plan mensual'!F91+parametros_recargas!$L$88*'Plan mensual'!F92+parametros_recargas!$M$88*'Plan mensual'!F94</f>
        <v>695.910660104642</v>
      </c>
      <c r="E78" s="26" t="n">
        <f aca="false">parametros_recargas!$E$88*'Plan mensual'!G85+parametros_recargas!$F$88*'Plan mensual'!G86+parametros_recargas!$G$88*'Plan mensual'!G87+parametros_recargas!$H$88*'Plan mensual'!G88+parametros_recargas!$I$88*'Plan mensual'!G89+parametros_recargas!$J$88*'Plan mensual'!G90+parametros_recargas!$K$88*'Plan mensual'!G91+parametros_recargas!$L$88*'Plan mensual'!G92+parametros_recargas!$M$88*'Plan mensual'!G94</f>
        <v>770.716407385254</v>
      </c>
      <c r="F78" s="26" t="n">
        <f aca="false">parametros_recargas!$E$88*'Plan mensual'!H85+parametros_recargas!$F$88*'Plan mensual'!H86+parametros_recargas!$G$88*'Plan mensual'!H87+parametros_recargas!$H$88*'Plan mensual'!H88+parametros_recargas!$I$88*'Plan mensual'!H89+parametros_recargas!$J$88*'Plan mensual'!H90+parametros_recargas!$K$88*'Plan mensual'!H91+parametros_recargas!$L$88*'Plan mensual'!H92+parametros_recargas!$M$88*'Plan mensual'!H94</f>
        <v>776.209956981697</v>
      </c>
      <c r="G78" s="26" t="n">
        <f aca="false">parametros_recargas!$E$88*'Plan mensual'!I85+parametros_recargas!$F$88*'Plan mensual'!I86+parametros_recargas!$G$88*'Plan mensual'!I87+parametros_recargas!$H$88*'Plan mensual'!I88+parametros_recargas!$I$88*'Plan mensual'!I89+parametros_recargas!$J$88*'Plan mensual'!I90+parametros_recargas!$K$88*'Plan mensual'!I91+parametros_recargas!$L$88*'Plan mensual'!I92+parametros_recargas!$M$88*'Plan mensual'!I94</f>
        <v>767.757580047456</v>
      </c>
      <c r="H78" s="26" t="n">
        <f aca="false">parametros_recargas!$E$88*'Plan mensual'!J85+parametros_recargas!$F$88*'Plan mensual'!J86+parametros_recargas!$G$88*'Plan mensual'!J87+parametros_recargas!$H$88*'Plan mensual'!J88+parametros_recargas!$I$88*'Plan mensual'!J89+parametros_recargas!$J$88*'Plan mensual'!J90+parametros_recargas!$K$88*'Plan mensual'!J91+parametros_recargas!$L$88*'Plan mensual'!J92+parametros_recargas!$M$88*'Plan mensual'!J94</f>
        <v>680.87778332306</v>
      </c>
      <c r="I78" s="26" t="n">
        <f aca="false">parametros_recargas!$E$88*'Plan mensual'!K85+parametros_recargas!$F$88*'Plan mensual'!K86+parametros_recargas!$G$88*'Plan mensual'!K87+parametros_recargas!$H$88*'Plan mensual'!K88+parametros_recargas!$I$88*'Plan mensual'!K89+parametros_recargas!$J$88*'Plan mensual'!K90+parametros_recargas!$K$88*'Plan mensual'!K91+parametros_recargas!$L$88*'Plan mensual'!K92+parametros_recargas!$M$88*'Plan mensual'!K94</f>
        <v>686.805296907625</v>
      </c>
      <c r="J78" s="26" t="n">
        <f aca="false">parametros_recargas!$E$88*'Plan mensual'!L85+parametros_recargas!$F$88*'Plan mensual'!L86+parametros_recargas!$G$88*'Plan mensual'!L87+parametros_recargas!$H$88*'Plan mensual'!L88+parametros_recargas!$I$88*'Plan mensual'!L89+parametros_recargas!$J$88*'Plan mensual'!L90+parametros_recargas!$K$88*'Plan mensual'!L91+parametros_recargas!$L$88*'Plan mensual'!L92+parametros_recargas!$M$88*'Plan mensual'!L94</f>
        <v>694.264515002511</v>
      </c>
      <c r="K78" s="26" t="n">
        <f aca="false">parametros_recargas!$E$88*'Plan mensual'!M85+parametros_recargas!$F$88*'Plan mensual'!M86+parametros_recargas!$G$88*'Plan mensual'!M87+parametros_recargas!$H$88*'Plan mensual'!M88+parametros_recargas!$I$88*'Plan mensual'!M89+parametros_recargas!$J$88*'Plan mensual'!M90+parametros_recargas!$K$88*'Plan mensual'!M91+parametros_recargas!$L$88*'Plan mensual'!M92+parametros_recargas!$M$88*'Plan mensual'!M94</f>
        <v>694.264515002511</v>
      </c>
      <c r="L78" s="26" t="n">
        <f aca="false">parametros_recargas!$E$88*'Plan mensual'!N85+parametros_recargas!$F$88*'Plan mensual'!N86+parametros_recargas!$G$88*'Plan mensual'!N87+parametros_recargas!$H$88*'Plan mensual'!N88+parametros_recargas!$I$88*'Plan mensual'!N89+parametros_recargas!$J$88*'Plan mensual'!N90+parametros_recargas!$K$88*'Plan mensual'!N91+parametros_recargas!$L$88*'Plan mensual'!N92+parametros_recargas!$M$88*'Plan mensual'!N94</f>
        <v>800.464723730325</v>
      </c>
      <c r="M78" s="26" t="n">
        <f aca="false">parametros_recargas!$E$88*'Plan mensual'!O85+parametros_recargas!$F$88*'Plan mensual'!O86+parametros_recargas!$G$88*'Plan mensual'!O87+parametros_recargas!$H$88*'Plan mensual'!O88+parametros_recargas!$I$88*'Plan mensual'!O89+parametros_recargas!$J$88*'Plan mensual'!O90+parametros_recargas!$K$88*'Plan mensual'!O91+parametros_recargas!$L$88*'Plan mensual'!O92+parametros_recargas!$M$88*'Plan mensual'!O94</f>
        <v>920.610858988823</v>
      </c>
      <c r="N78" s="12" t="n">
        <f aca="false">SUM(B78:M78)</f>
        <v>9058.79798105189</v>
      </c>
      <c r="O78" s="27" t="n">
        <f aca="false">MAX(B78:M78)</f>
        <v>920.610858988823</v>
      </c>
      <c r="P78" s="16" t="n">
        <f aca="false">O78/parametros_recargas!$B$6</f>
        <v>6.13740572659215</v>
      </c>
    </row>
    <row r="79" customFormat="false" ht="15" hidden="false" customHeight="false" outlineLevel="0" collapsed="false">
      <c r="A79" s="6" t="str">
        <f aca="false">parametros_recargas!$B$89</f>
        <v>Pintura</v>
      </c>
      <c r="B79" s="26" t="n">
        <f aca="false">parametros_recargas!$E$89*'Plan mensual'!D85+parametros_recargas!$F$89*'Plan mensual'!D86+parametros_recargas!$G$89*'Plan mensual'!D87+parametros_recargas!$H$89*'Plan mensual'!D88+parametros_recargas!$I$89*'Plan mensual'!D89+parametros_recargas!$J$89*'Plan mensual'!D90+parametros_recargas!$K$89*'Plan mensual'!D91+parametros_recargas!$L$89*'Plan mensual'!D92+parametros_recargas!$M$89*'Plan mensual'!D94</f>
        <v>508.767302998791</v>
      </c>
      <c r="C79" s="26" t="n">
        <f aca="false">parametros_recargas!$E$89*'Plan mensual'!E85+parametros_recargas!$F$89*'Plan mensual'!E86+parametros_recargas!$G$89*'Plan mensual'!E87+parametros_recargas!$H$89*'Plan mensual'!E88+parametros_recargas!$I$89*'Plan mensual'!E89+parametros_recargas!$J$89*'Plan mensual'!E90+parametros_recargas!$K$89*'Plan mensual'!E91+parametros_recargas!$L$89*'Plan mensual'!E92+parametros_recargas!$M$89*'Plan mensual'!E94</f>
        <v>444.328596273258</v>
      </c>
      <c r="D79" s="26" t="n">
        <f aca="false">parametros_recargas!$E$89*'Plan mensual'!F85+parametros_recargas!$F$89*'Plan mensual'!F86+parametros_recargas!$G$89*'Plan mensual'!F87+parametros_recargas!$H$89*'Plan mensual'!F88+parametros_recargas!$I$89*'Plan mensual'!F89+parametros_recargas!$J$89*'Plan mensual'!F90+parametros_recargas!$K$89*'Plan mensual'!F91+parametros_recargas!$L$89*'Plan mensual'!F92+parametros_recargas!$M$89*'Plan mensual'!F94</f>
        <v>427.994257227209</v>
      </c>
      <c r="E79" s="26" t="n">
        <f aca="false">parametros_recargas!$E$89*'Plan mensual'!G85+parametros_recargas!$F$89*'Plan mensual'!G86+parametros_recargas!$G$89*'Plan mensual'!G87+parametros_recargas!$H$89*'Plan mensual'!G88+parametros_recargas!$I$89*'Plan mensual'!G89+parametros_recargas!$J$89*'Plan mensual'!G90+parametros_recargas!$K$89*'Plan mensual'!G91+parametros_recargas!$L$89*'Plan mensual'!G92+parametros_recargas!$M$89*'Plan mensual'!G94</f>
        <v>474.159609599483</v>
      </c>
      <c r="F79" s="26" t="n">
        <f aca="false">parametros_recargas!$E$89*'Plan mensual'!H85+parametros_recargas!$F$89*'Plan mensual'!H86+parametros_recargas!$G$89*'Plan mensual'!H87+parametros_recargas!$H$89*'Plan mensual'!H88+parametros_recargas!$I$89*'Plan mensual'!H89+parametros_recargas!$J$89*'Plan mensual'!H90+parametros_recargas!$K$89*'Plan mensual'!H91+parametros_recargas!$L$89*'Plan mensual'!H92+parametros_recargas!$M$89*'Plan mensual'!H94</f>
        <v>477.565306078106</v>
      </c>
      <c r="G79" s="26" t="n">
        <f aca="false">parametros_recargas!$E$89*'Plan mensual'!I85+parametros_recargas!$F$89*'Plan mensual'!I86+parametros_recargas!$G$89*'Plan mensual'!I87+parametros_recargas!$H$89*'Plan mensual'!I88+parametros_recargas!$I$89*'Plan mensual'!I89+parametros_recargas!$J$89*'Plan mensual'!I90+parametros_recargas!$K$89*'Plan mensual'!I91+parametros_recargas!$L$89*'Plan mensual'!I92+parametros_recargas!$M$89*'Plan mensual'!I94</f>
        <v>472.166445067086</v>
      </c>
      <c r="H79" s="26" t="n">
        <f aca="false">parametros_recargas!$E$89*'Plan mensual'!J85+parametros_recargas!$F$89*'Plan mensual'!J86+parametros_recargas!$G$89*'Plan mensual'!J87+parametros_recargas!$H$89*'Plan mensual'!J88+parametros_recargas!$I$89*'Plan mensual'!J89+parametros_recargas!$J$89*'Plan mensual'!J90+parametros_recargas!$K$89*'Plan mensual'!J91+parametros_recargas!$L$89*'Plan mensual'!J92+parametros_recargas!$M$89*'Plan mensual'!J94</f>
        <v>418.422728226104</v>
      </c>
      <c r="I79" s="26" t="n">
        <f aca="false">parametros_recargas!$E$89*'Plan mensual'!K85+parametros_recargas!$F$89*'Plan mensual'!K86+parametros_recargas!$G$89*'Plan mensual'!K87+parametros_recargas!$H$89*'Plan mensual'!K88+parametros_recargas!$I$89*'Plan mensual'!K89+parametros_recargas!$J$89*'Plan mensual'!K90+parametros_recargas!$K$89*'Plan mensual'!K91+parametros_recargas!$L$89*'Plan mensual'!K92+parametros_recargas!$M$89*'Plan mensual'!K94</f>
        <v>422.068912855204</v>
      </c>
      <c r="J79" s="26" t="n">
        <f aca="false">parametros_recargas!$E$89*'Plan mensual'!L85+parametros_recargas!$F$89*'Plan mensual'!L86+parametros_recargas!$G$89*'Plan mensual'!L87+parametros_recargas!$H$89*'Plan mensual'!L88+parametros_recargas!$I$89*'Plan mensual'!L89+parametros_recargas!$J$89*'Plan mensual'!L90+parametros_recargas!$K$89*'Plan mensual'!L91+parametros_recargas!$L$89*'Plan mensual'!L92+parametros_recargas!$M$89*'Plan mensual'!L94</f>
        <v>426.868214662053</v>
      </c>
      <c r="K79" s="26" t="n">
        <f aca="false">parametros_recargas!$E$89*'Plan mensual'!M85+parametros_recargas!$F$89*'Plan mensual'!M86+parametros_recargas!$G$89*'Plan mensual'!M87+parametros_recargas!$H$89*'Plan mensual'!M88+parametros_recargas!$I$89*'Plan mensual'!M89+parametros_recargas!$J$89*'Plan mensual'!M90+parametros_recargas!$K$89*'Plan mensual'!M91+parametros_recargas!$L$89*'Plan mensual'!M92+parametros_recargas!$M$89*'Plan mensual'!M94</f>
        <v>426.868214662053</v>
      </c>
      <c r="L79" s="26" t="n">
        <f aca="false">parametros_recargas!$E$89*'Plan mensual'!N85+parametros_recargas!$F$89*'Plan mensual'!N86+parametros_recargas!$G$89*'Plan mensual'!N87+parametros_recargas!$H$89*'Plan mensual'!N88+parametros_recargas!$I$89*'Plan mensual'!N89+parametros_recargas!$J$89*'Plan mensual'!N90+parametros_recargas!$K$89*'Plan mensual'!N91+parametros_recargas!$L$89*'Plan mensual'!N92+parametros_recargas!$M$89*'Plan mensual'!N94</f>
        <v>487.901224908963</v>
      </c>
      <c r="M79" s="26" t="n">
        <f aca="false">parametros_recargas!$E$89*'Plan mensual'!O85+parametros_recargas!$F$89*'Plan mensual'!O86+parametros_recargas!$G$89*'Plan mensual'!O87+parametros_recargas!$H$89*'Plan mensual'!O88+parametros_recargas!$I$89*'Plan mensual'!O89+parametros_recargas!$J$89*'Plan mensual'!O90+parametros_recargas!$K$89*'Plan mensual'!O91+parametros_recargas!$L$89*'Plan mensual'!O92+parametros_recargas!$M$89*'Plan mensual'!O94</f>
        <v>557.738792645517</v>
      </c>
      <c r="N79" s="12" t="n">
        <f aca="false">SUM(B79:M79)</f>
        <v>5544.84960520383</v>
      </c>
      <c r="O79" s="27" t="n">
        <f aca="false">MAX(B79:M79)</f>
        <v>557.738792645517</v>
      </c>
      <c r="P79" s="16" t="n">
        <f aca="false">O79/parametros_recargas!$B$6</f>
        <v>3.71825861763678</v>
      </c>
    </row>
    <row r="80" customFormat="false" ht="15" hidden="false" customHeight="false" outlineLevel="0" collapsed="false">
      <c r="A80" s="6" t="str">
        <f aca="false">parametros_recargas!$B$90</f>
        <v>Carga de polvo ABC, BC y Clase D</v>
      </c>
      <c r="B80" s="26" t="n">
        <f aca="false">parametros_recargas!$E$90*'Plan mensual'!D85+parametros_recargas!$F$90*'Plan mensual'!D86+parametros_recargas!$G$90*'Plan mensual'!D87+parametros_recargas!$H$90*'Plan mensual'!D88+parametros_recargas!$I$90*'Plan mensual'!D89+parametros_recargas!$J$90*'Plan mensual'!D90+parametros_recargas!$K$90*'Plan mensual'!D91+parametros_recargas!$L$90*'Plan mensual'!D92+parametros_recargas!$M$90*'Plan mensual'!D94</f>
        <v>3056.28254813566</v>
      </c>
      <c r="C80" s="26" t="n">
        <f aca="false">parametros_recargas!$E$90*'Plan mensual'!E85+parametros_recargas!$F$90*'Plan mensual'!E86+parametros_recargas!$G$90*'Plan mensual'!E87+parametros_recargas!$H$90*'Plan mensual'!E88+parametros_recargas!$I$90*'Plan mensual'!E89+parametros_recargas!$J$90*'Plan mensual'!E90+parametros_recargas!$K$90*'Plan mensual'!E91+parametros_recargas!$L$90*'Plan mensual'!E92+parametros_recargas!$M$90*'Plan mensual'!E94</f>
        <v>2624.21730093369</v>
      </c>
      <c r="D80" s="26" t="n">
        <f aca="false">parametros_recargas!$E$90*'Plan mensual'!F85+parametros_recargas!$F$90*'Plan mensual'!F86+parametros_recargas!$G$90*'Plan mensual'!F87+parametros_recargas!$H$90*'Plan mensual'!F88+parametros_recargas!$I$90*'Plan mensual'!F89+parametros_recargas!$J$90*'Plan mensual'!F90+parametros_recargas!$K$90*'Plan mensual'!F91+parametros_recargas!$L$90*'Plan mensual'!F92+parametros_recargas!$M$90*'Plan mensual'!F94</f>
        <v>2446.46002251482</v>
      </c>
      <c r="E80" s="26" t="n">
        <f aca="false">parametros_recargas!$E$90*'Plan mensual'!G85+parametros_recargas!$F$90*'Plan mensual'!G86+parametros_recargas!$G$90*'Plan mensual'!G87+parametros_recargas!$H$90*'Plan mensual'!G88+parametros_recargas!$I$90*'Plan mensual'!G89+parametros_recargas!$J$90*'Plan mensual'!G90+parametros_recargas!$K$90*'Plan mensual'!G91+parametros_recargas!$L$90*'Plan mensual'!G92+parametros_recargas!$M$90*'Plan mensual'!G94</f>
        <v>2685.27646976351</v>
      </c>
      <c r="F80" s="26" t="n">
        <f aca="false">parametros_recargas!$E$90*'Plan mensual'!H85+parametros_recargas!$F$90*'Plan mensual'!H86+parametros_recargas!$G$90*'Plan mensual'!H87+parametros_recargas!$H$90*'Plan mensual'!H88+parametros_recargas!$I$90*'Plan mensual'!H89+parametros_recargas!$J$90*'Plan mensual'!H90+parametros_recargas!$K$90*'Plan mensual'!H91+parametros_recargas!$L$90*'Plan mensual'!H92+parametros_recargas!$M$90*'Plan mensual'!H94</f>
        <v>2703.82690859934</v>
      </c>
      <c r="G80" s="26" t="n">
        <f aca="false">parametros_recargas!$E$90*'Plan mensual'!I85+parametros_recargas!$F$90*'Plan mensual'!I86+parametros_recargas!$G$90*'Plan mensual'!I87+parametros_recargas!$H$90*'Plan mensual'!I88+parametros_recargas!$I$90*'Plan mensual'!I89+parametros_recargas!$J$90*'Plan mensual'!I90+parametros_recargas!$K$90*'Plan mensual'!I91+parametros_recargas!$L$90*'Plan mensual'!I92+parametros_recargas!$M$90*'Plan mensual'!I94</f>
        <v>2677.2057479058</v>
      </c>
      <c r="H80" s="26" t="n">
        <f aca="false">parametros_recargas!$E$90*'Plan mensual'!J85+parametros_recargas!$F$90*'Plan mensual'!J86+parametros_recargas!$G$90*'Plan mensual'!J87+parametros_recargas!$H$90*'Plan mensual'!J88+parametros_recargas!$I$90*'Plan mensual'!J89+parametros_recargas!$J$90*'Plan mensual'!J90+parametros_recargas!$K$90*'Plan mensual'!J91+parametros_recargas!$L$90*'Plan mensual'!J92+parametros_recargas!$M$90*'Plan mensual'!J94</f>
        <v>2397.79077477</v>
      </c>
      <c r="I80" s="26" t="n">
        <f aca="false">parametros_recargas!$E$90*'Plan mensual'!K85+parametros_recargas!$F$90*'Plan mensual'!K86+parametros_recargas!$G$90*'Plan mensual'!K87+parametros_recargas!$H$90*'Plan mensual'!K88+parametros_recargas!$I$90*'Plan mensual'!K89+parametros_recargas!$J$90*'Plan mensual'!K90+parametros_recargas!$K$90*'Plan mensual'!K91+parametros_recargas!$L$90*'Plan mensual'!K92+parametros_recargas!$M$90*'Plan mensual'!K94</f>
        <v>2420.31546790785</v>
      </c>
      <c r="J80" s="26" t="n">
        <f aca="false">parametros_recargas!$E$90*'Plan mensual'!L85+parametros_recargas!$F$90*'Plan mensual'!L86+parametros_recargas!$G$90*'Plan mensual'!L87+parametros_recargas!$H$90*'Plan mensual'!L88+parametros_recargas!$I$90*'Plan mensual'!L89+parametros_recargas!$J$90*'Plan mensual'!L90+parametros_recargas!$K$90*'Plan mensual'!L91+parametros_recargas!$L$90*'Plan mensual'!L92+parametros_recargas!$M$90*'Plan mensual'!L94</f>
        <v>2442.90895823212</v>
      </c>
      <c r="K80" s="26" t="n">
        <f aca="false">parametros_recargas!$E$90*'Plan mensual'!M85+parametros_recargas!$F$90*'Plan mensual'!M86+parametros_recargas!$G$90*'Plan mensual'!M87+parametros_recargas!$H$90*'Plan mensual'!M88+parametros_recargas!$I$90*'Plan mensual'!M89+parametros_recargas!$J$90*'Plan mensual'!M90+parametros_recargas!$K$90*'Plan mensual'!M91+parametros_recargas!$L$90*'Plan mensual'!M92+parametros_recargas!$M$90*'Plan mensual'!M94</f>
        <v>2442.12828920037</v>
      </c>
      <c r="L80" s="26" t="n">
        <f aca="false">parametros_recargas!$E$90*'Plan mensual'!N85+parametros_recargas!$F$90*'Plan mensual'!N86+parametros_recargas!$G$90*'Plan mensual'!N87+parametros_recargas!$H$90*'Plan mensual'!N88+parametros_recargas!$I$90*'Plan mensual'!N89+parametros_recargas!$J$90*'Plan mensual'!N90+parametros_recargas!$K$90*'Plan mensual'!N91+parametros_recargas!$L$90*'Plan mensual'!N92+parametros_recargas!$M$90*'Plan mensual'!N94</f>
        <v>2851.93229401889</v>
      </c>
      <c r="M80" s="26" t="n">
        <f aca="false">parametros_recargas!$E$90*'Plan mensual'!O85+parametros_recargas!$F$90*'Plan mensual'!O86+parametros_recargas!$G$90*'Plan mensual'!O87+parametros_recargas!$H$90*'Plan mensual'!O88+parametros_recargas!$I$90*'Plan mensual'!O89+parametros_recargas!$J$90*'Plan mensual'!O90+parametros_recargas!$K$90*'Plan mensual'!O91+parametros_recargas!$L$90*'Plan mensual'!O92+parametros_recargas!$M$90*'Plan mensual'!O94</f>
        <v>3312.09563288265</v>
      </c>
      <c r="N80" s="12" t="n">
        <f aca="false">SUM(B80:M80)</f>
        <v>32060.4404148647</v>
      </c>
      <c r="O80" s="27" t="n">
        <f aca="false">MAX(B80:M80)</f>
        <v>3312.09563288265</v>
      </c>
      <c r="P80" s="16" t="n">
        <f aca="false">O80/parametros_recargas!$B$6</f>
        <v>22.080637552551</v>
      </c>
    </row>
    <row r="81" customFormat="false" ht="15" hidden="false" customHeight="false" outlineLevel="0" collapsed="false">
      <c r="A81" s="6" t="str">
        <f aca="false">parametros_recargas!$B$91</f>
        <v>Ensamblaje y marbete — recinto</v>
      </c>
      <c r="B81" s="26" t="n">
        <f aca="false">parametros_recargas!$E$91*'Plan mensual'!D85+parametros_recargas!$F$91*'Plan mensual'!D86+parametros_recargas!$G$91*'Plan mensual'!D87+parametros_recargas!$H$91*'Plan mensual'!D88+parametros_recargas!$I$91*'Plan mensual'!D89+parametros_recargas!$J$91*'Plan mensual'!D90+parametros_recargas!$K$91*'Plan mensual'!D91+parametros_recargas!$L$91*'Plan mensual'!D92+parametros_recargas!$M$91*'Plan mensual'!D94</f>
        <v>3050.20570931121</v>
      </c>
      <c r="C81" s="26" t="n">
        <f aca="false">parametros_recargas!$E$91*'Plan mensual'!E85+parametros_recargas!$F$91*'Plan mensual'!E86+parametros_recargas!$G$91*'Plan mensual'!E87+parametros_recargas!$H$91*'Plan mensual'!E88+parametros_recargas!$I$91*'Plan mensual'!E89+parametros_recargas!$J$91*'Plan mensual'!E90+parametros_recargas!$K$91*'Plan mensual'!E91+parametros_recargas!$L$91*'Plan mensual'!E92+parametros_recargas!$M$91*'Plan mensual'!E94</f>
        <v>2618.14046210924</v>
      </c>
      <c r="D81" s="26" t="n">
        <f aca="false">parametros_recargas!$E$91*'Plan mensual'!F85+parametros_recargas!$F$91*'Plan mensual'!F86+parametros_recargas!$G$91*'Plan mensual'!F87+parametros_recargas!$H$91*'Plan mensual'!F88+parametros_recargas!$I$91*'Plan mensual'!F89+parametros_recargas!$J$91*'Plan mensual'!F90+parametros_recargas!$K$91*'Plan mensual'!F91+parametros_recargas!$L$91*'Plan mensual'!F92+parametros_recargas!$M$91*'Plan mensual'!F94</f>
        <v>2440.38318369038</v>
      </c>
      <c r="E81" s="26" t="n">
        <f aca="false">parametros_recargas!$E$91*'Plan mensual'!G85+parametros_recargas!$F$91*'Plan mensual'!G86+parametros_recargas!$G$91*'Plan mensual'!G87+parametros_recargas!$H$91*'Plan mensual'!G88+parametros_recargas!$I$91*'Plan mensual'!G89+parametros_recargas!$J$91*'Plan mensual'!G90+parametros_recargas!$K$91*'Plan mensual'!G91+parametros_recargas!$L$91*'Plan mensual'!G92+parametros_recargas!$M$91*'Plan mensual'!G94</f>
        <v>2679.19963093907</v>
      </c>
      <c r="F81" s="26" t="n">
        <f aca="false">parametros_recargas!$E$91*'Plan mensual'!H85+parametros_recargas!$F$91*'Plan mensual'!H86+parametros_recargas!$G$91*'Plan mensual'!H87+parametros_recargas!$H$91*'Plan mensual'!H88+parametros_recargas!$I$91*'Plan mensual'!H89+parametros_recargas!$J$91*'Plan mensual'!H90+parametros_recargas!$K$91*'Plan mensual'!H91+parametros_recargas!$L$91*'Plan mensual'!H92+parametros_recargas!$M$91*'Plan mensual'!H94</f>
        <v>2697.7500697749</v>
      </c>
      <c r="G81" s="26" t="n">
        <f aca="false">parametros_recargas!$E$91*'Plan mensual'!I85+parametros_recargas!$F$91*'Plan mensual'!I86+parametros_recargas!$G$91*'Plan mensual'!I87+parametros_recargas!$H$91*'Plan mensual'!I88+parametros_recargas!$I$91*'Plan mensual'!I89+parametros_recargas!$J$91*'Plan mensual'!I90+parametros_recargas!$K$91*'Plan mensual'!I91+parametros_recargas!$L$91*'Plan mensual'!I92+parametros_recargas!$M$91*'Plan mensual'!I94</f>
        <v>2671.12890908135</v>
      </c>
      <c r="H81" s="26" t="n">
        <f aca="false">parametros_recargas!$E$91*'Plan mensual'!J85+parametros_recargas!$F$91*'Plan mensual'!J86+parametros_recargas!$G$91*'Plan mensual'!J87+parametros_recargas!$H$91*'Plan mensual'!J88+parametros_recargas!$I$91*'Plan mensual'!J89+parametros_recargas!$J$91*'Plan mensual'!J90+parametros_recargas!$K$91*'Plan mensual'!J91+parametros_recargas!$L$91*'Plan mensual'!J92+parametros_recargas!$M$91*'Plan mensual'!J94</f>
        <v>2391.71393594556</v>
      </c>
      <c r="I81" s="26" t="n">
        <f aca="false">parametros_recargas!$E$91*'Plan mensual'!K85+parametros_recargas!$F$91*'Plan mensual'!K86+parametros_recargas!$G$91*'Plan mensual'!K87+parametros_recargas!$H$91*'Plan mensual'!K88+parametros_recargas!$I$91*'Plan mensual'!K89+parametros_recargas!$J$91*'Plan mensual'!K90+parametros_recargas!$K$91*'Plan mensual'!K91+parametros_recargas!$L$91*'Plan mensual'!K92+parametros_recargas!$M$91*'Plan mensual'!K94</f>
        <v>2414.23862908341</v>
      </c>
      <c r="J81" s="26" t="n">
        <f aca="false">parametros_recargas!$E$91*'Plan mensual'!L85+parametros_recargas!$F$91*'Plan mensual'!L86+parametros_recargas!$G$91*'Plan mensual'!L87+parametros_recargas!$H$91*'Plan mensual'!L88+parametros_recargas!$I$91*'Plan mensual'!L89+parametros_recargas!$J$91*'Plan mensual'!L90+parametros_recargas!$K$91*'Plan mensual'!L91+parametros_recargas!$L$91*'Plan mensual'!L92+parametros_recargas!$M$91*'Plan mensual'!L94</f>
        <v>2436.83211940768</v>
      </c>
      <c r="K81" s="26" t="n">
        <f aca="false">parametros_recargas!$E$91*'Plan mensual'!M85+parametros_recargas!$F$91*'Plan mensual'!M86+parametros_recargas!$G$91*'Plan mensual'!M87+parametros_recargas!$H$91*'Plan mensual'!M88+parametros_recargas!$I$91*'Plan mensual'!M89+parametros_recargas!$J$91*'Plan mensual'!M90+parametros_recargas!$K$91*'Plan mensual'!M91+parametros_recargas!$L$91*'Plan mensual'!M92+parametros_recargas!$M$91*'Plan mensual'!M94</f>
        <v>2436.05145037593</v>
      </c>
      <c r="L81" s="26" t="n">
        <f aca="false">parametros_recargas!$E$91*'Plan mensual'!N85+parametros_recargas!$F$91*'Plan mensual'!N86+parametros_recargas!$G$91*'Plan mensual'!N87+parametros_recargas!$H$91*'Plan mensual'!N88+parametros_recargas!$I$91*'Plan mensual'!N89+parametros_recargas!$J$91*'Plan mensual'!N90+parametros_recargas!$K$91*'Plan mensual'!N91+parametros_recargas!$L$91*'Plan mensual'!N92+parametros_recargas!$M$91*'Plan mensual'!N94</f>
        <v>2845.85545519444</v>
      </c>
      <c r="M81" s="26" t="n">
        <f aca="false">parametros_recargas!$E$91*'Plan mensual'!O85+parametros_recargas!$F$91*'Plan mensual'!O86+parametros_recargas!$G$91*'Plan mensual'!O87+parametros_recargas!$H$91*'Plan mensual'!O88+parametros_recargas!$I$91*'Plan mensual'!O89+parametros_recargas!$J$91*'Plan mensual'!O90+parametros_recargas!$K$91*'Plan mensual'!O91+parametros_recargas!$L$91*'Plan mensual'!O92+parametros_recargas!$M$91*'Plan mensual'!O94</f>
        <v>3306.01879405821</v>
      </c>
      <c r="N81" s="12" t="n">
        <f aca="false">SUM(B81:M81)</f>
        <v>31987.5183489714</v>
      </c>
      <c r="O81" s="27" t="n">
        <f aca="false">MAX(B81:M81)</f>
        <v>3306.01879405821</v>
      </c>
      <c r="P81" s="16" t="n">
        <f aca="false">O81/parametros_recargas!$B$6</f>
        <v>22.0401252937214</v>
      </c>
    </row>
    <row r="82" customFormat="false" ht="15" hidden="false" customHeight="false" outlineLevel="0" collapsed="false">
      <c r="A82" s="6" t="str">
        <f aca="false">parametros_recargas!$B$92</f>
        <v>Presurización — recinto</v>
      </c>
      <c r="B82" s="26" t="n">
        <f aca="false">parametros_recargas!$E$92*'Plan mensual'!D85+parametros_recargas!$F$92*'Plan mensual'!D86+parametros_recargas!$G$92*'Plan mensual'!D87+parametros_recargas!$H$92*'Plan mensual'!D88+parametros_recargas!$I$92*'Plan mensual'!D89+parametros_recargas!$J$92*'Plan mensual'!D90+parametros_recargas!$K$92*'Plan mensual'!D91+parametros_recargas!$L$92*'Plan mensual'!D92+parametros_recargas!$M$92*'Plan mensual'!D94</f>
        <v>3050.20570931121</v>
      </c>
      <c r="C82" s="26" t="n">
        <f aca="false">parametros_recargas!$E$92*'Plan mensual'!E85+parametros_recargas!$F$92*'Plan mensual'!E86+parametros_recargas!$G$92*'Plan mensual'!E87+parametros_recargas!$H$92*'Plan mensual'!E88+parametros_recargas!$I$92*'Plan mensual'!E89+parametros_recargas!$J$92*'Plan mensual'!E90+parametros_recargas!$K$92*'Plan mensual'!E91+parametros_recargas!$L$92*'Plan mensual'!E92+parametros_recargas!$M$92*'Plan mensual'!E94</f>
        <v>2618.14046210924</v>
      </c>
      <c r="D82" s="26" t="n">
        <f aca="false">parametros_recargas!$E$92*'Plan mensual'!F85+parametros_recargas!$F$92*'Plan mensual'!F86+parametros_recargas!$G$92*'Plan mensual'!F87+parametros_recargas!$H$92*'Plan mensual'!F88+parametros_recargas!$I$92*'Plan mensual'!F89+parametros_recargas!$J$92*'Plan mensual'!F90+parametros_recargas!$K$92*'Plan mensual'!F91+parametros_recargas!$L$92*'Plan mensual'!F92+parametros_recargas!$M$92*'Plan mensual'!F94</f>
        <v>2440.38318369038</v>
      </c>
      <c r="E82" s="26" t="n">
        <f aca="false">parametros_recargas!$E$92*'Plan mensual'!G85+parametros_recargas!$F$92*'Plan mensual'!G86+parametros_recargas!$G$92*'Plan mensual'!G87+parametros_recargas!$H$92*'Plan mensual'!G88+parametros_recargas!$I$92*'Plan mensual'!G89+parametros_recargas!$J$92*'Plan mensual'!G90+parametros_recargas!$K$92*'Plan mensual'!G91+parametros_recargas!$L$92*'Plan mensual'!G92+parametros_recargas!$M$92*'Plan mensual'!G94</f>
        <v>2679.19963093907</v>
      </c>
      <c r="F82" s="26" t="n">
        <f aca="false">parametros_recargas!$E$92*'Plan mensual'!H85+parametros_recargas!$F$92*'Plan mensual'!H86+parametros_recargas!$G$92*'Plan mensual'!H87+parametros_recargas!$H$92*'Plan mensual'!H88+parametros_recargas!$I$92*'Plan mensual'!H89+parametros_recargas!$J$92*'Plan mensual'!H90+parametros_recargas!$K$92*'Plan mensual'!H91+parametros_recargas!$L$92*'Plan mensual'!H92+parametros_recargas!$M$92*'Plan mensual'!H94</f>
        <v>2697.7500697749</v>
      </c>
      <c r="G82" s="26" t="n">
        <f aca="false">parametros_recargas!$E$92*'Plan mensual'!I85+parametros_recargas!$F$92*'Plan mensual'!I86+parametros_recargas!$G$92*'Plan mensual'!I87+parametros_recargas!$H$92*'Plan mensual'!I88+parametros_recargas!$I$92*'Plan mensual'!I89+parametros_recargas!$J$92*'Plan mensual'!I90+parametros_recargas!$K$92*'Plan mensual'!I91+parametros_recargas!$L$92*'Plan mensual'!I92+parametros_recargas!$M$92*'Plan mensual'!I94</f>
        <v>2671.12890908135</v>
      </c>
      <c r="H82" s="26" t="n">
        <f aca="false">parametros_recargas!$E$92*'Plan mensual'!J85+parametros_recargas!$F$92*'Plan mensual'!J86+parametros_recargas!$G$92*'Plan mensual'!J87+parametros_recargas!$H$92*'Plan mensual'!J88+parametros_recargas!$I$92*'Plan mensual'!J89+parametros_recargas!$J$92*'Plan mensual'!J90+parametros_recargas!$K$92*'Plan mensual'!J91+parametros_recargas!$L$92*'Plan mensual'!J92+parametros_recargas!$M$92*'Plan mensual'!J94</f>
        <v>2391.71393594556</v>
      </c>
      <c r="I82" s="26" t="n">
        <f aca="false">parametros_recargas!$E$92*'Plan mensual'!K85+parametros_recargas!$F$92*'Plan mensual'!K86+parametros_recargas!$G$92*'Plan mensual'!K87+parametros_recargas!$H$92*'Plan mensual'!K88+parametros_recargas!$I$92*'Plan mensual'!K89+parametros_recargas!$J$92*'Plan mensual'!K90+parametros_recargas!$K$92*'Plan mensual'!K91+parametros_recargas!$L$92*'Plan mensual'!K92+parametros_recargas!$M$92*'Plan mensual'!K94</f>
        <v>2414.23862908341</v>
      </c>
      <c r="J82" s="26" t="n">
        <f aca="false">parametros_recargas!$E$92*'Plan mensual'!L85+parametros_recargas!$F$92*'Plan mensual'!L86+parametros_recargas!$G$92*'Plan mensual'!L87+parametros_recargas!$H$92*'Plan mensual'!L88+parametros_recargas!$I$92*'Plan mensual'!L89+parametros_recargas!$J$92*'Plan mensual'!L90+parametros_recargas!$K$92*'Plan mensual'!L91+parametros_recargas!$L$92*'Plan mensual'!L92+parametros_recargas!$M$92*'Plan mensual'!L94</f>
        <v>2436.83211940768</v>
      </c>
      <c r="K82" s="26" t="n">
        <f aca="false">parametros_recargas!$E$92*'Plan mensual'!M85+parametros_recargas!$F$92*'Plan mensual'!M86+parametros_recargas!$G$92*'Plan mensual'!M87+parametros_recargas!$H$92*'Plan mensual'!M88+parametros_recargas!$I$92*'Plan mensual'!M89+parametros_recargas!$J$92*'Plan mensual'!M90+parametros_recargas!$K$92*'Plan mensual'!M91+parametros_recargas!$L$92*'Plan mensual'!M92+parametros_recargas!$M$92*'Plan mensual'!M94</f>
        <v>2436.05145037593</v>
      </c>
      <c r="L82" s="26" t="n">
        <f aca="false">parametros_recargas!$E$92*'Plan mensual'!N85+parametros_recargas!$F$92*'Plan mensual'!N86+parametros_recargas!$G$92*'Plan mensual'!N87+parametros_recargas!$H$92*'Plan mensual'!N88+parametros_recargas!$I$92*'Plan mensual'!N89+parametros_recargas!$J$92*'Plan mensual'!N90+parametros_recargas!$K$92*'Plan mensual'!N91+parametros_recargas!$L$92*'Plan mensual'!N92+parametros_recargas!$M$92*'Plan mensual'!N94</f>
        <v>2845.85545519444</v>
      </c>
      <c r="M82" s="26" t="n">
        <f aca="false">parametros_recargas!$E$92*'Plan mensual'!O85+parametros_recargas!$F$92*'Plan mensual'!O86+parametros_recargas!$G$92*'Plan mensual'!O87+parametros_recargas!$H$92*'Plan mensual'!O88+parametros_recargas!$I$92*'Plan mensual'!O89+parametros_recargas!$J$92*'Plan mensual'!O90+parametros_recargas!$K$92*'Plan mensual'!O91+parametros_recargas!$L$92*'Plan mensual'!O92+parametros_recargas!$M$92*'Plan mensual'!O94</f>
        <v>3306.01879405821</v>
      </c>
      <c r="N82" s="12" t="n">
        <f aca="false">SUM(B82:M82)</f>
        <v>31987.5183489714</v>
      </c>
      <c r="O82" s="27" t="n">
        <f aca="false">MAX(B82:M82)</f>
        <v>3306.01879405821</v>
      </c>
      <c r="P82" s="16" t="n">
        <f aca="false">O82/parametros_recargas!$B$6</f>
        <v>22.0401252937214</v>
      </c>
    </row>
    <row r="83" customFormat="false" ht="15" hidden="false" customHeight="false" outlineLevel="0" collapsed="false">
      <c r="A83" s="6" t="str">
        <f aca="false">parametros_recargas!$B$93</f>
        <v>Ensamblaje y presurización — zona general</v>
      </c>
      <c r="B83" s="26" t="n">
        <f aca="false">parametros_recargas!$E$93*'Plan mensual'!D85+parametros_recargas!$F$93*'Plan mensual'!D86+parametros_recargas!$G$93*'Plan mensual'!D87+parametros_recargas!$H$93*'Plan mensual'!D88+parametros_recargas!$I$93*'Plan mensual'!D89+parametros_recargas!$J$93*'Plan mensual'!D90+parametros_recargas!$K$93*'Plan mensual'!D91+parametros_recargas!$L$93*'Plan mensual'!D92+parametros_recargas!$M$93*'Plan mensual'!D94</f>
        <v>210.621794294179</v>
      </c>
      <c r="C83" s="26" t="n">
        <f aca="false">parametros_recargas!$E$93*'Plan mensual'!E85+parametros_recargas!$F$93*'Plan mensual'!E86+parametros_recargas!$G$93*'Plan mensual'!E87+parametros_recargas!$H$93*'Plan mensual'!E88+parametros_recargas!$I$93*'Plan mensual'!E89+parametros_recargas!$J$93*'Plan mensual'!E90+parametros_recargas!$K$93*'Plan mensual'!E91+parametros_recargas!$L$93*'Plan mensual'!E92+parametros_recargas!$M$93*'Plan mensual'!E94</f>
        <v>210.621794294179</v>
      </c>
      <c r="D83" s="26" t="n">
        <f aca="false">parametros_recargas!$E$93*'Plan mensual'!F85+parametros_recargas!$F$93*'Plan mensual'!F86+parametros_recargas!$G$93*'Plan mensual'!F87+parametros_recargas!$H$93*'Plan mensual'!F88+parametros_recargas!$I$93*'Plan mensual'!F89+parametros_recargas!$J$93*'Plan mensual'!F90+parametros_recargas!$K$93*'Plan mensual'!F91+parametros_recargas!$L$93*'Plan mensual'!F92+parametros_recargas!$M$93*'Plan mensual'!F94</f>
        <v>244.641907458253</v>
      </c>
      <c r="E83" s="26" t="n">
        <f aca="false">parametros_recargas!$E$93*'Plan mensual'!G85+parametros_recargas!$F$93*'Plan mensual'!G86+parametros_recargas!$G$93*'Plan mensual'!G87+parametros_recargas!$H$93*'Plan mensual'!G88+parametros_recargas!$I$93*'Plan mensual'!G89+parametros_recargas!$J$93*'Plan mensual'!G90+parametros_recargas!$K$93*'Plan mensual'!G91+parametros_recargas!$L$93*'Plan mensual'!G92+parametros_recargas!$M$93*'Plan mensual'!G94</f>
        <v>277.996757236055</v>
      </c>
      <c r="F83" s="26" t="n">
        <f aca="false">parametros_recargas!$E$93*'Plan mensual'!H85+parametros_recargas!$F$93*'Plan mensual'!H86+parametros_recargas!$G$93*'Plan mensual'!H87+parametros_recargas!$H$93*'Plan mensual'!H88+parametros_recargas!$I$93*'Plan mensual'!H89+parametros_recargas!$J$93*'Plan mensual'!H90+parametros_recargas!$K$93*'Plan mensual'!H91+parametros_recargas!$L$93*'Plan mensual'!H92+parametros_recargas!$M$93*'Plan mensual'!H94</f>
        <v>280.120225393489</v>
      </c>
      <c r="G83" s="26" t="n">
        <f aca="false">parametros_recargas!$E$93*'Plan mensual'!I85+parametros_recargas!$F$93*'Plan mensual'!I86+parametros_recargas!$G$93*'Plan mensual'!I87+parametros_recargas!$H$93*'Plan mensual'!I88+parametros_recargas!$I$93*'Plan mensual'!I89+parametros_recargas!$J$93*'Plan mensual'!I90+parametros_recargas!$K$93*'Plan mensual'!I91+parametros_recargas!$L$93*'Plan mensual'!I92+parametros_recargas!$M$93*'Plan mensual'!I94</f>
        <v>274.786213248518</v>
      </c>
      <c r="H83" s="26" t="n">
        <f aca="false">parametros_recargas!$E$93*'Plan mensual'!J85+parametros_recargas!$F$93*'Plan mensual'!J86+parametros_recargas!$G$93*'Plan mensual'!J87+parametros_recargas!$H$93*'Plan mensual'!J88+parametros_recargas!$I$93*'Plan mensual'!J89+parametros_recargas!$J$93*'Plan mensual'!J90+parametros_recargas!$K$93*'Plan mensual'!J91+parametros_recargas!$L$93*'Plan mensual'!J92+parametros_recargas!$M$93*'Plan mensual'!J94</f>
        <v>235.971413139856</v>
      </c>
      <c r="I83" s="26" t="n">
        <f aca="false">parametros_recargas!$E$93*'Plan mensual'!K85+parametros_recargas!$F$93*'Plan mensual'!K86+parametros_recargas!$G$93*'Plan mensual'!K87+parametros_recargas!$H$93*'Plan mensual'!K88+parametros_recargas!$I$93*'Plan mensual'!K89+parametros_recargas!$J$93*'Plan mensual'!K90+parametros_recargas!$K$93*'Plan mensual'!K91+parametros_recargas!$L$93*'Plan mensual'!K92+parametros_recargas!$M$93*'Plan mensual'!K94</f>
        <v>237.555556096909</v>
      </c>
      <c r="J83" s="26" t="n">
        <f aca="false">parametros_recargas!$E$93*'Plan mensual'!L85+parametros_recargas!$F$93*'Plan mensual'!L86+parametros_recargas!$G$93*'Plan mensual'!L87+parametros_recargas!$H$93*'Plan mensual'!L88+parametros_recargas!$I$93*'Plan mensual'!L89+parametros_recargas!$J$93*'Plan mensual'!L90+parametros_recargas!$K$93*'Plan mensual'!L91+parametros_recargas!$L$93*'Plan mensual'!L92+parametros_recargas!$M$93*'Plan mensual'!L94</f>
        <v>242.527123406423</v>
      </c>
      <c r="K83" s="26" t="n">
        <f aca="false">parametros_recargas!$E$93*'Plan mensual'!M85+parametros_recargas!$F$93*'Plan mensual'!M86+parametros_recargas!$G$93*'Plan mensual'!M87+parametros_recargas!$H$93*'Plan mensual'!M88+parametros_recargas!$I$93*'Plan mensual'!M89+parametros_recargas!$J$93*'Plan mensual'!M90+parametros_recargas!$K$93*'Plan mensual'!M91+parametros_recargas!$L$93*'Plan mensual'!M92+parametros_recargas!$M$93*'Plan mensual'!M94</f>
        <v>242.527123406423</v>
      </c>
      <c r="L83" s="26" t="n">
        <f aca="false">parametros_recargas!$E$93*'Plan mensual'!N85+parametros_recargas!$F$93*'Plan mensual'!N86+parametros_recargas!$G$93*'Plan mensual'!N87+parametros_recargas!$H$93*'Plan mensual'!N88+parametros_recargas!$I$93*'Plan mensual'!N89+parametros_recargas!$J$93*'Plan mensual'!N90+parametros_recargas!$K$93*'Plan mensual'!N91+parametros_recargas!$L$93*'Plan mensual'!N92+parametros_recargas!$M$93*'Plan mensual'!N94</f>
        <v>240.403655248989</v>
      </c>
      <c r="M83" s="26" t="n">
        <f aca="false">parametros_recargas!$E$93*'Plan mensual'!O85+parametros_recargas!$F$93*'Plan mensual'!O86+parametros_recargas!$G$93*'Plan mensual'!O87+parametros_recargas!$H$93*'Plan mensual'!O88+parametros_recargas!$I$93*'Plan mensual'!O89+parametros_recargas!$J$93*'Plan mensual'!O90+parametros_recargas!$K$93*'Plan mensual'!O91+parametros_recargas!$L$93*'Plan mensual'!O92+parametros_recargas!$M$93*'Plan mensual'!O94</f>
        <v>245.73766739396</v>
      </c>
      <c r="N83" s="12" t="n">
        <f aca="false">SUM(B83:M83)</f>
        <v>2943.51123061723</v>
      </c>
      <c r="O83" s="27" t="n">
        <f aca="false">MAX(B83:M83)</f>
        <v>280.120225393489</v>
      </c>
      <c r="P83" s="16" t="n">
        <f aca="false">O83/parametros_recargas!$B$6</f>
        <v>1.86746816928993</v>
      </c>
    </row>
    <row r="84" customFormat="false" ht="15" hidden="false" customHeight="false" outlineLevel="0" collapsed="false">
      <c r="A84" s="6" t="str">
        <f aca="false">parametros_recargas!$B$94</f>
        <v>Control de peso (CO₂ y halogenados sin recarga)</v>
      </c>
      <c r="B84" s="26" t="n">
        <f aca="false">parametros_recargas!$E$94*'Plan mensual'!D85+parametros_recargas!$F$94*'Plan mensual'!D86+parametros_recargas!$G$94*'Plan mensual'!D87+parametros_recargas!$H$94*'Plan mensual'!D88+parametros_recargas!$I$94*'Plan mensual'!D89+parametros_recargas!$J$94*'Plan mensual'!D90+parametros_recargas!$K$94*'Plan mensual'!D91+parametros_recargas!$L$94*'Plan mensual'!D92+parametros_recargas!$M$94*'Plan mensual'!D94</f>
        <v>134.326584834975</v>
      </c>
      <c r="C84" s="26" t="n">
        <f aca="false">parametros_recargas!$E$94*'Plan mensual'!E85+parametros_recargas!$F$94*'Plan mensual'!E86+parametros_recargas!$G$94*'Plan mensual'!E87+parametros_recargas!$H$94*'Plan mensual'!E88+parametros_recargas!$I$94*'Plan mensual'!E89+parametros_recargas!$J$94*'Plan mensual'!E90+parametros_recargas!$K$94*'Plan mensual'!E91+parametros_recargas!$L$94*'Plan mensual'!E92+parametros_recargas!$M$94*'Plan mensual'!E94</f>
        <v>134.326584834975</v>
      </c>
      <c r="D84" s="26" t="n">
        <f aca="false">parametros_recargas!$E$94*'Plan mensual'!F85+parametros_recargas!$F$94*'Plan mensual'!F86+parametros_recargas!$G$94*'Plan mensual'!F87+parametros_recargas!$H$94*'Plan mensual'!F88+parametros_recargas!$I$94*'Plan mensual'!F89+parametros_recargas!$J$94*'Plan mensual'!F90+parametros_recargas!$K$94*'Plan mensual'!F91+parametros_recargas!$L$94*'Plan mensual'!F92+parametros_recargas!$M$94*'Plan mensual'!F94</f>
        <v>167.470549686539</v>
      </c>
      <c r="E84" s="26" t="n">
        <f aca="false">parametros_recargas!$E$94*'Plan mensual'!G85+parametros_recargas!$F$94*'Plan mensual'!G86+parametros_recargas!$G$94*'Plan mensual'!G87+parametros_recargas!$H$94*'Plan mensual'!G88+parametros_recargas!$I$94*'Plan mensual'!G89+parametros_recargas!$J$94*'Plan mensual'!G90+parametros_recargas!$K$94*'Plan mensual'!G91+parametros_recargas!$L$94*'Plan mensual'!G92+parametros_recargas!$M$94*'Plan mensual'!G94</f>
        <v>200.525574276019</v>
      </c>
      <c r="F84" s="26" t="n">
        <f aca="false">parametros_recargas!$E$94*'Plan mensual'!H85+parametros_recargas!$F$94*'Plan mensual'!H86+parametros_recargas!$G$94*'Plan mensual'!H87+parametros_recargas!$H$94*'Plan mensual'!H88+parametros_recargas!$I$94*'Plan mensual'!H89+parametros_recargas!$J$94*'Plan mensual'!H90+parametros_recargas!$K$94*'Plan mensual'!H91+parametros_recargas!$L$94*'Plan mensual'!H92+parametros_recargas!$M$94*'Plan mensual'!H94</f>
        <v>201.887172173748</v>
      </c>
      <c r="G84" s="26" t="n">
        <f aca="false">parametros_recargas!$E$94*'Plan mensual'!I85+parametros_recargas!$F$94*'Plan mensual'!I86+parametros_recargas!$G$94*'Plan mensual'!I87+parametros_recargas!$H$94*'Plan mensual'!I88+parametros_recargas!$I$94*'Plan mensual'!I89+parametros_recargas!$J$94*'Plan mensual'!I90+parametros_recargas!$K$94*'Plan mensual'!I91+parametros_recargas!$L$94*'Plan mensual'!I92+parametros_recargas!$M$94*'Plan mensual'!I94</f>
        <v>197.379164508095</v>
      </c>
      <c r="H84" s="26" t="n">
        <f aca="false">parametros_recargas!$E$94*'Plan mensual'!J85+parametros_recargas!$F$94*'Plan mensual'!J86+parametros_recargas!$G$94*'Plan mensual'!J87+parametros_recargas!$H$94*'Plan mensual'!J88+parametros_recargas!$I$94*'Plan mensual'!J89+parametros_recargas!$J$94*'Plan mensual'!J90+parametros_recargas!$K$94*'Plan mensual'!J91+parametros_recargas!$L$94*'Plan mensual'!J92+parametros_recargas!$M$94*'Plan mensual'!J94</f>
        <v>160.903947129928</v>
      </c>
      <c r="I84" s="26" t="n">
        <f aca="false">parametros_recargas!$E$94*'Plan mensual'!K85+parametros_recargas!$F$94*'Plan mensual'!K86+parametros_recargas!$G$94*'Plan mensual'!K87+parametros_recargas!$H$94*'Plan mensual'!K88+parametros_recargas!$I$94*'Plan mensual'!K89+parametros_recargas!$J$94*'Plan mensual'!K90+parametros_recargas!$K$94*'Plan mensual'!K91+parametros_recargas!$L$94*'Plan mensual'!K92+parametros_recargas!$M$94*'Plan mensual'!K94</f>
        <v>161.088789888607</v>
      </c>
      <c r="J84" s="26" t="n">
        <f aca="false">parametros_recargas!$E$94*'Plan mensual'!L85+parametros_recargas!$F$94*'Plan mensual'!L86+parametros_recargas!$G$94*'Plan mensual'!L87+parametros_recargas!$H$94*'Plan mensual'!L88+parametros_recargas!$I$94*'Plan mensual'!L89+parametros_recargas!$J$94*'Plan mensual'!L90+parametros_recargas!$K$94*'Plan mensual'!L91+parametros_recargas!$L$94*'Plan mensual'!L92+parametros_recargas!$M$94*'Plan mensual'!L94</f>
        <v>165.136458543372</v>
      </c>
      <c r="K84" s="26" t="n">
        <f aca="false">parametros_recargas!$E$94*'Plan mensual'!M85+parametros_recargas!$F$94*'Plan mensual'!M86+parametros_recargas!$G$94*'Plan mensual'!M87+parametros_recargas!$H$94*'Plan mensual'!M88+parametros_recargas!$I$94*'Plan mensual'!M89+parametros_recargas!$J$94*'Plan mensual'!M90+parametros_recargas!$K$94*'Plan mensual'!M91+parametros_recargas!$L$94*'Plan mensual'!M92+parametros_recargas!$M$94*'Plan mensual'!M94</f>
        <v>165.136458543372</v>
      </c>
      <c r="L84" s="26" t="n">
        <f aca="false">parametros_recargas!$E$94*'Plan mensual'!N85+parametros_recargas!$F$94*'Plan mensual'!N86+parametros_recargas!$G$94*'Plan mensual'!N87+parametros_recargas!$H$94*'Plan mensual'!N88+parametros_recargas!$I$94*'Plan mensual'!N89+parametros_recargas!$J$94*'Plan mensual'!N90+parametros_recargas!$K$94*'Plan mensual'!N91+parametros_recargas!$L$94*'Plan mensual'!N92+parametros_recargas!$M$94*'Plan mensual'!N94</f>
        <v>163.774860645643</v>
      </c>
      <c r="M84" s="26" t="n">
        <f aca="false">parametros_recargas!$E$94*'Plan mensual'!O85+parametros_recargas!$F$94*'Plan mensual'!O86+parametros_recargas!$G$94*'Plan mensual'!O87+parametros_recargas!$H$94*'Plan mensual'!O88+parametros_recargas!$I$94*'Plan mensual'!O89+parametros_recargas!$J$94*'Plan mensual'!O90+parametros_recargas!$K$94*'Plan mensual'!O91+parametros_recargas!$L$94*'Plan mensual'!O92+parametros_recargas!$M$94*'Plan mensual'!O94</f>
        <v>168.282868311296</v>
      </c>
      <c r="N84" s="12" t="n">
        <f aca="false">SUM(B84:M84)</f>
        <v>2020.23901337657</v>
      </c>
      <c r="O84" s="27" t="n">
        <f aca="false">MAX(B84:M84)</f>
        <v>201.887172173748</v>
      </c>
      <c r="P84" s="16" t="n">
        <f aca="false">O84/parametros_recargas!$B$6</f>
        <v>1.34591448115832</v>
      </c>
    </row>
    <row r="85" customFormat="false" ht="15" hidden="false" customHeight="false" outlineLevel="0" collapsed="false">
      <c r="A85" s="6" t="str">
        <f aca="false">parametros_recargas!$B$95</f>
        <v>Ensayo de pérdidas</v>
      </c>
      <c r="B85" s="26" t="n">
        <f aca="false">parametros_recargas!$E$95*'Plan mensual'!D85+parametros_recargas!$F$95*'Plan mensual'!D86+parametros_recargas!$G$95*'Plan mensual'!D87+parametros_recargas!$H$95*'Plan mensual'!D88+parametros_recargas!$I$95*'Plan mensual'!D89+parametros_recargas!$J$95*'Plan mensual'!D90+parametros_recargas!$K$95*'Plan mensual'!D91+parametros_recargas!$L$95*'Plan mensual'!D92+parametros_recargas!$M$95*'Plan mensual'!D94</f>
        <v>3404.90830676181</v>
      </c>
      <c r="C85" s="26" t="n">
        <f aca="false">parametros_recargas!$E$95*'Plan mensual'!E85+parametros_recargas!$F$95*'Plan mensual'!E86+parametros_recargas!$G$95*'Plan mensual'!E87+parametros_recargas!$H$95*'Plan mensual'!E88+parametros_recargas!$I$95*'Plan mensual'!E89+parametros_recargas!$J$95*'Plan mensual'!E90+parametros_recargas!$K$95*'Plan mensual'!E91+parametros_recargas!$L$95*'Plan mensual'!E92+parametros_recargas!$M$95*'Plan mensual'!E94</f>
        <v>2972.84305955984</v>
      </c>
      <c r="D85" s="26" t="n">
        <f aca="false">parametros_recargas!$E$95*'Plan mensual'!F85+parametros_recargas!$F$95*'Plan mensual'!F86+parametros_recargas!$G$95*'Plan mensual'!F87+parametros_recargas!$H$95*'Plan mensual'!F88+parametros_recargas!$I$95*'Plan mensual'!F89+parametros_recargas!$J$95*'Plan mensual'!F90+parametros_recargas!$K$95*'Plan mensual'!F91+parametros_recargas!$L$95*'Plan mensual'!F92+parametros_recargas!$M$95*'Plan mensual'!F94</f>
        <v>2864.83626946714</v>
      </c>
      <c r="E85" s="26" t="n">
        <f aca="false">parametros_recargas!$E$95*'Plan mensual'!G85+parametros_recargas!$F$95*'Plan mensual'!G86+parametros_recargas!$G$95*'Plan mensual'!G87+parametros_recargas!$H$95*'Plan mensual'!G88+parametros_recargas!$I$95*'Plan mensual'!G89+parametros_recargas!$J$95*'Plan mensual'!G90+parametros_recargas!$K$95*'Plan mensual'!G91+parametros_recargas!$L$95*'Plan mensual'!G92+parametros_recargas!$M$95*'Plan mensual'!G94</f>
        <v>3172.60528528231</v>
      </c>
      <c r="F85" s="26" t="n">
        <f aca="false">parametros_recargas!$E$95*'Plan mensual'!H85+parametros_recargas!$F$95*'Plan mensual'!H86+parametros_recargas!$G$95*'Plan mensual'!H87+parametros_recargas!$H$95*'Plan mensual'!H88+parametros_recargas!$I$95*'Plan mensual'!H89+parametros_recargas!$J$95*'Plan mensual'!H90+parametros_recargas!$K$95*'Plan mensual'!H91+parametros_recargas!$L$95*'Plan mensual'!H92+parametros_recargas!$M$95*'Plan mensual'!H94</f>
        <v>3194.74552847312</v>
      </c>
      <c r="G85" s="26" t="n">
        <f aca="false">parametros_recargas!$E$95*'Plan mensual'!I85+parametros_recargas!$F$95*'Plan mensual'!I86+parametros_recargas!$G$95*'Plan mensual'!I87+parametros_recargas!$H$95*'Plan mensual'!I88+parametros_recargas!$I$95*'Plan mensual'!I89+parametros_recargas!$J$95*'Plan mensual'!I90+parametros_recargas!$K$95*'Plan mensual'!I91+parametros_recargas!$L$95*'Plan mensual'!I92+parametros_recargas!$M$95*'Plan mensual'!I94</f>
        <v>3157.97245270124</v>
      </c>
      <c r="H85" s="26" t="n">
        <f aca="false">parametros_recargas!$E$95*'Plan mensual'!J85+parametros_recargas!$F$95*'Plan mensual'!J86+parametros_recargas!$G$95*'Plan mensual'!J87+parametros_recargas!$H$95*'Plan mensual'!J88+parametros_recargas!$I$95*'Plan mensual'!J89+parametros_recargas!$J$95*'Plan mensual'!J90+parametros_recargas!$K$95*'Plan mensual'!J91+parametros_recargas!$L$95*'Plan mensual'!J92+parametros_recargas!$M$95*'Plan mensual'!J94</f>
        <v>2800.46167612644</v>
      </c>
      <c r="I85" s="26" t="n">
        <f aca="false">parametros_recargas!$E$95*'Plan mensual'!K85+parametros_recargas!$F$95*'Plan mensual'!K86+parametros_recargas!$G$95*'Plan mensual'!K87+parametros_recargas!$H$95*'Plan mensual'!K88+parametros_recargas!$I$95*'Plan mensual'!K89+parametros_recargas!$J$95*'Plan mensual'!K90+parametros_recargas!$K$95*'Plan mensual'!K91+parametros_recargas!$L$95*'Plan mensual'!K92+parametros_recargas!$M$95*'Plan mensual'!K94</f>
        <v>2824.76957365378</v>
      </c>
      <c r="J85" s="26" t="n">
        <f aca="false">parametros_recargas!$E$95*'Plan mensual'!L85+parametros_recargas!$F$95*'Plan mensual'!L86+parametros_recargas!$G$95*'Plan mensual'!L87+parametros_recargas!$H$95*'Plan mensual'!L88+parametros_recargas!$I$95*'Plan mensual'!L89+parametros_recargas!$J$95*'Plan mensual'!L90+parametros_recargas!$K$95*'Plan mensual'!L91+parametros_recargas!$L$95*'Plan mensual'!L92+parametros_recargas!$M$95*'Plan mensual'!L94</f>
        <v>2856.6567845169</v>
      </c>
      <c r="K85" s="26" t="n">
        <f aca="false">parametros_recargas!$E$95*'Plan mensual'!M85+parametros_recargas!$F$95*'Plan mensual'!M86+parametros_recargas!$G$95*'Plan mensual'!M87+parametros_recargas!$H$95*'Plan mensual'!M88+parametros_recargas!$I$95*'Plan mensual'!M89+parametros_recargas!$J$95*'Plan mensual'!M90+parametros_recargas!$K$95*'Plan mensual'!M91+parametros_recargas!$L$95*'Plan mensual'!M92+parametros_recargas!$M$95*'Plan mensual'!M94</f>
        <v>2855.87611548515</v>
      </c>
      <c r="L85" s="26" t="n">
        <f aca="false">parametros_recargas!$E$95*'Plan mensual'!N85+parametros_recargas!$F$95*'Plan mensual'!N86+parametros_recargas!$G$95*'Plan mensual'!N87+parametros_recargas!$H$95*'Plan mensual'!N88+parametros_recargas!$I$95*'Plan mensual'!N89+parametros_recargas!$J$95*'Plan mensual'!N90+parametros_recargas!$K$95*'Plan mensual'!N91+parametros_recargas!$L$95*'Plan mensual'!N92+parametros_recargas!$M$95*'Plan mensual'!N94</f>
        <v>3262.09031594867</v>
      </c>
      <c r="M85" s="26" t="n">
        <f aca="false">parametros_recargas!$E$95*'Plan mensual'!O85+parametros_recargas!$F$95*'Plan mensual'!O86+parametros_recargas!$G$95*'Plan mensual'!O87+parametros_recargas!$H$95*'Plan mensual'!O88+parametros_recargas!$I$95*'Plan mensual'!O89+parametros_recargas!$J$95*'Plan mensual'!O90+parametros_recargas!$K$95*'Plan mensual'!O91+parametros_recargas!$L$95*'Plan mensual'!O92+parametros_recargas!$M$95*'Plan mensual'!O94</f>
        <v>3732.40556989078</v>
      </c>
      <c r="N85" s="12" t="n">
        <f aca="false">SUM(B85:M85)</f>
        <v>37100.1709378672</v>
      </c>
      <c r="O85" s="27" t="n">
        <f aca="false">MAX(B85:M85)</f>
        <v>3732.40556989078</v>
      </c>
      <c r="P85" s="16" t="n">
        <f aca="false">O85/parametros_recargas!$B$6</f>
        <v>24.8827037992719</v>
      </c>
    </row>
    <row r="86" customFormat="false" ht="15" hidden="false" customHeight="false" outlineLevel="0" collapsed="false">
      <c r="A86" s="6" t="str">
        <f aca="false">parametros_recargas!$B$96</f>
        <v>Precinto, etiqueta y despacho</v>
      </c>
      <c r="B86" s="26" t="n">
        <f aca="false">parametros_recargas!$E$96*'Plan mensual'!D85+parametros_recargas!$F$96*'Plan mensual'!D86+parametros_recargas!$G$96*'Plan mensual'!D87+parametros_recargas!$H$96*'Plan mensual'!D88+parametros_recargas!$I$96*'Plan mensual'!D89+parametros_recargas!$J$96*'Plan mensual'!D90+parametros_recargas!$K$96*'Plan mensual'!D91+parametros_recargas!$L$96*'Plan mensual'!D92+parametros_recargas!$M$96*'Plan mensual'!D94</f>
        <v>3404.90830676181</v>
      </c>
      <c r="C86" s="26" t="n">
        <f aca="false">parametros_recargas!$E$96*'Plan mensual'!E85+parametros_recargas!$F$96*'Plan mensual'!E86+parametros_recargas!$G$96*'Plan mensual'!E87+parametros_recargas!$H$96*'Plan mensual'!E88+parametros_recargas!$I$96*'Plan mensual'!E89+parametros_recargas!$J$96*'Plan mensual'!E90+parametros_recargas!$K$96*'Plan mensual'!E91+parametros_recargas!$L$96*'Plan mensual'!E92+parametros_recargas!$M$96*'Plan mensual'!E94</f>
        <v>2972.84305955984</v>
      </c>
      <c r="D86" s="26" t="n">
        <f aca="false">parametros_recargas!$E$96*'Plan mensual'!F85+parametros_recargas!$F$96*'Plan mensual'!F86+parametros_recargas!$G$96*'Plan mensual'!F87+parametros_recargas!$H$96*'Plan mensual'!F88+parametros_recargas!$I$96*'Plan mensual'!F89+parametros_recargas!$J$96*'Plan mensual'!F90+parametros_recargas!$K$96*'Plan mensual'!F91+parametros_recargas!$L$96*'Plan mensual'!F92+parametros_recargas!$M$96*'Plan mensual'!F94</f>
        <v>2864.83626946714</v>
      </c>
      <c r="E86" s="26" t="n">
        <f aca="false">parametros_recargas!$E$96*'Plan mensual'!G85+parametros_recargas!$F$96*'Plan mensual'!G86+parametros_recargas!$G$96*'Plan mensual'!G87+parametros_recargas!$H$96*'Plan mensual'!G88+parametros_recargas!$I$96*'Plan mensual'!G89+parametros_recargas!$J$96*'Plan mensual'!G90+parametros_recargas!$K$96*'Plan mensual'!G91+parametros_recargas!$L$96*'Plan mensual'!G92+parametros_recargas!$M$96*'Plan mensual'!G94</f>
        <v>3172.60528528231</v>
      </c>
      <c r="F86" s="26" t="n">
        <f aca="false">parametros_recargas!$E$96*'Plan mensual'!H85+parametros_recargas!$F$96*'Plan mensual'!H86+parametros_recargas!$G$96*'Plan mensual'!H87+parametros_recargas!$H$96*'Plan mensual'!H88+parametros_recargas!$I$96*'Plan mensual'!H89+parametros_recargas!$J$96*'Plan mensual'!H90+parametros_recargas!$K$96*'Plan mensual'!H91+parametros_recargas!$L$96*'Plan mensual'!H92+parametros_recargas!$M$96*'Plan mensual'!H94</f>
        <v>3194.74552847312</v>
      </c>
      <c r="G86" s="26" t="n">
        <f aca="false">parametros_recargas!$E$96*'Plan mensual'!I85+parametros_recargas!$F$96*'Plan mensual'!I86+parametros_recargas!$G$96*'Plan mensual'!I87+parametros_recargas!$H$96*'Plan mensual'!I88+parametros_recargas!$I$96*'Plan mensual'!I89+parametros_recargas!$J$96*'Plan mensual'!I90+parametros_recargas!$K$96*'Plan mensual'!I91+parametros_recargas!$L$96*'Plan mensual'!I92+parametros_recargas!$M$96*'Plan mensual'!I94</f>
        <v>3157.97245270124</v>
      </c>
      <c r="H86" s="26" t="n">
        <f aca="false">parametros_recargas!$E$96*'Plan mensual'!J85+parametros_recargas!$F$96*'Plan mensual'!J86+parametros_recargas!$G$96*'Plan mensual'!J87+parametros_recargas!$H$96*'Plan mensual'!J88+parametros_recargas!$I$96*'Plan mensual'!J89+parametros_recargas!$J$96*'Plan mensual'!J90+parametros_recargas!$K$96*'Plan mensual'!J91+parametros_recargas!$L$96*'Plan mensual'!J92+parametros_recargas!$M$96*'Plan mensual'!J94</f>
        <v>2800.46167612644</v>
      </c>
      <c r="I86" s="26" t="n">
        <f aca="false">parametros_recargas!$E$96*'Plan mensual'!K85+parametros_recargas!$F$96*'Plan mensual'!K86+parametros_recargas!$G$96*'Plan mensual'!K87+parametros_recargas!$H$96*'Plan mensual'!K88+parametros_recargas!$I$96*'Plan mensual'!K89+parametros_recargas!$J$96*'Plan mensual'!K90+parametros_recargas!$K$96*'Plan mensual'!K91+parametros_recargas!$L$96*'Plan mensual'!K92+parametros_recargas!$M$96*'Plan mensual'!K94</f>
        <v>2824.76957365378</v>
      </c>
      <c r="J86" s="26" t="n">
        <f aca="false">parametros_recargas!$E$96*'Plan mensual'!L85+parametros_recargas!$F$96*'Plan mensual'!L86+parametros_recargas!$G$96*'Plan mensual'!L87+parametros_recargas!$H$96*'Plan mensual'!L88+parametros_recargas!$I$96*'Plan mensual'!L89+parametros_recargas!$J$96*'Plan mensual'!L90+parametros_recargas!$K$96*'Plan mensual'!L91+parametros_recargas!$L$96*'Plan mensual'!L92+parametros_recargas!$M$96*'Plan mensual'!L94</f>
        <v>2856.6567845169</v>
      </c>
      <c r="K86" s="26" t="n">
        <f aca="false">parametros_recargas!$E$96*'Plan mensual'!M85+parametros_recargas!$F$96*'Plan mensual'!M86+parametros_recargas!$G$96*'Plan mensual'!M87+parametros_recargas!$H$96*'Plan mensual'!M88+parametros_recargas!$I$96*'Plan mensual'!M89+parametros_recargas!$J$96*'Plan mensual'!M90+parametros_recargas!$K$96*'Plan mensual'!M91+parametros_recargas!$L$96*'Plan mensual'!M92+parametros_recargas!$M$96*'Plan mensual'!M94</f>
        <v>2855.87611548515</v>
      </c>
      <c r="L86" s="26" t="n">
        <f aca="false">parametros_recargas!$E$96*'Plan mensual'!N85+parametros_recargas!$F$96*'Plan mensual'!N86+parametros_recargas!$G$96*'Plan mensual'!N87+parametros_recargas!$H$96*'Plan mensual'!N88+parametros_recargas!$I$96*'Plan mensual'!N89+parametros_recargas!$J$96*'Plan mensual'!N90+parametros_recargas!$K$96*'Plan mensual'!N91+parametros_recargas!$L$96*'Plan mensual'!N92+parametros_recargas!$M$96*'Plan mensual'!N94</f>
        <v>3262.09031594867</v>
      </c>
      <c r="M86" s="26" t="n">
        <f aca="false">parametros_recargas!$E$96*'Plan mensual'!O85+parametros_recargas!$F$96*'Plan mensual'!O86+parametros_recargas!$G$96*'Plan mensual'!O87+parametros_recargas!$H$96*'Plan mensual'!O88+parametros_recargas!$I$96*'Plan mensual'!O89+parametros_recargas!$J$96*'Plan mensual'!O90+parametros_recargas!$K$96*'Plan mensual'!O91+parametros_recargas!$L$96*'Plan mensual'!O92+parametros_recargas!$M$96*'Plan mensual'!O94</f>
        <v>3732.40556989078</v>
      </c>
      <c r="N86" s="12" t="n">
        <f aca="false">SUM(B86:M86)</f>
        <v>37100.1709378672</v>
      </c>
      <c r="O86" s="27" t="n">
        <f aca="false">MAX(B86:M86)</f>
        <v>3732.40556989078</v>
      </c>
      <c r="P86" s="16" t="n">
        <f aca="false">O86/parametros_recargas!$B$6</f>
        <v>24.8827037992719</v>
      </c>
    </row>
    <row r="87" customFormat="false" ht="15" hidden="false" customHeight="false" outlineLevel="0" collapsed="false">
      <c r="A87" s="6" t="str">
        <f aca="false">parametros_recargas!$B$97</f>
        <v>Inutilización y disposición final</v>
      </c>
      <c r="B87" s="26" t="n">
        <f aca="false">parametros_recargas!$E$97*'Plan mensual'!D85+parametros_recargas!$F$97*'Plan mensual'!D86+parametros_recargas!$G$97*'Plan mensual'!D87+parametros_recargas!$H$97*'Plan mensual'!D88+parametros_recargas!$I$97*'Plan mensual'!D89+parametros_recargas!$J$97*'Plan mensual'!D90+parametros_recargas!$K$97*'Plan mensual'!D91+parametros_recargas!$L$97*'Plan mensual'!D92+parametros_recargas!$M$97*'Plan mensual'!D94</f>
        <v>268.091155492207</v>
      </c>
      <c r="C87" s="26" t="n">
        <f aca="false">parametros_recargas!$E$97*'Plan mensual'!E85+parametros_recargas!$F$97*'Plan mensual'!E86+parametros_recargas!$G$97*'Plan mensual'!E87+parametros_recargas!$H$97*'Plan mensual'!E88+parametros_recargas!$I$97*'Plan mensual'!E89+parametros_recargas!$J$97*'Plan mensual'!E90+parametros_recargas!$K$97*'Plan mensual'!E91+parametros_recargas!$L$97*'Plan mensual'!E92+parametros_recargas!$M$97*'Plan mensual'!E94</f>
        <v>233.723845238589</v>
      </c>
      <c r="D87" s="26" t="n">
        <f aca="false">parametros_recargas!$E$97*'Plan mensual'!F85+parametros_recargas!$F$97*'Plan mensual'!F86+parametros_recargas!$G$97*'Plan mensual'!F87+parametros_recargas!$H$97*'Plan mensual'!F88+parametros_recargas!$I$97*'Plan mensual'!F89+parametros_recargas!$J$97*'Plan mensual'!F90+parametros_recargas!$K$97*'Plan mensual'!F91+parametros_recargas!$L$97*'Plan mensual'!F92+parametros_recargas!$M$97*'Plan mensual'!F94</f>
        <v>224.150060977187</v>
      </c>
      <c r="E87" s="26" t="n">
        <f aca="false">parametros_recargas!$E$97*'Plan mensual'!G85+parametros_recargas!$F$97*'Plan mensual'!G86+parametros_recargas!$G$97*'Plan mensual'!G87+parametros_recargas!$H$97*'Plan mensual'!G88+parametros_recargas!$I$97*'Plan mensual'!G89+parametros_recargas!$J$97*'Plan mensual'!G90+parametros_recargas!$K$97*'Plan mensual'!G91+parametros_recargas!$L$97*'Plan mensual'!G92+parametros_recargas!$M$97*'Plan mensual'!G94</f>
        <v>247.924017509336</v>
      </c>
      <c r="F87" s="26" t="n">
        <f aca="false">parametros_recargas!$E$97*'Plan mensual'!H85+parametros_recargas!$F$97*'Plan mensual'!H86+parametros_recargas!$G$97*'Plan mensual'!H87+parametros_recargas!$H$97*'Plan mensual'!H88+parametros_recargas!$I$97*'Plan mensual'!H89+parametros_recargas!$J$97*'Plan mensual'!H90+parametros_recargas!$K$97*'Plan mensual'!H91+parametros_recargas!$L$97*'Plan mensual'!H92+parametros_recargas!$M$97*'Plan mensual'!H94</f>
        <v>249.705476197993</v>
      </c>
      <c r="G87" s="26" t="n">
        <f aca="false">parametros_recargas!$E$97*'Plan mensual'!I85+parametros_recargas!$F$97*'Plan mensual'!I86+parametros_recargas!$G$97*'Plan mensual'!I87+parametros_recargas!$H$97*'Plan mensual'!I88+parametros_recargas!$I$97*'Plan mensual'!I89+parametros_recargas!$J$97*'Plan mensual'!I90+parametros_recargas!$K$97*'Plan mensual'!I91+parametros_recargas!$L$97*'Plan mensual'!I92+parametros_recargas!$M$97*'Plan mensual'!I94</f>
        <v>246.929382081355</v>
      </c>
      <c r="H87" s="26" t="n">
        <f aca="false">parametros_recargas!$E$97*'Plan mensual'!J85+parametros_recargas!$F$97*'Plan mensual'!J86+parametros_recargas!$G$97*'Plan mensual'!J87+parametros_recargas!$H$97*'Plan mensual'!J88+parametros_recargas!$I$97*'Plan mensual'!J89+parametros_recargas!$J$97*'Plan mensual'!J90+parametros_recargas!$K$97*'Plan mensual'!J91+parametros_recargas!$L$97*'Plan mensual'!J92+parametros_recargas!$M$97*'Plan mensual'!J94</f>
        <v>219.201328416888</v>
      </c>
      <c r="I87" s="26" t="n">
        <f aca="false">parametros_recargas!$E$97*'Plan mensual'!K85+parametros_recargas!$F$97*'Plan mensual'!K86+parametros_recargas!$G$97*'Plan mensual'!K87+parametros_recargas!$H$97*'Plan mensual'!K88+parametros_recargas!$I$97*'Plan mensual'!K89+parametros_recargas!$J$97*'Plan mensual'!K90+parametros_recargas!$K$97*'Plan mensual'!K91+parametros_recargas!$L$97*'Plan mensual'!K92+parametros_recargas!$M$97*'Plan mensual'!K94</f>
        <v>221.141220661159</v>
      </c>
      <c r="J87" s="26" t="n">
        <f aca="false">parametros_recargas!$E$97*'Plan mensual'!L85+parametros_recargas!$F$97*'Plan mensual'!L86+parametros_recargas!$G$97*'Plan mensual'!L87+parametros_recargas!$H$97*'Plan mensual'!L88+parametros_recargas!$I$97*'Plan mensual'!L89+parametros_recargas!$J$97*'Plan mensual'!L90+parametros_recargas!$K$97*'Plan mensual'!L91+parametros_recargas!$L$97*'Plan mensual'!L92+parametros_recargas!$M$97*'Plan mensual'!L94</f>
        <v>223.609353433288</v>
      </c>
      <c r="K87" s="26" t="n">
        <f aca="false">parametros_recargas!$E$97*'Plan mensual'!M85+parametros_recargas!$F$97*'Plan mensual'!M86+parametros_recargas!$G$97*'Plan mensual'!M87+parametros_recargas!$H$97*'Plan mensual'!M88+parametros_recargas!$I$97*'Plan mensual'!M89+parametros_recargas!$J$97*'Plan mensual'!M90+parametros_recargas!$K$97*'Plan mensual'!M91+parametros_recargas!$L$97*'Plan mensual'!M92+parametros_recargas!$M$97*'Plan mensual'!M94</f>
        <v>223.609353433288</v>
      </c>
      <c r="L87" s="26" t="n">
        <f aca="false">parametros_recargas!$E$97*'Plan mensual'!N85+parametros_recargas!$F$97*'Plan mensual'!N86+parametros_recargas!$G$97*'Plan mensual'!N87+parametros_recargas!$H$97*'Plan mensual'!N88+parametros_recargas!$I$97*'Plan mensual'!N89+parametros_recargas!$J$97*'Plan mensual'!N90+parametros_recargas!$K$97*'Plan mensual'!N91+parametros_recargas!$L$97*'Plan mensual'!N92+parametros_recargas!$M$97*'Plan mensual'!N94</f>
        <v>256.195204998248</v>
      </c>
      <c r="M87" s="26" t="n">
        <f aca="false">parametros_recargas!$E$97*'Plan mensual'!O85+parametros_recargas!$F$97*'Plan mensual'!O86+parametros_recargas!$G$97*'Plan mensual'!O87+parametros_recargas!$H$97*'Plan mensual'!O88+parametros_recargas!$I$97*'Plan mensual'!O89+parametros_recargas!$J$97*'Plan mensual'!O90+parametros_recargas!$K$97*'Plan mensual'!O91+parametros_recargas!$L$97*'Plan mensual'!O92+parametros_recargas!$M$97*'Plan mensual'!O94</f>
        <v>293.338609368504</v>
      </c>
      <c r="N87" s="12" t="n">
        <f aca="false">SUM(B87:M87)</f>
        <v>2907.61900780804</v>
      </c>
      <c r="O87" s="27" t="n">
        <f aca="false">MAX(B87:M87)</f>
        <v>293.338609368504</v>
      </c>
      <c r="P87" s="16" t="n">
        <f aca="false">O87/parametros_recargas!$B$6</f>
        <v>1.95559072912336</v>
      </c>
    </row>
    <row r="88" customFormat="false" ht="15" hidden="false" customHeight="false" outlineLevel="0" collapsed="false">
      <c r="A88" s="6" t="str">
        <f aca="false">parametros_recargas!$B$98</f>
        <v>PH de mangueras (CO₂ y rodantes)</v>
      </c>
      <c r="B88" s="26" t="n">
        <f aca="false">'Plan mensual'!D93</f>
        <v>97.4580327002195</v>
      </c>
      <c r="C88" s="26" t="n">
        <f aca="false">'Plan mensual'!E93</f>
        <v>97.4580327002195</v>
      </c>
      <c r="D88" s="26" t="n">
        <f aca="false">'Plan mensual'!F93</f>
        <v>105.910311054764</v>
      </c>
      <c r="E88" s="26" t="n">
        <f aca="false">'Plan mensual'!G93</f>
        <v>117.412134764836</v>
      </c>
      <c r="F88" s="26" t="n">
        <f aca="false">'Plan mensual'!H93</f>
        <v>118.778363929262</v>
      </c>
      <c r="G88" s="26" t="n">
        <f aca="false">'Plan mensual'!I93</f>
        <v>113.930653265433</v>
      </c>
      <c r="H88" s="26" t="n">
        <f aca="false">'Plan mensual'!J93</f>
        <v>100.896830880379</v>
      </c>
      <c r="I88" s="26" t="n">
        <f aca="false">'Plan mensual'!K93</f>
        <v>101.996893411486</v>
      </c>
      <c r="J88" s="26" t="n">
        <f aca="false">'Plan mensual'!L93</f>
        <v>106.136390212412</v>
      </c>
      <c r="K88" s="26" t="n">
        <f aca="false">'Plan mensual'!M93</f>
        <v>106.136390212412</v>
      </c>
      <c r="L88" s="26" t="n">
        <f aca="false">'Plan mensual'!N93</f>
        <v>104.770161047985</v>
      </c>
      <c r="M88" s="26" t="n">
        <f aca="false">'Plan mensual'!O93</f>
        <v>109.617871711814</v>
      </c>
      <c r="N88" s="12" t="n">
        <f aca="false">SUM(B88:M88)</f>
        <v>1280.50206589122</v>
      </c>
      <c r="O88" s="27" t="n">
        <f aca="false">MAX(B88:M88)</f>
        <v>118.778363929262</v>
      </c>
      <c r="P88" s="16" t="n">
        <f aca="false">O88/parametros_recargas!$B$6</f>
        <v>0.791855759528416</v>
      </c>
    </row>
    <row r="97" customFormat="false" ht="23.85" hidden="false" customHeight="false" outlineLevel="0" collapsed="false">
      <c r="A97" s="3" t="s">
        <v>395</v>
      </c>
      <c r="B97" s="3" t="s">
        <v>64</v>
      </c>
      <c r="C97" s="3" t="s">
        <v>65</v>
      </c>
      <c r="D97" s="3" t="s">
        <v>66</v>
      </c>
      <c r="E97" s="3" t="s">
        <v>67</v>
      </c>
      <c r="F97" s="3" t="s">
        <v>68</v>
      </c>
      <c r="G97" s="3" t="s">
        <v>69</v>
      </c>
      <c r="H97" s="3" t="s">
        <v>70</v>
      </c>
      <c r="I97" s="3" t="s">
        <v>71</v>
      </c>
      <c r="J97" s="3" t="s">
        <v>72</v>
      </c>
      <c r="K97" s="3" t="s">
        <v>73</v>
      </c>
      <c r="L97" s="3" t="s">
        <v>74</v>
      </c>
      <c r="M97" s="3" t="s">
        <v>75</v>
      </c>
      <c r="N97" s="3" t="s">
        <v>390</v>
      </c>
      <c r="O97" s="3" t="s">
        <v>391</v>
      </c>
      <c r="P97" s="3" t="s">
        <v>392</v>
      </c>
    </row>
    <row r="98" customFormat="false" ht="15" hidden="false" customHeight="false" outlineLevel="0" collapsed="false">
      <c r="A98" s="6" t="str">
        <f aca="false">parametros_recargas!$B$76</f>
        <v>Recepción y registro</v>
      </c>
      <c r="B98" s="26" t="n">
        <f aca="false">parametros_recargas!$E$76*'Plan mensual'!D117+parametros_recargas!$F$76*'Plan mensual'!D118+parametros_recargas!$G$76*'Plan mensual'!D119+parametros_recargas!$H$76*'Plan mensual'!D120+parametros_recargas!$I$76*'Plan mensual'!D121+parametros_recargas!$J$76*'Plan mensual'!D122+parametros_recargas!$K$76*'Plan mensual'!D123+parametros_recargas!$L$76*'Plan mensual'!D124+parametros_recargas!$M$76*'Plan mensual'!D126</f>
        <v>6280.71147738747</v>
      </c>
      <c r="C98" s="26" t="n">
        <f aca="false">parametros_recargas!$E$76*'Plan mensual'!E117+parametros_recargas!$F$76*'Plan mensual'!E118+parametros_recargas!$G$76*'Plan mensual'!E119+parametros_recargas!$H$76*'Plan mensual'!E120+parametros_recargas!$I$76*'Plan mensual'!E121+parametros_recargas!$J$76*'Plan mensual'!E122+parametros_recargas!$K$76*'Plan mensual'!E123+parametros_recargas!$L$76*'Plan mensual'!E124+parametros_recargas!$M$76*'Plan mensual'!E126</f>
        <v>5487.51156899805</v>
      </c>
      <c r="D98" s="26" t="n">
        <f aca="false">parametros_recargas!$E$76*'Plan mensual'!F117+parametros_recargas!$F$76*'Plan mensual'!F118+parametros_recargas!$G$76*'Plan mensual'!F119+parametros_recargas!$H$76*'Plan mensual'!F120+parametros_recargas!$I$76*'Plan mensual'!F121+parametros_recargas!$J$76*'Plan mensual'!F122+parametros_recargas!$K$76*'Plan mensual'!F123+parametros_recargas!$L$76*'Plan mensual'!F124+parametros_recargas!$M$76*'Plan mensual'!F126</f>
        <v>5302.49264618942</v>
      </c>
      <c r="E98" s="26" t="n">
        <f aca="false">parametros_recargas!$E$76*'Plan mensual'!G117+parametros_recargas!$F$76*'Plan mensual'!G118+parametros_recargas!$G$76*'Plan mensual'!G119+parametros_recargas!$H$76*'Plan mensual'!G120+parametros_recargas!$I$76*'Plan mensual'!G121+parametros_recargas!$J$76*'Plan mensual'!G122+parametros_recargas!$K$76*'Plan mensual'!G123+parametros_recargas!$L$76*'Plan mensual'!G124+parametros_recargas!$M$76*'Plan mensual'!G126</f>
        <v>5880.54801280282</v>
      </c>
      <c r="F98" s="26" t="n">
        <f aca="false">parametros_recargas!$E$76*'Plan mensual'!H117+parametros_recargas!$F$76*'Plan mensual'!H118+parametros_recargas!$G$76*'Plan mensual'!H119+parametros_recargas!$H$76*'Plan mensual'!H120+parametros_recargas!$I$76*'Plan mensual'!H121+parametros_recargas!$J$76*'Plan mensual'!H122+parametros_recargas!$K$76*'Plan mensual'!H123+parametros_recargas!$L$76*'Plan mensual'!H124+parametros_recargas!$M$76*'Plan mensual'!H126</f>
        <v>5921.5936872491</v>
      </c>
      <c r="G98" s="26" t="n">
        <f aca="false">parametros_recargas!$E$76*'Plan mensual'!I117+parametros_recargas!$F$76*'Plan mensual'!I118+parametros_recargas!$G$76*'Plan mensual'!I119+parametros_recargas!$H$76*'Plan mensual'!I120+parametros_recargas!$I$76*'Plan mensual'!I121+parametros_recargas!$J$76*'Plan mensual'!I122+parametros_recargas!$K$76*'Plan mensual'!I123+parametros_recargas!$L$76*'Plan mensual'!I124+parametros_recargas!$M$76*'Plan mensual'!I126</f>
        <v>5853.68216462042</v>
      </c>
      <c r="H98" s="26" t="n">
        <f aca="false">parametros_recargas!$E$76*'Plan mensual'!J117+parametros_recargas!$F$76*'Plan mensual'!J118+parametros_recargas!$G$76*'Plan mensual'!J119+parametros_recargas!$H$76*'Plan mensual'!J120+parametros_recargas!$I$76*'Plan mensual'!J121+parametros_recargas!$J$76*'Plan mensual'!J122+parametros_recargas!$K$76*'Plan mensual'!J123+parametros_recargas!$L$76*'Plan mensual'!J124+parametros_recargas!$M$76*'Plan mensual'!J126</f>
        <v>5183.12386602475</v>
      </c>
      <c r="I98" s="26" t="n">
        <f aca="false">parametros_recargas!$E$76*'Plan mensual'!K117+parametros_recargas!$F$76*'Plan mensual'!K118+parametros_recargas!$G$76*'Plan mensual'!K119+parametros_recargas!$H$76*'Plan mensual'!K120+parametros_recargas!$I$76*'Plan mensual'!K121+parametros_recargas!$J$76*'Plan mensual'!K122+parametros_recargas!$K$76*'Plan mensual'!K123+parametros_recargas!$L$76*'Plan mensual'!K124+parametros_recargas!$M$76*'Plan mensual'!K126</f>
        <v>5227.62411557072</v>
      </c>
      <c r="J98" s="26" t="n">
        <f aca="false">parametros_recargas!$E$76*'Plan mensual'!L117+parametros_recargas!$F$76*'Plan mensual'!L118+parametros_recargas!$G$76*'Plan mensual'!L119+parametros_recargas!$H$76*'Plan mensual'!L120+parametros_recargas!$I$76*'Plan mensual'!L121+parametros_recargas!$J$76*'Plan mensual'!L122+parametros_recargas!$K$76*'Plan mensual'!L123+parametros_recargas!$L$76*'Plan mensual'!L124+parametros_recargas!$M$76*'Plan mensual'!L126</f>
        <v>5286.67916893699</v>
      </c>
      <c r="K98" s="26" t="n">
        <f aca="false">parametros_recargas!$E$76*'Plan mensual'!M117+parametros_recargas!$F$76*'Plan mensual'!M118+parametros_recargas!$G$76*'Plan mensual'!M119+parametros_recargas!$H$76*'Plan mensual'!M120+parametros_recargas!$I$76*'Plan mensual'!M121+parametros_recargas!$J$76*'Plan mensual'!M122+parametros_recargas!$K$76*'Plan mensual'!M123+parametros_recargas!$L$76*'Plan mensual'!M124+parametros_recargas!$M$76*'Plan mensual'!M126</f>
        <v>5285.39861677844</v>
      </c>
      <c r="L98" s="26" t="n">
        <f aca="false">parametros_recargas!$E$76*'Plan mensual'!N117+parametros_recargas!$F$76*'Plan mensual'!N118+parametros_recargas!$G$76*'Plan mensual'!N119+parametros_recargas!$H$76*'Plan mensual'!N120+parametros_recargas!$I$76*'Plan mensual'!N121+parametros_recargas!$J$76*'Plan mensual'!N122+parametros_recargas!$K$76*'Plan mensual'!N123+parametros_recargas!$L$76*'Plan mensual'!N124+parametros_recargas!$M$76*'Plan mensual'!N126</f>
        <v>6031.48392248375</v>
      </c>
      <c r="M98" s="26" t="n">
        <f aca="false">parametros_recargas!$E$76*'Plan mensual'!O117+parametros_recargas!$F$76*'Plan mensual'!O118+parametros_recargas!$G$76*'Plan mensual'!O119+parametros_recargas!$H$76*'Plan mensual'!O120+parametros_recargas!$I$76*'Plan mensual'!O121+parametros_recargas!$J$76*'Plan mensual'!O122+parametros_recargas!$K$76*'Plan mensual'!O123+parametros_recargas!$L$76*'Plan mensual'!O124+parametros_recargas!$M$76*'Plan mensual'!O126</f>
        <v>6895.00200134329</v>
      </c>
      <c r="N98" s="12" t="n">
        <f aca="false">SUM(B98:M98)</f>
        <v>68635.8512483852</v>
      </c>
      <c r="O98" s="27" t="n">
        <f aca="false">MAX(B98:M98)</f>
        <v>6895.00200134329</v>
      </c>
      <c r="P98" s="16" t="n">
        <f aca="false">O98/parametros_recargas!$B$6</f>
        <v>45.9666800089553</v>
      </c>
    </row>
    <row r="99" customFormat="false" ht="15" hidden="false" customHeight="false" outlineLevel="0" collapsed="false">
      <c r="A99" s="6" t="str">
        <f aca="false">parametros_recargas!$B$77</f>
        <v>Inspección visual</v>
      </c>
      <c r="B99" s="26" t="n">
        <f aca="false">parametros_recargas!$E$77*'Plan mensual'!D117+parametros_recargas!$F$77*'Plan mensual'!D118+parametros_recargas!$G$77*'Plan mensual'!D119+parametros_recargas!$H$77*'Plan mensual'!D120+parametros_recargas!$I$77*'Plan mensual'!D121+parametros_recargas!$J$77*'Plan mensual'!D122+parametros_recargas!$K$77*'Plan mensual'!D123+parametros_recargas!$L$77*'Plan mensual'!D124+parametros_recargas!$M$77*'Plan mensual'!D126</f>
        <v>6259.22608403979</v>
      </c>
      <c r="C99" s="26" t="n">
        <f aca="false">parametros_recargas!$E$77*'Plan mensual'!E117+parametros_recargas!$F$77*'Plan mensual'!E118+parametros_recargas!$G$77*'Plan mensual'!E119+parametros_recargas!$H$77*'Plan mensual'!E120+parametros_recargas!$I$77*'Plan mensual'!E121+parametros_recargas!$J$77*'Plan mensual'!E122+parametros_recargas!$K$77*'Plan mensual'!E123+parametros_recargas!$L$77*'Plan mensual'!E124+parametros_recargas!$M$77*'Plan mensual'!E126</f>
        <v>5470.07212780893</v>
      </c>
      <c r="D99" s="26" t="n">
        <f aca="false">parametros_recargas!$E$77*'Plan mensual'!F117+parametros_recargas!$F$77*'Plan mensual'!F118+parametros_recargas!$G$77*'Plan mensual'!F119+parametros_recargas!$H$77*'Plan mensual'!F120+parametros_recargas!$I$77*'Plan mensual'!F121+parametros_recargas!$J$77*'Plan mensual'!F122+parametros_recargas!$K$77*'Plan mensual'!F123+parametros_recargas!$L$77*'Plan mensual'!F124+parametros_recargas!$M$77*'Plan mensual'!F126</f>
        <v>5283.59327676247</v>
      </c>
      <c r="E99" s="26" t="n">
        <f aca="false">parametros_recargas!$E$77*'Plan mensual'!G117+parametros_recargas!$F$77*'Plan mensual'!G118+parametros_recargas!$G$77*'Plan mensual'!G119+parametros_recargas!$H$77*'Plan mensual'!G120+parametros_recargas!$I$77*'Plan mensual'!G121+parametros_recargas!$J$77*'Plan mensual'!G122+parametros_recargas!$K$77*'Plan mensual'!G123+parametros_recargas!$L$77*'Plan mensual'!G124+parametros_recargas!$M$77*'Plan mensual'!G126</f>
        <v>5861.64864337587</v>
      </c>
      <c r="F99" s="26" t="n">
        <f aca="false">parametros_recargas!$E$77*'Plan mensual'!H117+parametros_recargas!$F$77*'Plan mensual'!H118+parametros_recargas!$G$77*'Plan mensual'!H119+parametros_recargas!$H$77*'Plan mensual'!H120+parametros_recargas!$I$77*'Plan mensual'!H121+parametros_recargas!$J$77*'Plan mensual'!H122+parametros_recargas!$K$77*'Plan mensual'!H123+parametros_recargas!$L$77*'Plan mensual'!H124+parametros_recargas!$M$77*'Plan mensual'!H126</f>
        <v>5903.61611782215</v>
      </c>
      <c r="G99" s="26" t="n">
        <f aca="false">parametros_recargas!$E$77*'Plan mensual'!I117+parametros_recargas!$F$77*'Plan mensual'!I118+parametros_recargas!$G$77*'Plan mensual'!I119+parametros_recargas!$H$77*'Plan mensual'!I120+parametros_recargas!$I$77*'Plan mensual'!I121+parametros_recargas!$J$77*'Plan mensual'!I122+parametros_recargas!$K$77*'Plan mensual'!I123+parametros_recargas!$L$77*'Plan mensual'!I124+parametros_recargas!$M$77*'Plan mensual'!I126</f>
        <v>5836.98514735203</v>
      </c>
      <c r="H99" s="26" t="n">
        <f aca="false">parametros_recargas!$E$77*'Plan mensual'!J117+parametros_recargas!$F$77*'Plan mensual'!J118+parametros_recargas!$G$77*'Plan mensual'!J119+parametros_recargas!$H$77*'Plan mensual'!J120+parametros_recargas!$I$77*'Plan mensual'!J121+parametros_recargas!$J$77*'Plan mensual'!J122+parametros_recargas!$K$77*'Plan mensual'!J123+parametros_recargas!$L$77*'Plan mensual'!J124+parametros_recargas!$M$77*'Plan mensual'!J126</f>
        <v>5165.1462965978</v>
      </c>
      <c r="I99" s="26" t="n">
        <f aca="false">parametros_recargas!$E$77*'Plan mensual'!K117+parametros_recargas!$F$77*'Plan mensual'!K118+parametros_recargas!$G$77*'Plan mensual'!K119+parametros_recargas!$H$77*'Plan mensual'!K120+parametros_recargas!$I$77*'Plan mensual'!K121+parametros_recargas!$J$77*'Plan mensual'!K122+parametros_recargas!$K$77*'Plan mensual'!K123+parametros_recargas!$L$77*'Plan mensual'!K124+parametros_recargas!$M$77*'Plan mensual'!K126</f>
        <v>5209.64654614377</v>
      </c>
      <c r="J99" s="26" t="n">
        <f aca="false">parametros_recargas!$E$77*'Plan mensual'!L117+parametros_recargas!$F$77*'Plan mensual'!L118+parametros_recargas!$G$77*'Plan mensual'!L119+parametros_recargas!$H$77*'Plan mensual'!L120+parametros_recargas!$I$77*'Plan mensual'!L121+parametros_recargas!$J$77*'Plan mensual'!L122+parametros_recargas!$K$77*'Plan mensual'!L123+parametros_recargas!$L$77*'Plan mensual'!L124+parametros_recargas!$M$77*'Plan mensual'!L126</f>
        <v>5268.88097558931</v>
      </c>
      <c r="K99" s="26" t="n">
        <f aca="false">parametros_recargas!$E$77*'Plan mensual'!M117+parametros_recargas!$F$77*'Plan mensual'!M118+parametros_recargas!$G$77*'Plan mensual'!M119+parametros_recargas!$H$77*'Plan mensual'!M120+parametros_recargas!$I$77*'Plan mensual'!M121+parametros_recargas!$J$77*'Plan mensual'!M122+parametros_recargas!$K$77*'Plan mensual'!M123+parametros_recargas!$L$77*'Plan mensual'!M124+parametros_recargas!$M$77*'Plan mensual'!M126</f>
        <v>5268.88097558931</v>
      </c>
      <c r="L99" s="26" t="n">
        <f aca="false">parametros_recargas!$E$77*'Plan mensual'!N117+parametros_recargas!$F$77*'Plan mensual'!N118+parametros_recargas!$G$77*'Plan mensual'!N119+parametros_recargas!$H$77*'Plan mensual'!N120+parametros_recargas!$I$77*'Plan mensual'!N121+parametros_recargas!$J$77*'Plan mensual'!N122+parametros_recargas!$K$77*'Plan mensual'!N123+parametros_recargas!$L$77*'Plan mensual'!N124+parametros_recargas!$M$77*'Plan mensual'!N126</f>
        <v>6016.0674573739</v>
      </c>
      <c r="M99" s="26" t="n">
        <f aca="false">parametros_recargas!$E$77*'Plan mensual'!O117+parametros_recargas!$F$77*'Plan mensual'!O118+parametros_recargas!$G$77*'Plan mensual'!O119+parametros_recargas!$H$77*'Plan mensual'!O120+parametros_recargas!$I$77*'Plan mensual'!O121+parametros_recargas!$J$77*'Plan mensual'!O122+parametros_recargas!$K$77*'Plan mensual'!O123+parametros_recargas!$L$77*'Plan mensual'!O124+parametros_recargas!$M$77*'Plan mensual'!O126</f>
        <v>6871.85238407489</v>
      </c>
      <c r="N99" s="12" t="n">
        <f aca="false">SUM(B99:M99)</f>
        <v>68415.6160325302</v>
      </c>
      <c r="O99" s="27" t="n">
        <f aca="false">MAX(B99:M99)</f>
        <v>6871.85238407489</v>
      </c>
      <c r="P99" s="16" t="n">
        <f aca="false">O99/parametros_recargas!$B$6</f>
        <v>45.8123492271659</v>
      </c>
    </row>
    <row r="100" customFormat="false" ht="15" hidden="false" customHeight="false" outlineLevel="0" collapsed="false">
      <c r="A100" s="6" t="str">
        <f aca="false">parametros_recargas!$B$78</f>
        <v>Descarga ABC — ruta recuperable</v>
      </c>
      <c r="B100" s="26" t="n">
        <f aca="false">parametros_recargas!$E$78*'Plan mensual'!D117+parametros_recargas!$F$78*'Plan mensual'!D118+parametros_recargas!$G$78*'Plan mensual'!D119+parametros_recargas!$H$78*'Plan mensual'!D120+parametros_recargas!$I$78*'Plan mensual'!D121+parametros_recargas!$J$78*'Plan mensual'!D122+parametros_recargas!$K$78*'Plan mensual'!D123+parametros_recargas!$L$78*'Plan mensual'!D124+parametros_recargas!$M$78*'Plan mensual'!D126</f>
        <v>4782.01617808724</v>
      </c>
      <c r="C100" s="26" t="n">
        <f aca="false">parametros_recargas!$E$78*'Plan mensual'!E117+parametros_recargas!$F$78*'Plan mensual'!E118+parametros_recargas!$G$78*'Plan mensual'!E119+parametros_recargas!$H$78*'Plan mensual'!E120+parametros_recargas!$I$78*'Plan mensual'!E121+parametros_recargas!$J$78*'Plan mensual'!E122+parametros_recargas!$K$78*'Plan mensual'!E123+parametros_recargas!$L$78*'Plan mensual'!E124+parametros_recargas!$M$78*'Plan mensual'!E126</f>
        <v>4107.28954550985</v>
      </c>
      <c r="D100" s="26" t="n">
        <f aca="false">parametros_recargas!$E$78*'Plan mensual'!F117+parametros_recargas!$F$78*'Plan mensual'!F118+parametros_recargas!$G$78*'Plan mensual'!F119+parametros_recargas!$H$78*'Plan mensual'!F120+parametros_recargas!$I$78*'Plan mensual'!F121+parametros_recargas!$J$78*'Plan mensual'!F122+parametros_recargas!$K$78*'Plan mensual'!F123+parametros_recargas!$L$78*'Plan mensual'!F124+parametros_recargas!$M$78*'Plan mensual'!F126</f>
        <v>3835.1029075274</v>
      </c>
      <c r="E100" s="26" t="n">
        <f aca="false">parametros_recargas!$E$78*'Plan mensual'!G117+parametros_recargas!$F$78*'Plan mensual'!G118+parametros_recargas!$G$78*'Plan mensual'!G119+parametros_recargas!$H$78*'Plan mensual'!G120+parametros_recargas!$I$78*'Plan mensual'!G121+parametros_recargas!$J$78*'Plan mensual'!G122+parametros_recargas!$K$78*'Plan mensual'!G123+parametros_recargas!$L$78*'Plan mensual'!G124+parametros_recargas!$M$78*'Plan mensual'!G126</f>
        <v>4218.12380095548</v>
      </c>
      <c r="F100" s="26" t="n">
        <f aca="false">parametros_recargas!$E$78*'Plan mensual'!H117+parametros_recargas!$F$78*'Plan mensual'!H118+parametros_recargas!$G$78*'Plan mensual'!H119+parametros_recargas!$H$78*'Plan mensual'!H120+parametros_recargas!$I$78*'Plan mensual'!H121+parametros_recargas!$J$78*'Plan mensual'!H122+parametros_recargas!$K$78*'Plan mensual'!H123+parametros_recargas!$L$78*'Plan mensual'!H124+parametros_recargas!$M$78*'Plan mensual'!H126</f>
        <v>4248.35510806445</v>
      </c>
      <c r="G100" s="26" t="n">
        <f aca="false">parametros_recargas!$E$78*'Plan mensual'!I117+parametros_recargas!$F$78*'Plan mensual'!I118+parametros_recargas!$G$78*'Plan mensual'!I119+parametros_recargas!$H$78*'Plan mensual'!I120+parametros_recargas!$I$78*'Plan mensual'!I121+parametros_recargas!$J$78*'Plan mensual'!I122+parametros_recargas!$K$78*'Plan mensual'!I123+parametros_recargas!$L$78*'Plan mensual'!I124+parametros_recargas!$M$78*'Plan mensual'!I126</f>
        <v>4207.38236320426</v>
      </c>
      <c r="H100" s="26" t="n">
        <f aca="false">parametros_recargas!$E$78*'Plan mensual'!J117+parametros_recargas!$F$78*'Plan mensual'!J118+parametros_recargas!$G$78*'Plan mensual'!J119+parametros_recargas!$H$78*'Plan mensual'!J120+parametros_recargas!$I$78*'Plan mensual'!J121+parametros_recargas!$J$78*'Plan mensual'!J122+parametros_recargas!$K$78*'Plan mensual'!J123+parametros_recargas!$L$78*'Plan mensual'!J124+parametros_recargas!$M$78*'Plan mensual'!J126</f>
        <v>3758.76951013199</v>
      </c>
      <c r="I100" s="26" t="n">
        <f aca="false">parametros_recargas!$E$78*'Plan mensual'!K117+parametros_recargas!$F$78*'Plan mensual'!K118+parametros_recargas!$G$78*'Plan mensual'!K119+parametros_recargas!$H$78*'Plan mensual'!K120+parametros_recargas!$I$78*'Plan mensual'!K121+parametros_recargas!$J$78*'Plan mensual'!K122+parametros_recargas!$K$78*'Plan mensual'!K123+parametros_recargas!$L$78*'Plan mensual'!K124+parametros_recargas!$M$78*'Plan mensual'!K126</f>
        <v>3794.10093085811</v>
      </c>
      <c r="J100" s="26" t="n">
        <f aca="false">parametros_recargas!$E$78*'Plan mensual'!L117+parametros_recargas!$F$78*'Plan mensual'!L118+parametros_recargas!$G$78*'Plan mensual'!L119+parametros_recargas!$H$78*'Plan mensual'!L120+parametros_recargas!$I$78*'Plan mensual'!L121+parametros_recargas!$J$78*'Plan mensual'!L122+parametros_recargas!$K$78*'Plan mensual'!L123+parametros_recargas!$L$78*'Plan mensual'!L124+parametros_recargas!$M$78*'Plan mensual'!L126</f>
        <v>3830.0732137019</v>
      </c>
      <c r="K100" s="26" t="n">
        <f aca="false">parametros_recargas!$E$78*'Plan mensual'!M117+parametros_recargas!$F$78*'Plan mensual'!M118+parametros_recargas!$G$78*'Plan mensual'!M119+parametros_recargas!$H$78*'Plan mensual'!M120+parametros_recargas!$I$78*'Plan mensual'!M121+parametros_recargas!$J$78*'Plan mensual'!M122+parametros_recargas!$K$78*'Plan mensual'!M123+parametros_recargas!$L$78*'Plan mensual'!M124+parametros_recargas!$M$78*'Plan mensual'!M126</f>
        <v>3830.0732137019</v>
      </c>
      <c r="L100" s="26" t="n">
        <f aca="false">parametros_recargas!$E$78*'Plan mensual'!N117+parametros_recargas!$F$78*'Plan mensual'!N118+parametros_recargas!$G$78*'Plan mensual'!N119+parametros_recargas!$H$78*'Plan mensual'!N120+parametros_recargas!$I$78*'Plan mensual'!N121+parametros_recargas!$J$78*'Plan mensual'!N122+parametros_recargas!$K$78*'Plan mensual'!N123+parametros_recargas!$L$78*'Plan mensual'!N124+parametros_recargas!$M$78*'Plan mensual'!N126</f>
        <v>4474.56853917032</v>
      </c>
      <c r="M100" s="26" t="n">
        <f aca="false">parametros_recargas!$E$78*'Plan mensual'!O117+parametros_recargas!$F$78*'Plan mensual'!O118+parametros_recargas!$G$78*'Plan mensual'!O119+parametros_recargas!$H$78*'Plan mensual'!O120+parametros_recargas!$I$78*'Plan mensual'!O121+parametros_recargas!$J$78*'Plan mensual'!O122+parametros_recargas!$K$78*'Plan mensual'!O123+parametros_recargas!$L$78*'Plan mensual'!O124+parametros_recargas!$M$78*'Plan mensual'!O126</f>
        <v>5190.2679166079</v>
      </c>
      <c r="N100" s="12" t="n">
        <f aca="false">SUM(B100:M100)</f>
        <v>50276.1232275208</v>
      </c>
      <c r="O100" s="27" t="n">
        <f aca="false">MAX(B100:M100)</f>
        <v>5190.2679166079</v>
      </c>
      <c r="P100" s="16" t="n">
        <f aca="false">O100/parametros_recargas!$B$6</f>
        <v>34.6017861107193</v>
      </c>
    </row>
    <row r="101" customFormat="false" ht="15" hidden="false" customHeight="false" outlineLevel="0" collapsed="false">
      <c r="A101" s="6" t="str">
        <f aca="false">parametros_recargas!$B$79</f>
        <v>Descarga a descarte (ABC, BC y Clase D)</v>
      </c>
      <c r="B101" s="26" t="n">
        <f aca="false">parametros_recargas!$E$79*'Plan mensual'!D117+parametros_recargas!$F$79*'Plan mensual'!D118+parametros_recargas!$G$79*'Plan mensual'!D119+parametros_recargas!$H$79*'Plan mensual'!D120+parametros_recargas!$I$79*'Plan mensual'!D121+parametros_recargas!$J$79*'Plan mensual'!D122+parametros_recargas!$K$79*'Plan mensual'!D123+parametros_recargas!$L$79*'Plan mensual'!D124+parametros_recargas!$M$79*'Plan mensual'!D126</f>
        <v>545.004919423804</v>
      </c>
      <c r="C101" s="26" t="n">
        <f aca="false">parametros_recargas!$E$79*'Plan mensual'!E117+parametros_recargas!$F$79*'Plan mensual'!E118+parametros_recargas!$G$79*'Plan mensual'!E119+parametros_recargas!$H$79*'Plan mensual'!E120+parametros_recargas!$I$79*'Plan mensual'!E121+parametros_recargas!$J$79*'Plan mensual'!E122+parametros_recargas!$K$79*'Plan mensual'!E123+parametros_recargas!$L$79*'Plan mensual'!E124+parametros_recargas!$M$79*'Plan mensual'!E126</f>
        <v>470.035293581872</v>
      </c>
      <c r="D101" s="26" t="n">
        <f aca="false">parametros_recargas!$E$79*'Plan mensual'!F117+parametros_recargas!$F$79*'Plan mensual'!F118+parametros_recargas!$G$79*'Plan mensual'!F119+parametros_recargas!$H$79*'Plan mensual'!F120+parametros_recargas!$I$79*'Plan mensual'!F121+parametros_recargas!$J$79*'Plan mensual'!F122+parametros_recargas!$K$79*'Plan mensual'!F123+parametros_recargas!$L$79*'Plan mensual'!F124+parametros_recargas!$M$79*'Plan mensual'!F126</f>
        <v>439.792333806044</v>
      </c>
      <c r="E101" s="26" t="n">
        <f aca="false">parametros_recargas!$E$79*'Plan mensual'!G117+parametros_recargas!$F$79*'Plan mensual'!G118+parametros_recargas!$G$79*'Plan mensual'!G119+parametros_recargas!$H$79*'Plan mensual'!G120+parametros_recargas!$I$79*'Plan mensual'!G121+parametros_recargas!$J$79*'Plan mensual'!G122+parametros_recargas!$K$79*'Plan mensual'!G123+parametros_recargas!$L$79*'Plan mensual'!G124+parametros_recargas!$M$79*'Plan mensual'!G126</f>
        <v>482.350210853608</v>
      </c>
      <c r="F101" s="26" t="n">
        <f aca="false">parametros_recargas!$E$79*'Plan mensual'!H117+parametros_recargas!$F$79*'Plan mensual'!H118+parametros_recargas!$G$79*'Plan mensual'!H119+parametros_recargas!$H$79*'Plan mensual'!H120+parametros_recargas!$I$79*'Plan mensual'!H121+parametros_recargas!$J$79*'Plan mensual'!H122+parametros_recargas!$K$79*'Plan mensual'!H123+parametros_recargas!$L$79*'Plan mensual'!H124+parametros_recargas!$M$79*'Plan mensual'!H126</f>
        <v>485.709244976827</v>
      </c>
      <c r="G101" s="26" t="n">
        <f aca="false">parametros_recargas!$E$79*'Plan mensual'!I117+parametros_recargas!$F$79*'Plan mensual'!I118+parametros_recargas!$G$79*'Plan mensual'!I119+parametros_recargas!$H$79*'Plan mensual'!I120+parametros_recargas!$I$79*'Plan mensual'!I121+parametros_recargas!$J$79*'Plan mensual'!I122+parametros_recargas!$K$79*'Plan mensual'!I123+parametros_recargas!$L$79*'Plan mensual'!I124+parametros_recargas!$M$79*'Plan mensual'!I126</f>
        <v>481.15671777014</v>
      </c>
      <c r="H101" s="26" t="n">
        <f aca="false">parametros_recargas!$E$79*'Plan mensual'!J117+parametros_recargas!$F$79*'Plan mensual'!J118+parametros_recargas!$G$79*'Plan mensual'!J119+parametros_recargas!$H$79*'Plan mensual'!J120+parametros_recargas!$I$79*'Plan mensual'!J121+parametros_recargas!$J$79*'Plan mensual'!J122+parametros_recargas!$K$79*'Plan mensual'!J123+parametros_recargas!$L$79*'Plan mensual'!J124+parametros_recargas!$M$79*'Plan mensual'!J126</f>
        <v>431.310845206554</v>
      </c>
      <c r="I101" s="26" t="n">
        <f aca="false">parametros_recargas!$E$79*'Plan mensual'!K117+parametros_recargas!$F$79*'Plan mensual'!K118+parametros_recargas!$G$79*'Plan mensual'!K119+parametros_recargas!$H$79*'Plan mensual'!K120+parametros_recargas!$I$79*'Plan mensual'!K121+parametros_recargas!$J$79*'Plan mensual'!K122+parametros_recargas!$K$79*'Plan mensual'!K123+parametros_recargas!$L$79*'Plan mensual'!K124+parametros_recargas!$M$79*'Plan mensual'!K126</f>
        <v>435.236558620567</v>
      </c>
      <c r="J101" s="26" t="n">
        <f aca="false">parametros_recargas!$E$79*'Plan mensual'!L117+parametros_recargas!$F$79*'Plan mensual'!L118+parametros_recargas!$G$79*'Plan mensual'!L119+parametros_recargas!$H$79*'Plan mensual'!L120+parametros_recargas!$I$79*'Plan mensual'!L121+parametros_recargas!$J$79*'Plan mensual'!L122+parametros_recargas!$K$79*'Plan mensual'!L123+parametros_recargas!$L$79*'Plan mensual'!L124+parametros_recargas!$M$79*'Plan mensual'!L126</f>
        <v>439.233478936544</v>
      </c>
      <c r="K101" s="26" t="n">
        <f aca="false">parametros_recargas!$E$79*'Plan mensual'!M117+parametros_recargas!$F$79*'Plan mensual'!M118+parametros_recargas!$G$79*'Plan mensual'!M119+parametros_recargas!$H$79*'Plan mensual'!M120+parametros_recargas!$I$79*'Plan mensual'!M121+parametros_recargas!$J$79*'Plan mensual'!M122+parametros_recargas!$K$79*'Plan mensual'!M123+parametros_recargas!$L$79*'Plan mensual'!M124+parametros_recargas!$M$79*'Plan mensual'!M126</f>
        <v>439.233478936544</v>
      </c>
      <c r="L101" s="26" t="n">
        <f aca="false">parametros_recargas!$E$79*'Plan mensual'!N117+parametros_recargas!$F$79*'Plan mensual'!N118+parametros_recargas!$G$79*'Plan mensual'!N119+parametros_recargas!$H$79*'Plan mensual'!N120+parametros_recargas!$I$79*'Plan mensual'!N121+parametros_recargas!$J$79*'Plan mensual'!N122+parametros_recargas!$K$79*'Plan mensual'!N123+parametros_recargas!$L$79*'Plan mensual'!N124+parametros_recargas!$M$79*'Plan mensual'!N126</f>
        <v>510.844070655257</v>
      </c>
      <c r="M101" s="26" t="n">
        <f aca="false">parametros_recargas!$E$79*'Plan mensual'!O117+parametros_recargas!$F$79*'Plan mensual'!O118+parametros_recargas!$G$79*'Plan mensual'!O119+parametros_recargas!$H$79*'Plan mensual'!O120+parametros_recargas!$I$79*'Plan mensual'!O121+parametros_recargas!$J$79*'Plan mensual'!O122+parametros_recargas!$K$79*'Plan mensual'!O123+parametros_recargas!$L$79*'Plan mensual'!O124+parametros_recargas!$M$79*'Plan mensual'!O126</f>
        <v>590.366223703877</v>
      </c>
      <c r="N101" s="12" t="n">
        <f aca="false">SUM(B101:M101)</f>
        <v>5750.27337647164</v>
      </c>
      <c r="O101" s="27" t="n">
        <f aca="false">MAX(B101:M101)</f>
        <v>590.366223703877</v>
      </c>
      <c r="P101" s="16" t="n">
        <f aca="false">O101/parametros_recargas!$B$6</f>
        <v>3.93577482469251</v>
      </c>
    </row>
    <row r="102" customFormat="false" ht="15" hidden="false" customHeight="false" outlineLevel="0" collapsed="false">
      <c r="A102" s="6" t="str">
        <f aca="false">parametros_recargas!$B$80</f>
        <v>Descarga y carga de agua / AFFF / sales K</v>
      </c>
      <c r="B102" s="26" t="n">
        <f aca="false">parametros_recargas!$E$80*'Plan mensual'!D117+parametros_recargas!$F$80*'Plan mensual'!D118+parametros_recargas!$G$80*'Plan mensual'!D119+parametros_recargas!$H$80*'Plan mensual'!D120+parametros_recargas!$I$80*'Plan mensual'!D121+parametros_recargas!$J$80*'Plan mensual'!D122+parametros_recargas!$K$80*'Plan mensual'!D123+parametros_recargas!$L$80*'Plan mensual'!D124+parametros_recargas!$M$80*'Plan mensual'!D126</f>
        <v>252.152722068688</v>
      </c>
      <c r="C102" s="26" t="n">
        <f aca="false">parametros_recargas!$E$80*'Plan mensual'!E117+parametros_recargas!$F$80*'Plan mensual'!E118+parametros_recargas!$G$80*'Plan mensual'!E119+parametros_recargas!$H$80*'Plan mensual'!E120+parametros_recargas!$I$80*'Plan mensual'!E121+parametros_recargas!$J$80*'Plan mensual'!E122+parametros_recargas!$K$80*'Plan mensual'!E123+parametros_recargas!$L$80*'Plan mensual'!E124+parametros_recargas!$M$80*'Plan mensual'!E126</f>
        <v>252.152722068688</v>
      </c>
      <c r="D102" s="26" t="n">
        <f aca="false">parametros_recargas!$E$80*'Plan mensual'!F117+parametros_recargas!$F$80*'Plan mensual'!F118+parametros_recargas!$G$80*'Plan mensual'!F119+parametros_recargas!$H$80*'Plan mensual'!F120+parametros_recargas!$I$80*'Plan mensual'!F121+parametros_recargas!$J$80*'Plan mensual'!F122+parametros_recargas!$K$80*'Plan mensual'!F123+parametros_recargas!$L$80*'Plan mensual'!F124+parametros_recargas!$M$80*'Plan mensual'!F126</f>
        <v>285.276876404587</v>
      </c>
      <c r="E102" s="26" t="n">
        <f aca="false">parametros_recargas!$E$80*'Plan mensual'!G117+parametros_recargas!$F$80*'Plan mensual'!G118+parametros_recargas!$G$80*'Plan mensual'!G119+parametros_recargas!$H$80*'Plan mensual'!G120+parametros_recargas!$I$80*'Plan mensual'!G121+parametros_recargas!$J$80*'Plan mensual'!G122+parametros_recargas!$K$80*'Plan mensual'!G123+parametros_recargas!$L$80*'Plan mensual'!G124+parametros_recargas!$M$80*'Plan mensual'!G126</f>
        <v>317.29517222782</v>
      </c>
      <c r="F102" s="26" t="n">
        <f aca="false">parametros_recargas!$E$80*'Plan mensual'!H117+parametros_recargas!$F$80*'Plan mensual'!H118+parametros_recargas!$G$80*'Plan mensual'!H119+parametros_recargas!$H$80*'Plan mensual'!H120+parametros_recargas!$I$80*'Plan mensual'!H121+parametros_recargas!$J$80*'Plan mensual'!H122+parametros_recargas!$K$80*'Plan mensual'!H123+parametros_recargas!$L$80*'Plan mensual'!H124+parametros_recargas!$M$80*'Plan mensual'!H126</f>
        <v>319.907405666938</v>
      </c>
      <c r="G102" s="26" t="n">
        <f aca="false">parametros_recargas!$E$80*'Plan mensual'!I117+parametros_recargas!$F$80*'Plan mensual'!I118+parametros_recargas!$G$80*'Plan mensual'!I119+parametros_recargas!$H$80*'Plan mensual'!I120+parametros_recargas!$I$80*'Plan mensual'!I121+parametros_recargas!$J$80*'Plan mensual'!I122+parametros_recargas!$K$80*'Plan mensual'!I123+parametros_recargas!$L$80*'Plan mensual'!I124+parametros_recargas!$M$80*'Plan mensual'!I126</f>
        <v>314.217915046668</v>
      </c>
      <c r="H102" s="26" t="n">
        <f aca="false">parametros_recargas!$E$80*'Plan mensual'!J117+parametros_recargas!$F$80*'Plan mensual'!J118+parametros_recargas!$G$80*'Plan mensual'!J119+parametros_recargas!$H$80*'Plan mensual'!J120+parametros_recargas!$I$80*'Plan mensual'!J121+parametros_recargas!$J$80*'Plan mensual'!J122+parametros_recargas!$K$80*'Plan mensual'!J123+parametros_recargas!$L$80*'Plan mensual'!J124+parametros_recargas!$M$80*'Plan mensual'!J126</f>
        <v>275.418291288071</v>
      </c>
      <c r="I102" s="26" t="n">
        <f aca="false">parametros_recargas!$E$80*'Plan mensual'!K117+parametros_recargas!$F$80*'Plan mensual'!K118+parametros_recargas!$G$80*'Plan mensual'!K119+parametros_recargas!$H$80*'Plan mensual'!K120+parametros_recargas!$I$80*'Plan mensual'!K121+parametros_recargas!$J$80*'Plan mensual'!K122+parametros_recargas!$K$80*'Plan mensual'!K123+parametros_recargas!$L$80*'Plan mensual'!K124+parametros_recargas!$M$80*'Plan mensual'!K126</f>
        <v>278.016503529617</v>
      </c>
      <c r="J102" s="26" t="n">
        <f aca="false">parametros_recargas!$E$80*'Plan mensual'!L117+parametros_recargas!$F$80*'Plan mensual'!L118+parametros_recargas!$G$80*'Plan mensual'!L119+parametros_recargas!$H$80*'Plan mensual'!L120+parametros_recargas!$I$80*'Plan mensual'!L121+parametros_recargas!$J$80*'Plan mensual'!L122+parametros_recargas!$K$80*'Plan mensual'!L123+parametros_recargas!$L$80*'Plan mensual'!L124+parametros_recargas!$M$80*'Plan mensual'!L126</f>
        <v>283.438645754997</v>
      </c>
      <c r="K102" s="26" t="n">
        <f aca="false">parametros_recargas!$E$80*'Plan mensual'!M117+parametros_recargas!$F$80*'Plan mensual'!M118+parametros_recargas!$G$80*'Plan mensual'!M119+parametros_recargas!$H$80*'Plan mensual'!M120+parametros_recargas!$I$80*'Plan mensual'!M121+parametros_recargas!$J$80*'Plan mensual'!M122+parametros_recargas!$K$80*'Plan mensual'!M123+parametros_recargas!$L$80*'Plan mensual'!M124+parametros_recargas!$M$80*'Plan mensual'!M126</f>
        <v>283.438645754997</v>
      </c>
      <c r="L102" s="26" t="n">
        <f aca="false">parametros_recargas!$E$80*'Plan mensual'!N117+parametros_recargas!$F$80*'Plan mensual'!N118+parametros_recargas!$G$80*'Plan mensual'!N119+parametros_recargas!$H$80*'Plan mensual'!N120+parametros_recargas!$I$80*'Plan mensual'!N121+parametros_recargas!$J$80*'Plan mensual'!N122+parametros_recargas!$K$80*'Plan mensual'!N123+parametros_recargas!$L$80*'Plan mensual'!N124+parametros_recargas!$M$80*'Plan mensual'!N126</f>
        <v>280.82641231588</v>
      </c>
      <c r="M102" s="26" t="n">
        <f aca="false">parametros_recargas!$E$80*'Plan mensual'!O117+parametros_recargas!$F$80*'Plan mensual'!O118+parametros_recargas!$G$80*'Plan mensual'!O119+parametros_recargas!$H$80*'Plan mensual'!O120+parametros_recargas!$I$80*'Plan mensual'!O121+parametros_recargas!$J$80*'Plan mensual'!O122+parametros_recargas!$K$80*'Plan mensual'!O123+parametros_recargas!$L$80*'Plan mensual'!O124+parametros_recargas!$M$80*'Plan mensual'!O126</f>
        <v>286.515902936149</v>
      </c>
      <c r="N102" s="12" t="n">
        <f aca="false">SUM(B102:M102)</f>
        <v>3428.6572150631</v>
      </c>
      <c r="O102" s="27" t="n">
        <f aca="false">MAX(B102:M102)</f>
        <v>319.907405666938</v>
      </c>
      <c r="P102" s="16" t="n">
        <f aca="false">O102/parametros_recargas!$B$6</f>
        <v>2.13271603777958</v>
      </c>
    </row>
    <row r="103" customFormat="false" ht="15" hidden="false" customHeight="false" outlineLevel="0" collapsed="false">
      <c r="A103" s="6" t="str">
        <f aca="false">parametros_recargas!$B$81</f>
        <v>Recuperación y carga de CO₂</v>
      </c>
      <c r="B103" s="26" t="n">
        <f aca="false">parametros_recargas!$E$81*'Plan mensual'!D117+parametros_recargas!$F$81*'Plan mensual'!D118+parametros_recargas!$G$81*'Plan mensual'!D119+parametros_recargas!$H$81*'Plan mensual'!D120+parametros_recargas!$I$81*'Plan mensual'!D121+parametros_recargas!$J$81*'Plan mensual'!D122+parametros_recargas!$K$81*'Plan mensual'!D123+parametros_recargas!$L$81*'Plan mensual'!D124+parametros_recargas!$M$81*'Plan mensual'!D126</f>
        <v>222.108391324331</v>
      </c>
      <c r="C103" s="26" t="n">
        <f aca="false">parametros_recargas!$E$81*'Plan mensual'!E117+parametros_recargas!$F$81*'Plan mensual'!E118+parametros_recargas!$G$81*'Plan mensual'!E119+parametros_recargas!$H$81*'Plan mensual'!E120+parametros_recargas!$I$81*'Plan mensual'!E121+parametros_recargas!$J$81*'Plan mensual'!E122+parametros_recargas!$K$81*'Plan mensual'!E123+parametros_recargas!$L$81*'Plan mensual'!E124+parametros_recargas!$M$81*'Plan mensual'!E126</f>
        <v>222.108391324331</v>
      </c>
      <c r="D103" s="26" t="n">
        <f aca="false">parametros_recargas!$E$81*'Plan mensual'!F117+parametros_recargas!$F$81*'Plan mensual'!F118+parametros_recargas!$G$81*'Plan mensual'!F119+parametros_recargas!$H$81*'Plan mensual'!F120+parametros_recargas!$I$81*'Plan mensual'!F121+parametros_recargas!$J$81*'Plan mensual'!F122+parametros_recargas!$K$81*'Plan mensual'!F123+parametros_recargas!$L$81*'Plan mensual'!F124+parametros_recargas!$M$81*'Plan mensual'!F126</f>
        <v>281.691063581846</v>
      </c>
      <c r="E103" s="26" t="n">
        <f aca="false">parametros_recargas!$E$81*'Plan mensual'!G117+parametros_recargas!$F$81*'Plan mensual'!G118+parametros_recargas!$G$81*'Plan mensual'!G119+parametros_recargas!$H$81*'Plan mensual'!G120+parametros_recargas!$I$81*'Plan mensual'!G121+parametros_recargas!$J$81*'Plan mensual'!G122+parametros_recargas!$K$81*'Plan mensual'!G123+parametros_recargas!$L$81*'Plan mensual'!G124+parametros_recargas!$M$81*'Plan mensual'!G126</f>
        <v>340.117949124174</v>
      </c>
      <c r="F103" s="26" t="n">
        <f aca="false">parametros_recargas!$E$81*'Plan mensual'!H117+parametros_recargas!$F$81*'Plan mensual'!H118+parametros_recargas!$G$81*'Plan mensual'!H119+parametros_recargas!$H$81*'Plan mensual'!H120+parametros_recargas!$I$81*'Plan mensual'!H121+parametros_recargas!$J$81*'Plan mensual'!H122+parametros_recargas!$K$81*'Plan mensual'!H123+parametros_recargas!$L$81*'Plan mensual'!H124+parametros_recargas!$M$81*'Plan mensual'!H126</f>
        <v>342.457771670936</v>
      </c>
      <c r="G103" s="26" t="n">
        <f aca="false">parametros_recargas!$E$81*'Plan mensual'!I117+parametros_recargas!$F$81*'Plan mensual'!I118+parametros_recargas!$G$81*'Plan mensual'!I119+parametros_recargas!$H$81*'Plan mensual'!I120+parametros_recargas!$I$81*'Plan mensual'!I121+parametros_recargas!$J$81*'Plan mensual'!I122+parametros_recargas!$K$81*'Plan mensual'!I123+parametros_recargas!$L$81*'Plan mensual'!I124+parametros_recargas!$M$81*'Plan mensual'!I126</f>
        <v>335.521931848127</v>
      </c>
      <c r="H103" s="26" t="n">
        <f aca="false">parametros_recargas!$E$81*'Plan mensual'!J117+parametros_recargas!$F$81*'Plan mensual'!J118+parametros_recargas!$G$81*'Plan mensual'!J119+parametros_recargas!$H$81*'Plan mensual'!J120+parametros_recargas!$I$81*'Plan mensual'!J121+parametros_recargas!$J$81*'Plan mensual'!J122+parametros_recargas!$K$81*'Plan mensual'!J123+parametros_recargas!$L$81*'Plan mensual'!J124+parametros_recargas!$M$81*'Plan mensual'!J126</f>
        <v>271.07528575773</v>
      </c>
      <c r="I103" s="26" t="n">
        <f aca="false">parametros_recargas!$E$81*'Plan mensual'!K117+parametros_recargas!$F$81*'Plan mensual'!K118+parametros_recargas!$G$81*'Plan mensual'!K119+parametros_recargas!$H$81*'Plan mensual'!K120+parametros_recargas!$I$81*'Plan mensual'!K121+parametros_recargas!$J$81*'Plan mensual'!K122+parametros_recargas!$K$81*'Plan mensual'!K123+parametros_recargas!$L$81*'Plan mensual'!K124+parametros_recargas!$M$81*'Plan mensual'!K126</f>
        <v>271.343242314565</v>
      </c>
      <c r="J103" s="26" t="n">
        <f aca="false">parametros_recargas!$E$81*'Plan mensual'!L117+parametros_recargas!$F$81*'Plan mensual'!L118+parametros_recargas!$G$81*'Plan mensual'!L119+parametros_recargas!$H$81*'Plan mensual'!L120+parametros_recargas!$I$81*'Plan mensual'!L121+parametros_recargas!$J$81*'Plan mensual'!L122+parametros_recargas!$K$81*'Plan mensual'!L123+parametros_recargas!$L$81*'Plan mensual'!L124+parametros_recargas!$M$81*'Plan mensual'!L126</f>
        <v>277.511188866838</v>
      </c>
      <c r="K103" s="26" t="n">
        <f aca="false">parametros_recargas!$E$81*'Plan mensual'!M117+parametros_recargas!$F$81*'Plan mensual'!M118+parametros_recargas!$G$81*'Plan mensual'!M119+parametros_recargas!$H$81*'Plan mensual'!M120+parametros_recargas!$I$81*'Plan mensual'!M121+parametros_recargas!$J$81*'Plan mensual'!M122+parametros_recargas!$K$81*'Plan mensual'!M123+parametros_recargas!$L$81*'Plan mensual'!M124+parametros_recargas!$M$81*'Plan mensual'!M126</f>
        <v>277.511188866838</v>
      </c>
      <c r="L103" s="26" t="n">
        <f aca="false">parametros_recargas!$E$81*'Plan mensual'!N117+parametros_recargas!$F$81*'Plan mensual'!N118+parametros_recargas!$G$81*'Plan mensual'!N119+parametros_recargas!$H$81*'Plan mensual'!N120+parametros_recargas!$I$81*'Plan mensual'!N121+parametros_recargas!$J$81*'Plan mensual'!N122+parametros_recargas!$K$81*'Plan mensual'!N123+parametros_recargas!$L$81*'Plan mensual'!N124+parametros_recargas!$M$81*'Plan mensual'!N126</f>
        <v>275.171366320076</v>
      </c>
      <c r="M103" s="26" t="n">
        <f aca="false">parametros_recargas!$E$81*'Plan mensual'!O117+parametros_recargas!$F$81*'Plan mensual'!O118+parametros_recargas!$G$81*'Plan mensual'!O119+parametros_recargas!$H$81*'Plan mensual'!O120+parametros_recargas!$I$81*'Plan mensual'!O121+parametros_recargas!$J$81*'Plan mensual'!O122+parametros_recargas!$K$81*'Plan mensual'!O123+parametros_recargas!$L$81*'Plan mensual'!O124+parametros_recargas!$M$81*'Plan mensual'!O126</f>
        <v>282.107206142884</v>
      </c>
      <c r="N103" s="12" t="n">
        <f aca="false">SUM(B103:M103)</f>
        <v>3398.72497714268</v>
      </c>
      <c r="O103" s="27" t="n">
        <f aca="false">MAX(B103:M103)</f>
        <v>342.457771670936</v>
      </c>
      <c r="P103" s="16" t="n">
        <f aca="false">O103/parametros_recargas!$B$6</f>
        <v>2.28305181113957</v>
      </c>
    </row>
    <row r="104" customFormat="false" ht="15" hidden="false" customHeight="false" outlineLevel="0" collapsed="false">
      <c r="A104" s="6" t="str">
        <f aca="false">parametros_recargas!$B$82</f>
        <v>Recuperación y carga de halogenado</v>
      </c>
      <c r="B104" s="26" t="n">
        <f aca="false">parametros_recargas!$E$82*'Plan mensual'!D117+parametros_recargas!$F$82*'Plan mensual'!D118+parametros_recargas!$G$82*'Plan mensual'!D119+parametros_recargas!$H$82*'Plan mensual'!D120+parametros_recargas!$I$82*'Plan mensual'!D121+parametros_recargas!$J$82*'Plan mensual'!D122+parametros_recargas!$K$82*'Plan mensual'!D123+parametros_recargas!$L$82*'Plan mensual'!D124+parametros_recargas!$M$82*'Plan mensual'!D126</f>
        <v>7.01651310154035</v>
      </c>
      <c r="C104" s="26" t="n">
        <f aca="false">parametros_recargas!$E$82*'Plan mensual'!E117+parametros_recargas!$F$82*'Plan mensual'!E118+parametros_recargas!$G$82*'Plan mensual'!E119+parametros_recargas!$H$82*'Plan mensual'!E120+parametros_recargas!$I$82*'Plan mensual'!E121+parametros_recargas!$J$82*'Plan mensual'!E122+parametros_recargas!$K$82*'Plan mensual'!E123+parametros_recargas!$L$82*'Plan mensual'!E124+parametros_recargas!$M$82*'Plan mensual'!E126</f>
        <v>7.01651310154035</v>
      </c>
      <c r="D104" s="26" t="n">
        <f aca="false">parametros_recargas!$E$82*'Plan mensual'!F117+parametros_recargas!$F$82*'Plan mensual'!F118+parametros_recargas!$G$82*'Plan mensual'!F119+parametros_recargas!$H$82*'Plan mensual'!F120+parametros_recargas!$I$82*'Plan mensual'!F121+parametros_recargas!$J$82*'Plan mensual'!F122+parametros_recargas!$K$82*'Plan mensual'!F123+parametros_recargas!$L$82*'Plan mensual'!F124+parametros_recargas!$M$82*'Plan mensual'!F126</f>
        <v>6.56846640283477</v>
      </c>
      <c r="E104" s="26" t="n">
        <f aca="false">parametros_recargas!$E$82*'Plan mensual'!G117+parametros_recargas!$F$82*'Plan mensual'!G118+parametros_recargas!$G$82*'Plan mensual'!G119+parametros_recargas!$H$82*'Plan mensual'!G120+parametros_recargas!$I$82*'Plan mensual'!G121+parametros_recargas!$J$82*'Plan mensual'!G122+parametros_recargas!$K$82*'Plan mensual'!G123+parametros_recargas!$L$82*'Plan mensual'!G124+parametros_recargas!$M$82*'Plan mensual'!G126</f>
        <v>6.56846640283477</v>
      </c>
      <c r="F104" s="26" t="n">
        <f aca="false">parametros_recargas!$E$82*'Plan mensual'!H117+parametros_recargas!$F$82*'Plan mensual'!H118+parametros_recargas!$G$82*'Plan mensual'!H119+parametros_recargas!$H$82*'Plan mensual'!H120+parametros_recargas!$I$82*'Plan mensual'!H121+parametros_recargas!$J$82*'Plan mensual'!H122+parametros_recargas!$K$82*'Plan mensual'!H123+parametros_recargas!$L$82*'Plan mensual'!H124+parametros_recargas!$M$82*'Plan mensual'!H126</f>
        <v>6.56846640283477</v>
      </c>
      <c r="G104" s="26" t="n">
        <f aca="false">parametros_recargas!$E$82*'Plan mensual'!I117+parametros_recargas!$F$82*'Plan mensual'!I118+parametros_recargas!$G$82*'Plan mensual'!I119+parametros_recargas!$H$82*'Plan mensual'!I120+parametros_recargas!$I$82*'Plan mensual'!I121+parametros_recargas!$J$82*'Plan mensual'!I122+parametros_recargas!$K$82*'Plan mensual'!I123+parametros_recargas!$L$82*'Plan mensual'!I124+parametros_recargas!$M$82*'Plan mensual'!I126</f>
        <v>6.12041970412918</v>
      </c>
      <c r="H104" s="26" t="n">
        <f aca="false">parametros_recargas!$E$82*'Plan mensual'!J117+parametros_recargas!$F$82*'Plan mensual'!J118+parametros_recargas!$G$82*'Plan mensual'!J119+parametros_recargas!$H$82*'Plan mensual'!J120+parametros_recargas!$I$82*'Plan mensual'!J121+parametros_recargas!$J$82*'Plan mensual'!J122+parametros_recargas!$K$82*'Plan mensual'!J123+parametros_recargas!$L$82*'Plan mensual'!J124+parametros_recargas!$M$82*'Plan mensual'!J126</f>
        <v>6.12041970412918</v>
      </c>
      <c r="I104" s="26" t="n">
        <f aca="false">parametros_recargas!$E$82*'Plan mensual'!K117+parametros_recargas!$F$82*'Plan mensual'!K118+parametros_recargas!$G$82*'Plan mensual'!K119+parametros_recargas!$H$82*'Plan mensual'!K120+parametros_recargas!$I$82*'Plan mensual'!K121+parametros_recargas!$J$82*'Plan mensual'!K122+parametros_recargas!$K$82*'Plan mensual'!K123+parametros_recargas!$L$82*'Plan mensual'!K124+parametros_recargas!$M$82*'Plan mensual'!K126</f>
        <v>6.12041970412918</v>
      </c>
      <c r="J104" s="26" t="n">
        <f aca="false">parametros_recargas!$E$82*'Plan mensual'!L117+parametros_recargas!$F$82*'Plan mensual'!L118+parametros_recargas!$G$82*'Plan mensual'!L119+parametros_recargas!$H$82*'Plan mensual'!L120+parametros_recargas!$I$82*'Plan mensual'!L121+parametros_recargas!$J$82*'Plan mensual'!L122+parametros_recargas!$K$82*'Plan mensual'!L123+parametros_recargas!$L$82*'Plan mensual'!L124+parametros_recargas!$M$82*'Plan mensual'!L126</f>
        <v>6.56846640283477</v>
      </c>
      <c r="K104" s="26" t="n">
        <f aca="false">parametros_recargas!$E$82*'Plan mensual'!M117+parametros_recargas!$F$82*'Plan mensual'!M118+parametros_recargas!$G$82*'Plan mensual'!M119+parametros_recargas!$H$82*'Plan mensual'!M120+parametros_recargas!$I$82*'Plan mensual'!M121+parametros_recargas!$J$82*'Plan mensual'!M122+parametros_recargas!$K$82*'Plan mensual'!M123+parametros_recargas!$L$82*'Plan mensual'!M124+parametros_recargas!$M$82*'Plan mensual'!M126</f>
        <v>6.56846640283477</v>
      </c>
      <c r="L104" s="26" t="n">
        <f aca="false">parametros_recargas!$E$82*'Plan mensual'!N117+parametros_recargas!$F$82*'Plan mensual'!N118+parametros_recargas!$G$82*'Plan mensual'!N119+parametros_recargas!$H$82*'Plan mensual'!N120+parametros_recargas!$I$82*'Plan mensual'!N121+parametros_recargas!$J$82*'Plan mensual'!N122+parametros_recargas!$K$82*'Plan mensual'!N123+parametros_recargas!$L$82*'Plan mensual'!N124+parametros_recargas!$M$82*'Plan mensual'!N126</f>
        <v>6.56846640283477</v>
      </c>
      <c r="M104" s="26" t="n">
        <f aca="false">parametros_recargas!$E$82*'Plan mensual'!O117+parametros_recargas!$F$82*'Plan mensual'!O118+parametros_recargas!$G$82*'Plan mensual'!O119+parametros_recargas!$H$82*'Plan mensual'!O120+parametros_recargas!$I$82*'Plan mensual'!O121+parametros_recargas!$J$82*'Plan mensual'!O122+parametros_recargas!$K$82*'Plan mensual'!O123+parametros_recargas!$L$82*'Plan mensual'!O124+parametros_recargas!$M$82*'Plan mensual'!O126</f>
        <v>7.01651310154035</v>
      </c>
      <c r="N104" s="12" t="n">
        <f aca="false">SUM(B104:M104)</f>
        <v>78.8215968340172</v>
      </c>
      <c r="O104" s="27" t="n">
        <f aca="false">MAX(B104:M104)</f>
        <v>7.01651310154035</v>
      </c>
      <c r="P104" s="16" t="n">
        <f aca="false">O104/parametros_recargas!$B$6</f>
        <v>0.046776754010269</v>
      </c>
    </row>
    <row r="105" customFormat="false" ht="15" hidden="false" customHeight="false" outlineLevel="0" collapsed="false">
      <c r="A105" s="6" t="str">
        <f aca="false">parametros_recargas!$B$83</f>
        <v>Desarme y limpieza — recinto</v>
      </c>
      <c r="B105" s="26" t="n">
        <f aca="false">parametros_recargas!$E$83*'Plan mensual'!D117+parametros_recargas!$F$83*'Plan mensual'!D118+parametros_recargas!$G$83*'Plan mensual'!D119+parametros_recargas!$H$83*'Plan mensual'!D120+parametros_recargas!$I$83*'Plan mensual'!D121+parametros_recargas!$J$83*'Plan mensual'!D122+parametros_recargas!$K$83*'Plan mensual'!D123+parametros_recargas!$L$83*'Plan mensual'!D124+parametros_recargas!$M$83*'Plan mensual'!D126</f>
        <v>5607.390628959</v>
      </c>
      <c r="C105" s="26" t="n">
        <f aca="false">parametros_recargas!$E$83*'Plan mensual'!E117+parametros_recargas!$F$83*'Plan mensual'!E118+parametros_recargas!$G$83*'Plan mensual'!E119+parametros_recargas!$H$83*'Plan mensual'!E120+parametros_recargas!$I$83*'Plan mensual'!E121+parametros_recargas!$J$83*'Plan mensual'!E122+parametros_recargas!$K$83*'Plan mensual'!E123+parametros_recargas!$L$83*'Plan mensual'!E124+parametros_recargas!$M$83*'Plan mensual'!E126</f>
        <v>4818.23667272813</v>
      </c>
      <c r="D105" s="26" t="n">
        <f aca="false">parametros_recargas!$E$83*'Plan mensual'!F117+parametros_recargas!$F$83*'Plan mensual'!F118+parametros_recargas!$G$83*'Plan mensual'!F119+parametros_recargas!$H$83*'Plan mensual'!F120+parametros_recargas!$I$83*'Plan mensual'!F121+parametros_recargas!$J$83*'Plan mensual'!F122+parametros_recargas!$K$83*'Plan mensual'!F123+parametros_recargas!$L$83*'Plan mensual'!F124+parametros_recargas!$M$83*'Plan mensual'!F126</f>
        <v>4499.88972771942</v>
      </c>
      <c r="E105" s="26" t="n">
        <f aca="false">parametros_recargas!$E$83*'Plan mensual'!G117+parametros_recargas!$F$83*'Plan mensual'!G118+parametros_recargas!$G$83*'Plan mensual'!G119+parametros_recargas!$H$83*'Plan mensual'!G120+parametros_recargas!$I$83*'Plan mensual'!G121+parametros_recargas!$J$83*'Plan mensual'!G122+parametros_recargas!$K$83*'Plan mensual'!G123+parametros_recargas!$L$83*'Plan mensual'!G124+parametros_recargas!$M$83*'Plan mensual'!G126</f>
        <v>4947.86738085167</v>
      </c>
      <c r="F105" s="26" t="n">
        <f aca="false">parametros_recargas!$E$83*'Plan mensual'!H117+parametros_recargas!$F$83*'Plan mensual'!H118+parametros_recargas!$G$83*'Plan mensual'!H119+parametros_recargas!$H$83*'Plan mensual'!H120+parametros_recargas!$I$83*'Plan mensual'!H121+parametros_recargas!$J$83*'Plan mensual'!H122+parametros_recargas!$K$83*'Plan mensual'!H123+parametros_recargas!$L$83*'Plan mensual'!H124+parametros_recargas!$M$83*'Plan mensual'!H126</f>
        <v>4983.22563478029</v>
      </c>
      <c r="G105" s="26" t="n">
        <f aca="false">parametros_recargas!$E$83*'Plan mensual'!I117+parametros_recargas!$F$83*'Plan mensual'!I118+parametros_recargas!$G$83*'Plan mensual'!I119+parametros_recargas!$H$83*'Plan mensual'!I120+parametros_recargas!$I$83*'Plan mensual'!I121+parametros_recargas!$J$83*'Plan mensual'!I122+parametros_recargas!$K$83*'Plan mensual'!I123+parametros_recargas!$L$83*'Plan mensual'!I124+parametros_recargas!$M$83*'Plan mensual'!I126</f>
        <v>4935.30429576253</v>
      </c>
      <c r="H105" s="26" t="n">
        <f aca="false">parametros_recargas!$E$83*'Plan mensual'!J117+parametros_recargas!$F$83*'Plan mensual'!J118+parametros_recargas!$G$83*'Plan mensual'!J119+parametros_recargas!$H$83*'Plan mensual'!J120+parametros_recargas!$I$83*'Plan mensual'!J121+parametros_recargas!$J$83*'Plan mensual'!J122+parametros_recargas!$K$83*'Plan mensual'!J123+parametros_recargas!$L$83*'Plan mensual'!J124+parametros_recargas!$M$83*'Plan mensual'!J126</f>
        <v>4410.61090035637</v>
      </c>
      <c r="I105" s="26" t="n">
        <f aca="false">parametros_recargas!$E$83*'Plan mensual'!K117+parametros_recargas!$F$83*'Plan mensual'!K118+parametros_recargas!$G$83*'Plan mensual'!K119+parametros_recargas!$H$83*'Plan mensual'!K120+parametros_recargas!$I$83*'Plan mensual'!K121+parametros_recargas!$J$83*'Plan mensual'!K122+parametros_recargas!$K$83*'Plan mensual'!K123+parametros_recargas!$L$83*'Plan mensual'!K124+parametros_recargas!$M$83*'Plan mensual'!K126</f>
        <v>4451.93419945123</v>
      </c>
      <c r="J105" s="26" t="n">
        <f aca="false">parametros_recargas!$E$83*'Plan mensual'!L117+parametros_recargas!$F$83*'Plan mensual'!L118+parametros_recargas!$G$83*'Plan mensual'!L119+parametros_recargas!$H$83*'Plan mensual'!L120+parametros_recargas!$I$83*'Plan mensual'!L121+parametros_recargas!$J$83*'Plan mensual'!L122+parametros_recargas!$K$83*'Plan mensual'!L123+parametros_recargas!$L$83*'Plan mensual'!L124+parametros_recargas!$M$83*'Plan mensual'!L126</f>
        <v>4494.00704488257</v>
      </c>
      <c r="K105" s="26" t="n">
        <f aca="false">parametros_recargas!$E$83*'Plan mensual'!M117+parametros_recargas!$F$83*'Plan mensual'!M118+parametros_recargas!$G$83*'Plan mensual'!M119+parametros_recargas!$H$83*'Plan mensual'!M120+parametros_recargas!$I$83*'Plan mensual'!M121+parametros_recargas!$J$83*'Plan mensual'!M122+parametros_recargas!$K$83*'Plan mensual'!M123+parametros_recargas!$L$83*'Plan mensual'!M124+parametros_recargas!$M$83*'Plan mensual'!M126</f>
        <v>4494.00704488257</v>
      </c>
      <c r="L105" s="26" t="n">
        <f aca="false">parametros_recargas!$E$83*'Plan mensual'!N117+parametros_recargas!$F$83*'Plan mensual'!N118+parametros_recargas!$G$83*'Plan mensual'!N119+parametros_recargas!$H$83*'Plan mensual'!N120+parametros_recargas!$I$83*'Plan mensual'!N121+parametros_recargas!$J$83*'Plan mensual'!N122+parametros_recargas!$K$83*'Plan mensual'!N123+parametros_recargas!$L$83*'Plan mensual'!N124+parametros_recargas!$M$83*'Plan mensual'!N126</f>
        <v>5247.80274718482</v>
      </c>
      <c r="M105" s="26" t="n">
        <f aca="false">parametros_recargas!$E$83*'Plan mensual'!O117+parametros_recargas!$F$83*'Plan mensual'!O118+parametros_recargas!$G$83*'Plan mensual'!O119+parametros_recargas!$H$83*'Plan mensual'!O120+parametros_recargas!$I$83*'Plan mensual'!O121+parametros_recargas!$J$83*'Plan mensual'!O122+parametros_recargas!$K$83*'Plan mensual'!O123+parametros_recargas!$L$83*'Plan mensual'!O124+parametros_recargas!$M$83*'Plan mensual'!O126</f>
        <v>6084.87804243345</v>
      </c>
      <c r="N105" s="12" t="n">
        <f aca="false">SUM(B105:M105)</f>
        <v>58975.1543199921</v>
      </c>
      <c r="O105" s="27" t="n">
        <f aca="false">MAX(B105:M105)</f>
        <v>6084.87804243345</v>
      </c>
      <c r="P105" s="16" t="n">
        <f aca="false">O105/parametros_recargas!$B$6</f>
        <v>40.565853616223</v>
      </c>
    </row>
    <row r="106" customFormat="false" ht="15" hidden="false" customHeight="false" outlineLevel="0" collapsed="false">
      <c r="A106" s="6" t="str">
        <f aca="false">parametros_recargas!$B$84</f>
        <v>Desarme e inspección interior — zona general</v>
      </c>
      <c r="B106" s="26" t="n">
        <f aca="false">parametros_recargas!$E$84*'Plan mensual'!D117+parametros_recargas!$F$84*'Plan mensual'!D118+parametros_recargas!$G$84*'Plan mensual'!D119+parametros_recargas!$H$84*'Plan mensual'!D120+parametros_recargas!$I$84*'Plan mensual'!D121+parametros_recargas!$J$84*'Plan mensual'!D122+parametros_recargas!$K$84*'Plan mensual'!D123+parametros_recargas!$L$84*'Plan mensual'!D124+parametros_recargas!$M$84*'Plan mensual'!D126</f>
        <v>382.349738115672</v>
      </c>
      <c r="C106" s="26" t="n">
        <f aca="false">parametros_recargas!$E$84*'Plan mensual'!E117+parametros_recargas!$F$84*'Plan mensual'!E118+parametros_recargas!$G$84*'Plan mensual'!E119+parametros_recargas!$H$84*'Plan mensual'!E120+parametros_recargas!$I$84*'Plan mensual'!E121+parametros_recargas!$J$84*'Plan mensual'!E122+parametros_recargas!$K$84*'Plan mensual'!E123+parametros_recargas!$L$84*'Plan mensual'!E124+parametros_recargas!$M$84*'Plan mensual'!E126</f>
        <v>382.349738115672</v>
      </c>
      <c r="D106" s="26" t="n">
        <f aca="false">parametros_recargas!$E$84*'Plan mensual'!F117+parametros_recargas!$F$84*'Plan mensual'!F118+parametros_recargas!$G$84*'Plan mensual'!F119+parametros_recargas!$H$84*'Plan mensual'!F120+parametros_recargas!$I$84*'Plan mensual'!F121+parametros_recargas!$J$84*'Plan mensual'!F122+parametros_recargas!$K$84*'Plan mensual'!F123+parametros_recargas!$L$84*'Plan mensual'!F124+parametros_recargas!$M$84*'Plan mensual'!F126</f>
        <v>446.253431249033</v>
      </c>
      <c r="E106" s="26" t="n">
        <f aca="false">parametros_recargas!$E$84*'Plan mensual'!G117+parametros_recargas!$F$84*'Plan mensual'!G118+parametros_recargas!$G$84*'Plan mensual'!G119+parametros_recargas!$H$84*'Plan mensual'!G120+parametros_recargas!$I$84*'Plan mensual'!G121+parametros_recargas!$J$84*'Plan mensual'!G122+parametros_recargas!$K$84*'Plan mensual'!G123+parametros_recargas!$L$84*'Plan mensual'!G124+parametros_recargas!$M$84*'Plan mensual'!G126</f>
        <v>508.869173794706</v>
      </c>
      <c r="F106" s="26" t="n">
        <f aca="false">parametros_recargas!$E$84*'Plan mensual'!H117+parametros_recargas!$F$84*'Plan mensual'!H118+parametros_recargas!$G$84*'Plan mensual'!H119+parametros_recargas!$H$84*'Plan mensual'!H120+parametros_recargas!$I$84*'Plan mensual'!H121+parametros_recargas!$J$84*'Plan mensual'!H122+parametros_recargas!$K$84*'Plan mensual'!H123+parametros_recargas!$L$84*'Plan mensual'!H124+parametros_recargas!$M$84*'Plan mensual'!H126</f>
        <v>512.776743536721</v>
      </c>
      <c r="G106" s="26" t="n">
        <f aca="false">parametros_recargas!$E$84*'Plan mensual'!I117+parametros_recargas!$F$84*'Plan mensual'!I118+parametros_recargas!$G$84*'Plan mensual'!I119+parametros_recargas!$H$84*'Plan mensual'!I120+parametros_recargas!$I$84*'Plan mensual'!I121+parametros_recargas!$J$84*'Plan mensual'!I122+parametros_recargas!$K$84*'Plan mensual'!I123+parametros_recargas!$L$84*'Plan mensual'!I124+parametros_recargas!$M$84*'Plan mensual'!I126</f>
        <v>502.907591183255</v>
      </c>
      <c r="H106" s="26" t="n">
        <f aca="false">parametros_recargas!$E$84*'Plan mensual'!J117+parametros_recargas!$F$84*'Plan mensual'!J118+parametros_recargas!$G$84*'Plan mensual'!J119+parametros_recargas!$H$84*'Plan mensual'!J120+parametros_recargas!$I$84*'Plan mensual'!J121+parametros_recargas!$J$84*'Plan mensual'!J122+parametros_recargas!$K$84*'Plan mensual'!J123+parametros_recargas!$L$84*'Plan mensual'!J124+parametros_recargas!$M$84*'Plan mensual'!J126</f>
        <v>430.174758125132</v>
      </c>
      <c r="I106" s="26" t="n">
        <f aca="false">parametros_recargas!$E$84*'Plan mensual'!K117+parametros_recargas!$F$84*'Plan mensual'!K118+parametros_recargas!$G$84*'Plan mensual'!K119+parametros_recargas!$H$84*'Plan mensual'!K120+parametros_recargas!$I$84*'Plan mensual'!K121+parametros_recargas!$J$84*'Plan mensual'!K122+parametros_recargas!$K$84*'Plan mensual'!K123+parametros_recargas!$L$84*'Plan mensual'!K124+parametros_recargas!$M$84*'Plan mensual'!K126</f>
        <v>433.042315438443</v>
      </c>
      <c r="J106" s="26" t="n">
        <f aca="false">parametros_recargas!$E$84*'Plan mensual'!L117+parametros_recargas!$F$84*'Plan mensual'!L118+parametros_recargas!$G$84*'Plan mensual'!L119+parametros_recargas!$H$84*'Plan mensual'!L120+parametros_recargas!$I$84*'Plan mensual'!L121+parametros_recargas!$J$84*'Plan mensual'!L122+parametros_recargas!$K$84*'Plan mensual'!L123+parametros_recargas!$L$84*'Plan mensual'!L124+parametros_recargas!$M$84*'Plan mensual'!L126</f>
        <v>442.250060006334</v>
      </c>
      <c r="K106" s="26" t="n">
        <f aca="false">parametros_recargas!$E$84*'Plan mensual'!M117+parametros_recargas!$F$84*'Plan mensual'!M118+parametros_recargas!$G$84*'Plan mensual'!M119+parametros_recargas!$H$84*'Plan mensual'!M120+parametros_recargas!$I$84*'Plan mensual'!M121+parametros_recargas!$J$84*'Plan mensual'!M122+parametros_recargas!$K$84*'Plan mensual'!M123+parametros_recargas!$L$84*'Plan mensual'!M124+parametros_recargas!$M$84*'Plan mensual'!M126</f>
        <v>442.250060006334</v>
      </c>
      <c r="L106" s="26" t="n">
        <f aca="false">parametros_recargas!$E$84*'Plan mensual'!N117+parametros_recargas!$F$84*'Plan mensual'!N118+parametros_recargas!$G$84*'Plan mensual'!N119+parametros_recargas!$H$84*'Plan mensual'!N120+parametros_recargas!$I$84*'Plan mensual'!N121+parametros_recargas!$J$84*'Plan mensual'!N122+parametros_recargas!$K$84*'Plan mensual'!N123+parametros_recargas!$L$84*'Plan mensual'!N124+parametros_recargas!$M$84*'Plan mensual'!N126</f>
        <v>438.342490264319</v>
      </c>
      <c r="M106" s="26" t="n">
        <f aca="false">parametros_recargas!$E$84*'Plan mensual'!O117+parametros_recargas!$F$84*'Plan mensual'!O118+parametros_recargas!$G$84*'Plan mensual'!O119+parametros_recargas!$H$84*'Plan mensual'!O120+parametros_recargas!$I$84*'Plan mensual'!O121+parametros_recargas!$J$84*'Plan mensual'!O122+parametros_recargas!$K$84*'Plan mensual'!O123+parametros_recargas!$L$84*'Plan mensual'!O124+parametros_recargas!$M$84*'Plan mensual'!O126</f>
        <v>448.211642617785</v>
      </c>
      <c r="N106" s="12" t="n">
        <f aca="false">SUM(B106:M106)</f>
        <v>5369.77774245341</v>
      </c>
      <c r="O106" s="27" t="n">
        <f aca="false">MAX(B106:M106)</f>
        <v>512.776743536721</v>
      </c>
      <c r="P106" s="16" t="n">
        <f aca="false">O106/parametros_recargas!$B$6</f>
        <v>3.41851162357814</v>
      </c>
    </row>
    <row r="107" customFormat="false" ht="15" hidden="false" customHeight="false" outlineLevel="0" collapsed="false">
      <c r="A107" s="6" t="str">
        <f aca="false">parametros_recargas!$B$85</f>
        <v>Laboratorio — Puffer y mufla</v>
      </c>
      <c r="B107" s="26" t="n">
        <f aca="false">parametros_recargas!$E$85*'Plan mensual'!D117+parametros_recargas!$F$85*'Plan mensual'!D118+parametros_recargas!$G$85*'Plan mensual'!D119+parametros_recargas!$H$85*'Plan mensual'!D120+parametros_recargas!$I$85*'Plan mensual'!D121+parametros_recargas!$J$85*'Plan mensual'!D122+parametros_recargas!$K$85*'Plan mensual'!D123+parametros_recargas!$L$85*'Plan mensual'!D124+parametros_recargas!$M$85*'Plan mensual'!D126</f>
        <v>58.2052017296276</v>
      </c>
      <c r="C107" s="26" t="n">
        <f aca="false">parametros_recargas!$E$85*'Plan mensual'!E117+parametros_recargas!$F$85*'Plan mensual'!E118+parametros_recargas!$G$85*'Plan mensual'!E119+parametros_recargas!$H$85*'Plan mensual'!E120+parametros_recargas!$I$85*'Plan mensual'!E121+parametros_recargas!$J$85*'Plan mensual'!E122+parametros_recargas!$K$85*'Plan mensual'!E123+parametros_recargas!$L$85*'Plan mensual'!E124+parametros_recargas!$M$85*'Plan mensual'!E126</f>
        <v>49.9926406886426</v>
      </c>
      <c r="D107" s="26" t="n">
        <f aca="false">parametros_recargas!$E$85*'Plan mensual'!F117+parametros_recargas!$F$85*'Plan mensual'!F118+parametros_recargas!$G$85*'Plan mensual'!F119+parametros_recargas!$H$85*'Plan mensual'!F120+parametros_recargas!$I$85*'Plan mensual'!F121+parametros_recargas!$J$85*'Plan mensual'!F122+parametros_recargas!$K$85*'Plan mensual'!F123+parametros_recargas!$L$85*'Plan mensual'!F124+parametros_recargas!$M$85*'Plan mensual'!F126</f>
        <v>46.6796702632237</v>
      </c>
      <c r="E107" s="26" t="n">
        <f aca="false">parametros_recargas!$E$85*'Plan mensual'!G117+parametros_recargas!$F$85*'Plan mensual'!G118+parametros_recargas!$G$85*'Plan mensual'!G119+parametros_recargas!$H$85*'Plan mensual'!G120+parametros_recargas!$I$85*'Plan mensual'!G121+parametros_recargas!$J$85*'Plan mensual'!G122+parametros_recargas!$K$85*'Plan mensual'!G123+parametros_recargas!$L$85*'Plan mensual'!G124+parametros_recargas!$M$85*'Plan mensual'!G126</f>
        <v>51.3416804987392</v>
      </c>
      <c r="F107" s="26" t="n">
        <f aca="false">parametros_recargas!$E$85*'Plan mensual'!H117+parametros_recargas!$F$85*'Plan mensual'!H118+parametros_recargas!$G$85*'Plan mensual'!H119+parametros_recargas!$H$85*'Plan mensual'!H120+parametros_recargas!$I$85*'Plan mensual'!H121+parametros_recargas!$J$85*'Plan mensual'!H122+parametros_recargas!$K$85*'Plan mensual'!H123+parametros_recargas!$L$85*'Plan mensual'!H124+parametros_recargas!$M$85*'Plan mensual'!H126</f>
        <v>51.7096464911779</v>
      </c>
      <c r="G107" s="26" t="n">
        <f aca="false">parametros_recargas!$E$85*'Plan mensual'!I117+parametros_recargas!$F$85*'Plan mensual'!I118+parametros_recargas!$G$85*'Plan mensual'!I119+parametros_recargas!$H$85*'Plan mensual'!I120+parametros_recargas!$I$85*'Plan mensual'!I121+parametros_recargas!$J$85*'Plan mensual'!I122+parametros_recargas!$K$85*'Plan mensual'!I123+parametros_recargas!$L$85*'Plan mensual'!I124+parametros_recargas!$M$85*'Plan mensual'!I126</f>
        <v>51.2109390859349</v>
      </c>
      <c r="H107" s="26" t="n">
        <f aca="false">parametros_recargas!$E$85*'Plan mensual'!J117+parametros_recargas!$F$85*'Plan mensual'!J118+parametros_recargas!$G$85*'Plan mensual'!J119+parametros_recargas!$H$85*'Plan mensual'!J120+parametros_recargas!$I$85*'Plan mensual'!J121+parametros_recargas!$J$85*'Plan mensual'!J122+parametros_recargas!$K$85*'Plan mensual'!J123+parametros_recargas!$L$85*'Plan mensual'!J124+parametros_recargas!$M$85*'Plan mensual'!J126</f>
        <v>45.7505640810935</v>
      </c>
      <c r="I107" s="26" t="n">
        <f aca="false">parametros_recargas!$E$85*'Plan mensual'!K117+parametros_recargas!$F$85*'Plan mensual'!K118+parametros_recargas!$G$85*'Plan mensual'!K119+parametros_recargas!$H$85*'Plan mensual'!K120+parametros_recargas!$I$85*'Plan mensual'!K121+parametros_recargas!$J$85*'Plan mensual'!K122+parametros_recargas!$K$85*'Plan mensual'!K123+parametros_recargas!$L$85*'Plan mensual'!K124+parametros_recargas!$M$85*'Plan mensual'!K126</f>
        <v>46.1806070575646</v>
      </c>
      <c r="J107" s="26" t="n">
        <f aca="false">parametros_recargas!$E$85*'Plan mensual'!L117+parametros_recargas!$F$85*'Plan mensual'!L118+parametros_recargas!$G$85*'Plan mensual'!L119+parametros_recargas!$H$85*'Plan mensual'!L120+parametros_recargas!$I$85*'Plan mensual'!L121+parametros_recargas!$J$85*'Plan mensual'!L122+parametros_recargas!$K$85*'Plan mensual'!L123+parametros_recargas!$L$85*'Plan mensual'!L124+parametros_recargas!$M$85*'Plan mensual'!L126</f>
        <v>46.6184504068181</v>
      </c>
      <c r="K107" s="26" t="n">
        <f aca="false">parametros_recargas!$E$85*'Plan mensual'!M117+parametros_recargas!$F$85*'Plan mensual'!M118+parametros_recargas!$G$85*'Plan mensual'!M119+parametros_recargas!$H$85*'Plan mensual'!M120+parametros_recargas!$I$85*'Plan mensual'!M121+parametros_recargas!$J$85*'Plan mensual'!M122+parametros_recargas!$K$85*'Plan mensual'!M123+parametros_recargas!$L$85*'Plan mensual'!M124+parametros_recargas!$M$85*'Plan mensual'!M126</f>
        <v>46.6184504068181</v>
      </c>
      <c r="L107" s="26" t="n">
        <f aca="false">parametros_recargas!$E$85*'Plan mensual'!N117+parametros_recargas!$F$85*'Plan mensual'!N118+parametros_recargas!$G$85*'Plan mensual'!N119+parametros_recargas!$H$85*'Plan mensual'!N120+parametros_recargas!$I$85*'Plan mensual'!N121+parametros_recargas!$J$85*'Plan mensual'!N122+parametros_recargas!$K$85*'Plan mensual'!N123+parametros_recargas!$L$85*'Plan mensual'!N124+parametros_recargas!$M$85*'Plan mensual'!N126</f>
        <v>54.4630454553644</v>
      </c>
      <c r="M107" s="26" t="n">
        <f aca="false">parametros_recargas!$E$85*'Plan mensual'!O117+parametros_recargas!$F$85*'Plan mensual'!O118+parametros_recargas!$G$85*'Plan mensual'!O119+parametros_recargas!$H$85*'Plan mensual'!O120+parametros_recargas!$I$85*'Plan mensual'!O121+parametros_recargas!$J$85*'Plan mensual'!O122+parametros_recargas!$K$85*'Plan mensual'!O123+parametros_recargas!$L$85*'Plan mensual'!O124+parametros_recargas!$M$85*'Plan mensual'!O126</f>
        <v>63.1743139015923</v>
      </c>
      <c r="N107" s="12" t="n">
        <f aca="false">SUM(B107:M107)</f>
        <v>611.945210066597</v>
      </c>
      <c r="O107" s="27" t="n">
        <f aca="false">MAX(B107:M107)</f>
        <v>63.1743139015923</v>
      </c>
      <c r="P107" s="16" t="n">
        <f aca="false">O107/parametros_recargas!$B$6</f>
        <v>0.421162092677282</v>
      </c>
    </row>
    <row r="108" customFormat="false" ht="15" hidden="false" customHeight="false" outlineLevel="0" collapsed="false">
      <c r="A108" s="6" t="str">
        <f aca="false">parametros_recargas!$B$86</f>
        <v>Prueba hidráulica</v>
      </c>
      <c r="B108" s="26" t="n">
        <f aca="false">parametros_recargas!$E$86*'Plan mensual'!D117+parametros_recargas!$F$86*'Plan mensual'!D118+parametros_recargas!$G$86*'Plan mensual'!D119+parametros_recargas!$H$86*'Plan mensual'!D120+parametros_recargas!$I$86*'Plan mensual'!D121+parametros_recargas!$J$86*'Plan mensual'!D122+parametros_recargas!$K$86*'Plan mensual'!D123+parametros_recargas!$L$86*'Plan mensual'!D124+parametros_recargas!$M$86*'Plan mensual'!D126</f>
        <v>1644.43369640006</v>
      </c>
      <c r="C108" s="26" t="n">
        <f aca="false">parametros_recargas!$E$86*'Plan mensual'!E117+parametros_recargas!$F$86*'Plan mensual'!E118+parametros_recargas!$G$86*'Plan mensual'!E119+parametros_recargas!$H$86*'Plan mensual'!E120+parametros_recargas!$I$86*'Plan mensual'!E121+parametros_recargas!$J$86*'Plan mensual'!E122+parametros_recargas!$K$86*'Plan mensual'!E123+parametros_recargas!$L$86*'Plan mensual'!E124+parametros_recargas!$M$86*'Plan mensual'!E126</f>
        <v>1447.14520734234</v>
      </c>
      <c r="D108" s="26" t="n">
        <f aca="false">parametros_recargas!$E$86*'Plan mensual'!F117+parametros_recargas!$F$86*'Plan mensual'!F118+parametros_recargas!$G$86*'Plan mensual'!F119+parametros_recargas!$H$86*'Plan mensual'!F120+parametros_recargas!$I$86*'Plan mensual'!F121+parametros_recargas!$J$86*'Plan mensual'!F122+parametros_recargas!$K$86*'Plan mensual'!F123+parametros_recargas!$L$86*'Plan mensual'!F124+parametros_recargas!$M$86*'Plan mensual'!F126</f>
        <v>1410.9857538447</v>
      </c>
      <c r="E108" s="26" t="n">
        <f aca="false">parametros_recargas!$E$86*'Plan mensual'!G117+parametros_recargas!$F$86*'Plan mensual'!G118+parametros_recargas!$G$86*'Plan mensual'!G119+parametros_recargas!$H$86*'Plan mensual'!G120+parametros_recargas!$I$86*'Plan mensual'!G121+parametros_recargas!$J$86*'Plan mensual'!G122+parametros_recargas!$K$86*'Plan mensual'!G123+parametros_recargas!$L$86*'Plan mensual'!G124+parametros_recargas!$M$86*'Plan mensual'!G126</f>
        <v>1565.61063628433</v>
      </c>
      <c r="F108" s="26" t="n">
        <f aca="false">parametros_recargas!$E$86*'Plan mensual'!H117+parametros_recargas!$F$86*'Plan mensual'!H118+parametros_recargas!$G$86*'Plan mensual'!H119+parametros_recargas!$H$86*'Plan mensual'!H120+parametros_recargas!$I$86*'Plan mensual'!H121+parametros_recargas!$J$86*'Plan mensual'!H122+parametros_recargas!$K$86*'Plan mensual'!H123+parametros_recargas!$L$86*'Plan mensual'!H124+parametros_recargas!$M$86*'Plan mensual'!H126</f>
        <v>1576.92742071878</v>
      </c>
      <c r="G108" s="26" t="n">
        <f aca="false">parametros_recargas!$E$86*'Plan mensual'!I117+parametros_recargas!$F$86*'Plan mensual'!I118+parametros_recargas!$G$86*'Plan mensual'!I119+parametros_recargas!$H$86*'Plan mensual'!I120+parametros_recargas!$I$86*'Plan mensual'!I121+parametros_recargas!$J$86*'Plan mensual'!I122+parametros_recargas!$K$86*'Plan mensual'!I123+parametros_recargas!$L$86*'Plan mensual'!I124+parametros_recargas!$M$86*'Plan mensual'!I126</f>
        <v>1558.47299685274</v>
      </c>
      <c r="H108" s="26" t="n">
        <f aca="false">parametros_recargas!$E$86*'Plan mensual'!J117+parametros_recargas!$F$86*'Plan mensual'!J118+parametros_recargas!$G$86*'Plan mensual'!J119+parametros_recargas!$H$86*'Plan mensual'!J120+parametros_recargas!$I$86*'Plan mensual'!J121+parametros_recargas!$J$86*'Plan mensual'!J122+parametros_recargas!$K$86*'Plan mensual'!J123+parametros_recargas!$L$86*'Plan mensual'!J124+parametros_recargas!$M$86*'Plan mensual'!J126</f>
        <v>1378.26077139831</v>
      </c>
      <c r="I108" s="26" t="n">
        <f aca="false">parametros_recargas!$E$86*'Plan mensual'!K117+parametros_recargas!$F$86*'Plan mensual'!K118+parametros_recargas!$G$86*'Plan mensual'!K119+parametros_recargas!$H$86*'Plan mensual'!K120+parametros_recargas!$I$86*'Plan mensual'!K121+parametros_recargas!$J$86*'Plan mensual'!K122+parametros_recargas!$K$86*'Plan mensual'!K123+parametros_recargas!$L$86*'Plan mensual'!K124+parametros_recargas!$M$86*'Plan mensual'!K126</f>
        <v>1390.20632186108</v>
      </c>
      <c r="J108" s="26" t="n">
        <f aca="false">parametros_recargas!$E$86*'Plan mensual'!L117+parametros_recargas!$F$86*'Plan mensual'!L118+parametros_recargas!$G$86*'Plan mensual'!L119+parametros_recargas!$H$86*'Plan mensual'!L120+parametros_recargas!$I$86*'Plan mensual'!L121+parametros_recargas!$J$86*'Plan mensual'!L122+parametros_recargas!$K$86*'Plan mensual'!L123+parametros_recargas!$L$86*'Plan mensual'!L124+parametros_recargas!$M$86*'Plan mensual'!L126</f>
        <v>1406.72718466206</v>
      </c>
      <c r="K108" s="26" t="n">
        <f aca="false">parametros_recargas!$E$86*'Plan mensual'!M117+parametros_recargas!$F$86*'Plan mensual'!M118+parametros_recargas!$G$86*'Plan mensual'!M119+parametros_recargas!$H$86*'Plan mensual'!M120+parametros_recargas!$I$86*'Plan mensual'!M121+parametros_recargas!$J$86*'Plan mensual'!M122+parametros_recargas!$K$86*'Plan mensual'!M123+parametros_recargas!$L$86*'Plan mensual'!M124+parametros_recargas!$M$86*'Plan mensual'!M126</f>
        <v>1406.72718466206</v>
      </c>
      <c r="L108" s="26" t="n">
        <f aca="false">parametros_recargas!$E$86*'Plan mensual'!N117+parametros_recargas!$F$86*'Plan mensual'!N118+parametros_recargas!$G$86*'Plan mensual'!N119+parametros_recargas!$H$86*'Plan mensual'!N120+parametros_recargas!$I$86*'Plan mensual'!N121+parametros_recargas!$J$86*'Plan mensual'!N122+parametros_recargas!$K$86*'Plan mensual'!N123+parametros_recargas!$L$86*'Plan mensual'!N124+parametros_recargas!$M$86*'Plan mensual'!N126</f>
        <v>1592.69888928533</v>
      </c>
      <c r="M108" s="26" t="n">
        <f aca="false">parametros_recargas!$E$86*'Plan mensual'!O117+parametros_recargas!$F$86*'Plan mensual'!O118+parametros_recargas!$G$86*'Plan mensual'!O119+parametros_recargas!$H$86*'Plan mensual'!O120+parametros_recargas!$I$86*'Plan mensual'!O121+parametros_recargas!$J$86*'Plan mensual'!O122+parametros_recargas!$K$86*'Plan mensual'!O123+parametros_recargas!$L$86*'Plan mensual'!O124+parametros_recargas!$M$86*'Plan mensual'!O126</f>
        <v>1808.44180220909</v>
      </c>
      <c r="N108" s="12" t="n">
        <f aca="false">SUM(B108:M108)</f>
        <v>18186.6378655209</v>
      </c>
      <c r="O108" s="27" t="n">
        <f aca="false">MAX(B108:M108)</f>
        <v>1808.44180220909</v>
      </c>
      <c r="P108" s="16" t="n">
        <f aca="false">O108/parametros_recargas!$B$6</f>
        <v>12.0562786813939</v>
      </c>
    </row>
    <row r="109" customFormat="false" ht="15" hidden="false" customHeight="false" outlineLevel="0" collapsed="false">
      <c r="A109" s="6" t="str">
        <f aca="false">parametros_recargas!$B$87</f>
        <v>Secado</v>
      </c>
      <c r="B109" s="26" t="n">
        <f aca="false">parametros_recargas!$E$87*'Plan mensual'!D117+parametros_recargas!$F$87*'Plan mensual'!D118+parametros_recargas!$G$87*'Plan mensual'!D119+parametros_recargas!$H$87*'Plan mensual'!D120+parametros_recargas!$I$87*'Plan mensual'!D121+parametros_recargas!$J$87*'Plan mensual'!D122+parametros_recargas!$K$87*'Plan mensual'!D123+parametros_recargas!$L$87*'Plan mensual'!D124+parametros_recargas!$M$87*'Plan mensual'!D126</f>
        <v>1554.52444780778</v>
      </c>
      <c r="C109" s="26" t="n">
        <f aca="false">parametros_recargas!$E$87*'Plan mensual'!E117+parametros_recargas!$F$87*'Plan mensual'!E118+parametros_recargas!$G$87*'Plan mensual'!E119+parametros_recargas!$H$87*'Plan mensual'!E120+parametros_recargas!$I$87*'Plan mensual'!E121+parametros_recargas!$J$87*'Plan mensual'!E122+parametros_recargas!$K$87*'Plan mensual'!E123+parametros_recargas!$L$87*'Plan mensual'!E124+parametros_recargas!$M$87*'Plan mensual'!E126</f>
        <v>1349.34441918775</v>
      </c>
      <c r="D109" s="26" t="n">
        <f aca="false">parametros_recargas!$E$87*'Plan mensual'!F117+parametros_recargas!$F$87*'Plan mensual'!F118+parametros_recargas!$G$87*'Plan mensual'!F119+parametros_recargas!$H$87*'Plan mensual'!F120+parametros_recargas!$I$87*'Plan mensual'!F121+parametros_recargas!$J$87*'Plan mensual'!F122+parametros_recargas!$K$87*'Plan mensual'!F123+parametros_recargas!$L$87*'Plan mensual'!F124+parametros_recargas!$M$87*'Plan mensual'!F126</f>
        <v>1290.82435425608</v>
      </c>
      <c r="E109" s="26" t="n">
        <f aca="false">parametros_recargas!$E$87*'Plan mensual'!G117+parametros_recargas!$F$87*'Plan mensual'!G118+parametros_recargas!$G$87*'Plan mensual'!G119+parametros_recargas!$H$87*'Plan mensual'!G120+parametros_recargas!$I$87*'Plan mensual'!G121+parametros_recargas!$J$87*'Plan mensual'!G122+parametros_recargas!$K$87*'Plan mensual'!G123+parametros_recargas!$L$87*'Plan mensual'!G124+parametros_recargas!$M$87*'Plan mensual'!G126</f>
        <v>1431.39210511885</v>
      </c>
      <c r="F109" s="26" t="n">
        <f aca="false">parametros_recargas!$E$87*'Plan mensual'!H117+parametros_recargas!$F$87*'Plan mensual'!H118+parametros_recargas!$G$87*'Plan mensual'!H119+parametros_recargas!$H$87*'Plan mensual'!H120+parametros_recargas!$I$87*'Plan mensual'!H121+parametros_recargas!$J$87*'Plan mensual'!H122+parametros_recargas!$K$87*'Plan mensual'!H123+parametros_recargas!$L$87*'Plan mensual'!H124+parametros_recargas!$M$87*'Plan mensual'!H126</f>
        <v>1441.5501264173</v>
      </c>
      <c r="G109" s="26" t="n">
        <f aca="false">parametros_recargas!$E$87*'Plan mensual'!I117+parametros_recargas!$F$87*'Plan mensual'!I118+parametros_recargas!$G$87*'Plan mensual'!I119+parametros_recargas!$H$87*'Plan mensual'!I120+parametros_recargas!$I$87*'Plan mensual'!I121+parametros_recargas!$J$87*'Plan mensual'!I122+parametros_recargas!$K$87*'Plan mensual'!I123+parametros_recargas!$L$87*'Plan mensual'!I124+parametros_recargas!$M$87*'Plan mensual'!I126</f>
        <v>1425.91040478335</v>
      </c>
      <c r="H109" s="26" t="n">
        <f aca="false">parametros_recargas!$E$87*'Plan mensual'!J117+parametros_recargas!$F$87*'Plan mensual'!J118+parametros_recargas!$G$87*'Plan mensual'!J119+parametros_recargas!$H$87*'Plan mensual'!J120+parametros_recargas!$I$87*'Plan mensual'!J121+parametros_recargas!$J$87*'Plan mensual'!J122+parametros_recargas!$K$87*'Plan mensual'!J123+parametros_recargas!$L$87*'Plan mensual'!J124+parametros_recargas!$M$87*'Plan mensual'!J126</f>
        <v>1262.91418544563</v>
      </c>
      <c r="I109" s="26" t="n">
        <f aca="false">parametros_recargas!$E$87*'Plan mensual'!K117+parametros_recargas!$F$87*'Plan mensual'!K118+parametros_recargas!$G$87*'Plan mensual'!K119+parametros_recargas!$H$87*'Plan mensual'!K120+parametros_recargas!$I$87*'Plan mensual'!K121+parametros_recargas!$J$87*'Plan mensual'!K122+parametros_recargas!$K$87*'Plan mensual'!K123+parametros_recargas!$L$87*'Plan mensual'!K124+parametros_recargas!$M$87*'Plan mensual'!K126</f>
        <v>1273.7687407595</v>
      </c>
      <c r="J109" s="26" t="n">
        <f aca="false">parametros_recargas!$E$87*'Plan mensual'!L117+parametros_recargas!$F$87*'Plan mensual'!L118+parametros_recargas!$G$87*'Plan mensual'!L119+parametros_recargas!$H$87*'Plan mensual'!L120+parametros_recargas!$I$87*'Plan mensual'!L121+parametros_recargas!$J$87*'Plan mensual'!L122+parametros_recargas!$K$87*'Plan mensual'!L123+parametros_recargas!$L$87*'Plan mensual'!L124+parametros_recargas!$M$87*'Plan mensual'!L126</f>
        <v>1287.57119704221</v>
      </c>
      <c r="K109" s="26" t="n">
        <f aca="false">parametros_recargas!$E$87*'Plan mensual'!M117+parametros_recargas!$F$87*'Plan mensual'!M118+parametros_recargas!$G$87*'Plan mensual'!M119+parametros_recargas!$H$87*'Plan mensual'!M120+parametros_recargas!$I$87*'Plan mensual'!M121+parametros_recargas!$J$87*'Plan mensual'!M122+parametros_recargas!$K$87*'Plan mensual'!M123+parametros_recargas!$L$87*'Plan mensual'!M124+parametros_recargas!$M$87*'Plan mensual'!M126</f>
        <v>1287.57119704221</v>
      </c>
      <c r="L109" s="26" t="n">
        <f aca="false">parametros_recargas!$E$87*'Plan mensual'!N117+parametros_recargas!$F$87*'Plan mensual'!N118+parametros_recargas!$G$87*'Plan mensual'!N119+parametros_recargas!$H$87*'Plan mensual'!N120+parametros_recargas!$I$87*'Plan mensual'!N121+parametros_recargas!$J$87*'Plan mensual'!N122+parametros_recargas!$K$87*'Plan mensual'!N123+parametros_recargas!$L$87*'Plan mensual'!N124+parametros_recargas!$M$87*'Plan mensual'!N126</f>
        <v>1482.59320436378</v>
      </c>
      <c r="M109" s="26" t="n">
        <f aca="false">parametros_recargas!$E$87*'Plan mensual'!O117+parametros_recargas!$F$87*'Plan mensual'!O118+parametros_recargas!$G$87*'Plan mensual'!O119+parametros_recargas!$H$87*'Plan mensual'!O120+parametros_recargas!$I$87*'Plan mensual'!O121+parametros_recargas!$J$87*'Plan mensual'!O122+parametros_recargas!$K$87*'Plan mensual'!O123+parametros_recargas!$L$87*'Plan mensual'!O124+parametros_recargas!$M$87*'Plan mensual'!O126</f>
        <v>1703.41295461775</v>
      </c>
      <c r="N109" s="12" t="n">
        <f aca="false">SUM(B109:M109)</f>
        <v>16791.3773368422</v>
      </c>
      <c r="O109" s="27" t="n">
        <f aca="false">MAX(B109:M109)</f>
        <v>1703.41295461775</v>
      </c>
      <c r="P109" s="16" t="n">
        <f aca="false">O109/parametros_recargas!$B$6</f>
        <v>11.3560863641184</v>
      </c>
    </row>
    <row r="110" customFormat="false" ht="15" hidden="false" customHeight="false" outlineLevel="0" collapsed="false">
      <c r="A110" s="6" t="str">
        <f aca="false">parametros_recargas!$B$88</f>
        <v>Inspección interior con videoscopio</v>
      </c>
      <c r="B110" s="26" t="n">
        <f aca="false">parametros_recargas!$E$88*'Plan mensual'!D117+parametros_recargas!$F$88*'Plan mensual'!D118+parametros_recargas!$G$88*'Plan mensual'!D119+parametros_recargas!$H$88*'Plan mensual'!D120+parametros_recargas!$I$88*'Plan mensual'!D121+parametros_recargas!$J$88*'Plan mensual'!D122+parametros_recargas!$K$88*'Plan mensual'!D123+parametros_recargas!$L$88*'Plan mensual'!D124+parametros_recargas!$M$88*'Plan mensual'!D126</f>
        <v>1554.52444780778</v>
      </c>
      <c r="C110" s="26" t="n">
        <f aca="false">parametros_recargas!$E$88*'Plan mensual'!E117+parametros_recargas!$F$88*'Plan mensual'!E118+parametros_recargas!$G$88*'Plan mensual'!E119+parametros_recargas!$H$88*'Plan mensual'!E120+parametros_recargas!$I$88*'Plan mensual'!E121+parametros_recargas!$J$88*'Plan mensual'!E122+parametros_recargas!$K$88*'Plan mensual'!E123+parametros_recargas!$L$88*'Plan mensual'!E124+parametros_recargas!$M$88*'Plan mensual'!E126</f>
        <v>1349.34441918775</v>
      </c>
      <c r="D110" s="26" t="n">
        <f aca="false">parametros_recargas!$E$88*'Plan mensual'!F117+parametros_recargas!$F$88*'Plan mensual'!F118+parametros_recargas!$G$88*'Plan mensual'!F119+parametros_recargas!$H$88*'Plan mensual'!F120+parametros_recargas!$I$88*'Plan mensual'!F121+parametros_recargas!$J$88*'Plan mensual'!F122+parametros_recargas!$K$88*'Plan mensual'!F123+parametros_recargas!$L$88*'Plan mensual'!F124+parametros_recargas!$M$88*'Plan mensual'!F126</f>
        <v>1290.82435425608</v>
      </c>
      <c r="E110" s="26" t="n">
        <f aca="false">parametros_recargas!$E$88*'Plan mensual'!G117+parametros_recargas!$F$88*'Plan mensual'!G118+parametros_recargas!$G$88*'Plan mensual'!G119+parametros_recargas!$H$88*'Plan mensual'!G120+parametros_recargas!$I$88*'Plan mensual'!G121+parametros_recargas!$J$88*'Plan mensual'!G122+parametros_recargas!$K$88*'Plan mensual'!G123+parametros_recargas!$L$88*'Plan mensual'!G124+parametros_recargas!$M$88*'Plan mensual'!G126</f>
        <v>1431.39210511885</v>
      </c>
      <c r="F110" s="26" t="n">
        <f aca="false">parametros_recargas!$E$88*'Plan mensual'!H117+parametros_recargas!$F$88*'Plan mensual'!H118+parametros_recargas!$G$88*'Plan mensual'!H119+parametros_recargas!$H$88*'Plan mensual'!H120+parametros_recargas!$I$88*'Plan mensual'!H121+parametros_recargas!$J$88*'Plan mensual'!H122+parametros_recargas!$K$88*'Plan mensual'!H123+parametros_recargas!$L$88*'Plan mensual'!H124+parametros_recargas!$M$88*'Plan mensual'!H126</f>
        <v>1441.5501264173</v>
      </c>
      <c r="G110" s="26" t="n">
        <f aca="false">parametros_recargas!$E$88*'Plan mensual'!I117+parametros_recargas!$F$88*'Plan mensual'!I118+parametros_recargas!$G$88*'Plan mensual'!I119+parametros_recargas!$H$88*'Plan mensual'!I120+parametros_recargas!$I$88*'Plan mensual'!I121+parametros_recargas!$J$88*'Plan mensual'!I122+parametros_recargas!$K$88*'Plan mensual'!I123+parametros_recargas!$L$88*'Plan mensual'!I124+parametros_recargas!$M$88*'Plan mensual'!I126</f>
        <v>1425.91040478335</v>
      </c>
      <c r="H110" s="26" t="n">
        <f aca="false">parametros_recargas!$E$88*'Plan mensual'!J117+parametros_recargas!$F$88*'Plan mensual'!J118+parametros_recargas!$G$88*'Plan mensual'!J119+parametros_recargas!$H$88*'Plan mensual'!J120+parametros_recargas!$I$88*'Plan mensual'!J121+parametros_recargas!$J$88*'Plan mensual'!J122+parametros_recargas!$K$88*'Plan mensual'!J123+parametros_recargas!$L$88*'Plan mensual'!J124+parametros_recargas!$M$88*'Plan mensual'!J126</f>
        <v>1262.91418544563</v>
      </c>
      <c r="I110" s="26" t="n">
        <f aca="false">parametros_recargas!$E$88*'Plan mensual'!K117+parametros_recargas!$F$88*'Plan mensual'!K118+parametros_recargas!$G$88*'Plan mensual'!K119+parametros_recargas!$H$88*'Plan mensual'!K120+parametros_recargas!$I$88*'Plan mensual'!K121+parametros_recargas!$J$88*'Plan mensual'!K122+parametros_recargas!$K$88*'Plan mensual'!K123+parametros_recargas!$L$88*'Plan mensual'!K124+parametros_recargas!$M$88*'Plan mensual'!K126</f>
        <v>1273.7687407595</v>
      </c>
      <c r="J110" s="26" t="n">
        <f aca="false">parametros_recargas!$E$88*'Plan mensual'!L117+parametros_recargas!$F$88*'Plan mensual'!L118+parametros_recargas!$G$88*'Plan mensual'!L119+parametros_recargas!$H$88*'Plan mensual'!L120+parametros_recargas!$I$88*'Plan mensual'!L121+parametros_recargas!$J$88*'Plan mensual'!L122+parametros_recargas!$K$88*'Plan mensual'!L123+parametros_recargas!$L$88*'Plan mensual'!L124+parametros_recargas!$M$88*'Plan mensual'!L126</f>
        <v>1287.57119704221</v>
      </c>
      <c r="K110" s="26" t="n">
        <f aca="false">parametros_recargas!$E$88*'Plan mensual'!M117+parametros_recargas!$F$88*'Plan mensual'!M118+parametros_recargas!$G$88*'Plan mensual'!M119+parametros_recargas!$H$88*'Plan mensual'!M120+parametros_recargas!$I$88*'Plan mensual'!M121+parametros_recargas!$J$88*'Plan mensual'!M122+parametros_recargas!$K$88*'Plan mensual'!M123+parametros_recargas!$L$88*'Plan mensual'!M124+parametros_recargas!$M$88*'Plan mensual'!M126</f>
        <v>1287.57119704221</v>
      </c>
      <c r="L110" s="26" t="n">
        <f aca="false">parametros_recargas!$E$88*'Plan mensual'!N117+parametros_recargas!$F$88*'Plan mensual'!N118+parametros_recargas!$G$88*'Plan mensual'!N119+parametros_recargas!$H$88*'Plan mensual'!N120+parametros_recargas!$I$88*'Plan mensual'!N121+parametros_recargas!$J$88*'Plan mensual'!N122+parametros_recargas!$K$88*'Plan mensual'!N123+parametros_recargas!$L$88*'Plan mensual'!N124+parametros_recargas!$M$88*'Plan mensual'!N126</f>
        <v>1482.59320436378</v>
      </c>
      <c r="M110" s="26" t="n">
        <f aca="false">parametros_recargas!$E$88*'Plan mensual'!O117+parametros_recargas!$F$88*'Plan mensual'!O118+parametros_recargas!$G$88*'Plan mensual'!O119+parametros_recargas!$H$88*'Plan mensual'!O120+parametros_recargas!$I$88*'Plan mensual'!O121+parametros_recargas!$J$88*'Plan mensual'!O122+parametros_recargas!$K$88*'Plan mensual'!O123+parametros_recargas!$L$88*'Plan mensual'!O124+parametros_recargas!$M$88*'Plan mensual'!O126</f>
        <v>1703.41295461775</v>
      </c>
      <c r="N110" s="12" t="n">
        <f aca="false">SUM(B110:M110)</f>
        <v>16791.3773368422</v>
      </c>
      <c r="O110" s="27" t="n">
        <f aca="false">MAX(B110:M110)</f>
        <v>1703.41295461775</v>
      </c>
      <c r="P110" s="16" t="n">
        <f aca="false">O110/parametros_recargas!$B$6</f>
        <v>11.3560863641184</v>
      </c>
    </row>
    <row r="111" customFormat="false" ht="15" hidden="false" customHeight="false" outlineLevel="0" collapsed="false">
      <c r="A111" s="6" t="str">
        <f aca="false">parametros_recargas!$B$89</f>
        <v>Pintura</v>
      </c>
      <c r="B111" s="26" t="n">
        <f aca="false">parametros_recargas!$E$89*'Plan mensual'!D117+parametros_recargas!$F$89*'Plan mensual'!D118+parametros_recargas!$G$89*'Plan mensual'!D119+parametros_recargas!$H$89*'Plan mensual'!D120+parametros_recargas!$I$89*'Plan mensual'!D121+parametros_recargas!$J$89*'Plan mensual'!D122+parametros_recargas!$K$89*'Plan mensual'!D123+parametros_recargas!$L$89*'Plan mensual'!D124+parametros_recargas!$M$89*'Plan mensual'!D126</f>
        <v>938.883912605969</v>
      </c>
      <c r="C111" s="26" t="n">
        <f aca="false">parametros_recargas!$E$89*'Plan mensual'!E117+parametros_recargas!$F$89*'Plan mensual'!E118+parametros_recargas!$G$89*'Plan mensual'!E119+parametros_recargas!$H$89*'Plan mensual'!E120+parametros_recargas!$I$89*'Plan mensual'!E121+parametros_recargas!$J$89*'Plan mensual'!E122+parametros_recargas!$K$89*'Plan mensual'!E123+parametros_recargas!$L$89*'Plan mensual'!E124+parametros_recargas!$M$89*'Plan mensual'!E126</f>
        <v>820.510819171339</v>
      </c>
      <c r="D111" s="26" t="n">
        <f aca="false">parametros_recargas!$E$89*'Plan mensual'!F117+parametros_recargas!$F$89*'Plan mensual'!F118+parametros_recargas!$G$89*'Plan mensual'!F119+parametros_recargas!$H$89*'Plan mensual'!F120+parametros_recargas!$I$89*'Plan mensual'!F121+parametros_recargas!$J$89*'Plan mensual'!F122+parametros_recargas!$K$89*'Plan mensual'!F123+parametros_recargas!$L$89*'Plan mensual'!F124+parametros_recargas!$M$89*'Plan mensual'!F126</f>
        <v>792.538991514371</v>
      </c>
      <c r="E111" s="26" t="n">
        <f aca="false">parametros_recargas!$E$89*'Plan mensual'!G117+parametros_recargas!$F$89*'Plan mensual'!G118+parametros_recargas!$G$89*'Plan mensual'!G119+parametros_recargas!$H$89*'Plan mensual'!G120+parametros_recargas!$I$89*'Plan mensual'!G121+parametros_recargas!$J$89*'Plan mensual'!G122+parametros_recargas!$K$89*'Plan mensual'!G123+parametros_recargas!$L$89*'Plan mensual'!G124+parametros_recargas!$M$89*'Plan mensual'!G126</f>
        <v>879.247296506381</v>
      </c>
      <c r="F111" s="26" t="n">
        <f aca="false">parametros_recargas!$E$89*'Plan mensual'!H117+parametros_recargas!$F$89*'Plan mensual'!H118+parametros_recargas!$G$89*'Plan mensual'!H119+parametros_recargas!$H$89*'Plan mensual'!H120+parametros_recargas!$I$89*'Plan mensual'!H121+parametros_recargas!$J$89*'Plan mensual'!H122+parametros_recargas!$K$89*'Plan mensual'!H123+parametros_recargas!$L$89*'Plan mensual'!H124+parametros_recargas!$M$89*'Plan mensual'!H126</f>
        <v>885.542417673322</v>
      </c>
      <c r="G111" s="26" t="n">
        <f aca="false">parametros_recargas!$E$89*'Plan mensual'!I117+parametros_recargas!$F$89*'Plan mensual'!I118+parametros_recargas!$G$89*'Plan mensual'!I119+parametros_recargas!$H$89*'Plan mensual'!I120+parametros_recargas!$I$89*'Plan mensual'!I121+parametros_recargas!$J$89*'Plan mensual'!I122+parametros_recargas!$K$89*'Plan mensual'!I123+parametros_recargas!$L$89*'Plan mensual'!I124+parametros_recargas!$M$89*'Plan mensual'!I126</f>
        <v>875.547772102804</v>
      </c>
      <c r="H111" s="26" t="n">
        <f aca="false">parametros_recargas!$E$89*'Plan mensual'!J117+parametros_recargas!$F$89*'Plan mensual'!J118+parametros_recargas!$G$89*'Plan mensual'!J119+parametros_recargas!$H$89*'Plan mensual'!J120+parametros_recargas!$I$89*'Plan mensual'!J121+parametros_recargas!$J$89*'Plan mensual'!J122+parametros_recargas!$K$89*'Plan mensual'!J123+parametros_recargas!$L$89*'Plan mensual'!J124+parametros_recargas!$M$89*'Plan mensual'!J126</f>
        <v>774.77194448967</v>
      </c>
      <c r="I111" s="26" t="n">
        <f aca="false">parametros_recargas!$E$89*'Plan mensual'!K117+parametros_recargas!$F$89*'Plan mensual'!K118+parametros_recargas!$G$89*'Plan mensual'!K119+parametros_recargas!$H$89*'Plan mensual'!K120+parametros_recargas!$I$89*'Plan mensual'!K121+parametros_recargas!$J$89*'Plan mensual'!K122+parametros_recargas!$K$89*'Plan mensual'!K123+parametros_recargas!$L$89*'Plan mensual'!K124+parametros_recargas!$M$89*'Plan mensual'!K126</f>
        <v>781.446981921565</v>
      </c>
      <c r="J111" s="26" t="n">
        <f aca="false">parametros_recargas!$E$89*'Plan mensual'!L117+parametros_recargas!$F$89*'Plan mensual'!L118+parametros_recargas!$G$89*'Plan mensual'!L119+parametros_recargas!$H$89*'Plan mensual'!L120+parametros_recargas!$I$89*'Plan mensual'!L121+parametros_recargas!$J$89*'Plan mensual'!L122+parametros_recargas!$K$89*'Plan mensual'!L123+parametros_recargas!$L$89*'Plan mensual'!L124+parametros_recargas!$M$89*'Plan mensual'!L126</f>
        <v>790.332146338397</v>
      </c>
      <c r="K111" s="26" t="n">
        <f aca="false">parametros_recargas!$E$89*'Plan mensual'!M117+parametros_recargas!$F$89*'Plan mensual'!M118+parametros_recargas!$G$89*'Plan mensual'!M119+parametros_recargas!$H$89*'Plan mensual'!M120+parametros_recargas!$I$89*'Plan mensual'!M121+parametros_recargas!$J$89*'Plan mensual'!M122+parametros_recargas!$K$89*'Plan mensual'!M123+parametros_recargas!$L$89*'Plan mensual'!M124+parametros_recargas!$M$89*'Plan mensual'!M126</f>
        <v>790.332146338397</v>
      </c>
      <c r="L111" s="26" t="n">
        <f aca="false">parametros_recargas!$E$89*'Plan mensual'!N117+parametros_recargas!$F$89*'Plan mensual'!N118+parametros_recargas!$G$89*'Plan mensual'!N119+parametros_recargas!$H$89*'Plan mensual'!N120+parametros_recargas!$I$89*'Plan mensual'!N121+parametros_recargas!$J$89*'Plan mensual'!N122+parametros_recargas!$K$89*'Plan mensual'!N123+parametros_recargas!$L$89*'Plan mensual'!N124+parametros_recargas!$M$89*'Plan mensual'!N126</f>
        <v>902.410118606086</v>
      </c>
      <c r="M111" s="26" t="n">
        <f aca="false">parametros_recargas!$E$89*'Plan mensual'!O117+parametros_recargas!$F$89*'Plan mensual'!O118+parametros_recargas!$G$89*'Plan mensual'!O119+parametros_recargas!$H$89*'Plan mensual'!O120+parametros_recargas!$I$89*'Plan mensual'!O121+parametros_recargas!$J$89*'Plan mensual'!O122+parametros_recargas!$K$89*'Plan mensual'!O123+parametros_recargas!$L$89*'Plan mensual'!O124+parametros_recargas!$M$89*'Plan mensual'!O126</f>
        <v>1030.77785761123</v>
      </c>
      <c r="N111" s="12" t="n">
        <f aca="false">SUM(B111:M111)</f>
        <v>10262.3424048795</v>
      </c>
      <c r="O111" s="27" t="n">
        <f aca="false">MAX(B111:M111)</f>
        <v>1030.77785761123</v>
      </c>
      <c r="P111" s="16" t="n">
        <f aca="false">O111/parametros_recargas!$B$6</f>
        <v>6.87185238407489</v>
      </c>
    </row>
    <row r="112" customFormat="false" ht="15" hidden="false" customHeight="false" outlineLevel="0" collapsed="false">
      <c r="A112" s="6" t="str">
        <f aca="false">parametros_recargas!$B$90</f>
        <v>Carga de polvo ABC, BC y Clase D</v>
      </c>
      <c r="B112" s="26" t="n">
        <f aca="false">parametros_recargas!$E$90*'Plan mensual'!D117+parametros_recargas!$F$90*'Plan mensual'!D118+parametros_recargas!$G$90*'Plan mensual'!D119+parametros_recargas!$H$90*'Plan mensual'!D120+parametros_recargas!$I$90*'Plan mensual'!D121+parametros_recargas!$J$90*'Plan mensual'!D122+parametros_recargas!$K$90*'Plan mensual'!D123+parametros_recargas!$L$90*'Plan mensual'!D124+parametros_recargas!$M$90*'Plan mensual'!D126</f>
        <v>5639.13967495805</v>
      </c>
      <c r="C112" s="26" t="n">
        <f aca="false">parametros_recargas!$E$90*'Plan mensual'!E117+parametros_recargas!$F$90*'Plan mensual'!E118+parametros_recargas!$G$90*'Plan mensual'!E119+parametros_recargas!$H$90*'Plan mensual'!E120+parametros_recargas!$I$90*'Plan mensual'!E121+parametros_recargas!$J$90*'Plan mensual'!E122+parametros_recargas!$K$90*'Plan mensual'!E123+parametros_recargas!$L$90*'Plan mensual'!E124+parametros_recargas!$M$90*'Plan mensual'!E126</f>
        <v>4845.93976656864</v>
      </c>
      <c r="D112" s="26" t="n">
        <f aca="false">parametros_recargas!$E$90*'Plan mensual'!F117+parametros_recargas!$F$90*'Plan mensual'!F118+parametros_recargas!$G$90*'Plan mensual'!F119+parametros_recargas!$H$90*'Plan mensual'!F120+parametros_recargas!$I$90*'Plan mensual'!F121+parametros_recargas!$J$90*'Plan mensual'!F122+parametros_recargas!$K$90*'Plan mensual'!F123+parametros_recargas!$L$90*'Plan mensual'!F124+parametros_recargas!$M$90*'Plan mensual'!F126</f>
        <v>4529.05274979775</v>
      </c>
      <c r="E112" s="26" t="n">
        <f aca="false">parametros_recargas!$E$90*'Plan mensual'!G117+parametros_recargas!$F$90*'Plan mensual'!G118+parametros_recargas!$G$90*'Plan mensual'!G119+parametros_recargas!$H$90*'Plan mensual'!G120+parametros_recargas!$I$90*'Plan mensual'!G121+parametros_recargas!$J$90*'Plan mensual'!G122+parametros_recargas!$K$90*'Plan mensual'!G123+parametros_recargas!$L$90*'Plan mensual'!G124+parametros_recargas!$M$90*'Plan mensual'!G126</f>
        <v>4977.03040293001</v>
      </c>
      <c r="F112" s="26" t="n">
        <f aca="false">parametros_recargas!$E$90*'Plan mensual'!H117+parametros_recargas!$F$90*'Plan mensual'!H118+parametros_recargas!$G$90*'Plan mensual'!H119+parametros_recargas!$H$90*'Plan mensual'!H120+parametros_recargas!$I$90*'Plan mensual'!H121+parametros_recargas!$J$90*'Plan mensual'!H122+parametros_recargas!$K$90*'Plan mensual'!H123+parametros_recargas!$L$90*'Plan mensual'!H124+parametros_recargas!$M$90*'Plan mensual'!H126</f>
        <v>5011.46685685862</v>
      </c>
      <c r="G112" s="26" t="n">
        <f aca="false">parametros_recargas!$E$90*'Plan mensual'!I117+parametros_recargas!$F$90*'Plan mensual'!I118+parametros_recargas!$G$90*'Plan mensual'!I119+parametros_recargas!$H$90*'Plan mensual'!I120+parametros_recargas!$I$90*'Plan mensual'!I121+parametros_recargas!$J$90*'Plan mensual'!I122+parametros_recargas!$K$90*'Plan mensual'!I123+parametros_recargas!$L$90*'Plan mensual'!I124+parametros_recargas!$M$90*'Plan mensual'!I126</f>
        <v>4962.26496568231</v>
      </c>
      <c r="H112" s="26" t="n">
        <f aca="false">parametros_recargas!$E$90*'Plan mensual'!J117+parametros_recargas!$F$90*'Plan mensual'!J118+parametros_recargas!$G$90*'Plan mensual'!J119+parametros_recargas!$H$90*'Plan mensual'!J120+parametros_recargas!$I$90*'Plan mensual'!J121+parametros_recargas!$J$90*'Plan mensual'!J122+parametros_recargas!$K$90*'Plan mensual'!J123+parametros_recargas!$L$90*'Plan mensual'!J124+parametros_recargas!$M$90*'Plan mensual'!J126</f>
        <v>4438.8521224347</v>
      </c>
      <c r="I112" s="26" t="n">
        <f aca="false">parametros_recargas!$E$90*'Plan mensual'!K117+parametros_recargas!$F$90*'Plan mensual'!K118+parametros_recargas!$G$90*'Plan mensual'!K119+parametros_recargas!$H$90*'Plan mensual'!K120+parametros_recargas!$I$90*'Plan mensual'!K121+parametros_recargas!$J$90*'Plan mensual'!K122+parametros_recargas!$K$90*'Plan mensual'!K123+parametros_recargas!$L$90*'Plan mensual'!K124+parametros_recargas!$M$90*'Plan mensual'!K126</f>
        <v>4480.17542152957</v>
      </c>
      <c r="J112" s="26" t="n">
        <f aca="false">parametros_recargas!$E$90*'Plan mensual'!L117+parametros_recargas!$F$90*'Plan mensual'!L118+parametros_recargas!$G$90*'Plan mensual'!L119+parametros_recargas!$H$90*'Plan mensual'!L120+parametros_recargas!$I$90*'Plan mensual'!L121+parametros_recargas!$J$90*'Plan mensual'!L122+parametros_recargas!$K$90*'Plan mensual'!L123+parametros_recargas!$L$90*'Plan mensual'!L124+parametros_recargas!$M$90*'Plan mensual'!L126</f>
        <v>4522.06889088163</v>
      </c>
      <c r="K112" s="26" t="n">
        <f aca="false">parametros_recargas!$E$90*'Plan mensual'!M117+parametros_recargas!$F$90*'Plan mensual'!M118+parametros_recargas!$G$90*'Plan mensual'!M119+parametros_recargas!$H$90*'Plan mensual'!M120+parametros_recargas!$I$90*'Plan mensual'!M121+parametros_recargas!$J$90*'Plan mensual'!M122+parametros_recargas!$K$90*'Plan mensual'!M123+parametros_recargas!$L$90*'Plan mensual'!M124+parametros_recargas!$M$90*'Plan mensual'!M126</f>
        <v>4520.78833872308</v>
      </c>
      <c r="L112" s="26" t="n">
        <f aca="false">parametros_recargas!$E$90*'Plan mensual'!N117+parametros_recargas!$F$90*'Plan mensual'!N118+parametros_recargas!$G$90*'Plan mensual'!N119+parametros_recargas!$H$90*'Plan mensual'!N120+parametros_recargas!$I$90*'Plan mensual'!N121+parametros_recargas!$J$90*'Plan mensual'!N122+parametros_recargas!$K$90*'Plan mensual'!N123+parametros_recargas!$L$90*'Plan mensual'!N124+parametros_recargas!$M$90*'Plan mensual'!N126</f>
        <v>5273.48286494605</v>
      </c>
      <c r="M112" s="26" t="n">
        <f aca="false">parametros_recargas!$E$90*'Plan mensual'!O117+parametros_recargas!$F$90*'Plan mensual'!O118+parametros_recargas!$G$90*'Plan mensual'!O119+parametros_recargas!$H$90*'Plan mensual'!O120+parametros_recargas!$I$90*'Plan mensual'!O121+parametros_recargas!$J$90*'Plan mensual'!O122+parametros_recargas!$K$90*'Plan mensual'!O123+parametros_recargas!$L$90*'Plan mensual'!O124+parametros_recargas!$M$90*'Plan mensual'!O126</f>
        <v>6118.29131235323</v>
      </c>
      <c r="N112" s="12" t="n">
        <f aca="false">SUM(B112:M112)</f>
        <v>59318.5533676636</v>
      </c>
      <c r="O112" s="27" t="n">
        <f aca="false">MAX(B112:M112)</f>
        <v>6118.29131235323</v>
      </c>
      <c r="P112" s="16" t="n">
        <f aca="false">O112/parametros_recargas!$B$6</f>
        <v>40.7886087490215</v>
      </c>
    </row>
    <row r="113" customFormat="false" ht="15" hidden="false" customHeight="false" outlineLevel="0" collapsed="false">
      <c r="A113" s="6" t="str">
        <f aca="false">parametros_recargas!$B$91</f>
        <v>Ensamblaje y marbete — recinto</v>
      </c>
      <c r="B113" s="26" t="n">
        <f aca="false">parametros_recargas!$E$91*'Plan mensual'!D117+parametros_recargas!$F$91*'Plan mensual'!D118+parametros_recargas!$G$91*'Plan mensual'!D119+parametros_recargas!$H$91*'Plan mensual'!D120+parametros_recargas!$I$91*'Plan mensual'!D121+parametros_recargas!$J$91*'Plan mensual'!D122+parametros_recargas!$K$91*'Plan mensual'!D123+parametros_recargas!$L$91*'Plan mensual'!D124+parametros_recargas!$M$91*'Plan mensual'!D126</f>
        <v>5628.87602230667</v>
      </c>
      <c r="C113" s="26" t="n">
        <f aca="false">parametros_recargas!$E$91*'Plan mensual'!E117+parametros_recargas!$F$91*'Plan mensual'!E118+parametros_recargas!$G$91*'Plan mensual'!E119+parametros_recargas!$H$91*'Plan mensual'!E120+parametros_recargas!$I$91*'Plan mensual'!E121+parametros_recargas!$J$91*'Plan mensual'!E122+parametros_recargas!$K$91*'Plan mensual'!E123+parametros_recargas!$L$91*'Plan mensual'!E124+parametros_recargas!$M$91*'Plan mensual'!E126</f>
        <v>4835.67611391726</v>
      </c>
      <c r="D113" s="26" t="n">
        <f aca="false">parametros_recargas!$E$91*'Plan mensual'!F117+parametros_recargas!$F$91*'Plan mensual'!F118+parametros_recargas!$G$91*'Plan mensual'!F119+parametros_recargas!$H$91*'Plan mensual'!F120+parametros_recargas!$I$91*'Plan mensual'!F121+parametros_recargas!$J$91*'Plan mensual'!F122+parametros_recargas!$K$91*'Plan mensual'!F123+parametros_recargas!$L$91*'Plan mensual'!F124+parametros_recargas!$M$91*'Plan mensual'!F126</f>
        <v>4518.78909714637</v>
      </c>
      <c r="E113" s="26" t="n">
        <f aca="false">parametros_recargas!$E$91*'Plan mensual'!G117+parametros_recargas!$F$91*'Plan mensual'!G118+parametros_recargas!$G$91*'Plan mensual'!G119+parametros_recargas!$H$91*'Plan mensual'!G120+parametros_recargas!$I$91*'Plan mensual'!G121+parametros_recargas!$J$91*'Plan mensual'!G122+parametros_recargas!$K$91*'Plan mensual'!G123+parametros_recargas!$L$91*'Plan mensual'!G124+parametros_recargas!$M$91*'Plan mensual'!G126</f>
        <v>4966.76675027862</v>
      </c>
      <c r="F113" s="26" t="n">
        <f aca="false">parametros_recargas!$E$91*'Plan mensual'!H117+parametros_recargas!$F$91*'Plan mensual'!H118+parametros_recargas!$G$91*'Plan mensual'!H119+parametros_recargas!$H$91*'Plan mensual'!H120+parametros_recargas!$I$91*'Plan mensual'!H121+parametros_recargas!$J$91*'Plan mensual'!H122+parametros_recargas!$K$91*'Plan mensual'!H123+parametros_recargas!$L$91*'Plan mensual'!H124+parametros_recargas!$M$91*'Plan mensual'!H126</f>
        <v>5001.20320420724</v>
      </c>
      <c r="G113" s="26" t="n">
        <f aca="false">parametros_recargas!$E$91*'Plan mensual'!I117+parametros_recargas!$F$91*'Plan mensual'!I118+parametros_recargas!$G$91*'Plan mensual'!I119+parametros_recargas!$H$91*'Plan mensual'!I120+parametros_recargas!$I$91*'Plan mensual'!I121+parametros_recargas!$J$91*'Plan mensual'!I122+parametros_recargas!$K$91*'Plan mensual'!I123+parametros_recargas!$L$91*'Plan mensual'!I124+parametros_recargas!$M$91*'Plan mensual'!I126</f>
        <v>4952.00131303093</v>
      </c>
      <c r="H113" s="26" t="n">
        <f aca="false">parametros_recargas!$E$91*'Plan mensual'!J117+parametros_recargas!$F$91*'Plan mensual'!J118+parametros_recargas!$G$91*'Plan mensual'!J119+parametros_recargas!$H$91*'Plan mensual'!J120+parametros_recargas!$I$91*'Plan mensual'!J121+parametros_recargas!$J$91*'Plan mensual'!J122+parametros_recargas!$K$91*'Plan mensual'!J123+parametros_recargas!$L$91*'Plan mensual'!J124+parametros_recargas!$M$91*'Plan mensual'!J126</f>
        <v>4428.58846978332</v>
      </c>
      <c r="I113" s="26" t="n">
        <f aca="false">parametros_recargas!$E$91*'Plan mensual'!K117+parametros_recargas!$F$91*'Plan mensual'!K118+parametros_recargas!$G$91*'Plan mensual'!K119+parametros_recargas!$H$91*'Plan mensual'!K120+parametros_recargas!$I$91*'Plan mensual'!K121+parametros_recargas!$J$91*'Plan mensual'!K122+parametros_recargas!$K$91*'Plan mensual'!K123+parametros_recargas!$L$91*'Plan mensual'!K124+parametros_recargas!$M$91*'Plan mensual'!K126</f>
        <v>4469.91176887818</v>
      </c>
      <c r="J113" s="26" t="n">
        <f aca="false">parametros_recargas!$E$91*'Plan mensual'!L117+parametros_recargas!$F$91*'Plan mensual'!L118+parametros_recargas!$G$91*'Plan mensual'!L119+parametros_recargas!$H$91*'Plan mensual'!L120+parametros_recargas!$I$91*'Plan mensual'!L121+parametros_recargas!$J$91*'Plan mensual'!L122+parametros_recargas!$K$91*'Plan mensual'!L123+parametros_recargas!$L$91*'Plan mensual'!L124+parametros_recargas!$M$91*'Plan mensual'!L126</f>
        <v>4511.80523823025</v>
      </c>
      <c r="K113" s="26" t="n">
        <f aca="false">parametros_recargas!$E$91*'Plan mensual'!M117+parametros_recargas!$F$91*'Plan mensual'!M118+parametros_recargas!$G$91*'Plan mensual'!M119+parametros_recargas!$H$91*'Plan mensual'!M120+parametros_recargas!$I$91*'Plan mensual'!M121+parametros_recargas!$J$91*'Plan mensual'!M122+parametros_recargas!$K$91*'Plan mensual'!M123+parametros_recargas!$L$91*'Plan mensual'!M124+parametros_recargas!$M$91*'Plan mensual'!M126</f>
        <v>4510.5246860717</v>
      </c>
      <c r="L113" s="26" t="n">
        <f aca="false">parametros_recargas!$E$91*'Plan mensual'!N117+parametros_recargas!$F$91*'Plan mensual'!N118+parametros_recargas!$G$91*'Plan mensual'!N119+parametros_recargas!$H$91*'Plan mensual'!N120+parametros_recargas!$I$91*'Plan mensual'!N121+parametros_recargas!$J$91*'Plan mensual'!N122+parametros_recargas!$K$91*'Plan mensual'!N123+parametros_recargas!$L$91*'Plan mensual'!N124+parametros_recargas!$M$91*'Plan mensual'!N126</f>
        <v>5263.21921229467</v>
      </c>
      <c r="M113" s="26" t="n">
        <f aca="false">parametros_recargas!$E$91*'Plan mensual'!O117+parametros_recargas!$F$91*'Plan mensual'!O118+parametros_recargas!$G$91*'Plan mensual'!O119+parametros_recargas!$H$91*'Plan mensual'!O120+parametros_recargas!$I$91*'Plan mensual'!O121+parametros_recargas!$J$91*'Plan mensual'!O122+parametros_recargas!$K$91*'Plan mensual'!O123+parametros_recargas!$L$91*'Plan mensual'!O124+parametros_recargas!$M$91*'Plan mensual'!O126</f>
        <v>6108.02765970185</v>
      </c>
      <c r="N113" s="12" t="n">
        <f aca="false">SUM(B113:M113)</f>
        <v>59195.3895358471</v>
      </c>
      <c r="O113" s="27" t="n">
        <f aca="false">MAX(B113:M113)</f>
        <v>6108.02765970185</v>
      </c>
      <c r="P113" s="16" t="n">
        <f aca="false">O113/parametros_recargas!$B$6</f>
        <v>40.7201843980123</v>
      </c>
    </row>
    <row r="114" customFormat="false" ht="15" hidden="false" customHeight="false" outlineLevel="0" collapsed="false">
      <c r="A114" s="6" t="str">
        <f aca="false">parametros_recargas!$B$92</f>
        <v>Presurización — recinto</v>
      </c>
      <c r="B114" s="26" t="n">
        <f aca="false">parametros_recargas!$E$92*'Plan mensual'!D117+parametros_recargas!$F$92*'Plan mensual'!D118+parametros_recargas!$G$92*'Plan mensual'!D119+parametros_recargas!$H$92*'Plan mensual'!D120+parametros_recargas!$I$92*'Plan mensual'!D121+parametros_recargas!$J$92*'Plan mensual'!D122+parametros_recargas!$K$92*'Plan mensual'!D123+parametros_recargas!$L$92*'Plan mensual'!D124+parametros_recargas!$M$92*'Plan mensual'!D126</f>
        <v>5628.87602230667</v>
      </c>
      <c r="C114" s="26" t="n">
        <f aca="false">parametros_recargas!$E$92*'Plan mensual'!E117+parametros_recargas!$F$92*'Plan mensual'!E118+parametros_recargas!$G$92*'Plan mensual'!E119+parametros_recargas!$H$92*'Plan mensual'!E120+parametros_recargas!$I$92*'Plan mensual'!E121+parametros_recargas!$J$92*'Plan mensual'!E122+parametros_recargas!$K$92*'Plan mensual'!E123+parametros_recargas!$L$92*'Plan mensual'!E124+parametros_recargas!$M$92*'Plan mensual'!E126</f>
        <v>4835.67611391726</v>
      </c>
      <c r="D114" s="26" t="n">
        <f aca="false">parametros_recargas!$E$92*'Plan mensual'!F117+parametros_recargas!$F$92*'Plan mensual'!F118+parametros_recargas!$G$92*'Plan mensual'!F119+parametros_recargas!$H$92*'Plan mensual'!F120+parametros_recargas!$I$92*'Plan mensual'!F121+parametros_recargas!$J$92*'Plan mensual'!F122+parametros_recargas!$K$92*'Plan mensual'!F123+parametros_recargas!$L$92*'Plan mensual'!F124+parametros_recargas!$M$92*'Plan mensual'!F126</f>
        <v>4518.78909714637</v>
      </c>
      <c r="E114" s="26" t="n">
        <f aca="false">parametros_recargas!$E$92*'Plan mensual'!G117+parametros_recargas!$F$92*'Plan mensual'!G118+parametros_recargas!$G$92*'Plan mensual'!G119+parametros_recargas!$H$92*'Plan mensual'!G120+parametros_recargas!$I$92*'Plan mensual'!G121+parametros_recargas!$J$92*'Plan mensual'!G122+parametros_recargas!$K$92*'Plan mensual'!G123+parametros_recargas!$L$92*'Plan mensual'!G124+parametros_recargas!$M$92*'Plan mensual'!G126</f>
        <v>4966.76675027862</v>
      </c>
      <c r="F114" s="26" t="n">
        <f aca="false">parametros_recargas!$E$92*'Plan mensual'!H117+parametros_recargas!$F$92*'Plan mensual'!H118+parametros_recargas!$G$92*'Plan mensual'!H119+parametros_recargas!$H$92*'Plan mensual'!H120+parametros_recargas!$I$92*'Plan mensual'!H121+parametros_recargas!$J$92*'Plan mensual'!H122+parametros_recargas!$K$92*'Plan mensual'!H123+parametros_recargas!$L$92*'Plan mensual'!H124+parametros_recargas!$M$92*'Plan mensual'!H126</f>
        <v>5001.20320420724</v>
      </c>
      <c r="G114" s="26" t="n">
        <f aca="false">parametros_recargas!$E$92*'Plan mensual'!I117+parametros_recargas!$F$92*'Plan mensual'!I118+parametros_recargas!$G$92*'Plan mensual'!I119+parametros_recargas!$H$92*'Plan mensual'!I120+parametros_recargas!$I$92*'Plan mensual'!I121+parametros_recargas!$J$92*'Plan mensual'!I122+parametros_recargas!$K$92*'Plan mensual'!I123+parametros_recargas!$L$92*'Plan mensual'!I124+parametros_recargas!$M$92*'Plan mensual'!I126</f>
        <v>4952.00131303093</v>
      </c>
      <c r="H114" s="26" t="n">
        <f aca="false">parametros_recargas!$E$92*'Plan mensual'!J117+parametros_recargas!$F$92*'Plan mensual'!J118+parametros_recargas!$G$92*'Plan mensual'!J119+parametros_recargas!$H$92*'Plan mensual'!J120+parametros_recargas!$I$92*'Plan mensual'!J121+parametros_recargas!$J$92*'Plan mensual'!J122+parametros_recargas!$K$92*'Plan mensual'!J123+parametros_recargas!$L$92*'Plan mensual'!J124+parametros_recargas!$M$92*'Plan mensual'!J126</f>
        <v>4428.58846978332</v>
      </c>
      <c r="I114" s="26" t="n">
        <f aca="false">parametros_recargas!$E$92*'Plan mensual'!K117+parametros_recargas!$F$92*'Plan mensual'!K118+parametros_recargas!$G$92*'Plan mensual'!K119+parametros_recargas!$H$92*'Plan mensual'!K120+parametros_recargas!$I$92*'Plan mensual'!K121+parametros_recargas!$J$92*'Plan mensual'!K122+parametros_recargas!$K$92*'Plan mensual'!K123+parametros_recargas!$L$92*'Plan mensual'!K124+parametros_recargas!$M$92*'Plan mensual'!K126</f>
        <v>4469.91176887818</v>
      </c>
      <c r="J114" s="26" t="n">
        <f aca="false">parametros_recargas!$E$92*'Plan mensual'!L117+parametros_recargas!$F$92*'Plan mensual'!L118+parametros_recargas!$G$92*'Plan mensual'!L119+parametros_recargas!$H$92*'Plan mensual'!L120+parametros_recargas!$I$92*'Plan mensual'!L121+parametros_recargas!$J$92*'Plan mensual'!L122+parametros_recargas!$K$92*'Plan mensual'!L123+parametros_recargas!$L$92*'Plan mensual'!L124+parametros_recargas!$M$92*'Plan mensual'!L126</f>
        <v>4511.80523823025</v>
      </c>
      <c r="K114" s="26" t="n">
        <f aca="false">parametros_recargas!$E$92*'Plan mensual'!M117+parametros_recargas!$F$92*'Plan mensual'!M118+parametros_recargas!$G$92*'Plan mensual'!M119+parametros_recargas!$H$92*'Plan mensual'!M120+parametros_recargas!$I$92*'Plan mensual'!M121+parametros_recargas!$J$92*'Plan mensual'!M122+parametros_recargas!$K$92*'Plan mensual'!M123+parametros_recargas!$L$92*'Plan mensual'!M124+parametros_recargas!$M$92*'Plan mensual'!M126</f>
        <v>4510.5246860717</v>
      </c>
      <c r="L114" s="26" t="n">
        <f aca="false">parametros_recargas!$E$92*'Plan mensual'!N117+parametros_recargas!$F$92*'Plan mensual'!N118+parametros_recargas!$G$92*'Plan mensual'!N119+parametros_recargas!$H$92*'Plan mensual'!N120+parametros_recargas!$I$92*'Plan mensual'!N121+parametros_recargas!$J$92*'Plan mensual'!N122+parametros_recargas!$K$92*'Plan mensual'!N123+parametros_recargas!$L$92*'Plan mensual'!N124+parametros_recargas!$M$92*'Plan mensual'!N126</f>
        <v>5263.21921229467</v>
      </c>
      <c r="M114" s="26" t="n">
        <f aca="false">parametros_recargas!$E$92*'Plan mensual'!O117+parametros_recargas!$F$92*'Plan mensual'!O118+parametros_recargas!$G$92*'Plan mensual'!O119+parametros_recargas!$H$92*'Plan mensual'!O120+parametros_recargas!$I$92*'Plan mensual'!O121+parametros_recargas!$J$92*'Plan mensual'!O122+parametros_recargas!$K$92*'Plan mensual'!O123+parametros_recargas!$L$92*'Plan mensual'!O124+parametros_recargas!$M$92*'Plan mensual'!O126</f>
        <v>6108.02765970185</v>
      </c>
      <c r="N114" s="12" t="n">
        <f aca="false">SUM(B114:M114)</f>
        <v>59195.3895358471</v>
      </c>
      <c r="O114" s="27" t="n">
        <f aca="false">MAX(B114:M114)</f>
        <v>6108.02765970185</v>
      </c>
      <c r="P114" s="16" t="n">
        <f aca="false">O114/parametros_recargas!$B$6</f>
        <v>40.7201843980123</v>
      </c>
    </row>
    <row r="115" customFormat="false" ht="15" hidden="false" customHeight="false" outlineLevel="0" collapsed="false">
      <c r="A115" s="6" t="str">
        <f aca="false">parametros_recargas!$B$93</f>
        <v>Ensamblaje y presurización — zona general</v>
      </c>
      <c r="B115" s="26" t="n">
        <f aca="false">parametros_recargas!$E$93*'Plan mensual'!D117+parametros_recargas!$F$93*'Plan mensual'!D118+parametros_recargas!$G$93*'Plan mensual'!D119+parametros_recargas!$H$93*'Plan mensual'!D120+parametros_recargas!$I$93*'Plan mensual'!D121+parametros_recargas!$J$93*'Plan mensual'!D122+parametros_recargas!$K$93*'Plan mensual'!D123+parametros_recargas!$L$93*'Plan mensual'!D124+parametros_recargas!$M$93*'Plan mensual'!D126</f>
        <v>382.349738115672</v>
      </c>
      <c r="C115" s="26" t="n">
        <f aca="false">parametros_recargas!$E$93*'Plan mensual'!E117+parametros_recargas!$F$93*'Plan mensual'!E118+parametros_recargas!$G$93*'Plan mensual'!E119+parametros_recargas!$H$93*'Plan mensual'!E120+parametros_recargas!$I$93*'Plan mensual'!E121+parametros_recargas!$J$93*'Plan mensual'!E122+parametros_recargas!$K$93*'Plan mensual'!E123+parametros_recargas!$L$93*'Plan mensual'!E124+parametros_recargas!$M$93*'Plan mensual'!E126</f>
        <v>382.349738115672</v>
      </c>
      <c r="D115" s="26" t="n">
        <f aca="false">parametros_recargas!$E$93*'Plan mensual'!F117+parametros_recargas!$F$93*'Plan mensual'!F118+parametros_recargas!$G$93*'Plan mensual'!F119+parametros_recargas!$H$93*'Plan mensual'!F120+parametros_recargas!$I$93*'Plan mensual'!F121+parametros_recargas!$J$93*'Plan mensual'!F122+parametros_recargas!$K$93*'Plan mensual'!F123+parametros_recargas!$L$93*'Plan mensual'!F124+parametros_recargas!$M$93*'Plan mensual'!F126</f>
        <v>446.253431249033</v>
      </c>
      <c r="E115" s="26" t="n">
        <f aca="false">parametros_recargas!$E$93*'Plan mensual'!G117+parametros_recargas!$F$93*'Plan mensual'!G118+parametros_recargas!$G$93*'Plan mensual'!G119+parametros_recargas!$H$93*'Plan mensual'!G120+parametros_recargas!$I$93*'Plan mensual'!G121+parametros_recargas!$J$93*'Plan mensual'!G122+parametros_recargas!$K$93*'Plan mensual'!G123+parametros_recargas!$L$93*'Plan mensual'!G124+parametros_recargas!$M$93*'Plan mensual'!G126</f>
        <v>508.869173794706</v>
      </c>
      <c r="F115" s="26" t="n">
        <f aca="false">parametros_recargas!$E$93*'Plan mensual'!H117+parametros_recargas!$F$93*'Plan mensual'!H118+parametros_recargas!$G$93*'Plan mensual'!H119+parametros_recargas!$H$93*'Plan mensual'!H120+parametros_recargas!$I$93*'Plan mensual'!H121+parametros_recargas!$J$93*'Plan mensual'!H122+parametros_recargas!$K$93*'Plan mensual'!H123+parametros_recargas!$L$93*'Plan mensual'!H124+parametros_recargas!$M$93*'Plan mensual'!H126</f>
        <v>512.776743536721</v>
      </c>
      <c r="G115" s="26" t="n">
        <f aca="false">parametros_recargas!$E$93*'Plan mensual'!I117+parametros_recargas!$F$93*'Plan mensual'!I118+parametros_recargas!$G$93*'Plan mensual'!I119+parametros_recargas!$H$93*'Plan mensual'!I120+parametros_recargas!$I$93*'Plan mensual'!I121+parametros_recargas!$J$93*'Plan mensual'!I122+parametros_recargas!$K$93*'Plan mensual'!I123+parametros_recargas!$L$93*'Plan mensual'!I124+parametros_recargas!$M$93*'Plan mensual'!I126</f>
        <v>502.907591183255</v>
      </c>
      <c r="H115" s="26" t="n">
        <f aca="false">parametros_recargas!$E$93*'Plan mensual'!J117+parametros_recargas!$F$93*'Plan mensual'!J118+parametros_recargas!$G$93*'Plan mensual'!J119+parametros_recargas!$H$93*'Plan mensual'!J120+parametros_recargas!$I$93*'Plan mensual'!J121+parametros_recargas!$J$93*'Plan mensual'!J122+parametros_recargas!$K$93*'Plan mensual'!J123+parametros_recargas!$L$93*'Plan mensual'!J124+parametros_recargas!$M$93*'Plan mensual'!J126</f>
        <v>430.174758125132</v>
      </c>
      <c r="I115" s="26" t="n">
        <f aca="false">parametros_recargas!$E$93*'Plan mensual'!K117+parametros_recargas!$F$93*'Plan mensual'!K118+parametros_recargas!$G$93*'Plan mensual'!K119+parametros_recargas!$H$93*'Plan mensual'!K120+parametros_recargas!$I$93*'Plan mensual'!K121+parametros_recargas!$J$93*'Plan mensual'!K122+parametros_recargas!$K$93*'Plan mensual'!K123+parametros_recargas!$L$93*'Plan mensual'!K124+parametros_recargas!$M$93*'Plan mensual'!K126</f>
        <v>433.042315438443</v>
      </c>
      <c r="J115" s="26" t="n">
        <f aca="false">parametros_recargas!$E$93*'Plan mensual'!L117+parametros_recargas!$F$93*'Plan mensual'!L118+parametros_recargas!$G$93*'Plan mensual'!L119+parametros_recargas!$H$93*'Plan mensual'!L120+parametros_recargas!$I$93*'Plan mensual'!L121+parametros_recargas!$J$93*'Plan mensual'!L122+parametros_recargas!$K$93*'Plan mensual'!L123+parametros_recargas!$L$93*'Plan mensual'!L124+parametros_recargas!$M$93*'Plan mensual'!L126</f>
        <v>442.250060006334</v>
      </c>
      <c r="K115" s="26" t="n">
        <f aca="false">parametros_recargas!$E$93*'Plan mensual'!M117+parametros_recargas!$F$93*'Plan mensual'!M118+parametros_recargas!$G$93*'Plan mensual'!M119+parametros_recargas!$H$93*'Plan mensual'!M120+parametros_recargas!$I$93*'Plan mensual'!M121+parametros_recargas!$J$93*'Plan mensual'!M122+parametros_recargas!$K$93*'Plan mensual'!M123+parametros_recargas!$L$93*'Plan mensual'!M124+parametros_recargas!$M$93*'Plan mensual'!M126</f>
        <v>442.250060006334</v>
      </c>
      <c r="L115" s="26" t="n">
        <f aca="false">parametros_recargas!$E$93*'Plan mensual'!N117+parametros_recargas!$F$93*'Plan mensual'!N118+parametros_recargas!$G$93*'Plan mensual'!N119+parametros_recargas!$H$93*'Plan mensual'!N120+parametros_recargas!$I$93*'Plan mensual'!N121+parametros_recargas!$J$93*'Plan mensual'!N122+parametros_recargas!$K$93*'Plan mensual'!N123+parametros_recargas!$L$93*'Plan mensual'!N124+parametros_recargas!$M$93*'Plan mensual'!N126</f>
        <v>438.342490264319</v>
      </c>
      <c r="M115" s="26" t="n">
        <f aca="false">parametros_recargas!$E$93*'Plan mensual'!O117+parametros_recargas!$F$93*'Plan mensual'!O118+parametros_recargas!$G$93*'Plan mensual'!O119+parametros_recargas!$H$93*'Plan mensual'!O120+parametros_recargas!$I$93*'Plan mensual'!O121+parametros_recargas!$J$93*'Plan mensual'!O122+parametros_recargas!$K$93*'Plan mensual'!O123+parametros_recargas!$L$93*'Plan mensual'!O124+parametros_recargas!$M$93*'Plan mensual'!O126</f>
        <v>448.211642617785</v>
      </c>
      <c r="N115" s="12" t="n">
        <f aca="false">SUM(B115:M115)</f>
        <v>5369.77774245341</v>
      </c>
      <c r="O115" s="27" t="n">
        <f aca="false">MAX(B115:M115)</f>
        <v>512.776743536721</v>
      </c>
      <c r="P115" s="16" t="n">
        <f aca="false">O115/parametros_recargas!$B$6</f>
        <v>3.41851162357814</v>
      </c>
    </row>
    <row r="116" customFormat="false" ht="15" hidden="false" customHeight="false" outlineLevel="0" collapsed="false">
      <c r="A116" s="6" t="str">
        <f aca="false">parametros_recargas!$B$94</f>
        <v>Control de peso (CO₂ y halogenados sin recarga)</v>
      </c>
      <c r="B116" s="26" t="n">
        <f aca="false">parametros_recargas!$E$94*'Plan mensual'!D117+parametros_recargas!$F$94*'Plan mensual'!D118+parametros_recargas!$G$94*'Plan mensual'!D119+parametros_recargas!$H$94*'Plan mensual'!D120+parametros_recargas!$I$94*'Plan mensual'!D121+parametros_recargas!$J$94*'Plan mensual'!D122+parametros_recargas!$K$94*'Plan mensual'!D123+parametros_recargas!$L$94*'Plan mensual'!D124+parametros_recargas!$M$94*'Plan mensual'!D126</f>
        <v>251.16749912394</v>
      </c>
      <c r="C116" s="26" t="n">
        <f aca="false">parametros_recargas!$E$94*'Plan mensual'!E117+parametros_recargas!$F$94*'Plan mensual'!E118+parametros_recargas!$G$94*'Plan mensual'!E119+parametros_recargas!$H$94*'Plan mensual'!E120+parametros_recargas!$I$94*'Plan mensual'!E121+parametros_recargas!$J$94*'Plan mensual'!E122+parametros_recargas!$K$94*'Plan mensual'!E123+parametros_recargas!$L$94*'Plan mensual'!E124+parametros_recargas!$M$94*'Plan mensual'!E126</f>
        <v>251.16749912394</v>
      </c>
      <c r="D116" s="26" t="n">
        <f aca="false">parametros_recargas!$E$94*'Plan mensual'!F117+parametros_recargas!$F$94*'Plan mensual'!F118+parametros_recargas!$G$94*'Plan mensual'!F119+parametros_recargas!$H$94*'Plan mensual'!F120+parametros_recargas!$I$94*'Plan mensual'!F121+parametros_recargas!$J$94*'Plan mensual'!F122+parametros_recargas!$K$94*'Plan mensual'!F123+parametros_recargas!$L$94*'Plan mensual'!F124+parametros_recargas!$M$94*'Plan mensual'!F126</f>
        <v>314.21786512748</v>
      </c>
      <c r="E116" s="26" t="n">
        <f aca="false">parametros_recargas!$E$94*'Plan mensual'!G117+parametros_recargas!$F$94*'Plan mensual'!G118+parametros_recargas!$G$94*'Plan mensual'!G119+parametros_recargas!$H$94*'Plan mensual'!G120+parametros_recargas!$I$94*'Plan mensual'!G121+parametros_recargas!$J$94*'Plan mensual'!G122+parametros_recargas!$K$94*'Plan mensual'!G123+parametros_recargas!$L$94*'Plan mensual'!G124+parametros_recargas!$M$94*'Plan mensual'!G126</f>
        <v>376.861123853274</v>
      </c>
      <c r="F116" s="26" t="n">
        <f aca="false">parametros_recargas!$E$94*'Plan mensual'!H117+parametros_recargas!$F$94*'Plan mensual'!H118+parametros_recargas!$G$94*'Plan mensual'!H119+parametros_recargas!$H$94*'Plan mensual'!H120+parametros_recargas!$I$94*'Plan mensual'!H121+parametros_recargas!$J$94*'Plan mensual'!H122+parametros_recargas!$K$94*'Plan mensual'!H123+parametros_recargas!$L$94*'Plan mensual'!H124+parametros_recargas!$M$94*'Plan mensual'!H126</f>
        <v>379.369799573514</v>
      </c>
      <c r="G116" s="26" t="n">
        <f aca="false">parametros_recargas!$E$94*'Plan mensual'!I117+parametros_recargas!$F$94*'Plan mensual'!I118+parametros_recargas!$G$94*'Plan mensual'!I119+parametros_recargas!$H$94*'Plan mensual'!I120+parametros_recargas!$I$94*'Plan mensual'!I121+parametros_recargas!$J$94*'Plan mensual'!I122+parametros_recargas!$K$94*'Plan mensual'!I123+parametros_recargas!$L$94*'Plan mensual'!I124+parametros_recargas!$M$94*'Plan mensual'!I126</f>
        <v>371.101348501242</v>
      </c>
      <c r="H116" s="26" t="n">
        <f aca="false">parametros_recargas!$E$94*'Plan mensual'!J117+parametros_recargas!$F$94*'Plan mensual'!J118+parametros_recargas!$G$94*'Plan mensual'!J119+parametros_recargas!$H$94*'Plan mensual'!J120+parametros_recargas!$I$94*'Plan mensual'!J121+parametros_recargas!$J$94*'Plan mensual'!J122+parametros_recargas!$K$94*'Plan mensual'!J123+parametros_recargas!$L$94*'Plan mensual'!J124+parametros_recargas!$M$94*'Plan mensual'!J126</f>
        <v>302.003913517724</v>
      </c>
      <c r="I116" s="26" t="n">
        <f aca="false">parametros_recargas!$E$94*'Plan mensual'!K117+parametros_recargas!$F$94*'Plan mensual'!K118+parametros_recargas!$G$94*'Plan mensual'!K119+parametros_recargas!$H$94*'Plan mensual'!K120+parametros_recargas!$I$94*'Plan mensual'!K121+parametros_recargas!$J$94*'Plan mensual'!K122+parametros_recargas!$K$94*'Plan mensual'!K123+parametros_recargas!$L$94*'Plan mensual'!K124+parametros_recargas!$M$94*'Plan mensual'!K126</f>
        <v>302.291207145671</v>
      </c>
      <c r="J116" s="26" t="n">
        <f aca="false">parametros_recargas!$E$94*'Plan mensual'!L117+parametros_recargas!$F$94*'Plan mensual'!L118+parametros_recargas!$G$94*'Plan mensual'!L119+parametros_recargas!$H$94*'Plan mensual'!L120+parametros_recargas!$I$94*'Plan mensual'!L121+parametros_recargas!$J$94*'Plan mensual'!L122+parametros_recargas!$K$94*'Plan mensual'!L123+parametros_recargas!$L$94*'Plan mensual'!L124+parametros_recargas!$M$94*'Plan mensual'!L126</f>
        <v>309.73634996912</v>
      </c>
      <c r="K116" s="26" t="n">
        <f aca="false">parametros_recargas!$E$94*'Plan mensual'!M117+parametros_recargas!$F$94*'Plan mensual'!M118+parametros_recargas!$G$94*'Plan mensual'!M119+parametros_recargas!$H$94*'Plan mensual'!M120+parametros_recargas!$I$94*'Plan mensual'!M121+parametros_recargas!$J$94*'Plan mensual'!M122+parametros_recargas!$K$94*'Plan mensual'!M123+parametros_recargas!$L$94*'Plan mensual'!M124+parametros_recargas!$M$94*'Plan mensual'!M126</f>
        <v>309.73634996912</v>
      </c>
      <c r="L116" s="26" t="n">
        <f aca="false">parametros_recargas!$E$94*'Plan mensual'!N117+parametros_recargas!$F$94*'Plan mensual'!N118+parametros_recargas!$G$94*'Plan mensual'!N119+parametros_recargas!$H$94*'Plan mensual'!N120+parametros_recargas!$I$94*'Plan mensual'!N121+parametros_recargas!$J$94*'Plan mensual'!N122+parametros_recargas!$K$94*'Plan mensual'!N123+parametros_recargas!$L$94*'Plan mensual'!N124+parametros_recargas!$M$94*'Plan mensual'!N126</f>
        <v>307.227674248881</v>
      </c>
      <c r="M116" s="26" t="n">
        <f aca="false">parametros_recargas!$E$94*'Plan mensual'!O117+parametros_recargas!$F$94*'Plan mensual'!O118+parametros_recargas!$G$94*'Plan mensual'!O119+parametros_recargas!$H$94*'Plan mensual'!O120+parametros_recargas!$I$94*'Plan mensual'!O121+parametros_recargas!$J$94*'Plan mensual'!O122+parametros_recargas!$K$94*'Plan mensual'!O123+parametros_recargas!$L$94*'Plan mensual'!O124+parametros_recargas!$M$94*'Plan mensual'!O126</f>
        <v>315.496125321152</v>
      </c>
      <c r="N116" s="12" t="n">
        <f aca="false">SUM(B116:M116)</f>
        <v>3790.37675547506</v>
      </c>
      <c r="O116" s="27" t="n">
        <f aca="false">MAX(B116:M116)</f>
        <v>379.369799573514</v>
      </c>
      <c r="P116" s="16" t="n">
        <f aca="false">O116/parametros_recargas!$B$6</f>
        <v>2.52913199715676</v>
      </c>
    </row>
    <row r="117" customFormat="false" ht="15" hidden="false" customHeight="false" outlineLevel="0" collapsed="false">
      <c r="A117" s="6" t="str">
        <f aca="false">parametros_recargas!$B$95</f>
        <v>Ensayo de pérdidas</v>
      </c>
      <c r="B117" s="26" t="n">
        <f aca="false">parametros_recargas!$E$95*'Plan mensual'!D117+parametros_recargas!$F$95*'Plan mensual'!D118+parametros_recargas!$G$95*'Plan mensual'!D119+parametros_recargas!$H$95*'Plan mensual'!D120+parametros_recargas!$I$95*'Plan mensual'!D121+parametros_recargas!$J$95*'Plan mensual'!D122+parametros_recargas!$K$95*'Plan mensual'!D123+parametros_recargas!$L$95*'Plan mensual'!D124+parametros_recargas!$M$95*'Plan mensual'!D126</f>
        <v>6280.71147738747</v>
      </c>
      <c r="C117" s="26" t="n">
        <f aca="false">parametros_recargas!$E$95*'Plan mensual'!E117+parametros_recargas!$F$95*'Plan mensual'!E118+parametros_recargas!$G$95*'Plan mensual'!E119+parametros_recargas!$H$95*'Plan mensual'!E120+parametros_recargas!$I$95*'Plan mensual'!E121+parametros_recargas!$J$95*'Plan mensual'!E122+parametros_recargas!$K$95*'Plan mensual'!E123+parametros_recargas!$L$95*'Plan mensual'!E124+parametros_recargas!$M$95*'Plan mensual'!E126</f>
        <v>5487.51156899805</v>
      </c>
      <c r="D117" s="26" t="n">
        <f aca="false">parametros_recargas!$E$95*'Plan mensual'!F117+parametros_recargas!$F$95*'Plan mensual'!F118+parametros_recargas!$G$95*'Plan mensual'!F119+parametros_recargas!$H$95*'Plan mensual'!F120+parametros_recargas!$I$95*'Plan mensual'!F121+parametros_recargas!$J$95*'Plan mensual'!F122+parametros_recargas!$K$95*'Plan mensual'!F123+parametros_recargas!$L$95*'Plan mensual'!F124+parametros_recargas!$M$95*'Plan mensual'!F126</f>
        <v>5302.49264618942</v>
      </c>
      <c r="E117" s="26" t="n">
        <f aca="false">parametros_recargas!$E$95*'Plan mensual'!G117+parametros_recargas!$F$95*'Plan mensual'!G118+parametros_recargas!$G$95*'Plan mensual'!G119+parametros_recargas!$H$95*'Plan mensual'!G120+parametros_recargas!$I$95*'Plan mensual'!G121+parametros_recargas!$J$95*'Plan mensual'!G122+parametros_recargas!$K$95*'Plan mensual'!G123+parametros_recargas!$L$95*'Plan mensual'!G124+parametros_recargas!$M$95*'Plan mensual'!G126</f>
        <v>5880.54801280282</v>
      </c>
      <c r="F117" s="26" t="n">
        <f aca="false">parametros_recargas!$E$95*'Plan mensual'!H117+parametros_recargas!$F$95*'Plan mensual'!H118+parametros_recargas!$G$95*'Plan mensual'!H119+parametros_recargas!$H$95*'Plan mensual'!H120+parametros_recargas!$I$95*'Plan mensual'!H121+parametros_recargas!$J$95*'Plan mensual'!H122+parametros_recargas!$K$95*'Plan mensual'!H123+parametros_recargas!$L$95*'Plan mensual'!H124+parametros_recargas!$M$95*'Plan mensual'!H126</f>
        <v>5921.5936872491</v>
      </c>
      <c r="G117" s="26" t="n">
        <f aca="false">parametros_recargas!$E$95*'Plan mensual'!I117+parametros_recargas!$F$95*'Plan mensual'!I118+parametros_recargas!$G$95*'Plan mensual'!I119+parametros_recargas!$H$95*'Plan mensual'!I120+parametros_recargas!$I$95*'Plan mensual'!I121+parametros_recargas!$J$95*'Plan mensual'!I122+parametros_recargas!$K$95*'Plan mensual'!I123+parametros_recargas!$L$95*'Plan mensual'!I124+parametros_recargas!$M$95*'Plan mensual'!I126</f>
        <v>5853.68216462042</v>
      </c>
      <c r="H117" s="26" t="n">
        <f aca="false">parametros_recargas!$E$95*'Plan mensual'!J117+parametros_recargas!$F$95*'Plan mensual'!J118+parametros_recargas!$G$95*'Plan mensual'!J119+parametros_recargas!$H$95*'Plan mensual'!J120+parametros_recargas!$I$95*'Plan mensual'!J121+parametros_recargas!$J$95*'Plan mensual'!J122+parametros_recargas!$K$95*'Plan mensual'!J123+parametros_recargas!$L$95*'Plan mensual'!J124+parametros_recargas!$M$95*'Plan mensual'!J126</f>
        <v>5183.12386602475</v>
      </c>
      <c r="I117" s="26" t="n">
        <f aca="false">parametros_recargas!$E$95*'Plan mensual'!K117+parametros_recargas!$F$95*'Plan mensual'!K118+parametros_recargas!$G$95*'Plan mensual'!K119+parametros_recargas!$H$95*'Plan mensual'!K120+parametros_recargas!$I$95*'Plan mensual'!K121+parametros_recargas!$J$95*'Plan mensual'!K122+parametros_recargas!$K$95*'Plan mensual'!K123+parametros_recargas!$L$95*'Plan mensual'!K124+parametros_recargas!$M$95*'Plan mensual'!K126</f>
        <v>5227.62411557072</v>
      </c>
      <c r="J117" s="26" t="n">
        <f aca="false">parametros_recargas!$E$95*'Plan mensual'!L117+parametros_recargas!$F$95*'Plan mensual'!L118+parametros_recargas!$G$95*'Plan mensual'!L119+parametros_recargas!$H$95*'Plan mensual'!L120+parametros_recargas!$I$95*'Plan mensual'!L121+parametros_recargas!$J$95*'Plan mensual'!L122+parametros_recargas!$K$95*'Plan mensual'!L123+parametros_recargas!$L$95*'Plan mensual'!L124+parametros_recargas!$M$95*'Plan mensual'!L126</f>
        <v>5286.67916893699</v>
      </c>
      <c r="K117" s="26" t="n">
        <f aca="false">parametros_recargas!$E$95*'Plan mensual'!M117+parametros_recargas!$F$95*'Plan mensual'!M118+parametros_recargas!$G$95*'Plan mensual'!M119+parametros_recargas!$H$95*'Plan mensual'!M120+parametros_recargas!$I$95*'Plan mensual'!M121+parametros_recargas!$J$95*'Plan mensual'!M122+parametros_recargas!$K$95*'Plan mensual'!M123+parametros_recargas!$L$95*'Plan mensual'!M124+parametros_recargas!$M$95*'Plan mensual'!M126</f>
        <v>5285.39861677844</v>
      </c>
      <c r="L117" s="26" t="n">
        <f aca="false">parametros_recargas!$E$95*'Plan mensual'!N117+parametros_recargas!$F$95*'Plan mensual'!N118+parametros_recargas!$G$95*'Plan mensual'!N119+parametros_recargas!$H$95*'Plan mensual'!N120+parametros_recargas!$I$95*'Plan mensual'!N121+parametros_recargas!$J$95*'Plan mensual'!N122+parametros_recargas!$K$95*'Plan mensual'!N123+parametros_recargas!$L$95*'Plan mensual'!N124+parametros_recargas!$M$95*'Plan mensual'!N126</f>
        <v>6031.48392248375</v>
      </c>
      <c r="M117" s="26" t="n">
        <f aca="false">parametros_recargas!$E$95*'Plan mensual'!O117+parametros_recargas!$F$95*'Plan mensual'!O118+parametros_recargas!$G$95*'Plan mensual'!O119+parametros_recargas!$H$95*'Plan mensual'!O120+parametros_recargas!$I$95*'Plan mensual'!O121+parametros_recargas!$J$95*'Plan mensual'!O122+parametros_recargas!$K$95*'Plan mensual'!O123+parametros_recargas!$L$95*'Plan mensual'!O124+parametros_recargas!$M$95*'Plan mensual'!O126</f>
        <v>6895.00200134329</v>
      </c>
      <c r="N117" s="12" t="n">
        <f aca="false">SUM(B117:M117)</f>
        <v>68635.8512483852</v>
      </c>
      <c r="O117" s="27" t="n">
        <f aca="false">MAX(B117:M117)</f>
        <v>6895.00200134329</v>
      </c>
      <c r="P117" s="16" t="n">
        <f aca="false">O117/parametros_recargas!$B$6</f>
        <v>45.9666800089553</v>
      </c>
    </row>
    <row r="118" customFormat="false" ht="15" hidden="false" customHeight="false" outlineLevel="0" collapsed="false">
      <c r="A118" s="6" t="str">
        <f aca="false">parametros_recargas!$B$96</f>
        <v>Precinto, etiqueta y despacho</v>
      </c>
      <c r="B118" s="26" t="n">
        <f aca="false">parametros_recargas!$E$96*'Plan mensual'!D117+parametros_recargas!$F$96*'Plan mensual'!D118+parametros_recargas!$G$96*'Plan mensual'!D119+parametros_recargas!$H$96*'Plan mensual'!D120+parametros_recargas!$I$96*'Plan mensual'!D121+parametros_recargas!$J$96*'Plan mensual'!D122+parametros_recargas!$K$96*'Plan mensual'!D123+parametros_recargas!$L$96*'Plan mensual'!D124+parametros_recargas!$M$96*'Plan mensual'!D126</f>
        <v>6280.71147738747</v>
      </c>
      <c r="C118" s="26" t="n">
        <f aca="false">parametros_recargas!$E$96*'Plan mensual'!E117+parametros_recargas!$F$96*'Plan mensual'!E118+parametros_recargas!$G$96*'Plan mensual'!E119+parametros_recargas!$H$96*'Plan mensual'!E120+parametros_recargas!$I$96*'Plan mensual'!E121+parametros_recargas!$J$96*'Plan mensual'!E122+parametros_recargas!$K$96*'Plan mensual'!E123+parametros_recargas!$L$96*'Plan mensual'!E124+parametros_recargas!$M$96*'Plan mensual'!E126</f>
        <v>5487.51156899805</v>
      </c>
      <c r="D118" s="26" t="n">
        <f aca="false">parametros_recargas!$E$96*'Plan mensual'!F117+parametros_recargas!$F$96*'Plan mensual'!F118+parametros_recargas!$G$96*'Plan mensual'!F119+parametros_recargas!$H$96*'Plan mensual'!F120+parametros_recargas!$I$96*'Plan mensual'!F121+parametros_recargas!$J$96*'Plan mensual'!F122+parametros_recargas!$K$96*'Plan mensual'!F123+parametros_recargas!$L$96*'Plan mensual'!F124+parametros_recargas!$M$96*'Plan mensual'!F126</f>
        <v>5302.49264618942</v>
      </c>
      <c r="E118" s="26" t="n">
        <f aca="false">parametros_recargas!$E$96*'Plan mensual'!G117+parametros_recargas!$F$96*'Plan mensual'!G118+parametros_recargas!$G$96*'Plan mensual'!G119+parametros_recargas!$H$96*'Plan mensual'!G120+parametros_recargas!$I$96*'Plan mensual'!G121+parametros_recargas!$J$96*'Plan mensual'!G122+parametros_recargas!$K$96*'Plan mensual'!G123+parametros_recargas!$L$96*'Plan mensual'!G124+parametros_recargas!$M$96*'Plan mensual'!G126</f>
        <v>5880.54801280282</v>
      </c>
      <c r="F118" s="26" t="n">
        <f aca="false">parametros_recargas!$E$96*'Plan mensual'!H117+parametros_recargas!$F$96*'Plan mensual'!H118+parametros_recargas!$G$96*'Plan mensual'!H119+parametros_recargas!$H$96*'Plan mensual'!H120+parametros_recargas!$I$96*'Plan mensual'!H121+parametros_recargas!$J$96*'Plan mensual'!H122+parametros_recargas!$K$96*'Plan mensual'!H123+parametros_recargas!$L$96*'Plan mensual'!H124+parametros_recargas!$M$96*'Plan mensual'!H126</f>
        <v>5921.5936872491</v>
      </c>
      <c r="G118" s="26" t="n">
        <f aca="false">parametros_recargas!$E$96*'Plan mensual'!I117+parametros_recargas!$F$96*'Plan mensual'!I118+parametros_recargas!$G$96*'Plan mensual'!I119+parametros_recargas!$H$96*'Plan mensual'!I120+parametros_recargas!$I$96*'Plan mensual'!I121+parametros_recargas!$J$96*'Plan mensual'!I122+parametros_recargas!$K$96*'Plan mensual'!I123+parametros_recargas!$L$96*'Plan mensual'!I124+parametros_recargas!$M$96*'Plan mensual'!I126</f>
        <v>5853.68216462042</v>
      </c>
      <c r="H118" s="26" t="n">
        <f aca="false">parametros_recargas!$E$96*'Plan mensual'!J117+parametros_recargas!$F$96*'Plan mensual'!J118+parametros_recargas!$G$96*'Plan mensual'!J119+parametros_recargas!$H$96*'Plan mensual'!J120+parametros_recargas!$I$96*'Plan mensual'!J121+parametros_recargas!$J$96*'Plan mensual'!J122+parametros_recargas!$K$96*'Plan mensual'!J123+parametros_recargas!$L$96*'Plan mensual'!J124+parametros_recargas!$M$96*'Plan mensual'!J126</f>
        <v>5183.12386602475</v>
      </c>
      <c r="I118" s="26" t="n">
        <f aca="false">parametros_recargas!$E$96*'Plan mensual'!K117+parametros_recargas!$F$96*'Plan mensual'!K118+parametros_recargas!$G$96*'Plan mensual'!K119+parametros_recargas!$H$96*'Plan mensual'!K120+parametros_recargas!$I$96*'Plan mensual'!K121+parametros_recargas!$J$96*'Plan mensual'!K122+parametros_recargas!$K$96*'Plan mensual'!K123+parametros_recargas!$L$96*'Plan mensual'!K124+parametros_recargas!$M$96*'Plan mensual'!K126</f>
        <v>5227.62411557072</v>
      </c>
      <c r="J118" s="26" t="n">
        <f aca="false">parametros_recargas!$E$96*'Plan mensual'!L117+parametros_recargas!$F$96*'Plan mensual'!L118+parametros_recargas!$G$96*'Plan mensual'!L119+parametros_recargas!$H$96*'Plan mensual'!L120+parametros_recargas!$I$96*'Plan mensual'!L121+parametros_recargas!$J$96*'Plan mensual'!L122+parametros_recargas!$K$96*'Plan mensual'!L123+parametros_recargas!$L$96*'Plan mensual'!L124+parametros_recargas!$M$96*'Plan mensual'!L126</f>
        <v>5286.67916893699</v>
      </c>
      <c r="K118" s="26" t="n">
        <f aca="false">parametros_recargas!$E$96*'Plan mensual'!M117+parametros_recargas!$F$96*'Plan mensual'!M118+parametros_recargas!$G$96*'Plan mensual'!M119+parametros_recargas!$H$96*'Plan mensual'!M120+parametros_recargas!$I$96*'Plan mensual'!M121+parametros_recargas!$J$96*'Plan mensual'!M122+parametros_recargas!$K$96*'Plan mensual'!M123+parametros_recargas!$L$96*'Plan mensual'!M124+parametros_recargas!$M$96*'Plan mensual'!M126</f>
        <v>5285.39861677844</v>
      </c>
      <c r="L118" s="26" t="n">
        <f aca="false">parametros_recargas!$E$96*'Plan mensual'!N117+parametros_recargas!$F$96*'Plan mensual'!N118+parametros_recargas!$G$96*'Plan mensual'!N119+parametros_recargas!$H$96*'Plan mensual'!N120+parametros_recargas!$I$96*'Plan mensual'!N121+parametros_recargas!$J$96*'Plan mensual'!N122+parametros_recargas!$K$96*'Plan mensual'!N123+parametros_recargas!$L$96*'Plan mensual'!N124+parametros_recargas!$M$96*'Plan mensual'!N126</f>
        <v>6031.48392248375</v>
      </c>
      <c r="M118" s="26" t="n">
        <f aca="false">parametros_recargas!$E$96*'Plan mensual'!O117+parametros_recargas!$F$96*'Plan mensual'!O118+parametros_recargas!$G$96*'Plan mensual'!O119+parametros_recargas!$H$96*'Plan mensual'!O120+parametros_recargas!$I$96*'Plan mensual'!O121+parametros_recargas!$J$96*'Plan mensual'!O122+parametros_recargas!$K$96*'Plan mensual'!O123+parametros_recargas!$L$96*'Plan mensual'!O124+parametros_recargas!$M$96*'Plan mensual'!O126</f>
        <v>6895.00200134329</v>
      </c>
      <c r="N118" s="12" t="n">
        <f aca="false">SUM(B118:M118)</f>
        <v>68635.8512483852</v>
      </c>
      <c r="O118" s="27" t="n">
        <f aca="false">MAX(B118:M118)</f>
        <v>6895.00200134329</v>
      </c>
      <c r="P118" s="16" t="n">
        <f aca="false">O118/parametros_recargas!$B$6</f>
        <v>45.9666800089553</v>
      </c>
    </row>
    <row r="119" customFormat="false" ht="15" hidden="false" customHeight="false" outlineLevel="0" collapsed="false">
      <c r="A119" s="6" t="str">
        <f aca="false">parametros_recargas!$B$97</f>
        <v>Inutilización y disposición final</v>
      </c>
      <c r="B119" s="26" t="n">
        <f aca="false">parametros_recargas!$E$97*'Plan mensual'!D117+parametros_recargas!$F$97*'Plan mensual'!D118+parametros_recargas!$G$97*'Plan mensual'!D119+parametros_recargas!$H$97*'Plan mensual'!D120+parametros_recargas!$I$97*'Plan mensual'!D121+parametros_recargas!$J$97*'Plan mensual'!D122+parametros_recargas!$K$97*'Plan mensual'!D123+parametros_recargas!$L$97*'Plan mensual'!D124+parametros_recargas!$M$97*'Plan mensual'!D126</f>
        <v>494.632014109456</v>
      </c>
      <c r="C119" s="26" t="n">
        <f aca="false">parametros_recargas!$E$97*'Plan mensual'!E117+parametros_recargas!$F$97*'Plan mensual'!E118+parametros_recargas!$G$97*'Plan mensual'!E119+parametros_recargas!$H$97*'Plan mensual'!E120+parametros_recargas!$I$97*'Plan mensual'!E121+parametros_recargas!$J$97*'Plan mensual'!E122+parametros_recargas!$K$97*'Plan mensual'!E123+parametros_recargas!$L$97*'Plan mensual'!E124+parametros_recargas!$M$97*'Plan mensual'!E126</f>
        <v>431.499697610987</v>
      </c>
      <c r="D119" s="26" t="n">
        <f aca="false">parametros_recargas!$E$97*'Plan mensual'!F117+parametros_recargas!$F$97*'Plan mensual'!F118+parametros_recargas!$G$97*'Plan mensual'!F119+parametros_recargas!$H$97*'Plan mensual'!F120+parametros_recargas!$I$97*'Plan mensual'!F121+parametros_recargas!$J$97*'Plan mensual'!F122+parametros_recargas!$K$97*'Plan mensual'!F123+parametros_recargas!$L$97*'Plan mensual'!F124+parametros_recargas!$M$97*'Plan mensual'!F126</f>
        <v>414.943377918817</v>
      </c>
      <c r="E119" s="26" t="n">
        <f aca="false">parametros_recargas!$E$97*'Plan mensual'!G117+parametros_recargas!$F$97*'Plan mensual'!G118+parametros_recargas!$G$97*'Plan mensual'!G119+parametros_recargas!$H$97*'Plan mensual'!G120+parametros_recargas!$I$97*'Plan mensual'!G121+parametros_recargas!$J$97*'Plan mensual'!G122+parametros_recargas!$K$97*'Plan mensual'!G123+parametros_recargas!$L$97*'Plan mensual'!G124+parametros_recargas!$M$97*'Plan mensual'!G126</f>
        <v>459.581569844663</v>
      </c>
      <c r="F119" s="26" t="n">
        <f aca="false">parametros_recargas!$E$97*'Plan mensual'!H117+parametros_recargas!$F$97*'Plan mensual'!H118+parametros_recargas!$G$97*'Plan mensual'!H119+parametros_recargas!$H$97*'Plan mensual'!H120+parametros_recargas!$I$97*'Plan mensual'!H121+parametros_recargas!$J$97*'Plan mensual'!H122+parametros_recargas!$K$97*'Plan mensual'!H123+parametros_recargas!$L$97*'Plan mensual'!H124+parametros_recargas!$M$97*'Plan mensual'!H126</f>
        <v>462.874642781897</v>
      </c>
      <c r="G119" s="26" t="n">
        <f aca="false">parametros_recargas!$E$97*'Plan mensual'!I117+parametros_recargas!$F$97*'Plan mensual'!I118+parametros_recargas!$G$97*'Plan mensual'!I119+parametros_recargas!$H$97*'Plan mensual'!I120+parametros_recargas!$I$97*'Plan mensual'!I121+parametros_recargas!$J$97*'Plan mensual'!I122+parametros_recargas!$K$97*'Plan mensual'!I123+parametros_recargas!$L$97*'Plan mensual'!I124+parametros_recargas!$M$97*'Plan mensual'!I126</f>
        <v>457.734841153162</v>
      </c>
      <c r="H119" s="26" t="n">
        <f aca="false">parametros_recargas!$E$97*'Plan mensual'!J117+parametros_recargas!$F$97*'Plan mensual'!J118+parametros_recargas!$G$97*'Plan mensual'!J119+parametros_recargas!$H$97*'Plan mensual'!J120+parametros_recargas!$I$97*'Plan mensual'!J121+parametros_recargas!$J$97*'Plan mensual'!J122+parametros_recargas!$K$97*'Plan mensual'!J123+parametros_recargas!$L$97*'Plan mensual'!J124+parametros_recargas!$M$97*'Plan mensual'!J126</f>
        <v>405.759462194965</v>
      </c>
      <c r="I119" s="26" t="n">
        <f aca="false">parametros_recargas!$E$97*'Plan mensual'!K117+parametros_recargas!$F$97*'Plan mensual'!K118+parametros_recargas!$G$97*'Plan mensual'!K119+parametros_recargas!$H$97*'Plan mensual'!K120+parametros_recargas!$I$97*'Plan mensual'!K121+parametros_recargas!$J$97*'Plan mensual'!K122+parametros_recargas!$K$97*'Plan mensual'!K123+parametros_recargas!$L$97*'Plan mensual'!K124+parametros_recargas!$M$97*'Plan mensual'!K126</f>
        <v>409.312115655362</v>
      </c>
      <c r="J119" s="26" t="n">
        <f aca="false">parametros_recargas!$E$97*'Plan mensual'!L117+parametros_recargas!$F$97*'Plan mensual'!L118+parametros_recargas!$G$97*'Plan mensual'!L119+parametros_recargas!$H$97*'Plan mensual'!L120+parametros_recargas!$I$97*'Plan mensual'!L121+parametros_recargas!$J$97*'Plan mensual'!L122+parametros_recargas!$K$97*'Plan mensual'!L123+parametros_recargas!$L$97*'Plan mensual'!L124+parametros_recargas!$M$97*'Plan mensual'!L126</f>
        <v>413.88130447005</v>
      </c>
      <c r="K119" s="26" t="n">
        <f aca="false">parametros_recargas!$E$97*'Plan mensual'!M117+parametros_recargas!$F$97*'Plan mensual'!M118+parametros_recargas!$G$97*'Plan mensual'!M119+parametros_recargas!$H$97*'Plan mensual'!M120+parametros_recargas!$I$97*'Plan mensual'!M121+parametros_recargas!$J$97*'Plan mensual'!M122+parametros_recargas!$K$97*'Plan mensual'!M123+parametros_recargas!$L$97*'Plan mensual'!M124+parametros_recargas!$M$97*'Plan mensual'!M126</f>
        <v>413.88130447005</v>
      </c>
      <c r="L119" s="26" t="n">
        <f aca="false">parametros_recargas!$E$97*'Plan mensual'!N117+parametros_recargas!$F$97*'Plan mensual'!N118+parametros_recargas!$G$97*'Plan mensual'!N119+parametros_recargas!$H$97*'Plan mensual'!N120+parametros_recargas!$I$97*'Plan mensual'!N121+parametros_recargas!$J$97*'Plan mensual'!N122+parametros_recargas!$K$97*'Plan mensual'!N123+parametros_recargas!$L$97*'Plan mensual'!N124+parametros_recargas!$M$97*'Plan mensual'!N126</f>
        <v>473.720548031285</v>
      </c>
      <c r="M119" s="26" t="n">
        <f aca="false">parametros_recargas!$E$97*'Plan mensual'!O117+parametros_recargas!$F$97*'Plan mensual'!O118+parametros_recargas!$G$97*'Plan mensual'!O119+parametros_recargas!$H$97*'Plan mensual'!O120+parametros_recargas!$I$97*'Plan mensual'!O121+parametros_recargas!$J$97*'Plan mensual'!O122+parametros_recargas!$K$97*'Plan mensual'!O123+parametros_recargas!$L$97*'Plan mensual'!O124+parametros_recargas!$M$97*'Plan mensual'!O126</f>
        <v>541.992666158489</v>
      </c>
      <c r="N119" s="12" t="n">
        <f aca="false">SUM(B119:M119)</f>
        <v>5379.81354439918</v>
      </c>
      <c r="O119" s="27" t="n">
        <f aca="false">MAX(B119:M119)</f>
        <v>541.992666158489</v>
      </c>
      <c r="P119" s="16" t="n">
        <f aca="false">O119/parametros_recargas!$B$6</f>
        <v>3.61328444105659</v>
      </c>
    </row>
    <row r="120" customFormat="false" ht="15" hidden="false" customHeight="false" outlineLevel="0" collapsed="false">
      <c r="A120" s="6" t="str">
        <f aca="false">parametros_recargas!$B$98</f>
        <v>PH de mangueras (CO₂ y rodantes)</v>
      </c>
      <c r="B120" s="26" t="n">
        <f aca="false">'Plan mensual'!D125</f>
        <v>174.228719880913</v>
      </c>
      <c r="C120" s="26" t="n">
        <f aca="false">'Plan mensual'!E125</f>
        <v>174.228719880913</v>
      </c>
      <c r="D120" s="26" t="n">
        <f aca="false">'Plan mensual'!F125</f>
        <v>189.389954281203</v>
      </c>
      <c r="E120" s="26" t="n">
        <f aca="false">'Plan mensual'!G125</f>
        <v>210.01974613723</v>
      </c>
      <c r="F120" s="26" t="n">
        <f aca="false">'Plan mensual'!H125</f>
        <v>212.465617306162</v>
      </c>
      <c r="G120" s="26" t="n">
        <f aca="false">'Plan mensual'!I125</f>
        <v>203.776085166353</v>
      </c>
      <c r="H120" s="26" t="n">
        <f aca="false">'Plan mensual'!J125</f>
        <v>180.400255365114</v>
      </c>
      <c r="I120" s="26" t="n">
        <f aca="false">'Plan mensual'!K125</f>
        <v>182.371189795185</v>
      </c>
      <c r="J120" s="26" t="n">
        <f aca="false">'Plan mensual'!L125</f>
        <v>189.794093859883</v>
      </c>
      <c r="K120" s="26" t="n">
        <f aca="false">'Plan mensual'!M125</f>
        <v>189.794093859883</v>
      </c>
      <c r="L120" s="26" t="n">
        <f aca="false">'Plan mensual'!N125</f>
        <v>187.348222690952</v>
      </c>
      <c r="M120" s="26" t="n">
        <f aca="false">'Plan mensual'!O125</f>
        <v>196.037754830761</v>
      </c>
      <c r="N120" s="12" t="n">
        <f aca="false">SUM(B120:M120)</f>
        <v>2289.85445305455</v>
      </c>
      <c r="O120" s="27" t="n">
        <f aca="false">MAX(B120:M120)</f>
        <v>212.465617306162</v>
      </c>
      <c r="P120" s="16" t="n">
        <f aca="false">O120/parametros_recargas!$B$6</f>
        <v>1.41643744870775</v>
      </c>
    </row>
    <row r="129" customFormat="false" ht="23.85" hidden="false" customHeight="false" outlineLevel="0" collapsed="false">
      <c r="A129" s="3" t="s">
        <v>396</v>
      </c>
      <c r="B129" s="3" t="s">
        <v>64</v>
      </c>
      <c r="C129" s="3" t="s">
        <v>65</v>
      </c>
      <c r="D129" s="3" t="s">
        <v>66</v>
      </c>
      <c r="E129" s="3" t="s">
        <v>67</v>
      </c>
      <c r="F129" s="3" t="s">
        <v>68</v>
      </c>
      <c r="G129" s="3" t="s">
        <v>69</v>
      </c>
      <c r="H129" s="3" t="s">
        <v>70</v>
      </c>
      <c r="I129" s="3" t="s">
        <v>71</v>
      </c>
      <c r="J129" s="3" t="s">
        <v>72</v>
      </c>
      <c r="K129" s="3" t="s">
        <v>73</v>
      </c>
      <c r="L129" s="3" t="s">
        <v>74</v>
      </c>
      <c r="M129" s="3" t="s">
        <v>75</v>
      </c>
      <c r="N129" s="3" t="s">
        <v>390</v>
      </c>
      <c r="O129" s="3" t="s">
        <v>391</v>
      </c>
      <c r="P129" s="3" t="s">
        <v>392</v>
      </c>
    </row>
    <row r="130" customFormat="false" ht="15" hidden="false" customHeight="false" outlineLevel="0" collapsed="false">
      <c r="A130" s="6" t="str">
        <f aca="false">parametros_recargas!$B$76</f>
        <v>Recepción y registro</v>
      </c>
      <c r="B130" s="26" t="n">
        <f aca="false">parametros_recargas!$E$76*'Plan mensual'!D149+parametros_recargas!$F$76*'Plan mensual'!D150+parametros_recargas!$G$76*'Plan mensual'!D151+parametros_recargas!$H$76*'Plan mensual'!D152+parametros_recargas!$I$76*'Plan mensual'!D153+parametros_recargas!$J$76*'Plan mensual'!D154+parametros_recargas!$K$76*'Plan mensual'!D155+parametros_recargas!$L$76*'Plan mensual'!D156+parametros_recargas!$M$76*'Plan mensual'!D158</f>
        <v>9283.112946211</v>
      </c>
      <c r="C130" s="26" t="n">
        <f aca="false">parametros_recargas!$E$76*'Plan mensual'!E149+parametros_recargas!$F$76*'Plan mensual'!E150+parametros_recargas!$G$76*'Plan mensual'!E151+parametros_recargas!$H$76*'Plan mensual'!E152+parametros_recargas!$I$76*'Plan mensual'!E153+parametros_recargas!$J$76*'Plan mensual'!E154+parametros_recargas!$K$76*'Plan mensual'!E155+parametros_recargas!$L$76*'Plan mensual'!E156+parametros_recargas!$M$76*'Plan mensual'!E158</f>
        <v>8094.27144240989</v>
      </c>
      <c r="D130" s="26" t="n">
        <f aca="false">parametros_recargas!$E$76*'Plan mensual'!F149+parametros_recargas!$F$76*'Plan mensual'!F150+parametros_recargas!$G$76*'Plan mensual'!F151+parametros_recargas!$H$76*'Plan mensual'!F152+parametros_recargas!$I$76*'Plan mensual'!F153+parametros_recargas!$J$76*'Plan mensual'!F154+parametros_recargas!$K$76*'Plan mensual'!F155+parametros_recargas!$L$76*'Plan mensual'!F156+parametros_recargas!$M$76*'Plan mensual'!F158</f>
        <v>7780.63172843822</v>
      </c>
      <c r="E130" s="26" t="n">
        <f aca="false">parametros_recargas!$E$76*'Plan mensual'!G149+parametros_recargas!$F$76*'Plan mensual'!G150+parametros_recargas!$G$76*'Plan mensual'!G151+parametros_recargas!$H$76*'Plan mensual'!G152+parametros_recargas!$I$76*'Plan mensual'!G153+parametros_recargas!$J$76*'Plan mensual'!G154+parametros_recargas!$K$76*'Plan mensual'!G155+parametros_recargas!$L$76*'Plan mensual'!G156+parametros_recargas!$M$76*'Plan mensual'!G158</f>
        <v>8614.06674842246</v>
      </c>
      <c r="F130" s="26" t="n">
        <f aca="false">parametros_recargas!$E$76*'Plan mensual'!H149+parametros_recargas!$F$76*'Plan mensual'!H150+parametros_recargas!$G$76*'Plan mensual'!H151+parametros_recargas!$H$76*'Plan mensual'!H152+parametros_recargas!$I$76*'Plan mensual'!H153+parametros_recargas!$J$76*'Plan mensual'!H154+parametros_recargas!$K$76*'Plan mensual'!H155+parametros_recargas!$L$76*'Plan mensual'!H156+parametros_recargas!$M$76*'Plan mensual'!H158</f>
        <v>8673.84864008162</v>
      </c>
      <c r="G130" s="26" t="n">
        <f aca="false">parametros_recargas!$E$76*'Plan mensual'!I149+parametros_recargas!$F$76*'Plan mensual'!I150+parametros_recargas!$G$76*'Plan mensual'!I151+parametros_recargas!$H$76*'Plan mensual'!I152+parametros_recargas!$I$76*'Plan mensual'!I153+parametros_recargas!$J$76*'Plan mensual'!I154+parametros_recargas!$K$76*'Plan mensual'!I155+parametros_recargas!$L$76*'Plan mensual'!I156+parametros_recargas!$M$76*'Plan mensual'!I158</f>
        <v>8576.36812511998</v>
      </c>
      <c r="H130" s="26" t="n">
        <f aca="false">parametros_recargas!$E$76*'Plan mensual'!J149+parametros_recargas!$F$76*'Plan mensual'!J150+parametros_recargas!$G$76*'Plan mensual'!J151+parametros_recargas!$H$76*'Plan mensual'!J152+parametros_recargas!$I$76*'Plan mensual'!J153+parametros_recargas!$J$76*'Plan mensual'!J154+parametros_recargas!$K$76*'Plan mensual'!J155+parametros_recargas!$L$76*'Plan mensual'!J156+parametros_recargas!$M$76*'Plan mensual'!J158</f>
        <v>7608.76668743485</v>
      </c>
      <c r="I130" s="26" t="n">
        <f aca="false">parametros_recargas!$E$76*'Plan mensual'!K149+parametros_recargas!$F$76*'Plan mensual'!K150+parametros_recargas!$G$76*'Plan mensual'!K151+parametros_recargas!$H$76*'Plan mensual'!K152+parametros_recargas!$I$76*'Plan mensual'!K153+parametros_recargas!$J$76*'Plan mensual'!K154+parametros_recargas!$K$76*'Plan mensual'!K155+parametros_recargas!$L$76*'Plan mensual'!K156+parametros_recargas!$M$76*'Plan mensual'!K158</f>
        <v>7673.28426892003</v>
      </c>
      <c r="J130" s="26" t="n">
        <f aca="false">parametros_recargas!$E$76*'Plan mensual'!L149+parametros_recargas!$F$76*'Plan mensual'!L150+parametros_recargas!$G$76*'Plan mensual'!L151+parametros_recargas!$H$76*'Plan mensual'!L152+parametros_recargas!$I$76*'Plan mensual'!L153+parametros_recargas!$J$76*'Plan mensual'!L154+parametros_recargas!$K$76*'Plan mensual'!L155+parametros_recargas!$L$76*'Plan mensual'!L156+parametros_recargas!$M$76*'Plan mensual'!L158</f>
        <v>7758.3706762046</v>
      </c>
      <c r="K130" s="26" t="n">
        <f aca="false">parametros_recargas!$E$76*'Plan mensual'!M149+parametros_recargas!$F$76*'Plan mensual'!M150+parametros_recargas!$G$76*'Plan mensual'!M151+parametros_recargas!$H$76*'Plan mensual'!M152+parametros_recargas!$I$76*'Plan mensual'!M153+parametros_recargas!$J$76*'Plan mensual'!M154+parametros_recargas!$K$76*'Plan mensual'!M155+parametros_recargas!$L$76*'Plan mensual'!M156+parametros_recargas!$M$76*'Plan mensual'!M158</f>
        <v>7756.91986355305</v>
      </c>
      <c r="L130" s="26" t="n">
        <f aca="false">parametros_recargas!$E$76*'Plan mensual'!N149+parametros_recargas!$F$76*'Plan mensual'!N150+parametros_recargas!$G$76*'Plan mensual'!N151+parametros_recargas!$H$76*'Plan mensual'!N152+parametros_recargas!$I$76*'Plan mensual'!N153+parametros_recargas!$J$76*'Plan mensual'!N154+parametros_recargas!$K$76*'Plan mensual'!N155+parametros_recargas!$L$76*'Plan mensual'!N156+parametros_recargas!$M$76*'Plan mensual'!N158</f>
        <v>8879.57595671768</v>
      </c>
      <c r="M130" s="26" t="n">
        <f aca="false">parametros_recargas!$E$76*'Plan mensual'!O149+parametros_recargas!$F$76*'Plan mensual'!O150+parametros_recargas!$G$76*'Plan mensual'!O151+parametros_recargas!$H$76*'Plan mensual'!O152+parametros_recargas!$I$76*'Plan mensual'!O153+parametros_recargas!$J$76*'Plan mensual'!O154+parametros_recargas!$K$76*'Plan mensual'!O155+parametros_recargas!$L$76*'Plan mensual'!O156+parametros_recargas!$M$76*'Plan mensual'!O158</f>
        <v>10168.2047628289</v>
      </c>
      <c r="N130" s="12" t="n">
        <f aca="false">SUM(B130:M130)</f>
        <v>100867.421846342</v>
      </c>
      <c r="O130" s="27" t="n">
        <f aca="false">MAX(B130:M130)</f>
        <v>10168.2047628289</v>
      </c>
      <c r="P130" s="16" t="n">
        <f aca="false">O130/parametros_recargas!$B$6</f>
        <v>67.7880317521925</v>
      </c>
    </row>
    <row r="131" customFormat="false" ht="15" hidden="false" customHeight="false" outlineLevel="0" collapsed="false">
      <c r="A131" s="6" t="str">
        <f aca="false">parametros_recargas!$B$77</f>
        <v>Inspección visual</v>
      </c>
      <c r="B131" s="26" t="n">
        <f aca="false">parametros_recargas!$E$77*'Plan mensual'!D149+parametros_recargas!$F$77*'Plan mensual'!D150+parametros_recargas!$G$77*'Plan mensual'!D151+parametros_recargas!$H$77*'Plan mensual'!D152+parametros_recargas!$I$77*'Plan mensual'!D153+parametros_recargas!$J$77*'Plan mensual'!D154+parametros_recargas!$K$77*'Plan mensual'!D155+parametros_recargas!$L$77*'Plan mensual'!D156+parametros_recargas!$M$77*'Plan mensual'!D158</f>
        <v>9259.97793867282</v>
      </c>
      <c r="C131" s="26" t="n">
        <f aca="false">parametros_recargas!$E$77*'Plan mensual'!E149+parametros_recargas!$F$77*'Plan mensual'!E150+parametros_recargas!$G$77*'Plan mensual'!E151+parametros_recargas!$H$77*'Plan mensual'!E152+parametros_recargas!$I$77*'Plan mensual'!E153+parametros_recargas!$J$77*'Plan mensual'!E154+parametros_recargas!$K$77*'Plan mensual'!E155+parametros_recargas!$L$77*'Plan mensual'!E156+parametros_recargas!$M$77*'Plan mensual'!E158</f>
        <v>8075.40544752326</v>
      </c>
      <c r="D131" s="26" t="n">
        <f aca="false">parametros_recargas!$E$77*'Plan mensual'!F149+parametros_recargas!$F$77*'Plan mensual'!F150+parametros_recargas!$G$77*'Plan mensual'!F151+parametros_recargas!$H$77*'Plan mensual'!F152+parametros_recargas!$I$77*'Plan mensual'!F153+parametros_recargas!$J$77*'Plan mensual'!F154+parametros_recargas!$K$77*'Plan mensual'!F155+parametros_recargas!$L$77*'Plan mensual'!F156+parametros_recargas!$M$77*'Plan mensual'!F158</f>
        <v>7760.05921457427</v>
      </c>
      <c r="E131" s="26" t="n">
        <f aca="false">parametros_recargas!$E$77*'Plan mensual'!G149+parametros_recargas!$F$77*'Plan mensual'!G150+parametros_recargas!$G$77*'Plan mensual'!G151+parametros_recargas!$H$77*'Plan mensual'!G152+parametros_recargas!$I$77*'Plan mensual'!G153+parametros_recargas!$J$77*'Plan mensual'!G154+parametros_recargas!$K$77*'Plan mensual'!G155+parametros_recargas!$L$77*'Plan mensual'!G156+parametros_recargas!$M$77*'Plan mensual'!G158</f>
        <v>8593.49423455851</v>
      </c>
      <c r="F131" s="26" t="n">
        <f aca="false">parametros_recargas!$E$77*'Plan mensual'!H149+parametros_recargas!$F$77*'Plan mensual'!H150+parametros_recargas!$G$77*'Plan mensual'!H151+parametros_recargas!$H$77*'Plan mensual'!H152+parametros_recargas!$I$77*'Plan mensual'!H153+parametros_recargas!$J$77*'Plan mensual'!H154+parametros_recargas!$K$77*'Plan mensual'!H155+parametros_recargas!$L$77*'Plan mensual'!H156+parametros_recargas!$M$77*'Plan mensual'!H158</f>
        <v>8654.21552621766</v>
      </c>
      <c r="G131" s="26" t="n">
        <f aca="false">parametros_recargas!$E$77*'Plan mensual'!I149+parametros_recargas!$F$77*'Plan mensual'!I150+parametros_recargas!$G$77*'Plan mensual'!I151+parametros_recargas!$H$77*'Plan mensual'!I152+parametros_recargas!$I$77*'Plan mensual'!I153+parametros_recargas!$J$77*'Plan mensual'!I154+parametros_recargas!$K$77*'Plan mensual'!I155+parametros_recargas!$L$77*'Plan mensual'!I156+parametros_recargas!$M$77*'Plan mensual'!I158</f>
        <v>8558.18582390758</v>
      </c>
      <c r="H131" s="26" t="n">
        <f aca="false">parametros_recargas!$E$77*'Plan mensual'!J149+parametros_recargas!$F$77*'Plan mensual'!J150+parametros_recargas!$G$77*'Plan mensual'!J151+parametros_recargas!$H$77*'Plan mensual'!J152+parametros_recargas!$I$77*'Plan mensual'!J153+parametros_recargas!$J$77*'Plan mensual'!J154+parametros_recargas!$K$77*'Plan mensual'!J155+parametros_recargas!$L$77*'Plan mensual'!J156+parametros_recargas!$M$77*'Plan mensual'!J158</f>
        <v>7589.1335735709</v>
      </c>
      <c r="I131" s="26" t="n">
        <f aca="false">parametros_recargas!$E$77*'Plan mensual'!K149+parametros_recargas!$F$77*'Plan mensual'!K150+parametros_recargas!$G$77*'Plan mensual'!K151+parametros_recargas!$H$77*'Plan mensual'!K152+parametros_recargas!$I$77*'Plan mensual'!K153+parametros_recargas!$J$77*'Plan mensual'!K154+parametros_recargas!$K$77*'Plan mensual'!K155+parametros_recargas!$L$77*'Plan mensual'!K156+parametros_recargas!$M$77*'Plan mensual'!K158</f>
        <v>7653.65115505608</v>
      </c>
      <c r="J131" s="26" t="n">
        <f aca="false">parametros_recargas!$E$77*'Plan mensual'!L149+parametros_recargas!$F$77*'Plan mensual'!L150+parametros_recargas!$G$77*'Plan mensual'!L151+parametros_recargas!$H$77*'Plan mensual'!L152+parametros_recargas!$I$77*'Plan mensual'!L153+parametros_recargas!$J$77*'Plan mensual'!L154+parametros_recargas!$K$77*'Plan mensual'!L155+parametros_recargas!$L$77*'Plan mensual'!L156+parametros_recargas!$M$77*'Plan mensual'!L158</f>
        <v>7738.99326866642</v>
      </c>
      <c r="K131" s="26" t="n">
        <f aca="false">parametros_recargas!$E$77*'Plan mensual'!M149+parametros_recargas!$F$77*'Plan mensual'!M150+parametros_recargas!$G$77*'Plan mensual'!M151+parametros_recargas!$H$77*'Plan mensual'!M152+parametros_recargas!$I$77*'Plan mensual'!M153+parametros_recargas!$J$77*'Plan mensual'!M154+parametros_recargas!$K$77*'Plan mensual'!M155+parametros_recargas!$L$77*'Plan mensual'!M156+parametros_recargas!$M$77*'Plan mensual'!M158</f>
        <v>7738.99326866642</v>
      </c>
      <c r="L131" s="26" t="n">
        <f aca="false">parametros_recargas!$E$77*'Plan mensual'!N149+parametros_recargas!$F$77*'Plan mensual'!N150+parametros_recargas!$G$77*'Plan mensual'!N151+parametros_recargas!$H$77*'Plan mensual'!N152+parametros_recargas!$I$77*'Plan mensual'!N153+parametros_recargas!$J$77*'Plan mensual'!N154+parametros_recargas!$K$77*'Plan mensual'!N155+parametros_recargas!$L$77*'Plan mensual'!N156+parametros_recargas!$M$77*'Plan mensual'!N158</f>
        <v>8862.84446815683</v>
      </c>
      <c r="M131" s="26" t="n">
        <f aca="false">parametros_recargas!$E$77*'Plan mensual'!O149+parametros_recargas!$F$77*'Plan mensual'!O150+parametros_recargas!$G$77*'Plan mensual'!O151+parametros_recargas!$H$77*'Plan mensual'!O152+parametros_recargas!$I$77*'Plan mensual'!O153+parametros_recargas!$J$77*'Plan mensual'!O154+parametros_recargas!$K$77*'Plan mensual'!O155+parametros_recargas!$L$77*'Plan mensual'!O156+parametros_recargas!$M$77*'Plan mensual'!O158</f>
        <v>10143.4466616165</v>
      </c>
      <c r="N131" s="12" t="n">
        <f aca="false">SUM(B131:M131)</f>
        <v>100628.400581187</v>
      </c>
      <c r="O131" s="27" t="n">
        <f aca="false">MAX(B131:M131)</f>
        <v>10143.4466616165</v>
      </c>
      <c r="P131" s="16" t="n">
        <f aca="false">O131/parametros_recargas!$B$6</f>
        <v>67.6229777441098</v>
      </c>
    </row>
    <row r="132" customFormat="false" ht="15" hidden="false" customHeight="false" outlineLevel="0" collapsed="false">
      <c r="A132" s="6" t="str">
        <f aca="false">parametros_recargas!$B$78</f>
        <v>Descarga ABC — ruta recuperable</v>
      </c>
      <c r="B132" s="26" t="n">
        <f aca="false">parametros_recargas!$E$78*'Plan mensual'!D149+parametros_recargas!$F$78*'Plan mensual'!D150+parametros_recargas!$G$78*'Plan mensual'!D151+parametros_recargas!$H$78*'Plan mensual'!D152+parametros_recargas!$I$78*'Plan mensual'!D153+parametros_recargas!$J$78*'Plan mensual'!D154+parametros_recargas!$K$78*'Plan mensual'!D155+parametros_recargas!$L$78*'Plan mensual'!D156+parametros_recargas!$M$78*'Plan mensual'!D158</f>
        <v>7096.9078773745</v>
      </c>
      <c r="C132" s="26" t="n">
        <f aca="false">parametros_recargas!$E$78*'Plan mensual'!E149+parametros_recargas!$F$78*'Plan mensual'!E150+parametros_recargas!$G$78*'Plan mensual'!E151+parametros_recargas!$H$78*'Plan mensual'!E152+parametros_recargas!$I$78*'Plan mensual'!E153+parametros_recargas!$J$78*'Plan mensual'!E154+parametros_recargas!$K$78*'Plan mensual'!E155+parametros_recargas!$L$78*'Plan mensual'!E156+parametros_recargas!$M$78*'Plan mensual'!E158</f>
        <v>6084.09839744163</v>
      </c>
      <c r="D132" s="26" t="n">
        <f aca="false">parametros_recargas!$E$78*'Plan mensual'!F149+parametros_recargas!$F$78*'Plan mensual'!F150+parametros_recargas!$G$78*'Plan mensual'!F151+parametros_recargas!$H$78*'Plan mensual'!F152+parametros_recargas!$I$78*'Plan mensual'!F153+parametros_recargas!$J$78*'Plan mensual'!F154+parametros_recargas!$K$78*'Plan mensual'!F155+parametros_recargas!$L$78*'Plan mensual'!F156+parametros_recargas!$M$78*'Plan mensual'!F158</f>
        <v>5651.69693597476</v>
      </c>
      <c r="E132" s="26" t="n">
        <f aca="false">parametros_recargas!$E$78*'Plan mensual'!G149+parametros_recargas!$F$78*'Plan mensual'!G150+parametros_recargas!$G$78*'Plan mensual'!G151+parametros_recargas!$H$78*'Plan mensual'!G152+parametros_recargas!$I$78*'Plan mensual'!G153+parametros_recargas!$J$78*'Plan mensual'!G154+parametros_recargas!$K$78*'Plan mensual'!G155+parametros_recargas!$L$78*'Plan mensual'!G156+parametros_recargas!$M$78*'Plan mensual'!G158</f>
        <v>6203.73450538095</v>
      </c>
      <c r="F132" s="26" t="n">
        <f aca="false">parametros_recargas!$E$78*'Plan mensual'!H149+parametros_recargas!$F$78*'Plan mensual'!H150+parametros_recargas!$G$78*'Plan mensual'!H151+parametros_recargas!$H$78*'Plan mensual'!H152+parametros_recargas!$I$78*'Plan mensual'!H153+parametros_recargas!$J$78*'Plan mensual'!H154+parametros_recargas!$K$78*'Plan mensual'!H155+parametros_recargas!$L$78*'Plan mensual'!H156+parametros_recargas!$M$78*'Plan mensual'!H158</f>
        <v>6247.49865212801</v>
      </c>
      <c r="G132" s="26" t="n">
        <f aca="false">parametros_recargas!$E$78*'Plan mensual'!I149+parametros_recargas!$F$78*'Plan mensual'!I150+parametros_recargas!$G$78*'Plan mensual'!I151+parametros_recargas!$H$78*'Plan mensual'!I152+parametros_recargas!$I$78*'Plan mensual'!I153+parametros_recargas!$J$78*'Plan mensual'!I154+parametros_recargas!$K$78*'Plan mensual'!I155+parametros_recargas!$L$78*'Plan mensual'!I156+parametros_recargas!$M$78*'Plan mensual'!I158</f>
        <v>6188.46148240954</v>
      </c>
      <c r="H132" s="26" t="n">
        <f aca="false">parametros_recargas!$E$78*'Plan mensual'!J149+parametros_recargas!$F$78*'Plan mensual'!J150+parametros_recargas!$G$78*'Plan mensual'!J151+parametros_recargas!$H$78*'Plan mensual'!J152+parametros_recargas!$I$78*'Plan mensual'!J153+parametros_recargas!$J$78*'Plan mensual'!J154+parametros_recargas!$K$78*'Plan mensual'!J155+parametros_recargas!$L$78*'Plan mensual'!J156+parametros_recargas!$M$78*'Plan mensual'!J158</f>
        <v>5541.53424018451</v>
      </c>
      <c r="I132" s="26" t="n">
        <f aca="false">parametros_recargas!$E$78*'Plan mensual'!K149+parametros_recargas!$F$78*'Plan mensual'!K150+parametros_recargas!$G$78*'Plan mensual'!K151+parametros_recargas!$H$78*'Plan mensual'!K152+parametros_recargas!$I$78*'Plan mensual'!K153+parametros_recargas!$J$78*'Plan mensual'!K154+parametros_recargas!$K$78*'Plan mensual'!K155+parametros_recargas!$L$78*'Plan mensual'!K156+parametros_recargas!$M$78*'Plan mensual'!K158</f>
        <v>5592.78044097214</v>
      </c>
      <c r="J132" s="26" t="n">
        <f aca="false">parametros_recargas!$E$78*'Plan mensual'!L149+parametros_recargas!$F$78*'Plan mensual'!L150+parametros_recargas!$G$78*'Plan mensual'!L151+parametros_recargas!$H$78*'Plan mensual'!L152+parametros_recargas!$I$78*'Plan mensual'!L153+parametros_recargas!$J$78*'Plan mensual'!L154+parametros_recargas!$K$78*'Plan mensual'!L155+parametros_recargas!$L$78*'Plan mensual'!L156+parametros_recargas!$M$78*'Plan mensual'!L158</f>
        <v>5644.58743234516</v>
      </c>
      <c r="K132" s="26" t="n">
        <f aca="false">parametros_recargas!$E$78*'Plan mensual'!M149+parametros_recargas!$F$78*'Plan mensual'!M150+parametros_recargas!$G$78*'Plan mensual'!M151+parametros_recargas!$H$78*'Plan mensual'!M152+parametros_recargas!$I$78*'Plan mensual'!M153+parametros_recargas!$J$78*'Plan mensual'!M154+parametros_recargas!$K$78*'Plan mensual'!M155+parametros_recargas!$L$78*'Plan mensual'!M156+parametros_recargas!$M$78*'Plan mensual'!M158</f>
        <v>5644.58743234516</v>
      </c>
      <c r="L132" s="26" t="n">
        <f aca="false">parametros_recargas!$E$78*'Plan mensual'!N149+parametros_recargas!$F$78*'Plan mensual'!N150+parametros_recargas!$G$78*'Plan mensual'!N151+parametros_recargas!$H$78*'Plan mensual'!N152+parametros_recargas!$I$78*'Plan mensual'!N153+parametros_recargas!$J$78*'Plan mensual'!N154+parametros_recargas!$K$78*'Plan mensual'!N155+parametros_recargas!$L$78*'Plan mensual'!N156+parametros_recargas!$M$78*'Plan mensual'!N158</f>
        <v>6613.63276553097</v>
      </c>
      <c r="M132" s="26" t="n">
        <f aca="false">parametros_recargas!$E$78*'Plan mensual'!O149+parametros_recargas!$F$78*'Plan mensual'!O150+parametros_recargas!$G$78*'Plan mensual'!O151+parametros_recargas!$H$78*'Plan mensual'!O152+parametros_recargas!$I$78*'Plan mensual'!O153+parametros_recargas!$J$78*'Plan mensual'!O154+parametros_recargas!$K$78*'Plan mensual'!O155+parametros_recargas!$L$78*'Plan mensual'!O156+parametros_recargas!$M$78*'Plan mensual'!O158</f>
        <v>7685.47941518231</v>
      </c>
      <c r="N132" s="12" t="n">
        <f aca="false">SUM(B132:M132)</f>
        <v>74194.9995772696</v>
      </c>
      <c r="O132" s="27" t="n">
        <f aca="false">MAX(B132:M132)</f>
        <v>7685.47941518231</v>
      </c>
      <c r="P132" s="16" t="n">
        <f aca="false">O132/parametros_recargas!$B$6</f>
        <v>51.2365294345487</v>
      </c>
    </row>
    <row r="133" customFormat="false" ht="15" hidden="false" customHeight="false" outlineLevel="0" collapsed="false">
      <c r="A133" s="6" t="str">
        <f aca="false">parametros_recargas!$B$79</f>
        <v>Descarga a descarte (ABC, BC y Clase D)</v>
      </c>
      <c r="B133" s="26" t="n">
        <f aca="false">parametros_recargas!$E$79*'Plan mensual'!D149+parametros_recargas!$F$79*'Plan mensual'!D150+parametros_recargas!$G$79*'Plan mensual'!D151+parametros_recargas!$H$79*'Plan mensual'!D152+parametros_recargas!$I$79*'Plan mensual'!D153+parametros_recargas!$J$79*'Plan mensual'!D154+parametros_recargas!$K$79*'Plan mensual'!D155+parametros_recargas!$L$79*'Plan mensual'!D156+parametros_recargas!$M$79*'Plan mensual'!D158</f>
        <v>807.52024207293</v>
      </c>
      <c r="C133" s="26" t="n">
        <f aca="false">parametros_recargas!$E$79*'Plan mensual'!E149+parametros_recargas!$F$79*'Plan mensual'!E150+parametros_recargas!$G$79*'Plan mensual'!E151+parametros_recargas!$H$79*'Plan mensual'!E152+parametros_recargas!$I$79*'Plan mensual'!E153+parametros_recargas!$J$79*'Plan mensual'!E154+parametros_recargas!$K$79*'Plan mensual'!E155+parametros_recargas!$L$79*'Plan mensual'!E156+parametros_recargas!$M$79*'Plan mensual'!E158</f>
        <v>694.985855413722</v>
      </c>
      <c r="D133" s="26" t="n">
        <f aca="false">parametros_recargas!$E$79*'Plan mensual'!F149+parametros_recargas!$F$79*'Plan mensual'!F150+parametros_recargas!$G$79*'Plan mensual'!F151+parametros_recargas!$H$79*'Plan mensual'!F152+parametros_recargas!$I$79*'Plan mensual'!F153+parametros_recargas!$J$79*'Plan mensual'!F154+parametros_recargas!$K$79*'Plan mensual'!F155+parametros_recargas!$L$79*'Plan mensual'!F156+parametros_recargas!$M$79*'Plan mensual'!F158</f>
        <v>646.941248584069</v>
      </c>
      <c r="E133" s="26" t="n">
        <f aca="false">parametros_recargas!$E$79*'Plan mensual'!G149+parametros_recargas!$F$79*'Plan mensual'!G150+parametros_recargas!$G$79*'Plan mensual'!G151+parametros_recargas!$H$79*'Plan mensual'!G152+parametros_recargas!$I$79*'Plan mensual'!G153+parametros_recargas!$J$79*'Plan mensual'!G154+parametros_recargas!$K$79*'Plan mensual'!G155+parametros_recargas!$L$79*'Plan mensual'!G156+parametros_recargas!$M$79*'Plan mensual'!G158</f>
        <v>708.278756295869</v>
      </c>
      <c r="F133" s="26" t="n">
        <f aca="false">parametros_recargas!$E$79*'Plan mensual'!H149+parametros_recargas!$F$79*'Plan mensual'!H150+parametros_recargas!$G$79*'Plan mensual'!H151+parametros_recargas!$H$79*'Plan mensual'!H152+parametros_recargas!$I$79*'Plan mensual'!H153+parametros_recargas!$J$79*'Plan mensual'!H154+parametros_recargas!$K$79*'Plan mensual'!H155+parametros_recargas!$L$79*'Plan mensual'!H156+parametros_recargas!$M$79*'Plan mensual'!H158</f>
        <v>713.141439267765</v>
      </c>
      <c r="G133" s="26" t="n">
        <f aca="false">parametros_recargas!$E$79*'Plan mensual'!I149+parametros_recargas!$F$79*'Plan mensual'!I150+parametros_recargas!$G$79*'Plan mensual'!I151+parametros_recargas!$H$79*'Plan mensual'!I152+parametros_recargas!$I$79*'Plan mensual'!I153+parametros_recargas!$J$79*'Plan mensual'!I154+parametros_recargas!$K$79*'Plan mensual'!I155+parametros_recargas!$L$79*'Plan mensual'!I156+parametros_recargas!$M$79*'Plan mensual'!I158</f>
        <v>706.58175374349</v>
      </c>
      <c r="H133" s="26" t="n">
        <f aca="false">parametros_recargas!$E$79*'Plan mensual'!J149+parametros_recargas!$F$79*'Plan mensual'!J150+parametros_recargas!$G$79*'Plan mensual'!J151+parametros_recargas!$H$79*'Plan mensual'!J152+parametros_recargas!$I$79*'Plan mensual'!J153+parametros_recargas!$J$79*'Plan mensual'!J154+parametros_recargas!$K$79*'Plan mensual'!J155+parametros_recargas!$L$79*'Plan mensual'!J156+parametros_recargas!$M$79*'Plan mensual'!J158</f>
        <v>634.70094905182</v>
      </c>
      <c r="I133" s="26" t="n">
        <f aca="false">parametros_recargas!$E$79*'Plan mensual'!K149+parametros_recargas!$F$79*'Plan mensual'!K150+parametros_recargas!$G$79*'Plan mensual'!K151+parametros_recargas!$H$79*'Plan mensual'!K152+parametros_recargas!$I$79*'Plan mensual'!K153+parametros_recargas!$J$79*'Plan mensual'!K154+parametros_recargas!$K$79*'Plan mensual'!K155+parametros_recargas!$L$79*'Plan mensual'!K156+parametros_recargas!$M$79*'Plan mensual'!K158</f>
        <v>640.394971361556</v>
      </c>
      <c r="J133" s="26" t="n">
        <f aca="false">parametros_recargas!$E$79*'Plan mensual'!L149+parametros_recargas!$F$79*'Plan mensual'!L150+parametros_recargas!$G$79*'Plan mensual'!L151+parametros_recargas!$H$79*'Plan mensual'!L152+parametros_recargas!$I$79*'Plan mensual'!L153+parametros_recargas!$J$79*'Plan mensual'!L154+parametros_recargas!$K$79*'Plan mensual'!L155+parametros_recargas!$L$79*'Plan mensual'!L156+parametros_recargas!$M$79*'Plan mensual'!L158</f>
        <v>646.151303736337</v>
      </c>
      <c r="K133" s="26" t="n">
        <f aca="false">parametros_recargas!$E$79*'Plan mensual'!M149+parametros_recargas!$F$79*'Plan mensual'!M150+parametros_recargas!$G$79*'Plan mensual'!M151+parametros_recargas!$H$79*'Plan mensual'!M152+parametros_recargas!$I$79*'Plan mensual'!M153+parametros_recargas!$J$79*'Plan mensual'!M154+parametros_recargas!$K$79*'Plan mensual'!M155+parametros_recargas!$L$79*'Plan mensual'!M156+parametros_recargas!$M$79*'Plan mensual'!M158</f>
        <v>646.151303736337</v>
      </c>
      <c r="L133" s="26" t="n">
        <f aca="false">parametros_recargas!$E$79*'Plan mensual'!N149+parametros_recargas!$F$79*'Plan mensual'!N150+parametros_recargas!$G$79*'Plan mensual'!N151+parametros_recargas!$H$79*'Plan mensual'!N152+parametros_recargas!$I$79*'Plan mensual'!N153+parametros_recargas!$J$79*'Plan mensual'!N154+parametros_recargas!$K$79*'Plan mensual'!N155+parametros_recargas!$L$79*'Plan mensual'!N156+parametros_recargas!$M$79*'Plan mensual'!N158</f>
        <v>753.823007423649</v>
      </c>
      <c r="M133" s="26" t="n">
        <f aca="false">parametros_recargas!$E$79*'Plan mensual'!O149+parametros_recargas!$F$79*'Plan mensual'!O150+parametros_recargas!$G$79*'Plan mensual'!O151+parametros_recargas!$H$79*'Plan mensual'!O152+parametros_recargas!$I$79*'Plan mensual'!O153+parametros_recargas!$J$79*'Plan mensual'!O154+parametros_recargas!$K$79*'Plan mensual'!O155+parametros_recargas!$L$79*'Plan mensual'!O156+parametros_recargas!$M$79*'Plan mensual'!O158</f>
        <v>872.917079607131</v>
      </c>
      <c r="N133" s="12" t="n">
        <f aca="false">SUM(B133:M133)</f>
        <v>8471.58791029467</v>
      </c>
      <c r="O133" s="27" t="n">
        <f aca="false">MAX(B133:M133)</f>
        <v>872.917079607131</v>
      </c>
      <c r="P133" s="16" t="n">
        <f aca="false">O133/parametros_recargas!$B$6</f>
        <v>5.81944719738087</v>
      </c>
    </row>
    <row r="134" customFormat="false" ht="15" hidden="false" customHeight="false" outlineLevel="0" collapsed="false">
      <c r="A134" s="6" t="str">
        <f aca="false">parametros_recargas!$B$80</f>
        <v>Descarga y carga de agua / AFFF / sales K</v>
      </c>
      <c r="B134" s="26" t="n">
        <f aca="false">parametros_recargas!$E$80*'Plan mensual'!D149+parametros_recargas!$F$80*'Plan mensual'!D150+parametros_recargas!$G$80*'Plan mensual'!D151+parametros_recargas!$H$80*'Plan mensual'!D152+parametros_recargas!$I$80*'Plan mensual'!D153+parametros_recargas!$J$80*'Plan mensual'!D154+parametros_recargas!$K$80*'Plan mensual'!D155+parametros_recargas!$L$80*'Plan mensual'!D156+parametros_recargas!$M$80*'Plan mensual'!D158</f>
        <v>361.251664983872</v>
      </c>
      <c r="C134" s="26" t="n">
        <f aca="false">parametros_recargas!$E$80*'Plan mensual'!E149+parametros_recargas!$F$80*'Plan mensual'!E150+parametros_recargas!$G$80*'Plan mensual'!E151+parametros_recargas!$H$80*'Plan mensual'!E152+parametros_recargas!$I$80*'Plan mensual'!E153+parametros_recargas!$J$80*'Plan mensual'!E154+parametros_recargas!$K$80*'Plan mensual'!E155+parametros_recargas!$L$80*'Plan mensual'!E156+parametros_recargas!$M$80*'Plan mensual'!E158</f>
        <v>361.251664983872</v>
      </c>
      <c r="D134" s="26" t="n">
        <f aca="false">parametros_recargas!$E$80*'Plan mensual'!F149+parametros_recargas!$F$80*'Plan mensual'!F150+parametros_recargas!$G$80*'Plan mensual'!F151+parametros_recargas!$H$80*'Plan mensual'!F152+parametros_recargas!$I$80*'Plan mensual'!F153+parametros_recargas!$J$80*'Plan mensual'!F154+parametros_recargas!$K$80*'Plan mensual'!F155+parametros_recargas!$L$80*'Plan mensual'!F156+parametros_recargas!$M$80*'Plan mensual'!F158</f>
        <v>409.047238527335</v>
      </c>
      <c r="E134" s="26" t="n">
        <f aca="false">parametros_recargas!$E$80*'Plan mensual'!G149+parametros_recargas!$F$80*'Plan mensual'!G150+parametros_recargas!$G$80*'Plan mensual'!G151+parametros_recargas!$H$80*'Plan mensual'!G152+parametros_recargas!$I$80*'Plan mensual'!G153+parametros_recargas!$J$80*'Plan mensual'!G154+parametros_recargas!$K$80*'Plan mensual'!G155+parametros_recargas!$L$80*'Plan mensual'!G156+parametros_recargas!$M$80*'Plan mensual'!G158</f>
        <v>455.246420283758</v>
      </c>
      <c r="F134" s="26" t="n">
        <f aca="false">parametros_recargas!$E$80*'Plan mensual'!H149+parametros_recargas!$F$80*'Plan mensual'!H150+parametros_recargas!$G$80*'Plan mensual'!H151+parametros_recargas!$H$80*'Plan mensual'!H152+parametros_recargas!$I$80*'Plan mensual'!H153+parametros_recargas!$J$80*'Plan mensual'!H154+parametros_recargas!$K$80*'Plan mensual'!H155+parametros_recargas!$L$80*'Plan mensual'!H156+parametros_recargas!$M$80*'Plan mensual'!H158</f>
        <v>459.015994444262</v>
      </c>
      <c r="G134" s="26" t="n">
        <f aca="false">parametros_recargas!$E$80*'Plan mensual'!I149+parametros_recargas!$F$80*'Plan mensual'!I150+parametros_recargas!$G$80*'Plan mensual'!I151+parametros_recargas!$H$80*'Plan mensual'!I152+parametros_recargas!$I$80*'Plan mensual'!I153+parametros_recargas!$J$80*'Plan mensual'!I154+parametros_recargas!$K$80*'Plan mensual'!I155+parametros_recargas!$L$80*'Plan mensual'!I156+parametros_recargas!$M$80*'Plan mensual'!I158</f>
        <v>450.806621651033</v>
      </c>
      <c r="H134" s="26" t="n">
        <f aca="false">parametros_recargas!$E$80*'Plan mensual'!J149+parametros_recargas!$F$80*'Plan mensual'!J150+parametros_recargas!$G$80*'Plan mensual'!J151+parametros_recargas!$H$80*'Plan mensual'!J152+parametros_recargas!$I$80*'Plan mensual'!J153+parametros_recargas!$J$80*'Plan mensual'!J154+parametros_recargas!$K$80*'Plan mensual'!J155+parametros_recargas!$L$80*'Plan mensual'!J156+parametros_recargas!$M$80*'Plan mensual'!J158</f>
        <v>394.82166257875</v>
      </c>
      <c r="I134" s="26" t="n">
        <f aca="false">parametros_recargas!$E$80*'Plan mensual'!K149+parametros_recargas!$F$80*'Plan mensual'!K150+parametros_recargas!$G$80*'Plan mensual'!K151+parametros_recargas!$H$80*'Plan mensual'!K152+parametros_recargas!$I$80*'Plan mensual'!K153+parametros_recargas!$J$80*'Plan mensual'!K154+parametros_recargas!$K$80*'Plan mensual'!K155+parametros_recargas!$L$80*'Plan mensual'!K156+parametros_recargas!$M$80*'Plan mensual'!K158</f>
        <v>398.571249474847</v>
      </c>
      <c r="J134" s="26" t="n">
        <f aca="false">parametros_recargas!$E$80*'Plan mensual'!L149+parametros_recargas!$F$80*'Plan mensual'!L150+parametros_recargas!$G$80*'Plan mensual'!L151+parametros_recargas!$H$80*'Plan mensual'!L152+parametros_recargas!$I$80*'Plan mensual'!L153+parametros_recargas!$J$80*'Plan mensual'!L154+parametros_recargas!$K$80*'Plan mensual'!L155+parametros_recargas!$L$80*'Plan mensual'!L156+parametros_recargas!$M$80*'Plan mensual'!L158</f>
        <v>406.39488916056</v>
      </c>
      <c r="K134" s="26" t="n">
        <f aca="false">parametros_recargas!$E$80*'Plan mensual'!M149+parametros_recargas!$F$80*'Plan mensual'!M150+parametros_recargas!$G$80*'Plan mensual'!M151+parametros_recargas!$H$80*'Plan mensual'!M152+parametros_recargas!$I$80*'Plan mensual'!M153+parametros_recargas!$J$80*'Plan mensual'!M154+parametros_recargas!$K$80*'Plan mensual'!M155+parametros_recargas!$L$80*'Plan mensual'!M156+parametros_recargas!$M$80*'Plan mensual'!M158</f>
        <v>406.39488916056</v>
      </c>
      <c r="L134" s="26" t="n">
        <f aca="false">parametros_recargas!$E$80*'Plan mensual'!N149+parametros_recargas!$F$80*'Plan mensual'!N150+parametros_recargas!$G$80*'Plan mensual'!N151+parametros_recargas!$H$80*'Plan mensual'!N152+parametros_recargas!$I$80*'Plan mensual'!N153+parametros_recargas!$J$80*'Plan mensual'!N154+parametros_recargas!$K$80*'Plan mensual'!N155+parametros_recargas!$L$80*'Plan mensual'!N156+parametros_recargas!$M$80*'Plan mensual'!N158</f>
        <v>402.625315000056</v>
      </c>
      <c r="M134" s="26" t="n">
        <f aca="false">parametros_recargas!$E$80*'Plan mensual'!O149+parametros_recargas!$F$80*'Plan mensual'!O150+parametros_recargas!$G$80*'Plan mensual'!O151+parametros_recargas!$H$80*'Plan mensual'!O152+parametros_recargas!$I$80*'Plan mensual'!O153+parametros_recargas!$J$80*'Plan mensual'!O154+parametros_recargas!$K$80*'Plan mensual'!O155+parametros_recargas!$L$80*'Plan mensual'!O156+parametros_recargas!$M$80*'Plan mensual'!O158</f>
        <v>410.834687793285</v>
      </c>
      <c r="N134" s="12" t="n">
        <f aca="false">SUM(B134:M134)</f>
        <v>4916.26229804219</v>
      </c>
      <c r="O134" s="27" t="n">
        <f aca="false">MAX(B134:M134)</f>
        <v>459.015994444262</v>
      </c>
      <c r="P134" s="16" t="n">
        <f aca="false">O134/parametros_recargas!$B$6</f>
        <v>3.06010662962841</v>
      </c>
    </row>
    <row r="135" customFormat="false" ht="15" hidden="false" customHeight="false" outlineLevel="0" collapsed="false">
      <c r="A135" s="6" t="str">
        <f aca="false">parametros_recargas!$B$81</f>
        <v>Recuperación y carga de CO₂</v>
      </c>
      <c r="B135" s="26" t="n">
        <f aca="false">parametros_recargas!$E$81*'Plan mensual'!D149+parametros_recargas!$F$81*'Plan mensual'!D150+parametros_recargas!$G$81*'Plan mensual'!D151+parametros_recargas!$H$81*'Plan mensual'!D152+parametros_recargas!$I$81*'Plan mensual'!D153+parametros_recargas!$J$81*'Plan mensual'!D154+parametros_recargas!$K$81*'Plan mensual'!D155+parametros_recargas!$L$81*'Plan mensual'!D156+parametros_recargas!$M$81*'Plan mensual'!D158</f>
        <v>321.643340315711</v>
      </c>
      <c r="C135" s="26" t="n">
        <f aca="false">parametros_recargas!$E$81*'Plan mensual'!E149+parametros_recargas!$F$81*'Plan mensual'!E150+parametros_recargas!$G$81*'Plan mensual'!E151+parametros_recargas!$H$81*'Plan mensual'!E152+parametros_recargas!$I$81*'Plan mensual'!E153+parametros_recargas!$J$81*'Plan mensual'!E154+parametros_recargas!$K$81*'Plan mensual'!E155+parametros_recargas!$L$81*'Plan mensual'!E156+parametros_recargas!$M$81*'Plan mensual'!E158</f>
        <v>321.643340315711</v>
      </c>
      <c r="D135" s="26" t="n">
        <f aca="false">parametros_recargas!$E$81*'Plan mensual'!F149+parametros_recargas!$F$81*'Plan mensual'!F150+parametros_recargas!$G$81*'Plan mensual'!F151+parametros_recargas!$H$81*'Plan mensual'!F152+parametros_recargas!$I$81*'Plan mensual'!F153+parametros_recargas!$J$81*'Plan mensual'!F154+parametros_recargas!$K$81*'Plan mensual'!F155+parametros_recargas!$L$81*'Plan mensual'!F156+parametros_recargas!$M$81*'Plan mensual'!F158</f>
        <v>407.67668693835</v>
      </c>
      <c r="E135" s="26" t="n">
        <f aca="false">parametros_recargas!$E$81*'Plan mensual'!G149+parametros_recargas!$F$81*'Plan mensual'!G150+parametros_recargas!$G$81*'Plan mensual'!G151+parametros_recargas!$H$81*'Plan mensual'!G152+parametros_recargas!$I$81*'Plan mensual'!G153+parametros_recargas!$J$81*'Plan mensual'!G154+parametros_recargas!$K$81*'Plan mensual'!G155+parametros_recargas!$L$81*'Plan mensual'!G156+parametros_recargas!$M$81*'Plan mensual'!G158</f>
        <v>492.034147337889</v>
      </c>
      <c r="F135" s="26" t="n">
        <f aca="false">parametros_recargas!$E$81*'Plan mensual'!H149+parametros_recargas!$F$81*'Plan mensual'!H150+parametros_recargas!$G$81*'Plan mensual'!H151+parametros_recargas!$H$81*'Plan mensual'!H152+parametros_recargas!$I$81*'Plan mensual'!H153+parametros_recargas!$J$81*'Plan mensual'!H154+parametros_recargas!$K$81*'Plan mensual'!H155+parametros_recargas!$L$81*'Plan mensual'!H156+parametros_recargas!$M$81*'Plan mensual'!H158</f>
        <v>495.40925161475</v>
      </c>
      <c r="G135" s="26" t="n">
        <f aca="false">parametros_recargas!$E$81*'Plan mensual'!I149+parametros_recargas!$F$81*'Plan mensual'!I150+parametros_recargas!$G$81*'Plan mensual'!I151+parametros_recargas!$H$81*'Plan mensual'!I152+parametros_recargas!$I$81*'Plan mensual'!I153+parametros_recargas!$J$81*'Plan mensual'!I154+parametros_recargas!$K$81*'Plan mensual'!I155+parametros_recargas!$L$81*'Plan mensual'!I156+parametros_recargas!$M$81*'Plan mensual'!I158</f>
        <v>485.403943150663</v>
      </c>
      <c r="H135" s="26" t="n">
        <f aca="false">parametros_recargas!$E$81*'Plan mensual'!J149+parametros_recargas!$F$81*'Plan mensual'!J150+parametros_recargas!$G$81*'Plan mensual'!J151+parametros_recargas!$H$81*'Plan mensual'!J152+parametros_recargas!$I$81*'Plan mensual'!J153+parametros_recargas!$J$81*'Plan mensual'!J154+parametros_recargas!$K$81*'Plan mensual'!J155+parametros_recargas!$L$81*'Plan mensual'!J156+parametros_recargas!$M$81*'Plan mensual'!J158</f>
        <v>392.356289942814</v>
      </c>
      <c r="I135" s="26" t="n">
        <f aca="false">parametros_recargas!$E$81*'Plan mensual'!K149+parametros_recargas!$F$81*'Plan mensual'!K150+parametros_recargas!$G$81*'Plan mensual'!K151+parametros_recargas!$H$81*'Plan mensual'!K152+parametros_recargas!$I$81*'Plan mensual'!K153+parametros_recargas!$J$81*'Plan mensual'!K154+parametros_recargas!$K$81*'Plan mensual'!K155+parametros_recargas!$L$81*'Plan mensual'!K156+parametros_recargas!$M$81*'Plan mensual'!K158</f>
        <v>392.740392340799</v>
      </c>
      <c r="J135" s="26" t="n">
        <f aca="false">parametros_recargas!$E$81*'Plan mensual'!L149+parametros_recargas!$F$81*'Plan mensual'!L150+parametros_recargas!$G$81*'Plan mensual'!L151+parametros_recargas!$H$81*'Plan mensual'!L152+parametros_recargas!$I$81*'Plan mensual'!L153+parametros_recargas!$J$81*'Plan mensual'!L154+parametros_recargas!$K$81*'Plan mensual'!L155+parametros_recargas!$L$81*'Plan mensual'!L156+parametros_recargas!$M$81*'Plan mensual'!L158</f>
        <v>401.639170329599</v>
      </c>
      <c r="K135" s="26" t="n">
        <f aca="false">parametros_recargas!$E$81*'Plan mensual'!M149+parametros_recargas!$F$81*'Plan mensual'!M150+parametros_recargas!$G$81*'Plan mensual'!M151+parametros_recargas!$H$81*'Plan mensual'!M152+parametros_recargas!$I$81*'Plan mensual'!M153+parametros_recargas!$J$81*'Plan mensual'!M154+parametros_recargas!$K$81*'Plan mensual'!M155+parametros_recargas!$L$81*'Plan mensual'!M156+parametros_recargas!$M$81*'Plan mensual'!M158</f>
        <v>401.639170329599</v>
      </c>
      <c r="L135" s="26" t="n">
        <f aca="false">parametros_recargas!$E$81*'Plan mensual'!N149+parametros_recargas!$F$81*'Plan mensual'!N150+parametros_recargas!$G$81*'Plan mensual'!N151+parametros_recargas!$H$81*'Plan mensual'!N152+parametros_recargas!$I$81*'Plan mensual'!N153+parametros_recargas!$J$81*'Plan mensual'!N154+parametros_recargas!$K$81*'Plan mensual'!N155+parametros_recargas!$L$81*'Plan mensual'!N156+parametros_recargas!$M$81*'Plan mensual'!N158</f>
        <v>398.264066052738</v>
      </c>
      <c r="M135" s="26" t="n">
        <f aca="false">parametros_recargas!$E$81*'Plan mensual'!O149+parametros_recargas!$F$81*'Plan mensual'!O150+parametros_recargas!$G$81*'Plan mensual'!O151+parametros_recargas!$H$81*'Plan mensual'!O152+parametros_recargas!$I$81*'Plan mensual'!O153+parametros_recargas!$J$81*'Plan mensual'!O154+parametros_recargas!$K$81*'Plan mensual'!O155+parametros_recargas!$L$81*'Plan mensual'!O156+parametros_recargas!$M$81*'Plan mensual'!O158</f>
        <v>408.269374516825</v>
      </c>
      <c r="N135" s="12" t="n">
        <f aca="false">SUM(B135:M135)</f>
        <v>4918.71917318545</v>
      </c>
      <c r="O135" s="27" t="n">
        <f aca="false">MAX(B135:M135)</f>
        <v>495.40925161475</v>
      </c>
      <c r="P135" s="16" t="n">
        <f aca="false">O135/parametros_recargas!$B$6</f>
        <v>3.30272834409833</v>
      </c>
    </row>
    <row r="136" customFormat="false" ht="15" hidden="false" customHeight="false" outlineLevel="0" collapsed="false">
      <c r="A136" s="6" t="str">
        <f aca="false">parametros_recargas!$B$82</f>
        <v>Recuperación y carga de halogenado</v>
      </c>
      <c r="B136" s="26" t="n">
        <f aca="false">parametros_recargas!$E$82*'Plan mensual'!D149+parametros_recargas!$F$82*'Plan mensual'!D150+parametros_recargas!$G$82*'Plan mensual'!D151+parametros_recargas!$H$82*'Plan mensual'!D152+parametros_recargas!$I$82*'Plan mensual'!D153+parametros_recargas!$J$82*'Plan mensual'!D154+parametros_recargas!$K$82*'Plan mensual'!D155+parametros_recargas!$L$82*'Plan mensual'!D156+parametros_recargas!$M$82*'Plan mensual'!D158</f>
        <v>10.0508310451079</v>
      </c>
      <c r="C136" s="26" t="n">
        <f aca="false">parametros_recargas!$E$82*'Plan mensual'!E149+parametros_recargas!$F$82*'Plan mensual'!E150+parametros_recargas!$G$82*'Plan mensual'!E151+parametros_recargas!$H$82*'Plan mensual'!E152+parametros_recargas!$I$82*'Plan mensual'!E153+parametros_recargas!$J$82*'Plan mensual'!E154+parametros_recargas!$K$82*'Plan mensual'!E155+parametros_recargas!$L$82*'Plan mensual'!E156+parametros_recargas!$M$82*'Plan mensual'!E158</f>
        <v>10.0508310451079</v>
      </c>
      <c r="D136" s="26" t="n">
        <f aca="false">parametros_recargas!$E$82*'Plan mensual'!F149+parametros_recargas!$F$82*'Plan mensual'!F150+parametros_recargas!$G$82*'Plan mensual'!F151+parametros_recargas!$H$82*'Plan mensual'!F152+parametros_recargas!$I$82*'Plan mensual'!F153+parametros_recargas!$J$82*'Plan mensual'!F154+parametros_recargas!$K$82*'Plan mensual'!F155+parametros_recargas!$L$82*'Plan mensual'!F156+parametros_recargas!$M$82*'Plan mensual'!F158</f>
        <v>9.40846401694197</v>
      </c>
      <c r="E136" s="26" t="n">
        <f aca="false">parametros_recargas!$E$82*'Plan mensual'!G149+parametros_recargas!$F$82*'Plan mensual'!G150+parametros_recargas!$G$82*'Plan mensual'!G151+parametros_recargas!$H$82*'Plan mensual'!G152+parametros_recargas!$I$82*'Plan mensual'!G153+parametros_recargas!$J$82*'Plan mensual'!G154+parametros_recargas!$K$82*'Plan mensual'!G155+parametros_recargas!$L$82*'Plan mensual'!G156+parametros_recargas!$M$82*'Plan mensual'!G158</f>
        <v>9.40846401694197</v>
      </c>
      <c r="F136" s="26" t="n">
        <f aca="false">parametros_recargas!$E$82*'Plan mensual'!H149+parametros_recargas!$F$82*'Plan mensual'!H150+parametros_recargas!$G$82*'Plan mensual'!H151+parametros_recargas!$H$82*'Plan mensual'!H152+parametros_recargas!$I$82*'Plan mensual'!H153+parametros_recargas!$J$82*'Plan mensual'!H154+parametros_recargas!$K$82*'Plan mensual'!H155+parametros_recargas!$L$82*'Plan mensual'!H156+parametros_recargas!$M$82*'Plan mensual'!H158</f>
        <v>9.40846401694197</v>
      </c>
      <c r="G136" s="26" t="n">
        <f aca="false">parametros_recargas!$E$82*'Plan mensual'!I149+parametros_recargas!$F$82*'Plan mensual'!I150+parametros_recargas!$G$82*'Plan mensual'!I151+parametros_recargas!$H$82*'Plan mensual'!I152+parametros_recargas!$I$82*'Plan mensual'!I153+parametros_recargas!$J$82*'Plan mensual'!I154+parametros_recargas!$K$82*'Plan mensual'!I155+parametros_recargas!$L$82*'Plan mensual'!I156+parametros_recargas!$M$82*'Plan mensual'!I158</f>
        <v>8.76609698877606</v>
      </c>
      <c r="H136" s="26" t="n">
        <f aca="false">parametros_recargas!$E$82*'Plan mensual'!J149+parametros_recargas!$F$82*'Plan mensual'!J150+parametros_recargas!$G$82*'Plan mensual'!J151+parametros_recargas!$H$82*'Plan mensual'!J152+parametros_recargas!$I$82*'Plan mensual'!J153+parametros_recargas!$J$82*'Plan mensual'!J154+parametros_recargas!$K$82*'Plan mensual'!J155+parametros_recargas!$L$82*'Plan mensual'!J156+parametros_recargas!$M$82*'Plan mensual'!J158</f>
        <v>8.76609698877606</v>
      </c>
      <c r="I136" s="26" t="n">
        <f aca="false">parametros_recargas!$E$82*'Plan mensual'!K149+parametros_recargas!$F$82*'Plan mensual'!K150+parametros_recargas!$G$82*'Plan mensual'!K151+parametros_recargas!$H$82*'Plan mensual'!K152+parametros_recargas!$I$82*'Plan mensual'!K153+parametros_recargas!$J$82*'Plan mensual'!K154+parametros_recargas!$K$82*'Plan mensual'!K155+parametros_recargas!$L$82*'Plan mensual'!K156+parametros_recargas!$M$82*'Plan mensual'!K158</f>
        <v>8.76609698877606</v>
      </c>
      <c r="J136" s="26" t="n">
        <f aca="false">parametros_recargas!$E$82*'Plan mensual'!L149+parametros_recargas!$F$82*'Plan mensual'!L150+parametros_recargas!$G$82*'Plan mensual'!L151+parametros_recargas!$H$82*'Plan mensual'!L152+parametros_recargas!$I$82*'Plan mensual'!L153+parametros_recargas!$J$82*'Plan mensual'!L154+parametros_recargas!$K$82*'Plan mensual'!L155+parametros_recargas!$L$82*'Plan mensual'!L156+parametros_recargas!$M$82*'Plan mensual'!L158</f>
        <v>9.40846401694197</v>
      </c>
      <c r="K136" s="26" t="n">
        <f aca="false">parametros_recargas!$E$82*'Plan mensual'!M149+parametros_recargas!$F$82*'Plan mensual'!M150+parametros_recargas!$G$82*'Plan mensual'!M151+parametros_recargas!$H$82*'Plan mensual'!M152+parametros_recargas!$I$82*'Plan mensual'!M153+parametros_recargas!$J$82*'Plan mensual'!M154+parametros_recargas!$K$82*'Plan mensual'!M155+parametros_recargas!$L$82*'Plan mensual'!M156+parametros_recargas!$M$82*'Plan mensual'!M158</f>
        <v>9.40846401694197</v>
      </c>
      <c r="L136" s="26" t="n">
        <f aca="false">parametros_recargas!$E$82*'Plan mensual'!N149+parametros_recargas!$F$82*'Plan mensual'!N150+parametros_recargas!$G$82*'Plan mensual'!N151+parametros_recargas!$H$82*'Plan mensual'!N152+parametros_recargas!$I$82*'Plan mensual'!N153+parametros_recargas!$J$82*'Plan mensual'!N154+parametros_recargas!$K$82*'Plan mensual'!N155+parametros_recargas!$L$82*'Plan mensual'!N156+parametros_recargas!$M$82*'Plan mensual'!N158</f>
        <v>9.40846401694197</v>
      </c>
      <c r="M136" s="26" t="n">
        <f aca="false">parametros_recargas!$E$82*'Plan mensual'!O149+parametros_recargas!$F$82*'Plan mensual'!O150+parametros_recargas!$G$82*'Plan mensual'!O151+parametros_recargas!$H$82*'Plan mensual'!O152+parametros_recargas!$I$82*'Plan mensual'!O153+parametros_recargas!$J$82*'Plan mensual'!O154+parametros_recargas!$K$82*'Plan mensual'!O155+parametros_recargas!$L$82*'Plan mensual'!O156+parametros_recargas!$M$82*'Plan mensual'!O158</f>
        <v>10.0508310451079</v>
      </c>
      <c r="N136" s="12" t="n">
        <f aca="false">SUM(B136:M136)</f>
        <v>112.901568203304</v>
      </c>
      <c r="O136" s="27" t="n">
        <f aca="false">MAX(B136:M136)</f>
        <v>10.0508310451079</v>
      </c>
      <c r="P136" s="16" t="n">
        <f aca="false">O136/parametros_recargas!$B$6</f>
        <v>0.0670055403007193</v>
      </c>
    </row>
    <row r="137" customFormat="false" ht="15" hidden="false" customHeight="false" outlineLevel="0" collapsed="false">
      <c r="A137" s="6" t="str">
        <f aca="false">parametros_recargas!$B$83</f>
        <v>Desarme y limpieza — recinto</v>
      </c>
      <c r="B137" s="26" t="n">
        <f aca="false">parametros_recargas!$E$83*'Plan mensual'!D149+parametros_recargas!$F$83*'Plan mensual'!D150+parametros_recargas!$G$83*'Plan mensual'!D151+parametros_recargas!$H$83*'Plan mensual'!D152+parametros_recargas!$I$83*'Plan mensual'!D153+parametros_recargas!$J$83*'Plan mensual'!D154+parametros_recargas!$K$83*'Plan mensual'!D155+parametros_recargas!$L$83*'Plan mensual'!D156+parametros_recargas!$M$83*'Plan mensual'!D158</f>
        <v>8320.45065204992</v>
      </c>
      <c r="C137" s="26" t="n">
        <f aca="false">parametros_recargas!$E$83*'Plan mensual'!E149+parametros_recargas!$F$83*'Plan mensual'!E150+parametros_recargas!$G$83*'Plan mensual'!E151+parametros_recargas!$H$83*'Plan mensual'!E152+parametros_recargas!$I$83*'Plan mensual'!E153+parametros_recargas!$J$83*'Plan mensual'!E154+parametros_recargas!$K$83*'Plan mensual'!E155+parametros_recargas!$L$83*'Plan mensual'!E156+parametros_recargas!$M$83*'Plan mensual'!E158</f>
        <v>7135.87816090037</v>
      </c>
      <c r="D137" s="26" t="n">
        <f aca="false">parametros_recargas!$E$83*'Plan mensual'!F149+parametros_recargas!$F$83*'Plan mensual'!F150+parametros_recargas!$G$83*'Plan mensual'!F151+parametros_recargas!$H$83*'Plan mensual'!F152+parametros_recargas!$I$83*'Plan mensual'!F153+parametros_recargas!$J$83*'Plan mensual'!F154+parametros_recargas!$K$83*'Plan mensual'!F155+parametros_recargas!$L$83*'Plan mensual'!F156+parametros_recargas!$M$83*'Plan mensual'!F158</f>
        <v>6630.14545743034</v>
      </c>
      <c r="E137" s="26" t="n">
        <f aca="false">parametros_recargas!$E$83*'Plan mensual'!G149+parametros_recargas!$F$83*'Plan mensual'!G150+parametros_recargas!$G$83*'Plan mensual'!G151+parametros_recargas!$H$83*'Plan mensual'!G152+parametros_recargas!$I$83*'Plan mensual'!G153+parametros_recargas!$J$83*'Plan mensual'!G154+parametros_recargas!$K$83*'Plan mensual'!G155+parametros_recargas!$L$83*'Plan mensual'!G156+parametros_recargas!$M$83*'Plan mensual'!G158</f>
        <v>7275.80343334402</v>
      </c>
      <c r="F137" s="26" t="n">
        <f aca="false">parametros_recargas!$E$83*'Plan mensual'!H149+parametros_recargas!$F$83*'Plan mensual'!H150+parametros_recargas!$G$83*'Plan mensual'!H151+parametros_recargas!$H$83*'Plan mensual'!H152+parametros_recargas!$I$83*'Plan mensual'!H153+parametros_recargas!$J$83*'Plan mensual'!H154+parametros_recargas!$K$83*'Plan mensual'!H155+parametros_recargas!$L$83*'Plan mensual'!H156+parametros_recargas!$M$83*'Plan mensual'!H158</f>
        <v>7326.98956989029</v>
      </c>
      <c r="G137" s="26" t="n">
        <f aca="false">parametros_recargas!$E$83*'Plan mensual'!I149+parametros_recargas!$F$83*'Plan mensual'!I150+parametros_recargas!$G$83*'Plan mensual'!I151+parametros_recargas!$H$83*'Plan mensual'!I152+parametros_recargas!$I$83*'Plan mensual'!I153+parametros_recargas!$J$83*'Plan mensual'!I154+parametros_recargas!$K$83*'Plan mensual'!I155+parametros_recargas!$L$83*'Plan mensual'!I156+parametros_recargas!$M$83*'Plan mensual'!I158</f>
        <v>7257.94024858214</v>
      </c>
      <c r="H137" s="26" t="n">
        <f aca="false">parametros_recargas!$E$83*'Plan mensual'!J149+parametros_recargas!$F$83*'Plan mensual'!J150+parametros_recargas!$G$83*'Plan mensual'!J151+parametros_recargas!$H$83*'Plan mensual'!J152+parametros_recargas!$I$83*'Plan mensual'!J153+parametros_recargas!$J$83*'Plan mensual'!J154+parametros_recargas!$K$83*'Plan mensual'!J155+parametros_recargas!$L$83*'Plan mensual'!J156+parametros_recargas!$M$83*'Plan mensual'!J158</f>
        <v>6501.30019919614</v>
      </c>
      <c r="I137" s="26" t="n">
        <f aca="false">parametros_recargas!$E$83*'Plan mensual'!K149+parametros_recargas!$F$83*'Plan mensual'!K150+parametros_recargas!$G$83*'Plan mensual'!K151+parametros_recargas!$H$83*'Plan mensual'!K152+parametros_recargas!$I$83*'Plan mensual'!K153+parametros_recargas!$J$83*'Plan mensual'!K154+parametros_recargas!$K$83*'Plan mensual'!K155+parametros_recargas!$L$83*'Plan mensual'!K156+parametros_recargas!$M$83*'Plan mensual'!K158</f>
        <v>6561.23727614073</v>
      </c>
      <c r="J137" s="26" t="n">
        <f aca="false">parametros_recargas!$E$83*'Plan mensual'!L149+parametros_recargas!$F$83*'Plan mensual'!L150+parametros_recargas!$G$83*'Plan mensual'!L151+parametros_recargas!$H$83*'Plan mensual'!L152+parametros_recargas!$I$83*'Plan mensual'!L153+parametros_recargas!$J$83*'Plan mensual'!L154+parametros_recargas!$K$83*'Plan mensual'!L155+parametros_recargas!$L$83*'Plan mensual'!L156+parametros_recargas!$M$83*'Plan mensual'!L158</f>
        <v>6621.83024850684</v>
      </c>
      <c r="K137" s="26" t="n">
        <f aca="false">parametros_recargas!$E$83*'Plan mensual'!M149+parametros_recargas!$F$83*'Plan mensual'!M150+parametros_recargas!$G$83*'Plan mensual'!M151+parametros_recargas!$H$83*'Plan mensual'!M152+parametros_recargas!$I$83*'Plan mensual'!M153+parametros_recargas!$J$83*'Plan mensual'!M154+parametros_recargas!$K$83*'Plan mensual'!M155+parametros_recargas!$L$83*'Plan mensual'!M156+parametros_recargas!$M$83*'Plan mensual'!M158</f>
        <v>6621.83024850684</v>
      </c>
      <c r="L137" s="26" t="n">
        <f aca="false">parametros_recargas!$E$83*'Plan mensual'!N149+parametros_recargas!$F$83*'Plan mensual'!N150+parametros_recargas!$G$83*'Plan mensual'!N151+parametros_recargas!$H$83*'Plan mensual'!N152+parametros_recargas!$I$83*'Plan mensual'!N153+parametros_recargas!$J$83*'Plan mensual'!N154+parametros_recargas!$K$83*'Plan mensual'!N155+parametros_recargas!$L$83*'Plan mensual'!N156+parametros_recargas!$M$83*'Plan mensual'!N158</f>
        <v>7755.21660311012</v>
      </c>
      <c r="M137" s="26" t="n">
        <f aca="false">parametros_recargas!$E$83*'Plan mensual'!O149+parametros_recargas!$F$83*'Plan mensual'!O150+parametros_recargas!$G$83*'Plan mensual'!O151+parametros_recargas!$H$83*'Plan mensual'!O152+parametros_recargas!$I$83*'Plan mensual'!O153+parametros_recargas!$J$83*'Plan mensual'!O154+parametros_recargas!$K$83*'Plan mensual'!O155+parametros_recargas!$L$83*'Plan mensual'!O156+parametros_recargas!$M$83*'Plan mensual'!O158</f>
        <v>9008.83841556783</v>
      </c>
      <c r="N137" s="12" t="n">
        <f aca="false">SUM(B137:M137)</f>
        <v>87017.4605132256</v>
      </c>
      <c r="O137" s="27" t="n">
        <f aca="false">MAX(B137:M137)</f>
        <v>9008.83841556783</v>
      </c>
      <c r="P137" s="16" t="n">
        <f aca="false">O137/parametros_recargas!$B$6</f>
        <v>60.0589227704522</v>
      </c>
    </row>
    <row r="138" customFormat="false" ht="15" hidden="false" customHeight="false" outlineLevel="0" collapsed="false">
      <c r="A138" s="6" t="str">
        <f aca="false">parametros_recargas!$B$84</f>
        <v>Desarme e inspección interior — zona general</v>
      </c>
      <c r="B138" s="26" t="n">
        <f aca="false">parametros_recargas!$E$84*'Plan mensual'!D149+parametros_recargas!$F$84*'Plan mensual'!D150+parametros_recargas!$G$84*'Plan mensual'!D151+parametros_recargas!$H$84*'Plan mensual'!D152+parametros_recargas!$I$84*'Plan mensual'!D153+parametros_recargas!$J$84*'Plan mensual'!D154+parametros_recargas!$K$84*'Plan mensual'!D155+parametros_recargas!$L$84*'Plan mensual'!D156+parametros_recargas!$M$84*'Plan mensual'!D158</f>
        <v>549.479456349851</v>
      </c>
      <c r="C138" s="26" t="n">
        <f aca="false">parametros_recargas!$E$84*'Plan mensual'!E149+parametros_recargas!$F$84*'Plan mensual'!E150+parametros_recargas!$G$84*'Plan mensual'!E151+parametros_recargas!$H$84*'Plan mensual'!E152+parametros_recargas!$I$84*'Plan mensual'!E153+parametros_recargas!$J$84*'Plan mensual'!E154+parametros_recargas!$K$84*'Plan mensual'!E155+parametros_recargas!$L$84*'Plan mensual'!E156+parametros_recargas!$M$84*'Plan mensual'!E158</f>
        <v>549.479456349851</v>
      </c>
      <c r="D138" s="26" t="n">
        <f aca="false">parametros_recargas!$E$84*'Plan mensual'!F149+parametros_recargas!$F$84*'Plan mensual'!F150+parametros_recargas!$G$84*'Plan mensual'!F151+parametros_recargas!$H$84*'Plan mensual'!F152+parametros_recargas!$I$84*'Plan mensual'!F153+parametros_recargas!$J$84*'Plan mensual'!F154+parametros_recargas!$K$84*'Plan mensual'!F155+parametros_recargas!$L$84*'Plan mensual'!F156+parametros_recargas!$M$84*'Plan mensual'!F158</f>
        <v>641.721421819874</v>
      </c>
      <c r="E138" s="26" t="n">
        <f aca="false">parametros_recargas!$E$84*'Plan mensual'!G149+parametros_recargas!$F$84*'Plan mensual'!G150+parametros_recargas!$G$84*'Plan mensual'!G151+parametros_recargas!$H$84*'Plan mensual'!G152+parametros_recargas!$I$84*'Plan mensual'!G153+parametros_recargas!$J$84*'Plan mensual'!G154+parametros_recargas!$K$84*'Plan mensual'!G155+parametros_recargas!$L$84*'Plan mensual'!G156+parametros_recargas!$M$84*'Plan mensual'!G158</f>
        <v>732.096037387883</v>
      </c>
      <c r="F138" s="26" t="n">
        <f aca="false">parametros_recargas!$E$84*'Plan mensual'!H149+parametros_recargas!$F$84*'Plan mensual'!H150+parametros_recargas!$G$84*'Plan mensual'!H151+parametros_recargas!$H$84*'Plan mensual'!H152+parametros_recargas!$I$84*'Plan mensual'!H153+parametros_recargas!$J$84*'Plan mensual'!H154+parametros_recargas!$K$84*'Plan mensual'!H155+parametros_recargas!$L$84*'Plan mensual'!H156+parametros_recargas!$M$84*'Plan mensual'!H158</f>
        <v>737.734164882118</v>
      </c>
      <c r="G138" s="26" t="n">
        <f aca="false">parametros_recargas!$E$84*'Plan mensual'!I149+parametros_recargas!$F$84*'Plan mensual'!I150+parametros_recargas!$G$84*'Plan mensual'!I151+parametros_recargas!$H$84*'Plan mensual'!I152+parametros_recargas!$I$84*'Plan mensual'!I153+parametros_recargas!$J$84*'Plan mensual'!I154+parametros_recargas!$K$84*'Plan mensual'!I155+parametros_recargas!$L$84*'Plan mensual'!I156+parametros_recargas!$M$84*'Plan mensual'!I158</f>
        <v>723.499272331375</v>
      </c>
      <c r="H138" s="26" t="n">
        <f aca="false">parametros_recargas!$E$84*'Plan mensual'!J149+parametros_recargas!$F$84*'Plan mensual'!J150+parametros_recargas!$G$84*'Plan mensual'!J151+parametros_recargas!$H$84*'Plan mensual'!J152+parametros_recargas!$I$84*'Plan mensual'!J153+parametros_recargas!$J$84*'Plan mensual'!J154+parametros_recargas!$K$84*'Plan mensual'!J155+parametros_recargas!$L$84*'Plan mensual'!J156+parametros_recargas!$M$84*'Plan mensual'!J158</f>
        <v>618.52353694028</v>
      </c>
      <c r="I138" s="26" t="n">
        <f aca="false">parametros_recargas!$E$84*'Plan mensual'!K149+parametros_recargas!$F$84*'Plan mensual'!K150+parametros_recargas!$G$84*'Plan mensual'!K151+parametros_recargas!$H$84*'Plan mensual'!K152+parametros_recargas!$I$84*'Plan mensual'!K153+parametros_recargas!$J$84*'Plan mensual'!K154+parametros_recargas!$K$84*'Plan mensual'!K155+parametros_recargas!$L$84*'Plan mensual'!K156+parametros_recargas!$M$84*'Plan mensual'!K158</f>
        <v>622.660541804843</v>
      </c>
      <c r="J138" s="26" t="n">
        <f aca="false">parametros_recargas!$E$84*'Plan mensual'!L149+parametros_recargas!$F$84*'Plan mensual'!L150+parametros_recargas!$G$84*'Plan mensual'!L151+parametros_recargas!$H$84*'Plan mensual'!L152+parametros_recargas!$I$84*'Plan mensual'!L153+parametros_recargas!$J$84*'Plan mensual'!L154+parametros_recargas!$K$84*'Plan mensual'!L155+parametros_recargas!$L$84*'Plan mensual'!L156+parametros_recargas!$M$84*'Plan mensual'!L158</f>
        <v>635.941838033264</v>
      </c>
      <c r="K138" s="26" t="n">
        <f aca="false">parametros_recargas!$E$84*'Plan mensual'!M149+parametros_recargas!$F$84*'Plan mensual'!M150+parametros_recargas!$G$84*'Plan mensual'!M151+parametros_recargas!$H$84*'Plan mensual'!M152+parametros_recargas!$I$84*'Plan mensual'!M153+parametros_recargas!$J$84*'Plan mensual'!M154+parametros_recargas!$K$84*'Plan mensual'!M155+parametros_recargas!$L$84*'Plan mensual'!M156+parametros_recargas!$M$84*'Plan mensual'!M158</f>
        <v>635.941838033264</v>
      </c>
      <c r="L138" s="26" t="n">
        <f aca="false">parametros_recargas!$E$84*'Plan mensual'!N149+parametros_recargas!$F$84*'Plan mensual'!N150+parametros_recargas!$G$84*'Plan mensual'!N151+parametros_recargas!$H$84*'Plan mensual'!N152+parametros_recargas!$I$84*'Plan mensual'!N153+parametros_recargas!$J$84*'Plan mensual'!N154+parametros_recargas!$K$84*'Plan mensual'!N155+parametros_recargas!$L$84*'Plan mensual'!N156+parametros_recargas!$M$84*'Plan mensual'!N158</f>
        <v>630.303710539029</v>
      </c>
      <c r="M138" s="26" t="n">
        <f aca="false">parametros_recargas!$E$84*'Plan mensual'!O149+parametros_recargas!$F$84*'Plan mensual'!O150+parametros_recargas!$G$84*'Plan mensual'!O151+parametros_recargas!$H$84*'Plan mensual'!O152+parametros_recargas!$I$84*'Plan mensual'!O153+parametros_recargas!$J$84*'Plan mensual'!O154+parametros_recargas!$K$84*'Plan mensual'!O155+parametros_recargas!$L$84*'Plan mensual'!O156+parametros_recargas!$M$84*'Plan mensual'!O158</f>
        <v>644.538603089772</v>
      </c>
      <c r="N138" s="12" t="n">
        <f aca="false">SUM(B138:M138)</f>
        <v>7721.9198775614</v>
      </c>
      <c r="O138" s="27" t="n">
        <f aca="false">MAX(B138:M138)</f>
        <v>737.734164882118</v>
      </c>
      <c r="P138" s="16" t="n">
        <f aca="false">O138/parametros_recargas!$B$6</f>
        <v>4.91822776588079</v>
      </c>
    </row>
    <row r="139" customFormat="false" ht="15" hidden="false" customHeight="false" outlineLevel="0" collapsed="false">
      <c r="A139" s="6" t="str">
        <f aca="false">parametros_recargas!$B$85</f>
        <v>Laboratorio — Puffer y mufla</v>
      </c>
      <c r="B139" s="26" t="n">
        <f aca="false">parametros_recargas!$E$85*'Plan mensual'!D149+parametros_recargas!$F$85*'Plan mensual'!D150+parametros_recargas!$G$85*'Plan mensual'!D151+parametros_recargas!$H$85*'Plan mensual'!D152+parametros_recargas!$I$85*'Plan mensual'!D153+parametros_recargas!$J$85*'Plan mensual'!D154+parametros_recargas!$K$85*'Plan mensual'!D155+parametros_recargas!$L$85*'Plan mensual'!D156+parametros_recargas!$M$85*'Plan mensual'!D158</f>
        <v>86.3813377612604</v>
      </c>
      <c r="C139" s="26" t="n">
        <f aca="false">parametros_recargas!$E$85*'Plan mensual'!E149+parametros_recargas!$F$85*'Plan mensual'!E150+parametros_recargas!$G$85*'Plan mensual'!E151+parametros_recargas!$H$85*'Plan mensual'!E152+parametros_recargas!$I$85*'Plan mensual'!E153+parametros_recargas!$J$85*'Plan mensual'!E154+parametros_recargas!$K$85*'Plan mensual'!E155+parametros_recargas!$L$85*'Plan mensual'!E156+parametros_recargas!$M$85*'Plan mensual'!E158</f>
        <v>74.0537382932152</v>
      </c>
      <c r="D139" s="26" t="n">
        <f aca="false">parametros_recargas!$E$85*'Plan mensual'!F149+parametros_recargas!$F$85*'Plan mensual'!F150+parametros_recargas!$G$85*'Plan mensual'!F151+parametros_recargas!$H$85*'Plan mensual'!F152+parametros_recargas!$I$85*'Plan mensual'!F153+parametros_recargas!$J$85*'Plan mensual'!F154+parametros_recargas!$K$85*'Plan mensual'!F155+parametros_recargas!$L$85*'Plan mensual'!F156+parametros_recargas!$M$85*'Plan mensual'!F158</f>
        <v>68.7906832646285</v>
      </c>
      <c r="E139" s="26" t="n">
        <f aca="false">parametros_recargas!$E$85*'Plan mensual'!G149+parametros_recargas!$F$85*'Plan mensual'!G150+parametros_recargas!$G$85*'Plan mensual'!G151+parametros_recargas!$H$85*'Plan mensual'!G152+parametros_recargas!$I$85*'Plan mensual'!G153+parametros_recargas!$J$85*'Plan mensual'!G154+parametros_recargas!$K$85*'Plan mensual'!G155+parametros_recargas!$L$85*'Plan mensual'!G156+parametros_recargas!$M$85*'Plan mensual'!G158</f>
        <v>75.5099114924328</v>
      </c>
      <c r="F139" s="26" t="n">
        <f aca="false">parametros_recargas!$E$85*'Plan mensual'!H149+parametros_recargas!$F$85*'Plan mensual'!H150+parametros_recargas!$G$85*'Plan mensual'!H151+parametros_recargas!$H$85*'Plan mensual'!H152+parametros_recargas!$I$85*'Plan mensual'!H153+parametros_recargas!$J$85*'Plan mensual'!H154+parametros_recargas!$K$85*'Plan mensual'!H155+parametros_recargas!$L$85*'Plan mensual'!H156+parametros_recargas!$M$85*'Plan mensual'!H158</f>
        <v>76.042594966322</v>
      </c>
      <c r="G139" s="26" t="n">
        <f aca="false">parametros_recargas!$E$85*'Plan mensual'!I149+parametros_recargas!$F$85*'Plan mensual'!I150+parametros_recargas!$G$85*'Plan mensual'!I151+parametros_recargas!$H$85*'Plan mensual'!I152+parametros_recargas!$I$85*'Plan mensual'!I153+parametros_recargas!$J$85*'Plan mensual'!I154+parametros_recargas!$K$85*'Plan mensual'!I155+parametros_recargas!$L$85*'Plan mensual'!I156+parametros_recargas!$M$85*'Plan mensual'!I158</f>
        <v>75.3240130450069</v>
      </c>
      <c r="H139" s="26" t="n">
        <f aca="false">parametros_recargas!$E$85*'Plan mensual'!J149+parametros_recargas!$F$85*'Plan mensual'!J150+parametros_recargas!$G$85*'Plan mensual'!J151+parametros_recargas!$H$85*'Plan mensual'!J152+parametros_recargas!$I$85*'Plan mensual'!J153+parametros_recargas!$J$85*'Plan mensual'!J154+parametros_recargas!$K$85*'Plan mensual'!J155+parametros_recargas!$L$85*'Plan mensual'!J156+parametros_recargas!$M$85*'Plan mensual'!J158</f>
        <v>67.4498174681193</v>
      </c>
      <c r="I139" s="26" t="n">
        <f aca="false">parametros_recargas!$E$85*'Plan mensual'!K149+parametros_recargas!$F$85*'Plan mensual'!K150+parametros_recargas!$G$85*'Plan mensual'!K151+parametros_recargas!$H$85*'Plan mensual'!K152+parametros_recargas!$I$85*'Plan mensual'!K153+parametros_recargas!$J$85*'Plan mensual'!K154+parametros_recargas!$K$85*'Plan mensual'!K155+parametros_recargas!$L$85*'Plan mensual'!K156+parametros_recargas!$M$85*'Plan mensual'!K158</f>
        <v>68.0735701581225</v>
      </c>
      <c r="J139" s="26" t="n">
        <f aca="false">parametros_recargas!$E$85*'Plan mensual'!L149+parametros_recargas!$F$85*'Plan mensual'!L150+parametros_recargas!$G$85*'Plan mensual'!L151+parametros_recargas!$H$85*'Plan mensual'!L152+parametros_recargas!$I$85*'Plan mensual'!L153+parametros_recargas!$J$85*'Plan mensual'!L154+parametros_recargas!$K$85*'Plan mensual'!L155+parametros_recargas!$L$85*'Plan mensual'!L156+parametros_recargas!$M$85*'Plan mensual'!L158</f>
        <v>68.70414861532</v>
      </c>
      <c r="K139" s="26" t="n">
        <f aca="false">parametros_recargas!$E$85*'Plan mensual'!M149+parametros_recargas!$F$85*'Plan mensual'!M150+parametros_recargas!$G$85*'Plan mensual'!M151+parametros_recargas!$H$85*'Plan mensual'!M152+parametros_recargas!$I$85*'Plan mensual'!M153+parametros_recargas!$J$85*'Plan mensual'!M154+parametros_recargas!$K$85*'Plan mensual'!M155+parametros_recargas!$L$85*'Plan mensual'!M156+parametros_recargas!$M$85*'Plan mensual'!M158</f>
        <v>68.70414861532</v>
      </c>
      <c r="L139" s="26" t="n">
        <f aca="false">parametros_recargas!$E$85*'Plan mensual'!N149+parametros_recargas!$F$85*'Plan mensual'!N150+parametros_recargas!$G$85*'Plan mensual'!N151+parametros_recargas!$H$85*'Plan mensual'!N152+parametros_recargas!$I$85*'Plan mensual'!N153+parametros_recargas!$J$85*'Plan mensual'!N154+parametros_recargas!$K$85*'Plan mensual'!N155+parametros_recargas!$L$85*'Plan mensual'!N156+parametros_recargas!$M$85*'Plan mensual'!N158</f>
        <v>80.499064609476</v>
      </c>
      <c r="M139" s="26" t="n">
        <f aca="false">parametros_recargas!$E$85*'Plan mensual'!O149+parametros_recargas!$F$85*'Plan mensual'!O150+parametros_recargas!$G$85*'Plan mensual'!O151+parametros_recargas!$H$85*'Plan mensual'!O152+parametros_recargas!$I$85*'Plan mensual'!O153+parametros_recargas!$J$85*'Plan mensual'!O154+parametros_recargas!$K$85*'Plan mensual'!O155+parametros_recargas!$L$85*'Plan mensual'!O156+parametros_recargas!$M$85*'Plan mensual'!O158</f>
        <v>93.5452459988363</v>
      </c>
      <c r="N139" s="12" t="n">
        <f aca="false">SUM(B139:M139)</f>
        <v>903.07827428806</v>
      </c>
      <c r="O139" s="27" t="n">
        <f aca="false">MAX(B139:M139)</f>
        <v>93.5452459988363</v>
      </c>
      <c r="P139" s="16" t="n">
        <f aca="false">O139/parametros_recargas!$B$6</f>
        <v>0.623634973325575</v>
      </c>
    </row>
    <row r="140" customFormat="false" ht="15" hidden="false" customHeight="false" outlineLevel="0" collapsed="false">
      <c r="A140" s="6" t="str">
        <f aca="false">parametros_recargas!$B$86</f>
        <v>Prueba hidráulica</v>
      </c>
      <c r="B140" s="26" t="n">
        <f aca="false">parametros_recargas!$E$86*'Plan mensual'!D149+parametros_recargas!$F$86*'Plan mensual'!D150+parametros_recargas!$G$86*'Plan mensual'!D151+parametros_recargas!$H$86*'Plan mensual'!D152+parametros_recargas!$I$86*'Plan mensual'!D153+parametros_recargas!$J$86*'Plan mensual'!D154+parametros_recargas!$K$86*'Plan mensual'!D155+parametros_recargas!$L$86*'Plan mensual'!D156+parametros_recargas!$M$86*'Plan mensual'!D158</f>
        <v>2429.07395782101</v>
      </c>
      <c r="C140" s="26" t="n">
        <f aca="false">parametros_recargas!$E$86*'Plan mensual'!E149+parametros_recargas!$F$86*'Plan mensual'!E150+parametros_recargas!$G$86*'Plan mensual'!E151+parametros_recargas!$H$86*'Plan mensual'!E152+parametros_recargas!$I$86*'Plan mensual'!E153+parametros_recargas!$J$86*'Plan mensual'!E154+parametros_recargas!$K$86*'Plan mensual'!E155+parametros_recargas!$L$86*'Plan mensual'!E156+parametros_recargas!$M$86*'Plan mensual'!E158</f>
        <v>2132.93083503362</v>
      </c>
      <c r="D140" s="26" t="n">
        <f aca="false">parametros_recargas!$E$86*'Plan mensual'!F149+parametros_recargas!$F$86*'Plan mensual'!F150+parametros_recargas!$G$86*'Plan mensual'!F151+parametros_recargas!$H$86*'Plan mensual'!F152+parametros_recargas!$I$86*'Plan mensual'!F153+parametros_recargas!$J$86*'Plan mensual'!F154+parametros_recargas!$K$86*'Plan mensual'!F155+parametros_recargas!$L$86*'Plan mensual'!F156+parametros_recargas!$M$86*'Plan mensual'!F158</f>
        <v>2069.18761581009</v>
      </c>
      <c r="E140" s="26" t="n">
        <f aca="false">parametros_recargas!$E$86*'Plan mensual'!G149+parametros_recargas!$F$86*'Plan mensual'!G150+parametros_recargas!$G$86*'Plan mensual'!G151+parametros_recargas!$H$86*'Plan mensual'!G152+parametros_recargas!$I$86*'Plan mensual'!G153+parametros_recargas!$J$86*'Plan mensual'!G154+parametros_recargas!$K$86*'Plan mensual'!G155+parametros_recargas!$L$86*'Plan mensual'!G156+parametros_recargas!$M$86*'Plan mensual'!G158</f>
        <v>2292.13558609766</v>
      </c>
      <c r="F140" s="26" t="n">
        <f aca="false">parametros_recargas!$E$86*'Plan mensual'!H149+parametros_recargas!$F$86*'Plan mensual'!H150+parametros_recargas!$G$86*'Plan mensual'!H151+parametros_recargas!$H$86*'Plan mensual'!H152+parametros_recargas!$I$86*'Plan mensual'!H153+parametros_recargas!$J$86*'Plan mensual'!H154+parametros_recargas!$K$86*'Plan mensual'!H155+parametros_recargas!$L$86*'Plan mensual'!H156+parametros_recargas!$M$86*'Plan mensual'!H158</f>
        <v>2308.5063008526</v>
      </c>
      <c r="G140" s="26" t="n">
        <f aca="false">parametros_recargas!$E$86*'Plan mensual'!I149+parametros_recargas!$F$86*'Plan mensual'!I150+parametros_recargas!$G$86*'Plan mensual'!I151+parametros_recargas!$H$86*'Plan mensual'!I152+parametros_recargas!$I$86*'Plan mensual'!I153+parametros_recargas!$J$86*'Plan mensual'!I154+parametros_recargas!$K$86*'Plan mensual'!I155+parametros_recargas!$L$86*'Plan mensual'!I156+parametros_recargas!$M$86*'Plan mensual'!I158</f>
        <v>2281.90644176143</v>
      </c>
      <c r="H140" s="26" t="n">
        <f aca="false">parametros_recargas!$E$86*'Plan mensual'!J149+parametros_recargas!$F$86*'Plan mensual'!J150+parametros_recargas!$G$86*'Plan mensual'!J151+parametros_recargas!$H$86*'Plan mensual'!J152+parametros_recargas!$I$86*'Plan mensual'!J153+parametros_recargas!$J$86*'Plan mensual'!J154+parametros_recargas!$K$86*'Plan mensual'!J155+parametros_recargas!$L$86*'Plan mensual'!J156+parametros_recargas!$M$86*'Plan mensual'!J158</f>
        <v>2021.96391841759</v>
      </c>
      <c r="I140" s="26" t="n">
        <f aca="false">parametros_recargas!$E$86*'Plan mensual'!K149+parametros_recargas!$F$86*'Plan mensual'!K150+parametros_recargas!$G$86*'Plan mensual'!K151+parametros_recargas!$H$86*'Plan mensual'!K152+parametros_recargas!$I$86*'Plan mensual'!K153+parametros_recargas!$J$86*'Plan mensual'!K154+parametros_recargas!$K$86*'Plan mensual'!K155+parametros_recargas!$L$86*'Plan mensual'!K156+parametros_recargas!$M$86*'Plan mensual'!K158</f>
        <v>2039.27739386134</v>
      </c>
      <c r="J140" s="26" t="n">
        <f aca="false">parametros_recargas!$E$86*'Plan mensual'!L149+parametros_recargas!$F$86*'Plan mensual'!L150+parametros_recargas!$G$86*'Plan mensual'!L151+parametros_recargas!$H$86*'Plan mensual'!L152+parametros_recargas!$I$86*'Plan mensual'!L153+parametros_recargas!$J$86*'Plan mensual'!L154+parametros_recargas!$K$86*'Plan mensual'!L155+parametros_recargas!$L$86*'Plan mensual'!L156+parametros_recargas!$M$86*'Plan mensual'!L158</f>
        <v>2063.08354532257</v>
      </c>
      <c r="K140" s="26" t="n">
        <f aca="false">parametros_recargas!$E$86*'Plan mensual'!M149+parametros_recargas!$F$86*'Plan mensual'!M150+parametros_recargas!$G$86*'Plan mensual'!M151+parametros_recargas!$H$86*'Plan mensual'!M152+parametros_recargas!$I$86*'Plan mensual'!M153+parametros_recargas!$J$86*'Plan mensual'!M154+parametros_recargas!$K$86*'Plan mensual'!M155+parametros_recargas!$L$86*'Plan mensual'!M156+parametros_recargas!$M$86*'Plan mensual'!M158</f>
        <v>2063.08354532257</v>
      </c>
      <c r="L140" s="26" t="n">
        <f aca="false">parametros_recargas!$E$86*'Plan mensual'!N149+parametros_recargas!$F$86*'Plan mensual'!N150+parametros_recargas!$G$86*'Plan mensual'!N151+parametros_recargas!$H$86*'Plan mensual'!N152+parametros_recargas!$I$86*'Plan mensual'!N153+parametros_recargas!$J$86*'Plan mensual'!N154+parametros_recargas!$K$86*'Plan mensual'!N155+parametros_recargas!$L$86*'Plan mensual'!N156+parametros_recargas!$M$86*'Plan mensual'!N158</f>
        <v>2342.85595335501</v>
      </c>
      <c r="M140" s="26" t="n">
        <f aca="false">parametros_recargas!$E$86*'Plan mensual'!O149+parametros_recargas!$F$86*'Plan mensual'!O150+parametros_recargas!$G$86*'Plan mensual'!O151+parametros_recargas!$H$86*'Plan mensual'!O152+parametros_recargas!$I$86*'Plan mensual'!O153+parametros_recargas!$J$86*'Plan mensual'!O154+parametros_recargas!$K$86*'Plan mensual'!O155+parametros_recargas!$L$86*'Plan mensual'!O156+parametros_recargas!$M$86*'Plan mensual'!O158</f>
        <v>2665.59893523358</v>
      </c>
      <c r="N140" s="12" t="n">
        <f aca="false">SUM(B140:M140)</f>
        <v>26709.6040288891</v>
      </c>
      <c r="O140" s="27" t="n">
        <f aca="false">MAX(B140:M140)</f>
        <v>2665.59893523358</v>
      </c>
      <c r="P140" s="16" t="n">
        <f aca="false">O140/parametros_recargas!$B$6</f>
        <v>17.7706595682238</v>
      </c>
    </row>
    <row r="141" customFormat="false" ht="15" hidden="false" customHeight="false" outlineLevel="0" collapsed="false">
      <c r="A141" s="6" t="str">
        <f aca="false">parametros_recargas!$B$87</f>
        <v>Secado</v>
      </c>
      <c r="B141" s="26" t="n">
        <f aca="false">parametros_recargas!$E$87*'Plan mensual'!D149+parametros_recargas!$F$87*'Plan mensual'!D150+parametros_recargas!$G$87*'Plan mensual'!D151+parametros_recargas!$H$87*'Plan mensual'!D152+parametros_recargas!$I$87*'Plan mensual'!D153+parametros_recargas!$J$87*'Plan mensual'!D154+parametros_recargas!$K$87*'Plan mensual'!D155+parametros_recargas!$L$87*'Plan mensual'!D156+parametros_recargas!$M$87*'Plan mensual'!D158</f>
        <v>2303.13276356137</v>
      </c>
      <c r="C141" s="26" t="n">
        <f aca="false">parametros_recargas!$E$87*'Plan mensual'!E149+parametros_recargas!$F$87*'Plan mensual'!E150+parametros_recargas!$G$87*'Plan mensual'!E151+parametros_recargas!$H$87*'Plan mensual'!E152+parametros_recargas!$I$87*'Plan mensual'!E153+parametros_recargas!$J$87*'Plan mensual'!E154+parametros_recargas!$K$87*'Plan mensual'!E155+parametros_recargas!$L$87*'Plan mensual'!E156+parametros_recargas!$M$87*'Plan mensual'!E158</f>
        <v>1995.14391586248</v>
      </c>
      <c r="D141" s="26" t="n">
        <f aca="false">parametros_recargas!$E$87*'Plan mensual'!F149+parametros_recargas!$F$87*'Plan mensual'!F150+parametros_recargas!$G$87*'Plan mensual'!F151+parametros_recargas!$H$87*'Plan mensual'!F152+parametros_recargas!$I$87*'Plan mensual'!F153+parametros_recargas!$J$87*'Plan mensual'!F154+parametros_recargas!$K$87*'Plan mensual'!F155+parametros_recargas!$L$87*'Plan mensual'!F156+parametros_recargas!$M$87*'Plan mensual'!F158</f>
        <v>1898.6722480791</v>
      </c>
      <c r="E141" s="26" t="n">
        <f aca="false">parametros_recargas!$E$87*'Plan mensual'!G149+parametros_recargas!$F$87*'Plan mensual'!G150+parametros_recargas!$G$87*'Plan mensual'!G151+parametros_recargas!$H$87*'Plan mensual'!G152+parametros_recargas!$I$87*'Plan mensual'!G153+parametros_recargas!$J$87*'Plan mensual'!G154+parametros_recargas!$K$87*'Plan mensual'!G155+parametros_recargas!$L$87*'Plan mensual'!G156+parametros_recargas!$M$87*'Plan mensual'!G158</f>
        <v>2101.32990342471</v>
      </c>
      <c r="F141" s="26" t="n">
        <f aca="false">parametros_recargas!$E$87*'Plan mensual'!H149+parametros_recargas!$F$87*'Plan mensual'!H150+parametros_recargas!$G$87*'Plan mensual'!H151+parametros_recargas!$H$87*'Plan mensual'!H152+parametros_recargas!$I$87*'Plan mensual'!H153+parametros_recargas!$J$87*'Plan mensual'!H154+parametros_recargas!$K$87*'Plan mensual'!H155+parametros_recargas!$L$87*'Plan mensual'!H156+parametros_recargas!$M$87*'Plan mensual'!H158</f>
        <v>2116.03009450483</v>
      </c>
      <c r="G141" s="26" t="n">
        <f aca="false">parametros_recargas!$E$87*'Plan mensual'!I149+parametros_recargas!$F$87*'Plan mensual'!I150+parametros_recargas!$G$87*'Plan mensual'!I151+parametros_recargas!$H$87*'Plan mensual'!I152+parametros_recargas!$I$87*'Plan mensual'!I153+parametros_recargas!$J$87*'Plan mensual'!I154+parametros_recargas!$K$87*'Plan mensual'!I155+parametros_recargas!$L$87*'Plan mensual'!I156+parametros_recargas!$M$87*'Plan mensual'!I158</f>
        <v>2093.4925369756</v>
      </c>
      <c r="H141" s="26" t="n">
        <f aca="false">parametros_recargas!$E$87*'Plan mensual'!J149+parametros_recargas!$F$87*'Plan mensual'!J150+parametros_recargas!$G$87*'Plan mensual'!J151+parametros_recargas!$H$87*'Plan mensual'!J152+parametros_recargas!$I$87*'Plan mensual'!J153+parametros_recargas!$J$87*'Plan mensual'!J154+parametros_recargas!$K$87*'Plan mensual'!J155+parametros_recargas!$L$87*'Plan mensual'!J156+parametros_recargas!$M$87*'Plan mensual'!J158</f>
        <v>1858.39595786396</v>
      </c>
      <c r="I141" s="26" t="n">
        <f aca="false">parametros_recargas!$E$87*'Plan mensual'!K149+parametros_recargas!$F$87*'Plan mensual'!K150+parametros_recargas!$G$87*'Plan mensual'!K151+parametros_recargas!$H$87*'Plan mensual'!K152+parametros_recargas!$I$87*'Plan mensual'!K153+parametros_recargas!$J$87*'Plan mensual'!K154+parametros_recargas!$K$87*'Plan mensual'!K155+parametros_recargas!$L$87*'Plan mensual'!K156+parametros_recargas!$M$87*'Plan mensual'!K158</f>
        <v>1874.13799061099</v>
      </c>
      <c r="J141" s="26" t="n">
        <f aca="false">parametros_recargas!$E$87*'Plan mensual'!L149+parametros_recargas!$F$87*'Plan mensual'!L150+parametros_recargas!$G$87*'Plan mensual'!L151+parametros_recargas!$H$87*'Plan mensual'!L152+parametros_recargas!$I$87*'Plan mensual'!L153+parametros_recargas!$J$87*'Plan mensual'!L154+parametros_recargas!$K$87*'Plan mensual'!L155+parametros_recargas!$L$87*'Plan mensual'!L156+parametros_recargas!$M$87*'Plan mensual'!L158</f>
        <v>1894.02059618837</v>
      </c>
      <c r="K141" s="26" t="n">
        <f aca="false">parametros_recargas!$E$87*'Plan mensual'!M149+parametros_recargas!$F$87*'Plan mensual'!M150+parametros_recargas!$G$87*'Plan mensual'!M151+parametros_recargas!$H$87*'Plan mensual'!M152+parametros_recargas!$I$87*'Plan mensual'!M153+parametros_recargas!$J$87*'Plan mensual'!M154+parametros_recargas!$K$87*'Plan mensual'!M155+parametros_recargas!$L$87*'Plan mensual'!M156+parametros_recargas!$M$87*'Plan mensual'!M158</f>
        <v>1894.02059618837</v>
      </c>
      <c r="L141" s="26" t="n">
        <f aca="false">parametros_recargas!$E$87*'Plan mensual'!N149+parametros_recargas!$F$87*'Plan mensual'!N150+parametros_recargas!$G$87*'Plan mensual'!N151+parametros_recargas!$H$87*'Plan mensual'!N152+parametros_recargas!$I$87*'Plan mensual'!N153+parametros_recargas!$J$87*'Plan mensual'!N154+parametros_recargas!$K$87*'Plan mensual'!N155+parametros_recargas!$L$87*'Plan mensual'!N156+parametros_recargas!$M$87*'Plan mensual'!N158</f>
        <v>2187.30925280713</v>
      </c>
      <c r="M141" s="26" t="n">
        <f aca="false">parametros_recargas!$E$87*'Plan mensual'!O149+parametros_recargas!$F$87*'Plan mensual'!O150+parametros_recargas!$G$87*'Plan mensual'!O151+parametros_recargas!$H$87*'Plan mensual'!O152+parametros_recargas!$I$87*'Plan mensual'!O153+parametros_recargas!$J$87*'Plan mensual'!O154+parametros_recargas!$K$87*'Plan mensual'!O155+parametros_recargas!$L$87*'Plan mensual'!O156+parametros_recargas!$M$87*'Plan mensual'!O158</f>
        <v>2517.83565803525</v>
      </c>
      <c r="N141" s="12" t="n">
        <f aca="false">SUM(B141:M141)</f>
        <v>24733.5215141022</v>
      </c>
      <c r="O141" s="27" t="n">
        <f aca="false">MAX(B141:M141)</f>
        <v>2517.83565803525</v>
      </c>
      <c r="P141" s="16" t="n">
        <f aca="false">O141/parametros_recargas!$B$6</f>
        <v>16.7855710535683</v>
      </c>
    </row>
    <row r="142" customFormat="false" ht="15" hidden="false" customHeight="false" outlineLevel="0" collapsed="false">
      <c r="A142" s="6" t="str">
        <f aca="false">parametros_recargas!$B$88</f>
        <v>Inspección interior con videoscopio</v>
      </c>
      <c r="B142" s="26" t="n">
        <f aca="false">parametros_recargas!$E$88*'Plan mensual'!D149+parametros_recargas!$F$88*'Plan mensual'!D150+parametros_recargas!$G$88*'Plan mensual'!D151+parametros_recargas!$H$88*'Plan mensual'!D152+parametros_recargas!$I$88*'Plan mensual'!D153+parametros_recargas!$J$88*'Plan mensual'!D154+parametros_recargas!$K$88*'Plan mensual'!D155+parametros_recargas!$L$88*'Plan mensual'!D156+parametros_recargas!$M$88*'Plan mensual'!D158</f>
        <v>2303.13276356137</v>
      </c>
      <c r="C142" s="26" t="n">
        <f aca="false">parametros_recargas!$E$88*'Plan mensual'!E149+parametros_recargas!$F$88*'Plan mensual'!E150+parametros_recargas!$G$88*'Plan mensual'!E151+parametros_recargas!$H$88*'Plan mensual'!E152+parametros_recargas!$I$88*'Plan mensual'!E153+parametros_recargas!$J$88*'Plan mensual'!E154+parametros_recargas!$K$88*'Plan mensual'!E155+parametros_recargas!$L$88*'Plan mensual'!E156+parametros_recargas!$M$88*'Plan mensual'!E158</f>
        <v>1995.14391586248</v>
      </c>
      <c r="D142" s="26" t="n">
        <f aca="false">parametros_recargas!$E$88*'Plan mensual'!F149+parametros_recargas!$F$88*'Plan mensual'!F150+parametros_recargas!$G$88*'Plan mensual'!F151+parametros_recargas!$H$88*'Plan mensual'!F152+parametros_recargas!$I$88*'Plan mensual'!F153+parametros_recargas!$J$88*'Plan mensual'!F154+parametros_recargas!$K$88*'Plan mensual'!F155+parametros_recargas!$L$88*'Plan mensual'!F156+parametros_recargas!$M$88*'Plan mensual'!F158</f>
        <v>1898.6722480791</v>
      </c>
      <c r="E142" s="26" t="n">
        <f aca="false">parametros_recargas!$E$88*'Plan mensual'!G149+parametros_recargas!$F$88*'Plan mensual'!G150+parametros_recargas!$G$88*'Plan mensual'!G151+parametros_recargas!$H$88*'Plan mensual'!G152+parametros_recargas!$I$88*'Plan mensual'!G153+parametros_recargas!$J$88*'Plan mensual'!G154+parametros_recargas!$K$88*'Plan mensual'!G155+parametros_recargas!$L$88*'Plan mensual'!G156+parametros_recargas!$M$88*'Plan mensual'!G158</f>
        <v>2101.32990342471</v>
      </c>
      <c r="F142" s="26" t="n">
        <f aca="false">parametros_recargas!$E$88*'Plan mensual'!H149+parametros_recargas!$F$88*'Plan mensual'!H150+parametros_recargas!$G$88*'Plan mensual'!H151+parametros_recargas!$H$88*'Plan mensual'!H152+parametros_recargas!$I$88*'Plan mensual'!H153+parametros_recargas!$J$88*'Plan mensual'!H154+parametros_recargas!$K$88*'Plan mensual'!H155+parametros_recargas!$L$88*'Plan mensual'!H156+parametros_recargas!$M$88*'Plan mensual'!H158</f>
        <v>2116.03009450483</v>
      </c>
      <c r="G142" s="26" t="n">
        <f aca="false">parametros_recargas!$E$88*'Plan mensual'!I149+parametros_recargas!$F$88*'Plan mensual'!I150+parametros_recargas!$G$88*'Plan mensual'!I151+parametros_recargas!$H$88*'Plan mensual'!I152+parametros_recargas!$I$88*'Plan mensual'!I153+parametros_recargas!$J$88*'Plan mensual'!I154+parametros_recargas!$K$88*'Plan mensual'!I155+parametros_recargas!$L$88*'Plan mensual'!I156+parametros_recargas!$M$88*'Plan mensual'!I158</f>
        <v>2093.4925369756</v>
      </c>
      <c r="H142" s="26" t="n">
        <f aca="false">parametros_recargas!$E$88*'Plan mensual'!J149+parametros_recargas!$F$88*'Plan mensual'!J150+parametros_recargas!$G$88*'Plan mensual'!J151+parametros_recargas!$H$88*'Plan mensual'!J152+parametros_recargas!$I$88*'Plan mensual'!J153+parametros_recargas!$J$88*'Plan mensual'!J154+parametros_recargas!$K$88*'Plan mensual'!J155+parametros_recargas!$L$88*'Plan mensual'!J156+parametros_recargas!$M$88*'Plan mensual'!J158</f>
        <v>1858.39595786396</v>
      </c>
      <c r="I142" s="26" t="n">
        <f aca="false">parametros_recargas!$E$88*'Plan mensual'!K149+parametros_recargas!$F$88*'Plan mensual'!K150+parametros_recargas!$G$88*'Plan mensual'!K151+parametros_recargas!$H$88*'Plan mensual'!K152+parametros_recargas!$I$88*'Plan mensual'!K153+parametros_recargas!$J$88*'Plan mensual'!K154+parametros_recargas!$K$88*'Plan mensual'!K155+parametros_recargas!$L$88*'Plan mensual'!K156+parametros_recargas!$M$88*'Plan mensual'!K158</f>
        <v>1874.13799061099</v>
      </c>
      <c r="J142" s="26" t="n">
        <f aca="false">parametros_recargas!$E$88*'Plan mensual'!L149+parametros_recargas!$F$88*'Plan mensual'!L150+parametros_recargas!$G$88*'Plan mensual'!L151+parametros_recargas!$H$88*'Plan mensual'!L152+parametros_recargas!$I$88*'Plan mensual'!L153+parametros_recargas!$J$88*'Plan mensual'!L154+parametros_recargas!$K$88*'Plan mensual'!L155+parametros_recargas!$L$88*'Plan mensual'!L156+parametros_recargas!$M$88*'Plan mensual'!L158</f>
        <v>1894.02059618837</v>
      </c>
      <c r="K142" s="26" t="n">
        <f aca="false">parametros_recargas!$E$88*'Plan mensual'!M149+parametros_recargas!$F$88*'Plan mensual'!M150+parametros_recargas!$G$88*'Plan mensual'!M151+parametros_recargas!$H$88*'Plan mensual'!M152+parametros_recargas!$I$88*'Plan mensual'!M153+parametros_recargas!$J$88*'Plan mensual'!M154+parametros_recargas!$K$88*'Plan mensual'!M155+parametros_recargas!$L$88*'Plan mensual'!M156+parametros_recargas!$M$88*'Plan mensual'!M158</f>
        <v>1894.02059618837</v>
      </c>
      <c r="L142" s="26" t="n">
        <f aca="false">parametros_recargas!$E$88*'Plan mensual'!N149+parametros_recargas!$F$88*'Plan mensual'!N150+parametros_recargas!$G$88*'Plan mensual'!N151+parametros_recargas!$H$88*'Plan mensual'!N152+parametros_recargas!$I$88*'Plan mensual'!N153+parametros_recargas!$J$88*'Plan mensual'!N154+parametros_recargas!$K$88*'Plan mensual'!N155+parametros_recargas!$L$88*'Plan mensual'!N156+parametros_recargas!$M$88*'Plan mensual'!N158</f>
        <v>2187.30925280713</v>
      </c>
      <c r="M142" s="26" t="n">
        <f aca="false">parametros_recargas!$E$88*'Plan mensual'!O149+parametros_recargas!$F$88*'Plan mensual'!O150+parametros_recargas!$G$88*'Plan mensual'!O151+parametros_recargas!$H$88*'Plan mensual'!O152+parametros_recargas!$I$88*'Plan mensual'!O153+parametros_recargas!$J$88*'Plan mensual'!O154+parametros_recargas!$K$88*'Plan mensual'!O155+parametros_recargas!$L$88*'Plan mensual'!O156+parametros_recargas!$M$88*'Plan mensual'!O158</f>
        <v>2517.83565803525</v>
      </c>
      <c r="N142" s="12" t="n">
        <f aca="false">SUM(B142:M142)</f>
        <v>24733.5215141022</v>
      </c>
      <c r="O142" s="27" t="n">
        <f aca="false">MAX(B142:M142)</f>
        <v>2517.83565803525</v>
      </c>
      <c r="P142" s="16" t="n">
        <f aca="false">O142/parametros_recargas!$B$6</f>
        <v>16.7855710535683</v>
      </c>
    </row>
    <row r="143" customFormat="false" ht="15" hidden="false" customHeight="false" outlineLevel="0" collapsed="false">
      <c r="A143" s="6" t="str">
        <f aca="false">parametros_recargas!$B$89</f>
        <v>Pintura</v>
      </c>
      <c r="B143" s="26" t="n">
        <f aca="false">parametros_recargas!$E$89*'Plan mensual'!D149+parametros_recargas!$F$89*'Plan mensual'!D150+parametros_recargas!$G$89*'Plan mensual'!D151+parametros_recargas!$H$89*'Plan mensual'!D152+parametros_recargas!$I$89*'Plan mensual'!D153+parametros_recargas!$J$89*'Plan mensual'!D154+parametros_recargas!$K$89*'Plan mensual'!D155+parametros_recargas!$L$89*'Plan mensual'!D156+parametros_recargas!$M$89*'Plan mensual'!D158</f>
        <v>1388.99669080092</v>
      </c>
      <c r="C143" s="26" t="n">
        <f aca="false">parametros_recargas!$E$89*'Plan mensual'!E149+parametros_recargas!$F$89*'Plan mensual'!E150+parametros_recargas!$G$89*'Plan mensual'!E151+parametros_recargas!$H$89*'Plan mensual'!E152+parametros_recargas!$I$89*'Plan mensual'!E153+parametros_recargas!$J$89*'Plan mensual'!E154+parametros_recargas!$K$89*'Plan mensual'!E155+parametros_recargas!$L$89*'Plan mensual'!E156+parametros_recargas!$M$89*'Plan mensual'!E158</f>
        <v>1211.31081712849</v>
      </c>
      <c r="D143" s="26" t="n">
        <f aca="false">parametros_recargas!$E$89*'Plan mensual'!F149+parametros_recargas!$F$89*'Plan mensual'!F150+parametros_recargas!$G$89*'Plan mensual'!F151+parametros_recargas!$H$89*'Plan mensual'!F152+parametros_recargas!$I$89*'Plan mensual'!F153+parametros_recargas!$J$89*'Plan mensual'!F154+parametros_recargas!$K$89*'Plan mensual'!F155+parametros_recargas!$L$89*'Plan mensual'!F156+parametros_recargas!$M$89*'Plan mensual'!F158</f>
        <v>1164.00888218614</v>
      </c>
      <c r="E143" s="26" t="n">
        <f aca="false">parametros_recargas!$E$89*'Plan mensual'!G149+parametros_recargas!$F$89*'Plan mensual'!G150+parametros_recargas!$G$89*'Plan mensual'!G151+parametros_recargas!$H$89*'Plan mensual'!G152+parametros_recargas!$I$89*'Plan mensual'!G153+parametros_recargas!$J$89*'Plan mensual'!G154+parametros_recargas!$K$89*'Plan mensual'!G155+parametros_recargas!$L$89*'Plan mensual'!G156+parametros_recargas!$M$89*'Plan mensual'!G158</f>
        <v>1289.02413518378</v>
      </c>
      <c r="F143" s="26" t="n">
        <f aca="false">parametros_recargas!$E$89*'Plan mensual'!H149+parametros_recargas!$F$89*'Plan mensual'!H150+parametros_recargas!$G$89*'Plan mensual'!H151+parametros_recargas!$H$89*'Plan mensual'!H152+parametros_recargas!$I$89*'Plan mensual'!H153+parametros_recargas!$J$89*'Plan mensual'!H154+parametros_recargas!$K$89*'Plan mensual'!H155+parametros_recargas!$L$89*'Plan mensual'!H156+parametros_recargas!$M$89*'Plan mensual'!H158</f>
        <v>1298.13232893265</v>
      </c>
      <c r="G143" s="26" t="n">
        <f aca="false">parametros_recargas!$E$89*'Plan mensual'!I149+parametros_recargas!$F$89*'Plan mensual'!I150+parametros_recargas!$G$89*'Plan mensual'!I151+parametros_recargas!$H$89*'Plan mensual'!I152+parametros_recargas!$I$89*'Plan mensual'!I153+parametros_recargas!$J$89*'Plan mensual'!I154+parametros_recargas!$K$89*'Plan mensual'!I155+parametros_recargas!$L$89*'Plan mensual'!I156+parametros_recargas!$M$89*'Plan mensual'!I158</f>
        <v>1283.72787358614</v>
      </c>
      <c r="H143" s="26" t="n">
        <f aca="false">parametros_recargas!$E$89*'Plan mensual'!J149+parametros_recargas!$F$89*'Plan mensual'!J150+parametros_recargas!$G$89*'Plan mensual'!J151+parametros_recargas!$H$89*'Plan mensual'!J152+parametros_recargas!$I$89*'Plan mensual'!J153+parametros_recargas!$J$89*'Plan mensual'!J154+parametros_recargas!$K$89*'Plan mensual'!J155+parametros_recargas!$L$89*'Plan mensual'!J156+parametros_recargas!$M$89*'Plan mensual'!J158</f>
        <v>1138.37003603564</v>
      </c>
      <c r="I143" s="26" t="n">
        <f aca="false">parametros_recargas!$E$89*'Plan mensual'!K149+parametros_recargas!$F$89*'Plan mensual'!K150+parametros_recargas!$G$89*'Plan mensual'!K151+parametros_recargas!$H$89*'Plan mensual'!K152+parametros_recargas!$I$89*'Plan mensual'!K153+parametros_recargas!$J$89*'Plan mensual'!K154+parametros_recargas!$K$89*'Plan mensual'!K155+parametros_recargas!$L$89*'Plan mensual'!K156+parametros_recargas!$M$89*'Plan mensual'!K158</f>
        <v>1148.04767325841</v>
      </c>
      <c r="J143" s="26" t="n">
        <f aca="false">parametros_recargas!$E$89*'Plan mensual'!L149+parametros_recargas!$F$89*'Plan mensual'!L150+parametros_recargas!$G$89*'Plan mensual'!L151+parametros_recargas!$H$89*'Plan mensual'!L152+parametros_recargas!$I$89*'Plan mensual'!L153+parametros_recargas!$J$89*'Plan mensual'!L154+parametros_recargas!$K$89*'Plan mensual'!L155+parametros_recargas!$L$89*'Plan mensual'!L156+parametros_recargas!$M$89*'Plan mensual'!L158</f>
        <v>1160.84899029996</v>
      </c>
      <c r="K143" s="26" t="n">
        <f aca="false">parametros_recargas!$E$89*'Plan mensual'!M149+parametros_recargas!$F$89*'Plan mensual'!M150+parametros_recargas!$G$89*'Plan mensual'!M151+parametros_recargas!$H$89*'Plan mensual'!M152+parametros_recargas!$I$89*'Plan mensual'!M153+parametros_recargas!$J$89*'Plan mensual'!M154+parametros_recargas!$K$89*'Plan mensual'!M155+parametros_recargas!$L$89*'Plan mensual'!M156+parametros_recargas!$M$89*'Plan mensual'!M158</f>
        <v>1160.84899029996</v>
      </c>
      <c r="L143" s="26" t="n">
        <f aca="false">parametros_recargas!$E$89*'Plan mensual'!N149+parametros_recargas!$F$89*'Plan mensual'!N150+parametros_recargas!$G$89*'Plan mensual'!N151+parametros_recargas!$H$89*'Plan mensual'!N152+parametros_recargas!$I$89*'Plan mensual'!N153+parametros_recargas!$J$89*'Plan mensual'!N154+parametros_recargas!$K$89*'Plan mensual'!N155+parametros_recargas!$L$89*'Plan mensual'!N156+parametros_recargas!$M$89*'Plan mensual'!N158</f>
        <v>1329.42667022352</v>
      </c>
      <c r="M143" s="26" t="n">
        <f aca="false">parametros_recargas!$E$89*'Plan mensual'!O149+parametros_recargas!$F$89*'Plan mensual'!O150+parametros_recargas!$G$89*'Plan mensual'!O151+parametros_recargas!$H$89*'Plan mensual'!O152+parametros_recargas!$I$89*'Plan mensual'!O153+parametros_recargas!$J$89*'Plan mensual'!O154+parametros_recargas!$K$89*'Plan mensual'!O155+parametros_recargas!$L$89*'Plan mensual'!O156+parametros_recargas!$M$89*'Plan mensual'!O158</f>
        <v>1521.51699924247</v>
      </c>
      <c r="N143" s="12" t="n">
        <f aca="false">SUM(B143:M143)</f>
        <v>15094.2600871781</v>
      </c>
      <c r="O143" s="27" t="n">
        <f aca="false">MAX(B143:M143)</f>
        <v>1521.51699924247</v>
      </c>
      <c r="P143" s="16" t="n">
        <f aca="false">O143/parametros_recargas!$B$6</f>
        <v>10.1434466616165</v>
      </c>
    </row>
    <row r="144" customFormat="false" ht="15" hidden="false" customHeight="false" outlineLevel="0" collapsed="false">
      <c r="A144" s="6" t="str">
        <f aca="false">parametros_recargas!$B$90</f>
        <v>Carga de polvo ABC, BC y Clase D</v>
      </c>
      <c r="B144" s="26" t="n">
        <f aca="false">parametros_recargas!$E$90*'Plan mensual'!D149+parametros_recargas!$F$90*'Plan mensual'!D150+parametros_recargas!$G$90*'Plan mensual'!D151+parametros_recargas!$H$90*'Plan mensual'!D152+parametros_recargas!$I$90*'Plan mensual'!D153+parametros_recargas!$J$90*'Plan mensual'!D154+parametros_recargas!$K$90*'Plan mensual'!D155+parametros_recargas!$L$90*'Plan mensual'!D156+parametros_recargas!$M$90*'Plan mensual'!D158</f>
        <v>8357.84770335551</v>
      </c>
      <c r="C144" s="26" t="n">
        <f aca="false">parametros_recargas!$E$90*'Plan mensual'!E149+parametros_recargas!$F$90*'Plan mensual'!E150+parametros_recargas!$G$90*'Plan mensual'!E151+parametros_recargas!$H$90*'Plan mensual'!E152+parametros_recargas!$I$90*'Plan mensual'!E153+parametros_recargas!$J$90*'Plan mensual'!E154+parametros_recargas!$K$90*'Plan mensual'!E155+parametros_recargas!$L$90*'Plan mensual'!E156+parametros_recargas!$M$90*'Plan mensual'!E158</f>
        <v>7169.00619955441</v>
      </c>
      <c r="D144" s="26" t="n">
        <f aca="false">parametros_recargas!$E$90*'Plan mensual'!F149+parametros_recargas!$F$90*'Plan mensual'!F150+parametros_recargas!$G$90*'Plan mensual'!F151+parametros_recargas!$H$90*'Plan mensual'!F152+parametros_recargas!$I$90*'Plan mensual'!F153+parametros_recargas!$J$90*'Plan mensual'!F154+parametros_recargas!$K$90*'Plan mensual'!F155+parametros_recargas!$L$90*'Plan mensual'!F156+parametros_recargas!$M$90*'Plan mensual'!F158</f>
        <v>6664.98001506171</v>
      </c>
      <c r="E144" s="26" t="n">
        <f aca="false">parametros_recargas!$E$90*'Plan mensual'!G149+parametros_recargas!$F$90*'Plan mensual'!G150+parametros_recargas!$G$90*'Plan mensual'!G151+parametros_recargas!$H$90*'Plan mensual'!G152+parametros_recargas!$I$90*'Plan mensual'!G153+parametros_recargas!$J$90*'Plan mensual'!G154+parametros_recargas!$K$90*'Plan mensual'!G155+parametros_recargas!$L$90*'Plan mensual'!G156+parametros_recargas!$M$90*'Plan mensual'!G158</f>
        <v>7310.63799097539</v>
      </c>
      <c r="F144" s="26" t="n">
        <f aca="false">parametros_recargas!$E$90*'Plan mensual'!H149+parametros_recargas!$F$90*'Plan mensual'!H150+parametros_recargas!$G$90*'Plan mensual'!H151+parametros_recargas!$H$90*'Plan mensual'!H152+parametros_recargas!$I$90*'Plan mensual'!H153+parametros_recargas!$J$90*'Plan mensual'!H154+parametros_recargas!$K$90*'Plan mensual'!H155+parametros_recargas!$L$90*'Plan mensual'!H156+parametros_recargas!$M$90*'Plan mensual'!H158</f>
        <v>7360.88472752166</v>
      </c>
      <c r="G144" s="26" t="n">
        <f aca="false">parametros_recargas!$E$90*'Plan mensual'!I149+parametros_recargas!$F$90*'Plan mensual'!I150+parametros_recargas!$G$90*'Plan mensual'!I151+parametros_recargas!$H$90*'Plan mensual'!I152+parametros_recargas!$I$90*'Plan mensual'!I153+parametros_recargas!$J$90*'Plan mensual'!I154+parametros_recargas!$K$90*'Plan mensual'!I155+parametros_recargas!$L$90*'Plan mensual'!I156+parametros_recargas!$M$90*'Plan mensual'!I158</f>
        <v>7290.38459356196</v>
      </c>
      <c r="H144" s="26" t="n">
        <f aca="false">parametros_recargas!$E$90*'Plan mensual'!J149+parametros_recargas!$F$90*'Plan mensual'!J150+parametros_recargas!$G$90*'Plan mensual'!J151+parametros_recargas!$H$90*'Plan mensual'!J152+parametros_recargas!$I$90*'Plan mensual'!J153+parametros_recargas!$J$90*'Plan mensual'!J154+parametros_recargas!$K$90*'Plan mensual'!J155+parametros_recargas!$L$90*'Plan mensual'!J156+parametros_recargas!$M$90*'Plan mensual'!J158</f>
        <v>6535.1953568275</v>
      </c>
      <c r="I144" s="26" t="n">
        <f aca="false">parametros_recargas!$E$90*'Plan mensual'!K149+parametros_recargas!$F$90*'Plan mensual'!K150+parametros_recargas!$G$90*'Plan mensual'!K151+parametros_recargas!$H$90*'Plan mensual'!K152+parametros_recargas!$I$90*'Plan mensual'!K153+parametros_recargas!$J$90*'Plan mensual'!K154+parametros_recargas!$K$90*'Plan mensual'!K155+parametros_recargas!$L$90*'Plan mensual'!K156+parametros_recargas!$M$90*'Plan mensual'!K158</f>
        <v>6595.1324337721</v>
      </c>
      <c r="J144" s="26" t="n">
        <f aca="false">parametros_recargas!$E$90*'Plan mensual'!L149+parametros_recargas!$F$90*'Plan mensual'!L150+parametros_recargas!$G$90*'Plan mensual'!L151+parametros_recargas!$H$90*'Plan mensual'!L152+parametros_recargas!$I$90*'Plan mensual'!L153+parametros_recargas!$J$90*'Plan mensual'!L154+parametros_recargas!$K$90*'Plan mensual'!L155+parametros_recargas!$L$90*'Plan mensual'!L156+parametros_recargas!$M$90*'Plan mensual'!L158</f>
        <v>6655.46969981243</v>
      </c>
      <c r="K144" s="26" t="n">
        <f aca="false">parametros_recargas!$E$90*'Plan mensual'!M149+parametros_recargas!$F$90*'Plan mensual'!M150+parametros_recargas!$G$90*'Plan mensual'!M151+parametros_recargas!$H$90*'Plan mensual'!M152+parametros_recargas!$I$90*'Plan mensual'!M153+parametros_recargas!$J$90*'Plan mensual'!M154+parametros_recargas!$K$90*'Plan mensual'!M155+parametros_recargas!$L$90*'Plan mensual'!M156+parametros_recargas!$M$90*'Plan mensual'!M158</f>
        <v>6654.01888716088</v>
      </c>
      <c r="L144" s="26" t="n">
        <f aca="false">parametros_recargas!$E$90*'Plan mensual'!N149+parametros_recargas!$F$90*'Plan mensual'!N150+parametros_recargas!$G$90*'Plan mensual'!N151+parametros_recargas!$H$90*'Plan mensual'!N152+parametros_recargas!$I$90*'Plan mensual'!N153+parametros_recargas!$J$90*'Plan mensual'!N154+parametros_recargas!$K$90*'Plan mensual'!N155+parametros_recargas!$L$90*'Plan mensual'!N156+parametros_recargas!$M$90*'Plan mensual'!N158</f>
        <v>7786.21013543839</v>
      </c>
      <c r="M144" s="26" t="n">
        <f aca="false">parametros_recargas!$E$90*'Plan mensual'!O149+parametros_recargas!$F$90*'Plan mensual'!O150+parametros_recargas!$G$90*'Plan mensual'!O151+parametros_recargas!$H$90*'Plan mensual'!O152+parametros_recargas!$I$90*'Plan mensual'!O153+parametros_recargas!$J$90*'Plan mensual'!O154+parametros_recargas!$K$90*'Plan mensual'!O155+parametros_recargas!$L$90*'Plan mensual'!O156+parametros_recargas!$M$90*'Plan mensual'!O158</f>
        <v>9047.85856054764</v>
      </c>
      <c r="N144" s="12" t="n">
        <f aca="false">SUM(B144:M144)</f>
        <v>87427.6263035896</v>
      </c>
      <c r="O144" s="27" t="n">
        <f aca="false">MAX(B144:M144)</f>
        <v>9047.85856054764</v>
      </c>
      <c r="P144" s="16" t="n">
        <f aca="false">O144/parametros_recargas!$B$6</f>
        <v>60.3190570703176</v>
      </c>
    </row>
    <row r="145" customFormat="false" ht="15" hidden="false" customHeight="false" outlineLevel="0" collapsed="false">
      <c r="A145" s="6" t="str">
        <f aca="false">parametros_recargas!$B$91</f>
        <v>Ensamblaje y marbete — recinto</v>
      </c>
      <c r="B145" s="26" t="n">
        <f aca="false">parametros_recargas!$E$91*'Plan mensual'!D149+parametros_recargas!$F$91*'Plan mensual'!D150+parametros_recargas!$G$91*'Plan mensual'!D151+parametros_recargas!$H$91*'Plan mensual'!D152+parametros_recargas!$I$91*'Plan mensual'!D153+parametros_recargas!$J$91*'Plan mensual'!D154+parametros_recargas!$K$91*'Plan mensual'!D155+parametros_recargas!$L$91*'Plan mensual'!D156+parametros_recargas!$M$91*'Plan mensual'!D158</f>
        <v>8343.5856595881</v>
      </c>
      <c r="C145" s="26" t="n">
        <f aca="false">parametros_recargas!$E$91*'Plan mensual'!E149+parametros_recargas!$F$91*'Plan mensual'!E150+parametros_recargas!$G$91*'Plan mensual'!E151+parametros_recargas!$H$91*'Plan mensual'!E152+parametros_recargas!$I$91*'Plan mensual'!E153+parametros_recargas!$J$91*'Plan mensual'!E154+parametros_recargas!$K$91*'Plan mensual'!E155+parametros_recargas!$L$91*'Plan mensual'!E156+parametros_recargas!$M$91*'Plan mensual'!E158</f>
        <v>7154.74415578699</v>
      </c>
      <c r="D145" s="26" t="n">
        <f aca="false">parametros_recargas!$E$91*'Plan mensual'!F149+parametros_recargas!$F$91*'Plan mensual'!F150+parametros_recargas!$G$91*'Plan mensual'!F151+parametros_recargas!$H$91*'Plan mensual'!F152+parametros_recargas!$I$91*'Plan mensual'!F153+parametros_recargas!$J$91*'Plan mensual'!F154+parametros_recargas!$K$91*'Plan mensual'!F155+parametros_recargas!$L$91*'Plan mensual'!F156+parametros_recargas!$M$91*'Plan mensual'!F158</f>
        <v>6650.71797129429</v>
      </c>
      <c r="E145" s="26" t="n">
        <f aca="false">parametros_recargas!$E$91*'Plan mensual'!G149+parametros_recargas!$F$91*'Plan mensual'!G150+parametros_recargas!$G$91*'Plan mensual'!G151+parametros_recargas!$H$91*'Plan mensual'!G152+parametros_recargas!$I$91*'Plan mensual'!G153+parametros_recargas!$J$91*'Plan mensual'!G154+parametros_recargas!$K$91*'Plan mensual'!G155+parametros_recargas!$L$91*'Plan mensual'!G156+parametros_recargas!$M$91*'Plan mensual'!G158</f>
        <v>7296.37594720797</v>
      </c>
      <c r="F145" s="26" t="n">
        <f aca="false">parametros_recargas!$E$91*'Plan mensual'!H149+parametros_recargas!$F$91*'Plan mensual'!H150+parametros_recargas!$G$91*'Plan mensual'!H151+parametros_recargas!$H$91*'Plan mensual'!H152+parametros_recargas!$I$91*'Plan mensual'!H153+parametros_recargas!$J$91*'Plan mensual'!H154+parametros_recargas!$K$91*'Plan mensual'!H155+parametros_recargas!$L$91*'Plan mensual'!H156+parametros_recargas!$M$91*'Plan mensual'!H158</f>
        <v>7346.62268375424</v>
      </c>
      <c r="G145" s="26" t="n">
        <f aca="false">parametros_recargas!$E$91*'Plan mensual'!I149+parametros_recargas!$F$91*'Plan mensual'!I150+parametros_recargas!$G$91*'Plan mensual'!I151+parametros_recargas!$H$91*'Plan mensual'!I152+parametros_recargas!$I$91*'Plan mensual'!I153+parametros_recargas!$J$91*'Plan mensual'!I154+parametros_recargas!$K$91*'Plan mensual'!I155+parametros_recargas!$L$91*'Plan mensual'!I156+parametros_recargas!$M$91*'Plan mensual'!I158</f>
        <v>7276.12254979454</v>
      </c>
      <c r="H145" s="26" t="n">
        <f aca="false">parametros_recargas!$E$91*'Plan mensual'!J149+parametros_recargas!$F$91*'Plan mensual'!J150+parametros_recargas!$G$91*'Plan mensual'!J151+parametros_recargas!$H$91*'Plan mensual'!J152+parametros_recargas!$I$91*'Plan mensual'!J153+parametros_recargas!$J$91*'Plan mensual'!J154+parametros_recargas!$K$91*'Plan mensual'!J155+parametros_recargas!$L$91*'Plan mensual'!J156+parametros_recargas!$M$91*'Plan mensual'!J158</f>
        <v>6520.93331306009</v>
      </c>
      <c r="I145" s="26" t="n">
        <f aca="false">parametros_recargas!$E$91*'Plan mensual'!K149+parametros_recargas!$F$91*'Plan mensual'!K150+parametros_recargas!$G$91*'Plan mensual'!K151+parametros_recargas!$H$91*'Plan mensual'!K152+parametros_recargas!$I$91*'Plan mensual'!K153+parametros_recargas!$J$91*'Plan mensual'!K154+parametros_recargas!$K$91*'Plan mensual'!K155+parametros_recargas!$L$91*'Plan mensual'!K156+parametros_recargas!$M$91*'Plan mensual'!K158</f>
        <v>6580.87039000468</v>
      </c>
      <c r="J145" s="26" t="n">
        <f aca="false">parametros_recargas!$E$91*'Plan mensual'!L149+parametros_recargas!$F$91*'Plan mensual'!L150+parametros_recargas!$G$91*'Plan mensual'!L151+parametros_recargas!$H$91*'Plan mensual'!L152+parametros_recargas!$I$91*'Plan mensual'!L153+parametros_recargas!$J$91*'Plan mensual'!L154+parametros_recargas!$K$91*'Plan mensual'!L155+parametros_recargas!$L$91*'Plan mensual'!L156+parametros_recargas!$M$91*'Plan mensual'!L158</f>
        <v>6641.20765604502</v>
      </c>
      <c r="K145" s="26" t="n">
        <f aca="false">parametros_recargas!$E$91*'Plan mensual'!M149+parametros_recargas!$F$91*'Plan mensual'!M150+parametros_recargas!$G$91*'Plan mensual'!M151+parametros_recargas!$H$91*'Plan mensual'!M152+parametros_recargas!$I$91*'Plan mensual'!M153+parametros_recargas!$J$91*'Plan mensual'!M154+parametros_recargas!$K$91*'Plan mensual'!M155+parametros_recargas!$L$91*'Plan mensual'!M156+parametros_recargas!$M$91*'Plan mensual'!M158</f>
        <v>6639.75684339347</v>
      </c>
      <c r="L145" s="26" t="n">
        <f aca="false">parametros_recargas!$E$91*'Plan mensual'!N149+parametros_recargas!$F$91*'Plan mensual'!N150+parametros_recargas!$G$91*'Plan mensual'!N151+parametros_recargas!$H$91*'Plan mensual'!N152+parametros_recargas!$I$91*'Plan mensual'!N153+parametros_recargas!$J$91*'Plan mensual'!N154+parametros_recargas!$K$91*'Plan mensual'!N155+parametros_recargas!$L$91*'Plan mensual'!N156+parametros_recargas!$M$91*'Plan mensual'!N158</f>
        <v>7771.94809167097</v>
      </c>
      <c r="M145" s="26" t="n">
        <f aca="false">parametros_recargas!$E$91*'Plan mensual'!O149+parametros_recargas!$F$91*'Plan mensual'!O150+parametros_recargas!$G$91*'Plan mensual'!O151+parametros_recargas!$H$91*'Plan mensual'!O152+parametros_recargas!$I$91*'Plan mensual'!O153+parametros_recargas!$J$91*'Plan mensual'!O154+parametros_recargas!$K$91*'Plan mensual'!O155+parametros_recargas!$L$91*'Plan mensual'!O156+parametros_recargas!$M$91*'Plan mensual'!O158</f>
        <v>9033.59651678023</v>
      </c>
      <c r="N145" s="12" t="n">
        <f aca="false">SUM(B145:M145)</f>
        <v>87256.4817783806</v>
      </c>
      <c r="O145" s="27" t="n">
        <f aca="false">MAX(B145:M145)</f>
        <v>9033.59651678023</v>
      </c>
      <c r="P145" s="16" t="n">
        <f aca="false">O145/parametros_recargas!$B$6</f>
        <v>60.2239767785349</v>
      </c>
    </row>
    <row r="146" customFormat="false" ht="15" hidden="false" customHeight="false" outlineLevel="0" collapsed="false">
      <c r="A146" s="6" t="str">
        <f aca="false">parametros_recargas!$B$92</f>
        <v>Presurización — recinto</v>
      </c>
      <c r="B146" s="26" t="n">
        <f aca="false">parametros_recargas!$E$92*'Plan mensual'!D149+parametros_recargas!$F$92*'Plan mensual'!D150+parametros_recargas!$G$92*'Plan mensual'!D151+parametros_recargas!$H$92*'Plan mensual'!D152+parametros_recargas!$I$92*'Plan mensual'!D153+parametros_recargas!$J$92*'Plan mensual'!D154+parametros_recargas!$K$92*'Plan mensual'!D155+parametros_recargas!$L$92*'Plan mensual'!D156+parametros_recargas!$M$92*'Plan mensual'!D158</f>
        <v>8343.5856595881</v>
      </c>
      <c r="C146" s="26" t="n">
        <f aca="false">parametros_recargas!$E$92*'Plan mensual'!E149+parametros_recargas!$F$92*'Plan mensual'!E150+parametros_recargas!$G$92*'Plan mensual'!E151+parametros_recargas!$H$92*'Plan mensual'!E152+parametros_recargas!$I$92*'Plan mensual'!E153+parametros_recargas!$J$92*'Plan mensual'!E154+parametros_recargas!$K$92*'Plan mensual'!E155+parametros_recargas!$L$92*'Plan mensual'!E156+parametros_recargas!$M$92*'Plan mensual'!E158</f>
        <v>7154.74415578699</v>
      </c>
      <c r="D146" s="26" t="n">
        <f aca="false">parametros_recargas!$E$92*'Plan mensual'!F149+parametros_recargas!$F$92*'Plan mensual'!F150+parametros_recargas!$G$92*'Plan mensual'!F151+parametros_recargas!$H$92*'Plan mensual'!F152+parametros_recargas!$I$92*'Plan mensual'!F153+parametros_recargas!$J$92*'Plan mensual'!F154+parametros_recargas!$K$92*'Plan mensual'!F155+parametros_recargas!$L$92*'Plan mensual'!F156+parametros_recargas!$M$92*'Plan mensual'!F158</f>
        <v>6650.71797129429</v>
      </c>
      <c r="E146" s="26" t="n">
        <f aca="false">parametros_recargas!$E$92*'Plan mensual'!G149+parametros_recargas!$F$92*'Plan mensual'!G150+parametros_recargas!$G$92*'Plan mensual'!G151+parametros_recargas!$H$92*'Plan mensual'!G152+parametros_recargas!$I$92*'Plan mensual'!G153+parametros_recargas!$J$92*'Plan mensual'!G154+parametros_recargas!$K$92*'Plan mensual'!G155+parametros_recargas!$L$92*'Plan mensual'!G156+parametros_recargas!$M$92*'Plan mensual'!G158</f>
        <v>7296.37594720797</v>
      </c>
      <c r="F146" s="26" t="n">
        <f aca="false">parametros_recargas!$E$92*'Plan mensual'!H149+parametros_recargas!$F$92*'Plan mensual'!H150+parametros_recargas!$G$92*'Plan mensual'!H151+parametros_recargas!$H$92*'Plan mensual'!H152+parametros_recargas!$I$92*'Plan mensual'!H153+parametros_recargas!$J$92*'Plan mensual'!H154+parametros_recargas!$K$92*'Plan mensual'!H155+parametros_recargas!$L$92*'Plan mensual'!H156+parametros_recargas!$M$92*'Plan mensual'!H158</f>
        <v>7346.62268375424</v>
      </c>
      <c r="G146" s="26" t="n">
        <f aca="false">parametros_recargas!$E$92*'Plan mensual'!I149+parametros_recargas!$F$92*'Plan mensual'!I150+parametros_recargas!$G$92*'Plan mensual'!I151+parametros_recargas!$H$92*'Plan mensual'!I152+parametros_recargas!$I$92*'Plan mensual'!I153+parametros_recargas!$J$92*'Plan mensual'!I154+parametros_recargas!$K$92*'Plan mensual'!I155+parametros_recargas!$L$92*'Plan mensual'!I156+parametros_recargas!$M$92*'Plan mensual'!I158</f>
        <v>7276.12254979454</v>
      </c>
      <c r="H146" s="26" t="n">
        <f aca="false">parametros_recargas!$E$92*'Plan mensual'!J149+parametros_recargas!$F$92*'Plan mensual'!J150+parametros_recargas!$G$92*'Plan mensual'!J151+parametros_recargas!$H$92*'Plan mensual'!J152+parametros_recargas!$I$92*'Plan mensual'!J153+parametros_recargas!$J$92*'Plan mensual'!J154+parametros_recargas!$K$92*'Plan mensual'!J155+parametros_recargas!$L$92*'Plan mensual'!J156+parametros_recargas!$M$92*'Plan mensual'!J158</f>
        <v>6520.93331306009</v>
      </c>
      <c r="I146" s="26" t="n">
        <f aca="false">parametros_recargas!$E$92*'Plan mensual'!K149+parametros_recargas!$F$92*'Plan mensual'!K150+parametros_recargas!$G$92*'Plan mensual'!K151+parametros_recargas!$H$92*'Plan mensual'!K152+parametros_recargas!$I$92*'Plan mensual'!K153+parametros_recargas!$J$92*'Plan mensual'!K154+parametros_recargas!$K$92*'Plan mensual'!K155+parametros_recargas!$L$92*'Plan mensual'!K156+parametros_recargas!$M$92*'Plan mensual'!K158</f>
        <v>6580.87039000468</v>
      </c>
      <c r="J146" s="26" t="n">
        <f aca="false">parametros_recargas!$E$92*'Plan mensual'!L149+parametros_recargas!$F$92*'Plan mensual'!L150+parametros_recargas!$G$92*'Plan mensual'!L151+parametros_recargas!$H$92*'Plan mensual'!L152+parametros_recargas!$I$92*'Plan mensual'!L153+parametros_recargas!$J$92*'Plan mensual'!L154+parametros_recargas!$K$92*'Plan mensual'!L155+parametros_recargas!$L$92*'Plan mensual'!L156+parametros_recargas!$M$92*'Plan mensual'!L158</f>
        <v>6641.20765604502</v>
      </c>
      <c r="K146" s="26" t="n">
        <f aca="false">parametros_recargas!$E$92*'Plan mensual'!M149+parametros_recargas!$F$92*'Plan mensual'!M150+parametros_recargas!$G$92*'Plan mensual'!M151+parametros_recargas!$H$92*'Plan mensual'!M152+parametros_recargas!$I$92*'Plan mensual'!M153+parametros_recargas!$J$92*'Plan mensual'!M154+parametros_recargas!$K$92*'Plan mensual'!M155+parametros_recargas!$L$92*'Plan mensual'!M156+parametros_recargas!$M$92*'Plan mensual'!M158</f>
        <v>6639.75684339347</v>
      </c>
      <c r="L146" s="26" t="n">
        <f aca="false">parametros_recargas!$E$92*'Plan mensual'!N149+parametros_recargas!$F$92*'Plan mensual'!N150+parametros_recargas!$G$92*'Plan mensual'!N151+parametros_recargas!$H$92*'Plan mensual'!N152+parametros_recargas!$I$92*'Plan mensual'!N153+parametros_recargas!$J$92*'Plan mensual'!N154+parametros_recargas!$K$92*'Plan mensual'!N155+parametros_recargas!$L$92*'Plan mensual'!N156+parametros_recargas!$M$92*'Plan mensual'!N158</f>
        <v>7771.94809167097</v>
      </c>
      <c r="M146" s="26" t="n">
        <f aca="false">parametros_recargas!$E$92*'Plan mensual'!O149+parametros_recargas!$F$92*'Plan mensual'!O150+parametros_recargas!$G$92*'Plan mensual'!O151+parametros_recargas!$H$92*'Plan mensual'!O152+parametros_recargas!$I$92*'Plan mensual'!O153+parametros_recargas!$J$92*'Plan mensual'!O154+parametros_recargas!$K$92*'Plan mensual'!O155+parametros_recargas!$L$92*'Plan mensual'!O156+parametros_recargas!$M$92*'Plan mensual'!O158</f>
        <v>9033.59651678023</v>
      </c>
      <c r="N146" s="12" t="n">
        <f aca="false">SUM(B146:M146)</f>
        <v>87256.4817783806</v>
      </c>
      <c r="O146" s="27" t="n">
        <f aca="false">MAX(B146:M146)</f>
        <v>9033.59651678023</v>
      </c>
      <c r="P146" s="16" t="n">
        <f aca="false">O146/parametros_recargas!$B$6</f>
        <v>60.2239767785349</v>
      </c>
    </row>
    <row r="147" customFormat="false" ht="15" hidden="false" customHeight="false" outlineLevel="0" collapsed="false">
      <c r="A147" s="6" t="str">
        <f aca="false">parametros_recargas!$B$93</f>
        <v>Ensamblaje y presurización — zona general</v>
      </c>
      <c r="B147" s="26" t="n">
        <f aca="false">parametros_recargas!$E$93*'Plan mensual'!D149+parametros_recargas!$F$93*'Plan mensual'!D150+parametros_recargas!$G$93*'Plan mensual'!D151+parametros_recargas!$H$93*'Plan mensual'!D152+parametros_recargas!$I$93*'Plan mensual'!D153+parametros_recargas!$J$93*'Plan mensual'!D154+parametros_recargas!$K$93*'Plan mensual'!D155+parametros_recargas!$L$93*'Plan mensual'!D156+parametros_recargas!$M$93*'Plan mensual'!D158</f>
        <v>549.479456349851</v>
      </c>
      <c r="C147" s="26" t="n">
        <f aca="false">parametros_recargas!$E$93*'Plan mensual'!E149+parametros_recargas!$F$93*'Plan mensual'!E150+parametros_recargas!$G$93*'Plan mensual'!E151+parametros_recargas!$H$93*'Plan mensual'!E152+parametros_recargas!$I$93*'Plan mensual'!E153+parametros_recargas!$J$93*'Plan mensual'!E154+parametros_recargas!$K$93*'Plan mensual'!E155+parametros_recargas!$L$93*'Plan mensual'!E156+parametros_recargas!$M$93*'Plan mensual'!E158</f>
        <v>549.479456349851</v>
      </c>
      <c r="D147" s="26" t="n">
        <f aca="false">parametros_recargas!$E$93*'Plan mensual'!F149+parametros_recargas!$F$93*'Plan mensual'!F150+parametros_recargas!$G$93*'Plan mensual'!F151+parametros_recargas!$H$93*'Plan mensual'!F152+parametros_recargas!$I$93*'Plan mensual'!F153+parametros_recargas!$J$93*'Plan mensual'!F154+parametros_recargas!$K$93*'Plan mensual'!F155+parametros_recargas!$L$93*'Plan mensual'!F156+parametros_recargas!$M$93*'Plan mensual'!F158</f>
        <v>641.721421819874</v>
      </c>
      <c r="E147" s="26" t="n">
        <f aca="false">parametros_recargas!$E$93*'Plan mensual'!G149+parametros_recargas!$F$93*'Plan mensual'!G150+parametros_recargas!$G$93*'Plan mensual'!G151+parametros_recargas!$H$93*'Plan mensual'!G152+parametros_recargas!$I$93*'Plan mensual'!G153+parametros_recargas!$J$93*'Plan mensual'!G154+parametros_recargas!$K$93*'Plan mensual'!G155+parametros_recargas!$L$93*'Plan mensual'!G156+parametros_recargas!$M$93*'Plan mensual'!G158</f>
        <v>732.096037387883</v>
      </c>
      <c r="F147" s="26" t="n">
        <f aca="false">parametros_recargas!$E$93*'Plan mensual'!H149+parametros_recargas!$F$93*'Plan mensual'!H150+parametros_recargas!$G$93*'Plan mensual'!H151+parametros_recargas!$H$93*'Plan mensual'!H152+parametros_recargas!$I$93*'Plan mensual'!H153+parametros_recargas!$J$93*'Plan mensual'!H154+parametros_recargas!$K$93*'Plan mensual'!H155+parametros_recargas!$L$93*'Plan mensual'!H156+parametros_recargas!$M$93*'Plan mensual'!H158</f>
        <v>737.734164882118</v>
      </c>
      <c r="G147" s="26" t="n">
        <f aca="false">parametros_recargas!$E$93*'Plan mensual'!I149+parametros_recargas!$F$93*'Plan mensual'!I150+parametros_recargas!$G$93*'Plan mensual'!I151+parametros_recargas!$H$93*'Plan mensual'!I152+parametros_recargas!$I$93*'Plan mensual'!I153+parametros_recargas!$J$93*'Plan mensual'!I154+parametros_recargas!$K$93*'Plan mensual'!I155+parametros_recargas!$L$93*'Plan mensual'!I156+parametros_recargas!$M$93*'Plan mensual'!I158</f>
        <v>723.499272331375</v>
      </c>
      <c r="H147" s="26" t="n">
        <f aca="false">parametros_recargas!$E$93*'Plan mensual'!J149+parametros_recargas!$F$93*'Plan mensual'!J150+parametros_recargas!$G$93*'Plan mensual'!J151+parametros_recargas!$H$93*'Plan mensual'!J152+parametros_recargas!$I$93*'Plan mensual'!J153+parametros_recargas!$J$93*'Plan mensual'!J154+parametros_recargas!$K$93*'Plan mensual'!J155+parametros_recargas!$L$93*'Plan mensual'!J156+parametros_recargas!$M$93*'Plan mensual'!J158</f>
        <v>618.52353694028</v>
      </c>
      <c r="I147" s="26" t="n">
        <f aca="false">parametros_recargas!$E$93*'Plan mensual'!K149+parametros_recargas!$F$93*'Plan mensual'!K150+parametros_recargas!$G$93*'Plan mensual'!K151+parametros_recargas!$H$93*'Plan mensual'!K152+parametros_recargas!$I$93*'Plan mensual'!K153+parametros_recargas!$J$93*'Plan mensual'!K154+parametros_recargas!$K$93*'Plan mensual'!K155+parametros_recargas!$L$93*'Plan mensual'!K156+parametros_recargas!$M$93*'Plan mensual'!K158</f>
        <v>622.660541804843</v>
      </c>
      <c r="J147" s="26" t="n">
        <f aca="false">parametros_recargas!$E$93*'Plan mensual'!L149+parametros_recargas!$F$93*'Plan mensual'!L150+parametros_recargas!$G$93*'Plan mensual'!L151+parametros_recargas!$H$93*'Plan mensual'!L152+parametros_recargas!$I$93*'Plan mensual'!L153+parametros_recargas!$J$93*'Plan mensual'!L154+parametros_recargas!$K$93*'Plan mensual'!L155+parametros_recargas!$L$93*'Plan mensual'!L156+parametros_recargas!$M$93*'Plan mensual'!L158</f>
        <v>635.941838033264</v>
      </c>
      <c r="K147" s="26" t="n">
        <f aca="false">parametros_recargas!$E$93*'Plan mensual'!M149+parametros_recargas!$F$93*'Plan mensual'!M150+parametros_recargas!$G$93*'Plan mensual'!M151+parametros_recargas!$H$93*'Plan mensual'!M152+parametros_recargas!$I$93*'Plan mensual'!M153+parametros_recargas!$J$93*'Plan mensual'!M154+parametros_recargas!$K$93*'Plan mensual'!M155+parametros_recargas!$L$93*'Plan mensual'!M156+parametros_recargas!$M$93*'Plan mensual'!M158</f>
        <v>635.941838033264</v>
      </c>
      <c r="L147" s="26" t="n">
        <f aca="false">parametros_recargas!$E$93*'Plan mensual'!N149+parametros_recargas!$F$93*'Plan mensual'!N150+parametros_recargas!$G$93*'Plan mensual'!N151+parametros_recargas!$H$93*'Plan mensual'!N152+parametros_recargas!$I$93*'Plan mensual'!N153+parametros_recargas!$J$93*'Plan mensual'!N154+parametros_recargas!$K$93*'Plan mensual'!N155+parametros_recargas!$L$93*'Plan mensual'!N156+parametros_recargas!$M$93*'Plan mensual'!N158</f>
        <v>630.303710539029</v>
      </c>
      <c r="M147" s="26" t="n">
        <f aca="false">parametros_recargas!$E$93*'Plan mensual'!O149+parametros_recargas!$F$93*'Plan mensual'!O150+parametros_recargas!$G$93*'Plan mensual'!O151+parametros_recargas!$H$93*'Plan mensual'!O152+parametros_recargas!$I$93*'Plan mensual'!O153+parametros_recargas!$J$93*'Plan mensual'!O154+parametros_recargas!$K$93*'Plan mensual'!O155+parametros_recargas!$L$93*'Plan mensual'!O156+parametros_recargas!$M$93*'Plan mensual'!O158</f>
        <v>644.538603089772</v>
      </c>
      <c r="N147" s="12" t="n">
        <f aca="false">SUM(B147:M147)</f>
        <v>7721.9198775614</v>
      </c>
      <c r="O147" s="27" t="n">
        <f aca="false">MAX(B147:M147)</f>
        <v>737.734164882118</v>
      </c>
      <c r="P147" s="16" t="n">
        <f aca="false">O147/parametros_recargas!$B$6</f>
        <v>4.91822776588079</v>
      </c>
    </row>
    <row r="148" customFormat="false" ht="15" hidden="false" customHeight="false" outlineLevel="0" collapsed="false">
      <c r="A148" s="6" t="str">
        <f aca="false">parametros_recargas!$B$94</f>
        <v>Control de peso (CO₂ y halogenados sin recarga)</v>
      </c>
      <c r="B148" s="26" t="n">
        <f aca="false">parametros_recargas!$E$94*'Plan mensual'!D149+parametros_recargas!$F$94*'Plan mensual'!D150+parametros_recargas!$G$94*'Plan mensual'!D151+parametros_recargas!$H$94*'Plan mensual'!D152+parametros_recargas!$I$94*'Plan mensual'!D153+parametros_recargas!$J$94*'Plan mensual'!D154+parametros_recargas!$K$94*'Plan mensual'!D155+parametros_recargas!$L$94*'Plan mensual'!D156+parametros_recargas!$M$94*'Plan mensual'!D158</f>
        <v>363.520544473813</v>
      </c>
      <c r="C148" s="26" t="n">
        <f aca="false">parametros_recargas!$E$94*'Plan mensual'!E149+parametros_recargas!$F$94*'Plan mensual'!E150+parametros_recargas!$G$94*'Plan mensual'!E151+parametros_recargas!$H$94*'Plan mensual'!E152+parametros_recargas!$I$94*'Plan mensual'!E153+parametros_recargas!$J$94*'Plan mensual'!E154+parametros_recargas!$K$94*'Plan mensual'!E155+parametros_recargas!$L$94*'Plan mensual'!E156+parametros_recargas!$M$94*'Plan mensual'!E158</f>
        <v>363.520544473813</v>
      </c>
      <c r="D148" s="26" t="n">
        <f aca="false">parametros_recargas!$E$94*'Plan mensual'!F149+parametros_recargas!$F$94*'Plan mensual'!F150+parametros_recargas!$G$94*'Plan mensual'!F151+parametros_recargas!$H$94*'Plan mensual'!F152+parametros_recargas!$I$94*'Plan mensual'!F153+parametros_recargas!$J$94*'Plan mensual'!F154+parametros_recargas!$K$94*'Plan mensual'!F155+parametros_recargas!$L$94*'Plan mensual'!F156+parametros_recargas!$M$94*'Plan mensual'!F158</f>
        <v>454.569515782743</v>
      </c>
      <c r="E148" s="26" t="n">
        <f aca="false">parametros_recargas!$E$94*'Plan mensual'!G149+parametros_recargas!$F$94*'Plan mensual'!G150+parametros_recargas!$G$94*'Plan mensual'!G151+parametros_recargas!$H$94*'Plan mensual'!G152+parametros_recargas!$I$94*'Plan mensual'!G153+parametros_recargas!$J$94*'Plan mensual'!G154+parametros_recargas!$K$94*'Plan mensual'!G155+parametros_recargas!$L$94*'Plan mensual'!G156+parametros_recargas!$M$94*'Plan mensual'!G158</f>
        <v>545.014627963692</v>
      </c>
      <c r="F148" s="26" t="n">
        <f aca="false">parametros_recargas!$E$94*'Plan mensual'!H149+parametros_recargas!$F$94*'Plan mensual'!H150+parametros_recargas!$G$94*'Plan mensual'!H151+parametros_recargas!$H$94*'Plan mensual'!H152+parametros_recargas!$I$94*'Plan mensual'!H153+parametros_recargas!$J$94*'Plan mensual'!H154+parametros_recargas!$K$94*'Plan mensual'!H155+parametros_recargas!$L$94*'Plan mensual'!H156+parametros_recargas!$M$94*'Plan mensual'!H158</f>
        <v>548.633296466718</v>
      </c>
      <c r="G148" s="26" t="n">
        <f aca="false">parametros_recargas!$E$94*'Plan mensual'!I149+parametros_recargas!$F$94*'Plan mensual'!I150+parametros_recargas!$G$94*'Plan mensual'!I151+parametros_recargas!$H$94*'Plan mensual'!I152+parametros_recargas!$I$94*'Plan mensual'!I153+parametros_recargas!$J$94*'Plan mensual'!I154+parametros_recargas!$K$94*'Plan mensual'!I155+parametros_recargas!$L$94*'Plan mensual'!I156+parametros_recargas!$M$94*'Plan mensual'!I158</f>
        <v>536.712988095036</v>
      </c>
      <c r="H148" s="26" t="n">
        <f aca="false">parametros_recargas!$E$94*'Plan mensual'!J149+parametros_recargas!$F$94*'Plan mensual'!J150+parametros_recargas!$G$94*'Plan mensual'!J151+parametros_recargas!$H$94*'Plan mensual'!J152+parametros_recargas!$I$94*'Plan mensual'!J153+parametros_recargas!$J$94*'Plan mensual'!J154+parametros_recargas!$K$94*'Plan mensual'!J155+parametros_recargas!$L$94*'Plan mensual'!J156+parametros_recargas!$M$94*'Plan mensual'!J158</f>
        <v>436.950555789713</v>
      </c>
      <c r="I148" s="26" t="n">
        <f aca="false">parametros_recargas!$E$94*'Plan mensual'!K149+parametros_recargas!$F$94*'Plan mensual'!K150+parametros_recargas!$G$94*'Plan mensual'!K151+parametros_recargas!$H$94*'Plan mensual'!K152+parametros_recargas!$I$94*'Plan mensual'!K153+parametros_recargas!$J$94*'Plan mensual'!K154+parametros_recargas!$K$94*'Plan mensual'!K155+parametros_recargas!$L$94*'Plan mensual'!K156+parametros_recargas!$M$94*'Plan mensual'!K158</f>
        <v>437.36237691745</v>
      </c>
      <c r="J148" s="26" t="n">
        <f aca="false">parametros_recargas!$E$94*'Plan mensual'!L149+parametros_recargas!$F$94*'Plan mensual'!L150+parametros_recargas!$G$94*'Plan mensual'!L151+parametros_recargas!$H$94*'Plan mensual'!L152+parametros_recargas!$I$94*'Plan mensual'!L153+parametros_recargas!$J$94*'Plan mensual'!L154+parametros_recargas!$K$94*'Plan mensual'!L155+parametros_recargas!$L$94*'Plan mensual'!L156+parametros_recargas!$M$94*'Plan mensual'!L158</f>
        <v>448.096302099134</v>
      </c>
      <c r="K148" s="26" t="n">
        <f aca="false">parametros_recargas!$E$94*'Plan mensual'!M149+parametros_recargas!$F$94*'Plan mensual'!M150+parametros_recargas!$G$94*'Plan mensual'!M151+parametros_recargas!$H$94*'Plan mensual'!M152+parametros_recargas!$I$94*'Plan mensual'!M153+parametros_recargas!$J$94*'Plan mensual'!M154+parametros_recargas!$K$94*'Plan mensual'!M155+parametros_recargas!$L$94*'Plan mensual'!M156+parametros_recargas!$M$94*'Plan mensual'!M158</f>
        <v>448.096302099134</v>
      </c>
      <c r="L148" s="26" t="n">
        <f aca="false">parametros_recargas!$E$94*'Plan mensual'!N149+parametros_recargas!$F$94*'Plan mensual'!N150+parametros_recargas!$G$94*'Plan mensual'!N151+parametros_recargas!$H$94*'Plan mensual'!N152+parametros_recargas!$I$94*'Plan mensual'!N153+parametros_recargas!$J$94*'Plan mensual'!N154+parametros_recargas!$K$94*'Plan mensual'!N155+parametros_recargas!$L$94*'Plan mensual'!N156+parametros_recargas!$M$94*'Plan mensual'!N158</f>
        <v>444.477633596107</v>
      </c>
      <c r="M148" s="26" t="n">
        <f aca="false">parametros_recargas!$E$94*'Plan mensual'!O149+parametros_recargas!$F$94*'Plan mensual'!O150+parametros_recargas!$G$94*'Plan mensual'!O151+parametros_recargas!$H$94*'Plan mensual'!O152+parametros_recargas!$I$94*'Plan mensual'!O153+parametros_recargas!$J$94*'Plan mensual'!O154+parametros_recargas!$K$94*'Plan mensual'!O155+parametros_recargas!$L$94*'Plan mensual'!O156+parametros_recargas!$M$94*'Plan mensual'!O158</f>
        <v>456.39794196779</v>
      </c>
      <c r="N148" s="12" t="n">
        <f aca="false">SUM(B148:M148)</f>
        <v>5483.35262972514</v>
      </c>
      <c r="O148" s="27" t="n">
        <f aca="false">MAX(B148:M148)</f>
        <v>548.633296466718</v>
      </c>
      <c r="P148" s="16" t="n">
        <f aca="false">O148/parametros_recargas!$B$6</f>
        <v>3.65755530977812</v>
      </c>
    </row>
    <row r="149" customFormat="false" ht="15" hidden="false" customHeight="false" outlineLevel="0" collapsed="false">
      <c r="A149" s="6" t="str">
        <f aca="false">parametros_recargas!$B$95</f>
        <v>Ensayo de pérdidas</v>
      </c>
      <c r="B149" s="26" t="n">
        <f aca="false">parametros_recargas!$E$95*'Plan mensual'!D149+parametros_recargas!$F$95*'Plan mensual'!D150+parametros_recargas!$G$95*'Plan mensual'!D151+parametros_recargas!$H$95*'Plan mensual'!D152+parametros_recargas!$I$95*'Plan mensual'!D153+parametros_recargas!$J$95*'Plan mensual'!D154+parametros_recargas!$K$95*'Plan mensual'!D155+parametros_recargas!$L$95*'Plan mensual'!D156+parametros_recargas!$M$95*'Plan mensual'!D158</f>
        <v>9283.112946211</v>
      </c>
      <c r="C149" s="26" t="n">
        <f aca="false">parametros_recargas!$E$95*'Plan mensual'!E149+parametros_recargas!$F$95*'Plan mensual'!E150+parametros_recargas!$G$95*'Plan mensual'!E151+parametros_recargas!$H$95*'Plan mensual'!E152+parametros_recargas!$I$95*'Plan mensual'!E153+parametros_recargas!$J$95*'Plan mensual'!E154+parametros_recargas!$K$95*'Plan mensual'!E155+parametros_recargas!$L$95*'Plan mensual'!E156+parametros_recargas!$M$95*'Plan mensual'!E158</f>
        <v>8094.27144240989</v>
      </c>
      <c r="D149" s="26" t="n">
        <f aca="false">parametros_recargas!$E$95*'Plan mensual'!F149+parametros_recargas!$F$95*'Plan mensual'!F150+parametros_recargas!$G$95*'Plan mensual'!F151+parametros_recargas!$H$95*'Plan mensual'!F152+parametros_recargas!$I$95*'Plan mensual'!F153+parametros_recargas!$J$95*'Plan mensual'!F154+parametros_recargas!$K$95*'Plan mensual'!F155+parametros_recargas!$L$95*'Plan mensual'!F156+parametros_recargas!$M$95*'Plan mensual'!F158</f>
        <v>7780.63172843822</v>
      </c>
      <c r="E149" s="26" t="n">
        <f aca="false">parametros_recargas!$E$95*'Plan mensual'!G149+parametros_recargas!$F$95*'Plan mensual'!G150+parametros_recargas!$G$95*'Plan mensual'!G151+parametros_recargas!$H$95*'Plan mensual'!G152+parametros_recargas!$I$95*'Plan mensual'!G153+parametros_recargas!$J$95*'Plan mensual'!G154+parametros_recargas!$K$95*'Plan mensual'!G155+parametros_recargas!$L$95*'Plan mensual'!G156+parametros_recargas!$M$95*'Plan mensual'!G158</f>
        <v>8614.06674842246</v>
      </c>
      <c r="F149" s="26" t="n">
        <f aca="false">parametros_recargas!$E$95*'Plan mensual'!H149+parametros_recargas!$F$95*'Plan mensual'!H150+parametros_recargas!$G$95*'Plan mensual'!H151+parametros_recargas!$H$95*'Plan mensual'!H152+parametros_recargas!$I$95*'Plan mensual'!H153+parametros_recargas!$J$95*'Plan mensual'!H154+parametros_recargas!$K$95*'Plan mensual'!H155+parametros_recargas!$L$95*'Plan mensual'!H156+parametros_recargas!$M$95*'Plan mensual'!H158</f>
        <v>8673.84864008162</v>
      </c>
      <c r="G149" s="26" t="n">
        <f aca="false">parametros_recargas!$E$95*'Plan mensual'!I149+parametros_recargas!$F$95*'Plan mensual'!I150+parametros_recargas!$G$95*'Plan mensual'!I151+parametros_recargas!$H$95*'Plan mensual'!I152+parametros_recargas!$I$95*'Plan mensual'!I153+parametros_recargas!$J$95*'Plan mensual'!I154+parametros_recargas!$K$95*'Plan mensual'!I155+parametros_recargas!$L$95*'Plan mensual'!I156+parametros_recargas!$M$95*'Plan mensual'!I158</f>
        <v>8576.36812511998</v>
      </c>
      <c r="H149" s="26" t="n">
        <f aca="false">parametros_recargas!$E$95*'Plan mensual'!J149+parametros_recargas!$F$95*'Plan mensual'!J150+parametros_recargas!$G$95*'Plan mensual'!J151+parametros_recargas!$H$95*'Plan mensual'!J152+parametros_recargas!$I$95*'Plan mensual'!J153+parametros_recargas!$J$95*'Plan mensual'!J154+parametros_recargas!$K$95*'Plan mensual'!J155+parametros_recargas!$L$95*'Plan mensual'!J156+parametros_recargas!$M$95*'Plan mensual'!J158</f>
        <v>7608.76668743485</v>
      </c>
      <c r="I149" s="26" t="n">
        <f aca="false">parametros_recargas!$E$95*'Plan mensual'!K149+parametros_recargas!$F$95*'Plan mensual'!K150+parametros_recargas!$G$95*'Plan mensual'!K151+parametros_recargas!$H$95*'Plan mensual'!K152+parametros_recargas!$I$95*'Plan mensual'!K153+parametros_recargas!$J$95*'Plan mensual'!K154+parametros_recargas!$K$95*'Plan mensual'!K155+parametros_recargas!$L$95*'Plan mensual'!K156+parametros_recargas!$M$95*'Plan mensual'!K158</f>
        <v>7673.28426892003</v>
      </c>
      <c r="J149" s="26" t="n">
        <f aca="false">parametros_recargas!$E$95*'Plan mensual'!L149+parametros_recargas!$F$95*'Plan mensual'!L150+parametros_recargas!$G$95*'Plan mensual'!L151+parametros_recargas!$H$95*'Plan mensual'!L152+parametros_recargas!$I$95*'Plan mensual'!L153+parametros_recargas!$J$95*'Plan mensual'!L154+parametros_recargas!$K$95*'Plan mensual'!L155+parametros_recargas!$L$95*'Plan mensual'!L156+parametros_recargas!$M$95*'Plan mensual'!L158</f>
        <v>7758.3706762046</v>
      </c>
      <c r="K149" s="26" t="n">
        <f aca="false">parametros_recargas!$E$95*'Plan mensual'!M149+parametros_recargas!$F$95*'Plan mensual'!M150+parametros_recargas!$G$95*'Plan mensual'!M151+parametros_recargas!$H$95*'Plan mensual'!M152+parametros_recargas!$I$95*'Plan mensual'!M153+parametros_recargas!$J$95*'Plan mensual'!M154+parametros_recargas!$K$95*'Plan mensual'!M155+parametros_recargas!$L$95*'Plan mensual'!M156+parametros_recargas!$M$95*'Plan mensual'!M158</f>
        <v>7756.91986355305</v>
      </c>
      <c r="L149" s="26" t="n">
        <f aca="false">parametros_recargas!$E$95*'Plan mensual'!N149+parametros_recargas!$F$95*'Plan mensual'!N150+parametros_recargas!$G$95*'Plan mensual'!N151+parametros_recargas!$H$95*'Plan mensual'!N152+parametros_recargas!$I$95*'Plan mensual'!N153+parametros_recargas!$J$95*'Plan mensual'!N154+parametros_recargas!$K$95*'Plan mensual'!N155+parametros_recargas!$L$95*'Plan mensual'!N156+parametros_recargas!$M$95*'Plan mensual'!N158</f>
        <v>8879.57595671768</v>
      </c>
      <c r="M149" s="26" t="n">
        <f aca="false">parametros_recargas!$E$95*'Plan mensual'!O149+parametros_recargas!$F$95*'Plan mensual'!O150+parametros_recargas!$G$95*'Plan mensual'!O151+parametros_recargas!$H$95*'Plan mensual'!O152+parametros_recargas!$I$95*'Plan mensual'!O153+parametros_recargas!$J$95*'Plan mensual'!O154+parametros_recargas!$K$95*'Plan mensual'!O155+parametros_recargas!$L$95*'Plan mensual'!O156+parametros_recargas!$M$95*'Plan mensual'!O158</f>
        <v>10168.2047628289</v>
      </c>
      <c r="N149" s="12" t="n">
        <f aca="false">SUM(B149:M149)</f>
        <v>100867.421846342</v>
      </c>
      <c r="O149" s="27" t="n">
        <f aca="false">MAX(B149:M149)</f>
        <v>10168.2047628289</v>
      </c>
      <c r="P149" s="16" t="n">
        <f aca="false">O149/parametros_recargas!$B$6</f>
        <v>67.7880317521925</v>
      </c>
    </row>
    <row r="150" customFormat="false" ht="15" hidden="false" customHeight="false" outlineLevel="0" collapsed="false">
      <c r="A150" s="6" t="str">
        <f aca="false">parametros_recargas!$B$96</f>
        <v>Precinto, etiqueta y despacho</v>
      </c>
      <c r="B150" s="26" t="n">
        <f aca="false">parametros_recargas!$E$96*'Plan mensual'!D149+parametros_recargas!$F$96*'Plan mensual'!D150+parametros_recargas!$G$96*'Plan mensual'!D151+parametros_recargas!$H$96*'Plan mensual'!D152+parametros_recargas!$I$96*'Plan mensual'!D153+parametros_recargas!$J$96*'Plan mensual'!D154+parametros_recargas!$K$96*'Plan mensual'!D155+parametros_recargas!$L$96*'Plan mensual'!D156+parametros_recargas!$M$96*'Plan mensual'!D158</f>
        <v>9283.112946211</v>
      </c>
      <c r="C150" s="26" t="n">
        <f aca="false">parametros_recargas!$E$96*'Plan mensual'!E149+parametros_recargas!$F$96*'Plan mensual'!E150+parametros_recargas!$G$96*'Plan mensual'!E151+parametros_recargas!$H$96*'Plan mensual'!E152+parametros_recargas!$I$96*'Plan mensual'!E153+parametros_recargas!$J$96*'Plan mensual'!E154+parametros_recargas!$K$96*'Plan mensual'!E155+parametros_recargas!$L$96*'Plan mensual'!E156+parametros_recargas!$M$96*'Plan mensual'!E158</f>
        <v>8094.27144240989</v>
      </c>
      <c r="D150" s="26" t="n">
        <f aca="false">parametros_recargas!$E$96*'Plan mensual'!F149+parametros_recargas!$F$96*'Plan mensual'!F150+parametros_recargas!$G$96*'Plan mensual'!F151+parametros_recargas!$H$96*'Plan mensual'!F152+parametros_recargas!$I$96*'Plan mensual'!F153+parametros_recargas!$J$96*'Plan mensual'!F154+parametros_recargas!$K$96*'Plan mensual'!F155+parametros_recargas!$L$96*'Plan mensual'!F156+parametros_recargas!$M$96*'Plan mensual'!F158</f>
        <v>7780.63172843822</v>
      </c>
      <c r="E150" s="26" t="n">
        <f aca="false">parametros_recargas!$E$96*'Plan mensual'!G149+parametros_recargas!$F$96*'Plan mensual'!G150+parametros_recargas!$G$96*'Plan mensual'!G151+parametros_recargas!$H$96*'Plan mensual'!G152+parametros_recargas!$I$96*'Plan mensual'!G153+parametros_recargas!$J$96*'Plan mensual'!G154+parametros_recargas!$K$96*'Plan mensual'!G155+parametros_recargas!$L$96*'Plan mensual'!G156+parametros_recargas!$M$96*'Plan mensual'!G158</f>
        <v>8614.06674842246</v>
      </c>
      <c r="F150" s="26" t="n">
        <f aca="false">parametros_recargas!$E$96*'Plan mensual'!H149+parametros_recargas!$F$96*'Plan mensual'!H150+parametros_recargas!$G$96*'Plan mensual'!H151+parametros_recargas!$H$96*'Plan mensual'!H152+parametros_recargas!$I$96*'Plan mensual'!H153+parametros_recargas!$J$96*'Plan mensual'!H154+parametros_recargas!$K$96*'Plan mensual'!H155+parametros_recargas!$L$96*'Plan mensual'!H156+parametros_recargas!$M$96*'Plan mensual'!H158</f>
        <v>8673.84864008162</v>
      </c>
      <c r="G150" s="26" t="n">
        <f aca="false">parametros_recargas!$E$96*'Plan mensual'!I149+parametros_recargas!$F$96*'Plan mensual'!I150+parametros_recargas!$G$96*'Plan mensual'!I151+parametros_recargas!$H$96*'Plan mensual'!I152+parametros_recargas!$I$96*'Plan mensual'!I153+parametros_recargas!$J$96*'Plan mensual'!I154+parametros_recargas!$K$96*'Plan mensual'!I155+parametros_recargas!$L$96*'Plan mensual'!I156+parametros_recargas!$M$96*'Plan mensual'!I158</f>
        <v>8576.36812511998</v>
      </c>
      <c r="H150" s="26" t="n">
        <f aca="false">parametros_recargas!$E$96*'Plan mensual'!J149+parametros_recargas!$F$96*'Plan mensual'!J150+parametros_recargas!$G$96*'Plan mensual'!J151+parametros_recargas!$H$96*'Plan mensual'!J152+parametros_recargas!$I$96*'Plan mensual'!J153+parametros_recargas!$J$96*'Plan mensual'!J154+parametros_recargas!$K$96*'Plan mensual'!J155+parametros_recargas!$L$96*'Plan mensual'!J156+parametros_recargas!$M$96*'Plan mensual'!J158</f>
        <v>7608.76668743485</v>
      </c>
      <c r="I150" s="26" t="n">
        <f aca="false">parametros_recargas!$E$96*'Plan mensual'!K149+parametros_recargas!$F$96*'Plan mensual'!K150+parametros_recargas!$G$96*'Plan mensual'!K151+parametros_recargas!$H$96*'Plan mensual'!K152+parametros_recargas!$I$96*'Plan mensual'!K153+parametros_recargas!$J$96*'Plan mensual'!K154+parametros_recargas!$K$96*'Plan mensual'!K155+parametros_recargas!$L$96*'Plan mensual'!K156+parametros_recargas!$M$96*'Plan mensual'!K158</f>
        <v>7673.28426892003</v>
      </c>
      <c r="J150" s="26" t="n">
        <f aca="false">parametros_recargas!$E$96*'Plan mensual'!L149+parametros_recargas!$F$96*'Plan mensual'!L150+parametros_recargas!$G$96*'Plan mensual'!L151+parametros_recargas!$H$96*'Plan mensual'!L152+parametros_recargas!$I$96*'Plan mensual'!L153+parametros_recargas!$J$96*'Plan mensual'!L154+parametros_recargas!$K$96*'Plan mensual'!L155+parametros_recargas!$L$96*'Plan mensual'!L156+parametros_recargas!$M$96*'Plan mensual'!L158</f>
        <v>7758.3706762046</v>
      </c>
      <c r="K150" s="26" t="n">
        <f aca="false">parametros_recargas!$E$96*'Plan mensual'!M149+parametros_recargas!$F$96*'Plan mensual'!M150+parametros_recargas!$G$96*'Plan mensual'!M151+parametros_recargas!$H$96*'Plan mensual'!M152+parametros_recargas!$I$96*'Plan mensual'!M153+parametros_recargas!$J$96*'Plan mensual'!M154+parametros_recargas!$K$96*'Plan mensual'!M155+parametros_recargas!$L$96*'Plan mensual'!M156+parametros_recargas!$M$96*'Plan mensual'!M158</f>
        <v>7756.91986355305</v>
      </c>
      <c r="L150" s="26" t="n">
        <f aca="false">parametros_recargas!$E$96*'Plan mensual'!N149+parametros_recargas!$F$96*'Plan mensual'!N150+parametros_recargas!$G$96*'Plan mensual'!N151+parametros_recargas!$H$96*'Plan mensual'!N152+parametros_recargas!$I$96*'Plan mensual'!N153+parametros_recargas!$J$96*'Plan mensual'!N154+parametros_recargas!$K$96*'Plan mensual'!N155+parametros_recargas!$L$96*'Plan mensual'!N156+parametros_recargas!$M$96*'Plan mensual'!N158</f>
        <v>8879.57595671768</v>
      </c>
      <c r="M150" s="26" t="n">
        <f aca="false">parametros_recargas!$E$96*'Plan mensual'!O149+parametros_recargas!$F$96*'Plan mensual'!O150+parametros_recargas!$G$96*'Plan mensual'!O151+parametros_recargas!$H$96*'Plan mensual'!O152+parametros_recargas!$I$96*'Plan mensual'!O153+parametros_recargas!$J$96*'Plan mensual'!O154+parametros_recargas!$K$96*'Plan mensual'!O155+parametros_recargas!$L$96*'Plan mensual'!O156+parametros_recargas!$M$96*'Plan mensual'!O158</f>
        <v>10168.2047628289</v>
      </c>
      <c r="N150" s="12" t="n">
        <f aca="false">SUM(B150:M150)</f>
        <v>100867.421846342</v>
      </c>
      <c r="O150" s="27" t="n">
        <f aca="false">MAX(B150:M150)</f>
        <v>10168.2047628289</v>
      </c>
      <c r="P150" s="16" t="n">
        <f aca="false">O150/parametros_recargas!$B$6</f>
        <v>67.7880317521925</v>
      </c>
    </row>
    <row r="151" customFormat="false" ht="15" hidden="false" customHeight="false" outlineLevel="0" collapsed="false">
      <c r="A151" s="6" t="str">
        <f aca="false">parametros_recargas!$B$97</f>
        <v>Inutilización y disposición final</v>
      </c>
      <c r="B151" s="26" t="n">
        <f aca="false">parametros_recargas!$E$97*'Plan mensual'!D149+parametros_recargas!$F$97*'Plan mensual'!D150+parametros_recargas!$G$97*'Plan mensual'!D151+parametros_recargas!$H$97*'Plan mensual'!D152+parametros_recargas!$I$97*'Plan mensual'!D153+parametros_recargas!$J$97*'Plan mensual'!D154+parametros_recargas!$K$97*'Plan mensual'!D155+parametros_recargas!$L$97*'Plan mensual'!D156+parametros_recargas!$M$97*'Plan mensual'!D158</f>
        <v>731.955806494081</v>
      </c>
      <c r="C151" s="26" t="n">
        <f aca="false">parametros_recargas!$E$97*'Plan mensual'!E149+parametros_recargas!$F$97*'Plan mensual'!E150+parametros_recargas!$G$97*'Plan mensual'!E151+parametros_recargas!$H$97*'Plan mensual'!E152+parametros_recargas!$I$97*'Plan mensual'!E153+parametros_recargas!$J$97*'Plan mensual'!E154+parametros_recargas!$K$97*'Plan mensual'!E155+parametros_recargas!$L$97*'Plan mensual'!E156+parametros_recargas!$M$97*'Plan mensual'!E158</f>
        <v>637.190007202117</v>
      </c>
      <c r="D151" s="26" t="n">
        <f aca="false">parametros_recargas!$E$97*'Plan mensual'!F149+parametros_recargas!$F$97*'Plan mensual'!F150+parametros_recargas!$G$97*'Plan mensual'!F151+parametros_recargas!$H$97*'Plan mensual'!F152+parametros_recargas!$I$97*'Plan mensual'!F153+parametros_recargas!$J$97*'Plan mensual'!F154+parametros_recargas!$K$97*'Plan mensual'!F155+parametros_recargas!$L$97*'Plan mensual'!F156+parametros_recargas!$M$97*'Plan mensual'!F158</f>
        <v>609.597130652173</v>
      </c>
      <c r="E151" s="26" t="n">
        <f aca="false">parametros_recargas!$E$97*'Plan mensual'!G149+parametros_recargas!$F$97*'Plan mensual'!G150+parametros_recargas!$G$97*'Plan mensual'!G151+parametros_recargas!$H$97*'Plan mensual'!G152+parametros_recargas!$I$97*'Plan mensual'!G153+parametros_recargas!$J$97*'Plan mensual'!G154+parametros_recargas!$K$97*'Plan mensual'!G155+parametros_recargas!$L$97*'Plan mensual'!G156+parametros_recargas!$M$97*'Plan mensual'!G158</f>
        <v>673.952826810375</v>
      </c>
      <c r="F151" s="26" t="n">
        <f aca="false">parametros_recargas!$E$97*'Plan mensual'!H149+parametros_recargas!$F$97*'Plan mensual'!H150+parametros_recargas!$G$97*'Plan mensual'!H151+parametros_recargas!$H$97*'Plan mensual'!H152+parametros_recargas!$I$97*'Plan mensual'!H153+parametros_recargas!$J$97*'Plan mensual'!H154+parametros_recargas!$K$97*'Plan mensual'!H155+parametros_recargas!$L$97*'Plan mensual'!H156+parametros_recargas!$M$97*'Plan mensual'!H158</f>
        <v>678.717743771234</v>
      </c>
      <c r="G151" s="26" t="n">
        <f aca="false">parametros_recargas!$E$97*'Plan mensual'!I149+parametros_recargas!$F$97*'Plan mensual'!I150+parametros_recargas!$G$97*'Plan mensual'!I151+parametros_recargas!$H$97*'Plan mensual'!I152+parametros_recargas!$I$97*'Plan mensual'!I153+parametros_recargas!$J$97*'Plan mensual'!I154+parametros_recargas!$K$97*'Plan mensual'!I155+parametros_recargas!$L$97*'Plan mensual'!I156+parametros_recargas!$M$97*'Plan mensual'!I158</f>
        <v>671.310427612932</v>
      </c>
      <c r="H151" s="26" t="n">
        <f aca="false">parametros_recargas!$E$97*'Plan mensual'!J149+parametros_recargas!$F$97*'Plan mensual'!J150+parametros_recargas!$G$97*'Plan mensual'!J151+parametros_recargas!$H$97*'Plan mensual'!J152+parametros_recargas!$I$97*'Plan mensual'!J153+parametros_recargas!$J$97*'Plan mensual'!J154+parametros_recargas!$K$97*'Plan mensual'!J155+parametros_recargas!$L$97*'Plan mensual'!J156+parametros_recargas!$M$97*'Plan mensual'!J158</f>
        <v>596.344258670749</v>
      </c>
      <c r="I151" s="26" t="n">
        <f aca="false">parametros_recargas!$E$97*'Plan mensual'!K149+parametros_recargas!$F$97*'Plan mensual'!K150+parametros_recargas!$G$97*'Plan mensual'!K151+parametros_recargas!$H$97*'Plan mensual'!K152+parametros_recargas!$I$97*'Plan mensual'!K153+parametros_recargas!$J$97*'Plan mensual'!K154+parametros_recargas!$K$97*'Plan mensual'!K155+parametros_recargas!$L$97*'Plan mensual'!K156+parametros_recargas!$M$97*'Plan mensual'!K158</f>
        <v>601.495105673468</v>
      </c>
      <c r="J151" s="26" t="n">
        <f aca="false">parametros_recargas!$E$97*'Plan mensual'!L149+parametros_recargas!$F$97*'Plan mensual'!L150+parametros_recargas!$G$97*'Plan mensual'!L151+parametros_recargas!$H$97*'Plan mensual'!L152+parametros_recargas!$I$97*'Plan mensual'!L153+parametros_recargas!$J$97*'Plan mensual'!L154+parametros_recargas!$K$97*'Plan mensual'!L155+parametros_recargas!$L$97*'Plan mensual'!L156+parametros_recargas!$M$97*'Plan mensual'!L158</f>
        <v>608.077834817586</v>
      </c>
      <c r="K151" s="26" t="n">
        <f aca="false">parametros_recargas!$E$97*'Plan mensual'!M149+parametros_recargas!$F$97*'Plan mensual'!M150+parametros_recargas!$G$97*'Plan mensual'!M151+parametros_recargas!$H$97*'Plan mensual'!M152+parametros_recargas!$I$97*'Plan mensual'!M153+parametros_recargas!$J$97*'Plan mensual'!M154+parametros_recargas!$K$97*'Plan mensual'!M155+parametros_recargas!$L$97*'Plan mensual'!M156+parametros_recargas!$M$97*'Plan mensual'!M158</f>
        <v>608.077834817586</v>
      </c>
      <c r="L151" s="26" t="n">
        <f aca="false">parametros_recargas!$E$97*'Plan mensual'!N149+parametros_recargas!$F$97*'Plan mensual'!N150+parametros_recargas!$G$97*'Plan mensual'!N151+parametros_recargas!$H$97*'Plan mensual'!N152+parametros_recargas!$I$97*'Plan mensual'!N153+parametros_recargas!$J$97*'Plan mensual'!N154+parametros_recargas!$K$97*'Plan mensual'!N155+parametros_recargas!$L$97*'Plan mensual'!N156+parametros_recargas!$M$97*'Plan mensual'!N158</f>
        <v>698.078717148691</v>
      </c>
      <c r="M151" s="26" t="n">
        <f aca="false">parametros_recargas!$E$97*'Plan mensual'!O149+parametros_recargas!$F$97*'Plan mensual'!O150+parametros_recargas!$G$97*'Plan mensual'!O151+parametros_recargas!$H$97*'Plan mensual'!O152+parametros_recargas!$I$97*'Plan mensual'!O153+parametros_recargas!$J$97*'Plan mensual'!O154+parametros_recargas!$K$97*'Plan mensual'!O155+parametros_recargas!$L$97*'Plan mensual'!O156+parametros_recargas!$M$97*'Plan mensual'!O158</f>
        <v>800.251832598958</v>
      </c>
      <c r="N151" s="12" t="n">
        <f aca="false">SUM(B151:M151)</f>
        <v>7915.04952626995</v>
      </c>
      <c r="O151" s="27" t="n">
        <f aca="false">MAX(B151:M151)</f>
        <v>800.251832598958</v>
      </c>
      <c r="P151" s="16" t="n">
        <f aca="false">O151/parametros_recargas!$B$6</f>
        <v>5.33501221732639</v>
      </c>
    </row>
    <row r="152" customFormat="false" ht="15" hidden="false" customHeight="false" outlineLevel="0" collapsed="false">
      <c r="A152" s="6" t="str">
        <f aca="false">parametros_recargas!$B$98</f>
        <v>PH de mangueras (CO₂ y rodantes)</v>
      </c>
      <c r="B152" s="26" t="n">
        <f aca="false">'Plan mensual'!D157</f>
        <v>251.021500178539</v>
      </c>
      <c r="C152" s="26" t="n">
        <f aca="false">'Plan mensual'!E157</f>
        <v>251.021500178539</v>
      </c>
      <c r="D152" s="26" t="n">
        <f aca="false">'Plan mensual'!F157</f>
        <v>272.85220135151</v>
      </c>
      <c r="E152" s="26" t="n">
        <f aca="false">'Plan mensual'!G157</f>
        <v>302.557668273019</v>
      </c>
      <c r="F152" s="26" t="n">
        <f aca="false">'Plan mensual'!H157</f>
        <v>306.081265204598</v>
      </c>
      <c r="G152" s="26" t="n">
        <f aca="false">'Plan mensual'!I157</f>
        <v>293.566947784406</v>
      </c>
      <c r="H152" s="26" t="n">
        <f aca="false">'Plan mensual'!J157</f>
        <v>259.906719445083</v>
      </c>
      <c r="I152" s="26" t="n">
        <f aca="false">'Plan mensual'!K157</f>
        <v>262.745526122823</v>
      </c>
      <c r="J152" s="26" t="n">
        <f aca="false">'Plan mensual'!L157</f>
        <v>273.434638635324</v>
      </c>
      <c r="K152" s="26" t="n">
        <f aca="false">'Plan mensual'!M157</f>
        <v>273.434638635324</v>
      </c>
      <c r="L152" s="26" t="n">
        <f aca="false">'Plan mensual'!N157</f>
        <v>269.911041703746</v>
      </c>
      <c r="M152" s="26" t="n">
        <f aca="false">'Plan mensual'!O157</f>
        <v>282.425359123937</v>
      </c>
      <c r="N152" s="12" t="n">
        <f aca="false">SUM(B152:M152)</f>
        <v>3298.95900663685</v>
      </c>
      <c r="O152" s="27" t="n">
        <f aca="false">MAX(B152:M152)</f>
        <v>306.081265204598</v>
      </c>
      <c r="P152" s="16" t="n">
        <f aca="false">O152/parametros_recargas!$B$6</f>
        <v>2.04054176803065</v>
      </c>
    </row>
    <row r="161" customFormat="false" ht="23.85" hidden="false" customHeight="false" outlineLevel="0" collapsed="false">
      <c r="A161" s="3" t="s">
        <v>397</v>
      </c>
      <c r="B161" s="3" t="s">
        <v>64</v>
      </c>
      <c r="C161" s="3" t="s">
        <v>65</v>
      </c>
      <c r="D161" s="3" t="s">
        <v>66</v>
      </c>
      <c r="E161" s="3" t="s">
        <v>67</v>
      </c>
      <c r="F161" s="3" t="s">
        <v>68</v>
      </c>
      <c r="G161" s="3" t="s">
        <v>69</v>
      </c>
      <c r="H161" s="3" t="s">
        <v>70</v>
      </c>
      <c r="I161" s="3" t="s">
        <v>71</v>
      </c>
      <c r="J161" s="3" t="s">
        <v>72</v>
      </c>
      <c r="K161" s="3" t="s">
        <v>73</v>
      </c>
      <c r="L161" s="3" t="s">
        <v>74</v>
      </c>
      <c r="M161" s="3" t="s">
        <v>75</v>
      </c>
      <c r="N161" s="3" t="s">
        <v>390</v>
      </c>
      <c r="O161" s="3" t="s">
        <v>391</v>
      </c>
      <c r="P161" s="3" t="s">
        <v>392</v>
      </c>
    </row>
    <row r="162" customFormat="false" ht="15" hidden="false" customHeight="false" outlineLevel="0" collapsed="false">
      <c r="A162" s="6" t="str">
        <f aca="false">parametros_recargas!$B$76</f>
        <v>Recepción y registro</v>
      </c>
      <c r="B162" s="26" t="n">
        <f aca="false">parametros_recargas!$E$76*'Plan mensual'!D181+parametros_recargas!$F$76*'Plan mensual'!D182+parametros_recargas!$G$76*'Plan mensual'!D183+parametros_recargas!$H$76*'Plan mensual'!D184+parametros_recargas!$I$76*'Plan mensual'!D185+parametros_recargas!$J$76*'Plan mensual'!D186+parametros_recargas!$K$76*'Plan mensual'!D187+parametros_recargas!$L$76*'Plan mensual'!D188+parametros_recargas!$M$76*'Plan mensual'!D190</f>
        <v>12691.039529498</v>
      </c>
      <c r="C162" s="26" t="n">
        <f aca="false">parametros_recargas!$E$76*'Plan mensual'!E181+parametros_recargas!$F$76*'Plan mensual'!E182+parametros_recargas!$G$76*'Plan mensual'!E183+parametros_recargas!$H$76*'Plan mensual'!E184+parametros_recargas!$I$76*'Plan mensual'!E185+parametros_recargas!$J$76*'Plan mensual'!E186+parametros_recargas!$K$76*'Plan mensual'!E187+parametros_recargas!$L$76*'Plan mensual'!E188+parametros_recargas!$M$76*'Plan mensual'!E190</f>
        <v>11038.9292241107</v>
      </c>
      <c r="D162" s="26" t="n">
        <f aca="false">parametros_recargas!$E$76*'Plan mensual'!F181+parametros_recargas!$F$76*'Plan mensual'!F182+parametros_recargas!$G$76*'Plan mensual'!F183+parametros_recargas!$H$76*'Plan mensual'!F184+parametros_recargas!$I$76*'Plan mensual'!F185+parametros_recargas!$J$76*'Plan mensual'!F186+parametros_recargas!$K$76*'Plan mensual'!F187+parametros_recargas!$L$76*'Plan mensual'!F188+parametros_recargas!$M$76*'Plan mensual'!F190</f>
        <v>10548.7005777477</v>
      </c>
      <c r="E162" s="26" t="n">
        <f aca="false">parametros_recargas!$E$76*'Plan mensual'!G181+parametros_recargas!$F$76*'Plan mensual'!G182+parametros_recargas!$G$76*'Plan mensual'!G183+parametros_recargas!$H$76*'Plan mensual'!G184+parametros_recargas!$I$76*'Plan mensual'!G185+parametros_recargas!$J$76*'Plan mensual'!G186+parametros_recargas!$K$76*'Plan mensual'!G187+parametros_recargas!$L$76*'Plan mensual'!G188+parametros_recargas!$M$76*'Plan mensual'!G190</f>
        <v>11656.7407792247</v>
      </c>
      <c r="F162" s="26" t="n">
        <f aca="false">parametros_recargas!$E$76*'Plan mensual'!H181+parametros_recargas!$F$76*'Plan mensual'!H182+parametros_recargas!$G$76*'Plan mensual'!H183+parametros_recargas!$H$76*'Plan mensual'!H184+parametros_recargas!$I$76*'Plan mensual'!H185+parametros_recargas!$J$76*'Plan mensual'!H186+parametros_recargas!$K$76*'Plan mensual'!H187+parametros_recargas!$L$76*'Plan mensual'!H188+parametros_recargas!$M$76*'Plan mensual'!H190</f>
        <v>11736.5061008654</v>
      </c>
      <c r="G162" s="26" t="n">
        <f aca="false">parametros_recargas!$E$76*'Plan mensual'!I181+parametros_recargas!$F$76*'Plan mensual'!I182+parametros_recargas!$G$76*'Plan mensual'!I183+parametros_recargas!$H$76*'Plan mensual'!I184+parametros_recargas!$I$76*'Plan mensual'!I185+parametros_recargas!$J$76*'Plan mensual'!I186+parametros_recargas!$K$76*'Plan mensual'!I187+parametros_recargas!$L$76*'Plan mensual'!I188+parametros_recargas!$M$76*'Plan mensual'!I190</f>
        <v>11607.4017306503</v>
      </c>
      <c r="H162" s="26" t="n">
        <f aca="false">parametros_recargas!$E$76*'Plan mensual'!J181+parametros_recargas!$F$76*'Plan mensual'!J182+parametros_recargas!$G$76*'Plan mensual'!J183+parametros_recargas!$H$76*'Plan mensual'!J184+parametros_recargas!$I$76*'Plan mensual'!J185+parametros_recargas!$J$76*'Plan mensual'!J186+parametros_recargas!$K$76*'Plan mensual'!J187+parametros_recargas!$L$76*'Plan mensual'!J188+parametros_recargas!$M$76*'Plan mensual'!J190</f>
        <v>10320.3180283205</v>
      </c>
      <c r="I162" s="26" t="n">
        <f aca="false">parametros_recargas!$E$76*'Plan mensual'!K181+parametros_recargas!$F$76*'Plan mensual'!K182+parametros_recargas!$G$76*'Plan mensual'!K183+parametros_recargas!$H$76*'Plan mensual'!K184+parametros_recargas!$I$76*'Plan mensual'!K185+parametros_recargas!$J$76*'Plan mensual'!K186+parametros_recargas!$K$76*'Plan mensual'!K187+parametros_recargas!$L$76*'Plan mensual'!K188+parametros_recargas!$M$76*'Plan mensual'!K190</f>
        <v>10406.2479582281</v>
      </c>
      <c r="J162" s="26" t="n">
        <f aca="false">parametros_recargas!$E$76*'Plan mensual'!L181+parametros_recargas!$F$76*'Plan mensual'!L182+parametros_recargas!$G$76*'Plan mensual'!L183+parametros_recargas!$H$76*'Plan mensual'!L184+parametros_recargas!$I$76*'Plan mensual'!L185+parametros_recargas!$J$76*'Plan mensual'!L186+parametros_recargas!$K$76*'Plan mensual'!L187+parametros_recargas!$L$76*'Plan mensual'!L188+parametros_recargas!$M$76*'Plan mensual'!L190</f>
        <v>10519.5336047214</v>
      </c>
      <c r="K162" s="26" t="n">
        <f aca="false">parametros_recargas!$E$76*'Plan mensual'!M181+parametros_recargas!$F$76*'Plan mensual'!M182+parametros_recargas!$G$76*'Plan mensual'!M183+parametros_recargas!$H$76*'Plan mensual'!M184+parametros_recargas!$I$76*'Plan mensual'!M185+parametros_recargas!$J$76*'Plan mensual'!M186+parametros_recargas!$K$76*'Plan mensual'!M187+parametros_recargas!$L$76*'Plan mensual'!M188+parametros_recargas!$M$76*'Plan mensual'!M190</f>
        <v>10518.1193969044</v>
      </c>
      <c r="L162" s="26" t="n">
        <f aca="false">parametros_recargas!$E$76*'Plan mensual'!N181+parametros_recargas!$F$76*'Plan mensual'!N182+parametros_recargas!$G$76*'Plan mensual'!N183+parametros_recargas!$H$76*'Plan mensual'!N184+parametros_recargas!$I$76*'Plan mensual'!N185+parametros_recargas!$J$76*'Plan mensual'!N186+parametros_recargas!$K$76*'Plan mensual'!N187+parametros_recargas!$L$76*'Plan mensual'!N188+parametros_recargas!$M$76*'Plan mensual'!N190</f>
        <v>12083.5820689254</v>
      </c>
      <c r="M162" s="26" t="n">
        <f aca="false">parametros_recargas!$E$76*'Plan mensual'!O181+parametros_recargas!$F$76*'Plan mensual'!O182+parametros_recargas!$G$76*'Plan mensual'!O183+parametros_recargas!$H$76*'Plan mensual'!O184+parametros_recargas!$I$76*'Plan mensual'!O185+parametros_recargas!$J$76*'Plan mensual'!O186+parametros_recargas!$K$76*'Plan mensual'!O187+parametros_recargas!$L$76*'Plan mensual'!O188+parametros_recargas!$M$76*'Plan mensual'!O190</f>
        <v>13867.6145367108</v>
      </c>
      <c r="N162" s="12" t="n">
        <f aca="false">SUM(B162:M162)</f>
        <v>136994.733535907</v>
      </c>
      <c r="O162" s="27" t="n">
        <f aca="false">MAX(B162:M162)</f>
        <v>13867.6145367108</v>
      </c>
      <c r="P162" s="16" t="n">
        <f aca="false">O162/parametros_recargas!$B$6</f>
        <v>92.4507635780719</v>
      </c>
    </row>
    <row r="163" customFormat="false" ht="15" hidden="false" customHeight="false" outlineLevel="0" collapsed="false">
      <c r="A163" s="6" t="str">
        <f aca="false">parametros_recargas!$B$77</f>
        <v>Inspección visual</v>
      </c>
      <c r="B163" s="26" t="n">
        <f aca="false">parametros_recargas!$E$77*'Plan mensual'!D181+parametros_recargas!$F$77*'Plan mensual'!D182+parametros_recargas!$G$77*'Plan mensual'!D183+parametros_recargas!$H$77*'Plan mensual'!D184+parametros_recargas!$I$77*'Plan mensual'!D185+parametros_recargas!$J$77*'Plan mensual'!D186+parametros_recargas!$K$77*'Plan mensual'!D187+parametros_recargas!$L$77*'Plan mensual'!D188+parametros_recargas!$M$77*'Plan mensual'!D190</f>
        <v>12666.8517630535</v>
      </c>
      <c r="C163" s="26" t="n">
        <f aca="false">parametros_recargas!$E$77*'Plan mensual'!E181+parametros_recargas!$F$77*'Plan mensual'!E182+parametros_recargas!$G$77*'Plan mensual'!E183+parametros_recargas!$H$77*'Plan mensual'!E184+parametros_recargas!$I$77*'Plan mensual'!E185+parametros_recargas!$J$77*'Plan mensual'!E186+parametros_recargas!$K$77*'Plan mensual'!E187+parametros_recargas!$L$77*'Plan mensual'!E188+parametros_recargas!$M$77*'Plan mensual'!E190</f>
        <v>11019.3296654832</v>
      </c>
      <c r="D163" s="26" t="n">
        <f aca="false">parametros_recargas!$E$77*'Plan mensual'!F181+parametros_recargas!$F$77*'Plan mensual'!F182+parametros_recargas!$G$77*'Plan mensual'!F183+parametros_recargas!$H$77*'Plan mensual'!F184+parametros_recargas!$I$77*'Plan mensual'!F185+parametros_recargas!$J$77*'Plan mensual'!F186+parametros_recargas!$K$77*'Plan mensual'!F187+parametros_recargas!$L$77*'Plan mensual'!F188+parametros_recargas!$M$77*'Plan mensual'!F190</f>
        <v>10527.5087073947</v>
      </c>
      <c r="E163" s="26" t="n">
        <f aca="false">parametros_recargas!$E$77*'Plan mensual'!G181+parametros_recargas!$F$77*'Plan mensual'!G182+parametros_recargas!$G$77*'Plan mensual'!G183+parametros_recargas!$H$77*'Plan mensual'!G184+parametros_recargas!$I$77*'Plan mensual'!G185+parametros_recargas!$J$77*'Plan mensual'!G186+parametros_recargas!$K$77*'Plan mensual'!G187+parametros_recargas!$L$77*'Plan mensual'!G188+parametros_recargas!$M$77*'Plan mensual'!G190</f>
        <v>11635.5489088717</v>
      </c>
      <c r="F163" s="26" t="n">
        <f aca="false">parametros_recargas!$E$77*'Plan mensual'!H181+parametros_recargas!$F$77*'Plan mensual'!H182+parametros_recargas!$G$77*'Plan mensual'!H183+parametros_recargas!$H$77*'Plan mensual'!H184+parametros_recargas!$I$77*'Plan mensual'!H185+parametros_recargas!$J$77*'Plan mensual'!H186+parametros_recargas!$K$77*'Plan mensual'!H187+parametros_recargas!$L$77*'Plan mensual'!H188+parametros_recargas!$M$77*'Plan mensual'!H190</f>
        <v>11716.3722305124</v>
      </c>
      <c r="G163" s="26" t="n">
        <f aca="false">parametros_recargas!$E$77*'Plan mensual'!I181+parametros_recargas!$F$77*'Plan mensual'!I182+parametros_recargas!$G$77*'Plan mensual'!I183+parametros_recargas!$H$77*'Plan mensual'!I184+parametros_recargas!$I$77*'Plan mensual'!I185+parametros_recargas!$J$77*'Plan mensual'!I186+parametros_recargas!$K$77*'Plan mensual'!I187+parametros_recargas!$L$77*'Plan mensual'!I188+parametros_recargas!$M$77*'Plan mensual'!I190</f>
        <v>11588.6820681143</v>
      </c>
      <c r="H163" s="26" t="n">
        <f aca="false">parametros_recargas!$E$77*'Plan mensual'!J181+parametros_recargas!$F$77*'Plan mensual'!J182+parametros_recargas!$G$77*'Plan mensual'!J183+parametros_recargas!$H$77*'Plan mensual'!J184+parametros_recargas!$I$77*'Plan mensual'!J185+parametros_recargas!$J$77*'Plan mensual'!J186+parametros_recargas!$K$77*'Plan mensual'!J187+parametros_recargas!$L$77*'Plan mensual'!J188+parametros_recargas!$M$77*'Plan mensual'!J190</f>
        <v>10300.1841579675</v>
      </c>
      <c r="I163" s="26" t="n">
        <f aca="false">parametros_recargas!$E$77*'Plan mensual'!K181+parametros_recargas!$F$77*'Plan mensual'!K182+parametros_recargas!$G$77*'Plan mensual'!K183+parametros_recargas!$H$77*'Plan mensual'!K184+parametros_recargas!$I$77*'Plan mensual'!K185+parametros_recargas!$J$77*'Plan mensual'!K186+parametros_recargas!$K$77*'Plan mensual'!K187+parametros_recargas!$L$77*'Plan mensual'!K188+parametros_recargas!$M$77*'Plan mensual'!K190</f>
        <v>10386.1140878751</v>
      </c>
      <c r="J163" s="26" t="n">
        <f aca="false">parametros_recargas!$E$77*'Plan mensual'!L181+parametros_recargas!$F$77*'Plan mensual'!L182+parametros_recargas!$G$77*'Plan mensual'!L183+parametros_recargas!$H$77*'Plan mensual'!L184+parametros_recargas!$I$77*'Plan mensual'!L185+parametros_recargas!$J$77*'Plan mensual'!L186+parametros_recargas!$K$77*'Plan mensual'!L187+parametros_recargas!$L$77*'Plan mensual'!L188+parametros_recargas!$M$77*'Plan mensual'!L190</f>
        <v>10499.5778382769</v>
      </c>
      <c r="K163" s="26" t="n">
        <f aca="false">parametros_recargas!$E$77*'Plan mensual'!M181+parametros_recargas!$F$77*'Plan mensual'!M182+parametros_recargas!$G$77*'Plan mensual'!M183+parametros_recargas!$H$77*'Plan mensual'!M184+parametros_recargas!$I$77*'Plan mensual'!M185+parametros_recargas!$J$77*'Plan mensual'!M186+parametros_recargas!$K$77*'Plan mensual'!M187+parametros_recargas!$L$77*'Plan mensual'!M188+parametros_recargas!$M$77*'Plan mensual'!M190</f>
        <v>10499.5778382769</v>
      </c>
      <c r="L163" s="26" t="n">
        <f aca="false">parametros_recargas!$E$77*'Plan mensual'!N181+parametros_recargas!$F$77*'Plan mensual'!N182+parametros_recargas!$G$77*'Plan mensual'!N183+parametros_recargas!$H$77*'Plan mensual'!N184+parametros_recargas!$I$77*'Plan mensual'!N185+parametros_recargas!$J$77*'Plan mensual'!N186+parametros_recargas!$K$77*'Plan mensual'!N187+parametros_recargas!$L$77*'Plan mensual'!N188+parametros_recargas!$M$77*'Plan mensual'!N190</f>
        <v>12066.2766142064</v>
      </c>
      <c r="M163" s="26" t="n">
        <f aca="false">parametros_recargas!$E$77*'Plan mensual'!O181+parametros_recargas!$F$77*'Plan mensual'!O182+parametros_recargas!$G$77*'Plan mensual'!O183+parametros_recargas!$H$77*'Plan mensual'!O184+parametros_recargas!$I$77*'Plan mensual'!O185+parametros_recargas!$J$77*'Plan mensual'!O186+parametros_recargas!$K$77*'Plan mensual'!O187+parametros_recargas!$L$77*'Plan mensual'!O188+parametros_recargas!$M$77*'Plan mensual'!O190</f>
        <v>13841.4888741748</v>
      </c>
      <c r="N163" s="12" t="n">
        <f aca="false">SUM(B163:M163)</f>
        <v>136747.512754207</v>
      </c>
      <c r="O163" s="27" t="n">
        <f aca="false">MAX(B163:M163)</f>
        <v>13841.4888741748</v>
      </c>
      <c r="P163" s="16" t="n">
        <f aca="false">O163/parametros_recargas!$B$6</f>
        <v>92.2765924944985</v>
      </c>
    </row>
    <row r="164" customFormat="false" ht="15" hidden="false" customHeight="false" outlineLevel="0" collapsed="false">
      <c r="A164" s="6" t="str">
        <f aca="false">parametros_recargas!$B$78</f>
        <v>Descarga ABC — ruta recuperable</v>
      </c>
      <c r="B164" s="26" t="n">
        <f aca="false">parametros_recargas!$E$78*'Plan mensual'!D181+parametros_recargas!$F$78*'Plan mensual'!D182+parametros_recargas!$G$78*'Plan mensual'!D183+parametros_recargas!$H$78*'Plan mensual'!D184+parametros_recargas!$I$78*'Plan mensual'!D185+parametros_recargas!$J$78*'Plan mensual'!D186+parametros_recargas!$K$78*'Plan mensual'!D187+parametros_recargas!$L$78*'Plan mensual'!D188+parametros_recargas!$M$78*'Plan mensual'!D190</f>
        <v>9743.63878425965</v>
      </c>
      <c r="C164" s="26" t="n">
        <f aca="false">parametros_recargas!$E$78*'Plan mensual'!E181+parametros_recargas!$F$78*'Plan mensual'!E182+parametros_recargas!$G$78*'Plan mensual'!E183+parametros_recargas!$H$78*'Plan mensual'!E184+parametros_recargas!$I$78*'Plan mensual'!E185+parametros_recargas!$J$78*'Plan mensual'!E186+parametros_recargas!$K$78*'Plan mensual'!E187+parametros_recargas!$L$78*'Plan mensual'!E188+parametros_recargas!$M$78*'Plan mensual'!E190</f>
        <v>8335.00739083706</v>
      </c>
      <c r="D164" s="26" t="n">
        <f aca="false">parametros_recargas!$E$78*'Plan mensual'!F181+parametros_recargas!$F$78*'Plan mensual'!F182+parametros_recargas!$G$78*'Plan mensual'!F183+parametros_recargas!$H$78*'Plan mensual'!F184+parametros_recargas!$I$78*'Plan mensual'!F185+parametros_recargas!$J$78*'Plan mensual'!F186+parametros_recargas!$K$78*'Plan mensual'!F187+parametros_recargas!$L$78*'Plan mensual'!F188+parametros_recargas!$M$78*'Plan mensual'!F190</f>
        <v>7697.90471550898</v>
      </c>
      <c r="E164" s="26" t="n">
        <f aca="false">parametros_recargas!$E$78*'Plan mensual'!G181+parametros_recargas!$F$78*'Plan mensual'!G182+parametros_recargas!$G$78*'Plan mensual'!G183+parametros_recargas!$H$78*'Plan mensual'!G184+parametros_recargas!$I$78*'Plan mensual'!G185+parametros_recargas!$J$78*'Plan mensual'!G186+parametros_recargas!$K$78*'Plan mensual'!G187+parametros_recargas!$L$78*'Plan mensual'!G188+parametros_recargas!$M$78*'Plan mensual'!G190</f>
        <v>8431.6359907723</v>
      </c>
      <c r="F164" s="26" t="n">
        <f aca="false">parametros_recargas!$E$78*'Plan mensual'!H181+parametros_recargas!$F$78*'Plan mensual'!H182+parametros_recargas!$G$78*'Plan mensual'!H183+parametros_recargas!$H$78*'Plan mensual'!H184+parametros_recargas!$I$78*'Plan mensual'!H185+parametros_recargas!$J$78*'Plan mensual'!H186+parametros_recargas!$K$78*'Plan mensual'!H187+parametros_recargas!$L$78*'Plan mensual'!H188+parametros_recargas!$M$78*'Plan mensual'!H190</f>
        <v>8489.89578842599</v>
      </c>
      <c r="G164" s="26" t="n">
        <f aca="false">parametros_recargas!$E$78*'Plan mensual'!I181+parametros_recargas!$F$78*'Plan mensual'!I182+parametros_recargas!$G$78*'Plan mensual'!I183+parametros_recargas!$H$78*'Plan mensual'!I184+parametros_recargas!$I$78*'Plan mensual'!I185+parametros_recargas!$J$78*'Plan mensual'!I186+parametros_recargas!$K$78*'Plan mensual'!I187+parametros_recargas!$L$78*'Plan mensual'!I188+parametros_recargas!$M$78*'Plan mensual'!I190</f>
        <v>8411.4146307989</v>
      </c>
      <c r="H164" s="26" t="n">
        <f aca="false">parametros_recargas!$E$78*'Plan mensual'!J181+parametros_recargas!$F$78*'Plan mensual'!J182+parametros_recargas!$G$78*'Plan mensual'!J183+parametros_recargas!$H$78*'Plan mensual'!J184+parametros_recargas!$I$78*'Plan mensual'!J185+parametros_recargas!$J$78*'Plan mensual'!J186+parametros_recargas!$K$78*'Plan mensual'!J187+parametros_recargas!$L$78*'Plan mensual'!J188+parametros_recargas!$M$78*'Plan mensual'!J190</f>
        <v>7551.39501971273</v>
      </c>
      <c r="I164" s="26" t="n">
        <f aca="false">parametros_recargas!$E$78*'Plan mensual'!K181+parametros_recargas!$F$78*'Plan mensual'!K182+parametros_recargas!$G$78*'Plan mensual'!K183+parametros_recargas!$H$78*'Plan mensual'!K184+parametros_recargas!$I$78*'Plan mensual'!K185+parametros_recargas!$J$78*'Plan mensual'!K186+parametros_recargas!$K$78*'Plan mensual'!K187+parametros_recargas!$L$78*'Plan mensual'!K188+parametros_recargas!$M$78*'Plan mensual'!K190</f>
        <v>7619.66455273098</v>
      </c>
      <c r="J164" s="26" t="n">
        <f aca="false">parametros_recargas!$E$78*'Plan mensual'!L181+parametros_recargas!$F$78*'Plan mensual'!L182+parametros_recargas!$G$78*'Plan mensual'!L183+parametros_recargas!$H$78*'Plan mensual'!L184+parametros_recargas!$I$78*'Plan mensual'!L185+parametros_recargas!$J$78*'Plan mensual'!L186+parametros_recargas!$K$78*'Plan mensual'!L187+parametros_recargas!$L$78*'Plan mensual'!L188+parametros_recargas!$M$78*'Plan mensual'!L190</f>
        <v>7688.52537991466</v>
      </c>
      <c r="K164" s="26" t="n">
        <f aca="false">parametros_recargas!$E$78*'Plan mensual'!M181+parametros_recargas!$F$78*'Plan mensual'!M182+parametros_recargas!$G$78*'Plan mensual'!M183+parametros_recargas!$H$78*'Plan mensual'!M184+parametros_recargas!$I$78*'Plan mensual'!M185+parametros_recargas!$J$78*'Plan mensual'!M186+parametros_recargas!$K$78*'Plan mensual'!M187+parametros_recargas!$L$78*'Plan mensual'!M188+parametros_recargas!$M$78*'Plan mensual'!M190</f>
        <v>7688.52537991466</v>
      </c>
      <c r="L164" s="26" t="n">
        <f aca="false">parametros_recargas!$E$78*'Plan mensual'!N181+parametros_recargas!$F$78*'Plan mensual'!N182+parametros_recargas!$G$78*'Plan mensual'!N183+parametros_recargas!$H$78*'Plan mensual'!N184+parametros_recargas!$I$78*'Plan mensual'!N185+parametros_recargas!$J$78*'Plan mensual'!N186+parametros_recargas!$K$78*'Plan mensual'!N187+parametros_recargas!$L$78*'Plan mensual'!N188+parametros_recargas!$M$78*'Plan mensual'!N190</f>
        <v>9038.89697568356</v>
      </c>
      <c r="M164" s="26" t="n">
        <f aca="false">parametros_recargas!$E$78*'Plan mensual'!O181+parametros_recargas!$F$78*'Plan mensual'!O182+parametros_recargas!$G$78*'Plan mensual'!O183+parametros_recargas!$H$78*'Plan mensual'!O184+parametros_recargas!$I$78*'Plan mensual'!O185+parametros_recargas!$J$78*'Plan mensual'!O186+parametros_recargas!$K$78*'Plan mensual'!O187+parametros_recargas!$L$78*'Plan mensual'!O188+parametros_recargas!$M$78*'Plan mensual'!O190</f>
        <v>10526.0095267332</v>
      </c>
      <c r="N164" s="12" t="n">
        <f aca="false">SUM(B164:M164)</f>
        <v>101222.514135293</v>
      </c>
      <c r="O164" s="27" t="n">
        <f aca="false">MAX(B164:M164)</f>
        <v>10526.0095267332</v>
      </c>
      <c r="P164" s="16" t="n">
        <f aca="false">O164/parametros_recargas!$B$6</f>
        <v>70.1733968448883</v>
      </c>
    </row>
    <row r="165" customFormat="false" ht="15" hidden="false" customHeight="false" outlineLevel="0" collapsed="false">
      <c r="A165" s="6" t="str">
        <f aca="false">parametros_recargas!$B$79</f>
        <v>Descarga a descarte (ABC, BC y Clase D)</v>
      </c>
      <c r="B165" s="26" t="n">
        <f aca="false">parametros_recargas!$E$79*'Plan mensual'!D181+parametros_recargas!$F$79*'Plan mensual'!D182+parametros_recargas!$G$79*'Plan mensual'!D183+parametros_recargas!$H$79*'Plan mensual'!D184+parametros_recargas!$I$79*'Plan mensual'!D185+parametros_recargas!$J$79*'Plan mensual'!D186+parametros_recargas!$K$79*'Plan mensual'!D187+parametros_recargas!$L$79*'Plan mensual'!D188+parametros_recargas!$M$79*'Plan mensual'!D190</f>
        <v>1106.98408952593</v>
      </c>
      <c r="C165" s="26" t="n">
        <f aca="false">parametros_recargas!$E$79*'Plan mensual'!E181+parametros_recargas!$F$79*'Plan mensual'!E182+parametros_recargas!$G$79*'Plan mensual'!E183+parametros_recargas!$H$79*'Plan mensual'!E184+parametros_recargas!$I$79*'Plan mensual'!E185+parametros_recargas!$J$79*'Plan mensual'!E186+parametros_recargas!$K$79*'Plan mensual'!E187+parametros_recargas!$L$79*'Plan mensual'!E188+parametros_recargas!$M$79*'Plan mensual'!E190</f>
        <v>950.469490256753</v>
      </c>
      <c r="D165" s="26" t="n">
        <f aca="false">parametros_recargas!$E$79*'Plan mensual'!F181+parametros_recargas!$F$79*'Plan mensual'!F182+parametros_recargas!$G$79*'Plan mensual'!F183+parametros_recargas!$H$79*'Plan mensual'!F184+parametros_recargas!$I$79*'Plan mensual'!F185+parametros_recargas!$J$79*'Plan mensual'!F186+parametros_recargas!$K$79*'Plan mensual'!F187+parametros_recargas!$L$79*'Plan mensual'!F188+parametros_recargas!$M$79*'Plan mensual'!F190</f>
        <v>879.680304109188</v>
      </c>
      <c r="E165" s="26" t="n">
        <f aca="false">parametros_recargas!$E$79*'Plan mensual'!G181+parametros_recargas!$F$79*'Plan mensual'!G182+parametros_recargas!$G$79*'Plan mensual'!G183+parametros_recargas!$H$79*'Plan mensual'!G184+parametros_recargas!$I$79*'Plan mensual'!G185+parametros_recargas!$J$79*'Plan mensual'!G186+parametros_recargas!$K$79*'Plan mensual'!G187+parametros_recargas!$L$79*'Plan mensual'!G188+parametros_recargas!$M$79*'Plan mensual'!G190</f>
        <v>961.206001360668</v>
      </c>
      <c r="F165" s="26" t="n">
        <f aca="false">parametros_recargas!$E$79*'Plan mensual'!H181+parametros_recargas!$F$79*'Plan mensual'!H182+parametros_recargas!$G$79*'Plan mensual'!H183+parametros_recargas!$H$79*'Plan mensual'!H184+parametros_recargas!$I$79*'Plan mensual'!H185+parametros_recargas!$J$79*'Plan mensual'!H186+parametros_recargas!$K$79*'Plan mensual'!H187+parametros_recargas!$L$79*'Plan mensual'!H188+parametros_recargas!$M$79*'Plan mensual'!H190</f>
        <v>967.679312211079</v>
      </c>
      <c r="G165" s="26" t="n">
        <f aca="false">parametros_recargas!$E$79*'Plan mensual'!I181+parametros_recargas!$F$79*'Plan mensual'!I182+parametros_recargas!$G$79*'Plan mensual'!I183+parametros_recargas!$H$79*'Plan mensual'!I184+parametros_recargas!$I$79*'Plan mensual'!I185+parametros_recargas!$J$79*'Plan mensual'!I186+parametros_recargas!$K$79*'Plan mensual'!I187+parametros_recargas!$L$79*'Plan mensual'!I188+parametros_recargas!$M$79*'Plan mensual'!I190</f>
        <v>958.959183585846</v>
      </c>
      <c r="H165" s="26" t="n">
        <f aca="false">parametros_recargas!$E$79*'Plan mensual'!J181+parametros_recargas!$F$79*'Plan mensual'!J182+parametros_recargas!$G$79*'Plan mensual'!J183+parametros_recargas!$H$79*'Plan mensual'!J184+parametros_recargas!$I$79*'Plan mensual'!J185+parametros_recargas!$J$79*'Plan mensual'!J186+parametros_recargas!$K$79*'Plan mensual'!J187+parametros_recargas!$L$79*'Plan mensual'!J188+parametros_recargas!$M$79*'Plan mensual'!J190</f>
        <v>863.401449020716</v>
      </c>
      <c r="I165" s="26" t="n">
        <f aca="false">parametros_recargas!$E$79*'Plan mensual'!K181+parametros_recargas!$F$79*'Plan mensual'!K182+parametros_recargas!$G$79*'Plan mensual'!K183+parametros_recargas!$H$79*'Plan mensual'!K184+parametros_recargas!$I$79*'Plan mensual'!K185+parametros_recargas!$J$79*'Plan mensual'!K186+parametros_recargas!$K$79*'Plan mensual'!K187+parametros_recargas!$L$79*'Plan mensual'!K188+parametros_recargas!$M$79*'Plan mensual'!K190</f>
        <v>870.986952689411</v>
      </c>
      <c r="J165" s="26" t="n">
        <f aca="false">parametros_recargas!$E$79*'Plan mensual'!L181+parametros_recargas!$F$79*'Plan mensual'!L182+parametros_recargas!$G$79*'Plan mensual'!L183+parametros_recargas!$H$79*'Plan mensual'!L184+parametros_recargas!$I$79*'Plan mensual'!L185+parametros_recargas!$J$79*'Plan mensual'!L186+parametros_recargas!$K$79*'Plan mensual'!L187+parametros_recargas!$L$79*'Plan mensual'!L188+parametros_recargas!$M$79*'Plan mensual'!L190</f>
        <v>878.63815570982</v>
      </c>
      <c r="K165" s="26" t="n">
        <f aca="false">parametros_recargas!$E$79*'Plan mensual'!M181+parametros_recargas!$F$79*'Plan mensual'!M182+parametros_recargas!$G$79*'Plan mensual'!M183+parametros_recargas!$H$79*'Plan mensual'!M184+parametros_recargas!$I$79*'Plan mensual'!M185+parametros_recargas!$J$79*'Plan mensual'!M186+parametros_recargas!$K$79*'Plan mensual'!M187+parametros_recargas!$L$79*'Plan mensual'!M188+parametros_recargas!$M$79*'Plan mensual'!M190</f>
        <v>878.63815570982</v>
      </c>
      <c r="L165" s="26" t="n">
        <f aca="false">parametros_recargas!$E$79*'Plan mensual'!N181+parametros_recargas!$F$79*'Plan mensual'!N182+parametros_recargas!$G$79*'Plan mensual'!N183+parametros_recargas!$H$79*'Plan mensual'!N184+parametros_recargas!$I$79*'Plan mensual'!N185+parametros_recargas!$J$79*'Plan mensual'!N186+parametros_recargas!$K$79*'Plan mensual'!N187+parametros_recargas!$L$79*'Plan mensual'!N188+parametros_recargas!$M$79*'Plan mensual'!N190</f>
        <v>1028.67944412859</v>
      </c>
      <c r="M165" s="26" t="n">
        <f aca="false">parametros_recargas!$E$79*'Plan mensual'!O181+parametros_recargas!$F$79*'Plan mensual'!O182+parametros_recargas!$G$79*'Plan mensual'!O183+parametros_recargas!$H$79*'Plan mensual'!O184+parametros_recargas!$I$79*'Plan mensual'!O185+parametros_recargas!$J$79*'Plan mensual'!O186+parametros_recargas!$K$79*'Plan mensual'!O187+parametros_recargas!$L$79*'Plan mensual'!O188+parametros_recargas!$M$79*'Plan mensual'!O190</f>
        <v>1193.914172023</v>
      </c>
      <c r="N165" s="12" t="n">
        <f aca="false">SUM(B165:M165)</f>
        <v>11539.2367103308</v>
      </c>
      <c r="O165" s="27" t="n">
        <f aca="false">MAX(B165:M165)</f>
        <v>1193.914172023</v>
      </c>
      <c r="P165" s="16" t="n">
        <f aca="false">O165/parametros_recargas!$B$6</f>
        <v>7.95942781348664</v>
      </c>
    </row>
    <row r="166" customFormat="false" ht="15" hidden="false" customHeight="false" outlineLevel="0" collapsed="false">
      <c r="A166" s="6" t="str">
        <f aca="false">parametros_recargas!$B$80</f>
        <v>Descarga y carga de agua / AFFF / sales K</v>
      </c>
      <c r="B166" s="26" t="n">
        <f aca="false">parametros_recargas!$E$80*'Plan mensual'!D181+parametros_recargas!$F$80*'Plan mensual'!D182+parametros_recargas!$G$80*'Plan mensual'!D183+parametros_recargas!$H$80*'Plan mensual'!D184+parametros_recargas!$I$80*'Plan mensual'!D185+parametros_recargas!$J$80*'Plan mensual'!D186+parametros_recargas!$K$80*'Plan mensual'!D187+parametros_recargas!$L$80*'Plan mensual'!D188+parametros_recargas!$M$80*'Plan mensual'!D190</f>
        <v>475.935304693011</v>
      </c>
      <c r="C166" s="26" t="n">
        <f aca="false">parametros_recargas!$E$80*'Plan mensual'!E181+parametros_recargas!$F$80*'Plan mensual'!E182+parametros_recargas!$G$80*'Plan mensual'!E183+parametros_recargas!$H$80*'Plan mensual'!E184+parametros_recargas!$I$80*'Plan mensual'!E185+parametros_recargas!$J$80*'Plan mensual'!E186+parametros_recargas!$K$80*'Plan mensual'!E187+parametros_recargas!$L$80*'Plan mensual'!E188+parametros_recargas!$M$80*'Plan mensual'!E190</f>
        <v>475.935304693011</v>
      </c>
      <c r="D166" s="26" t="n">
        <f aca="false">parametros_recargas!$E$80*'Plan mensual'!F181+parametros_recargas!$F$80*'Plan mensual'!F182+parametros_recargas!$G$80*'Plan mensual'!F183+parametros_recargas!$H$80*'Plan mensual'!F184+parametros_recargas!$I$80*'Plan mensual'!F185+parametros_recargas!$J$80*'Plan mensual'!F186+parametros_recargas!$K$80*'Plan mensual'!F187+parametros_recargas!$L$80*'Plan mensual'!F188+parametros_recargas!$M$80*'Plan mensual'!F190</f>
        <v>539.654319117347</v>
      </c>
      <c r="E166" s="26" t="n">
        <f aca="false">parametros_recargas!$E$80*'Plan mensual'!G181+parametros_recargas!$F$80*'Plan mensual'!G182+parametros_recargas!$G$80*'Plan mensual'!G183+parametros_recargas!$H$80*'Plan mensual'!G184+parametros_recargas!$I$80*'Plan mensual'!G185+parametros_recargas!$J$80*'Plan mensual'!G186+parametros_recargas!$K$80*'Plan mensual'!G187+parametros_recargas!$L$80*'Plan mensual'!G188+parametros_recargas!$M$80*'Plan mensual'!G190</f>
        <v>601.279161894563</v>
      </c>
      <c r="F166" s="26" t="n">
        <f aca="false">parametros_recargas!$E$80*'Plan mensual'!H181+parametros_recargas!$F$80*'Plan mensual'!H182+parametros_recargas!$G$80*'Plan mensual'!H183+parametros_recargas!$H$80*'Plan mensual'!H184+parametros_recargas!$I$80*'Plan mensual'!H185+parametros_recargas!$J$80*'Plan mensual'!H186+parametros_recargas!$K$80*'Plan mensual'!H187+parametros_recargas!$L$80*'Plan mensual'!H188+parametros_recargas!$M$80*'Plan mensual'!H190</f>
        <v>606.289312359207</v>
      </c>
      <c r="G166" s="26" t="n">
        <f aca="false">parametros_recargas!$E$80*'Plan mensual'!I181+parametros_recargas!$F$80*'Plan mensual'!I182+parametros_recargas!$G$80*'Plan mensual'!I183+parametros_recargas!$H$80*'Plan mensual'!I184+parametros_recargas!$I$80*'Plan mensual'!I185+parametros_recargas!$J$80*'Plan mensual'!I186+parametros_recargas!$K$80*'Plan mensual'!I187+parametros_recargas!$L$80*'Plan mensual'!I188+parametros_recargas!$M$80*'Plan mensual'!I190</f>
        <v>595.339337059525</v>
      </c>
      <c r="H166" s="26" t="n">
        <f aca="false">parametros_recargas!$E$80*'Plan mensual'!J181+parametros_recargas!$F$80*'Plan mensual'!J182+parametros_recargas!$G$80*'Plan mensual'!J183+parametros_recargas!$H$80*'Plan mensual'!J184+parametros_recargas!$I$80*'Plan mensual'!J185+parametros_recargas!$J$80*'Plan mensual'!J186+parametros_recargas!$K$80*'Plan mensual'!J187+parametros_recargas!$L$80*'Plan mensual'!J188+parametros_recargas!$M$80*'Plan mensual'!J190</f>
        <v>520.708484397456</v>
      </c>
      <c r="I166" s="26" t="n">
        <f aca="false">parametros_recargas!$E$80*'Plan mensual'!K181+parametros_recargas!$F$80*'Plan mensual'!K182+parametros_recargas!$G$80*'Plan mensual'!K183+parametros_recargas!$H$80*'Plan mensual'!K184+parametros_recargas!$I$80*'Plan mensual'!K185+parametros_recargas!$J$80*'Plan mensual'!K186+parametros_recargas!$K$80*'Plan mensual'!K187+parametros_recargas!$L$80*'Plan mensual'!K188+parametros_recargas!$M$80*'Plan mensual'!K190</f>
        <v>525.680497800152</v>
      </c>
      <c r="J166" s="26" t="n">
        <f aca="false">parametros_recargas!$E$80*'Plan mensual'!L181+parametros_recargas!$F$80*'Plan mensual'!L182+parametros_recargas!$G$80*'Plan mensual'!L183+parametros_recargas!$H$80*'Plan mensual'!L184+parametros_recargas!$I$80*'Plan mensual'!L185+parametros_recargas!$J$80*'Plan mensual'!L186+parametros_recargas!$K$80*'Plan mensual'!L187+parametros_recargas!$L$80*'Plan mensual'!L188+parametros_recargas!$M$80*'Plan mensual'!L190</f>
        <v>536.114828457076</v>
      </c>
      <c r="K166" s="26" t="n">
        <f aca="false">parametros_recargas!$E$80*'Plan mensual'!M181+parametros_recargas!$F$80*'Plan mensual'!M182+parametros_recargas!$G$80*'Plan mensual'!M183+parametros_recargas!$H$80*'Plan mensual'!M184+parametros_recargas!$I$80*'Plan mensual'!M185+parametros_recargas!$J$80*'Plan mensual'!M186+parametros_recargas!$K$80*'Plan mensual'!M187+parametros_recargas!$L$80*'Plan mensual'!M188+parametros_recargas!$M$80*'Plan mensual'!M190</f>
        <v>536.114828457076</v>
      </c>
      <c r="L166" s="26" t="n">
        <f aca="false">parametros_recargas!$E$80*'Plan mensual'!N181+parametros_recargas!$F$80*'Plan mensual'!N182+parametros_recargas!$G$80*'Plan mensual'!N183+parametros_recargas!$H$80*'Plan mensual'!N184+parametros_recargas!$I$80*'Plan mensual'!N185+parametros_recargas!$J$80*'Plan mensual'!N186+parametros_recargas!$K$80*'Plan mensual'!N187+parametros_recargas!$L$80*'Plan mensual'!N188+parametros_recargas!$M$80*'Plan mensual'!N190</f>
        <v>531.104677992432</v>
      </c>
      <c r="M166" s="26" t="n">
        <f aca="false">parametros_recargas!$E$80*'Plan mensual'!O181+parametros_recargas!$F$80*'Plan mensual'!O182+parametros_recargas!$G$80*'Plan mensual'!O183+parametros_recargas!$H$80*'Plan mensual'!O184+parametros_recargas!$I$80*'Plan mensual'!O185+parametros_recargas!$J$80*'Plan mensual'!O186+parametros_recargas!$K$80*'Plan mensual'!O187+parametros_recargas!$L$80*'Plan mensual'!O188+parametros_recargas!$M$80*'Plan mensual'!O190</f>
        <v>542.054653292114</v>
      </c>
      <c r="N166" s="12" t="n">
        <f aca="false">SUM(B166:M166)</f>
        <v>6486.21071021297</v>
      </c>
      <c r="O166" s="27" t="n">
        <f aca="false">MAX(B166:M166)</f>
        <v>606.289312359207</v>
      </c>
      <c r="P166" s="16" t="n">
        <f aca="false">O166/parametros_recargas!$B$6</f>
        <v>4.04192874906138</v>
      </c>
    </row>
    <row r="167" customFormat="false" ht="15" hidden="false" customHeight="false" outlineLevel="0" collapsed="false">
      <c r="A167" s="6" t="str">
        <f aca="false">parametros_recargas!$B$81</f>
        <v>Recuperación y carga de CO₂</v>
      </c>
      <c r="B167" s="26" t="n">
        <f aca="false">parametros_recargas!$E$81*'Plan mensual'!D181+parametros_recargas!$F$81*'Plan mensual'!D182+parametros_recargas!$G$81*'Plan mensual'!D183+parametros_recargas!$H$81*'Plan mensual'!D184+parametros_recargas!$I$81*'Plan mensual'!D185+parametros_recargas!$J$81*'Plan mensual'!D186+parametros_recargas!$K$81*'Plan mensual'!D187+parametros_recargas!$L$81*'Plan mensual'!D188+parametros_recargas!$M$81*'Plan mensual'!D190</f>
        <v>428.249422971377</v>
      </c>
      <c r="C167" s="26" t="n">
        <f aca="false">parametros_recargas!$E$81*'Plan mensual'!E181+parametros_recargas!$F$81*'Plan mensual'!E182+parametros_recargas!$G$81*'Plan mensual'!E183+parametros_recargas!$H$81*'Plan mensual'!E184+parametros_recargas!$I$81*'Plan mensual'!E185+parametros_recargas!$J$81*'Plan mensual'!E186+parametros_recargas!$K$81*'Plan mensual'!E187+parametros_recargas!$L$81*'Plan mensual'!E188+parametros_recargas!$M$81*'Plan mensual'!E190</f>
        <v>428.249422971377</v>
      </c>
      <c r="D167" s="26" t="n">
        <f aca="false">parametros_recargas!$E$81*'Plan mensual'!F181+parametros_recargas!$F$81*'Plan mensual'!F182+parametros_recargas!$G$81*'Plan mensual'!F183+parametros_recargas!$H$81*'Plan mensual'!F184+parametros_recargas!$I$81*'Plan mensual'!F185+parametros_recargas!$J$81*'Plan mensual'!F186+parametros_recargas!$K$81*'Plan mensual'!F187+parametros_recargas!$L$81*'Plan mensual'!F188+parametros_recargas!$M$81*'Plan mensual'!F190</f>
        <v>542.627925400689</v>
      </c>
      <c r="E167" s="26" t="n">
        <f aca="false">parametros_recargas!$E$81*'Plan mensual'!G181+parametros_recargas!$F$81*'Plan mensual'!G182+parametros_recargas!$G$81*'Plan mensual'!G183+parametros_recargas!$H$81*'Plan mensual'!G184+parametros_recargas!$I$81*'Plan mensual'!G185+parametros_recargas!$J$81*'Plan mensual'!G186+parametros_recargas!$K$81*'Plan mensual'!G187+parametros_recargas!$L$81*'Plan mensual'!G188+parametros_recargas!$M$81*'Plan mensual'!G190</f>
        <v>654.788244366329</v>
      </c>
      <c r="F167" s="26" t="n">
        <f aca="false">parametros_recargas!$E$81*'Plan mensual'!H181+parametros_recargas!$F$81*'Plan mensual'!H182+parametros_recargas!$G$81*'Plan mensual'!H183+parametros_recargas!$H$81*'Plan mensual'!H184+parametros_recargas!$I$81*'Plan mensual'!H185+parametros_recargas!$J$81*'Plan mensual'!H186+parametros_recargas!$K$81*'Plan mensual'!H187+parametros_recargas!$L$81*'Plan mensual'!H188+parametros_recargas!$M$81*'Plan mensual'!H190</f>
        <v>659.280171795421</v>
      </c>
      <c r="G167" s="26" t="n">
        <f aca="false">parametros_recargas!$E$81*'Plan mensual'!I181+parametros_recargas!$F$81*'Plan mensual'!I182+parametros_recargas!$G$81*'Plan mensual'!I183+parametros_recargas!$H$81*'Plan mensual'!I184+parametros_recargas!$I$81*'Plan mensual'!I185+parametros_recargas!$J$81*'Plan mensual'!I186+parametros_recargas!$K$81*'Plan mensual'!I187+parametros_recargas!$L$81*'Plan mensual'!I188+parametros_recargas!$M$81*'Plan mensual'!I190</f>
        <v>645.964983628935</v>
      </c>
      <c r="H167" s="26" t="n">
        <f aca="false">parametros_recargas!$E$81*'Plan mensual'!J181+parametros_recargas!$F$81*'Plan mensual'!J182+parametros_recargas!$G$81*'Plan mensual'!J183+parametros_recargas!$H$81*'Plan mensual'!J184+parametros_recargas!$I$81*'Plan mensual'!J185+parametros_recargas!$J$81*'Plan mensual'!J186+parametros_recargas!$K$81*'Plan mensual'!J187+parametros_recargas!$L$81*'Plan mensual'!J188+parametros_recargas!$M$81*'Plan mensual'!J190</f>
        <v>522.248620578739</v>
      </c>
      <c r="I167" s="26" t="n">
        <f aca="false">parametros_recargas!$E$81*'Plan mensual'!K181+parametros_recargas!$F$81*'Plan mensual'!K182+parametros_recargas!$G$81*'Plan mensual'!K183+parametros_recargas!$H$81*'Plan mensual'!K184+parametros_recargas!$I$81*'Plan mensual'!K185+parametros_recargas!$J$81*'Plan mensual'!K186+parametros_recargas!$K$81*'Plan mensual'!K187+parametros_recargas!$L$81*'Plan mensual'!K188+parametros_recargas!$M$81*'Plan mensual'!K190</f>
        <v>522.76322046223</v>
      </c>
      <c r="J167" s="26" t="n">
        <f aca="false">parametros_recargas!$E$81*'Plan mensual'!L181+parametros_recargas!$F$81*'Plan mensual'!L182+parametros_recargas!$G$81*'Plan mensual'!L183+parametros_recargas!$H$81*'Plan mensual'!L184+parametros_recargas!$I$81*'Plan mensual'!L185+parametros_recargas!$J$81*'Plan mensual'!L186+parametros_recargas!$K$81*'Plan mensual'!L187+parametros_recargas!$L$81*'Plan mensual'!L188+parametros_recargas!$M$81*'Plan mensual'!L190</f>
        <v>534.604142191635</v>
      </c>
      <c r="K167" s="26" t="n">
        <f aca="false">parametros_recargas!$E$81*'Plan mensual'!M181+parametros_recargas!$F$81*'Plan mensual'!M182+parametros_recargas!$G$81*'Plan mensual'!M183+parametros_recargas!$H$81*'Plan mensual'!M184+parametros_recargas!$I$81*'Plan mensual'!M185+parametros_recargas!$J$81*'Plan mensual'!M186+parametros_recargas!$K$81*'Plan mensual'!M187+parametros_recargas!$L$81*'Plan mensual'!M188+parametros_recargas!$M$81*'Plan mensual'!M190</f>
        <v>534.604142191635</v>
      </c>
      <c r="L167" s="26" t="n">
        <f aca="false">parametros_recargas!$E$81*'Plan mensual'!N181+parametros_recargas!$F$81*'Plan mensual'!N182+parametros_recargas!$G$81*'Plan mensual'!N183+parametros_recargas!$H$81*'Plan mensual'!N184+parametros_recargas!$I$81*'Plan mensual'!N185+parametros_recargas!$J$81*'Plan mensual'!N186+parametros_recargas!$K$81*'Plan mensual'!N187+parametros_recargas!$L$81*'Plan mensual'!N188+parametros_recargas!$M$81*'Plan mensual'!N190</f>
        <v>530.112214762543</v>
      </c>
      <c r="M167" s="26" t="n">
        <f aca="false">parametros_recargas!$E$81*'Plan mensual'!O181+parametros_recargas!$F$81*'Plan mensual'!O182+parametros_recargas!$G$81*'Plan mensual'!O183+parametros_recargas!$H$81*'Plan mensual'!O184+parametros_recargas!$I$81*'Plan mensual'!O185+parametros_recargas!$J$81*'Plan mensual'!O186+parametros_recargas!$K$81*'Plan mensual'!O187+parametros_recargas!$L$81*'Plan mensual'!O188+parametros_recargas!$M$81*'Plan mensual'!O190</f>
        <v>543.427402929029</v>
      </c>
      <c r="N167" s="12" t="n">
        <f aca="false">SUM(B167:M167)</f>
        <v>6546.91991424994</v>
      </c>
      <c r="O167" s="27" t="n">
        <f aca="false">MAX(B167:M167)</f>
        <v>659.280171795421</v>
      </c>
      <c r="P167" s="16" t="n">
        <f aca="false">O167/parametros_recargas!$B$6</f>
        <v>4.39520114530281</v>
      </c>
    </row>
    <row r="168" customFormat="false" ht="15" hidden="false" customHeight="false" outlineLevel="0" collapsed="false">
      <c r="A168" s="6" t="str">
        <f aca="false">parametros_recargas!$B$82</f>
        <v>Recuperación y carga de halogenado</v>
      </c>
      <c r="B168" s="26" t="n">
        <f aca="false">parametros_recargas!$E$82*'Plan mensual'!D181+parametros_recargas!$F$82*'Plan mensual'!D182+parametros_recargas!$G$82*'Plan mensual'!D183+parametros_recargas!$H$82*'Plan mensual'!D184+parametros_recargas!$I$82*'Plan mensual'!D185+parametros_recargas!$J$82*'Plan mensual'!D186+parametros_recargas!$K$82*'Plan mensual'!D187+parametros_recargas!$L$82*'Plan mensual'!D188+parametros_recargas!$M$82*'Plan mensual'!D190</f>
        <v>13.218849988672</v>
      </c>
      <c r="C168" s="26" t="n">
        <f aca="false">parametros_recargas!$E$82*'Plan mensual'!E181+parametros_recargas!$F$82*'Plan mensual'!E182+parametros_recargas!$G$82*'Plan mensual'!E183+parametros_recargas!$H$82*'Plan mensual'!E184+parametros_recargas!$I$82*'Plan mensual'!E185+parametros_recargas!$J$82*'Plan mensual'!E186+parametros_recargas!$K$82*'Plan mensual'!E187+parametros_recargas!$L$82*'Plan mensual'!E188+parametros_recargas!$M$82*'Plan mensual'!E190</f>
        <v>13.218849988672</v>
      </c>
      <c r="D168" s="26" t="n">
        <f aca="false">parametros_recargas!$E$82*'Plan mensual'!F181+parametros_recargas!$F$82*'Plan mensual'!F182+parametros_recargas!$G$82*'Plan mensual'!F183+parametros_recargas!$H$82*'Plan mensual'!F184+parametros_recargas!$I$82*'Plan mensual'!F185+parametros_recargas!$J$82*'Plan mensual'!F186+parametros_recargas!$K$82*'Plan mensual'!F187+parametros_recargas!$L$82*'Plan mensual'!F188+parametros_recargas!$M$82*'Plan mensual'!F190</f>
        <v>12.3754031889343</v>
      </c>
      <c r="E168" s="26" t="n">
        <f aca="false">parametros_recargas!$E$82*'Plan mensual'!G181+parametros_recargas!$F$82*'Plan mensual'!G182+parametros_recargas!$G$82*'Plan mensual'!G183+parametros_recargas!$H$82*'Plan mensual'!G184+parametros_recargas!$I$82*'Plan mensual'!G185+parametros_recargas!$J$82*'Plan mensual'!G186+parametros_recargas!$K$82*'Plan mensual'!G187+parametros_recargas!$L$82*'Plan mensual'!G188+parametros_recargas!$M$82*'Plan mensual'!G190</f>
        <v>12.3754031889343</v>
      </c>
      <c r="F168" s="26" t="n">
        <f aca="false">parametros_recargas!$E$82*'Plan mensual'!H181+parametros_recargas!$F$82*'Plan mensual'!H182+parametros_recargas!$G$82*'Plan mensual'!H183+parametros_recargas!$H$82*'Plan mensual'!H184+parametros_recargas!$I$82*'Plan mensual'!H185+parametros_recargas!$J$82*'Plan mensual'!H186+parametros_recargas!$K$82*'Plan mensual'!H187+parametros_recargas!$L$82*'Plan mensual'!H188+parametros_recargas!$M$82*'Plan mensual'!H190</f>
        <v>12.3754031889343</v>
      </c>
      <c r="G168" s="26" t="n">
        <f aca="false">parametros_recargas!$E$82*'Plan mensual'!I181+parametros_recargas!$F$82*'Plan mensual'!I182+parametros_recargas!$G$82*'Plan mensual'!I183+parametros_recargas!$H$82*'Plan mensual'!I184+parametros_recargas!$I$82*'Plan mensual'!I185+parametros_recargas!$J$82*'Plan mensual'!I186+parametros_recargas!$K$82*'Plan mensual'!I187+parametros_recargas!$L$82*'Plan mensual'!I188+parametros_recargas!$M$82*'Plan mensual'!I190</f>
        <v>11.5319563891965</v>
      </c>
      <c r="H168" s="26" t="n">
        <f aca="false">parametros_recargas!$E$82*'Plan mensual'!J181+parametros_recargas!$F$82*'Plan mensual'!J182+parametros_recargas!$G$82*'Plan mensual'!J183+parametros_recargas!$H$82*'Plan mensual'!J184+parametros_recargas!$I$82*'Plan mensual'!J185+parametros_recargas!$J$82*'Plan mensual'!J186+parametros_recargas!$K$82*'Plan mensual'!J187+parametros_recargas!$L$82*'Plan mensual'!J188+parametros_recargas!$M$82*'Plan mensual'!J190</f>
        <v>11.5319563891965</v>
      </c>
      <c r="I168" s="26" t="n">
        <f aca="false">parametros_recargas!$E$82*'Plan mensual'!K181+parametros_recargas!$F$82*'Plan mensual'!K182+parametros_recargas!$G$82*'Plan mensual'!K183+parametros_recargas!$H$82*'Plan mensual'!K184+parametros_recargas!$I$82*'Plan mensual'!K185+parametros_recargas!$J$82*'Plan mensual'!K186+parametros_recargas!$K$82*'Plan mensual'!K187+parametros_recargas!$L$82*'Plan mensual'!K188+parametros_recargas!$M$82*'Plan mensual'!K190</f>
        <v>11.5319563891965</v>
      </c>
      <c r="J168" s="26" t="n">
        <f aca="false">parametros_recargas!$E$82*'Plan mensual'!L181+parametros_recargas!$F$82*'Plan mensual'!L182+parametros_recargas!$G$82*'Plan mensual'!L183+parametros_recargas!$H$82*'Plan mensual'!L184+parametros_recargas!$I$82*'Plan mensual'!L185+parametros_recargas!$J$82*'Plan mensual'!L186+parametros_recargas!$K$82*'Plan mensual'!L187+parametros_recargas!$L$82*'Plan mensual'!L188+parametros_recargas!$M$82*'Plan mensual'!L190</f>
        <v>12.3754031889343</v>
      </c>
      <c r="K168" s="26" t="n">
        <f aca="false">parametros_recargas!$E$82*'Plan mensual'!M181+parametros_recargas!$F$82*'Plan mensual'!M182+parametros_recargas!$G$82*'Plan mensual'!M183+parametros_recargas!$H$82*'Plan mensual'!M184+parametros_recargas!$I$82*'Plan mensual'!M185+parametros_recargas!$J$82*'Plan mensual'!M186+parametros_recargas!$K$82*'Plan mensual'!M187+parametros_recargas!$L$82*'Plan mensual'!M188+parametros_recargas!$M$82*'Plan mensual'!M190</f>
        <v>12.3754031889343</v>
      </c>
      <c r="L168" s="26" t="n">
        <f aca="false">parametros_recargas!$E$82*'Plan mensual'!N181+parametros_recargas!$F$82*'Plan mensual'!N182+parametros_recargas!$G$82*'Plan mensual'!N183+parametros_recargas!$H$82*'Plan mensual'!N184+parametros_recargas!$I$82*'Plan mensual'!N185+parametros_recargas!$J$82*'Plan mensual'!N186+parametros_recargas!$K$82*'Plan mensual'!N187+parametros_recargas!$L$82*'Plan mensual'!N188+parametros_recargas!$M$82*'Plan mensual'!N190</f>
        <v>12.3754031889343</v>
      </c>
      <c r="M168" s="26" t="n">
        <f aca="false">parametros_recargas!$E$82*'Plan mensual'!O181+parametros_recargas!$F$82*'Plan mensual'!O182+parametros_recargas!$G$82*'Plan mensual'!O183+parametros_recargas!$H$82*'Plan mensual'!O184+parametros_recargas!$I$82*'Plan mensual'!O185+parametros_recargas!$J$82*'Plan mensual'!O186+parametros_recargas!$K$82*'Plan mensual'!O187+parametros_recargas!$L$82*'Plan mensual'!O188+parametros_recargas!$M$82*'Plan mensual'!O190</f>
        <v>13.218849988672</v>
      </c>
      <c r="N168" s="12" t="n">
        <f aca="false">SUM(B168:M168)</f>
        <v>148.504838267211</v>
      </c>
      <c r="O168" s="27" t="n">
        <f aca="false">MAX(B168:M168)</f>
        <v>13.218849988672</v>
      </c>
      <c r="P168" s="16" t="n">
        <f aca="false">O168/parametros_recargas!$B$6</f>
        <v>0.088125666591147</v>
      </c>
    </row>
    <row r="169" customFormat="false" ht="15" hidden="false" customHeight="false" outlineLevel="0" collapsed="false">
      <c r="A169" s="6" t="str">
        <f aca="false">parametros_recargas!$B$83</f>
        <v>Desarme y limpieza — recinto</v>
      </c>
      <c r="B169" s="26" t="n">
        <f aca="false">parametros_recargas!$E$83*'Plan mensual'!D181+parametros_recargas!$F$83*'Plan mensual'!D182+parametros_recargas!$G$83*'Plan mensual'!D183+parametros_recargas!$H$83*'Plan mensual'!D184+parametros_recargas!$I$83*'Plan mensual'!D185+parametros_recargas!$J$83*'Plan mensual'!D186+parametros_recargas!$K$83*'Plan mensual'!D187+parametros_recargas!$L$83*'Plan mensual'!D188+parametros_recargas!$M$83*'Plan mensual'!D190</f>
        <v>11421.7082881953</v>
      </c>
      <c r="C169" s="26" t="n">
        <f aca="false">parametros_recargas!$E$83*'Plan mensual'!E181+parametros_recargas!$F$83*'Plan mensual'!E182+parametros_recargas!$G$83*'Plan mensual'!E183+parametros_recargas!$H$83*'Plan mensual'!E184+parametros_recargas!$I$83*'Plan mensual'!E185+parametros_recargas!$J$83*'Plan mensual'!E186+parametros_recargas!$K$83*'Plan mensual'!E187+parametros_recargas!$L$83*'Plan mensual'!E188+parametros_recargas!$M$83*'Plan mensual'!E190</f>
        <v>9774.18619062507</v>
      </c>
      <c r="D169" s="26" t="n">
        <f aca="false">parametros_recargas!$E$83*'Plan mensual'!F181+parametros_recargas!$F$83*'Plan mensual'!F182+parametros_recargas!$G$83*'Plan mensual'!F183+parametros_recargas!$H$83*'Plan mensual'!F184+parametros_recargas!$I$83*'Plan mensual'!F185+parametros_recargas!$J$83*'Plan mensual'!F186+parametros_recargas!$K$83*'Plan mensual'!F187+parametros_recargas!$L$83*'Plan mensual'!F188+parametros_recargas!$M$83*'Plan mensual'!F190</f>
        <v>9029.03686275597</v>
      </c>
      <c r="E169" s="26" t="n">
        <f aca="false">parametros_recargas!$E$83*'Plan mensual'!G181+parametros_recargas!$F$83*'Plan mensual'!G182+parametros_recargas!$G$83*'Plan mensual'!G183+parametros_recargas!$H$83*'Plan mensual'!G184+parametros_recargas!$I$83*'Plan mensual'!G185+parametros_recargas!$J$83*'Plan mensual'!G186+parametros_recargas!$K$83*'Plan mensual'!G187+parametros_recargas!$L$83*'Plan mensual'!G188+parametros_recargas!$M$83*'Plan mensual'!G190</f>
        <v>9887.20209698207</v>
      </c>
      <c r="F169" s="26" t="n">
        <f aca="false">parametros_recargas!$E$83*'Plan mensual'!H181+parametros_recargas!$F$83*'Plan mensual'!H182+parametros_recargas!$G$83*'Plan mensual'!H183+parametros_recargas!$H$83*'Plan mensual'!H184+parametros_recargas!$I$83*'Plan mensual'!H185+parametros_recargas!$J$83*'Plan mensual'!H186+parametros_recargas!$K$83*'Plan mensual'!H187+parametros_recargas!$L$83*'Plan mensual'!H188+parametros_recargas!$M$83*'Plan mensual'!H190</f>
        <v>9955.34221119692</v>
      </c>
      <c r="G169" s="26" t="n">
        <f aca="false">parametros_recargas!$E$83*'Plan mensual'!I181+parametros_recargas!$F$83*'Plan mensual'!I182+parametros_recargas!$G$83*'Plan mensual'!I183+parametros_recargas!$H$83*'Plan mensual'!I184+parametros_recargas!$I$83*'Plan mensual'!I185+parametros_recargas!$J$83*'Plan mensual'!I186+parametros_recargas!$K$83*'Plan mensual'!I187+parametros_recargas!$L$83*'Plan mensual'!I188+parametros_recargas!$M$83*'Plan mensual'!I190</f>
        <v>9863.55138356289</v>
      </c>
      <c r="H169" s="26" t="n">
        <f aca="false">parametros_recargas!$E$83*'Plan mensual'!J181+parametros_recargas!$F$83*'Plan mensual'!J182+parametros_recargas!$G$83*'Plan mensual'!J183+parametros_recargas!$H$83*'Plan mensual'!J184+parametros_recargas!$I$83*'Plan mensual'!J185+parametros_recargas!$J$83*'Plan mensual'!J186+parametros_recargas!$K$83*'Plan mensual'!J187+parametros_recargas!$L$83*'Plan mensual'!J188+parametros_recargas!$M$83*'Plan mensual'!J190</f>
        <v>8857.68049340363</v>
      </c>
      <c r="I169" s="26" t="n">
        <f aca="false">parametros_recargas!$E$83*'Plan mensual'!K181+parametros_recargas!$F$83*'Plan mensual'!K182+parametros_recargas!$G$83*'Plan mensual'!K183+parametros_recargas!$H$83*'Plan mensual'!K184+parametros_recargas!$I$83*'Plan mensual'!K185+parametros_recargas!$J$83*'Plan mensual'!K186+parametros_recargas!$K$83*'Plan mensual'!K187+parametros_recargas!$L$83*'Plan mensual'!K188+parametros_recargas!$M$83*'Plan mensual'!K190</f>
        <v>8937.52790044252</v>
      </c>
      <c r="J169" s="26" t="n">
        <f aca="false">parametros_recargas!$E$83*'Plan mensual'!L181+parametros_recargas!$F$83*'Plan mensual'!L182+parametros_recargas!$G$83*'Plan mensual'!L183+parametros_recargas!$H$83*'Plan mensual'!L184+parametros_recargas!$I$83*'Plan mensual'!L185+parametros_recargas!$J$83*'Plan mensual'!L186+parametros_recargas!$K$83*'Plan mensual'!L187+parametros_recargas!$L$83*'Plan mensual'!L188+parametros_recargas!$M$83*'Plan mensual'!L190</f>
        <v>9018.06687960472</v>
      </c>
      <c r="K169" s="26" t="n">
        <f aca="false">parametros_recargas!$E$83*'Plan mensual'!M181+parametros_recargas!$F$83*'Plan mensual'!M182+parametros_recargas!$G$83*'Plan mensual'!M183+parametros_recargas!$H$83*'Plan mensual'!M184+parametros_recargas!$I$83*'Plan mensual'!M185+parametros_recargas!$J$83*'Plan mensual'!M186+parametros_recargas!$K$83*'Plan mensual'!M187+parametros_recargas!$L$83*'Plan mensual'!M188+parametros_recargas!$M$83*'Plan mensual'!M190</f>
        <v>9018.06687960472</v>
      </c>
      <c r="L169" s="26" t="n">
        <f aca="false">parametros_recargas!$E$83*'Plan mensual'!N181+parametros_recargas!$F$83*'Plan mensual'!N182+parametros_recargas!$G$83*'Plan mensual'!N183+parametros_recargas!$H$83*'Plan mensual'!N184+parametros_recargas!$I$83*'Plan mensual'!N185+parametros_recargas!$J$83*'Plan mensual'!N186+parametros_recargas!$K$83*'Plan mensual'!N187+parametros_recargas!$L$83*'Plan mensual'!N188+parametros_recargas!$M$83*'Plan mensual'!N190</f>
        <v>10597.4488629602</v>
      </c>
      <c r="M169" s="26" t="n">
        <f aca="false">parametros_recargas!$E$83*'Plan mensual'!O181+parametros_recargas!$F$83*'Plan mensual'!O182+parametros_recargas!$G$83*'Plan mensual'!O183+parametros_recargas!$H$83*'Plan mensual'!O184+parametros_recargas!$I$83*'Plan mensual'!O185+parametros_recargas!$J$83*'Plan mensual'!O186+parametros_recargas!$K$83*'Plan mensual'!O187+parametros_recargas!$L$83*'Plan mensual'!O188+parametros_recargas!$M$83*'Plan mensual'!O190</f>
        <v>12336.7617881645</v>
      </c>
      <c r="N169" s="12" t="n">
        <f aca="false">SUM(B169:M169)</f>
        <v>118696.579837498</v>
      </c>
      <c r="O169" s="27" t="n">
        <f aca="false">MAX(B169:M169)</f>
        <v>12336.7617881645</v>
      </c>
      <c r="P169" s="16" t="n">
        <f aca="false">O169/parametros_recargas!$B$6</f>
        <v>82.2450785877631</v>
      </c>
    </row>
    <row r="170" customFormat="false" ht="15" hidden="false" customHeight="false" outlineLevel="0" collapsed="false">
      <c r="A170" s="6" t="str">
        <f aca="false">parametros_recargas!$B$84</f>
        <v>Desarme e inspección interior — zona general</v>
      </c>
      <c r="B170" s="26" t="n">
        <f aca="false">parametros_recargas!$E$84*'Plan mensual'!D181+parametros_recargas!$F$84*'Plan mensual'!D182+parametros_recargas!$G$84*'Plan mensual'!D183+parametros_recargas!$H$84*'Plan mensual'!D184+parametros_recargas!$I$84*'Plan mensual'!D185+parametros_recargas!$J$84*'Plan mensual'!D186+parametros_recargas!$K$84*'Plan mensual'!D187+parametros_recargas!$L$84*'Plan mensual'!D188+parametros_recargas!$M$84*'Plan mensual'!D190</f>
        <v>726.120621477732</v>
      </c>
      <c r="C170" s="26" t="n">
        <f aca="false">parametros_recargas!$E$84*'Plan mensual'!E181+parametros_recargas!$F$84*'Plan mensual'!E182+parametros_recargas!$G$84*'Plan mensual'!E183+parametros_recargas!$H$84*'Plan mensual'!E184+parametros_recargas!$I$84*'Plan mensual'!E185+parametros_recargas!$J$84*'Plan mensual'!E186+parametros_recargas!$K$84*'Plan mensual'!E187+parametros_recargas!$L$84*'Plan mensual'!E188+parametros_recargas!$M$84*'Plan mensual'!E190</f>
        <v>726.120621477732</v>
      </c>
      <c r="D170" s="26" t="n">
        <f aca="false">parametros_recargas!$E$84*'Plan mensual'!F181+parametros_recargas!$F$84*'Plan mensual'!F182+parametros_recargas!$G$84*'Plan mensual'!F183+parametros_recargas!$H$84*'Plan mensual'!F184+parametros_recargas!$I$84*'Plan mensual'!F185+parametros_recargas!$J$84*'Plan mensual'!F186+parametros_recargas!$K$84*'Plan mensual'!F187+parametros_recargas!$L$84*'Plan mensual'!F188+parametros_recargas!$M$84*'Plan mensual'!F190</f>
        <v>848.94949274568</v>
      </c>
      <c r="E170" s="26" t="n">
        <f aca="false">parametros_recargas!$E$84*'Plan mensual'!G181+parametros_recargas!$F$84*'Plan mensual'!G182+parametros_recargas!$G$84*'Plan mensual'!G183+parametros_recargas!$H$84*'Plan mensual'!G184+parametros_recargas!$I$84*'Plan mensual'!G185+parametros_recargas!$J$84*'Plan mensual'!G186+parametros_recargas!$K$84*'Plan mensual'!G187+parametros_recargas!$L$84*'Plan mensual'!G188+parametros_recargas!$M$84*'Plan mensual'!G190</f>
        <v>969.319761809413</v>
      </c>
      <c r="F170" s="26" t="n">
        <f aca="false">parametros_recargas!$E$84*'Plan mensual'!H181+parametros_recargas!$F$84*'Plan mensual'!H182+parametros_recargas!$G$84*'Plan mensual'!H183+parametros_recargas!$H$84*'Plan mensual'!H184+parametros_recargas!$I$84*'Plan mensual'!H185+parametros_recargas!$J$84*'Plan mensual'!H186+parametros_recargas!$K$84*'Plan mensual'!H187+parametros_recargas!$L$84*'Plan mensual'!H188+parametros_recargas!$M$84*'Plan mensual'!H190</f>
        <v>976.816413853224</v>
      </c>
      <c r="G170" s="26" t="n">
        <f aca="false">parametros_recargas!$E$84*'Plan mensual'!I181+parametros_recargas!$F$84*'Plan mensual'!I182+parametros_recargas!$G$84*'Plan mensual'!I183+parametros_recargas!$H$84*'Plan mensual'!I184+parametros_recargas!$I$84*'Plan mensual'!I185+parametros_recargas!$J$84*'Plan mensual'!I186+parametros_recargas!$K$84*'Plan mensual'!I187+parametros_recargas!$L$84*'Plan mensual'!I188+parametros_recargas!$M$84*'Plan mensual'!I190</f>
        <v>957.857718171654</v>
      </c>
      <c r="H170" s="26" t="n">
        <f aca="false">parametros_recargas!$E$84*'Plan mensual'!J181+parametros_recargas!$F$84*'Plan mensual'!J182+parametros_recargas!$G$84*'Plan mensual'!J183+parametros_recargas!$H$84*'Plan mensual'!J184+parametros_recargas!$I$84*'Plan mensual'!J185+parametros_recargas!$J$84*'Plan mensual'!J186+parametros_recargas!$K$84*'Plan mensual'!J187+parametros_recargas!$L$84*'Plan mensual'!J188+parametros_recargas!$M$84*'Plan mensual'!J190</f>
        <v>818.078457582292</v>
      </c>
      <c r="I170" s="26" t="n">
        <f aca="false">parametros_recargas!$E$84*'Plan mensual'!K181+parametros_recargas!$F$84*'Plan mensual'!K182+parametros_recargas!$G$84*'Plan mensual'!K183+parametros_recargas!$H$84*'Plan mensual'!K184+parametros_recargas!$I$84*'Plan mensual'!K185+parametros_recargas!$J$84*'Plan mensual'!K186+parametros_recargas!$K$84*'Plan mensual'!K187+parametros_recargas!$L$84*'Plan mensual'!K188+parametros_recargas!$M$84*'Plan mensual'!K190</f>
        <v>823.566803265945</v>
      </c>
      <c r="J170" s="26" t="n">
        <f aca="false">parametros_recargas!$E$84*'Plan mensual'!L181+parametros_recargas!$F$84*'Plan mensual'!L182+parametros_recargas!$G$84*'Plan mensual'!L183+parametros_recargas!$H$84*'Plan mensual'!L184+parametros_recargas!$I$84*'Plan mensual'!L185+parametros_recargas!$J$84*'Plan mensual'!L186+parametros_recargas!$K$84*'Plan mensual'!L187+parametros_recargas!$L$84*'Plan mensual'!L188+parametros_recargas!$M$84*'Plan mensual'!L190</f>
        <v>841.253181206026</v>
      </c>
      <c r="K170" s="26" t="n">
        <f aca="false">parametros_recargas!$E$84*'Plan mensual'!M181+parametros_recargas!$F$84*'Plan mensual'!M182+parametros_recargas!$G$84*'Plan mensual'!M183+parametros_recargas!$H$84*'Plan mensual'!M184+parametros_recargas!$I$84*'Plan mensual'!M185+parametros_recargas!$J$84*'Plan mensual'!M186+parametros_recargas!$K$84*'Plan mensual'!M187+parametros_recargas!$L$84*'Plan mensual'!M188+parametros_recargas!$M$84*'Plan mensual'!M190</f>
        <v>841.253181206026</v>
      </c>
      <c r="L170" s="26" t="n">
        <f aca="false">parametros_recargas!$E$84*'Plan mensual'!N181+parametros_recargas!$F$84*'Plan mensual'!N182+parametros_recargas!$G$84*'Plan mensual'!N183+parametros_recargas!$H$84*'Plan mensual'!N184+parametros_recargas!$I$84*'Plan mensual'!N185+parametros_recargas!$J$84*'Plan mensual'!N186+parametros_recargas!$K$84*'Plan mensual'!N187+parametros_recargas!$L$84*'Plan mensual'!N188+parametros_recargas!$M$84*'Plan mensual'!N190</f>
        <v>833.756529162215</v>
      </c>
      <c r="M170" s="26" t="n">
        <f aca="false">parametros_recargas!$E$84*'Plan mensual'!O181+parametros_recargas!$F$84*'Plan mensual'!O182+parametros_recargas!$G$84*'Plan mensual'!O183+parametros_recargas!$H$84*'Plan mensual'!O184+parametros_recargas!$I$84*'Plan mensual'!O185+parametros_recargas!$J$84*'Plan mensual'!O186+parametros_recargas!$K$84*'Plan mensual'!O187+parametros_recargas!$L$84*'Plan mensual'!O188+parametros_recargas!$M$84*'Plan mensual'!O190</f>
        <v>852.715224843786</v>
      </c>
      <c r="N170" s="12" t="n">
        <f aca="false">SUM(B170:M170)</f>
        <v>10215.8080068017</v>
      </c>
      <c r="O170" s="27" t="n">
        <f aca="false">MAX(B170:M170)</f>
        <v>976.816413853224</v>
      </c>
      <c r="P170" s="16" t="n">
        <f aca="false">O170/parametros_recargas!$B$6</f>
        <v>6.51210942568816</v>
      </c>
    </row>
    <row r="171" customFormat="false" ht="15" hidden="false" customHeight="false" outlineLevel="0" collapsed="false">
      <c r="A171" s="6" t="str">
        <f aca="false">parametros_recargas!$B$85</f>
        <v>Laboratorio — Puffer y mufla</v>
      </c>
      <c r="B171" s="26" t="n">
        <f aca="false">parametros_recargas!$E$85*'Plan mensual'!D181+parametros_recargas!$F$85*'Plan mensual'!D182+parametros_recargas!$G$85*'Plan mensual'!D183+parametros_recargas!$H$85*'Plan mensual'!D184+parametros_recargas!$I$85*'Plan mensual'!D185+parametros_recargas!$J$85*'Plan mensual'!D186+parametros_recargas!$K$85*'Plan mensual'!D187+parametros_recargas!$L$85*'Plan mensual'!D188+parametros_recargas!$M$85*'Plan mensual'!D190</f>
        <v>118.596516594242</v>
      </c>
      <c r="C171" s="26" t="n">
        <f aca="false">parametros_recargas!$E$85*'Plan mensual'!E181+parametros_recargas!$F$85*'Plan mensual'!E182+parametros_recargas!$G$85*'Plan mensual'!E183+parametros_recargas!$H$85*'Plan mensual'!E184+parametros_recargas!$I$85*'Plan mensual'!E185+parametros_recargas!$J$85*'Plan mensual'!E186+parametros_recargas!$K$85*'Plan mensual'!E187+parametros_recargas!$L$85*'Plan mensual'!E188+parametros_recargas!$M$85*'Plan mensual'!E190</f>
        <v>101.451096887685</v>
      </c>
      <c r="D171" s="26" t="n">
        <f aca="false">parametros_recargas!$E$85*'Plan mensual'!F181+parametros_recargas!$F$85*'Plan mensual'!F182+parametros_recargas!$G$85*'Plan mensual'!F183+parametros_recargas!$H$85*'Plan mensual'!F184+parametros_recargas!$I$85*'Plan mensual'!F185+parametros_recargas!$J$85*'Plan mensual'!F186+parametros_recargas!$K$85*'Plan mensual'!F187+parametros_recargas!$L$85*'Plan mensual'!F188+parametros_recargas!$M$85*'Plan mensual'!F190</f>
        <v>93.6964828590082</v>
      </c>
      <c r="E171" s="26" t="n">
        <f aca="false">parametros_recargas!$E$85*'Plan mensual'!G181+parametros_recargas!$F$85*'Plan mensual'!G182+parametros_recargas!$G$85*'Plan mensual'!G183+parametros_recargas!$H$85*'Plan mensual'!G184+parametros_recargas!$I$85*'Plan mensual'!G185+parametros_recargas!$J$85*'Plan mensual'!G186+parametros_recargas!$K$85*'Plan mensual'!G187+parametros_recargas!$L$85*'Plan mensual'!G188+parametros_recargas!$M$85*'Plan mensual'!G190</f>
        <v>102.627229912466</v>
      </c>
      <c r="F171" s="26" t="n">
        <f aca="false">parametros_recargas!$E$85*'Plan mensual'!H181+parametros_recargas!$F$85*'Plan mensual'!H182+parametros_recargas!$G$85*'Plan mensual'!H183+parametros_recargas!$H$85*'Plan mensual'!H184+parametros_recargas!$I$85*'Plan mensual'!H185+parametros_recargas!$J$85*'Plan mensual'!H186+parametros_recargas!$K$85*'Plan mensual'!H187+parametros_recargas!$L$85*'Plan mensual'!H188+parametros_recargas!$M$85*'Plan mensual'!H190</f>
        <v>103.336349904719</v>
      </c>
      <c r="G171" s="26" t="n">
        <f aca="false">parametros_recargas!$E$85*'Plan mensual'!I181+parametros_recargas!$F$85*'Plan mensual'!I182+parametros_recargas!$G$85*'Plan mensual'!I183+parametros_recargas!$H$85*'Plan mensual'!I184+parametros_recargas!$I$85*'Plan mensual'!I185+parametros_recargas!$J$85*'Plan mensual'!I186+parametros_recargas!$K$85*'Plan mensual'!I187+parametros_recargas!$L$85*'Plan mensual'!I188+parametros_recargas!$M$85*'Plan mensual'!I190</f>
        <v>102.381101858384</v>
      </c>
      <c r="H171" s="26" t="n">
        <f aca="false">parametros_recargas!$E$85*'Plan mensual'!J181+parametros_recargas!$F$85*'Plan mensual'!J182+parametros_recargas!$G$85*'Plan mensual'!J183+parametros_recargas!$H$85*'Plan mensual'!J184+parametros_recargas!$I$85*'Plan mensual'!J185+parametros_recargas!$J$85*'Plan mensual'!J186+parametros_recargas!$K$85*'Plan mensual'!J187+parametros_recargas!$L$85*'Plan mensual'!J188+parametros_recargas!$M$85*'Plan mensual'!J190</f>
        <v>91.9132127734231</v>
      </c>
      <c r="I171" s="26" t="n">
        <f aca="false">parametros_recargas!$E$85*'Plan mensual'!K181+parametros_recargas!$F$85*'Plan mensual'!K182+parametros_recargas!$G$85*'Plan mensual'!K183+parametros_recargas!$H$85*'Plan mensual'!K184+parametros_recargas!$I$85*'Plan mensual'!K185+parametros_recargas!$J$85*'Plan mensual'!K186+parametros_recargas!$K$85*'Plan mensual'!K187+parametros_recargas!$L$85*'Plan mensual'!K188+parametros_recargas!$M$85*'Plan mensual'!K190</f>
        <v>92.7441681264233</v>
      </c>
      <c r="J171" s="26" t="n">
        <f aca="false">parametros_recargas!$E$85*'Plan mensual'!L181+parametros_recargas!$F$85*'Plan mensual'!L182+parametros_recargas!$G$85*'Plan mensual'!L183+parametros_recargas!$H$85*'Plan mensual'!L184+parametros_recargas!$I$85*'Plan mensual'!L185+parametros_recargas!$J$85*'Plan mensual'!L186+parametros_recargas!$K$85*'Plan mensual'!L187+parametros_recargas!$L$85*'Plan mensual'!L188+parametros_recargas!$M$85*'Plan mensual'!L190</f>
        <v>93.5823205266308</v>
      </c>
      <c r="K171" s="26" t="n">
        <f aca="false">parametros_recargas!$E$85*'Plan mensual'!M181+parametros_recargas!$F$85*'Plan mensual'!M182+parametros_recargas!$G$85*'Plan mensual'!M183+parametros_recargas!$H$85*'Plan mensual'!M184+parametros_recargas!$I$85*'Plan mensual'!M185+parametros_recargas!$J$85*'Plan mensual'!M186+parametros_recargas!$K$85*'Plan mensual'!M187+parametros_recargas!$L$85*'Plan mensual'!M188+parametros_recargas!$M$85*'Plan mensual'!M190</f>
        <v>93.5823205266308</v>
      </c>
      <c r="L171" s="26" t="n">
        <f aca="false">parametros_recargas!$E$85*'Plan mensual'!N181+parametros_recargas!$F$85*'Plan mensual'!N182+parametros_recargas!$G$85*'Plan mensual'!N183+parametros_recargas!$H$85*'Plan mensual'!N184+parametros_recargas!$I$85*'Plan mensual'!N185+parametros_recargas!$J$85*'Plan mensual'!N186+parametros_recargas!$K$85*'Plan mensual'!N187+parametros_recargas!$L$85*'Plan mensual'!N188+parametros_recargas!$M$85*'Plan mensual'!N190</f>
        <v>110.018620240934</v>
      </c>
      <c r="M171" s="26" t="n">
        <f aca="false">parametros_recargas!$E$85*'Plan mensual'!O181+parametros_recargas!$F$85*'Plan mensual'!O182+parametros_recargas!$G$85*'Plan mensual'!O183+parametros_recargas!$H$85*'Plan mensual'!O184+parametros_recargas!$I$85*'Plan mensual'!O185+parametros_recargas!$J$85*'Plan mensual'!O186+parametros_recargas!$K$85*'Plan mensual'!O187+parametros_recargas!$L$85*'Plan mensual'!O188+parametros_recargas!$M$85*'Plan mensual'!O190</f>
        <v>128.119287993825</v>
      </c>
      <c r="N171" s="12" t="n">
        <f aca="false">SUM(B171:M171)</f>
        <v>1232.04870820437</v>
      </c>
      <c r="O171" s="27" t="n">
        <f aca="false">MAX(B171:M171)</f>
        <v>128.119287993825</v>
      </c>
      <c r="P171" s="16" t="n">
        <f aca="false">O171/parametros_recargas!$B$6</f>
        <v>0.8541285866255</v>
      </c>
    </row>
    <row r="172" customFormat="false" ht="15" hidden="false" customHeight="false" outlineLevel="0" collapsed="false">
      <c r="A172" s="6" t="str">
        <f aca="false">parametros_recargas!$B$86</f>
        <v>Prueba hidráulica</v>
      </c>
      <c r="B172" s="26" t="n">
        <f aca="false">parametros_recargas!$E$86*'Plan mensual'!D181+parametros_recargas!$F$86*'Plan mensual'!D182+parametros_recargas!$G$86*'Plan mensual'!D183+parametros_recargas!$H$86*'Plan mensual'!D184+parametros_recargas!$I$86*'Plan mensual'!D185+parametros_recargas!$J$86*'Plan mensual'!D186+parametros_recargas!$K$86*'Plan mensual'!D187+parametros_recargas!$L$86*'Plan mensual'!D188+parametros_recargas!$M$86*'Plan mensual'!D190</f>
        <v>3317.0083001401</v>
      </c>
      <c r="C172" s="26" t="n">
        <f aca="false">parametros_recargas!$E$86*'Plan mensual'!E181+parametros_recargas!$F$86*'Plan mensual'!E182+parametros_recargas!$G$86*'Plan mensual'!E183+parametros_recargas!$H$86*'Plan mensual'!E184+parametros_recargas!$I$86*'Plan mensual'!E185+parametros_recargas!$J$86*'Plan mensual'!E186+parametros_recargas!$K$86*'Plan mensual'!E187+parametros_recargas!$L$86*'Plan mensual'!E188+parametros_recargas!$M$86*'Plan mensual'!E190</f>
        <v>2905.12777574753</v>
      </c>
      <c r="D172" s="26" t="n">
        <f aca="false">parametros_recargas!$E$86*'Plan mensual'!F181+parametros_recargas!$F$86*'Plan mensual'!F182+parametros_recargas!$G$86*'Plan mensual'!F183+parametros_recargas!$H$86*'Plan mensual'!F184+parametros_recargas!$I$86*'Plan mensual'!F185+parametros_recargas!$J$86*'Plan mensual'!F186+parametros_recargas!$K$86*'Plan mensual'!F187+parametros_recargas!$L$86*'Plan mensual'!F188+parametros_recargas!$M$86*'Plan mensual'!F190</f>
        <v>2802.29433025415</v>
      </c>
      <c r="E172" s="26" t="n">
        <f aca="false">parametros_recargas!$E$86*'Plan mensual'!G181+parametros_recargas!$F$86*'Plan mensual'!G182+parametros_recargas!$G$86*'Plan mensual'!G183+parametros_recargas!$H$86*'Plan mensual'!G184+parametros_recargas!$I$86*'Plan mensual'!G185+parametros_recargas!$J$86*'Plan mensual'!G186+parametros_recargas!$K$86*'Plan mensual'!G187+parametros_recargas!$L$86*'Plan mensual'!G188+parametros_recargas!$M$86*'Plan mensual'!G190</f>
        <v>3098.76485728989</v>
      </c>
      <c r="F172" s="26" t="n">
        <f aca="false">parametros_recargas!$E$86*'Plan mensual'!H181+parametros_recargas!$F$86*'Plan mensual'!H182+parametros_recargas!$G$86*'Plan mensual'!H183+parametros_recargas!$H$86*'Plan mensual'!H184+parametros_recargas!$I$86*'Plan mensual'!H185+parametros_recargas!$J$86*'Plan mensual'!H186+parametros_recargas!$K$86*'Plan mensual'!H187+parametros_recargas!$L$86*'Plan mensual'!H188+parametros_recargas!$M$86*'Plan mensual'!H190</f>
        <v>3120.55284047837</v>
      </c>
      <c r="G172" s="26" t="n">
        <f aca="false">parametros_recargas!$E$86*'Plan mensual'!I181+parametros_recargas!$F$86*'Plan mensual'!I182+parametros_recargas!$G$86*'Plan mensual'!I183+parametros_recargas!$H$86*'Plan mensual'!I184+parametros_recargas!$I$86*'Plan mensual'!I185+parametros_recargas!$J$86*'Plan mensual'!I186+parametros_recargas!$K$86*'Plan mensual'!I187+parametros_recargas!$L$86*'Plan mensual'!I188+parametros_recargas!$M$86*'Plan mensual'!I190</f>
        <v>3085.17241294211</v>
      </c>
      <c r="H172" s="26" t="n">
        <f aca="false">parametros_recargas!$E$86*'Plan mensual'!J181+parametros_recargas!$F$86*'Plan mensual'!J182+parametros_recargas!$G$86*'Plan mensual'!J183+parametros_recargas!$H$86*'Plan mensual'!J184+parametros_recargas!$I$86*'Plan mensual'!J185+parametros_recargas!$J$86*'Plan mensual'!J186+parametros_recargas!$K$86*'Plan mensual'!J187+parametros_recargas!$L$86*'Plan mensual'!J188+parametros_recargas!$M$86*'Plan mensual'!J190</f>
        <v>2739.48029772266</v>
      </c>
      <c r="I172" s="26" t="n">
        <f aca="false">parametros_recargas!$E$86*'Plan mensual'!K181+parametros_recargas!$F$86*'Plan mensual'!K182+parametros_recargas!$G$86*'Plan mensual'!K183+parametros_recargas!$H$86*'Plan mensual'!K184+parametros_recargas!$I$86*'Plan mensual'!K185+parametros_recargas!$J$86*'Plan mensual'!K186+parametros_recargas!$K$86*'Plan mensual'!K187+parametros_recargas!$L$86*'Plan mensual'!K188+parametros_recargas!$M$86*'Plan mensual'!K190</f>
        <v>2762.53288969515</v>
      </c>
      <c r="J172" s="26" t="n">
        <f aca="false">parametros_recargas!$E$86*'Plan mensual'!L181+parametros_recargas!$F$86*'Plan mensual'!L182+parametros_recargas!$G$86*'Plan mensual'!L183+parametros_recargas!$H$86*'Plan mensual'!L184+parametros_recargas!$I$86*'Plan mensual'!L185+parametros_recargas!$J$86*'Plan mensual'!L186+parametros_recargas!$K$86*'Plan mensual'!L187+parametros_recargas!$L$86*'Plan mensual'!L188+parametros_recargas!$M$86*'Plan mensual'!L190</f>
        <v>2794.19387908197</v>
      </c>
      <c r="K172" s="26" t="n">
        <f aca="false">parametros_recargas!$E$86*'Plan mensual'!M181+parametros_recargas!$F$86*'Plan mensual'!M182+parametros_recargas!$G$86*'Plan mensual'!M183+parametros_recargas!$H$86*'Plan mensual'!M184+parametros_recargas!$I$86*'Plan mensual'!M185+parametros_recargas!$J$86*'Plan mensual'!M186+parametros_recargas!$K$86*'Plan mensual'!M187+parametros_recargas!$L$86*'Plan mensual'!M188+parametros_recargas!$M$86*'Plan mensual'!M190</f>
        <v>2794.19387908197</v>
      </c>
      <c r="L172" s="26" t="n">
        <f aca="false">parametros_recargas!$E$86*'Plan mensual'!N181+parametros_recargas!$F$86*'Plan mensual'!N182+parametros_recargas!$G$86*'Plan mensual'!N183+parametros_recargas!$H$86*'Plan mensual'!N184+parametros_recargas!$I$86*'Plan mensual'!N185+parametros_recargas!$J$86*'Plan mensual'!N186+parametros_recargas!$K$86*'Plan mensual'!N187+parametros_recargas!$L$86*'Plan mensual'!N188+parametros_recargas!$M$86*'Plan mensual'!N190</f>
        <v>3184.28642028606</v>
      </c>
      <c r="M172" s="26" t="n">
        <f aca="false">parametros_recargas!$E$86*'Plan mensual'!O181+parametros_recargas!$F$86*'Plan mensual'!O182+parametros_recargas!$G$86*'Plan mensual'!O183+parametros_recargas!$H$86*'Plan mensual'!O184+parametros_recargas!$I$86*'Plan mensual'!O185+parametros_recargas!$J$86*'Plan mensual'!O186+parametros_recargas!$K$86*'Plan mensual'!O187+parametros_recargas!$L$86*'Plan mensual'!O188+parametros_recargas!$M$86*'Plan mensual'!O190</f>
        <v>3631.54737221489</v>
      </c>
      <c r="N172" s="12" t="n">
        <f aca="false">SUM(B172:M172)</f>
        <v>36235.1552549349</v>
      </c>
      <c r="O172" s="27" t="n">
        <f aca="false">MAX(B172:M172)</f>
        <v>3631.54737221489</v>
      </c>
      <c r="P172" s="16" t="n">
        <f aca="false">O172/parametros_recargas!$B$6</f>
        <v>24.2103158147659</v>
      </c>
    </row>
    <row r="173" customFormat="false" ht="15" hidden="false" customHeight="false" outlineLevel="0" collapsed="false">
      <c r="A173" s="6" t="str">
        <f aca="false">parametros_recargas!$B$87</f>
        <v>Secado</v>
      </c>
      <c r="B173" s="26" t="n">
        <f aca="false">parametros_recargas!$E$87*'Plan mensual'!D181+parametros_recargas!$F$87*'Plan mensual'!D182+parametros_recargas!$G$87*'Plan mensual'!D183+parametros_recargas!$H$87*'Plan mensual'!D184+parametros_recargas!$I$87*'Plan mensual'!D185+parametros_recargas!$J$87*'Plan mensual'!D186+parametros_recargas!$K$87*'Plan mensual'!D187+parametros_recargas!$L$87*'Plan mensual'!D188+parametros_recargas!$M$87*'Plan mensual'!D190</f>
        <v>3155.68389083137</v>
      </c>
      <c r="C173" s="26" t="n">
        <f aca="false">parametros_recargas!$E$87*'Plan mensual'!E181+parametros_recargas!$F$87*'Plan mensual'!E182+parametros_recargas!$G$87*'Plan mensual'!E183+parametros_recargas!$H$87*'Plan mensual'!E184+parametros_recargas!$I$87*'Plan mensual'!E185+parametros_recargas!$J$87*'Plan mensual'!E186+parametros_recargas!$K$87*'Plan mensual'!E187+parametros_recargas!$L$87*'Plan mensual'!E188+parametros_recargas!$M$87*'Plan mensual'!E190</f>
        <v>2727.32814546309</v>
      </c>
      <c r="D173" s="26" t="n">
        <f aca="false">parametros_recargas!$E$87*'Plan mensual'!F181+parametros_recargas!$F$87*'Plan mensual'!F182+parametros_recargas!$G$87*'Plan mensual'!F183+parametros_recargas!$H$87*'Plan mensual'!F184+parametros_recargas!$I$87*'Plan mensual'!F185+parametros_recargas!$J$87*'Plan mensual'!F186+parametros_recargas!$K$87*'Plan mensual'!F187+parametros_recargas!$L$87*'Plan mensual'!F188+parametros_recargas!$M$87*'Plan mensual'!F190</f>
        <v>2580.15325097167</v>
      </c>
      <c r="E173" s="26" t="n">
        <f aca="false">parametros_recargas!$E$87*'Plan mensual'!G181+parametros_recargas!$F$87*'Plan mensual'!G182+parametros_recargas!$G$87*'Plan mensual'!G183+parametros_recargas!$H$87*'Plan mensual'!G184+parametros_recargas!$I$87*'Plan mensual'!G185+parametros_recargas!$J$87*'Plan mensual'!G186+parametros_recargas!$K$87*'Plan mensual'!G187+parametros_recargas!$L$87*'Plan mensual'!G188+parametros_recargas!$M$87*'Plan mensual'!G190</f>
        <v>2849.52788979443</v>
      </c>
      <c r="F173" s="26" t="n">
        <f aca="false">parametros_recargas!$E$87*'Plan mensual'!H181+parametros_recargas!$F$87*'Plan mensual'!H182+parametros_recargas!$G$87*'Plan mensual'!H183+parametros_recargas!$H$87*'Plan mensual'!H184+parametros_recargas!$I$87*'Plan mensual'!H185+parametros_recargas!$J$87*'Plan mensual'!H186+parametros_recargas!$K$87*'Plan mensual'!H187+parametros_recargas!$L$87*'Plan mensual'!H188+parametros_recargas!$M$87*'Plan mensual'!H190</f>
        <v>2869.09666069817</v>
      </c>
      <c r="G173" s="26" t="n">
        <f aca="false">parametros_recargas!$E$87*'Plan mensual'!I181+parametros_recargas!$F$87*'Plan mensual'!I182+parametros_recargas!$G$87*'Plan mensual'!I183+parametros_recargas!$H$87*'Plan mensual'!I184+parametros_recargas!$I$87*'Plan mensual'!I185+parametros_recargas!$J$87*'Plan mensual'!I186+parametros_recargas!$K$87*'Plan mensual'!I187+parametros_recargas!$L$87*'Plan mensual'!I188+parametros_recargas!$M$87*'Plan mensual'!I190</f>
        <v>2839.13778426959</v>
      </c>
      <c r="H173" s="26" t="n">
        <f aca="false">parametros_recargas!$E$87*'Plan mensual'!J181+parametros_recargas!$F$87*'Plan mensual'!J182+parametros_recargas!$G$87*'Plan mensual'!J183+parametros_recargas!$H$87*'Plan mensual'!J184+parametros_recargas!$I$87*'Plan mensual'!J185+parametros_recargas!$J$87*'Plan mensual'!J186+parametros_recargas!$K$87*'Plan mensual'!J187+parametros_recargas!$L$87*'Plan mensual'!J188+parametros_recargas!$M$87*'Plan mensual'!J190</f>
        <v>2526.59429590027</v>
      </c>
      <c r="I173" s="26" t="n">
        <f aca="false">parametros_recargas!$E$87*'Plan mensual'!K181+parametros_recargas!$F$87*'Plan mensual'!K182+parametros_recargas!$G$87*'Plan mensual'!K183+parametros_recargas!$H$87*'Plan mensual'!K184+parametros_recargas!$I$87*'Plan mensual'!K185+parametros_recargas!$J$87*'Plan mensual'!K186+parametros_recargas!$K$87*'Plan mensual'!K187+parametros_recargas!$L$87*'Plan mensual'!K188+parametros_recargas!$M$87*'Plan mensual'!K190</f>
        <v>2547.56682786791</v>
      </c>
      <c r="J173" s="26" t="n">
        <f aca="false">parametros_recargas!$E$87*'Plan mensual'!L181+parametros_recargas!$F$87*'Plan mensual'!L182+parametros_recargas!$G$87*'Plan mensual'!L183+parametros_recargas!$H$87*'Plan mensual'!L184+parametros_recargas!$I$87*'Plan mensual'!L185+parametros_recargas!$J$87*'Plan mensual'!L186+parametros_recargas!$K$87*'Plan mensual'!L187+parametros_recargas!$L$87*'Plan mensual'!L188+parametros_recargas!$M$87*'Plan mensual'!L190</f>
        <v>2573.99227877129</v>
      </c>
      <c r="K173" s="26" t="n">
        <f aca="false">parametros_recargas!$E$87*'Plan mensual'!M181+parametros_recargas!$F$87*'Plan mensual'!M182+parametros_recargas!$G$87*'Plan mensual'!M183+parametros_recargas!$H$87*'Plan mensual'!M184+parametros_recargas!$I$87*'Plan mensual'!M185+parametros_recargas!$J$87*'Plan mensual'!M186+parametros_recargas!$K$87*'Plan mensual'!M187+parametros_recargas!$L$87*'Plan mensual'!M188+parametros_recargas!$M$87*'Plan mensual'!M190</f>
        <v>2573.99227877129</v>
      </c>
      <c r="L173" s="26" t="n">
        <f aca="false">parametros_recargas!$E$87*'Plan mensual'!N181+parametros_recargas!$F$87*'Plan mensual'!N182+parametros_recargas!$G$87*'Plan mensual'!N183+parametros_recargas!$H$87*'Plan mensual'!N184+parametros_recargas!$I$87*'Plan mensual'!N185+parametros_recargas!$J$87*'Plan mensual'!N186+parametros_recargas!$K$87*'Plan mensual'!N187+parametros_recargas!$L$87*'Plan mensual'!N188+parametros_recargas!$M$87*'Plan mensual'!N190</f>
        <v>2982.77925323583</v>
      </c>
      <c r="M173" s="26" t="n">
        <f aca="false">parametros_recargas!$E$87*'Plan mensual'!O181+parametros_recargas!$F$87*'Plan mensual'!O182+parametros_recargas!$G$87*'Plan mensual'!O183+parametros_recargas!$H$87*'Plan mensual'!O184+parametros_recargas!$I$87*'Plan mensual'!O185+parametros_recargas!$J$87*'Plan mensual'!O186+parametros_recargas!$K$87*'Plan mensual'!O187+parametros_recargas!$L$87*'Plan mensual'!O188+parametros_recargas!$M$87*'Plan mensual'!O190</f>
        <v>3441.09387503268</v>
      </c>
      <c r="N173" s="12" t="n">
        <f aca="false">SUM(B173:M173)</f>
        <v>33666.9464316076</v>
      </c>
      <c r="O173" s="27" t="n">
        <f aca="false">MAX(B173:M173)</f>
        <v>3441.09387503268</v>
      </c>
      <c r="P173" s="16" t="n">
        <f aca="false">O173/parametros_recargas!$B$6</f>
        <v>22.9406258335512</v>
      </c>
    </row>
    <row r="174" customFormat="false" ht="15" hidden="false" customHeight="false" outlineLevel="0" collapsed="false">
      <c r="A174" s="6" t="str">
        <f aca="false">parametros_recargas!$B$88</f>
        <v>Inspección interior con videoscopio</v>
      </c>
      <c r="B174" s="26" t="n">
        <f aca="false">parametros_recargas!$E$88*'Plan mensual'!D181+parametros_recargas!$F$88*'Plan mensual'!D182+parametros_recargas!$G$88*'Plan mensual'!D183+parametros_recargas!$H$88*'Plan mensual'!D184+parametros_recargas!$I$88*'Plan mensual'!D185+parametros_recargas!$J$88*'Plan mensual'!D186+parametros_recargas!$K$88*'Plan mensual'!D187+parametros_recargas!$L$88*'Plan mensual'!D188+parametros_recargas!$M$88*'Plan mensual'!D190</f>
        <v>3155.68389083137</v>
      </c>
      <c r="C174" s="26" t="n">
        <f aca="false">parametros_recargas!$E$88*'Plan mensual'!E181+parametros_recargas!$F$88*'Plan mensual'!E182+parametros_recargas!$G$88*'Plan mensual'!E183+parametros_recargas!$H$88*'Plan mensual'!E184+parametros_recargas!$I$88*'Plan mensual'!E185+parametros_recargas!$J$88*'Plan mensual'!E186+parametros_recargas!$K$88*'Plan mensual'!E187+parametros_recargas!$L$88*'Plan mensual'!E188+parametros_recargas!$M$88*'Plan mensual'!E190</f>
        <v>2727.32814546309</v>
      </c>
      <c r="D174" s="26" t="n">
        <f aca="false">parametros_recargas!$E$88*'Plan mensual'!F181+parametros_recargas!$F$88*'Plan mensual'!F182+parametros_recargas!$G$88*'Plan mensual'!F183+parametros_recargas!$H$88*'Plan mensual'!F184+parametros_recargas!$I$88*'Plan mensual'!F185+parametros_recargas!$J$88*'Plan mensual'!F186+parametros_recargas!$K$88*'Plan mensual'!F187+parametros_recargas!$L$88*'Plan mensual'!F188+parametros_recargas!$M$88*'Plan mensual'!F190</f>
        <v>2580.15325097167</v>
      </c>
      <c r="E174" s="26" t="n">
        <f aca="false">parametros_recargas!$E$88*'Plan mensual'!G181+parametros_recargas!$F$88*'Plan mensual'!G182+parametros_recargas!$G$88*'Plan mensual'!G183+parametros_recargas!$H$88*'Plan mensual'!G184+parametros_recargas!$I$88*'Plan mensual'!G185+parametros_recargas!$J$88*'Plan mensual'!G186+parametros_recargas!$K$88*'Plan mensual'!G187+parametros_recargas!$L$88*'Plan mensual'!G188+parametros_recargas!$M$88*'Plan mensual'!G190</f>
        <v>2849.52788979443</v>
      </c>
      <c r="F174" s="26" t="n">
        <f aca="false">parametros_recargas!$E$88*'Plan mensual'!H181+parametros_recargas!$F$88*'Plan mensual'!H182+parametros_recargas!$G$88*'Plan mensual'!H183+parametros_recargas!$H$88*'Plan mensual'!H184+parametros_recargas!$I$88*'Plan mensual'!H185+parametros_recargas!$J$88*'Plan mensual'!H186+parametros_recargas!$K$88*'Plan mensual'!H187+parametros_recargas!$L$88*'Plan mensual'!H188+parametros_recargas!$M$88*'Plan mensual'!H190</f>
        <v>2869.09666069817</v>
      </c>
      <c r="G174" s="26" t="n">
        <f aca="false">parametros_recargas!$E$88*'Plan mensual'!I181+parametros_recargas!$F$88*'Plan mensual'!I182+parametros_recargas!$G$88*'Plan mensual'!I183+parametros_recargas!$H$88*'Plan mensual'!I184+parametros_recargas!$I$88*'Plan mensual'!I185+parametros_recargas!$J$88*'Plan mensual'!I186+parametros_recargas!$K$88*'Plan mensual'!I187+parametros_recargas!$L$88*'Plan mensual'!I188+parametros_recargas!$M$88*'Plan mensual'!I190</f>
        <v>2839.13778426959</v>
      </c>
      <c r="H174" s="26" t="n">
        <f aca="false">parametros_recargas!$E$88*'Plan mensual'!J181+parametros_recargas!$F$88*'Plan mensual'!J182+parametros_recargas!$G$88*'Plan mensual'!J183+parametros_recargas!$H$88*'Plan mensual'!J184+parametros_recargas!$I$88*'Plan mensual'!J185+parametros_recargas!$J$88*'Plan mensual'!J186+parametros_recargas!$K$88*'Plan mensual'!J187+parametros_recargas!$L$88*'Plan mensual'!J188+parametros_recargas!$M$88*'Plan mensual'!J190</f>
        <v>2526.59429590027</v>
      </c>
      <c r="I174" s="26" t="n">
        <f aca="false">parametros_recargas!$E$88*'Plan mensual'!K181+parametros_recargas!$F$88*'Plan mensual'!K182+parametros_recargas!$G$88*'Plan mensual'!K183+parametros_recargas!$H$88*'Plan mensual'!K184+parametros_recargas!$I$88*'Plan mensual'!K185+parametros_recargas!$J$88*'Plan mensual'!K186+parametros_recargas!$K$88*'Plan mensual'!K187+parametros_recargas!$L$88*'Plan mensual'!K188+parametros_recargas!$M$88*'Plan mensual'!K190</f>
        <v>2547.56682786791</v>
      </c>
      <c r="J174" s="26" t="n">
        <f aca="false">parametros_recargas!$E$88*'Plan mensual'!L181+parametros_recargas!$F$88*'Plan mensual'!L182+parametros_recargas!$G$88*'Plan mensual'!L183+parametros_recargas!$H$88*'Plan mensual'!L184+parametros_recargas!$I$88*'Plan mensual'!L185+parametros_recargas!$J$88*'Plan mensual'!L186+parametros_recargas!$K$88*'Plan mensual'!L187+parametros_recargas!$L$88*'Plan mensual'!L188+parametros_recargas!$M$88*'Plan mensual'!L190</f>
        <v>2573.99227877129</v>
      </c>
      <c r="K174" s="26" t="n">
        <f aca="false">parametros_recargas!$E$88*'Plan mensual'!M181+parametros_recargas!$F$88*'Plan mensual'!M182+parametros_recargas!$G$88*'Plan mensual'!M183+parametros_recargas!$H$88*'Plan mensual'!M184+parametros_recargas!$I$88*'Plan mensual'!M185+parametros_recargas!$J$88*'Plan mensual'!M186+parametros_recargas!$K$88*'Plan mensual'!M187+parametros_recargas!$L$88*'Plan mensual'!M188+parametros_recargas!$M$88*'Plan mensual'!M190</f>
        <v>2573.99227877129</v>
      </c>
      <c r="L174" s="26" t="n">
        <f aca="false">parametros_recargas!$E$88*'Plan mensual'!N181+parametros_recargas!$F$88*'Plan mensual'!N182+parametros_recargas!$G$88*'Plan mensual'!N183+parametros_recargas!$H$88*'Plan mensual'!N184+parametros_recargas!$I$88*'Plan mensual'!N185+parametros_recargas!$J$88*'Plan mensual'!N186+parametros_recargas!$K$88*'Plan mensual'!N187+parametros_recargas!$L$88*'Plan mensual'!N188+parametros_recargas!$M$88*'Plan mensual'!N190</f>
        <v>2982.77925323583</v>
      </c>
      <c r="M174" s="26" t="n">
        <f aca="false">parametros_recargas!$E$88*'Plan mensual'!O181+parametros_recargas!$F$88*'Plan mensual'!O182+parametros_recargas!$G$88*'Plan mensual'!O183+parametros_recargas!$H$88*'Plan mensual'!O184+parametros_recargas!$I$88*'Plan mensual'!O185+parametros_recargas!$J$88*'Plan mensual'!O186+parametros_recargas!$K$88*'Plan mensual'!O187+parametros_recargas!$L$88*'Plan mensual'!O188+parametros_recargas!$M$88*'Plan mensual'!O190</f>
        <v>3441.09387503268</v>
      </c>
      <c r="N174" s="12" t="n">
        <f aca="false">SUM(B174:M174)</f>
        <v>33666.9464316076</v>
      </c>
      <c r="O174" s="27" t="n">
        <f aca="false">MAX(B174:M174)</f>
        <v>3441.09387503268</v>
      </c>
      <c r="P174" s="16" t="n">
        <f aca="false">O174/parametros_recargas!$B$6</f>
        <v>22.9406258335512</v>
      </c>
    </row>
    <row r="175" customFormat="false" ht="15" hidden="false" customHeight="false" outlineLevel="0" collapsed="false">
      <c r="A175" s="6" t="str">
        <f aca="false">parametros_recargas!$B$89</f>
        <v>Pintura</v>
      </c>
      <c r="B175" s="26" t="n">
        <f aca="false">parametros_recargas!$E$89*'Plan mensual'!D181+parametros_recargas!$F$89*'Plan mensual'!D182+parametros_recargas!$G$89*'Plan mensual'!D183+parametros_recargas!$H$89*'Plan mensual'!D184+parametros_recargas!$I$89*'Plan mensual'!D185+parametros_recargas!$J$89*'Plan mensual'!D186+parametros_recargas!$K$89*'Plan mensual'!D187+parametros_recargas!$L$89*'Plan mensual'!D188+parametros_recargas!$M$89*'Plan mensual'!D190</f>
        <v>1900.02776445802</v>
      </c>
      <c r="C175" s="26" t="n">
        <f aca="false">parametros_recargas!$E$89*'Plan mensual'!E181+parametros_recargas!$F$89*'Plan mensual'!E182+parametros_recargas!$G$89*'Plan mensual'!E183+parametros_recargas!$H$89*'Plan mensual'!E184+parametros_recargas!$I$89*'Plan mensual'!E185+parametros_recargas!$J$89*'Plan mensual'!E186+parametros_recargas!$K$89*'Plan mensual'!E187+parametros_recargas!$L$89*'Plan mensual'!E188+parametros_recargas!$M$89*'Plan mensual'!E190</f>
        <v>1652.89944982248</v>
      </c>
      <c r="D175" s="26" t="n">
        <f aca="false">parametros_recargas!$E$89*'Plan mensual'!F181+parametros_recargas!$F$89*'Plan mensual'!F182+parametros_recargas!$G$89*'Plan mensual'!F183+parametros_recargas!$H$89*'Plan mensual'!F184+parametros_recargas!$I$89*'Plan mensual'!F185+parametros_recargas!$J$89*'Plan mensual'!F186+parametros_recargas!$K$89*'Plan mensual'!F187+parametros_recargas!$L$89*'Plan mensual'!F188+parametros_recargas!$M$89*'Plan mensual'!F190</f>
        <v>1579.12630610921</v>
      </c>
      <c r="E175" s="26" t="n">
        <f aca="false">parametros_recargas!$E$89*'Plan mensual'!G181+parametros_recargas!$F$89*'Plan mensual'!G182+parametros_recargas!$G$89*'Plan mensual'!G183+parametros_recargas!$H$89*'Plan mensual'!G184+parametros_recargas!$I$89*'Plan mensual'!G185+parametros_recargas!$J$89*'Plan mensual'!G186+parametros_recargas!$K$89*'Plan mensual'!G187+parametros_recargas!$L$89*'Plan mensual'!G188+parametros_recargas!$M$89*'Plan mensual'!G190</f>
        <v>1745.33233633075</v>
      </c>
      <c r="F175" s="26" t="n">
        <f aca="false">parametros_recargas!$E$89*'Plan mensual'!H181+parametros_recargas!$F$89*'Plan mensual'!H182+parametros_recargas!$G$89*'Plan mensual'!H183+parametros_recargas!$H$89*'Plan mensual'!H184+parametros_recargas!$I$89*'Plan mensual'!H185+parametros_recargas!$J$89*'Plan mensual'!H186+parametros_recargas!$K$89*'Plan mensual'!H187+parametros_recargas!$L$89*'Plan mensual'!H188+parametros_recargas!$M$89*'Plan mensual'!H190</f>
        <v>1757.45583457686</v>
      </c>
      <c r="G175" s="26" t="n">
        <f aca="false">parametros_recargas!$E$89*'Plan mensual'!I181+parametros_recargas!$F$89*'Plan mensual'!I182+parametros_recargas!$G$89*'Plan mensual'!I183+parametros_recargas!$H$89*'Plan mensual'!I184+parametros_recargas!$I$89*'Plan mensual'!I185+parametros_recargas!$J$89*'Plan mensual'!I186+parametros_recargas!$K$89*'Plan mensual'!I187+parametros_recargas!$L$89*'Plan mensual'!I188+parametros_recargas!$M$89*'Plan mensual'!I190</f>
        <v>1738.30231021715</v>
      </c>
      <c r="H175" s="26" t="n">
        <f aca="false">parametros_recargas!$E$89*'Plan mensual'!J181+parametros_recargas!$F$89*'Plan mensual'!J182+parametros_recargas!$G$89*'Plan mensual'!J183+parametros_recargas!$H$89*'Plan mensual'!J184+parametros_recargas!$I$89*'Plan mensual'!J185+parametros_recargas!$J$89*'Plan mensual'!J186+parametros_recargas!$K$89*'Plan mensual'!J187+parametros_recargas!$L$89*'Plan mensual'!J188+parametros_recargas!$M$89*'Plan mensual'!J190</f>
        <v>1545.02762369513</v>
      </c>
      <c r="I175" s="26" t="n">
        <f aca="false">parametros_recargas!$E$89*'Plan mensual'!K181+parametros_recargas!$F$89*'Plan mensual'!K182+parametros_recargas!$G$89*'Plan mensual'!K183+parametros_recargas!$H$89*'Plan mensual'!K184+parametros_recargas!$I$89*'Plan mensual'!K185+parametros_recargas!$J$89*'Plan mensual'!K186+parametros_recargas!$K$89*'Plan mensual'!K187+parametros_recargas!$L$89*'Plan mensual'!K188+parametros_recargas!$M$89*'Plan mensual'!K190</f>
        <v>1557.91711318127</v>
      </c>
      <c r="J175" s="26" t="n">
        <f aca="false">parametros_recargas!$E$89*'Plan mensual'!L181+parametros_recargas!$F$89*'Plan mensual'!L182+parametros_recargas!$G$89*'Plan mensual'!L183+parametros_recargas!$H$89*'Plan mensual'!L184+parametros_recargas!$I$89*'Plan mensual'!L185+parametros_recargas!$J$89*'Plan mensual'!L186+parametros_recargas!$K$89*'Plan mensual'!L187+parametros_recargas!$L$89*'Plan mensual'!L188+parametros_recargas!$M$89*'Plan mensual'!L190</f>
        <v>1574.93667574153</v>
      </c>
      <c r="K175" s="26" t="n">
        <f aca="false">parametros_recargas!$E$89*'Plan mensual'!M181+parametros_recargas!$F$89*'Plan mensual'!M182+parametros_recargas!$G$89*'Plan mensual'!M183+parametros_recargas!$H$89*'Plan mensual'!M184+parametros_recargas!$I$89*'Plan mensual'!M185+parametros_recargas!$J$89*'Plan mensual'!M186+parametros_recargas!$K$89*'Plan mensual'!M187+parametros_recargas!$L$89*'Plan mensual'!M188+parametros_recargas!$M$89*'Plan mensual'!M190</f>
        <v>1574.93667574153</v>
      </c>
      <c r="L175" s="26" t="n">
        <f aca="false">parametros_recargas!$E$89*'Plan mensual'!N181+parametros_recargas!$F$89*'Plan mensual'!N182+parametros_recargas!$G$89*'Plan mensual'!N183+parametros_recargas!$H$89*'Plan mensual'!N184+parametros_recargas!$I$89*'Plan mensual'!N185+parametros_recargas!$J$89*'Plan mensual'!N186+parametros_recargas!$K$89*'Plan mensual'!N187+parametros_recargas!$L$89*'Plan mensual'!N188+parametros_recargas!$M$89*'Plan mensual'!N190</f>
        <v>1809.94149213096</v>
      </c>
      <c r="M175" s="26" t="n">
        <f aca="false">parametros_recargas!$E$89*'Plan mensual'!O181+parametros_recargas!$F$89*'Plan mensual'!O182+parametros_recargas!$G$89*'Plan mensual'!O183+parametros_recargas!$H$89*'Plan mensual'!O184+parametros_recargas!$I$89*'Plan mensual'!O185+parametros_recargas!$J$89*'Plan mensual'!O186+parametros_recargas!$K$89*'Plan mensual'!O187+parametros_recargas!$L$89*'Plan mensual'!O188+parametros_recargas!$M$89*'Plan mensual'!O190</f>
        <v>2076.22333112622</v>
      </c>
      <c r="N175" s="12" t="n">
        <f aca="false">SUM(B175:M175)</f>
        <v>20512.1269131311</v>
      </c>
      <c r="O175" s="27" t="n">
        <f aca="false">MAX(B175:M175)</f>
        <v>2076.22333112622</v>
      </c>
      <c r="P175" s="16" t="n">
        <f aca="false">O175/parametros_recargas!$B$6</f>
        <v>13.8414888741748</v>
      </c>
    </row>
    <row r="176" customFormat="false" ht="15" hidden="false" customHeight="false" outlineLevel="0" collapsed="false">
      <c r="A176" s="6" t="str">
        <f aca="false">parametros_recargas!$B$90</f>
        <v>Carga de polvo ABC, BC y Clase D</v>
      </c>
      <c r="B176" s="26" t="n">
        <f aca="false">parametros_recargas!$E$90*'Plan mensual'!D181+parametros_recargas!$F$90*'Plan mensual'!D182+parametros_recargas!$G$90*'Plan mensual'!D183+parametros_recargas!$H$90*'Plan mensual'!D184+parametros_recargas!$I$90*'Plan mensual'!D185+parametros_recargas!$J$90*'Plan mensual'!D186+parametros_recargas!$K$90*'Plan mensual'!D187+parametros_recargas!$L$90*'Plan mensual'!D188+parametros_recargas!$M$90*'Plan mensual'!D190</f>
        <v>11463.9424880038</v>
      </c>
      <c r="C176" s="26" t="n">
        <f aca="false">parametros_recargas!$E$90*'Plan mensual'!E181+parametros_recargas!$F$90*'Plan mensual'!E182+parametros_recargas!$G$90*'Plan mensual'!E183+parametros_recargas!$H$90*'Plan mensual'!E184+parametros_recargas!$I$90*'Plan mensual'!E185+parametros_recargas!$J$90*'Plan mensual'!E186+parametros_recargas!$K$90*'Plan mensual'!E187+parametros_recargas!$L$90*'Plan mensual'!E188+parametros_recargas!$M$90*'Plan mensual'!E190</f>
        <v>9811.83218261654</v>
      </c>
      <c r="D176" s="26" t="n">
        <f aca="false">parametros_recargas!$E$90*'Plan mensual'!F181+parametros_recargas!$F$90*'Plan mensual'!F182+parametros_recargas!$G$90*'Plan mensual'!F183+parametros_recargas!$H$90*'Plan mensual'!F184+parametros_recargas!$I$90*'Plan mensual'!F185+parametros_recargas!$J$90*'Plan mensual'!F186+parametros_recargas!$K$90*'Plan mensual'!F187+parametros_recargas!$L$90*'Plan mensual'!F188+parametros_recargas!$M$90*'Plan mensual'!F190</f>
        <v>9068.27516647294</v>
      </c>
      <c r="E176" s="26" t="n">
        <f aca="false">parametros_recargas!$E$90*'Plan mensual'!G181+parametros_recargas!$F$90*'Plan mensual'!G182+parametros_recargas!$G$90*'Plan mensual'!G183+parametros_recargas!$H$90*'Plan mensual'!G184+parametros_recargas!$I$90*'Plan mensual'!G185+parametros_recargas!$J$90*'Plan mensual'!G186+parametros_recargas!$K$90*'Plan mensual'!G187+parametros_recargas!$L$90*'Plan mensual'!G188+parametros_recargas!$M$90*'Plan mensual'!G190</f>
        <v>9926.44040069904</v>
      </c>
      <c r="F176" s="26" t="n">
        <f aca="false">parametros_recargas!$E$90*'Plan mensual'!H181+parametros_recargas!$F$90*'Plan mensual'!H182+parametros_recargas!$G$90*'Plan mensual'!H183+parametros_recargas!$H$90*'Plan mensual'!H184+parametros_recargas!$I$90*'Plan mensual'!H185+parametros_recargas!$J$90*'Plan mensual'!H186+parametros_recargas!$K$90*'Plan mensual'!H187+parametros_recargas!$L$90*'Plan mensual'!H188+parametros_recargas!$M$90*'Plan mensual'!H190</f>
        <v>9993.52251491389</v>
      </c>
      <c r="G176" s="26" t="n">
        <f aca="false">parametros_recargas!$E$90*'Plan mensual'!I181+parametros_recargas!$F$90*'Plan mensual'!I182+parametros_recargas!$G$90*'Plan mensual'!I183+parametros_recargas!$H$90*'Plan mensual'!I184+parametros_recargas!$I$90*'Plan mensual'!I185+parametros_recargas!$J$90*'Plan mensual'!I186+parametros_recargas!$K$90*'Plan mensual'!I187+parametros_recargas!$L$90*'Plan mensual'!I188+parametros_recargas!$M$90*'Plan mensual'!I190</f>
        <v>9900.31747946286</v>
      </c>
      <c r="H176" s="26" t="n">
        <f aca="false">parametros_recargas!$E$90*'Plan mensual'!J181+parametros_recargas!$F$90*'Plan mensual'!J182+parametros_recargas!$G$90*'Plan mensual'!J183+parametros_recargas!$H$90*'Plan mensual'!J184+parametros_recargas!$I$90*'Plan mensual'!J185+parametros_recargas!$J$90*'Plan mensual'!J186+parametros_recargas!$K$90*'Plan mensual'!J187+parametros_recargas!$L$90*'Plan mensual'!J188+parametros_recargas!$M$90*'Plan mensual'!J190</f>
        <v>8895.8607971206</v>
      </c>
      <c r="I176" s="26" t="n">
        <f aca="false">parametros_recargas!$E$90*'Plan mensual'!K181+parametros_recargas!$F$90*'Plan mensual'!K182+parametros_recargas!$G$90*'Plan mensual'!K183+parametros_recargas!$H$90*'Plan mensual'!K184+parametros_recargas!$I$90*'Plan mensual'!K185+parametros_recargas!$J$90*'Plan mensual'!K186+parametros_recargas!$K$90*'Plan mensual'!K187+parametros_recargas!$L$90*'Plan mensual'!K188+parametros_recargas!$M$90*'Plan mensual'!K190</f>
        <v>8975.7082041595</v>
      </c>
      <c r="J176" s="26" t="n">
        <f aca="false">parametros_recargas!$E$90*'Plan mensual'!L181+parametros_recargas!$F$90*'Plan mensual'!L182+parametros_recargas!$G$90*'Plan mensual'!L183+parametros_recargas!$H$90*'Plan mensual'!L184+parametros_recargas!$I$90*'Plan mensual'!L185+parametros_recargas!$J$90*'Plan mensual'!L186+parametros_recargas!$K$90*'Plan mensual'!L187+parametros_recargas!$L$90*'Plan mensual'!L188+parametros_recargas!$M$90*'Plan mensual'!L190</f>
        <v>9056.06907941319</v>
      </c>
      <c r="K176" s="26" t="n">
        <f aca="false">parametros_recargas!$E$90*'Plan mensual'!M181+parametros_recargas!$F$90*'Plan mensual'!M182+parametros_recargas!$G$90*'Plan mensual'!M183+parametros_recargas!$H$90*'Plan mensual'!M184+parametros_recargas!$I$90*'Plan mensual'!M185+parametros_recargas!$J$90*'Plan mensual'!M186+parametros_recargas!$K$90*'Plan mensual'!M187+parametros_recargas!$L$90*'Plan mensual'!M188+parametros_recargas!$M$90*'Plan mensual'!M190</f>
        <v>9054.65487159619</v>
      </c>
      <c r="L176" s="26" t="n">
        <f aca="false">parametros_recargas!$E$90*'Plan mensual'!N181+parametros_recargas!$F$90*'Plan mensual'!N182+parametros_recargas!$G$90*'Plan mensual'!N183+parametros_recargas!$H$90*'Plan mensual'!N184+parametros_recargas!$I$90*'Plan mensual'!N185+parametros_recargas!$J$90*'Plan mensual'!N186+parametros_recargas!$K$90*'Plan mensual'!N187+parametros_recargas!$L$90*'Plan mensual'!N188+parametros_recargas!$M$90*'Plan mensual'!N190</f>
        <v>10632.8007510431</v>
      </c>
      <c r="M176" s="26" t="n">
        <f aca="false">parametros_recargas!$E$90*'Plan mensual'!O181+parametros_recargas!$F$90*'Plan mensual'!O182+parametros_recargas!$G$90*'Plan mensual'!O183+parametros_recargas!$H$90*'Plan mensual'!O184+parametros_recargas!$I$90*'Plan mensual'!O185+parametros_recargas!$J$90*'Plan mensual'!O186+parametros_recargas!$K$90*'Plan mensual'!O187+parametros_recargas!$L$90*'Plan mensual'!O188+parametros_recargas!$M$90*'Plan mensual'!O190</f>
        <v>12380.9338840644</v>
      </c>
      <c r="N176" s="12" t="n">
        <f aca="false">SUM(B176:M176)</f>
        <v>119160.357819566</v>
      </c>
      <c r="O176" s="27" t="n">
        <f aca="false">MAX(B176:M176)</f>
        <v>12380.9338840644</v>
      </c>
      <c r="P176" s="16" t="n">
        <f aca="false">O176/parametros_recargas!$B$6</f>
        <v>82.5395592270963</v>
      </c>
    </row>
    <row r="177" customFormat="false" ht="15" hidden="false" customHeight="false" outlineLevel="0" collapsed="false">
      <c r="A177" s="6" t="str">
        <f aca="false">parametros_recargas!$B$91</f>
        <v>Ensamblaje y marbete — recinto</v>
      </c>
      <c r="B177" s="26" t="n">
        <f aca="false">parametros_recargas!$E$91*'Plan mensual'!D181+parametros_recargas!$F$91*'Plan mensual'!D182+parametros_recargas!$G$91*'Plan mensual'!D183+parametros_recargas!$H$91*'Plan mensual'!D184+parametros_recargas!$I$91*'Plan mensual'!D185+parametros_recargas!$J$91*'Plan mensual'!D186+parametros_recargas!$K$91*'Plan mensual'!D187+parametros_recargas!$L$91*'Plan mensual'!D188+parametros_recargas!$M$91*'Plan mensual'!D190</f>
        <v>11445.8960546398</v>
      </c>
      <c r="C177" s="26" t="n">
        <f aca="false">parametros_recargas!$E$91*'Plan mensual'!E181+parametros_recargas!$F$91*'Plan mensual'!E182+parametros_recargas!$G$91*'Plan mensual'!E183+parametros_recargas!$H$91*'Plan mensual'!E184+parametros_recargas!$I$91*'Plan mensual'!E185+parametros_recargas!$J$91*'Plan mensual'!E186+parametros_recargas!$K$91*'Plan mensual'!E187+parametros_recargas!$L$91*'Plan mensual'!E188+parametros_recargas!$M$91*'Plan mensual'!E190</f>
        <v>9793.78574925257</v>
      </c>
      <c r="D177" s="26" t="n">
        <f aca="false">parametros_recargas!$E$91*'Plan mensual'!F181+parametros_recargas!$F$91*'Plan mensual'!F182+parametros_recargas!$G$91*'Plan mensual'!F183+parametros_recargas!$H$91*'Plan mensual'!F184+parametros_recargas!$I$91*'Plan mensual'!F185+parametros_recargas!$J$91*'Plan mensual'!F186+parametros_recargas!$K$91*'Plan mensual'!F187+parametros_recargas!$L$91*'Plan mensual'!F188+parametros_recargas!$M$91*'Plan mensual'!F190</f>
        <v>9050.22873310897</v>
      </c>
      <c r="E177" s="26" t="n">
        <f aca="false">parametros_recargas!$E$91*'Plan mensual'!G181+parametros_recargas!$F$91*'Plan mensual'!G182+parametros_recargas!$G$91*'Plan mensual'!G183+parametros_recargas!$H$91*'Plan mensual'!G184+parametros_recargas!$I$91*'Plan mensual'!G185+parametros_recargas!$J$91*'Plan mensual'!G186+parametros_recargas!$K$91*'Plan mensual'!G187+parametros_recargas!$L$91*'Plan mensual'!G188+parametros_recargas!$M$91*'Plan mensual'!G190</f>
        <v>9908.39396733507</v>
      </c>
      <c r="F177" s="26" t="n">
        <f aca="false">parametros_recargas!$E$91*'Plan mensual'!H181+parametros_recargas!$F$91*'Plan mensual'!H182+parametros_recargas!$G$91*'Plan mensual'!H183+parametros_recargas!$H$91*'Plan mensual'!H184+parametros_recargas!$I$91*'Plan mensual'!H185+parametros_recargas!$J$91*'Plan mensual'!H186+parametros_recargas!$K$91*'Plan mensual'!H187+parametros_recargas!$L$91*'Plan mensual'!H188+parametros_recargas!$M$91*'Plan mensual'!H190</f>
        <v>9975.47608154992</v>
      </c>
      <c r="G177" s="26" t="n">
        <f aca="false">parametros_recargas!$E$91*'Plan mensual'!I181+parametros_recargas!$F$91*'Plan mensual'!I182+parametros_recargas!$G$91*'Plan mensual'!I183+parametros_recargas!$H$91*'Plan mensual'!I184+parametros_recargas!$I$91*'Plan mensual'!I185+parametros_recargas!$J$91*'Plan mensual'!I186+parametros_recargas!$K$91*'Plan mensual'!I187+parametros_recargas!$L$91*'Plan mensual'!I188+parametros_recargas!$M$91*'Plan mensual'!I190</f>
        <v>9882.27104609889</v>
      </c>
      <c r="H177" s="26" t="n">
        <f aca="false">parametros_recargas!$E$91*'Plan mensual'!J181+parametros_recargas!$F$91*'Plan mensual'!J182+parametros_recargas!$G$91*'Plan mensual'!J183+parametros_recargas!$H$91*'Plan mensual'!J184+parametros_recargas!$I$91*'Plan mensual'!J185+parametros_recargas!$J$91*'Plan mensual'!J186+parametros_recargas!$K$91*'Plan mensual'!J187+parametros_recargas!$L$91*'Plan mensual'!J188+parametros_recargas!$M$91*'Plan mensual'!J190</f>
        <v>8877.81436375663</v>
      </c>
      <c r="I177" s="26" t="n">
        <f aca="false">parametros_recargas!$E$91*'Plan mensual'!K181+parametros_recargas!$F$91*'Plan mensual'!K182+parametros_recargas!$G$91*'Plan mensual'!K183+parametros_recargas!$H$91*'Plan mensual'!K184+parametros_recargas!$I$91*'Plan mensual'!K185+parametros_recargas!$J$91*'Plan mensual'!K186+parametros_recargas!$K$91*'Plan mensual'!K187+parametros_recargas!$L$91*'Plan mensual'!K188+parametros_recargas!$M$91*'Plan mensual'!K190</f>
        <v>8957.66177079552</v>
      </c>
      <c r="J177" s="26" t="n">
        <f aca="false">parametros_recargas!$E$91*'Plan mensual'!L181+parametros_recargas!$F$91*'Plan mensual'!L182+parametros_recargas!$G$91*'Plan mensual'!L183+parametros_recargas!$H$91*'Plan mensual'!L184+parametros_recargas!$I$91*'Plan mensual'!L185+parametros_recargas!$J$91*'Plan mensual'!L186+parametros_recargas!$K$91*'Plan mensual'!L187+parametros_recargas!$L$91*'Plan mensual'!L188+parametros_recargas!$M$91*'Plan mensual'!L190</f>
        <v>9038.02264604922</v>
      </c>
      <c r="K177" s="26" t="n">
        <f aca="false">parametros_recargas!$E$91*'Plan mensual'!M181+parametros_recargas!$F$91*'Plan mensual'!M182+parametros_recargas!$G$91*'Plan mensual'!M183+parametros_recargas!$H$91*'Plan mensual'!M184+parametros_recargas!$I$91*'Plan mensual'!M185+parametros_recargas!$J$91*'Plan mensual'!M186+parametros_recargas!$K$91*'Plan mensual'!M187+parametros_recargas!$L$91*'Plan mensual'!M188+parametros_recargas!$M$91*'Plan mensual'!M190</f>
        <v>9036.60843823222</v>
      </c>
      <c r="L177" s="26" t="n">
        <f aca="false">parametros_recargas!$E$91*'Plan mensual'!N181+parametros_recargas!$F$91*'Plan mensual'!N182+parametros_recargas!$G$91*'Plan mensual'!N183+parametros_recargas!$H$91*'Plan mensual'!N184+parametros_recargas!$I$91*'Plan mensual'!N185+parametros_recargas!$J$91*'Plan mensual'!N186+parametros_recargas!$K$91*'Plan mensual'!N187+parametros_recargas!$L$91*'Plan mensual'!N188+parametros_recargas!$M$91*'Plan mensual'!N190</f>
        <v>10614.7543176792</v>
      </c>
      <c r="M177" s="26" t="n">
        <f aca="false">parametros_recargas!$E$91*'Plan mensual'!O181+parametros_recargas!$F$91*'Plan mensual'!O182+parametros_recargas!$G$91*'Plan mensual'!O183+parametros_recargas!$H$91*'Plan mensual'!O184+parametros_recargas!$I$91*'Plan mensual'!O185+parametros_recargas!$J$91*'Plan mensual'!O186+parametros_recargas!$K$91*'Plan mensual'!O187+parametros_recargas!$L$91*'Plan mensual'!O188+parametros_recargas!$M$91*'Plan mensual'!O190</f>
        <v>12362.8874507005</v>
      </c>
      <c r="N177" s="12" t="n">
        <f aca="false">SUM(B177:M177)</f>
        <v>118943.800619198</v>
      </c>
      <c r="O177" s="27" t="n">
        <f aca="false">MAX(B177:M177)</f>
        <v>12362.8874507005</v>
      </c>
      <c r="P177" s="16" t="n">
        <f aca="false">O177/parametros_recargas!$B$6</f>
        <v>82.4192496713364</v>
      </c>
    </row>
    <row r="178" customFormat="false" ht="15" hidden="false" customHeight="false" outlineLevel="0" collapsed="false">
      <c r="A178" s="6" t="str">
        <f aca="false">parametros_recargas!$B$92</f>
        <v>Presurización — recinto</v>
      </c>
      <c r="B178" s="26" t="n">
        <f aca="false">parametros_recargas!$E$92*'Plan mensual'!D181+parametros_recargas!$F$92*'Plan mensual'!D182+parametros_recargas!$G$92*'Plan mensual'!D183+parametros_recargas!$H$92*'Plan mensual'!D184+parametros_recargas!$I$92*'Plan mensual'!D185+parametros_recargas!$J$92*'Plan mensual'!D186+parametros_recargas!$K$92*'Plan mensual'!D187+parametros_recargas!$L$92*'Plan mensual'!D188+parametros_recargas!$M$92*'Plan mensual'!D190</f>
        <v>11445.8960546398</v>
      </c>
      <c r="C178" s="26" t="n">
        <f aca="false">parametros_recargas!$E$92*'Plan mensual'!E181+parametros_recargas!$F$92*'Plan mensual'!E182+parametros_recargas!$G$92*'Plan mensual'!E183+parametros_recargas!$H$92*'Plan mensual'!E184+parametros_recargas!$I$92*'Plan mensual'!E185+parametros_recargas!$J$92*'Plan mensual'!E186+parametros_recargas!$K$92*'Plan mensual'!E187+parametros_recargas!$L$92*'Plan mensual'!E188+parametros_recargas!$M$92*'Plan mensual'!E190</f>
        <v>9793.78574925257</v>
      </c>
      <c r="D178" s="26" t="n">
        <f aca="false">parametros_recargas!$E$92*'Plan mensual'!F181+parametros_recargas!$F$92*'Plan mensual'!F182+parametros_recargas!$G$92*'Plan mensual'!F183+parametros_recargas!$H$92*'Plan mensual'!F184+parametros_recargas!$I$92*'Plan mensual'!F185+parametros_recargas!$J$92*'Plan mensual'!F186+parametros_recargas!$K$92*'Plan mensual'!F187+parametros_recargas!$L$92*'Plan mensual'!F188+parametros_recargas!$M$92*'Plan mensual'!F190</f>
        <v>9050.22873310897</v>
      </c>
      <c r="E178" s="26" t="n">
        <f aca="false">parametros_recargas!$E$92*'Plan mensual'!G181+parametros_recargas!$F$92*'Plan mensual'!G182+parametros_recargas!$G$92*'Plan mensual'!G183+parametros_recargas!$H$92*'Plan mensual'!G184+parametros_recargas!$I$92*'Plan mensual'!G185+parametros_recargas!$J$92*'Plan mensual'!G186+parametros_recargas!$K$92*'Plan mensual'!G187+parametros_recargas!$L$92*'Plan mensual'!G188+parametros_recargas!$M$92*'Plan mensual'!G190</f>
        <v>9908.39396733507</v>
      </c>
      <c r="F178" s="26" t="n">
        <f aca="false">parametros_recargas!$E$92*'Plan mensual'!H181+parametros_recargas!$F$92*'Plan mensual'!H182+parametros_recargas!$G$92*'Plan mensual'!H183+parametros_recargas!$H$92*'Plan mensual'!H184+parametros_recargas!$I$92*'Plan mensual'!H185+parametros_recargas!$J$92*'Plan mensual'!H186+parametros_recargas!$K$92*'Plan mensual'!H187+parametros_recargas!$L$92*'Plan mensual'!H188+parametros_recargas!$M$92*'Plan mensual'!H190</f>
        <v>9975.47608154992</v>
      </c>
      <c r="G178" s="26" t="n">
        <f aca="false">parametros_recargas!$E$92*'Plan mensual'!I181+parametros_recargas!$F$92*'Plan mensual'!I182+parametros_recargas!$G$92*'Plan mensual'!I183+parametros_recargas!$H$92*'Plan mensual'!I184+parametros_recargas!$I$92*'Plan mensual'!I185+parametros_recargas!$J$92*'Plan mensual'!I186+parametros_recargas!$K$92*'Plan mensual'!I187+parametros_recargas!$L$92*'Plan mensual'!I188+parametros_recargas!$M$92*'Plan mensual'!I190</f>
        <v>9882.27104609889</v>
      </c>
      <c r="H178" s="26" t="n">
        <f aca="false">parametros_recargas!$E$92*'Plan mensual'!J181+parametros_recargas!$F$92*'Plan mensual'!J182+parametros_recargas!$G$92*'Plan mensual'!J183+parametros_recargas!$H$92*'Plan mensual'!J184+parametros_recargas!$I$92*'Plan mensual'!J185+parametros_recargas!$J$92*'Plan mensual'!J186+parametros_recargas!$K$92*'Plan mensual'!J187+parametros_recargas!$L$92*'Plan mensual'!J188+parametros_recargas!$M$92*'Plan mensual'!J190</f>
        <v>8877.81436375663</v>
      </c>
      <c r="I178" s="26" t="n">
        <f aca="false">parametros_recargas!$E$92*'Plan mensual'!K181+parametros_recargas!$F$92*'Plan mensual'!K182+parametros_recargas!$G$92*'Plan mensual'!K183+parametros_recargas!$H$92*'Plan mensual'!K184+parametros_recargas!$I$92*'Plan mensual'!K185+parametros_recargas!$J$92*'Plan mensual'!K186+parametros_recargas!$K$92*'Plan mensual'!K187+parametros_recargas!$L$92*'Plan mensual'!K188+parametros_recargas!$M$92*'Plan mensual'!K190</f>
        <v>8957.66177079552</v>
      </c>
      <c r="J178" s="26" t="n">
        <f aca="false">parametros_recargas!$E$92*'Plan mensual'!L181+parametros_recargas!$F$92*'Plan mensual'!L182+parametros_recargas!$G$92*'Plan mensual'!L183+parametros_recargas!$H$92*'Plan mensual'!L184+parametros_recargas!$I$92*'Plan mensual'!L185+parametros_recargas!$J$92*'Plan mensual'!L186+parametros_recargas!$K$92*'Plan mensual'!L187+parametros_recargas!$L$92*'Plan mensual'!L188+parametros_recargas!$M$92*'Plan mensual'!L190</f>
        <v>9038.02264604922</v>
      </c>
      <c r="K178" s="26" t="n">
        <f aca="false">parametros_recargas!$E$92*'Plan mensual'!M181+parametros_recargas!$F$92*'Plan mensual'!M182+parametros_recargas!$G$92*'Plan mensual'!M183+parametros_recargas!$H$92*'Plan mensual'!M184+parametros_recargas!$I$92*'Plan mensual'!M185+parametros_recargas!$J$92*'Plan mensual'!M186+parametros_recargas!$K$92*'Plan mensual'!M187+parametros_recargas!$L$92*'Plan mensual'!M188+parametros_recargas!$M$92*'Plan mensual'!M190</f>
        <v>9036.60843823222</v>
      </c>
      <c r="L178" s="26" t="n">
        <f aca="false">parametros_recargas!$E$92*'Plan mensual'!N181+parametros_recargas!$F$92*'Plan mensual'!N182+parametros_recargas!$G$92*'Plan mensual'!N183+parametros_recargas!$H$92*'Plan mensual'!N184+parametros_recargas!$I$92*'Plan mensual'!N185+parametros_recargas!$J$92*'Plan mensual'!N186+parametros_recargas!$K$92*'Plan mensual'!N187+parametros_recargas!$L$92*'Plan mensual'!N188+parametros_recargas!$M$92*'Plan mensual'!N190</f>
        <v>10614.7543176792</v>
      </c>
      <c r="M178" s="26" t="n">
        <f aca="false">parametros_recargas!$E$92*'Plan mensual'!O181+parametros_recargas!$F$92*'Plan mensual'!O182+parametros_recargas!$G$92*'Plan mensual'!O183+parametros_recargas!$H$92*'Plan mensual'!O184+parametros_recargas!$I$92*'Plan mensual'!O185+parametros_recargas!$J$92*'Plan mensual'!O186+parametros_recargas!$K$92*'Plan mensual'!O187+parametros_recargas!$L$92*'Plan mensual'!O188+parametros_recargas!$M$92*'Plan mensual'!O190</f>
        <v>12362.8874507005</v>
      </c>
      <c r="N178" s="12" t="n">
        <f aca="false">SUM(B178:M178)</f>
        <v>118943.800619198</v>
      </c>
      <c r="O178" s="27" t="n">
        <f aca="false">MAX(B178:M178)</f>
        <v>12362.8874507005</v>
      </c>
      <c r="P178" s="16" t="n">
        <f aca="false">O178/parametros_recargas!$B$6</f>
        <v>82.4192496713364</v>
      </c>
    </row>
    <row r="179" customFormat="false" ht="15" hidden="false" customHeight="false" outlineLevel="0" collapsed="false">
      <c r="A179" s="6" t="str">
        <f aca="false">parametros_recargas!$B$93</f>
        <v>Ensamblaje y presurización — zona general</v>
      </c>
      <c r="B179" s="26" t="n">
        <f aca="false">parametros_recargas!$E$93*'Plan mensual'!D181+parametros_recargas!$F$93*'Plan mensual'!D182+parametros_recargas!$G$93*'Plan mensual'!D183+parametros_recargas!$H$93*'Plan mensual'!D184+parametros_recargas!$I$93*'Plan mensual'!D185+parametros_recargas!$J$93*'Plan mensual'!D186+parametros_recargas!$K$93*'Plan mensual'!D187+parametros_recargas!$L$93*'Plan mensual'!D188+parametros_recargas!$M$93*'Plan mensual'!D190</f>
        <v>726.120621477732</v>
      </c>
      <c r="C179" s="26" t="n">
        <f aca="false">parametros_recargas!$E$93*'Plan mensual'!E181+parametros_recargas!$F$93*'Plan mensual'!E182+parametros_recargas!$G$93*'Plan mensual'!E183+parametros_recargas!$H$93*'Plan mensual'!E184+parametros_recargas!$I$93*'Plan mensual'!E185+parametros_recargas!$J$93*'Plan mensual'!E186+parametros_recargas!$K$93*'Plan mensual'!E187+parametros_recargas!$L$93*'Plan mensual'!E188+parametros_recargas!$M$93*'Plan mensual'!E190</f>
        <v>726.120621477732</v>
      </c>
      <c r="D179" s="26" t="n">
        <f aca="false">parametros_recargas!$E$93*'Plan mensual'!F181+parametros_recargas!$F$93*'Plan mensual'!F182+parametros_recargas!$G$93*'Plan mensual'!F183+parametros_recargas!$H$93*'Plan mensual'!F184+parametros_recargas!$I$93*'Plan mensual'!F185+parametros_recargas!$J$93*'Plan mensual'!F186+parametros_recargas!$K$93*'Plan mensual'!F187+parametros_recargas!$L$93*'Plan mensual'!F188+parametros_recargas!$M$93*'Plan mensual'!F190</f>
        <v>848.94949274568</v>
      </c>
      <c r="E179" s="26" t="n">
        <f aca="false">parametros_recargas!$E$93*'Plan mensual'!G181+parametros_recargas!$F$93*'Plan mensual'!G182+parametros_recargas!$G$93*'Plan mensual'!G183+parametros_recargas!$H$93*'Plan mensual'!G184+parametros_recargas!$I$93*'Plan mensual'!G185+parametros_recargas!$J$93*'Plan mensual'!G186+parametros_recargas!$K$93*'Plan mensual'!G187+parametros_recargas!$L$93*'Plan mensual'!G188+parametros_recargas!$M$93*'Plan mensual'!G190</f>
        <v>969.319761809413</v>
      </c>
      <c r="F179" s="26" t="n">
        <f aca="false">parametros_recargas!$E$93*'Plan mensual'!H181+parametros_recargas!$F$93*'Plan mensual'!H182+parametros_recargas!$G$93*'Plan mensual'!H183+parametros_recargas!$H$93*'Plan mensual'!H184+parametros_recargas!$I$93*'Plan mensual'!H185+parametros_recargas!$J$93*'Plan mensual'!H186+parametros_recargas!$K$93*'Plan mensual'!H187+parametros_recargas!$L$93*'Plan mensual'!H188+parametros_recargas!$M$93*'Plan mensual'!H190</f>
        <v>976.816413853224</v>
      </c>
      <c r="G179" s="26" t="n">
        <f aca="false">parametros_recargas!$E$93*'Plan mensual'!I181+parametros_recargas!$F$93*'Plan mensual'!I182+parametros_recargas!$G$93*'Plan mensual'!I183+parametros_recargas!$H$93*'Plan mensual'!I184+parametros_recargas!$I$93*'Plan mensual'!I185+parametros_recargas!$J$93*'Plan mensual'!I186+parametros_recargas!$K$93*'Plan mensual'!I187+parametros_recargas!$L$93*'Plan mensual'!I188+parametros_recargas!$M$93*'Plan mensual'!I190</f>
        <v>957.857718171654</v>
      </c>
      <c r="H179" s="26" t="n">
        <f aca="false">parametros_recargas!$E$93*'Plan mensual'!J181+parametros_recargas!$F$93*'Plan mensual'!J182+parametros_recargas!$G$93*'Plan mensual'!J183+parametros_recargas!$H$93*'Plan mensual'!J184+parametros_recargas!$I$93*'Plan mensual'!J185+parametros_recargas!$J$93*'Plan mensual'!J186+parametros_recargas!$K$93*'Plan mensual'!J187+parametros_recargas!$L$93*'Plan mensual'!J188+parametros_recargas!$M$93*'Plan mensual'!J190</f>
        <v>818.078457582292</v>
      </c>
      <c r="I179" s="26" t="n">
        <f aca="false">parametros_recargas!$E$93*'Plan mensual'!K181+parametros_recargas!$F$93*'Plan mensual'!K182+parametros_recargas!$G$93*'Plan mensual'!K183+parametros_recargas!$H$93*'Plan mensual'!K184+parametros_recargas!$I$93*'Plan mensual'!K185+parametros_recargas!$J$93*'Plan mensual'!K186+parametros_recargas!$K$93*'Plan mensual'!K187+parametros_recargas!$L$93*'Plan mensual'!K188+parametros_recargas!$M$93*'Plan mensual'!K190</f>
        <v>823.566803265945</v>
      </c>
      <c r="J179" s="26" t="n">
        <f aca="false">parametros_recargas!$E$93*'Plan mensual'!L181+parametros_recargas!$F$93*'Plan mensual'!L182+parametros_recargas!$G$93*'Plan mensual'!L183+parametros_recargas!$H$93*'Plan mensual'!L184+parametros_recargas!$I$93*'Plan mensual'!L185+parametros_recargas!$J$93*'Plan mensual'!L186+parametros_recargas!$K$93*'Plan mensual'!L187+parametros_recargas!$L$93*'Plan mensual'!L188+parametros_recargas!$M$93*'Plan mensual'!L190</f>
        <v>841.253181206026</v>
      </c>
      <c r="K179" s="26" t="n">
        <f aca="false">parametros_recargas!$E$93*'Plan mensual'!M181+parametros_recargas!$F$93*'Plan mensual'!M182+parametros_recargas!$G$93*'Plan mensual'!M183+parametros_recargas!$H$93*'Plan mensual'!M184+parametros_recargas!$I$93*'Plan mensual'!M185+parametros_recargas!$J$93*'Plan mensual'!M186+parametros_recargas!$K$93*'Plan mensual'!M187+parametros_recargas!$L$93*'Plan mensual'!M188+parametros_recargas!$M$93*'Plan mensual'!M190</f>
        <v>841.253181206026</v>
      </c>
      <c r="L179" s="26" t="n">
        <f aca="false">parametros_recargas!$E$93*'Plan mensual'!N181+parametros_recargas!$F$93*'Plan mensual'!N182+parametros_recargas!$G$93*'Plan mensual'!N183+parametros_recargas!$H$93*'Plan mensual'!N184+parametros_recargas!$I$93*'Plan mensual'!N185+parametros_recargas!$J$93*'Plan mensual'!N186+parametros_recargas!$K$93*'Plan mensual'!N187+parametros_recargas!$L$93*'Plan mensual'!N188+parametros_recargas!$M$93*'Plan mensual'!N190</f>
        <v>833.756529162215</v>
      </c>
      <c r="M179" s="26" t="n">
        <f aca="false">parametros_recargas!$E$93*'Plan mensual'!O181+parametros_recargas!$F$93*'Plan mensual'!O182+parametros_recargas!$G$93*'Plan mensual'!O183+parametros_recargas!$H$93*'Plan mensual'!O184+parametros_recargas!$I$93*'Plan mensual'!O185+parametros_recargas!$J$93*'Plan mensual'!O186+parametros_recargas!$K$93*'Plan mensual'!O187+parametros_recargas!$L$93*'Plan mensual'!O188+parametros_recargas!$M$93*'Plan mensual'!O190</f>
        <v>852.715224843786</v>
      </c>
      <c r="N179" s="12" t="n">
        <f aca="false">SUM(B179:M179)</f>
        <v>10215.8080068017</v>
      </c>
      <c r="O179" s="27" t="n">
        <f aca="false">MAX(B179:M179)</f>
        <v>976.816413853224</v>
      </c>
      <c r="P179" s="16" t="n">
        <f aca="false">O179/parametros_recargas!$B$6</f>
        <v>6.51210942568816</v>
      </c>
    </row>
    <row r="180" customFormat="false" ht="15" hidden="false" customHeight="false" outlineLevel="0" collapsed="false">
      <c r="A180" s="6" t="str">
        <f aca="false">parametros_recargas!$B$94</f>
        <v>Control de peso (CO₂ y halogenados sin recarga)</v>
      </c>
      <c r="B180" s="26" t="n">
        <f aca="false">parametros_recargas!$E$94*'Plan mensual'!D181+parametros_recargas!$F$94*'Plan mensual'!D182+parametros_recargas!$G$94*'Plan mensual'!D183+parametros_recargas!$H$94*'Plan mensual'!D184+parametros_recargas!$I$94*'Plan mensual'!D185+parametros_recargas!$J$94*'Plan mensual'!D186+parametros_recargas!$K$94*'Plan mensual'!D187+parametros_recargas!$L$94*'Plan mensual'!D188+parametros_recargas!$M$94*'Plan mensual'!D190</f>
        <v>483.7033133415</v>
      </c>
      <c r="C180" s="26" t="n">
        <f aca="false">parametros_recargas!$E$94*'Plan mensual'!E181+parametros_recargas!$F$94*'Plan mensual'!E182+parametros_recargas!$G$94*'Plan mensual'!E183+parametros_recargas!$H$94*'Plan mensual'!E184+parametros_recargas!$I$94*'Plan mensual'!E185+parametros_recargas!$J$94*'Plan mensual'!E186+parametros_recargas!$K$94*'Plan mensual'!E187+parametros_recargas!$L$94*'Plan mensual'!E188+parametros_recargas!$M$94*'Plan mensual'!E190</f>
        <v>483.7033133415</v>
      </c>
      <c r="D180" s="26" t="n">
        <f aca="false">parametros_recargas!$E$94*'Plan mensual'!F181+parametros_recargas!$F$94*'Plan mensual'!F182+parametros_recargas!$G$94*'Plan mensual'!F183+parametros_recargas!$H$94*'Plan mensual'!F184+parametros_recargas!$I$94*'Plan mensual'!F185+parametros_recargas!$J$94*'Plan mensual'!F186+parametros_recargas!$K$94*'Plan mensual'!F187+parametros_recargas!$L$94*'Plan mensual'!F188+parametros_recargas!$M$94*'Plan mensual'!F190</f>
        <v>604.769533303311</v>
      </c>
      <c r="E180" s="26" t="n">
        <f aca="false">parametros_recargas!$E$94*'Plan mensual'!G181+parametros_recargas!$F$94*'Plan mensual'!G182+parametros_recargas!$G$94*'Plan mensual'!G183+parametros_recargas!$H$94*'Plan mensual'!G184+parametros_recargas!$I$94*'Plan mensual'!G185+parametros_recargas!$J$94*'Plan mensual'!G186+parametros_recargas!$K$94*'Plan mensual'!G187+parametros_recargas!$L$94*'Plan mensual'!G188+parametros_recargas!$M$94*'Plan mensual'!G190</f>
        <v>725.023895905646</v>
      </c>
      <c r="F180" s="26" t="n">
        <f aca="false">parametros_recargas!$E$94*'Plan mensual'!H181+parametros_recargas!$F$94*'Plan mensual'!H182+parametros_recargas!$G$94*'Plan mensual'!H183+parametros_recargas!$H$94*'Plan mensual'!H184+parametros_recargas!$I$94*'Plan mensual'!H185+parametros_recargas!$J$94*'Plan mensual'!H186+parametros_recargas!$K$94*'Plan mensual'!H187+parametros_recargas!$L$94*'Plan mensual'!H188+parametros_recargas!$M$94*'Plan mensual'!H190</f>
        <v>729.839983046116</v>
      </c>
      <c r="G180" s="26" t="n">
        <f aca="false">parametros_recargas!$E$94*'Plan mensual'!I181+parametros_recargas!$F$94*'Plan mensual'!I182+parametros_recargas!$G$94*'Plan mensual'!I183+parametros_recargas!$H$94*'Plan mensual'!I184+parametros_recargas!$I$94*'Plan mensual'!I185+parametros_recargas!$J$94*'Plan mensual'!I186+parametros_recargas!$K$94*'Plan mensual'!I187+parametros_recargas!$L$94*'Plan mensual'!I188+parametros_recargas!$M$94*'Plan mensual'!I190</f>
        <v>713.997503812433</v>
      </c>
      <c r="H180" s="26" t="n">
        <f aca="false">parametros_recargas!$E$94*'Plan mensual'!J181+parametros_recargas!$F$94*'Plan mensual'!J182+parametros_recargas!$G$94*'Plan mensual'!J183+parametros_recargas!$H$94*'Plan mensual'!J184+parametros_recargas!$I$94*'Plan mensual'!J185+parametros_recargas!$J$94*'Plan mensual'!J186+parametros_recargas!$K$94*'Plan mensual'!J187+parametros_recargas!$L$94*'Plan mensual'!J188+parametros_recargas!$M$94*'Plan mensual'!J190</f>
        <v>581.353155799851</v>
      </c>
      <c r="I180" s="26" t="n">
        <f aca="false">parametros_recargas!$E$94*'Plan mensual'!K181+parametros_recargas!$F$94*'Plan mensual'!K182+parametros_recargas!$G$94*'Plan mensual'!K183+parametros_recargas!$H$94*'Plan mensual'!K184+parametros_recargas!$I$94*'Plan mensual'!K185+parametros_recargas!$J$94*'Plan mensual'!K186+parametros_recargas!$K$94*'Plan mensual'!K187+parametros_recargas!$L$94*'Plan mensual'!K188+parametros_recargas!$M$94*'Plan mensual'!K190</f>
        <v>581.904891757408</v>
      </c>
      <c r="J180" s="26" t="n">
        <f aca="false">parametros_recargas!$E$94*'Plan mensual'!L181+parametros_recargas!$F$94*'Plan mensual'!L182+parametros_recargas!$G$94*'Plan mensual'!L183+parametros_recargas!$H$94*'Plan mensual'!L184+parametros_recargas!$I$94*'Plan mensual'!L185+parametros_recargas!$J$94*'Plan mensual'!L186+parametros_recargas!$K$94*'Plan mensual'!L187+parametros_recargas!$L$94*'Plan mensual'!L188+parametros_recargas!$M$94*'Plan mensual'!L190</f>
        <v>596.166714192573</v>
      </c>
      <c r="K180" s="26" t="n">
        <f aca="false">parametros_recargas!$E$94*'Plan mensual'!M181+parametros_recargas!$F$94*'Plan mensual'!M182+parametros_recargas!$G$94*'Plan mensual'!M183+parametros_recargas!$H$94*'Plan mensual'!M184+parametros_recargas!$I$94*'Plan mensual'!M185+parametros_recargas!$J$94*'Plan mensual'!M186+parametros_recargas!$K$94*'Plan mensual'!M187+parametros_recargas!$L$94*'Plan mensual'!M188+parametros_recargas!$M$94*'Plan mensual'!M190</f>
        <v>596.166714192573</v>
      </c>
      <c r="L180" s="26" t="n">
        <f aca="false">parametros_recargas!$E$94*'Plan mensual'!N181+parametros_recargas!$F$94*'Plan mensual'!N182+parametros_recargas!$G$94*'Plan mensual'!N183+parametros_recargas!$H$94*'Plan mensual'!N184+parametros_recargas!$I$94*'Plan mensual'!N185+parametros_recargas!$J$94*'Plan mensual'!N186+parametros_recargas!$K$94*'Plan mensual'!N187+parametros_recargas!$L$94*'Plan mensual'!N188+parametros_recargas!$M$94*'Plan mensual'!N190</f>
        <v>591.350627052102</v>
      </c>
      <c r="M180" s="26" t="n">
        <f aca="false">parametros_recargas!$E$94*'Plan mensual'!O181+parametros_recargas!$F$94*'Plan mensual'!O182+parametros_recargas!$G$94*'Plan mensual'!O183+parametros_recargas!$H$94*'Plan mensual'!O184+parametros_recargas!$I$94*'Plan mensual'!O185+parametros_recargas!$J$94*'Plan mensual'!O186+parametros_recargas!$K$94*'Plan mensual'!O187+parametros_recargas!$L$94*'Plan mensual'!O188+parametros_recargas!$M$94*'Plan mensual'!O190</f>
        <v>607.193106285786</v>
      </c>
      <c r="N180" s="12" t="n">
        <f aca="false">SUM(B180:M180)</f>
        <v>7295.1727520308</v>
      </c>
      <c r="O180" s="27" t="n">
        <f aca="false">MAX(B180:M180)</f>
        <v>729.839983046116</v>
      </c>
      <c r="P180" s="16" t="n">
        <f aca="false">O180/parametros_recargas!$B$6</f>
        <v>4.86559988697411</v>
      </c>
    </row>
    <row r="181" customFormat="false" ht="15" hidden="false" customHeight="false" outlineLevel="0" collapsed="false">
      <c r="A181" s="6" t="str">
        <f aca="false">parametros_recargas!$B$95</f>
        <v>Ensayo de pérdidas</v>
      </c>
      <c r="B181" s="26" t="n">
        <f aca="false">parametros_recargas!$E$95*'Plan mensual'!D181+parametros_recargas!$F$95*'Plan mensual'!D182+parametros_recargas!$G$95*'Plan mensual'!D183+parametros_recargas!$H$95*'Plan mensual'!D184+parametros_recargas!$I$95*'Plan mensual'!D185+parametros_recargas!$J$95*'Plan mensual'!D186+parametros_recargas!$K$95*'Plan mensual'!D187+parametros_recargas!$L$95*'Plan mensual'!D188+parametros_recargas!$M$95*'Plan mensual'!D190</f>
        <v>12691.039529498</v>
      </c>
      <c r="C181" s="26" t="n">
        <f aca="false">parametros_recargas!$E$95*'Plan mensual'!E181+parametros_recargas!$F$95*'Plan mensual'!E182+parametros_recargas!$G$95*'Plan mensual'!E183+parametros_recargas!$H$95*'Plan mensual'!E184+parametros_recargas!$I$95*'Plan mensual'!E185+parametros_recargas!$J$95*'Plan mensual'!E186+parametros_recargas!$K$95*'Plan mensual'!E187+parametros_recargas!$L$95*'Plan mensual'!E188+parametros_recargas!$M$95*'Plan mensual'!E190</f>
        <v>11038.9292241107</v>
      </c>
      <c r="D181" s="26" t="n">
        <f aca="false">parametros_recargas!$E$95*'Plan mensual'!F181+parametros_recargas!$F$95*'Plan mensual'!F182+parametros_recargas!$G$95*'Plan mensual'!F183+parametros_recargas!$H$95*'Plan mensual'!F184+parametros_recargas!$I$95*'Plan mensual'!F185+parametros_recargas!$J$95*'Plan mensual'!F186+parametros_recargas!$K$95*'Plan mensual'!F187+parametros_recargas!$L$95*'Plan mensual'!F188+parametros_recargas!$M$95*'Plan mensual'!F190</f>
        <v>10548.7005777477</v>
      </c>
      <c r="E181" s="26" t="n">
        <f aca="false">parametros_recargas!$E$95*'Plan mensual'!G181+parametros_recargas!$F$95*'Plan mensual'!G182+parametros_recargas!$G$95*'Plan mensual'!G183+parametros_recargas!$H$95*'Plan mensual'!G184+parametros_recargas!$I$95*'Plan mensual'!G185+parametros_recargas!$J$95*'Plan mensual'!G186+parametros_recargas!$K$95*'Plan mensual'!G187+parametros_recargas!$L$95*'Plan mensual'!G188+parametros_recargas!$M$95*'Plan mensual'!G190</f>
        <v>11656.7407792247</v>
      </c>
      <c r="F181" s="26" t="n">
        <f aca="false">parametros_recargas!$E$95*'Plan mensual'!H181+parametros_recargas!$F$95*'Plan mensual'!H182+parametros_recargas!$G$95*'Plan mensual'!H183+parametros_recargas!$H$95*'Plan mensual'!H184+parametros_recargas!$I$95*'Plan mensual'!H185+parametros_recargas!$J$95*'Plan mensual'!H186+parametros_recargas!$K$95*'Plan mensual'!H187+parametros_recargas!$L$95*'Plan mensual'!H188+parametros_recargas!$M$95*'Plan mensual'!H190</f>
        <v>11736.5061008654</v>
      </c>
      <c r="G181" s="26" t="n">
        <f aca="false">parametros_recargas!$E$95*'Plan mensual'!I181+parametros_recargas!$F$95*'Plan mensual'!I182+parametros_recargas!$G$95*'Plan mensual'!I183+parametros_recargas!$H$95*'Plan mensual'!I184+parametros_recargas!$I$95*'Plan mensual'!I185+parametros_recargas!$J$95*'Plan mensual'!I186+parametros_recargas!$K$95*'Plan mensual'!I187+parametros_recargas!$L$95*'Plan mensual'!I188+parametros_recargas!$M$95*'Plan mensual'!I190</f>
        <v>11607.4017306503</v>
      </c>
      <c r="H181" s="26" t="n">
        <f aca="false">parametros_recargas!$E$95*'Plan mensual'!J181+parametros_recargas!$F$95*'Plan mensual'!J182+parametros_recargas!$G$95*'Plan mensual'!J183+parametros_recargas!$H$95*'Plan mensual'!J184+parametros_recargas!$I$95*'Plan mensual'!J185+parametros_recargas!$J$95*'Plan mensual'!J186+parametros_recargas!$K$95*'Plan mensual'!J187+parametros_recargas!$L$95*'Plan mensual'!J188+parametros_recargas!$M$95*'Plan mensual'!J190</f>
        <v>10320.3180283205</v>
      </c>
      <c r="I181" s="26" t="n">
        <f aca="false">parametros_recargas!$E$95*'Plan mensual'!K181+parametros_recargas!$F$95*'Plan mensual'!K182+parametros_recargas!$G$95*'Plan mensual'!K183+parametros_recargas!$H$95*'Plan mensual'!K184+parametros_recargas!$I$95*'Plan mensual'!K185+parametros_recargas!$J$95*'Plan mensual'!K186+parametros_recargas!$K$95*'Plan mensual'!K187+parametros_recargas!$L$95*'Plan mensual'!K188+parametros_recargas!$M$95*'Plan mensual'!K190</f>
        <v>10406.2479582281</v>
      </c>
      <c r="J181" s="26" t="n">
        <f aca="false">parametros_recargas!$E$95*'Plan mensual'!L181+parametros_recargas!$F$95*'Plan mensual'!L182+parametros_recargas!$G$95*'Plan mensual'!L183+parametros_recargas!$H$95*'Plan mensual'!L184+parametros_recargas!$I$95*'Plan mensual'!L185+parametros_recargas!$J$95*'Plan mensual'!L186+parametros_recargas!$K$95*'Plan mensual'!L187+parametros_recargas!$L$95*'Plan mensual'!L188+parametros_recargas!$M$95*'Plan mensual'!L190</f>
        <v>10519.5336047214</v>
      </c>
      <c r="K181" s="26" t="n">
        <f aca="false">parametros_recargas!$E$95*'Plan mensual'!M181+parametros_recargas!$F$95*'Plan mensual'!M182+parametros_recargas!$G$95*'Plan mensual'!M183+parametros_recargas!$H$95*'Plan mensual'!M184+parametros_recargas!$I$95*'Plan mensual'!M185+parametros_recargas!$J$95*'Plan mensual'!M186+parametros_recargas!$K$95*'Plan mensual'!M187+parametros_recargas!$L$95*'Plan mensual'!M188+parametros_recargas!$M$95*'Plan mensual'!M190</f>
        <v>10518.1193969044</v>
      </c>
      <c r="L181" s="26" t="n">
        <f aca="false">parametros_recargas!$E$95*'Plan mensual'!N181+parametros_recargas!$F$95*'Plan mensual'!N182+parametros_recargas!$G$95*'Plan mensual'!N183+parametros_recargas!$H$95*'Plan mensual'!N184+parametros_recargas!$I$95*'Plan mensual'!N185+parametros_recargas!$J$95*'Plan mensual'!N186+parametros_recargas!$K$95*'Plan mensual'!N187+parametros_recargas!$L$95*'Plan mensual'!N188+parametros_recargas!$M$95*'Plan mensual'!N190</f>
        <v>12083.5820689254</v>
      </c>
      <c r="M181" s="26" t="n">
        <f aca="false">parametros_recargas!$E$95*'Plan mensual'!O181+parametros_recargas!$F$95*'Plan mensual'!O182+parametros_recargas!$G$95*'Plan mensual'!O183+parametros_recargas!$H$95*'Plan mensual'!O184+parametros_recargas!$I$95*'Plan mensual'!O185+parametros_recargas!$J$95*'Plan mensual'!O186+parametros_recargas!$K$95*'Plan mensual'!O187+parametros_recargas!$L$95*'Plan mensual'!O188+parametros_recargas!$M$95*'Plan mensual'!O190</f>
        <v>13867.6145367108</v>
      </c>
      <c r="N181" s="12" t="n">
        <f aca="false">SUM(B181:M181)</f>
        <v>136994.733535907</v>
      </c>
      <c r="O181" s="27" t="n">
        <f aca="false">MAX(B181:M181)</f>
        <v>13867.6145367108</v>
      </c>
      <c r="P181" s="16" t="n">
        <f aca="false">O181/parametros_recargas!$B$6</f>
        <v>92.4507635780719</v>
      </c>
    </row>
    <row r="182" customFormat="false" ht="15" hidden="false" customHeight="false" outlineLevel="0" collapsed="false">
      <c r="A182" s="6" t="str">
        <f aca="false">parametros_recargas!$B$96</f>
        <v>Precinto, etiqueta y despacho</v>
      </c>
      <c r="B182" s="26" t="n">
        <f aca="false">parametros_recargas!$E$96*'Plan mensual'!D181+parametros_recargas!$F$96*'Plan mensual'!D182+parametros_recargas!$G$96*'Plan mensual'!D183+parametros_recargas!$H$96*'Plan mensual'!D184+parametros_recargas!$I$96*'Plan mensual'!D185+parametros_recargas!$J$96*'Plan mensual'!D186+parametros_recargas!$K$96*'Plan mensual'!D187+parametros_recargas!$L$96*'Plan mensual'!D188+parametros_recargas!$M$96*'Plan mensual'!D190</f>
        <v>12691.039529498</v>
      </c>
      <c r="C182" s="26" t="n">
        <f aca="false">parametros_recargas!$E$96*'Plan mensual'!E181+parametros_recargas!$F$96*'Plan mensual'!E182+parametros_recargas!$G$96*'Plan mensual'!E183+parametros_recargas!$H$96*'Plan mensual'!E184+parametros_recargas!$I$96*'Plan mensual'!E185+parametros_recargas!$J$96*'Plan mensual'!E186+parametros_recargas!$K$96*'Plan mensual'!E187+parametros_recargas!$L$96*'Plan mensual'!E188+parametros_recargas!$M$96*'Plan mensual'!E190</f>
        <v>11038.9292241107</v>
      </c>
      <c r="D182" s="26" t="n">
        <f aca="false">parametros_recargas!$E$96*'Plan mensual'!F181+parametros_recargas!$F$96*'Plan mensual'!F182+parametros_recargas!$G$96*'Plan mensual'!F183+parametros_recargas!$H$96*'Plan mensual'!F184+parametros_recargas!$I$96*'Plan mensual'!F185+parametros_recargas!$J$96*'Plan mensual'!F186+parametros_recargas!$K$96*'Plan mensual'!F187+parametros_recargas!$L$96*'Plan mensual'!F188+parametros_recargas!$M$96*'Plan mensual'!F190</f>
        <v>10548.7005777477</v>
      </c>
      <c r="E182" s="26" t="n">
        <f aca="false">parametros_recargas!$E$96*'Plan mensual'!G181+parametros_recargas!$F$96*'Plan mensual'!G182+parametros_recargas!$G$96*'Plan mensual'!G183+parametros_recargas!$H$96*'Plan mensual'!G184+parametros_recargas!$I$96*'Plan mensual'!G185+parametros_recargas!$J$96*'Plan mensual'!G186+parametros_recargas!$K$96*'Plan mensual'!G187+parametros_recargas!$L$96*'Plan mensual'!G188+parametros_recargas!$M$96*'Plan mensual'!G190</f>
        <v>11656.7407792247</v>
      </c>
      <c r="F182" s="26" t="n">
        <f aca="false">parametros_recargas!$E$96*'Plan mensual'!H181+parametros_recargas!$F$96*'Plan mensual'!H182+parametros_recargas!$G$96*'Plan mensual'!H183+parametros_recargas!$H$96*'Plan mensual'!H184+parametros_recargas!$I$96*'Plan mensual'!H185+parametros_recargas!$J$96*'Plan mensual'!H186+parametros_recargas!$K$96*'Plan mensual'!H187+parametros_recargas!$L$96*'Plan mensual'!H188+parametros_recargas!$M$96*'Plan mensual'!H190</f>
        <v>11736.5061008654</v>
      </c>
      <c r="G182" s="26" t="n">
        <f aca="false">parametros_recargas!$E$96*'Plan mensual'!I181+parametros_recargas!$F$96*'Plan mensual'!I182+parametros_recargas!$G$96*'Plan mensual'!I183+parametros_recargas!$H$96*'Plan mensual'!I184+parametros_recargas!$I$96*'Plan mensual'!I185+parametros_recargas!$J$96*'Plan mensual'!I186+parametros_recargas!$K$96*'Plan mensual'!I187+parametros_recargas!$L$96*'Plan mensual'!I188+parametros_recargas!$M$96*'Plan mensual'!I190</f>
        <v>11607.4017306503</v>
      </c>
      <c r="H182" s="26" t="n">
        <f aca="false">parametros_recargas!$E$96*'Plan mensual'!J181+parametros_recargas!$F$96*'Plan mensual'!J182+parametros_recargas!$G$96*'Plan mensual'!J183+parametros_recargas!$H$96*'Plan mensual'!J184+parametros_recargas!$I$96*'Plan mensual'!J185+parametros_recargas!$J$96*'Plan mensual'!J186+parametros_recargas!$K$96*'Plan mensual'!J187+parametros_recargas!$L$96*'Plan mensual'!J188+parametros_recargas!$M$96*'Plan mensual'!J190</f>
        <v>10320.3180283205</v>
      </c>
      <c r="I182" s="26" t="n">
        <f aca="false">parametros_recargas!$E$96*'Plan mensual'!K181+parametros_recargas!$F$96*'Plan mensual'!K182+parametros_recargas!$G$96*'Plan mensual'!K183+parametros_recargas!$H$96*'Plan mensual'!K184+parametros_recargas!$I$96*'Plan mensual'!K185+parametros_recargas!$J$96*'Plan mensual'!K186+parametros_recargas!$K$96*'Plan mensual'!K187+parametros_recargas!$L$96*'Plan mensual'!K188+parametros_recargas!$M$96*'Plan mensual'!K190</f>
        <v>10406.2479582281</v>
      </c>
      <c r="J182" s="26" t="n">
        <f aca="false">parametros_recargas!$E$96*'Plan mensual'!L181+parametros_recargas!$F$96*'Plan mensual'!L182+parametros_recargas!$G$96*'Plan mensual'!L183+parametros_recargas!$H$96*'Plan mensual'!L184+parametros_recargas!$I$96*'Plan mensual'!L185+parametros_recargas!$J$96*'Plan mensual'!L186+parametros_recargas!$K$96*'Plan mensual'!L187+parametros_recargas!$L$96*'Plan mensual'!L188+parametros_recargas!$M$96*'Plan mensual'!L190</f>
        <v>10519.5336047214</v>
      </c>
      <c r="K182" s="26" t="n">
        <f aca="false">parametros_recargas!$E$96*'Plan mensual'!M181+parametros_recargas!$F$96*'Plan mensual'!M182+parametros_recargas!$G$96*'Plan mensual'!M183+parametros_recargas!$H$96*'Plan mensual'!M184+parametros_recargas!$I$96*'Plan mensual'!M185+parametros_recargas!$J$96*'Plan mensual'!M186+parametros_recargas!$K$96*'Plan mensual'!M187+parametros_recargas!$L$96*'Plan mensual'!M188+parametros_recargas!$M$96*'Plan mensual'!M190</f>
        <v>10518.1193969044</v>
      </c>
      <c r="L182" s="26" t="n">
        <f aca="false">parametros_recargas!$E$96*'Plan mensual'!N181+parametros_recargas!$F$96*'Plan mensual'!N182+parametros_recargas!$G$96*'Plan mensual'!N183+parametros_recargas!$H$96*'Plan mensual'!N184+parametros_recargas!$I$96*'Plan mensual'!N185+parametros_recargas!$J$96*'Plan mensual'!N186+parametros_recargas!$K$96*'Plan mensual'!N187+parametros_recargas!$L$96*'Plan mensual'!N188+parametros_recargas!$M$96*'Plan mensual'!N190</f>
        <v>12083.5820689254</v>
      </c>
      <c r="M182" s="26" t="n">
        <f aca="false">parametros_recargas!$E$96*'Plan mensual'!O181+parametros_recargas!$F$96*'Plan mensual'!O182+parametros_recargas!$G$96*'Plan mensual'!O183+parametros_recargas!$H$96*'Plan mensual'!O184+parametros_recargas!$I$96*'Plan mensual'!O185+parametros_recargas!$J$96*'Plan mensual'!O186+parametros_recargas!$K$96*'Plan mensual'!O187+parametros_recargas!$L$96*'Plan mensual'!O188+parametros_recargas!$M$96*'Plan mensual'!O190</f>
        <v>13867.6145367108</v>
      </c>
      <c r="N182" s="12" t="n">
        <f aca="false">SUM(B182:M182)</f>
        <v>136994.733535907</v>
      </c>
      <c r="O182" s="27" t="n">
        <f aca="false">MAX(B182:M182)</f>
        <v>13867.6145367108</v>
      </c>
      <c r="P182" s="16" t="n">
        <f aca="false">O182/parametros_recargas!$B$6</f>
        <v>92.4507635780719</v>
      </c>
    </row>
    <row r="183" customFormat="false" ht="15" hidden="false" customHeight="false" outlineLevel="0" collapsed="false">
      <c r="A183" s="6" t="str">
        <f aca="false">parametros_recargas!$B$97</f>
        <v>Inutilización y disposición final</v>
      </c>
      <c r="B183" s="26" t="n">
        <f aca="false">parametros_recargas!$E$97*'Plan mensual'!D181+parametros_recargas!$F$97*'Plan mensual'!D182+parametros_recargas!$G$97*'Plan mensual'!D183+parametros_recargas!$H$97*'Plan mensual'!D184+parametros_recargas!$I$97*'Plan mensual'!D185+parametros_recargas!$J$97*'Plan mensual'!D186+parametros_recargas!$K$97*'Plan mensual'!D187+parametros_recargas!$L$97*'Plan mensual'!D188+parametros_recargas!$M$97*'Plan mensual'!D190</f>
        <v>1001.57496103132</v>
      </c>
      <c r="C183" s="26" t="n">
        <f aca="false">parametros_recargas!$E$97*'Plan mensual'!E181+parametros_recargas!$F$97*'Plan mensual'!E182+parametros_recargas!$G$97*'Plan mensual'!E183+parametros_recargas!$H$97*'Plan mensual'!E184+parametros_recargas!$I$97*'Plan mensual'!E185+parametros_recargas!$J$97*'Plan mensual'!E186+parametros_recargas!$K$97*'Plan mensual'!E187+parametros_recargas!$L$97*'Plan mensual'!E188+parametros_recargas!$M$97*'Plan mensual'!E190</f>
        <v>869.773193225695</v>
      </c>
      <c r="D183" s="26" t="n">
        <f aca="false">parametros_recargas!$E$97*'Plan mensual'!F181+parametros_recargas!$F$97*'Plan mensual'!F182+parametros_recargas!$G$97*'Plan mensual'!F183+parametros_recargas!$H$97*'Plan mensual'!F184+parametros_recargas!$I$97*'Plan mensual'!F185+parametros_recargas!$J$97*'Plan mensual'!F186+parametros_recargas!$K$97*'Plan mensual'!F187+parametros_recargas!$L$97*'Plan mensual'!F188+parametros_recargas!$M$97*'Plan mensual'!F190</f>
        <v>827.283090394994</v>
      </c>
      <c r="E183" s="26" t="n">
        <f aca="false">parametros_recargas!$E$97*'Plan mensual'!G181+parametros_recargas!$F$97*'Plan mensual'!G182+parametros_recargas!$G$97*'Plan mensual'!G183+parametros_recargas!$H$97*'Plan mensual'!G184+parametros_recargas!$I$97*'Plan mensual'!G185+parametros_recargas!$J$97*'Plan mensual'!G186+parametros_recargas!$K$97*'Plan mensual'!G187+parametros_recargas!$L$97*'Plan mensual'!G188+parametros_recargas!$M$97*'Plan mensual'!G190</f>
        <v>912.84286131822</v>
      </c>
      <c r="F183" s="26" t="n">
        <f aca="false">parametros_recargas!$E$97*'Plan mensual'!H181+parametros_recargas!$F$97*'Plan mensual'!H182+parametros_recargas!$G$97*'Plan mensual'!H183+parametros_recargas!$H$97*'Plan mensual'!H184+parametros_recargas!$I$97*'Plan mensual'!H185+parametros_recargas!$J$97*'Plan mensual'!H186+parametros_recargas!$K$97*'Plan mensual'!H187+parametros_recargas!$L$97*'Plan mensual'!H188+parametros_recargas!$M$97*'Plan mensual'!H190</f>
        <v>919.185237635618</v>
      </c>
      <c r="G183" s="26" t="n">
        <f aca="false">parametros_recargas!$E$97*'Plan mensual'!I181+parametros_recargas!$F$97*'Plan mensual'!I182+parametros_recargas!$G$97*'Plan mensual'!I183+parametros_recargas!$H$97*'Plan mensual'!I184+parametros_recargas!$I$97*'Plan mensual'!I185+parametros_recargas!$J$97*'Plan mensual'!I186+parametros_recargas!$K$97*'Plan mensual'!I187+parametros_recargas!$L$97*'Plan mensual'!I188+parametros_recargas!$M$97*'Plan mensual'!I190</f>
        <v>909.3360779267</v>
      </c>
      <c r="H183" s="26" t="n">
        <f aca="false">parametros_recargas!$E$97*'Plan mensual'!J181+parametros_recargas!$F$97*'Plan mensual'!J182+parametros_recargas!$G$97*'Plan mensual'!J183+parametros_recargas!$H$97*'Plan mensual'!J184+parametros_recargas!$I$97*'Plan mensual'!J185+parametros_recargas!$J$97*'Plan mensual'!J186+parametros_recargas!$K$97*'Plan mensual'!J187+parametros_recargas!$L$97*'Plan mensual'!J188+parametros_recargas!$M$97*'Plan mensual'!J190</f>
        <v>809.657382243484</v>
      </c>
      <c r="I183" s="26" t="n">
        <f aca="false">parametros_recargas!$E$97*'Plan mensual'!K181+parametros_recargas!$F$97*'Plan mensual'!K182+parametros_recargas!$G$97*'Plan mensual'!K183+parametros_recargas!$H$97*'Plan mensual'!K184+parametros_recargas!$I$97*'Plan mensual'!K185+parametros_recargas!$J$97*'Plan mensual'!K186+parametros_recargas!$K$97*'Plan mensual'!K187+parametros_recargas!$L$97*'Plan mensual'!K188+parametros_recargas!$M$97*'Plan mensual'!K190</f>
        <v>816.517629560259</v>
      </c>
      <c r="J183" s="26" t="n">
        <f aca="false">parametros_recargas!$E$97*'Plan mensual'!L181+parametros_recargas!$F$97*'Plan mensual'!L182+parametros_recargas!$G$97*'Plan mensual'!L183+parametros_recargas!$H$97*'Plan mensual'!L184+parametros_recargas!$I$97*'Plan mensual'!L185+parametros_recargas!$J$97*'Plan mensual'!L186+parametros_recargas!$K$97*'Plan mensual'!L187+parametros_recargas!$L$97*'Plan mensual'!L188+parametros_recargas!$M$97*'Plan mensual'!L190</f>
        <v>825.269205970969</v>
      </c>
      <c r="K183" s="26" t="n">
        <f aca="false">parametros_recargas!$E$97*'Plan mensual'!M181+parametros_recargas!$F$97*'Plan mensual'!M182+parametros_recargas!$G$97*'Plan mensual'!M183+parametros_recargas!$H$97*'Plan mensual'!M184+parametros_recargas!$I$97*'Plan mensual'!M185+parametros_recargas!$J$97*'Plan mensual'!M186+parametros_recargas!$K$97*'Plan mensual'!M187+parametros_recargas!$L$97*'Plan mensual'!M188+parametros_recargas!$M$97*'Plan mensual'!M190</f>
        <v>825.269205970969</v>
      </c>
      <c r="L183" s="26" t="n">
        <f aca="false">parametros_recargas!$E$97*'Plan mensual'!N181+parametros_recargas!$F$97*'Plan mensual'!N182+parametros_recargas!$G$97*'Plan mensual'!N183+parametros_recargas!$H$97*'Plan mensual'!N184+parametros_recargas!$I$97*'Plan mensual'!N185+parametros_recargas!$J$97*'Plan mensual'!N186+parametros_recargas!$K$97*'Plan mensual'!N187+parametros_recargas!$L$97*'Plan mensual'!N188+parametros_recargas!$M$97*'Plan mensual'!N190</f>
        <v>950.728597459194</v>
      </c>
      <c r="M183" s="26" t="n">
        <f aca="false">parametros_recargas!$E$97*'Plan mensual'!O181+parametros_recargas!$F$97*'Plan mensual'!O182+parametros_recargas!$G$97*'Plan mensual'!O183+parametros_recargas!$H$97*'Plan mensual'!O184+parametros_recargas!$I$97*'Plan mensual'!O185+parametros_recargas!$J$97*'Plan mensual'!O186+parametros_recargas!$K$97*'Plan mensual'!O187+parametros_recargas!$L$97*'Plan mensual'!O188+parametros_recargas!$M$97*'Plan mensual'!O190</f>
        <v>1092.37952497373</v>
      </c>
      <c r="N183" s="12" t="n">
        <f aca="false">SUM(B183:M183)</f>
        <v>10759.8169677112</v>
      </c>
      <c r="O183" s="27" t="n">
        <f aca="false">MAX(B183:M183)</f>
        <v>1092.37952497373</v>
      </c>
      <c r="P183" s="16" t="n">
        <f aca="false">O183/parametros_recargas!$B$6</f>
        <v>7.28253016649156</v>
      </c>
    </row>
    <row r="184" customFormat="false" ht="15" hidden="false" customHeight="false" outlineLevel="0" collapsed="false">
      <c r="A184" s="6" t="str">
        <f aca="false">parametros_recargas!$B$98</f>
        <v>PH de mangueras (CO₂ y rodantes)</v>
      </c>
      <c r="B184" s="26" t="n">
        <f aca="false">'Plan mensual'!D189</f>
        <v>333.728424602807</v>
      </c>
      <c r="C184" s="26" t="n">
        <f aca="false">'Plan mensual'!E189</f>
        <v>333.728424602807</v>
      </c>
      <c r="D184" s="26" t="n">
        <f aca="false">'Plan mensual'!F189</f>
        <v>362.780303898748</v>
      </c>
      <c r="E184" s="26" t="n">
        <f aca="false">'Plan mensual'!G189</f>
        <v>402.312948527152</v>
      </c>
      <c r="F184" s="26" t="n">
        <f aca="false">'Plan mensual'!H189</f>
        <v>407.005727852523</v>
      </c>
      <c r="G184" s="26" t="n">
        <f aca="false">'Plan mensual'!I189</f>
        <v>390.34733519473</v>
      </c>
      <c r="H184" s="26" t="n">
        <f aca="false">'Plan mensual'!J189</f>
        <v>345.550267295664</v>
      </c>
      <c r="I184" s="26" t="n">
        <f aca="false">'Plan mensual'!K189</f>
        <v>349.329842566366</v>
      </c>
      <c r="J184" s="26" t="n">
        <f aca="false">'Plan mensual'!L189</f>
        <v>363.556455534129</v>
      </c>
      <c r="K184" s="26" t="n">
        <f aca="false">'Plan mensual'!M189</f>
        <v>363.556455534129</v>
      </c>
      <c r="L184" s="26" t="n">
        <f aca="false">'Plan mensual'!N189</f>
        <v>358.863676208758</v>
      </c>
      <c r="M184" s="26" t="n">
        <f aca="false">'Plan mensual'!O189</f>
        <v>375.522068866551</v>
      </c>
      <c r="N184" s="12" t="n">
        <f aca="false">SUM(B184:M184)</f>
        <v>4386.28193068436</v>
      </c>
      <c r="O184" s="27" t="n">
        <f aca="false">MAX(B184:M184)</f>
        <v>407.005727852523</v>
      </c>
      <c r="P184" s="16" t="n">
        <f aca="false">O184/parametros_recargas!$B$6</f>
        <v>2.71337151901682</v>
      </c>
    </row>
    <row r="193" customFormat="false" ht="23.85" hidden="false" customHeight="false" outlineLevel="0" collapsed="false">
      <c r="A193" s="3" t="s">
        <v>398</v>
      </c>
      <c r="B193" s="3" t="s">
        <v>64</v>
      </c>
      <c r="C193" s="3" t="s">
        <v>65</v>
      </c>
      <c r="D193" s="3" t="s">
        <v>66</v>
      </c>
      <c r="E193" s="3" t="s">
        <v>67</v>
      </c>
      <c r="F193" s="3" t="s">
        <v>68</v>
      </c>
      <c r="G193" s="3" t="s">
        <v>69</v>
      </c>
      <c r="H193" s="3" t="s">
        <v>70</v>
      </c>
      <c r="I193" s="3" t="s">
        <v>71</v>
      </c>
      <c r="J193" s="3" t="s">
        <v>72</v>
      </c>
      <c r="K193" s="3" t="s">
        <v>73</v>
      </c>
      <c r="L193" s="3" t="s">
        <v>74</v>
      </c>
      <c r="M193" s="3" t="s">
        <v>75</v>
      </c>
      <c r="N193" s="3" t="s">
        <v>390</v>
      </c>
      <c r="O193" s="3" t="s">
        <v>391</v>
      </c>
      <c r="P193" s="3" t="s">
        <v>392</v>
      </c>
    </row>
    <row r="194" customFormat="false" ht="15" hidden="false" customHeight="false" outlineLevel="0" collapsed="false">
      <c r="A194" s="6" t="str">
        <f aca="false">parametros_recargas!$B$76</f>
        <v>Recepción y registro</v>
      </c>
      <c r="B194" s="26" t="n">
        <f aca="false">parametros_recargas!$E$76*'Plan mensual'!D213+parametros_recargas!$F$76*'Plan mensual'!D214+parametros_recargas!$G$76*'Plan mensual'!D215+parametros_recargas!$H$76*'Plan mensual'!D216+parametros_recargas!$I$76*'Plan mensual'!D217+parametros_recargas!$J$76*'Plan mensual'!D218+parametros_recargas!$K$76*'Plan mensual'!D219+parametros_recargas!$L$76*'Plan mensual'!D220+parametros_recargas!$M$76*'Plan mensual'!D222</f>
        <v>15804.9677387576</v>
      </c>
      <c r="C194" s="26" t="n">
        <f aca="false">parametros_recargas!$E$76*'Plan mensual'!E213+parametros_recargas!$F$76*'Plan mensual'!E214+parametros_recargas!$G$76*'Plan mensual'!E215+parametros_recargas!$H$76*'Plan mensual'!E216+parametros_recargas!$I$76*'Plan mensual'!E217+parametros_recargas!$J$76*'Plan mensual'!E218+parametros_recargas!$K$76*'Plan mensual'!E219+parametros_recargas!$L$76*'Plan mensual'!E220+parametros_recargas!$M$76*'Plan mensual'!E222</f>
        <v>13731.4312403904</v>
      </c>
      <c r="D194" s="26" t="n">
        <f aca="false">parametros_recargas!$E$76*'Plan mensual'!F213+parametros_recargas!$F$76*'Plan mensual'!F214+parametros_recargas!$G$76*'Plan mensual'!F215+parametros_recargas!$H$76*'Plan mensual'!F216+parametros_recargas!$I$76*'Plan mensual'!F217+parametros_recargas!$J$76*'Plan mensual'!F218+parametros_recargas!$K$76*'Plan mensual'!F219+parametros_recargas!$L$76*'Plan mensual'!F220+parametros_recargas!$M$76*'Plan mensual'!F222</f>
        <v>13079.6295754519</v>
      </c>
      <c r="E194" s="26" t="n">
        <f aca="false">parametros_recargas!$E$76*'Plan mensual'!G213+parametros_recargas!$F$76*'Plan mensual'!G214+parametros_recargas!$G$76*'Plan mensual'!G215+parametros_recargas!$H$76*'Plan mensual'!G216+parametros_recargas!$I$76*'Plan mensual'!G217+parametros_recargas!$J$76*'Plan mensual'!G218+parametros_recargas!$K$76*'Plan mensual'!G219+parametros_recargas!$L$76*'Plan mensual'!G220+parametros_recargas!$M$76*'Plan mensual'!G222</f>
        <v>14437.2773372058</v>
      </c>
      <c r="F194" s="26" t="n">
        <f aca="false">parametros_recargas!$E$76*'Plan mensual'!H213+parametros_recargas!$F$76*'Plan mensual'!H214+parametros_recargas!$G$76*'Plan mensual'!H215+parametros_recargas!$H$76*'Plan mensual'!H216+parametros_recargas!$I$76*'Plan mensual'!H217+parametros_recargas!$J$76*'Plan mensual'!H218+parametros_recargas!$K$76*'Plan mensual'!H219+parametros_recargas!$L$76*'Plan mensual'!H220+parametros_recargas!$M$76*'Plan mensual'!H222</f>
        <v>14535.7147847718</v>
      </c>
      <c r="G194" s="26" t="n">
        <f aca="false">parametros_recargas!$E$76*'Plan mensual'!I213+parametros_recargas!$F$76*'Plan mensual'!I214+parametros_recargas!$G$76*'Plan mensual'!I215+parametros_recargas!$H$76*'Plan mensual'!I216+parametros_recargas!$I$76*'Plan mensual'!I217+parametros_recargas!$J$76*'Plan mensual'!I218+parametros_recargas!$K$76*'Plan mensual'!I219+parametros_recargas!$L$76*'Plan mensual'!I220+parametros_recargas!$M$76*'Plan mensual'!I222</f>
        <v>14377.4970616747</v>
      </c>
      <c r="H194" s="26" t="n">
        <f aca="false">parametros_recargas!$E$76*'Plan mensual'!J213+parametros_recargas!$F$76*'Plan mensual'!J214+parametros_recargas!$G$76*'Plan mensual'!J215+parametros_recargas!$H$76*'Plan mensual'!J216+parametros_recargas!$I$76*'Plan mensual'!J217+parametros_recargas!$J$76*'Plan mensual'!J218+parametros_recargas!$K$76*'Plan mensual'!J219+parametros_recargas!$L$76*'Plan mensual'!J220+parametros_recargas!$M$76*'Plan mensual'!J222</f>
        <v>12799.5633576222</v>
      </c>
      <c r="I194" s="26" t="n">
        <f aca="false">parametros_recargas!$E$76*'Plan mensual'!K213+parametros_recargas!$F$76*'Plan mensual'!K214+parametros_recargas!$G$76*'Plan mensual'!K215+parametros_recargas!$H$76*'Plan mensual'!K216+parametros_recargas!$I$76*'Plan mensual'!K217+parametros_recargas!$J$76*'Plan mensual'!K218+parametros_recargas!$K$76*'Plan mensual'!K219+parametros_recargas!$L$76*'Plan mensual'!K220+parametros_recargas!$M$76*'Plan mensual'!K222</f>
        <v>12905.4107226115</v>
      </c>
      <c r="J194" s="26" t="n">
        <f aca="false">parametros_recargas!$E$76*'Plan mensual'!L213+parametros_recargas!$F$76*'Plan mensual'!L214+parametros_recargas!$G$76*'Plan mensual'!L215+parametros_recargas!$H$76*'Plan mensual'!L216+parametros_recargas!$I$76*'Plan mensual'!L217+parametros_recargas!$J$76*'Plan mensual'!L218+parametros_recargas!$K$76*'Plan mensual'!L219+parametros_recargas!$L$76*'Plan mensual'!L220+parametros_recargas!$M$76*'Plan mensual'!L222</f>
        <v>13044.5448611044</v>
      </c>
      <c r="K194" s="26" t="n">
        <f aca="false">parametros_recargas!$E$76*'Plan mensual'!M213+parametros_recargas!$F$76*'Plan mensual'!M214+parametros_recargas!$G$76*'Plan mensual'!M215+parametros_recargas!$H$76*'Plan mensual'!M216+parametros_recargas!$I$76*'Plan mensual'!M217+parametros_recargas!$J$76*'Plan mensual'!M218+parametros_recargas!$K$76*'Plan mensual'!M219+parametros_recargas!$L$76*'Plan mensual'!M220+parametros_recargas!$M$76*'Plan mensual'!M222</f>
        <v>13043.1736900163</v>
      </c>
      <c r="L194" s="26" t="n">
        <f aca="false">parametros_recargas!$E$76*'Plan mensual'!N213+parametros_recargas!$F$76*'Plan mensual'!N214+parametros_recargas!$G$76*'Plan mensual'!N215+parametros_recargas!$H$76*'Plan mensual'!N216+parametros_recargas!$I$76*'Plan mensual'!N217+parametros_recargas!$J$76*'Plan mensual'!N218+parametros_recargas!$K$76*'Plan mensual'!N219+parametros_recargas!$L$76*'Plan mensual'!N220+parametros_recargas!$M$76*'Plan mensual'!N222</f>
        <v>15012.0264841853</v>
      </c>
      <c r="M194" s="26" t="n">
        <f aca="false">parametros_recargas!$E$76*'Plan mensual'!O213+parametros_recargas!$F$76*'Plan mensual'!O214+parametros_recargas!$G$76*'Plan mensual'!O215+parametros_recargas!$H$76*'Plan mensual'!O216+parametros_recargas!$I$76*'Plan mensual'!O217+parametros_recargas!$J$76*'Plan mensual'!O218+parametros_recargas!$K$76*'Plan mensual'!O219+parametros_recargas!$L$76*'Plan mensual'!O220+parametros_recargas!$M$76*'Plan mensual'!O222</f>
        <v>17246.1335345615</v>
      </c>
      <c r="N194" s="12" t="n">
        <f aca="false">SUM(B194:M194)</f>
        <v>170017.370388353</v>
      </c>
      <c r="O194" s="27" t="n">
        <f aca="false">MAX(B194:M194)</f>
        <v>17246.1335345615</v>
      </c>
      <c r="P194" s="16" t="n">
        <f aca="false">O194/parametros_recargas!$B$6</f>
        <v>114.974223563743</v>
      </c>
    </row>
    <row r="195" customFormat="false" ht="15" hidden="false" customHeight="false" outlineLevel="0" collapsed="false">
      <c r="A195" s="6" t="str">
        <f aca="false">parametros_recargas!$B$77</f>
        <v>Inspección visual</v>
      </c>
      <c r="B195" s="26" t="n">
        <f aca="false">parametros_recargas!$E$77*'Plan mensual'!D213+parametros_recargas!$F$77*'Plan mensual'!D214+parametros_recargas!$G$77*'Plan mensual'!D215+parametros_recargas!$H$77*'Plan mensual'!D216+parametros_recargas!$I$77*'Plan mensual'!D217+parametros_recargas!$J$77*'Plan mensual'!D218+parametros_recargas!$K$77*'Plan mensual'!D219+parametros_recargas!$L$77*'Plan mensual'!D220+parametros_recargas!$M$77*'Plan mensual'!D222</f>
        <v>15782.6062845084</v>
      </c>
      <c r="C195" s="26" t="n">
        <f aca="false">parametros_recargas!$E$77*'Plan mensual'!E213+parametros_recargas!$F$77*'Plan mensual'!E214+parametros_recargas!$G$77*'Plan mensual'!E215+parametros_recargas!$H$77*'Plan mensual'!E216+parametros_recargas!$I$77*'Plan mensual'!E217+parametros_recargas!$J$77*'Plan mensual'!E218+parametros_recargas!$K$77*'Plan mensual'!E219+parametros_recargas!$L$77*'Plan mensual'!E220+parametros_recargas!$M$77*'Plan mensual'!E222</f>
        <v>13713.2339572293</v>
      </c>
      <c r="D195" s="26" t="n">
        <f aca="false">parametros_recargas!$E$77*'Plan mensual'!F213+parametros_recargas!$F$77*'Plan mensual'!F214+parametros_recargas!$G$77*'Plan mensual'!F215+parametros_recargas!$H$77*'Plan mensual'!F216+parametros_recargas!$I$77*'Plan mensual'!F217+parametros_recargas!$J$77*'Plan mensual'!F218+parametros_recargas!$K$77*'Plan mensual'!F219+parametros_recargas!$L$77*'Plan mensual'!F220+parametros_recargas!$M$77*'Plan mensual'!F222</f>
        <v>13059.8410356586</v>
      </c>
      <c r="E195" s="26" t="n">
        <f aca="false">parametros_recargas!$E$77*'Plan mensual'!G213+parametros_recargas!$F$77*'Plan mensual'!G214+parametros_recargas!$G$77*'Plan mensual'!G215+parametros_recargas!$H$77*'Plan mensual'!G216+parametros_recargas!$I$77*'Plan mensual'!G217+parametros_recargas!$J$77*'Plan mensual'!G218+parametros_recargas!$K$77*'Plan mensual'!G219+parametros_recargas!$L$77*'Plan mensual'!G220+parametros_recargas!$M$77*'Plan mensual'!G222</f>
        <v>14417.4887974125</v>
      </c>
      <c r="F195" s="26" t="n">
        <f aca="false">parametros_recargas!$E$77*'Plan mensual'!H213+parametros_recargas!$F$77*'Plan mensual'!H214+parametros_recargas!$G$77*'Plan mensual'!H215+parametros_recargas!$H$77*'Plan mensual'!H216+parametros_recargas!$I$77*'Plan mensual'!H217+parametros_recargas!$J$77*'Plan mensual'!H218+parametros_recargas!$K$77*'Plan mensual'!H219+parametros_recargas!$L$77*'Plan mensual'!H220+parametros_recargas!$M$77*'Plan mensual'!H222</f>
        <v>14516.8572449784</v>
      </c>
      <c r="G195" s="26" t="n">
        <f aca="false">parametros_recargas!$E$77*'Plan mensual'!I213+parametros_recargas!$F$77*'Plan mensual'!I214+parametros_recargas!$G$77*'Plan mensual'!I215+parametros_recargas!$H$77*'Plan mensual'!I216+parametros_recargas!$I$77*'Plan mensual'!I217+parametros_recargas!$J$77*'Plan mensual'!I218+parametros_recargas!$K$77*'Plan mensual'!I219+parametros_recargas!$L$77*'Plan mensual'!I220+parametros_recargas!$M$77*'Plan mensual'!I222</f>
        <v>14360.0106929695</v>
      </c>
      <c r="H195" s="26" t="n">
        <f aca="false">parametros_recargas!$E$77*'Plan mensual'!J213+parametros_recargas!$F$77*'Plan mensual'!J214+parametros_recargas!$G$77*'Plan mensual'!J215+parametros_recargas!$H$77*'Plan mensual'!J216+parametros_recargas!$I$77*'Plan mensual'!J217+parametros_recargas!$J$77*'Plan mensual'!J218+parametros_recargas!$K$77*'Plan mensual'!J219+parametros_recargas!$L$77*'Plan mensual'!J220+parametros_recargas!$M$77*'Plan mensual'!J222</f>
        <v>12780.7058178289</v>
      </c>
      <c r="I195" s="26" t="n">
        <f aca="false">parametros_recargas!$E$77*'Plan mensual'!K213+parametros_recargas!$F$77*'Plan mensual'!K214+parametros_recargas!$G$77*'Plan mensual'!K215+parametros_recargas!$H$77*'Plan mensual'!K216+parametros_recargas!$I$77*'Plan mensual'!K217+parametros_recargas!$J$77*'Plan mensual'!K218+parametros_recargas!$K$77*'Plan mensual'!K219+parametros_recargas!$L$77*'Plan mensual'!K220+parametros_recargas!$M$77*'Plan mensual'!K222</f>
        <v>12886.5531828182</v>
      </c>
      <c r="J195" s="26" t="n">
        <f aca="false">parametros_recargas!$E$77*'Plan mensual'!L213+parametros_recargas!$F$77*'Plan mensual'!L214+parametros_recargas!$G$77*'Plan mensual'!L215+parametros_recargas!$H$77*'Plan mensual'!L216+parametros_recargas!$I$77*'Plan mensual'!L217+parametros_recargas!$J$77*'Plan mensual'!L218+parametros_recargas!$K$77*'Plan mensual'!L219+parametros_recargas!$L$77*'Plan mensual'!L220+parametros_recargas!$M$77*'Plan mensual'!L222</f>
        <v>13025.9074068551</v>
      </c>
      <c r="K195" s="26" t="n">
        <f aca="false">parametros_recargas!$E$77*'Plan mensual'!M213+parametros_recargas!$F$77*'Plan mensual'!M214+parametros_recargas!$G$77*'Plan mensual'!M215+parametros_recargas!$H$77*'Plan mensual'!M216+parametros_recargas!$I$77*'Plan mensual'!M217+parametros_recargas!$J$77*'Plan mensual'!M218+parametros_recargas!$K$77*'Plan mensual'!M219+parametros_recargas!$L$77*'Plan mensual'!M220+parametros_recargas!$M$77*'Plan mensual'!M222</f>
        <v>13025.9074068551</v>
      </c>
      <c r="L195" s="26" t="n">
        <f aca="false">parametros_recargas!$E$77*'Plan mensual'!N213+parametros_recargas!$F$77*'Plan mensual'!N214+parametros_recargas!$G$77*'Plan mensual'!N215+parametros_recargas!$H$77*'Plan mensual'!N216+parametros_recargas!$I$77*'Plan mensual'!N217+parametros_recargas!$J$77*'Plan mensual'!N218+parametros_recargas!$K$77*'Plan mensual'!N219+parametros_recargas!$L$77*'Plan mensual'!N220+parametros_recargas!$M$77*'Plan mensual'!N222</f>
        <v>14995.9112865683</v>
      </c>
      <c r="M195" s="26" t="n">
        <f aca="false">parametros_recargas!$E$77*'Plan mensual'!O213+parametros_recargas!$F$77*'Plan mensual'!O214+parametros_recargas!$G$77*'Plan mensual'!O215+parametros_recargas!$H$77*'Plan mensual'!O216+parametros_recargas!$I$77*'Plan mensual'!O217+parametros_recargas!$J$77*'Plan mensual'!O218+parametros_recargas!$K$77*'Plan mensual'!O219+parametros_recargas!$L$77*'Plan mensual'!O220+parametros_recargas!$M$77*'Plan mensual'!O222</f>
        <v>17222.1301658563</v>
      </c>
      <c r="N195" s="12" t="n">
        <f aca="false">SUM(B195:M195)</f>
        <v>169787.153279538</v>
      </c>
      <c r="O195" s="27" t="n">
        <f aca="false">MAX(B195:M195)</f>
        <v>17222.1301658563</v>
      </c>
      <c r="P195" s="16" t="n">
        <f aca="false">O195/parametros_recargas!$B$6</f>
        <v>114.814201105708</v>
      </c>
    </row>
    <row r="196" customFormat="false" ht="15" hidden="false" customHeight="false" outlineLevel="0" collapsed="false">
      <c r="A196" s="6" t="str">
        <f aca="false">parametros_recargas!$B$78</f>
        <v>Descarga ABC — ruta recuperable</v>
      </c>
      <c r="B196" s="26" t="n">
        <f aca="false">parametros_recargas!$E$78*'Plan mensual'!D213+parametros_recargas!$F$78*'Plan mensual'!D214+parametros_recargas!$G$78*'Plan mensual'!D215+parametros_recargas!$H$78*'Plan mensual'!D216+parametros_recargas!$I$78*'Plan mensual'!D217+parametros_recargas!$J$78*'Plan mensual'!D218+parametros_recargas!$K$78*'Plan mensual'!D219+parametros_recargas!$L$78*'Plan mensual'!D220+parametros_recargas!$M$78*'Plan mensual'!D222</f>
        <v>12157.3730024002</v>
      </c>
      <c r="C196" s="26" t="n">
        <f aca="false">parametros_recargas!$E$78*'Plan mensual'!E213+parametros_recargas!$F$78*'Plan mensual'!E214+parametros_recargas!$G$78*'Plan mensual'!E215+parametros_recargas!$H$78*'Plan mensual'!E216+parametros_recargas!$I$78*'Plan mensual'!E217+parametros_recargas!$J$78*'Plan mensual'!E218+parametros_recargas!$K$78*'Plan mensual'!E219+parametros_recargas!$L$78*'Plan mensual'!E220+parametros_recargas!$M$78*'Plan mensual'!E222</f>
        <v>10388.0596625766</v>
      </c>
      <c r="D196" s="26" t="n">
        <f aca="false">parametros_recargas!$E$78*'Plan mensual'!F213+parametros_recargas!$F$78*'Plan mensual'!F214+parametros_recargas!$G$78*'Plan mensual'!F215+parametros_recargas!$H$78*'Plan mensual'!F216+parametros_recargas!$I$78*'Plan mensual'!F217+parametros_recargas!$J$78*'Plan mensual'!F218+parametros_recargas!$K$78*'Plan mensual'!F219+parametros_recargas!$L$78*'Plan mensual'!F220+parametros_recargas!$M$78*'Plan mensual'!F222</f>
        <v>9564.15888943132</v>
      </c>
      <c r="E196" s="26" t="n">
        <f aca="false">parametros_recargas!$E$78*'Plan mensual'!G213+parametros_recargas!$F$78*'Plan mensual'!G214+parametros_recargas!$G$78*'Plan mensual'!G215+parametros_recargas!$H$78*'Plan mensual'!G216+parametros_recargas!$I$78*'Plan mensual'!G217+parametros_recargas!$J$78*'Plan mensual'!G218+parametros_recargas!$K$78*'Plan mensual'!G219+parametros_recargas!$L$78*'Plan mensual'!G220+parametros_recargas!$M$78*'Plan mensual'!G222</f>
        <v>10463.178171275</v>
      </c>
      <c r="F196" s="26" t="n">
        <f aca="false">parametros_recargas!$E$78*'Plan mensual'!H213+parametros_recargas!$F$78*'Plan mensual'!H214+parametros_recargas!$G$78*'Plan mensual'!H215+parametros_recargas!$H$78*'Plan mensual'!H216+parametros_recargas!$I$78*'Plan mensual'!H217+parametros_recargas!$J$78*'Plan mensual'!H218+parametros_recargas!$K$78*'Plan mensual'!H219+parametros_recargas!$L$78*'Plan mensual'!H220+parametros_recargas!$M$78*'Plan mensual'!H222</f>
        <v>10534.7947206376</v>
      </c>
      <c r="G196" s="26" t="n">
        <f aca="false">parametros_recargas!$E$78*'Plan mensual'!I213+parametros_recargas!$F$78*'Plan mensual'!I214+parametros_recargas!$G$78*'Plan mensual'!I215+parametros_recargas!$H$78*'Plan mensual'!I216+parametros_recargas!$I$78*'Plan mensual'!I217+parametros_recargas!$J$78*'Plan mensual'!I218+parametros_recargas!$K$78*'Plan mensual'!I219+parametros_recargas!$L$78*'Plan mensual'!I220+parametros_recargas!$M$78*'Plan mensual'!I222</f>
        <v>10438.4826163817</v>
      </c>
      <c r="H196" s="26" t="n">
        <f aca="false">parametros_recargas!$E$78*'Plan mensual'!J213+parametros_recargas!$F$78*'Plan mensual'!J214+parametros_recargas!$G$78*'Plan mensual'!J215+parametros_recargas!$H$78*'Plan mensual'!J216+parametros_recargas!$I$78*'Plan mensual'!J217+parametros_recargas!$J$78*'Plan mensual'!J218+parametros_recargas!$K$78*'Plan mensual'!J219+parametros_recargas!$L$78*'Plan mensual'!J220+parametros_recargas!$M$78*'Plan mensual'!J222</f>
        <v>9384.30669840427</v>
      </c>
      <c r="I196" s="26" t="n">
        <f aca="false">parametros_recargas!$E$78*'Plan mensual'!K213+parametros_recargas!$F$78*'Plan mensual'!K214+parametros_recargas!$G$78*'Plan mensual'!K215+parametros_recargas!$H$78*'Plan mensual'!K216+parametros_recargas!$I$78*'Plan mensual'!K217+parametros_recargas!$J$78*'Plan mensual'!K218+parametros_recargas!$K$78*'Plan mensual'!K219+parametros_recargas!$L$78*'Plan mensual'!K220+parametros_recargas!$M$78*'Plan mensual'!K222</f>
        <v>9468.37449481001</v>
      </c>
      <c r="J196" s="26" t="n">
        <f aca="false">parametros_recargas!$E$78*'Plan mensual'!L213+parametros_recargas!$F$78*'Plan mensual'!L214+parametros_recargas!$G$78*'Plan mensual'!L215+parametros_recargas!$H$78*'Plan mensual'!L216+parametros_recargas!$I$78*'Plan mensual'!L217+parametros_recargas!$J$78*'Plan mensual'!L218+parametros_recargas!$K$78*'Plan mensual'!L219+parametros_recargas!$L$78*'Plan mensual'!L220+parametros_recargas!$M$78*'Plan mensual'!L222</f>
        <v>9552.87615783818</v>
      </c>
      <c r="K196" s="26" t="n">
        <f aca="false">parametros_recargas!$E$78*'Plan mensual'!M213+parametros_recargas!$F$78*'Plan mensual'!M214+parametros_recargas!$G$78*'Plan mensual'!M215+parametros_recargas!$H$78*'Plan mensual'!M216+parametros_recargas!$I$78*'Plan mensual'!M217+parametros_recargas!$J$78*'Plan mensual'!M218+parametros_recargas!$K$78*'Plan mensual'!M219+parametros_recargas!$L$78*'Plan mensual'!M220+parametros_recargas!$M$78*'Plan mensual'!M222</f>
        <v>9552.87615783818</v>
      </c>
      <c r="L196" s="26" t="n">
        <f aca="false">parametros_recargas!$E$78*'Plan mensual'!N213+parametros_recargas!$F$78*'Plan mensual'!N214+parametros_recargas!$G$78*'Plan mensual'!N215+parametros_recargas!$H$78*'Plan mensual'!N216+parametros_recargas!$I$78*'Plan mensual'!N217+parametros_recargas!$J$78*'Plan mensual'!N218+parametros_recargas!$K$78*'Plan mensual'!N219+parametros_recargas!$L$78*'Plan mensual'!N220+parametros_recargas!$M$78*'Plan mensual'!N222</f>
        <v>11250.5729482992</v>
      </c>
      <c r="M196" s="26" t="n">
        <f aca="false">parametros_recargas!$E$78*'Plan mensual'!O213+parametros_recargas!$F$78*'Plan mensual'!O214+parametros_recargas!$G$78*'Plan mensual'!O215+parametros_recargas!$H$78*'Plan mensual'!O216+parametros_recargas!$I$78*'Plan mensual'!O217+parametros_recargas!$J$78*'Plan mensual'!O218+parametros_recargas!$K$78*'Plan mensual'!O219+parametros_recargas!$L$78*'Plan mensual'!O220+parametros_recargas!$M$78*'Plan mensual'!O222</f>
        <v>13116.1983923787</v>
      </c>
      <c r="N196" s="12" t="n">
        <f aca="false">SUM(B196:M196)</f>
        <v>125871.251912271</v>
      </c>
      <c r="O196" s="27" t="n">
        <f aca="false">MAX(B196:M196)</f>
        <v>13116.1983923787</v>
      </c>
      <c r="P196" s="16" t="n">
        <f aca="false">O196/parametros_recargas!$B$6</f>
        <v>87.441322615858</v>
      </c>
    </row>
    <row r="197" customFormat="false" ht="15" hidden="false" customHeight="false" outlineLevel="0" collapsed="false">
      <c r="A197" s="6" t="str">
        <f aca="false">parametros_recargas!$B$79</f>
        <v>Descarga a descarte (ABC, BC y Clase D)</v>
      </c>
      <c r="B197" s="26" t="n">
        <f aca="false">parametros_recargas!$E$79*'Plan mensual'!D213+parametros_recargas!$F$79*'Plan mensual'!D214+parametros_recargas!$G$79*'Plan mensual'!D215+parametros_recargas!$H$79*'Plan mensual'!D216+parametros_recargas!$I$79*'Plan mensual'!D217+parametros_recargas!$J$79*'Plan mensual'!D218+parametros_recargas!$K$79*'Plan mensual'!D219+parametros_recargas!$L$79*'Plan mensual'!D220+parametros_recargas!$M$79*'Plan mensual'!D222</f>
        <v>1381.82449769541</v>
      </c>
      <c r="C197" s="26" t="n">
        <f aca="false">parametros_recargas!$E$79*'Plan mensual'!E213+parametros_recargas!$F$79*'Plan mensual'!E214+parametros_recargas!$G$79*'Plan mensual'!E215+parametros_recargas!$H$79*'Plan mensual'!E216+parametros_recargas!$I$79*'Plan mensual'!E217+parametros_recargas!$J$79*'Plan mensual'!E218+parametros_recargas!$K$79*'Plan mensual'!E219+parametros_recargas!$L$79*'Plan mensual'!E220+parametros_recargas!$M$79*'Plan mensual'!E222</f>
        <v>1185.2341266039</v>
      </c>
      <c r="D197" s="26" t="n">
        <f aca="false">parametros_recargas!$E$79*'Plan mensual'!F213+parametros_recargas!$F$79*'Plan mensual'!F214+parametros_recargas!$G$79*'Plan mensual'!F215+parametros_recargas!$H$79*'Plan mensual'!F216+parametros_recargas!$I$79*'Plan mensual'!F217+parametros_recargas!$J$79*'Plan mensual'!F218+parametros_recargas!$K$79*'Plan mensual'!F219+parametros_recargas!$L$79*'Plan mensual'!F220+parametros_recargas!$M$79*'Plan mensual'!F222</f>
        <v>1093.68959625442</v>
      </c>
      <c r="E197" s="26" t="n">
        <f aca="false">parametros_recargas!$E$79*'Plan mensual'!G213+parametros_recargas!$F$79*'Plan mensual'!G214+parametros_recargas!$G$79*'Plan mensual'!G215+parametros_recargas!$H$79*'Plan mensual'!G216+parametros_recargas!$I$79*'Plan mensual'!G217+parametros_recargas!$J$79*'Plan mensual'!G218+parametros_recargas!$K$79*'Plan mensual'!G219+parametros_recargas!$L$79*'Plan mensual'!G220+parametros_recargas!$M$79*'Plan mensual'!G222</f>
        <v>1193.58062757039</v>
      </c>
      <c r="F197" s="26" t="n">
        <f aca="false">parametros_recargas!$E$79*'Plan mensual'!H213+parametros_recargas!$F$79*'Plan mensual'!H214+parametros_recargas!$G$79*'Plan mensual'!H215+parametros_recargas!$H$79*'Plan mensual'!H216+parametros_recargas!$I$79*'Plan mensual'!H217+parametros_recargas!$J$79*'Plan mensual'!H218+parametros_recargas!$K$79*'Plan mensual'!H219+parametros_recargas!$L$79*'Plan mensual'!H220+parametros_recargas!$M$79*'Plan mensual'!H222</f>
        <v>1201.53802194401</v>
      </c>
      <c r="G197" s="26" t="n">
        <f aca="false">parametros_recargas!$E$79*'Plan mensual'!I213+parametros_recargas!$F$79*'Plan mensual'!I214+parametros_recargas!$G$79*'Plan mensual'!I215+parametros_recargas!$H$79*'Plan mensual'!I216+parametros_recargas!$I$79*'Plan mensual'!I217+parametros_recargas!$J$79*'Plan mensual'!I218+parametros_recargas!$K$79*'Plan mensual'!I219+parametros_recargas!$L$79*'Plan mensual'!I220+parametros_recargas!$M$79*'Plan mensual'!I222</f>
        <v>1190.83667702669</v>
      </c>
      <c r="H197" s="26" t="n">
        <f aca="false">parametros_recargas!$E$79*'Plan mensual'!J213+parametros_recargas!$F$79*'Plan mensual'!J214+parametros_recargas!$G$79*'Plan mensual'!J215+parametros_recargas!$H$79*'Plan mensual'!J216+parametros_recargas!$I$79*'Plan mensual'!J217+parametros_recargas!$J$79*'Plan mensual'!J218+parametros_recargas!$K$79*'Plan mensual'!J219+parametros_recargas!$L$79*'Plan mensual'!J220+parametros_recargas!$M$79*'Plan mensual'!J222</f>
        <v>1073.70601947364</v>
      </c>
      <c r="I197" s="26" t="n">
        <f aca="false">parametros_recargas!$E$79*'Plan mensual'!K213+parametros_recargas!$F$79*'Plan mensual'!K214+parametros_recargas!$G$79*'Plan mensual'!K215+parametros_recargas!$H$79*'Plan mensual'!K216+parametros_recargas!$I$79*'Plan mensual'!K217+parametros_recargas!$J$79*'Plan mensual'!K218+parametros_recargas!$K$79*'Plan mensual'!K219+parametros_recargas!$L$79*'Plan mensual'!K220+parametros_recargas!$M$79*'Plan mensual'!K222</f>
        <v>1083.04688574095</v>
      </c>
      <c r="J197" s="26" t="n">
        <f aca="false">parametros_recargas!$E$79*'Plan mensual'!L213+parametros_recargas!$F$79*'Plan mensual'!L214+parametros_recargas!$G$79*'Plan mensual'!L215+parametros_recargas!$H$79*'Plan mensual'!L216+parametros_recargas!$I$79*'Plan mensual'!L217+parametros_recargas!$J$79*'Plan mensual'!L218+parametros_recargas!$K$79*'Plan mensual'!L219+parametros_recargas!$L$79*'Plan mensual'!L220+parametros_recargas!$M$79*'Plan mensual'!L222</f>
        <v>1092.43595941074</v>
      </c>
      <c r="K197" s="26" t="n">
        <f aca="false">parametros_recargas!$E$79*'Plan mensual'!M213+parametros_recargas!$F$79*'Plan mensual'!M214+parametros_recargas!$G$79*'Plan mensual'!M215+parametros_recargas!$H$79*'Plan mensual'!M216+parametros_recargas!$I$79*'Plan mensual'!M217+parametros_recargas!$J$79*'Plan mensual'!M218+parametros_recargas!$K$79*'Plan mensual'!M219+parametros_recargas!$L$79*'Plan mensual'!M220+parametros_recargas!$M$79*'Plan mensual'!M222</f>
        <v>1092.43595941074</v>
      </c>
      <c r="L197" s="26" t="n">
        <f aca="false">parametros_recargas!$E$79*'Plan mensual'!N213+parametros_recargas!$F$79*'Plan mensual'!N214+parametros_recargas!$G$79*'Plan mensual'!N215+parametros_recargas!$H$79*'Plan mensual'!N216+parametros_recargas!$I$79*'Plan mensual'!N217+parametros_recargas!$J$79*'Plan mensual'!N218+parametros_recargas!$K$79*'Plan mensual'!N219+parametros_recargas!$L$79*'Plan mensual'!N220+parametros_recargas!$M$79*'Plan mensual'!N222</f>
        <v>1281.06893612863</v>
      </c>
      <c r="M197" s="26" t="n">
        <f aca="false">parametros_recargas!$E$79*'Plan mensual'!O213+parametros_recargas!$F$79*'Plan mensual'!O214+parametros_recargas!$G$79*'Plan mensual'!O215+parametros_recargas!$H$79*'Plan mensual'!O216+parametros_recargas!$I$79*'Plan mensual'!O217+parametros_recargas!$J$79*'Plan mensual'!O218+parametros_recargas!$K$79*'Plan mensual'!O219+parametros_recargas!$L$79*'Plan mensual'!O220+parametros_recargas!$M$79*'Plan mensual'!O222</f>
        <v>1488.36065213747</v>
      </c>
      <c r="N197" s="12" t="n">
        <f aca="false">SUM(B197:M197)</f>
        <v>14357.757959397</v>
      </c>
      <c r="O197" s="27" t="n">
        <f aca="false">MAX(B197:M197)</f>
        <v>1488.36065213747</v>
      </c>
      <c r="P197" s="16" t="n">
        <f aca="false">O197/parametros_recargas!$B$6</f>
        <v>9.92240434758312</v>
      </c>
    </row>
    <row r="198" customFormat="false" ht="15" hidden="false" customHeight="false" outlineLevel="0" collapsed="false">
      <c r="A198" s="6" t="str">
        <f aca="false">parametros_recargas!$B$80</f>
        <v>Descarga y carga de agua / AFFF / sales K</v>
      </c>
      <c r="B198" s="26" t="n">
        <f aca="false">parametros_recargas!$E$80*'Plan mensual'!D213+parametros_recargas!$F$80*'Plan mensual'!D214+parametros_recargas!$G$80*'Plan mensual'!D215+parametros_recargas!$H$80*'Plan mensual'!D216+parametros_recargas!$I$80*'Plan mensual'!D217+parametros_recargas!$J$80*'Plan mensual'!D218+parametros_recargas!$K$80*'Plan mensual'!D219+parametros_recargas!$L$80*'Plan mensual'!D220+parametros_recargas!$M$80*'Plan mensual'!D222</f>
        <v>584.640988752833</v>
      </c>
      <c r="C198" s="26" t="n">
        <f aca="false">parametros_recargas!$E$80*'Plan mensual'!E213+parametros_recargas!$F$80*'Plan mensual'!E214+parametros_recargas!$G$80*'Plan mensual'!E215+parametros_recargas!$H$80*'Plan mensual'!E216+parametros_recargas!$I$80*'Plan mensual'!E217+parametros_recargas!$J$80*'Plan mensual'!E218+parametros_recargas!$K$80*'Plan mensual'!E219+parametros_recargas!$L$80*'Plan mensual'!E220+parametros_recargas!$M$80*'Plan mensual'!E222</f>
        <v>584.640988752833</v>
      </c>
      <c r="D198" s="26" t="n">
        <f aca="false">parametros_recargas!$E$80*'Plan mensual'!F213+parametros_recargas!$F$80*'Plan mensual'!F214+parametros_recargas!$G$80*'Plan mensual'!F215+parametros_recargas!$H$80*'Plan mensual'!F216+parametros_recargas!$I$80*'Plan mensual'!F217+parametros_recargas!$J$80*'Plan mensual'!F218+parametros_recargas!$K$80*'Plan mensual'!F219+parametros_recargas!$L$80*'Plan mensual'!F220+parametros_recargas!$M$80*'Plan mensual'!F222</f>
        <v>662.824542806846</v>
      </c>
      <c r="E198" s="26" t="n">
        <f aca="false">parametros_recargas!$E$80*'Plan mensual'!G213+parametros_recargas!$F$80*'Plan mensual'!G214+parametros_recargas!$G$80*'Plan mensual'!G215+parametros_recargas!$H$80*'Plan mensual'!G216+parametros_recargas!$I$80*'Plan mensual'!G217+parametros_recargas!$J$80*'Plan mensual'!G218+parametros_recargas!$K$80*'Plan mensual'!G219+parametros_recargas!$L$80*'Plan mensual'!G220+parametros_recargas!$M$80*'Plan mensual'!G222</f>
        <v>738.419651956895</v>
      </c>
      <c r="F198" s="26" t="n">
        <f aca="false">parametros_recargas!$E$80*'Plan mensual'!H213+parametros_recargas!$F$80*'Plan mensual'!H214+parametros_recargas!$G$80*'Plan mensual'!H215+parametros_recargas!$H$80*'Plan mensual'!H216+parametros_recargas!$I$80*'Plan mensual'!H217+parametros_recargas!$J$80*'Plan mensual'!H218+parametros_recargas!$K$80*'Plan mensual'!H219+parametros_recargas!$L$80*'Plan mensual'!H220+parametros_recargas!$M$80*'Plan mensual'!H222</f>
        <v>744.57560464154</v>
      </c>
      <c r="G198" s="26" t="n">
        <f aca="false">parametros_recargas!$E$80*'Plan mensual'!I213+parametros_recargas!$F$80*'Plan mensual'!I214+parametros_recargas!$G$80*'Plan mensual'!I215+parametros_recargas!$H$80*'Plan mensual'!I216+parametros_recargas!$I$80*'Plan mensual'!I217+parametros_recargas!$J$80*'Plan mensual'!I218+parametros_recargas!$K$80*'Plan mensual'!I219+parametros_recargas!$L$80*'Plan mensual'!I220+parametros_recargas!$M$80*'Plan mensual'!I222</f>
        <v>731.143028399791</v>
      </c>
      <c r="H198" s="26" t="n">
        <f aca="false">parametros_recargas!$E$80*'Plan mensual'!J213+parametros_recargas!$F$80*'Plan mensual'!J214+parametros_recargas!$G$80*'Plan mensual'!J215+parametros_recargas!$H$80*'Plan mensual'!J216+parametros_recargas!$I$80*'Plan mensual'!J217+parametros_recargas!$J$80*'Plan mensual'!J218+parametros_recargas!$K$80*'Plan mensual'!J219+parametros_recargas!$L$80*'Plan mensual'!J220+parametros_recargas!$M$80*'Plan mensual'!J222</f>
        <v>639.567322771048</v>
      </c>
      <c r="I198" s="26" t="n">
        <f aca="false">parametros_recargas!$E$80*'Plan mensual'!K213+parametros_recargas!$F$80*'Plan mensual'!K214+parametros_recargas!$G$80*'Plan mensual'!K215+parametros_recargas!$H$80*'Plan mensual'!K216+parametros_recargas!$I$80*'Plan mensual'!K217+parametros_recargas!$J$80*'Plan mensual'!K218+parametros_recargas!$K$80*'Plan mensual'!K219+parametros_recargas!$L$80*'Plan mensual'!K220+parametros_recargas!$M$80*'Plan mensual'!K222</f>
        <v>645.682850788673</v>
      </c>
      <c r="J198" s="26" t="n">
        <f aca="false">parametros_recargas!$E$80*'Plan mensual'!L213+parametros_recargas!$F$80*'Plan mensual'!L214+parametros_recargas!$G$80*'Plan mensual'!L215+parametros_recargas!$H$80*'Plan mensual'!L216+parametros_recargas!$I$80*'Plan mensual'!L217+parametros_recargas!$J$80*'Plan mensual'!L218+parametros_recargas!$K$80*'Plan mensual'!L219+parametros_recargas!$L$80*'Plan mensual'!L220+parametros_recargas!$M$80*'Plan mensual'!L222</f>
        <v>658.483505469858</v>
      </c>
      <c r="K198" s="26" t="n">
        <f aca="false">parametros_recargas!$E$80*'Plan mensual'!M213+parametros_recargas!$F$80*'Plan mensual'!M214+parametros_recargas!$G$80*'Plan mensual'!M215+parametros_recargas!$H$80*'Plan mensual'!M216+parametros_recargas!$I$80*'Plan mensual'!M217+parametros_recargas!$J$80*'Plan mensual'!M218+parametros_recargas!$K$80*'Plan mensual'!M219+parametros_recargas!$L$80*'Plan mensual'!M220+parametros_recargas!$M$80*'Plan mensual'!M222</f>
        <v>658.483505469858</v>
      </c>
      <c r="L198" s="26" t="n">
        <f aca="false">parametros_recargas!$E$80*'Plan mensual'!N213+parametros_recargas!$F$80*'Plan mensual'!N214+parametros_recargas!$G$80*'Plan mensual'!N215+parametros_recargas!$H$80*'Plan mensual'!N216+parametros_recargas!$I$80*'Plan mensual'!N217+parametros_recargas!$J$80*'Plan mensual'!N218+parametros_recargas!$K$80*'Plan mensual'!N219+parametros_recargas!$L$80*'Plan mensual'!N220+parametros_recargas!$M$80*'Plan mensual'!N222</f>
        <v>652.327552785214</v>
      </c>
      <c r="M198" s="26" t="n">
        <f aca="false">parametros_recargas!$E$80*'Plan mensual'!O213+parametros_recargas!$F$80*'Plan mensual'!O214+parametros_recargas!$G$80*'Plan mensual'!O215+parametros_recargas!$H$80*'Plan mensual'!O216+parametros_recargas!$I$80*'Plan mensual'!O217+parametros_recargas!$J$80*'Plan mensual'!O218+parametros_recargas!$K$80*'Plan mensual'!O219+parametros_recargas!$L$80*'Plan mensual'!O220+parametros_recargas!$M$80*'Plan mensual'!O222</f>
        <v>665.760129026962</v>
      </c>
      <c r="N198" s="12" t="n">
        <f aca="false">SUM(B198:M198)</f>
        <v>7966.54967162235</v>
      </c>
      <c r="O198" s="27" t="n">
        <f aca="false">MAX(B198:M198)</f>
        <v>744.57560464154</v>
      </c>
      <c r="P198" s="16" t="n">
        <f aca="false">O198/parametros_recargas!$B$6</f>
        <v>4.96383736427693</v>
      </c>
    </row>
    <row r="199" customFormat="false" ht="15" hidden="false" customHeight="false" outlineLevel="0" collapsed="false">
      <c r="A199" s="6" t="str">
        <f aca="false">parametros_recargas!$B$81</f>
        <v>Recuperación y carga de CO₂</v>
      </c>
      <c r="B199" s="26" t="n">
        <f aca="false">parametros_recargas!$E$81*'Plan mensual'!D213+parametros_recargas!$F$81*'Plan mensual'!D214+parametros_recargas!$G$81*'Plan mensual'!D215+parametros_recargas!$H$81*'Plan mensual'!D216+parametros_recargas!$I$81*'Plan mensual'!D217+parametros_recargas!$J$81*'Plan mensual'!D218+parametros_recargas!$K$81*'Plan mensual'!D219+parametros_recargas!$L$81*'Plan mensual'!D220+parametros_recargas!$M$81*'Plan mensual'!D222</f>
        <v>526.312702573803</v>
      </c>
      <c r="C199" s="26" t="n">
        <f aca="false">parametros_recargas!$E$81*'Plan mensual'!E213+parametros_recargas!$F$81*'Plan mensual'!E214+parametros_recargas!$G$81*'Plan mensual'!E215+parametros_recargas!$H$81*'Plan mensual'!E216+parametros_recargas!$I$81*'Plan mensual'!E217+parametros_recargas!$J$81*'Plan mensual'!E218+parametros_recargas!$K$81*'Plan mensual'!E219+parametros_recargas!$L$81*'Plan mensual'!E220+parametros_recargas!$M$81*'Plan mensual'!E222</f>
        <v>526.312702573803</v>
      </c>
      <c r="D199" s="26" t="n">
        <f aca="false">parametros_recargas!$E$81*'Plan mensual'!F213+parametros_recargas!$F$81*'Plan mensual'!F214+parametros_recargas!$G$81*'Plan mensual'!F215+parametros_recargas!$H$81*'Plan mensual'!F216+parametros_recargas!$I$81*'Plan mensual'!F217+parametros_recargas!$J$81*'Plan mensual'!F218+parametros_recargas!$K$81*'Plan mensual'!F219+parametros_recargas!$L$81*'Plan mensual'!F220+parametros_recargas!$M$81*'Plan mensual'!F222</f>
        <v>666.328364537736</v>
      </c>
      <c r="E199" s="26" t="n">
        <f aca="false">parametros_recargas!$E$81*'Plan mensual'!G213+parametros_recargas!$F$81*'Plan mensual'!G214+parametros_recargas!$G$81*'Plan mensual'!G215+parametros_recargas!$H$81*'Plan mensual'!G216+parametros_recargas!$I$81*'Plan mensual'!G217+parametros_recargas!$J$81*'Plan mensual'!G218+parametros_recargas!$K$81*'Plan mensual'!G219+parametros_recargas!$L$81*'Plan mensual'!G220+parametros_recargas!$M$81*'Plan mensual'!G222</f>
        <v>803.69820191657</v>
      </c>
      <c r="F199" s="26" t="n">
        <f aca="false">parametros_recargas!$E$81*'Plan mensual'!H213+parametros_recargas!$F$81*'Plan mensual'!H214+parametros_recargas!$G$81*'Plan mensual'!H215+parametros_recargas!$H$81*'Plan mensual'!H216+parametros_recargas!$I$81*'Plan mensual'!H217+parametros_recargas!$J$81*'Plan mensual'!H218+parametros_recargas!$K$81*'Plan mensual'!H219+parametros_recargas!$L$81*'Plan mensual'!H220+parametros_recargas!$M$81*'Plan mensual'!H222</f>
        <v>809.231113037486</v>
      </c>
      <c r="G199" s="26" t="n">
        <f aca="false">parametros_recargas!$E$81*'Plan mensual'!I213+parametros_recargas!$F$81*'Plan mensual'!I214+parametros_recargas!$G$81*'Plan mensual'!I215+parametros_recargas!$H$81*'Plan mensual'!I216+parametros_recargas!$I$81*'Plan mensual'!I217+parametros_recargas!$J$81*'Plan mensual'!I218+parametros_recargas!$K$81*'Plan mensual'!I219+parametros_recargas!$L$81*'Plan mensual'!I220+parametros_recargas!$M$81*'Plan mensual'!I222</f>
        <v>792.836398189739</v>
      </c>
      <c r="H199" s="26" t="n">
        <f aca="false">parametros_recargas!$E$81*'Plan mensual'!J213+parametros_recargas!$F$81*'Plan mensual'!J214+parametros_recargas!$G$81*'Plan mensual'!J215+parametros_recargas!$H$81*'Plan mensual'!J216+parametros_recargas!$I$81*'Plan mensual'!J217+parametros_recargas!$J$81*'Plan mensual'!J218+parametros_recargas!$K$81*'Plan mensual'!J219+parametros_recargas!$L$81*'Plan mensual'!J220+parametros_recargas!$M$81*'Plan mensual'!J222</f>
        <v>641.301115480775</v>
      </c>
      <c r="I199" s="26" t="n">
        <f aca="false">parametros_recargas!$E$81*'Plan mensual'!K213+parametros_recargas!$F$81*'Plan mensual'!K214+parametros_recargas!$G$81*'Plan mensual'!K215+parametros_recargas!$H$81*'Plan mensual'!K216+parametros_recargas!$I$81*'Plan mensual'!K217+parametros_recargas!$J$81*'Plan mensual'!K218+parametros_recargas!$K$81*'Plan mensual'!K219+parametros_recargas!$L$81*'Plan mensual'!K220+parametros_recargas!$M$81*'Plan mensual'!K222</f>
        <v>641.958932498975</v>
      </c>
      <c r="J199" s="26" t="n">
        <f aca="false">parametros_recargas!$E$81*'Plan mensual'!L213+parametros_recargas!$F$81*'Plan mensual'!L214+parametros_recargas!$G$81*'Plan mensual'!L215+parametros_recargas!$H$81*'Plan mensual'!L216+parametros_recargas!$I$81*'Plan mensual'!L217+parametros_recargas!$J$81*'Plan mensual'!L218+parametros_recargas!$K$81*'Plan mensual'!L219+parametros_recargas!$L$81*'Plan mensual'!L220+parametros_recargas!$M$81*'Plan mensual'!L222</f>
        <v>656.526551812889</v>
      </c>
      <c r="K199" s="26" t="n">
        <f aca="false">parametros_recargas!$E$81*'Plan mensual'!M213+parametros_recargas!$F$81*'Plan mensual'!M214+parametros_recargas!$G$81*'Plan mensual'!M215+parametros_recargas!$H$81*'Plan mensual'!M216+parametros_recargas!$I$81*'Plan mensual'!M217+parametros_recargas!$J$81*'Plan mensual'!M218+parametros_recargas!$K$81*'Plan mensual'!M219+parametros_recargas!$L$81*'Plan mensual'!M220+parametros_recargas!$M$81*'Plan mensual'!M222</f>
        <v>656.526551812889</v>
      </c>
      <c r="L199" s="26" t="n">
        <f aca="false">parametros_recargas!$E$81*'Plan mensual'!N213+parametros_recargas!$F$81*'Plan mensual'!N214+parametros_recargas!$G$81*'Plan mensual'!N215+parametros_recargas!$H$81*'Plan mensual'!N216+parametros_recargas!$I$81*'Plan mensual'!N217+parametros_recargas!$J$81*'Plan mensual'!N218+parametros_recargas!$K$81*'Plan mensual'!N219+parametros_recargas!$L$81*'Plan mensual'!N220+parametros_recargas!$M$81*'Plan mensual'!N222</f>
        <v>650.993640691973</v>
      </c>
      <c r="M199" s="26" t="n">
        <f aca="false">parametros_recargas!$E$81*'Plan mensual'!O213+parametros_recargas!$F$81*'Plan mensual'!O214+parametros_recargas!$G$81*'Plan mensual'!O215+parametros_recargas!$H$81*'Plan mensual'!O216+parametros_recargas!$I$81*'Plan mensual'!O217+parametros_recargas!$J$81*'Plan mensual'!O218+parametros_recargas!$K$81*'Plan mensual'!O219+parametros_recargas!$L$81*'Plan mensual'!O220+parametros_recargas!$M$81*'Plan mensual'!O222</f>
        <v>667.38835553972</v>
      </c>
      <c r="N199" s="12" t="n">
        <f aca="false">SUM(B199:M199)</f>
        <v>8039.41463066636</v>
      </c>
      <c r="O199" s="27" t="n">
        <f aca="false">MAX(B199:M199)</f>
        <v>809.231113037486</v>
      </c>
      <c r="P199" s="16" t="n">
        <f aca="false">O199/parametros_recargas!$B$6</f>
        <v>5.39487408691657</v>
      </c>
    </row>
    <row r="200" customFormat="false" ht="15" hidden="false" customHeight="false" outlineLevel="0" collapsed="false">
      <c r="A200" s="6" t="str">
        <f aca="false">parametros_recargas!$B$82</f>
        <v>Recuperación y carga de halogenado</v>
      </c>
      <c r="B200" s="26" t="n">
        <f aca="false">parametros_recargas!$E$82*'Plan mensual'!D213+parametros_recargas!$F$82*'Plan mensual'!D214+parametros_recargas!$G$82*'Plan mensual'!D215+parametros_recargas!$H$82*'Plan mensual'!D216+parametros_recargas!$I$82*'Plan mensual'!D217+parametros_recargas!$J$82*'Plan mensual'!D218+parametros_recargas!$K$82*'Plan mensual'!D219+parametros_recargas!$L$82*'Plan mensual'!D220+parametros_recargas!$M$82*'Plan mensual'!D222</f>
        <v>16.5421239042482</v>
      </c>
      <c r="C200" s="26" t="n">
        <f aca="false">parametros_recargas!$E$82*'Plan mensual'!E213+parametros_recargas!$F$82*'Plan mensual'!E214+parametros_recargas!$G$82*'Plan mensual'!E215+parametros_recargas!$H$82*'Plan mensual'!E216+parametros_recargas!$I$82*'Plan mensual'!E217+parametros_recargas!$J$82*'Plan mensual'!E218+parametros_recargas!$K$82*'Plan mensual'!E219+parametros_recargas!$L$82*'Plan mensual'!E220+parametros_recargas!$M$82*'Plan mensual'!E222</f>
        <v>16.5421239042482</v>
      </c>
      <c r="D200" s="26" t="n">
        <f aca="false">parametros_recargas!$E$82*'Plan mensual'!F213+parametros_recargas!$F$82*'Plan mensual'!F214+parametros_recargas!$G$82*'Plan mensual'!F215+parametros_recargas!$H$82*'Plan mensual'!F216+parametros_recargas!$I$82*'Plan mensual'!F217+parametros_recargas!$J$82*'Plan mensual'!F218+parametros_recargas!$K$82*'Plan mensual'!F219+parametros_recargas!$L$82*'Plan mensual'!F220+parametros_recargas!$M$82*'Plan mensual'!F222</f>
        <v>15.4856721849891</v>
      </c>
      <c r="E200" s="26" t="n">
        <f aca="false">parametros_recargas!$E$82*'Plan mensual'!G213+parametros_recargas!$F$82*'Plan mensual'!G214+parametros_recargas!$G$82*'Plan mensual'!G215+parametros_recargas!$H$82*'Plan mensual'!G216+parametros_recargas!$I$82*'Plan mensual'!G217+parametros_recargas!$J$82*'Plan mensual'!G218+parametros_recargas!$K$82*'Plan mensual'!G219+parametros_recargas!$L$82*'Plan mensual'!G220+parametros_recargas!$M$82*'Plan mensual'!G222</f>
        <v>15.4856721849891</v>
      </c>
      <c r="F200" s="26" t="n">
        <f aca="false">parametros_recargas!$E$82*'Plan mensual'!H213+parametros_recargas!$F$82*'Plan mensual'!H214+parametros_recargas!$G$82*'Plan mensual'!H215+parametros_recargas!$H$82*'Plan mensual'!H216+parametros_recargas!$I$82*'Plan mensual'!H217+parametros_recargas!$J$82*'Plan mensual'!H218+parametros_recargas!$K$82*'Plan mensual'!H219+parametros_recargas!$L$82*'Plan mensual'!H220+parametros_recargas!$M$82*'Plan mensual'!H222</f>
        <v>15.4856721849891</v>
      </c>
      <c r="G200" s="26" t="n">
        <f aca="false">parametros_recargas!$E$82*'Plan mensual'!I213+parametros_recargas!$F$82*'Plan mensual'!I214+parametros_recargas!$G$82*'Plan mensual'!I215+parametros_recargas!$H$82*'Plan mensual'!I216+parametros_recargas!$I$82*'Plan mensual'!I217+parametros_recargas!$J$82*'Plan mensual'!I218+parametros_recargas!$K$82*'Plan mensual'!I219+parametros_recargas!$L$82*'Plan mensual'!I220+parametros_recargas!$M$82*'Plan mensual'!I222</f>
        <v>14.4292204657299</v>
      </c>
      <c r="H200" s="26" t="n">
        <f aca="false">parametros_recargas!$E$82*'Plan mensual'!J213+parametros_recargas!$F$82*'Plan mensual'!J214+parametros_recargas!$G$82*'Plan mensual'!J215+parametros_recargas!$H$82*'Plan mensual'!J216+parametros_recargas!$I$82*'Plan mensual'!J217+parametros_recargas!$J$82*'Plan mensual'!J218+parametros_recargas!$K$82*'Plan mensual'!J219+parametros_recargas!$L$82*'Plan mensual'!J220+parametros_recargas!$M$82*'Plan mensual'!J222</f>
        <v>14.4292204657299</v>
      </c>
      <c r="I200" s="26" t="n">
        <f aca="false">parametros_recargas!$E$82*'Plan mensual'!K213+parametros_recargas!$F$82*'Plan mensual'!K214+parametros_recargas!$G$82*'Plan mensual'!K215+parametros_recargas!$H$82*'Plan mensual'!K216+parametros_recargas!$I$82*'Plan mensual'!K217+parametros_recargas!$J$82*'Plan mensual'!K218+parametros_recargas!$K$82*'Plan mensual'!K219+parametros_recargas!$L$82*'Plan mensual'!K220+parametros_recargas!$M$82*'Plan mensual'!K222</f>
        <v>14.4292204657299</v>
      </c>
      <c r="J200" s="26" t="n">
        <f aca="false">parametros_recargas!$E$82*'Plan mensual'!L213+parametros_recargas!$F$82*'Plan mensual'!L214+parametros_recargas!$G$82*'Plan mensual'!L215+parametros_recargas!$H$82*'Plan mensual'!L216+parametros_recargas!$I$82*'Plan mensual'!L217+parametros_recargas!$J$82*'Plan mensual'!L218+parametros_recargas!$K$82*'Plan mensual'!L219+parametros_recargas!$L$82*'Plan mensual'!L220+parametros_recargas!$M$82*'Plan mensual'!L222</f>
        <v>15.4856721849891</v>
      </c>
      <c r="K200" s="26" t="n">
        <f aca="false">parametros_recargas!$E$82*'Plan mensual'!M213+parametros_recargas!$F$82*'Plan mensual'!M214+parametros_recargas!$G$82*'Plan mensual'!M215+parametros_recargas!$H$82*'Plan mensual'!M216+parametros_recargas!$I$82*'Plan mensual'!M217+parametros_recargas!$J$82*'Plan mensual'!M218+parametros_recargas!$K$82*'Plan mensual'!M219+parametros_recargas!$L$82*'Plan mensual'!M220+parametros_recargas!$M$82*'Plan mensual'!M222</f>
        <v>15.4856721849891</v>
      </c>
      <c r="L200" s="26" t="n">
        <f aca="false">parametros_recargas!$E$82*'Plan mensual'!N213+parametros_recargas!$F$82*'Plan mensual'!N214+parametros_recargas!$G$82*'Plan mensual'!N215+parametros_recargas!$H$82*'Plan mensual'!N216+parametros_recargas!$I$82*'Plan mensual'!N217+parametros_recargas!$J$82*'Plan mensual'!N218+parametros_recargas!$K$82*'Plan mensual'!N219+parametros_recargas!$L$82*'Plan mensual'!N220+parametros_recargas!$M$82*'Plan mensual'!N222</f>
        <v>15.4856721849891</v>
      </c>
      <c r="M200" s="26" t="n">
        <f aca="false">parametros_recargas!$E$82*'Plan mensual'!O213+parametros_recargas!$F$82*'Plan mensual'!O214+parametros_recargas!$G$82*'Plan mensual'!O215+parametros_recargas!$H$82*'Plan mensual'!O216+parametros_recargas!$I$82*'Plan mensual'!O217+parametros_recargas!$J$82*'Plan mensual'!O218+parametros_recargas!$K$82*'Plan mensual'!O219+parametros_recargas!$L$82*'Plan mensual'!O220+parametros_recargas!$M$82*'Plan mensual'!O222</f>
        <v>16.5421239042482</v>
      </c>
      <c r="N200" s="12" t="n">
        <f aca="false">SUM(B200:M200)</f>
        <v>185.828066219869</v>
      </c>
      <c r="O200" s="27" t="n">
        <f aca="false">MAX(B200:M200)</f>
        <v>16.5421239042482</v>
      </c>
      <c r="P200" s="16" t="n">
        <f aca="false">O200/parametros_recargas!$B$6</f>
        <v>0.110280826028321</v>
      </c>
    </row>
    <row r="201" customFormat="false" ht="15" hidden="false" customHeight="false" outlineLevel="0" collapsed="false">
      <c r="A201" s="6" t="str">
        <f aca="false">parametros_recargas!$B$83</f>
        <v>Desarme y limpieza — recinto</v>
      </c>
      <c r="B201" s="26" t="n">
        <f aca="false">parametros_recargas!$E$83*'Plan mensual'!D213+parametros_recargas!$F$83*'Plan mensual'!D214+parametros_recargas!$G$83*'Plan mensual'!D215+parametros_recargas!$H$83*'Plan mensual'!D216+parametros_recargas!$I$83*'Plan mensual'!D217+parametros_recargas!$J$83*'Plan mensual'!D218+parametros_recargas!$K$83*'Plan mensual'!D219+parametros_recargas!$L$83*'Plan mensual'!D220+parametros_recargas!$M$83*'Plan mensual'!D222</f>
        <v>14251.7868422059</v>
      </c>
      <c r="C201" s="26" t="n">
        <f aca="false">parametros_recargas!$E$83*'Plan mensual'!E213+parametros_recargas!$F$83*'Plan mensual'!E214+parametros_recargas!$G$83*'Plan mensual'!E215+parametros_recargas!$H$83*'Plan mensual'!E216+parametros_recargas!$I$83*'Plan mensual'!E217+parametros_recargas!$J$83*'Plan mensual'!E218+parametros_recargas!$K$83*'Plan mensual'!E219+parametros_recargas!$L$83*'Plan mensual'!E220+parametros_recargas!$M$83*'Plan mensual'!E222</f>
        <v>12182.4145149268</v>
      </c>
      <c r="D201" s="26" t="n">
        <f aca="false">parametros_recargas!$E$83*'Plan mensual'!F213+parametros_recargas!$F$83*'Plan mensual'!F214+parametros_recargas!$G$83*'Plan mensual'!F215+parametros_recargas!$H$83*'Plan mensual'!F216+parametros_recargas!$I$83*'Plan mensual'!F217+parametros_recargas!$J$83*'Plan mensual'!F218+parametros_recargas!$K$83*'Plan mensual'!F219+parametros_recargas!$L$83*'Plan mensual'!F220+parametros_recargas!$M$83*'Plan mensual'!F222</f>
        <v>11218.7878796692</v>
      </c>
      <c r="E201" s="26" t="n">
        <f aca="false">parametros_recargas!$E$83*'Plan mensual'!G213+parametros_recargas!$F$83*'Plan mensual'!G214+parametros_recargas!$G$83*'Plan mensual'!G215+parametros_recargas!$H$83*'Plan mensual'!G216+parametros_recargas!$I$83*'Plan mensual'!G217+parametros_recargas!$J$83*'Plan mensual'!G218+parametros_recargas!$K$83*'Plan mensual'!G219+parametros_recargas!$L$83*'Plan mensual'!G220+parametros_recargas!$M$83*'Plan mensual'!G222</f>
        <v>12270.2724198372</v>
      </c>
      <c r="F201" s="26" t="n">
        <f aca="false">parametros_recargas!$E$83*'Plan mensual'!H213+parametros_recargas!$F$83*'Plan mensual'!H214+parametros_recargas!$G$83*'Plan mensual'!H215+parametros_recargas!$H$83*'Plan mensual'!H216+parametros_recargas!$I$83*'Plan mensual'!H217+parametros_recargas!$J$83*'Plan mensual'!H218+parametros_recargas!$K$83*'Plan mensual'!H219+parametros_recargas!$L$83*'Plan mensual'!H220+parametros_recargas!$M$83*'Plan mensual'!H222</f>
        <v>12354.0344658754</v>
      </c>
      <c r="G201" s="26" t="n">
        <f aca="false">parametros_recargas!$E$83*'Plan mensual'!I213+parametros_recargas!$F$83*'Plan mensual'!I214+parametros_recargas!$G$83*'Plan mensual'!I215+parametros_recargas!$H$83*'Plan mensual'!I216+parametros_recargas!$I$83*'Plan mensual'!I217+parametros_recargas!$J$83*'Plan mensual'!I218+parametros_recargas!$K$83*'Plan mensual'!I219+parametros_recargas!$L$83*'Plan mensual'!I220+parametros_recargas!$M$83*'Plan mensual'!I222</f>
        <v>12241.3887299035</v>
      </c>
      <c r="H201" s="26" t="n">
        <f aca="false">parametros_recargas!$E$83*'Plan mensual'!J213+parametros_recargas!$F$83*'Plan mensual'!J214+parametros_recargas!$G$83*'Plan mensual'!J215+parametros_recargas!$H$83*'Plan mensual'!J216+parametros_recargas!$I$83*'Plan mensual'!J217+parametros_recargas!$J$83*'Plan mensual'!J218+parametros_recargas!$K$83*'Plan mensual'!J219+parametros_recargas!$L$83*'Plan mensual'!J220+parametros_recargas!$M$83*'Plan mensual'!J222</f>
        <v>11008.4344398715</v>
      </c>
      <c r="I201" s="26" t="n">
        <f aca="false">parametros_recargas!$E$83*'Plan mensual'!K213+parametros_recargas!$F$83*'Plan mensual'!K214+parametros_recargas!$G$83*'Plan mensual'!K215+parametros_recargas!$H$83*'Plan mensual'!K216+parametros_recargas!$I$83*'Plan mensual'!K217+parametros_recargas!$J$83*'Plan mensual'!K218+parametros_recargas!$K$83*'Plan mensual'!K219+parametros_recargas!$L$83*'Plan mensual'!K220+parametros_recargas!$M$83*'Plan mensual'!K222</f>
        <v>11106.7593479484</v>
      </c>
      <c r="J201" s="26" t="n">
        <f aca="false">parametros_recargas!$E$83*'Plan mensual'!L213+parametros_recargas!$F$83*'Plan mensual'!L214+parametros_recargas!$G$83*'Plan mensual'!L215+parametros_recargas!$H$83*'Plan mensual'!L216+parametros_recargas!$I$83*'Plan mensual'!L217+parametros_recargas!$J$83*'Plan mensual'!L218+parametros_recargas!$K$83*'Plan mensual'!L219+parametros_recargas!$L$83*'Plan mensual'!L220+parametros_recargas!$M$83*'Plan mensual'!L222</f>
        <v>11205.5917023673</v>
      </c>
      <c r="K201" s="26" t="n">
        <f aca="false">parametros_recargas!$E$83*'Plan mensual'!M213+parametros_recargas!$F$83*'Plan mensual'!M214+parametros_recargas!$G$83*'Plan mensual'!M215+parametros_recargas!$H$83*'Plan mensual'!M216+parametros_recargas!$I$83*'Plan mensual'!M217+parametros_recargas!$J$83*'Plan mensual'!M218+parametros_recargas!$K$83*'Plan mensual'!M219+parametros_recargas!$L$83*'Plan mensual'!M220+parametros_recargas!$M$83*'Plan mensual'!M222</f>
        <v>11205.5917023673</v>
      </c>
      <c r="L201" s="26" t="n">
        <f aca="false">parametros_recargas!$E$83*'Plan mensual'!N213+parametros_recargas!$F$83*'Plan mensual'!N214+parametros_recargas!$G$83*'Plan mensual'!N215+parametros_recargas!$H$83*'Plan mensual'!N216+parametros_recargas!$I$83*'Plan mensual'!N217+parametros_recargas!$J$83*'Plan mensual'!N218+parametros_recargas!$K$83*'Plan mensual'!N219+parametros_recargas!$L$83*'Plan mensual'!N220+parametros_recargas!$M$83*'Plan mensual'!N222</f>
        <v>13191.2019836082</v>
      </c>
      <c r="M201" s="26" t="n">
        <f aca="false">parametros_recargas!$E$83*'Plan mensual'!O213+parametros_recargas!$F$83*'Plan mensual'!O214+parametros_recargas!$G$83*'Plan mensual'!O215+parametros_recargas!$H$83*'Plan mensual'!O216+parametros_recargas!$I$83*'Plan mensual'!O217+parametros_recargas!$J$83*'Plan mensual'!O218+parametros_recargas!$K$83*'Plan mensual'!O219+parametros_recargas!$L$83*'Plan mensual'!O220+parametros_recargas!$M$83*'Plan mensual'!O222</f>
        <v>15373.2200468591</v>
      </c>
      <c r="N201" s="12" t="n">
        <f aca="false">SUM(B201:M201)</f>
        <v>147609.48407544</v>
      </c>
      <c r="O201" s="27" t="n">
        <f aca="false">MAX(B201:M201)</f>
        <v>15373.2200468591</v>
      </c>
      <c r="P201" s="16" t="n">
        <f aca="false">O201/parametros_recargas!$B$6</f>
        <v>102.488133645728</v>
      </c>
    </row>
    <row r="202" customFormat="false" ht="15" hidden="false" customHeight="false" outlineLevel="0" collapsed="false">
      <c r="A202" s="6" t="str">
        <f aca="false">parametros_recargas!$B$84</f>
        <v>Desarme e inspección interior — zona general</v>
      </c>
      <c r="B202" s="26" t="n">
        <f aca="false">parametros_recargas!$E$84*'Plan mensual'!D213+parametros_recargas!$F$84*'Plan mensual'!D214+parametros_recargas!$G$84*'Plan mensual'!D215+parametros_recargas!$H$84*'Plan mensual'!D216+parametros_recargas!$I$84*'Plan mensual'!D217+parametros_recargas!$J$84*'Plan mensual'!D218+parametros_recargas!$K$84*'Plan mensual'!D219+parametros_recargas!$L$84*'Plan mensual'!D220+parametros_recargas!$M$84*'Plan mensual'!D222</f>
        <v>892.397090224272</v>
      </c>
      <c r="C202" s="26" t="n">
        <f aca="false">parametros_recargas!$E$84*'Plan mensual'!E213+parametros_recargas!$F$84*'Plan mensual'!E214+parametros_recargas!$G$84*'Plan mensual'!E215+parametros_recargas!$H$84*'Plan mensual'!E216+parametros_recargas!$I$84*'Plan mensual'!E217+parametros_recargas!$J$84*'Plan mensual'!E218+parametros_recargas!$K$84*'Plan mensual'!E219+parametros_recargas!$L$84*'Plan mensual'!E220+parametros_recargas!$M$84*'Plan mensual'!E222</f>
        <v>892.397090224272</v>
      </c>
      <c r="D202" s="26" t="n">
        <f aca="false">parametros_recargas!$E$84*'Plan mensual'!F213+parametros_recargas!$F$84*'Plan mensual'!F214+parametros_recargas!$G$84*'Plan mensual'!F215+parametros_recargas!$H$84*'Plan mensual'!F216+parametros_recargas!$I$84*'Plan mensual'!F217+parametros_recargas!$J$84*'Plan mensual'!F218+parametros_recargas!$K$84*'Plan mensual'!F219+parametros_recargas!$L$84*'Plan mensual'!F220+parametros_recargas!$M$84*'Plan mensual'!F222</f>
        <v>1042.92521722226</v>
      </c>
      <c r="E202" s="26" t="n">
        <f aca="false">parametros_recargas!$E$84*'Plan mensual'!G213+parametros_recargas!$F$84*'Plan mensual'!G214+parametros_recargas!$G$84*'Plan mensual'!G215+parametros_recargas!$H$84*'Plan mensual'!G216+parametros_recargas!$I$84*'Plan mensual'!G217+parametros_recargas!$J$84*'Plan mensual'!G218+parametros_recargas!$K$84*'Plan mensual'!G219+parametros_recargas!$L$84*'Plan mensual'!G220+parametros_recargas!$M$84*'Plan mensual'!G222</f>
        <v>1190.47584307174</v>
      </c>
      <c r="F202" s="26" t="n">
        <f aca="false">parametros_recargas!$E$84*'Plan mensual'!H213+parametros_recargas!$F$84*'Plan mensual'!H214+parametros_recargas!$G$84*'Plan mensual'!H215+parametros_recargas!$H$84*'Plan mensual'!H216+parametros_recargas!$I$84*'Plan mensual'!H217+parametros_recargas!$J$84*'Plan mensual'!H218+parametros_recargas!$K$84*'Plan mensual'!H219+parametros_recargas!$L$84*'Plan mensual'!H220+parametros_recargas!$M$84*'Plan mensual'!H222</f>
        <v>1199.69372866615</v>
      </c>
      <c r="G202" s="26" t="n">
        <f aca="false">parametros_recargas!$E$84*'Plan mensual'!I213+parametros_recargas!$F$84*'Plan mensual'!I214+parametros_recargas!$G$84*'Plan mensual'!I215+parametros_recargas!$H$84*'Plan mensual'!I216+parametros_recargas!$I$84*'Plan mensual'!I217+parametros_recargas!$J$84*'Plan mensual'!I218+parametros_recargas!$K$84*'Plan mensual'!I219+parametros_recargas!$L$84*'Plan mensual'!I220+parametros_recargas!$M$84*'Plan mensual'!I222</f>
        <v>1176.38487442375</v>
      </c>
      <c r="H202" s="26" t="n">
        <f aca="false">parametros_recargas!$E$84*'Plan mensual'!J213+parametros_recargas!$F$84*'Plan mensual'!J214+parametros_recargas!$G$84*'Plan mensual'!J215+parametros_recargas!$H$84*'Plan mensual'!J216+parametros_recargas!$I$84*'Plan mensual'!J217+parametros_recargas!$J$84*'Plan mensual'!J218+parametros_recargas!$K$84*'Plan mensual'!J219+parametros_recargas!$L$84*'Plan mensual'!J220+parametros_recargas!$M$84*'Plan mensual'!J222</f>
        <v>1005.00286316475</v>
      </c>
      <c r="I202" s="26" t="n">
        <f aca="false">parametros_recargas!$E$84*'Plan mensual'!K213+parametros_recargas!$F$84*'Plan mensual'!K214+parametros_recargas!$G$84*'Plan mensual'!K215+parametros_recargas!$H$84*'Plan mensual'!K216+parametros_recargas!$I$84*'Plan mensual'!K217+parametros_recargas!$J$84*'Plan mensual'!K218+parametros_recargas!$K$84*'Plan mensual'!K219+parametros_recargas!$L$84*'Plan mensual'!K220+parametros_recargas!$M$84*'Plan mensual'!K222</f>
        <v>1011.76577877777</v>
      </c>
      <c r="J202" s="26" t="n">
        <f aca="false">parametros_recargas!$E$84*'Plan mensual'!L213+parametros_recargas!$F$84*'Plan mensual'!L214+parametros_recargas!$G$84*'Plan mensual'!L215+parametros_recargas!$H$84*'Plan mensual'!L216+parametros_recargas!$I$84*'Plan mensual'!L217+parametros_recargas!$J$84*'Plan mensual'!L218+parametros_recargas!$K$84*'Plan mensual'!L219+parametros_recargas!$L$84*'Plan mensual'!L220+parametros_recargas!$M$84*'Plan mensual'!L222</f>
        <v>1033.5053226814</v>
      </c>
      <c r="K202" s="26" t="n">
        <f aca="false">parametros_recargas!$E$84*'Plan mensual'!M213+parametros_recargas!$F$84*'Plan mensual'!M214+parametros_recargas!$G$84*'Plan mensual'!M215+parametros_recargas!$H$84*'Plan mensual'!M216+parametros_recargas!$I$84*'Plan mensual'!M217+parametros_recargas!$J$84*'Plan mensual'!M218+parametros_recargas!$K$84*'Plan mensual'!M219+parametros_recargas!$L$84*'Plan mensual'!M220+parametros_recargas!$M$84*'Plan mensual'!M222</f>
        <v>1033.5053226814</v>
      </c>
      <c r="L202" s="26" t="n">
        <f aca="false">parametros_recargas!$E$84*'Plan mensual'!N213+parametros_recargas!$F$84*'Plan mensual'!N214+parametros_recargas!$G$84*'Plan mensual'!N215+parametros_recargas!$H$84*'Plan mensual'!N216+parametros_recargas!$I$84*'Plan mensual'!N217+parametros_recargas!$J$84*'Plan mensual'!N218+parametros_recargas!$K$84*'Plan mensual'!N219+parametros_recargas!$L$84*'Plan mensual'!N220+parametros_recargas!$M$84*'Plan mensual'!N222</f>
        <v>1024.28743708699</v>
      </c>
      <c r="M202" s="26" t="n">
        <f aca="false">parametros_recargas!$E$84*'Plan mensual'!O213+parametros_recargas!$F$84*'Plan mensual'!O214+parametros_recargas!$G$84*'Plan mensual'!O215+parametros_recargas!$H$84*'Plan mensual'!O216+parametros_recargas!$I$84*'Plan mensual'!O217+parametros_recargas!$J$84*'Plan mensual'!O218+parametros_recargas!$K$84*'Plan mensual'!O219+parametros_recargas!$L$84*'Plan mensual'!O220+parametros_recargas!$M$84*'Plan mensual'!O222</f>
        <v>1047.59629132939</v>
      </c>
      <c r="N202" s="12" t="n">
        <f aca="false">SUM(B202:M202)</f>
        <v>12549.9368595542</v>
      </c>
      <c r="O202" s="27" t="n">
        <f aca="false">MAX(B202:M202)</f>
        <v>1199.69372866615</v>
      </c>
      <c r="P202" s="16" t="n">
        <f aca="false">O202/parametros_recargas!$B$6</f>
        <v>7.99795819110765</v>
      </c>
    </row>
    <row r="203" customFormat="false" ht="15" hidden="false" customHeight="false" outlineLevel="0" collapsed="false">
      <c r="A203" s="6" t="str">
        <f aca="false">parametros_recargas!$B$85</f>
        <v>Laboratorio — Puffer y mufla</v>
      </c>
      <c r="B203" s="26" t="n">
        <f aca="false">parametros_recargas!$E$85*'Plan mensual'!D213+parametros_recargas!$F$85*'Plan mensual'!D214+parametros_recargas!$G$85*'Plan mensual'!D215+parametros_recargas!$H$85*'Plan mensual'!D216+parametros_recargas!$I$85*'Plan mensual'!D217+parametros_recargas!$J$85*'Plan mensual'!D218+parametros_recargas!$K$85*'Plan mensual'!D219+parametros_recargas!$L$85*'Plan mensual'!D220+parametros_recargas!$M$85*'Plan mensual'!D222</f>
        <v>147.975732777648</v>
      </c>
      <c r="C203" s="26" t="n">
        <f aca="false">parametros_recargas!$E$85*'Plan mensual'!E213+parametros_recargas!$F$85*'Plan mensual'!E214+parametros_recargas!$G$85*'Plan mensual'!E215+parametros_recargas!$H$85*'Plan mensual'!E216+parametros_recargas!$I$85*'Plan mensual'!E217+parametros_recargas!$J$85*'Plan mensual'!E218+parametros_recargas!$K$85*'Plan mensual'!E219+parametros_recargas!$L$85*'Plan mensual'!E220+parametros_recargas!$M$85*'Plan mensual'!E222</f>
        <v>126.440205495399</v>
      </c>
      <c r="D203" s="26" t="n">
        <f aca="false">parametros_recargas!$E$85*'Plan mensual'!F213+parametros_recargas!$F$85*'Plan mensual'!F214+parametros_recargas!$G$85*'Plan mensual'!F215+parametros_recargas!$H$85*'Plan mensual'!F216+parametros_recargas!$I$85*'Plan mensual'!F217+parametros_recargas!$J$85*'Plan mensual'!F218+parametros_recargas!$K$85*'Plan mensual'!F219+parametros_recargas!$L$85*'Plan mensual'!F220+parametros_recargas!$M$85*'Plan mensual'!F222</f>
        <v>116.411943582388</v>
      </c>
      <c r="E203" s="26" t="n">
        <f aca="false">parametros_recargas!$E$85*'Plan mensual'!G213+parametros_recargas!$F$85*'Plan mensual'!G214+parametros_recargas!$G$85*'Plan mensual'!G215+parametros_recargas!$H$85*'Plan mensual'!G216+parametros_recargas!$I$85*'Plan mensual'!G217+parametros_recargas!$J$85*'Plan mensual'!G218+parametros_recargas!$K$85*'Plan mensual'!G219+parametros_recargas!$L$85*'Plan mensual'!G220+parametros_recargas!$M$85*'Plan mensual'!G222</f>
        <v>127.354524433185</v>
      </c>
      <c r="F203" s="26" t="n">
        <f aca="false">parametros_recargas!$E$85*'Plan mensual'!H213+parametros_recargas!$F$85*'Plan mensual'!H214+parametros_recargas!$G$85*'Plan mensual'!H215+parametros_recargas!$H$85*'Plan mensual'!H216+parametros_recargas!$I$85*'Plan mensual'!H217+parametros_recargas!$J$85*'Plan mensual'!H218+parametros_recargas!$K$85*'Plan mensual'!H219+parametros_recargas!$L$85*'Plan mensual'!H220+parametros_recargas!$M$85*'Plan mensual'!H222</f>
        <v>128.226218619819</v>
      </c>
      <c r="G203" s="26" t="n">
        <f aca="false">parametros_recargas!$E$85*'Plan mensual'!I213+parametros_recargas!$F$85*'Plan mensual'!I214+parametros_recargas!$G$85*'Plan mensual'!I215+parametros_recargas!$H$85*'Plan mensual'!I216+parametros_recargas!$I$85*'Plan mensual'!I217+parametros_recargas!$J$85*'Plan mensual'!I218+parametros_recargas!$K$85*'Plan mensual'!I219+parametros_recargas!$L$85*'Plan mensual'!I220+parametros_recargas!$M$85*'Plan mensual'!I222</f>
        <v>127.053937881224</v>
      </c>
      <c r="H203" s="26" t="n">
        <f aca="false">parametros_recargas!$E$85*'Plan mensual'!J213+parametros_recargas!$F$85*'Plan mensual'!J214+parametros_recargas!$G$85*'Plan mensual'!J215+parametros_recargas!$H$85*'Plan mensual'!J216+parametros_recargas!$I$85*'Plan mensual'!J217+parametros_recargas!$J$85*'Plan mensual'!J218+parametros_recargas!$K$85*'Plan mensual'!J219+parametros_recargas!$L$85*'Plan mensual'!J220+parametros_recargas!$M$85*'Plan mensual'!J222</f>
        <v>114.222839097921</v>
      </c>
      <c r="I203" s="26" t="n">
        <f aca="false">parametros_recargas!$E$85*'Plan mensual'!K213+parametros_recargas!$F$85*'Plan mensual'!K214+parametros_recargas!$G$85*'Plan mensual'!K215+parametros_recargas!$H$85*'Plan mensual'!K216+parametros_recargas!$I$85*'Plan mensual'!K217+parametros_recargas!$J$85*'Plan mensual'!K218+parametros_recargas!$K$85*'Plan mensual'!K219+parametros_recargas!$L$85*'Plan mensual'!K220+parametros_recargas!$M$85*'Plan mensual'!K222</f>
        <v>115.246085960026</v>
      </c>
      <c r="J203" s="26" t="n">
        <f aca="false">parametros_recargas!$E$85*'Plan mensual'!L213+parametros_recargas!$F$85*'Plan mensual'!L214+parametros_recargas!$G$85*'Plan mensual'!L215+parametros_recargas!$H$85*'Plan mensual'!L216+parametros_recargas!$I$85*'Plan mensual'!L217+parametros_recargas!$J$85*'Plan mensual'!L218+parametros_recargas!$K$85*'Plan mensual'!L219+parametros_recargas!$L$85*'Plan mensual'!L220+parametros_recargas!$M$85*'Plan mensual'!L222</f>
        <v>116.274613710639</v>
      </c>
      <c r="K203" s="26" t="n">
        <f aca="false">parametros_recargas!$E$85*'Plan mensual'!M213+parametros_recargas!$F$85*'Plan mensual'!M214+parametros_recargas!$G$85*'Plan mensual'!M215+parametros_recargas!$H$85*'Plan mensual'!M216+parametros_recargas!$I$85*'Plan mensual'!M217+parametros_recargas!$J$85*'Plan mensual'!M218+parametros_recargas!$K$85*'Plan mensual'!M219+parametros_recargas!$L$85*'Plan mensual'!M220+parametros_recargas!$M$85*'Plan mensual'!M222</f>
        <v>116.274613710639</v>
      </c>
      <c r="L203" s="26" t="n">
        <f aca="false">parametros_recargas!$E$85*'Plan mensual'!N213+parametros_recargas!$F$85*'Plan mensual'!N214+parametros_recargas!$G$85*'Plan mensual'!N215+parametros_recargas!$H$85*'Plan mensual'!N216+parametros_recargas!$I$85*'Plan mensual'!N217+parametros_recargas!$J$85*'Plan mensual'!N218+parametros_recargas!$K$85*'Plan mensual'!N219+parametros_recargas!$L$85*'Plan mensual'!N220+parametros_recargas!$M$85*'Plan mensual'!N222</f>
        <v>136.938446806254</v>
      </c>
      <c r="M203" s="26" t="n">
        <f aca="false">parametros_recargas!$E$85*'Plan mensual'!O213+parametros_recargas!$F$85*'Plan mensual'!O214+parametros_recargas!$G$85*'Plan mensual'!O215+parametros_recargas!$H$85*'Plan mensual'!O216+parametros_recargas!$I$85*'Plan mensual'!O217+parametros_recargas!$J$85*'Plan mensual'!O218+parametros_recargas!$K$85*'Plan mensual'!O219+parametros_recargas!$L$85*'Plan mensual'!O220+parametros_recargas!$M$85*'Plan mensual'!O222</f>
        <v>159.646254827098</v>
      </c>
      <c r="N203" s="12" t="n">
        <f aca="false">SUM(B203:M203)</f>
        <v>1532.06541690224</v>
      </c>
      <c r="O203" s="27" t="n">
        <f aca="false">MAX(B203:M203)</f>
        <v>159.646254827098</v>
      </c>
      <c r="P203" s="16" t="n">
        <f aca="false">O203/parametros_recargas!$B$6</f>
        <v>1.06430836551398</v>
      </c>
    </row>
    <row r="204" customFormat="false" ht="15" hidden="false" customHeight="false" outlineLevel="0" collapsed="false">
      <c r="A204" s="6" t="str">
        <f aca="false">parametros_recargas!$B$86</f>
        <v>Prueba hidráulica</v>
      </c>
      <c r="B204" s="26" t="n">
        <f aca="false">parametros_recargas!$E$86*'Plan mensual'!D213+parametros_recargas!$F$86*'Plan mensual'!D214+parametros_recargas!$G$86*'Plan mensual'!D215+parametros_recargas!$H$86*'Plan mensual'!D216+parametros_recargas!$I$86*'Plan mensual'!D217+parametros_recargas!$J$86*'Plan mensual'!D218+parametros_recargas!$K$86*'Plan mensual'!D219+parametros_recargas!$L$86*'Plan mensual'!D220+parametros_recargas!$M$86*'Plan mensual'!D222</f>
        <v>4130.27504125957</v>
      </c>
      <c r="C204" s="26" t="n">
        <f aca="false">parametros_recargas!$E$86*'Plan mensual'!E213+parametros_recargas!$F$86*'Plan mensual'!E214+parametros_recargas!$G$86*'Plan mensual'!E215+parametros_recargas!$H$86*'Plan mensual'!E216+parametros_recargas!$I$86*'Plan mensual'!E217+parametros_recargas!$J$86*'Plan mensual'!E218+parametros_recargas!$K$86*'Plan mensual'!E219+parametros_recargas!$L$86*'Plan mensual'!E220+parametros_recargas!$M$86*'Plan mensual'!E222</f>
        <v>3612.9319594398</v>
      </c>
      <c r="D204" s="26" t="n">
        <f aca="false">parametros_recargas!$E$86*'Plan mensual'!F213+parametros_recargas!$F$86*'Plan mensual'!F214+parametros_recargas!$G$86*'Plan mensual'!F215+parametros_recargas!$H$86*'Plan mensual'!F216+parametros_recargas!$I$86*'Plan mensual'!F217+parametros_recargas!$J$86*'Plan mensual'!F218+parametros_recargas!$K$86*'Plan mensual'!F219+parametros_recargas!$L$86*'Plan mensual'!F220+parametros_recargas!$M$86*'Plan mensual'!F222</f>
        <v>3474.27327243259</v>
      </c>
      <c r="E204" s="26" t="n">
        <f aca="false">parametros_recargas!$E$86*'Plan mensual'!G213+parametros_recargas!$F$86*'Plan mensual'!G214+parametros_recargas!$G$86*'Plan mensual'!G215+parametros_recargas!$H$86*'Plan mensual'!G216+parametros_recargas!$I$86*'Plan mensual'!G217+parametros_recargas!$J$86*'Plan mensual'!G218+parametros_recargas!$K$86*'Plan mensual'!G219+parametros_recargas!$L$86*'Plan mensual'!G220+parametros_recargas!$M$86*'Plan mensual'!G222</f>
        <v>3837.55735260266</v>
      </c>
      <c r="F204" s="26" t="n">
        <f aca="false">parametros_recargas!$E$86*'Plan mensual'!H213+parametros_recargas!$F$86*'Plan mensual'!H214+parametros_recargas!$G$86*'Plan mensual'!H215+parametros_recargas!$H$86*'Plan mensual'!H216+parametros_recargas!$I$86*'Plan mensual'!H217+parametros_recargas!$J$86*'Plan mensual'!H218+parametros_recargas!$K$86*'Plan mensual'!H219+parametros_recargas!$L$86*'Plan mensual'!H220+parametros_recargas!$M$86*'Plan mensual'!H222</f>
        <v>3864.34344955246</v>
      </c>
      <c r="G204" s="26" t="n">
        <f aca="false">parametros_recargas!$E$86*'Plan mensual'!I213+parametros_recargas!$F$86*'Plan mensual'!I214+parametros_recargas!$G$86*'Plan mensual'!I215+parametros_recargas!$H$86*'Plan mensual'!I216+parametros_recargas!$I$86*'Plan mensual'!I217+parametros_recargas!$J$86*'Plan mensual'!I218+parametros_recargas!$K$86*'Plan mensual'!I219+parametros_recargas!$L$86*'Plan mensual'!I220+parametros_recargas!$M$86*'Plan mensual'!I222</f>
        <v>3820.88994536862</v>
      </c>
      <c r="H204" s="26" t="n">
        <f aca="false">parametros_recargas!$E$86*'Plan mensual'!J213+parametros_recargas!$F$86*'Plan mensual'!J214+parametros_recargas!$G$86*'Plan mensual'!J215+parametros_recargas!$H$86*'Plan mensual'!J216+parametros_recargas!$I$86*'Plan mensual'!J217+parametros_recargas!$J$86*'Plan mensual'!J218+parametros_recargas!$K$86*'Plan mensual'!J219+parametros_recargas!$L$86*'Plan mensual'!J220+parametros_recargas!$M$86*'Plan mensual'!J222</f>
        <v>3397.14508270071</v>
      </c>
      <c r="I204" s="26" t="n">
        <f aca="false">parametros_recargas!$E$86*'Plan mensual'!K213+parametros_recargas!$F$86*'Plan mensual'!K214+parametros_recargas!$G$86*'Plan mensual'!K215+parametros_recargas!$H$86*'Plan mensual'!K216+parametros_recargas!$I$86*'Plan mensual'!K217+parametros_recargas!$J$86*'Plan mensual'!K218+parametros_recargas!$K$86*'Plan mensual'!K219+parametros_recargas!$L$86*'Plan mensual'!K220+parametros_recargas!$M$86*'Plan mensual'!K222</f>
        <v>3425.53814332202</v>
      </c>
      <c r="J204" s="26" t="n">
        <f aca="false">parametros_recargas!$E$86*'Plan mensual'!L213+parametros_recargas!$F$86*'Plan mensual'!L214+parametros_recargas!$G$86*'Plan mensual'!L215+parametros_recargas!$H$86*'Plan mensual'!L216+parametros_recargas!$I$86*'Plan mensual'!L217+parametros_recargas!$J$86*'Plan mensual'!L218+parametros_recargas!$K$86*'Plan mensual'!L219+parametros_recargas!$L$86*'Plan mensual'!L220+parametros_recargas!$M$86*'Plan mensual'!L222</f>
        <v>3464.41901133584</v>
      </c>
      <c r="K204" s="26" t="n">
        <f aca="false">parametros_recargas!$E$86*'Plan mensual'!M213+parametros_recargas!$F$86*'Plan mensual'!M214+parametros_recargas!$G$86*'Plan mensual'!M215+parametros_recargas!$H$86*'Plan mensual'!M216+parametros_recargas!$I$86*'Plan mensual'!M217+parametros_recargas!$J$86*'Plan mensual'!M218+parametros_recargas!$K$86*'Plan mensual'!M219+parametros_recargas!$L$86*'Plan mensual'!M220+parametros_recargas!$M$86*'Plan mensual'!M222</f>
        <v>3464.41901133584</v>
      </c>
      <c r="L204" s="26" t="n">
        <f aca="false">parametros_recargas!$E$86*'Plan mensual'!N213+parametros_recargas!$F$86*'Plan mensual'!N214+parametros_recargas!$G$86*'Plan mensual'!N215+parametros_recargas!$H$86*'Plan mensual'!N216+parametros_recargas!$I$86*'Plan mensual'!N217+parametros_recargas!$J$86*'Plan mensual'!N218+parametros_recargas!$K$86*'Plan mensual'!N219+parametros_recargas!$L$86*'Plan mensual'!N220+parametros_recargas!$M$86*'Plan mensual'!N222</f>
        <v>3954.97599620581</v>
      </c>
      <c r="M204" s="26" t="n">
        <f aca="false">parametros_recargas!$E$86*'Plan mensual'!O213+parametros_recargas!$F$86*'Plan mensual'!O214+parametros_recargas!$G$86*'Plan mensual'!O215+parametros_recargas!$H$86*'Plan mensual'!O216+parametros_recargas!$I$86*'Plan mensual'!O217+parametros_recargas!$J$86*'Plan mensual'!O218+parametros_recargas!$K$86*'Plan mensual'!O219+parametros_recargas!$L$86*'Plan mensual'!O220+parametros_recargas!$M$86*'Plan mensual'!O222</f>
        <v>4515.77258220942</v>
      </c>
      <c r="N204" s="12" t="n">
        <f aca="false">SUM(B204:M204)</f>
        <v>44962.5408477654</v>
      </c>
      <c r="O204" s="27" t="n">
        <f aca="false">MAX(B204:M204)</f>
        <v>4515.77258220942</v>
      </c>
      <c r="P204" s="16" t="n">
        <f aca="false">O204/parametros_recargas!$B$6</f>
        <v>30.1051505480628</v>
      </c>
    </row>
    <row r="205" customFormat="false" ht="15" hidden="false" customHeight="false" outlineLevel="0" collapsed="false">
      <c r="A205" s="6" t="str">
        <f aca="false">parametros_recargas!$B$87</f>
        <v>Secado</v>
      </c>
      <c r="B205" s="26" t="n">
        <f aca="false">parametros_recargas!$E$87*'Plan mensual'!D213+parametros_recargas!$F$87*'Plan mensual'!D214+parametros_recargas!$G$87*'Plan mensual'!D215+parametros_recargas!$H$87*'Plan mensual'!D216+parametros_recargas!$I$87*'Plan mensual'!D217+parametros_recargas!$J$87*'Plan mensual'!D218+parametros_recargas!$K$87*'Plan mensual'!D219+parametros_recargas!$L$87*'Plan mensual'!D220+parametros_recargas!$M$87*'Plan mensual'!D222</f>
        <v>3934.31654777209</v>
      </c>
      <c r="C205" s="26" t="n">
        <f aca="false">parametros_recargas!$E$87*'Plan mensual'!E213+parametros_recargas!$F$87*'Plan mensual'!E214+parametros_recargas!$G$87*'Plan mensual'!E215+parametros_recargas!$H$87*'Plan mensual'!E216+parametros_recargas!$I$87*'Plan mensual'!E217+parametros_recargas!$J$87*'Plan mensual'!E218+parametros_recargas!$K$87*'Plan mensual'!E219+parametros_recargas!$L$87*'Plan mensual'!E220+parametros_recargas!$M$87*'Plan mensual'!E222</f>
        <v>3396.27974267953</v>
      </c>
      <c r="D205" s="26" t="n">
        <f aca="false">parametros_recargas!$E$87*'Plan mensual'!F213+parametros_recargas!$F$87*'Plan mensual'!F214+parametros_recargas!$G$87*'Plan mensual'!F215+parametros_recargas!$H$87*'Plan mensual'!F216+parametros_recargas!$I$87*'Plan mensual'!F217+parametros_recargas!$J$87*'Plan mensual'!F218+parametros_recargas!$K$87*'Plan mensual'!F219+parametros_recargas!$L$87*'Plan mensual'!F220+parametros_recargas!$M$87*'Plan mensual'!F222</f>
        <v>3202.72062644637</v>
      </c>
      <c r="E205" s="26" t="n">
        <f aca="false">parametros_recargas!$E$87*'Plan mensual'!G213+parametros_recargas!$F$87*'Plan mensual'!G214+parametros_recargas!$G$87*'Plan mensual'!G215+parametros_recargas!$H$87*'Plan mensual'!G216+parametros_recargas!$I$87*'Plan mensual'!G217+parametros_recargas!$J$87*'Plan mensual'!G218+parametros_recargas!$K$87*'Plan mensual'!G219+parametros_recargas!$L$87*'Plan mensual'!G220+parametros_recargas!$M$87*'Plan mensual'!G222</f>
        <v>3532.7539625102</v>
      </c>
      <c r="F205" s="26" t="n">
        <f aca="false">parametros_recargas!$E$87*'Plan mensual'!H213+parametros_recargas!$F$87*'Plan mensual'!H214+parametros_recargas!$G$87*'Plan mensual'!H215+parametros_recargas!$H$87*'Plan mensual'!H216+parametros_recargas!$I$87*'Plan mensual'!H217+parametros_recargas!$J$87*'Plan mensual'!H218+parametros_recargas!$K$87*'Plan mensual'!H219+parametros_recargas!$L$87*'Plan mensual'!H220+parametros_recargas!$M$87*'Plan mensual'!H222</f>
        <v>3556.81370731348</v>
      </c>
      <c r="G205" s="26" t="n">
        <f aca="false">parametros_recargas!$E$87*'Plan mensual'!I213+parametros_recargas!$F$87*'Plan mensual'!I214+parametros_recargas!$G$87*'Plan mensual'!I215+parametros_recargas!$H$87*'Plan mensual'!I216+parametros_recargas!$I$87*'Plan mensual'!I217+parametros_recargas!$J$87*'Plan mensual'!I218+parametros_recargas!$K$87*'Plan mensual'!I219+parametros_recargas!$L$87*'Plan mensual'!I220+parametros_recargas!$M$87*'Plan mensual'!I222</f>
        <v>3520.0105004362</v>
      </c>
      <c r="H205" s="26" t="n">
        <f aca="false">parametros_recargas!$E$87*'Plan mensual'!J213+parametros_recargas!$F$87*'Plan mensual'!J214+parametros_recargas!$G$87*'Plan mensual'!J215+parametros_recargas!$H$87*'Plan mensual'!J216+parametros_recargas!$I$87*'Plan mensual'!J217+parametros_recargas!$J$87*'Plan mensual'!J218+parametros_recargas!$K$87*'Plan mensual'!J219+parametros_recargas!$L$87*'Plan mensual'!J220+parametros_recargas!$M$87*'Plan mensual'!J222</f>
        <v>3136.95360865303</v>
      </c>
      <c r="I205" s="26" t="n">
        <f aca="false">parametros_recargas!$E$87*'Plan mensual'!K213+parametros_recargas!$F$87*'Plan mensual'!K214+parametros_recargas!$G$87*'Plan mensual'!K215+parametros_recargas!$H$87*'Plan mensual'!K216+parametros_recargas!$I$87*'Plan mensual'!K217+parametros_recargas!$J$87*'Plan mensual'!K218+parametros_recargas!$K$87*'Plan mensual'!K219+parametros_recargas!$L$87*'Plan mensual'!K220+parametros_recargas!$M$87*'Plan mensual'!K222</f>
        <v>3162.78934950279</v>
      </c>
      <c r="J205" s="26" t="n">
        <f aca="false">parametros_recargas!$E$87*'Plan mensual'!L213+parametros_recargas!$F$87*'Plan mensual'!L214+parametros_recargas!$G$87*'Plan mensual'!L215+parametros_recargas!$H$87*'Plan mensual'!L216+parametros_recargas!$I$87*'Plan mensual'!L217+parametros_recargas!$J$87*'Plan mensual'!L218+parametros_recargas!$K$87*'Plan mensual'!L219+parametros_recargas!$L$87*'Plan mensual'!L220+parametros_recargas!$M$87*'Plan mensual'!L222</f>
        <v>3195.24763571907</v>
      </c>
      <c r="K205" s="26" t="n">
        <f aca="false">parametros_recargas!$E$87*'Plan mensual'!M213+parametros_recargas!$F$87*'Plan mensual'!M214+parametros_recargas!$G$87*'Plan mensual'!M215+parametros_recargas!$H$87*'Plan mensual'!M216+parametros_recargas!$I$87*'Plan mensual'!M217+parametros_recargas!$J$87*'Plan mensual'!M218+parametros_recargas!$K$87*'Plan mensual'!M219+parametros_recargas!$L$87*'Plan mensual'!M220+parametros_recargas!$M$87*'Plan mensual'!M222</f>
        <v>3195.24763571907</v>
      </c>
      <c r="L205" s="26" t="n">
        <f aca="false">parametros_recargas!$E$87*'Plan mensual'!N213+parametros_recargas!$F$87*'Plan mensual'!N214+parametros_recargas!$G$87*'Plan mensual'!N215+parametros_recargas!$H$87*'Plan mensual'!N216+parametros_recargas!$I$87*'Plan mensual'!N217+parametros_recargas!$J$87*'Plan mensual'!N218+parametros_recargas!$K$87*'Plan mensual'!N219+parametros_recargas!$L$87*'Plan mensual'!N220+parametros_recargas!$M$87*'Plan mensual'!N222</f>
        <v>3709.22469600835</v>
      </c>
      <c r="M205" s="26" t="n">
        <f aca="false">parametros_recargas!$E$87*'Plan mensual'!O213+parametros_recargas!$F$87*'Plan mensual'!O214+parametros_recargas!$G$87*'Plan mensual'!O215+parametros_recargas!$H$87*'Plan mensual'!O216+parametros_recargas!$I$87*'Plan mensual'!O217+parametros_recargas!$J$87*'Plan mensual'!O218+parametros_recargas!$K$87*'Plan mensual'!O219+parametros_recargas!$L$87*'Plan mensual'!O220+parametros_recargas!$M$87*'Plan mensual'!O222</f>
        <v>4284.06470797819</v>
      </c>
      <c r="N205" s="12" t="n">
        <f aca="false">SUM(B205:M205)</f>
        <v>41826.4227207384</v>
      </c>
      <c r="O205" s="27" t="n">
        <f aca="false">MAX(B205:M205)</f>
        <v>4284.06470797819</v>
      </c>
      <c r="P205" s="16" t="n">
        <f aca="false">O205/parametros_recargas!$B$6</f>
        <v>28.5604313865213</v>
      </c>
    </row>
    <row r="206" customFormat="false" ht="15" hidden="false" customHeight="false" outlineLevel="0" collapsed="false">
      <c r="A206" s="6" t="str">
        <f aca="false">parametros_recargas!$B$88</f>
        <v>Inspección interior con videoscopio</v>
      </c>
      <c r="B206" s="26" t="n">
        <f aca="false">parametros_recargas!$E$88*'Plan mensual'!D213+parametros_recargas!$F$88*'Plan mensual'!D214+parametros_recargas!$G$88*'Plan mensual'!D215+parametros_recargas!$H$88*'Plan mensual'!D216+parametros_recargas!$I$88*'Plan mensual'!D217+parametros_recargas!$J$88*'Plan mensual'!D218+parametros_recargas!$K$88*'Plan mensual'!D219+parametros_recargas!$L$88*'Plan mensual'!D220+parametros_recargas!$M$88*'Plan mensual'!D222</f>
        <v>3934.31654777209</v>
      </c>
      <c r="C206" s="26" t="n">
        <f aca="false">parametros_recargas!$E$88*'Plan mensual'!E213+parametros_recargas!$F$88*'Plan mensual'!E214+parametros_recargas!$G$88*'Plan mensual'!E215+parametros_recargas!$H$88*'Plan mensual'!E216+parametros_recargas!$I$88*'Plan mensual'!E217+parametros_recargas!$J$88*'Plan mensual'!E218+parametros_recargas!$K$88*'Plan mensual'!E219+parametros_recargas!$L$88*'Plan mensual'!E220+parametros_recargas!$M$88*'Plan mensual'!E222</f>
        <v>3396.27974267953</v>
      </c>
      <c r="D206" s="26" t="n">
        <f aca="false">parametros_recargas!$E$88*'Plan mensual'!F213+parametros_recargas!$F$88*'Plan mensual'!F214+parametros_recargas!$G$88*'Plan mensual'!F215+parametros_recargas!$H$88*'Plan mensual'!F216+parametros_recargas!$I$88*'Plan mensual'!F217+parametros_recargas!$J$88*'Plan mensual'!F218+parametros_recargas!$K$88*'Plan mensual'!F219+parametros_recargas!$L$88*'Plan mensual'!F220+parametros_recargas!$M$88*'Plan mensual'!F222</f>
        <v>3202.72062644637</v>
      </c>
      <c r="E206" s="26" t="n">
        <f aca="false">parametros_recargas!$E$88*'Plan mensual'!G213+parametros_recargas!$F$88*'Plan mensual'!G214+parametros_recargas!$G$88*'Plan mensual'!G215+parametros_recargas!$H$88*'Plan mensual'!G216+parametros_recargas!$I$88*'Plan mensual'!G217+parametros_recargas!$J$88*'Plan mensual'!G218+parametros_recargas!$K$88*'Plan mensual'!G219+parametros_recargas!$L$88*'Plan mensual'!G220+parametros_recargas!$M$88*'Plan mensual'!G222</f>
        <v>3532.7539625102</v>
      </c>
      <c r="F206" s="26" t="n">
        <f aca="false">parametros_recargas!$E$88*'Plan mensual'!H213+parametros_recargas!$F$88*'Plan mensual'!H214+parametros_recargas!$G$88*'Plan mensual'!H215+parametros_recargas!$H$88*'Plan mensual'!H216+parametros_recargas!$I$88*'Plan mensual'!H217+parametros_recargas!$J$88*'Plan mensual'!H218+parametros_recargas!$K$88*'Plan mensual'!H219+parametros_recargas!$L$88*'Plan mensual'!H220+parametros_recargas!$M$88*'Plan mensual'!H222</f>
        <v>3556.81370731348</v>
      </c>
      <c r="G206" s="26" t="n">
        <f aca="false">parametros_recargas!$E$88*'Plan mensual'!I213+parametros_recargas!$F$88*'Plan mensual'!I214+parametros_recargas!$G$88*'Plan mensual'!I215+parametros_recargas!$H$88*'Plan mensual'!I216+parametros_recargas!$I$88*'Plan mensual'!I217+parametros_recargas!$J$88*'Plan mensual'!I218+parametros_recargas!$K$88*'Plan mensual'!I219+parametros_recargas!$L$88*'Plan mensual'!I220+parametros_recargas!$M$88*'Plan mensual'!I222</f>
        <v>3520.0105004362</v>
      </c>
      <c r="H206" s="26" t="n">
        <f aca="false">parametros_recargas!$E$88*'Plan mensual'!J213+parametros_recargas!$F$88*'Plan mensual'!J214+parametros_recargas!$G$88*'Plan mensual'!J215+parametros_recargas!$H$88*'Plan mensual'!J216+parametros_recargas!$I$88*'Plan mensual'!J217+parametros_recargas!$J$88*'Plan mensual'!J218+parametros_recargas!$K$88*'Plan mensual'!J219+parametros_recargas!$L$88*'Plan mensual'!J220+parametros_recargas!$M$88*'Plan mensual'!J222</f>
        <v>3136.95360865303</v>
      </c>
      <c r="I206" s="26" t="n">
        <f aca="false">parametros_recargas!$E$88*'Plan mensual'!K213+parametros_recargas!$F$88*'Plan mensual'!K214+parametros_recargas!$G$88*'Plan mensual'!K215+parametros_recargas!$H$88*'Plan mensual'!K216+parametros_recargas!$I$88*'Plan mensual'!K217+parametros_recargas!$J$88*'Plan mensual'!K218+parametros_recargas!$K$88*'Plan mensual'!K219+parametros_recargas!$L$88*'Plan mensual'!K220+parametros_recargas!$M$88*'Plan mensual'!K222</f>
        <v>3162.78934950279</v>
      </c>
      <c r="J206" s="26" t="n">
        <f aca="false">parametros_recargas!$E$88*'Plan mensual'!L213+parametros_recargas!$F$88*'Plan mensual'!L214+parametros_recargas!$G$88*'Plan mensual'!L215+parametros_recargas!$H$88*'Plan mensual'!L216+parametros_recargas!$I$88*'Plan mensual'!L217+parametros_recargas!$J$88*'Plan mensual'!L218+parametros_recargas!$K$88*'Plan mensual'!L219+parametros_recargas!$L$88*'Plan mensual'!L220+parametros_recargas!$M$88*'Plan mensual'!L222</f>
        <v>3195.24763571907</v>
      </c>
      <c r="K206" s="26" t="n">
        <f aca="false">parametros_recargas!$E$88*'Plan mensual'!M213+parametros_recargas!$F$88*'Plan mensual'!M214+parametros_recargas!$G$88*'Plan mensual'!M215+parametros_recargas!$H$88*'Plan mensual'!M216+parametros_recargas!$I$88*'Plan mensual'!M217+parametros_recargas!$J$88*'Plan mensual'!M218+parametros_recargas!$K$88*'Plan mensual'!M219+parametros_recargas!$L$88*'Plan mensual'!M220+parametros_recargas!$M$88*'Plan mensual'!M222</f>
        <v>3195.24763571907</v>
      </c>
      <c r="L206" s="26" t="n">
        <f aca="false">parametros_recargas!$E$88*'Plan mensual'!N213+parametros_recargas!$F$88*'Plan mensual'!N214+parametros_recargas!$G$88*'Plan mensual'!N215+parametros_recargas!$H$88*'Plan mensual'!N216+parametros_recargas!$I$88*'Plan mensual'!N217+parametros_recargas!$J$88*'Plan mensual'!N218+parametros_recargas!$K$88*'Plan mensual'!N219+parametros_recargas!$L$88*'Plan mensual'!N220+parametros_recargas!$M$88*'Plan mensual'!N222</f>
        <v>3709.22469600835</v>
      </c>
      <c r="M206" s="26" t="n">
        <f aca="false">parametros_recargas!$E$88*'Plan mensual'!O213+parametros_recargas!$F$88*'Plan mensual'!O214+parametros_recargas!$G$88*'Plan mensual'!O215+parametros_recargas!$H$88*'Plan mensual'!O216+parametros_recargas!$I$88*'Plan mensual'!O217+parametros_recargas!$J$88*'Plan mensual'!O218+parametros_recargas!$K$88*'Plan mensual'!O219+parametros_recargas!$L$88*'Plan mensual'!O220+parametros_recargas!$M$88*'Plan mensual'!O222</f>
        <v>4284.06470797819</v>
      </c>
      <c r="N206" s="12" t="n">
        <f aca="false">SUM(B206:M206)</f>
        <v>41826.4227207384</v>
      </c>
      <c r="O206" s="27" t="n">
        <f aca="false">MAX(B206:M206)</f>
        <v>4284.06470797819</v>
      </c>
      <c r="P206" s="16" t="n">
        <f aca="false">O206/parametros_recargas!$B$6</f>
        <v>28.5604313865213</v>
      </c>
    </row>
    <row r="207" customFormat="false" ht="15" hidden="false" customHeight="false" outlineLevel="0" collapsed="false">
      <c r="A207" s="6" t="str">
        <f aca="false">parametros_recargas!$B$89</f>
        <v>Pintura</v>
      </c>
      <c r="B207" s="26" t="n">
        <f aca="false">parametros_recargas!$E$89*'Plan mensual'!D213+parametros_recargas!$F$89*'Plan mensual'!D214+parametros_recargas!$G$89*'Plan mensual'!D215+parametros_recargas!$H$89*'Plan mensual'!D216+parametros_recargas!$I$89*'Plan mensual'!D217+parametros_recargas!$J$89*'Plan mensual'!D218+parametros_recargas!$K$89*'Plan mensual'!D219+parametros_recargas!$L$89*'Plan mensual'!D220+parametros_recargas!$M$89*'Plan mensual'!D222</f>
        <v>2367.39094267626</v>
      </c>
      <c r="C207" s="26" t="n">
        <f aca="false">parametros_recargas!$E$89*'Plan mensual'!E213+parametros_recargas!$F$89*'Plan mensual'!E214+parametros_recargas!$G$89*'Plan mensual'!E215+parametros_recargas!$H$89*'Plan mensual'!E216+parametros_recargas!$I$89*'Plan mensual'!E217+parametros_recargas!$J$89*'Plan mensual'!E218+parametros_recargas!$K$89*'Plan mensual'!E219+parametros_recargas!$L$89*'Plan mensual'!E220+parametros_recargas!$M$89*'Plan mensual'!E222</f>
        <v>2056.98509358439</v>
      </c>
      <c r="D207" s="26" t="n">
        <f aca="false">parametros_recargas!$E$89*'Plan mensual'!F213+parametros_recargas!$F$89*'Plan mensual'!F214+parametros_recargas!$G$89*'Plan mensual'!F215+parametros_recargas!$H$89*'Plan mensual'!F216+parametros_recargas!$I$89*'Plan mensual'!F217+parametros_recargas!$J$89*'Plan mensual'!F218+parametros_recargas!$K$89*'Plan mensual'!F219+parametros_recargas!$L$89*'Plan mensual'!F220+parametros_recargas!$M$89*'Plan mensual'!F222</f>
        <v>1958.97615534878</v>
      </c>
      <c r="E207" s="26" t="n">
        <f aca="false">parametros_recargas!$E$89*'Plan mensual'!G213+parametros_recargas!$F$89*'Plan mensual'!G214+parametros_recargas!$G$89*'Plan mensual'!G215+parametros_recargas!$H$89*'Plan mensual'!G216+parametros_recargas!$I$89*'Plan mensual'!G217+parametros_recargas!$J$89*'Plan mensual'!G218+parametros_recargas!$K$89*'Plan mensual'!G219+parametros_recargas!$L$89*'Plan mensual'!G220+parametros_recargas!$M$89*'Plan mensual'!G222</f>
        <v>2162.62331961187</v>
      </c>
      <c r="F207" s="26" t="n">
        <f aca="false">parametros_recargas!$E$89*'Plan mensual'!H213+parametros_recargas!$F$89*'Plan mensual'!H214+parametros_recargas!$G$89*'Plan mensual'!H215+parametros_recargas!$H$89*'Plan mensual'!H216+parametros_recargas!$I$89*'Plan mensual'!H217+parametros_recargas!$J$89*'Plan mensual'!H218+parametros_recargas!$K$89*'Plan mensual'!H219+parametros_recargas!$L$89*'Plan mensual'!H220+parametros_recargas!$M$89*'Plan mensual'!H222</f>
        <v>2177.52858674676</v>
      </c>
      <c r="G207" s="26" t="n">
        <f aca="false">parametros_recargas!$E$89*'Plan mensual'!I213+parametros_recargas!$F$89*'Plan mensual'!I214+parametros_recargas!$G$89*'Plan mensual'!I215+parametros_recargas!$H$89*'Plan mensual'!I216+parametros_recargas!$I$89*'Plan mensual'!I217+parametros_recargas!$J$89*'Plan mensual'!I218+parametros_recargas!$K$89*'Plan mensual'!I219+parametros_recargas!$L$89*'Plan mensual'!I220+parametros_recargas!$M$89*'Plan mensual'!I222</f>
        <v>2154.00160394542</v>
      </c>
      <c r="H207" s="26" t="n">
        <f aca="false">parametros_recargas!$E$89*'Plan mensual'!J213+parametros_recargas!$F$89*'Plan mensual'!J214+parametros_recargas!$G$89*'Plan mensual'!J215+parametros_recargas!$H$89*'Plan mensual'!J216+parametros_recargas!$I$89*'Plan mensual'!J217+parametros_recargas!$J$89*'Plan mensual'!J218+parametros_recargas!$K$89*'Plan mensual'!J219+parametros_recargas!$L$89*'Plan mensual'!J220+parametros_recargas!$M$89*'Plan mensual'!J222</f>
        <v>1917.10587267433</v>
      </c>
      <c r="I207" s="26" t="n">
        <f aca="false">parametros_recargas!$E$89*'Plan mensual'!K213+parametros_recargas!$F$89*'Plan mensual'!K214+parametros_recargas!$G$89*'Plan mensual'!K215+parametros_recargas!$H$89*'Plan mensual'!K216+parametros_recargas!$I$89*'Plan mensual'!K217+parametros_recargas!$J$89*'Plan mensual'!K218+parametros_recargas!$K$89*'Plan mensual'!K219+parametros_recargas!$L$89*'Plan mensual'!K220+parametros_recargas!$M$89*'Plan mensual'!K222</f>
        <v>1932.98297742272</v>
      </c>
      <c r="J207" s="26" t="n">
        <f aca="false">parametros_recargas!$E$89*'Plan mensual'!L213+parametros_recargas!$F$89*'Plan mensual'!L214+parametros_recargas!$G$89*'Plan mensual'!L215+parametros_recargas!$H$89*'Plan mensual'!L216+parametros_recargas!$I$89*'Plan mensual'!L217+parametros_recargas!$J$89*'Plan mensual'!L218+parametros_recargas!$K$89*'Plan mensual'!L219+parametros_recargas!$L$89*'Plan mensual'!L220+parametros_recargas!$M$89*'Plan mensual'!L222</f>
        <v>1953.88611102827</v>
      </c>
      <c r="K207" s="26" t="n">
        <f aca="false">parametros_recargas!$E$89*'Plan mensual'!M213+parametros_recargas!$F$89*'Plan mensual'!M214+parametros_recargas!$G$89*'Plan mensual'!M215+parametros_recargas!$H$89*'Plan mensual'!M216+parametros_recargas!$I$89*'Plan mensual'!M217+parametros_recargas!$J$89*'Plan mensual'!M218+parametros_recargas!$K$89*'Plan mensual'!M219+parametros_recargas!$L$89*'Plan mensual'!M220+parametros_recargas!$M$89*'Plan mensual'!M222</f>
        <v>1953.88611102827</v>
      </c>
      <c r="L207" s="26" t="n">
        <f aca="false">parametros_recargas!$E$89*'Plan mensual'!N213+parametros_recargas!$F$89*'Plan mensual'!N214+parametros_recargas!$G$89*'Plan mensual'!N215+parametros_recargas!$H$89*'Plan mensual'!N216+parametros_recargas!$I$89*'Plan mensual'!N217+parametros_recargas!$J$89*'Plan mensual'!N218+parametros_recargas!$K$89*'Plan mensual'!N219+parametros_recargas!$L$89*'Plan mensual'!N220+parametros_recargas!$M$89*'Plan mensual'!N222</f>
        <v>2249.38669298524</v>
      </c>
      <c r="M207" s="26" t="n">
        <f aca="false">parametros_recargas!$E$89*'Plan mensual'!O213+parametros_recargas!$F$89*'Plan mensual'!O214+parametros_recargas!$G$89*'Plan mensual'!O215+parametros_recargas!$H$89*'Plan mensual'!O216+parametros_recargas!$I$89*'Plan mensual'!O217+parametros_recargas!$J$89*'Plan mensual'!O218+parametros_recargas!$K$89*'Plan mensual'!O219+parametros_recargas!$L$89*'Plan mensual'!O220+parametros_recargas!$M$89*'Plan mensual'!O222</f>
        <v>2583.31952487844</v>
      </c>
      <c r="N207" s="12" t="n">
        <f aca="false">SUM(B207:M207)</f>
        <v>25468.0729919308</v>
      </c>
      <c r="O207" s="27" t="n">
        <f aca="false">MAX(B207:M207)</f>
        <v>2583.31952487844</v>
      </c>
      <c r="P207" s="16" t="n">
        <f aca="false">O207/parametros_recargas!$B$6</f>
        <v>17.2221301658563</v>
      </c>
    </row>
    <row r="208" customFormat="false" ht="15" hidden="false" customHeight="false" outlineLevel="0" collapsed="false">
      <c r="A208" s="6" t="str">
        <f aca="false">parametros_recargas!$B$90</f>
        <v>Carga de polvo ABC, BC y Clase D</v>
      </c>
      <c r="B208" s="26" t="n">
        <f aca="false">parametros_recargas!$E$90*'Plan mensual'!D213+parametros_recargas!$F$90*'Plan mensual'!D214+parametros_recargas!$G$90*'Plan mensual'!D215+parametros_recargas!$H$90*'Plan mensual'!D216+parametros_recargas!$I$90*'Plan mensual'!D217+parametros_recargas!$J$90*'Plan mensual'!D218+parametros_recargas!$K$90*'Plan mensual'!D219+parametros_recargas!$L$90*'Plan mensual'!D220+parametros_recargas!$M$90*'Plan mensual'!D222</f>
        <v>14297.1760021756</v>
      </c>
      <c r="C208" s="26" t="n">
        <f aca="false">parametros_recargas!$E$90*'Plan mensual'!E213+parametros_recargas!$F$90*'Plan mensual'!E214+parametros_recargas!$G$90*'Plan mensual'!E215+parametros_recargas!$H$90*'Plan mensual'!E216+parametros_recargas!$I$90*'Plan mensual'!E217+parametros_recargas!$J$90*'Plan mensual'!E218+parametros_recargas!$K$90*'Plan mensual'!E219+parametros_recargas!$L$90*'Plan mensual'!E220+parametros_recargas!$M$90*'Plan mensual'!E222</f>
        <v>12223.6395038084</v>
      </c>
      <c r="D208" s="26" t="n">
        <f aca="false">parametros_recargas!$E$90*'Plan mensual'!F213+parametros_recargas!$F$90*'Plan mensual'!F214+parametros_recargas!$G$90*'Plan mensual'!F215+parametros_recargas!$H$90*'Plan mensual'!F216+parametros_recargas!$I$90*'Plan mensual'!F217+parametros_recargas!$J$90*'Plan mensual'!F218+parametros_recargas!$K$90*'Plan mensual'!F219+parametros_recargas!$L$90*'Plan mensual'!F220+parametros_recargas!$M$90*'Plan mensual'!F222</f>
        <v>11261.604125183</v>
      </c>
      <c r="E208" s="26" t="n">
        <f aca="false">parametros_recargas!$E$90*'Plan mensual'!G213+parametros_recargas!$F$90*'Plan mensual'!G214+parametros_recargas!$G$90*'Plan mensual'!G215+parametros_recargas!$H$90*'Plan mensual'!G216+parametros_recargas!$I$90*'Plan mensual'!G217+parametros_recargas!$J$90*'Plan mensual'!G218+parametros_recargas!$K$90*'Plan mensual'!G219+parametros_recargas!$L$90*'Plan mensual'!G220+parametros_recargas!$M$90*'Plan mensual'!G222</f>
        <v>12313.0886653511</v>
      </c>
      <c r="F208" s="26" t="n">
        <f aca="false">parametros_recargas!$E$90*'Plan mensual'!H213+parametros_recargas!$F$90*'Plan mensual'!H214+parametros_recargas!$G$90*'Plan mensual'!H215+parametros_recargas!$H$90*'Plan mensual'!H216+parametros_recargas!$I$90*'Plan mensual'!H217+parametros_recargas!$J$90*'Plan mensual'!H218+parametros_recargas!$K$90*'Plan mensual'!H219+parametros_recargas!$L$90*'Plan mensual'!H220+parametros_recargas!$M$90*'Plan mensual'!H222</f>
        <v>12395.9197113892</v>
      </c>
      <c r="G208" s="26" t="n">
        <f aca="false">parametros_recargas!$E$90*'Plan mensual'!I213+parametros_recargas!$F$90*'Plan mensual'!I214+parametros_recargas!$G$90*'Plan mensual'!I215+parametros_recargas!$H$90*'Plan mensual'!I216+parametros_recargas!$I$90*'Plan mensual'!I217+parametros_recargas!$J$90*'Plan mensual'!I218+parametros_recargas!$K$90*'Plan mensual'!I219+parametros_recargas!$L$90*'Plan mensual'!I220+parametros_recargas!$M$90*'Plan mensual'!I222</f>
        <v>12281.9028043292</v>
      </c>
      <c r="H208" s="26" t="n">
        <f aca="false">parametros_recargas!$E$90*'Plan mensual'!J213+parametros_recargas!$F$90*'Plan mensual'!J214+parametros_recargas!$G$90*'Plan mensual'!J215+parametros_recargas!$H$90*'Plan mensual'!J216+parametros_recargas!$I$90*'Plan mensual'!J217+parametros_recargas!$J$90*'Plan mensual'!J218+parametros_recargas!$K$90*'Plan mensual'!J219+parametros_recargas!$L$90*'Plan mensual'!J220+parametros_recargas!$M$90*'Plan mensual'!J222</f>
        <v>11050.3196853853</v>
      </c>
      <c r="I208" s="26" t="n">
        <f aca="false">parametros_recargas!$E$90*'Plan mensual'!K213+parametros_recargas!$F$90*'Plan mensual'!K214+parametros_recargas!$G$90*'Plan mensual'!K215+parametros_recargas!$H$90*'Plan mensual'!K216+parametros_recargas!$I$90*'Plan mensual'!K217+parametros_recargas!$J$90*'Plan mensual'!K218+parametros_recargas!$K$90*'Plan mensual'!K219+parametros_recargas!$L$90*'Plan mensual'!K220+parametros_recargas!$M$90*'Plan mensual'!K222</f>
        <v>11148.6445934622</v>
      </c>
      <c r="J208" s="26" t="n">
        <f aca="false">parametros_recargas!$E$90*'Plan mensual'!L213+parametros_recargas!$F$90*'Plan mensual'!L214+parametros_recargas!$G$90*'Plan mensual'!L215+parametros_recargas!$H$90*'Plan mensual'!L216+parametros_recargas!$I$90*'Plan mensual'!L217+parametros_recargas!$J$90*'Plan mensual'!L218+parametros_recargas!$K$90*'Plan mensual'!L219+parametros_recargas!$L$90*'Plan mensual'!L220+parametros_recargas!$M$90*'Plan mensual'!L222</f>
        <v>11247.2568623371</v>
      </c>
      <c r="K208" s="26" t="n">
        <f aca="false">parametros_recargas!$E$90*'Plan mensual'!M213+parametros_recargas!$F$90*'Plan mensual'!M214+parametros_recargas!$G$90*'Plan mensual'!M215+parametros_recargas!$H$90*'Plan mensual'!M216+parametros_recargas!$I$90*'Plan mensual'!M217+parametros_recargas!$J$90*'Plan mensual'!M218+parametros_recargas!$K$90*'Plan mensual'!M219+parametros_recargas!$L$90*'Plan mensual'!M220+parametros_recargas!$M$90*'Plan mensual'!M222</f>
        <v>11245.8856912489</v>
      </c>
      <c r="L208" s="26" t="n">
        <f aca="false">parametros_recargas!$E$90*'Plan mensual'!N213+parametros_recargas!$F$90*'Plan mensual'!N214+parametros_recargas!$G$90*'Plan mensual'!N215+parametros_recargas!$H$90*'Plan mensual'!N216+parametros_recargas!$I$90*'Plan mensual'!N217+parametros_recargas!$J$90*'Plan mensual'!N218+parametros_recargas!$K$90*'Plan mensual'!N219+parametros_recargas!$L$90*'Plan mensual'!N220+parametros_recargas!$M$90*'Plan mensual'!N222</f>
        <v>13230.3448869458</v>
      </c>
      <c r="M208" s="26" t="n">
        <f aca="false">parametros_recargas!$E$90*'Plan mensual'!O213+parametros_recargas!$F$90*'Plan mensual'!O214+parametros_recargas!$G$90*'Plan mensual'!O215+parametros_recargas!$H$90*'Plan mensual'!O216+parametros_recargas!$I$90*'Plan mensual'!O217+parametros_recargas!$J$90*'Plan mensual'!O218+parametros_recargas!$K$90*'Plan mensual'!O219+parametros_recargas!$L$90*'Plan mensual'!O220+parametros_recargas!$M$90*'Plan mensual'!O222</f>
        <v>15420.2511212848</v>
      </c>
      <c r="N208" s="12" t="n">
        <f aca="false">SUM(B208:M208)</f>
        <v>148116.033652901</v>
      </c>
      <c r="O208" s="27" t="n">
        <f aca="false">MAX(B208:M208)</f>
        <v>15420.2511212848</v>
      </c>
      <c r="P208" s="16" t="n">
        <f aca="false">O208/parametros_recargas!$B$6</f>
        <v>102.801674141899</v>
      </c>
    </row>
    <row r="209" customFormat="false" ht="15" hidden="false" customHeight="false" outlineLevel="0" collapsed="false">
      <c r="A209" s="6" t="str">
        <f aca="false">parametros_recargas!$B$91</f>
        <v>Ensamblaje y marbete — recinto</v>
      </c>
      <c r="B209" s="26" t="n">
        <f aca="false">parametros_recargas!$E$91*'Plan mensual'!D213+parametros_recargas!$F$91*'Plan mensual'!D214+parametros_recargas!$G$91*'Plan mensual'!D215+parametros_recargas!$H$91*'Plan mensual'!D216+parametros_recargas!$I$91*'Plan mensual'!D217+parametros_recargas!$J$91*'Plan mensual'!D218+parametros_recargas!$K$91*'Plan mensual'!D219+parametros_recargas!$L$91*'Plan mensual'!D220+parametros_recargas!$M$91*'Plan mensual'!D222</f>
        <v>14274.1482964551</v>
      </c>
      <c r="C209" s="26" t="n">
        <f aca="false">parametros_recargas!$E$91*'Plan mensual'!E213+parametros_recargas!$F$91*'Plan mensual'!E214+parametros_recargas!$G$91*'Plan mensual'!E215+parametros_recargas!$H$91*'Plan mensual'!E216+parametros_recargas!$I$91*'Plan mensual'!E217+parametros_recargas!$J$91*'Plan mensual'!E218+parametros_recargas!$K$91*'Plan mensual'!E219+parametros_recargas!$L$91*'Plan mensual'!E220+parametros_recargas!$M$91*'Plan mensual'!E222</f>
        <v>12200.6117980879</v>
      </c>
      <c r="D209" s="26" t="n">
        <f aca="false">parametros_recargas!$E$91*'Plan mensual'!F213+parametros_recargas!$F$91*'Plan mensual'!F214+parametros_recargas!$G$91*'Plan mensual'!F215+parametros_recargas!$H$91*'Plan mensual'!F216+parametros_recargas!$I$91*'Plan mensual'!F217+parametros_recargas!$J$91*'Plan mensual'!F218+parametros_recargas!$K$91*'Plan mensual'!F219+parametros_recargas!$L$91*'Plan mensual'!F220+parametros_recargas!$M$91*'Plan mensual'!F222</f>
        <v>11238.5764194626</v>
      </c>
      <c r="E209" s="26" t="n">
        <f aca="false">parametros_recargas!$E$91*'Plan mensual'!G213+parametros_recargas!$F$91*'Plan mensual'!G214+parametros_recargas!$G$91*'Plan mensual'!G215+parametros_recargas!$H$91*'Plan mensual'!G216+parametros_recargas!$I$91*'Plan mensual'!G217+parametros_recargas!$J$91*'Plan mensual'!G218+parametros_recargas!$K$91*'Plan mensual'!G219+parametros_recargas!$L$91*'Plan mensual'!G220+parametros_recargas!$M$91*'Plan mensual'!G222</f>
        <v>12290.0609596306</v>
      </c>
      <c r="F209" s="26" t="n">
        <f aca="false">parametros_recargas!$E$91*'Plan mensual'!H213+parametros_recargas!$F$91*'Plan mensual'!H214+parametros_recargas!$G$91*'Plan mensual'!H215+parametros_recargas!$H$91*'Plan mensual'!H216+parametros_recargas!$I$91*'Plan mensual'!H217+parametros_recargas!$J$91*'Plan mensual'!H218+parametros_recargas!$K$91*'Plan mensual'!H219+parametros_recargas!$L$91*'Plan mensual'!H220+parametros_recargas!$M$91*'Plan mensual'!H222</f>
        <v>12372.8920056687</v>
      </c>
      <c r="G209" s="26" t="n">
        <f aca="false">parametros_recargas!$E$91*'Plan mensual'!I213+parametros_recargas!$F$91*'Plan mensual'!I214+parametros_recargas!$G$91*'Plan mensual'!I215+parametros_recargas!$H$91*'Plan mensual'!I216+parametros_recargas!$I$91*'Plan mensual'!I217+parametros_recargas!$J$91*'Plan mensual'!I218+parametros_recargas!$K$91*'Plan mensual'!I219+parametros_recargas!$L$91*'Plan mensual'!I220+parametros_recargas!$M$91*'Plan mensual'!I222</f>
        <v>12258.8750986087</v>
      </c>
      <c r="H209" s="26" t="n">
        <f aca="false">parametros_recargas!$E$91*'Plan mensual'!J213+parametros_recargas!$F$91*'Plan mensual'!J214+parametros_recargas!$G$91*'Plan mensual'!J215+parametros_recargas!$H$91*'Plan mensual'!J216+parametros_recargas!$I$91*'Plan mensual'!J217+parametros_recargas!$J$91*'Plan mensual'!J218+parametros_recargas!$K$91*'Plan mensual'!J219+parametros_recargas!$L$91*'Plan mensual'!J220+parametros_recargas!$M$91*'Plan mensual'!J222</f>
        <v>11027.2919796648</v>
      </c>
      <c r="I209" s="26" t="n">
        <f aca="false">parametros_recargas!$E$91*'Plan mensual'!K213+parametros_recargas!$F$91*'Plan mensual'!K214+parametros_recargas!$G$91*'Plan mensual'!K215+parametros_recargas!$H$91*'Plan mensual'!K216+parametros_recargas!$I$91*'Plan mensual'!K217+parametros_recargas!$J$91*'Plan mensual'!K218+parametros_recargas!$K$91*'Plan mensual'!K219+parametros_recargas!$L$91*'Plan mensual'!K220+parametros_recargas!$M$91*'Plan mensual'!K222</f>
        <v>11125.6168877417</v>
      </c>
      <c r="J209" s="26" t="n">
        <f aca="false">parametros_recargas!$E$91*'Plan mensual'!L213+parametros_recargas!$F$91*'Plan mensual'!L214+parametros_recargas!$G$91*'Plan mensual'!L215+parametros_recargas!$H$91*'Plan mensual'!L216+parametros_recargas!$I$91*'Plan mensual'!L217+parametros_recargas!$J$91*'Plan mensual'!L218+parametros_recargas!$K$91*'Plan mensual'!L219+parametros_recargas!$L$91*'Plan mensual'!L220+parametros_recargas!$M$91*'Plan mensual'!L222</f>
        <v>11224.2291566166</v>
      </c>
      <c r="K209" s="26" t="n">
        <f aca="false">parametros_recargas!$E$91*'Plan mensual'!M213+parametros_recargas!$F$91*'Plan mensual'!M214+parametros_recargas!$G$91*'Plan mensual'!M215+parametros_recargas!$H$91*'Plan mensual'!M216+parametros_recargas!$I$91*'Plan mensual'!M217+parametros_recargas!$J$91*'Plan mensual'!M218+parametros_recargas!$K$91*'Plan mensual'!M219+parametros_recargas!$L$91*'Plan mensual'!M220+parametros_recargas!$M$91*'Plan mensual'!M222</f>
        <v>11222.8579855284</v>
      </c>
      <c r="L209" s="26" t="n">
        <f aca="false">parametros_recargas!$E$91*'Plan mensual'!N213+parametros_recargas!$F$91*'Plan mensual'!N214+parametros_recargas!$G$91*'Plan mensual'!N215+parametros_recargas!$H$91*'Plan mensual'!N216+parametros_recargas!$I$91*'Plan mensual'!N217+parametros_recargas!$J$91*'Plan mensual'!N218+parametros_recargas!$K$91*'Plan mensual'!N219+parametros_recargas!$L$91*'Plan mensual'!N220+parametros_recargas!$M$91*'Plan mensual'!N222</f>
        <v>13207.3171812253</v>
      </c>
      <c r="M209" s="26" t="n">
        <f aca="false">parametros_recargas!$E$91*'Plan mensual'!O213+parametros_recargas!$F$91*'Plan mensual'!O214+parametros_recargas!$G$91*'Plan mensual'!O215+parametros_recargas!$H$91*'Plan mensual'!O216+parametros_recargas!$I$91*'Plan mensual'!O217+parametros_recargas!$J$91*'Plan mensual'!O218+parametros_recargas!$K$91*'Plan mensual'!O219+parametros_recargas!$L$91*'Plan mensual'!O220+parametros_recargas!$M$91*'Plan mensual'!O222</f>
        <v>15397.2234155643</v>
      </c>
      <c r="N209" s="12" t="n">
        <f aca="false">SUM(B209:M209)</f>
        <v>147839.701184255</v>
      </c>
      <c r="O209" s="27" t="n">
        <f aca="false">MAX(B209:M209)</f>
        <v>15397.2234155643</v>
      </c>
      <c r="P209" s="16" t="n">
        <f aca="false">O209/parametros_recargas!$B$6</f>
        <v>102.648156103762</v>
      </c>
    </row>
    <row r="210" customFormat="false" ht="15" hidden="false" customHeight="false" outlineLevel="0" collapsed="false">
      <c r="A210" s="6" t="str">
        <f aca="false">parametros_recargas!$B$92</f>
        <v>Presurización — recinto</v>
      </c>
      <c r="B210" s="26" t="n">
        <f aca="false">parametros_recargas!$E$92*'Plan mensual'!D213+parametros_recargas!$F$92*'Plan mensual'!D214+parametros_recargas!$G$92*'Plan mensual'!D215+parametros_recargas!$H$92*'Plan mensual'!D216+parametros_recargas!$I$92*'Plan mensual'!D217+parametros_recargas!$J$92*'Plan mensual'!D218+parametros_recargas!$K$92*'Plan mensual'!D219+parametros_recargas!$L$92*'Plan mensual'!D220+parametros_recargas!$M$92*'Plan mensual'!D222</f>
        <v>14274.1482964551</v>
      </c>
      <c r="C210" s="26" t="n">
        <f aca="false">parametros_recargas!$E$92*'Plan mensual'!E213+parametros_recargas!$F$92*'Plan mensual'!E214+parametros_recargas!$G$92*'Plan mensual'!E215+parametros_recargas!$H$92*'Plan mensual'!E216+parametros_recargas!$I$92*'Plan mensual'!E217+parametros_recargas!$J$92*'Plan mensual'!E218+parametros_recargas!$K$92*'Plan mensual'!E219+parametros_recargas!$L$92*'Plan mensual'!E220+parametros_recargas!$M$92*'Plan mensual'!E222</f>
        <v>12200.6117980879</v>
      </c>
      <c r="D210" s="26" t="n">
        <f aca="false">parametros_recargas!$E$92*'Plan mensual'!F213+parametros_recargas!$F$92*'Plan mensual'!F214+parametros_recargas!$G$92*'Plan mensual'!F215+parametros_recargas!$H$92*'Plan mensual'!F216+parametros_recargas!$I$92*'Plan mensual'!F217+parametros_recargas!$J$92*'Plan mensual'!F218+parametros_recargas!$K$92*'Plan mensual'!F219+parametros_recargas!$L$92*'Plan mensual'!F220+parametros_recargas!$M$92*'Plan mensual'!F222</f>
        <v>11238.5764194626</v>
      </c>
      <c r="E210" s="26" t="n">
        <f aca="false">parametros_recargas!$E$92*'Plan mensual'!G213+parametros_recargas!$F$92*'Plan mensual'!G214+parametros_recargas!$G$92*'Plan mensual'!G215+parametros_recargas!$H$92*'Plan mensual'!G216+parametros_recargas!$I$92*'Plan mensual'!G217+parametros_recargas!$J$92*'Plan mensual'!G218+parametros_recargas!$K$92*'Plan mensual'!G219+parametros_recargas!$L$92*'Plan mensual'!G220+parametros_recargas!$M$92*'Plan mensual'!G222</f>
        <v>12290.0609596306</v>
      </c>
      <c r="F210" s="26" t="n">
        <f aca="false">parametros_recargas!$E$92*'Plan mensual'!H213+parametros_recargas!$F$92*'Plan mensual'!H214+parametros_recargas!$G$92*'Plan mensual'!H215+parametros_recargas!$H$92*'Plan mensual'!H216+parametros_recargas!$I$92*'Plan mensual'!H217+parametros_recargas!$J$92*'Plan mensual'!H218+parametros_recargas!$K$92*'Plan mensual'!H219+parametros_recargas!$L$92*'Plan mensual'!H220+parametros_recargas!$M$92*'Plan mensual'!H222</f>
        <v>12372.8920056687</v>
      </c>
      <c r="G210" s="26" t="n">
        <f aca="false">parametros_recargas!$E$92*'Plan mensual'!I213+parametros_recargas!$F$92*'Plan mensual'!I214+parametros_recargas!$G$92*'Plan mensual'!I215+parametros_recargas!$H$92*'Plan mensual'!I216+parametros_recargas!$I$92*'Plan mensual'!I217+parametros_recargas!$J$92*'Plan mensual'!I218+parametros_recargas!$K$92*'Plan mensual'!I219+parametros_recargas!$L$92*'Plan mensual'!I220+parametros_recargas!$M$92*'Plan mensual'!I222</f>
        <v>12258.8750986087</v>
      </c>
      <c r="H210" s="26" t="n">
        <f aca="false">parametros_recargas!$E$92*'Plan mensual'!J213+parametros_recargas!$F$92*'Plan mensual'!J214+parametros_recargas!$G$92*'Plan mensual'!J215+parametros_recargas!$H$92*'Plan mensual'!J216+parametros_recargas!$I$92*'Plan mensual'!J217+parametros_recargas!$J$92*'Plan mensual'!J218+parametros_recargas!$K$92*'Plan mensual'!J219+parametros_recargas!$L$92*'Plan mensual'!J220+parametros_recargas!$M$92*'Plan mensual'!J222</f>
        <v>11027.2919796648</v>
      </c>
      <c r="I210" s="26" t="n">
        <f aca="false">parametros_recargas!$E$92*'Plan mensual'!K213+parametros_recargas!$F$92*'Plan mensual'!K214+parametros_recargas!$G$92*'Plan mensual'!K215+parametros_recargas!$H$92*'Plan mensual'!K216+parametros_recargas!$I$92*'Plan mensual'!K217+parametros_recargas!$J$92*'Plan mensual'!K218+parametros_recargas!$K$92*'Plan mensual'!K219+parametros_recargas!$L$92*'Plan mensual'!K220+parametros_recargas!$M$92*'Plan mensual'!K222</f>
        <v>11125.6168877417</v>
      </c>
      <c r="J210" s="26" t="n">
        <f aca="false">parametros_recargas!$E$92*'Plan mensual'!L213+parametros_recargas!$F$92*'Plan mensual'!L214+parametros_recargas!$G$92*'Plan mensual'!L215+parametros_recargas!$H$92*'Plan mensual'!L216+parametros_recargas!$I$92*'Plan mensual'!L217+parametros_recargas!$J$92*'Plan mensual'!L218+parametros_recargas!$K$92*'Plan mensual'!L219+parametros_recargas!$L$92*'Plan mensual'!L220+parametros_recargas!$M$92*'Plan mensual'!L222</f>
        <v>11224.2291566166</v>
      </c>
      <c r="K210" s="26" t="n">
        <f aca="false">parametros_recargas!$E$92*'Plan mensual'!M213+parametros_recargas!$F$92*'Plan mensual'!M214+parametros_recargas!$G$92*'Plan mensual'!M215+parametros_recargas!$H$92*'Plan mensual'!M216+parametros_recargas!$I$92*'Plan mensual'!M217+parametros_recargas!$J$92*'Plan mensual'!M218+parametros_recargas!$K$92*'Plan mensual'!M219+parametros_recargas!$L$92*'Plan mensual'!M220+parametros_recargas!$M$92*'Plan mensual'!M222</f>
        <v>11222.8579855284</v>
      </c>
      <c r="L210" s="26" t="n">
        <f aca="false">parametros_recargas!$E$92*'Plan mensual'!N213+parametros_recargas!$F$92*'Plan mensual'!N214+parametros_recargas!$G$92*'Plan mensual'!N215+parametros_recargas!$H$92*'Plan mensual'!N216+parametros_recargas!$I$92*'Plan mensual'!N217+parametros_recargas!$J$92*'Plan mensual'!N218+parametros_recargas!$K$92*'Plan mensual'!N219+parametros_recargas!$L$92*'Plan mensual'!N220+parametros_recargas!$M$92*'Plan mensual'!N222</f>
        <v>13207.3171812253</v>
      </c>
      <c r="M210" s="26" t="n">
        <f aca="false">parametros_recargas!$E$92*'Plan mensual'!O213+parametros_recargas!$F$92*'Plan mensual'!O214+parametros_recargas!$G$92*'Plan mensual'!O215+parametros_recargas!$H$92*'Plan mensual'!O216+parametros_recargas!$I$92*'Plan mensual'!O217+parametros_recargas!$J$92*'Plan mensual'!O218+parametros_recargas!$K$92*'Plan mensual'!O219+parametros_recargas!$L$92*'Plan mensual'!O220+parametros_recargas!$M$92*'Plan mensual'!O222</f>
        <v>15397.2234155643</v>
      </c>
      <c r="N210" s="12" t="n">
        <f aca="false">SUM(B210:M210)</f>
        <v>147839.701184255</v>
      </c>
      <c r="O210" s="27" t="n">
        <f aca="false">MAX(B210:M210)</f>
        <v>15397.2234155643</v>
      </c>
      <c r="P210" s="16" t="n">
        <f aca="false">O210/parametros_recargas!$B$6</f>
        <v>102.648156103762</v>
      </c>
    </row>
    <row r="211" customFormat="false" ht="15" hidden="false" customHeight="false" outlineLevel="0" collapsed="false">
      <c r="A211" s="6" t="str">
        <f aca="false">parametros_recargas!$B$93</f>
        <v>Ensamblaje y presurización — zona general</v>
      </c>
      <c r="B211" s="26" t="n">
        <f aca="false">parametros_recargas!$E$93*'Plan mensual'!D213+parametros_recargas!$F$93*'Plan mensual'!D214+parametros_recargas!$G$93*'Plan mensual'!D215+parametros_recargas!$H$93*'Plan mensual'!D216+parametros_recargas!$I$93*'Plan mensual'!D217+parametros_recargas!$J$93*'Plan mensual'!D218+parametros_recargas!$K$93*'Plan mensual'!D219+parametros_recargas!$L$93*'Plan mensual'!D220+parametros_recargas!$M$93*'Plan mensual'!D222</f>
        <v>892.397090224272</v>
      </c>
      <c r="C211" s="26" t="n">
        <f aca="false">parametros_recargas!$E$93*'Plan mensual'!E213+parametros_recargas!$F$93*'Plan mensual'!E214+parametros_recargas!$G$93*'Plan mensual'!E215+parametros_recargas!$H$93*'Plan mensual'!E216+parametros_recargas!$I$93*'Plan mensual'!E217+parametros_recargas!$J$93*'Plan mensual'!E218+parametros_recargas!$K$93*'Plan mensual'!E219+parametros_recargas!$L$93*'Plan mensual'!E220+parametros_recargas!$M$93*'Plan mensual'!E222</f>
        <v>892.397090224272</v>
      </c>
      <c r="D211" s="26" t="n">
        <f aca="false">parametros_recargas!$E$93*'Plan mensual'!F213+parametros_recargas!$F$93*'Plan mensual'!F214+parametros_recargas!$G$93*'Plan mensual'!F215+parametros_recargas!$H$93*'Plan mensual'!F216+parametros_recargas!$I$93*'Plan mensual'!F217+parametros_recargas!$J$93*'Plan mensual'!F218+parametros_recargas!$K$93*'Plan mensual'!F219+parametros_recargas!$L$93*'Plan mensual'!F220+parametros_recargas!$M$93*'Plan mensual'!F222</f>
        <v>1042.92521722226</v>
      </c>
      <c r="E211" s="26" t="n">
        <f aca="false">parametros_recargas!$E$93*'Plan mensual'!G213+parametros_recargas!$F$93*'Plan mensual'!G214+parametros_recargas!$G$93*'Plan mensual'!G215+parametros_recargas!$H$93*'Plan mensual'!G216+parametros_recargas!$I$93*'Plan mensual'!G217+parametros_recargas!$J$93*'Plan mensual'!G218+parametros_recargas!$K$93*'Plan mensual'!G219+parametros_recargas!$L$93*'Plan mensual'!G220+parametros_recargas!$M$93*'Plan mensual'!G222</f>
        <v>1190.47584307174</v>
      </c>
      <c r="F211" s="26" t="n">
        <f aca="false">parametros_recargas!$E$93*'Plan mensual'!H213+parametros_recargas!$F$93*'Plan mensual'!H214+parametros_recargas!$G$93*'Plan mensual'!H215+parametros_recargas!$H$93*'Plan mensual'!H216+parametros_recargas!$I$93*'Plan mensual'!H217+parametros_recargas!$J$93*'Plan mensual'!H218+parametros_recargas!$K$93*'Plan mensual'!H219+parametros_recargas!$L$93*'Plan mensual'!H220+parametros_recargas!$M$93*'Plan mensual'!H222</f>
        <v>1199.69372866615</v>
      </c>
      <c r="G211" s="26" t="n">
        <f aca="false">parametros_recargas!$E$93*'Plan mensual'!I213+parametros_recargas!$F$93*'Plan mensual'!I214+parametros_recargas!$G$93*'Plan mensual'!I215+parametros_recargas!$H$93*'Plan mensual'!I216+parametros_recargas!$I$93*'Plan mensual'!I217+parametros_recargas!$J$93*'Plan mensual'!I218+parametros_recargas!$K$93*'Plan mensual'!I219+parametros_recargas!$L$93*'Plan mensual'!I220+parametros_recargas!$M$93*'Plan mensual'!I222</f>
        <v>1176.38487442375</v>
      </c>
      <c r="H211" s="26" t="n">
        <f aca="false">parametros_recargas!$E$93*'Plan mensual'!J213+parametros_recargas!$F$93*'Plan mensual'!J214+parametros_recargas!$G$93*'Plan mensual'!J215+parametros_recargas!$H$93*'Plan mensual'!J216+parametros_recargas!$I$93*'Plan mensual'!J217+parametros_recargas!$J$93*'Plan mensual'!J218+parametros_recargas!$K$93*'Plan mensual'!J219+parametros_recargas!$L$93*'Plan mensual'!J220+parametros_recargas!$M$93*'Plan mensual'!J222</f>
        <v>1005.00286316475</v>
      </c>
      <c r="I211" s="26" t="n">
        <f aca="false">parametros_recargas!$E$93*'Plan mensual'!K213+parametros_recargas!$F$93*'Plan mensual'!K214+parametros_recargas!$G$93*'Plan mensual'!K215+parametros_recargas!$H$93*'Plan mensual'!K216+parametros_recargas!$I$93*'Plan mensual'!K217+parametros_recargas!$J$93*'Plan mensual'!K218+parametros_recargas!$K$93*'Plan mensual'!K219+parametros_recargas!$L$93*'Plan mensual'!K220+parametros_recargas!$M$93*'Plan mensual'!K222</f>
        <v>1011.76577877777</v>
      </c>
      <c r="J211" s="26" t="n">
        <f aca="false">parametros_recargas!$E$93*'Plan mensual'!L213+parametros_recargas!$F$93*'Plan mensual'!L214+parametros_recargas!$G$93*'Plan mensual'!L215+parametros_recargas!$H$93*'Plan mensual'!L216+parametros_recargas!$I$93*'Plan mensual'!L217+parametros_recargas!$J$93*'Plan mensual'!L218+parametros_recargas!$K$93*'Plan mensual'!L219+parametros_recargas!$L$93*'Plan mensual'!L220+parametros_recargas!$M$93*'Plan mensual'!L222</f>
        <v>1033.5053226814</v>
      </c>
      <c r="K211" s="26" t="n">
        <f aca="false">parametros_recargas!$E$93*'Plan mensual'!M213+parametros_recargas!$F$93*'Plan mensual'!M214+parametros_recargas!$G$93*'Plan mensual'!M215+parametros_recargas!$H$93*'Plan mensual'!M216+parametros_recargas!$I$93*'Plan mensual'!M217+parametros_recargas!$J$93*'Plan mensual'!M218+parametros_recargas!$K$93*'Plan mensual'!M219+parametros_recargas!$L$93*'Plan mensual'!M220+parametros_recargas!$M$93*'Plan mensual'!M222</f>
        <v>1033.5053226814</v>
      </c>
      <c r="L211" s="26" t="n">
        <f aca="false">parametros_recargas!$E$93*'Plan mensual'!N213+parametros_recargas!$F$93*'Plan mensual'!N214+parametros_recargas!$G$93*'Plan mensual'!N215+parametros_recargas!$H$93*'Plan mensual'!N216+parametros_recargas!$I$93*'Plan mensual'!N217+parametros_recargas!$J$93*'Plan mensual'!N218+parametros_recargas!$K$93*'Plan mensual'!N219+parametros_recargas!$L$93*'Plan mensual'!N220+parametros_recargas!$M$93*'Plan mensual'!N222</f>
        <v>1024.28743708699</v>
      </c>
      <c r="M211" s="26" t="n">
        <f aca="false">parametros_recargas!$E$93*'Plan mensual'!O213+parametros_recargas!$F$93*'Plan mensual'!O214+parametros_recargas!$G$93*'Plan mensual'!O215+parametros_recargas!$H$93*'Plan mensual'!O216+parametros_recargas!$I$93*'Plan mensual'!O217+parametros_recargas!$J$93*'Plan mensual'!O218+parametros_recargas!$K$93*'Plan mensual'!O219+parametros_recargas!$L$93*'Plan mensual'!O220+parametros_recargas!$M$93*'Plan mensual'!O222</f>
        <v>1047.59629132939</v>
      </c>
      <c r="N211" s="12" t="n">
        <f aca="false">SUM(B211:M211)</f>
        <v>12549.9368595542</v>
      </c>
      <c r="O211" s="27" t="n">
        <f aca="false">MAX(B211:M211)</f>
        <v>1199.69372866615</v>
      </c>
      <c r="P211" s="16" t="n">
        <f aca="false">O211/parametros_recargas!$B$6</f>
        <v>7.99795819110765</v>
      </c>
    </row>
    <row r="212" customFormat="false" ht="15" hidden="false" customHeight="false" outlineLevel="0" collapsed="false">
      <c r="A212" s="6" t="str">
        <f aca="false">parametros_recargas!$B$94</f>
        <v>Control de peso (CO₂ y halogenados sin recarga)</v>
      </c>
      <c r="B212" s="26" t="n">
        <f aca="false">parametros_recargas!$E$94*'Plan mensual'!D213+parametros_recargas!$F$94*'Plan mensual'!D214+parametros_recargas!$G$94*'Plan mensual'!D215+parametros_recargas!$H$94*'Plan mensual'!D216+parametros_recargas!$I$94*'Plan mensual'!D217+parametros_recargas!$J$94*'Plan mensual'!D218+parametros_recargas!$K$94*'Plan mensual'!D219+parametros_recargas!$L$94*'Plan mensual'!D220+parametros_recargas!$M$94*'Plan mensual'!D222</f>
        <v>595.015118876268</v>
      </c>
      <c r="C212" s="26" t="n">
        <f aca="false">parametros_recargas!$E$94*'Plan mensual'!E213+parametros_recargas!$F$94*'Plan mensual'!E214+parametros_recargas!$G$94*'Plan mensual'!E215+parametros_recargas!$H$94*'Plan mensual'!E216+parametros_recargas!$I$94*'Plan mensual'!E217+parametros_recargas!$J$94*'Plan mensual'!E218+parametros_recargas!$K$94*'Plan mensual'!E219+parametros_recargas!$L$94*'Plan mensual'!E220+parametros_recargas!$M$94*'Plan mensual'!E222</f>
        <v>595.015118876268</v>
      </c>
      <c r="D212" s="26" t="n">
        <f aca="false">parametros_recargas!$E$94*'Plan mensual'!F213+parametros_recargas!$F$94*'Plan mensual'!F214+parametros_recargas!$G$94*'Plan mensual'!F215+parametros_recargas!$H$94*'Plan mensual'!F216+parametros_recargas!$I$94*'Plan mensual'!F217+parametros_recargas!$J$94*'Plan mensual'!F218+parametros_recargas!$K$94*'Plan mensual'!F219+parametros_recargas!$L$94*'Plan mensual'!F220+parametros_recargas!$M$94*'Plan mensual'!F222</f>
        <v>743.173022104187</v>
      </c>
      <c r="E212" s="26" t="n">
        <f aca="false">parametros_recargas!$E$94*'Plan mensual'!G213+parametros_recargas!$F$94*'Plan mensual'!G214+parametros_recargas!$G$94*'Plan mensual'!G215+parametros_recargas!$H$94*'Plan mensual'!G216+parametros_recargas!$I$94*'Plan mensual'!G217+parametros_recargas!$J$94*'Plan mensual'!G218+parametros_recargas!$K$94*'Plan mensual'!G219+parametros_recargas!$L$94*'Plan mensual'!G220+parametros_recargas!$M$94*'Plan mensual'!G222</f>
        <v>890.456146716546</v>
      </c>
      <c r="F212" s="26" t="n">
        <f aca="false">parametros_recargas!$E$94*'Plan mensual'!H213+parametros_recargas!$F$94*'Plan mensual'!H214+parametros_recargas!$G$94*'Plan mensual'!H215+parametros_recargas!$H$94*'Plan mensual'!H216+parametros_recargas!$I$94*'Plan mensual'!H217+parametros_recargas!$J$94*'Plan mensual'!H218+parametros_recargas!$K$94*'Plan mensual'!H219+parametros_recargas!$L$94*'Plan mensual'!H220+parametros_recargas!$M$94*'Plan mensual'!H222</f>
        <v>896.388340083301</v>
      </c>
      <c r="G212" s="26" t="n">
        <f aca="false">parametros_recargas!$E$94*'Plan mensual'!I213+parametros_recargas!$F$94*'Plan mensual'!I214+parametros_recargas!$G$94*'Plan mensual'!I215+parametros_recargas!$H$94*'Plan mensual'!I216+parametros_recargas!$I$94*'Plan mensual'!I217+parametros_recargas!$J$94*'Plan mensual'!I218+parametros_recargas!$K$94*'Plan mensual'!I219+parametros_recargas!$L$94*'Plan mensual'!I220+parametros_recargas!$M$94*'Plan mensual'!I222</f>
        <v>876.848519719316</v>
      </c>
      <c r="H212" s="26" t="n">
        <f aca="false">parametros_recargas!$E$94*'Plan mensual'!J213+parametros_recargas!$F$94*'Plan mensual'!J214+parametros_recargas!$G$94*'Plan mensual'!J215+parametros_recargas!$H$94*'Plan mensual'!J216+parametros_recargas!$I$94*'Plan mensual'!J217+parametros_recargas!$J$94*'Plan mensual'!J218+parametros_recargas!$K$94*'Plan mensual'!J219+parametros_recargas!$L$94*'Plan mensual'!J220+parametros_recargas!$M$94*'Plan mensual'!J222</f>
        <v>714.377701144756</v>
      </c>
      <c r="I212" s="26" t="n">
        <f aca="false">parametros_recargas!$E$94*'Plan mensual'!K213+parametros_recargas!$F$94*'Plan mensual'!K214+parametros_recargas!$G$94*'Plan mensual'!K215+parametros_recargas!$H$94*'Plan mensual'!K216+parametros_recargas!$I$94*'Plan mensual'!K217+parametros_recargas!$J$94*'Plan mensual'!K218+parametros_recargas!$K$94*'Plan mensual'!K219+parametros_recargas!$L$94*'Plan mensual'!K220+parametros_recargas!$M$94*'Plan mensual'!K222</f>
        <v>715.082989494167</v>
      </c>
      <c r="J212" s="26" t="n">
        <f aca="false">parametros_recargas!$E$94*'Plan mensual'!L213+parametros_recargas!$F$94*'Plan mensual'!L214+parametros_recargas!$G$94*'Plan mensual'!L215+parametros_recargas!$H$94*'Plan mensual'!L216+parametros_recargas!$I$94*'Plan mensual'!L217+parametros_recargas!$J$94*'Plan mensual'!L218+parametros_recargas!$K$94*'Plan mensual'!L219+parametros_recargas!$L$94*'Plan mensual'!L220+parametros_recargas!$M$94*'Plan mensual'!L222</f>
        <v>732.6638620693</v>
      </c>
      <c r="K212" s="26" t="n">
        <f aca="false">parametros_recargas!$E$94*'Plan mensual'!M213+parametros_recargas!$F$94*'Plan mensual'!M214+parametros_recargas!$G$94*'Plan mensual'!M215+parametros_recargas!$H$94*'Plan mensual'!M216+parametros_recargas!$I$94*'Plan mensual'!M217+parametros_recargas!$J$94*'Plan mensual'!M218+parametros_recargas!$K$94*'Plan mensual'!M219+parametros_recargas!$L$94*'Plan mensual'!M220+parametros_recargas!$M$94*'Plan mensual'!M222</f>
        <v>732.6638620693</v>
      </c>
      <c r="L212" s="26" t="n">
        <f aca="false">parametros_recargas!$E$94*'Plan mensual'!N213+parametros_recargas!$F$94*'Plan mensual'!N214+parametros_recargas!$G$94*'Plan mensual'!N215+parametros_recargas!$H$94*'Plan mensual'!N216+parametros_recargas!$I$94*'Plan mensual'!N217+parametros_recargas!$J$94*'Plan mensual'!N218+parametros_recargas!$K$94*'Plan mensual'!N219+parametros_recargas!$L$94*'Plan mensual'!N220+parametros_recargas!$M$94*'Plan mensual'!N222</f>
        <v>726.731668702544</v>
      </c>
      <c r="M212" s="26" t="n">
        <f aca="false">parametros_recargas!$E$94*'Plan mensual'!O213+parametros_recargas!$F$94*'Plan mensual'!O214+parametros_recargas!$G$94*'Plan mensual'!O215+parametros_recargas!$H$94*'Plan mensual'!O216+parametros_recargas!$I$94*'Plan mensual'!O217+parametros_recargas!$J$94*'Plan mensual'!O218+parametros_recargas!$K$94*'Plan mensual'!O219+parametros_recargas!$L$94*'Plan mensual'!O220+parametros_recargas!$M$94*'Plan mensual'!O222</f>
        <v>746.271489066529</v>
      </c>
      <c r="N212" s="12" t="n">
        <f aca="false">SUM(B212:M212)</f>
        <v>8964.68783892248</v>
      </c>
      <c r="O212" s="27" t="n">
        <f aca="false">MAX(B212:M212)</f>
        <v>896.388340083301</v>
      </c>
      <c r="P212" s="16" t="n">
        <f aca="false">O212/parametros_recargas!$B$6</f>
        <v>5.975922267222</v>
      </c>
    </row>
    <row r="213" customFormat="false" ht="15" hidden="false" customHeight="false" outlineLevel="0" collapsed="false">
      <c r="A213" s="6" t="str">
        <f aca="false">parametros_recargas!$B$95</f>
        <v>Ensayo de pérdidas</v>
      </c>
      <c r="B213" s="26" t="n">
        <f aca="false">parametros_recargas!$E$95*'Plan mensual'!D213+parametros_recargas!$F$95*'Plan mensual'!D214+parametros_recargas!$G$95*'Plan mensual'!D215+parametros_recargas!$H$95*'Plan mensual'!D216+parametros_recargas!$I$95*'Plan mensual'!D217+parametros_recargas!$J$95*'Plan mensual'!D218+parametros_recargas!$K$95*'Plan mensual'!D219+parametros_recargas!$L$95*'Plan mensual'!D220+parametros_recargas!$M$95*'Plan mensual'!D222</f>
        <v>15804.9677387576</v>
      </c>
      <c r="C213" s="26" t="n">
        <f aca="false">parametros_recargas!$E$95*'Plan mensual'!E213+parametros_recargas!$F$95*'Plan mensual'!E214+parametros_recargas!$G$95*'Plan mensual'!E215+parametros_recargas!$H$95*'Plan mensual'!E216+parametros_recargas!$I$95*'Plan mensual'!E217+parametros_recargas!$J$95*'Plan mensual'!E218+parametros_recargas!$K$95*'Plan mensual'!E219+parametros_recargas!$L$95*'Plan mensual'!E220+parametros_recargas!$M$95*'Plan mensual'!E222</f>
        <v>13731.4312403904</v>
      </c>
      <c r="D213" s="26" t="n">
        <f aca="false">parametros_recargas!$E$95*'Plan mensual'!F213+parametros_recargas!$F$95*'Plan mensual'!F214+parametros_recargas!$G$95*'Plan mensual'!F215+parametros_recargas!$H$95*'Plan mensual'!F216+parametros_recargas!$I$95*'Plan mensual'!F217+parametros_recargas!$J$95*'Plan mensual'!F218+parametros_recargas!$K$95*'Plan mensual'!F219+parametros_recargas!$L$95*'Plan mensual'!F220+parametros_recargas!$M$95*'Plan mensual'!F222</f>
        <v>13079.6295754519</v>
      </c>
      <c r="E213" s="26" t="n">
        <f aca="false">parametros_recargas!$E$95*'Plan mensual'!G213+parametros_recargas!$F$95*'Plan mensual'!G214+parametros_recargas!$G$95*'Plan mensual'!G215+parametros_recargas!$H$95*'Plan mensual'!G216+parametros_recargas!$I$95*'Plan mensual'!G217+parametros_recargas!$J$95*'Plan mensual'!G218+parametros_recargas!$K$95*'Plan mensual'!G219+parametros_recargas!$L$95*'Plan mensual'!G220+parametros_recargas!$M$95*'Plan mensual'!G222</f>
        <v>14437.2773372058</v>
      </c>
      <c r="F213" s="26" t="n">
        <f aca="false">parametros_recargas!$E$95*'Plan mensual'!H213+parametros_recargas!$F$95*'Plan mensual'!H214+parametros_recargas!$G$95*'Plan mensual'!H215+parametros_recargas!$H$95*'Plan mensual'!H216+parametros_recargas!$I$95*'Plan mensual'!H217+parametros_recargas!$J$95*'Plan mensual'!H218+parametros_recargas!$K$95*'Plan mensual'!H219+parametros_recargas!$L$95*'Plan mensual'!H220+parametros_recargas!$M$95*'Plan mensual'!H222</f>
        <v>14535.7147847718</v>
      </c>
      <c r="G213" s="26" t="n">
        <f aca="false">parametros_recargas!$E$95*'Plan mensual'!I213+parametros_recargas!$F$95*'Plan mensual'!I214+parametros_recargas!$G$95*'Plan mensual'!I215+parametros_recargas!$H$95*'Plan mensual'!I216+parametros_recargas!$I$95*'Plan mensual'!I217+parametros_recargas!$J$95*'Plan mensual'!I218+parametros_recargas!$K$95*'Plan mensual'!I219+parametros_recargas!$L$95*'Plan mensual'!I220+parametros_recargas!$M$95*'Plan mensual'!I222</f>
        <v>14377.4970616747</v>
      </c>
      <c r="H213" s="26" t="n">
        <f aca="false">parametros_recargas!$E$95*'Plan mensual'!J213+parametros_recargas!$F$95*'Plan mensual'!J214+parametros_recargas!$G$95*'Plan mensual'!J215+parametros_recargas!$H$95*'Plan mensual'!J216+parametros_recargas!$I$95*'Plan mensual'!J217+parametros_recargas!$J$95*'Plan mensual'!J218+parametros_recargas!$K$95*'Plan mensual'!J219+parametros_recargas!$L$95*'Plan mensual'!J220+parametros_recargas!$M$95*'Plan mensual'!J222</f>
        <v>12799.5633576222</v>
      </c>
      <c r="I213" s="26" t="n">
        <f aca="false">parametros_recargas!$E$95*'Plan mensual'!K213+parametros_recargas!$F$95*'Plan mensual'!K214+parametros_recargas!$G$95*'Plan mensual'!K215+parametros_recargas!$H$95*'Plan mensual'!K216+parametros_recargas!$I$95*'Plan mensual'!K217+parametros_recargas!$J$95*'Plan mensual'!K218+parametros_recargas!$K$95*'Plan mensual'!K219+parametros_recargas!$L$95*'Plan mensual'!K220+parametros_recargas!$M$95*'Plan mensual'!K222</f>
        <v>12905.4107226115</v>
      </c>
      <c r="J213" s="26" t="n">
        <f aca="false">parametros_recargas!$E$95*'Plan mensual'!L213+parametros_recargas!$F$95*'Plan mensual'!L214+parametros_recargas!$G$95*'Plan mensual'!L215+parametros_recargas!$H$95*'Plan mensual'!L216+parametros_recargas!$I$95*'Plan mensual'!L217+parametros_recargas!$J$95*'Plan mensual'!L218+parametros_recargas!$K$95*'Plan mensual'!L219+parametros_recargas!$L$95*'Plan mensual'!L220+parametros_recargas!$M$95*'Plan mensual'!L222</f>
        <v>13044.5448611044</v>
      </c>
      <c r="K213" s="26" t="n">
        <f aca="false">parametros_recargas!$E$95*'Plan mensual'!M213+parametros_recargas!$F$95*'Plan mensual'!M214+parametros_recargas!$G$95*'Plan mensual'!M215+parametros_recargas!$H$95*'Plan mensual'!M216+parametros_recargas!$I$95*'Plan mensual'!M217+parametros_recargas!$J$95*'Plan mensual'!M218+parametros_recargas!$K$95*'Plan mensual'!M219+parametros_recargas!$L$95*'Plan mensual'!M220+parametros_recargas!$M$95*'Plan mensual'!M222</f>
        <v>13043.1736900163</v>
      </c>
      <c r="L213" s="26" t="n">
        <f aca="false">parametros_recargas!$E$95*'Plan mensual'!N213+parametros_recargas!$F$95*'Plan mensual'!N214+parametros_recargas!$G$95*'Plan mensual'!N215+parametros_recargas!$H$95*'Plan mensual'!N216+parametros_recargas!$I$95*'Plan mensual'!N217+parametros_recargas!$J$95*'Plan mensual'!N218+parametros_recargas!$K$95*'Plan mensual'!N219+parametros_recargas!$L$95*'Plan mensual'!N220+parametros_recargas!$M$95*'Plan mensual'!N222</f>
        <v>15012.0264841853</v>
      </c>
      <c r="M213" s="26" t="n">
        <f aca="false">parametros_recargas!$E$95*'Plan mensual'!O213+parametros_recargas!$F$95*'Plan mensual'!O214+parametros_recargas!$G$95*'Plan mensual'!O215+parametros_recargas!$H$95*'Plan mensual'!O216+parametros_recargas!$I$95*'Plan mensual'!O217+parametros_recargas!$J$95*'Plan mensual'!O218+parametros_recargas!$K$95*'Plan mensual'!O219+parametros_recargas!$L$95*'Plan mensual'!O220+parametros_recargas!$M$95*'Plan mensual'!O222</f>
        <v>17246.1335345615</v>
      </c>
      <c r="N213" s="12" t="n">
        <f aca="false">SUM(B213:M213)</f>
        <v>170017.370388353</v>
      </c>
      <c r="O213" s="27" t="n">
        <f aca="false">MAX(B213:M213)</f>
        <v>17246.1335345615</v>
      </c>
      <c r="P213" s="16" t="n">
        <f aca="false">O213/parametros_recargas!$B$6</f>
        <v>114.974223563743</v>
      </c>
    </row>
    <row r="214" customFormat="false" ht="15" hidden="false" customHeight="false" outlineLevel="0" collapsed="false">
      <c r="A214" s="6" t="str">
        <f aca="false">parametros_recargas!$B$96</f>
        <v>Precinto, etiqueta y despacho</v>
      </c>
      <c r="B214" s="26" t="n">
        <f aca="false">parametros_recargas!$E$96*'Plan mensual'!D213+parametros_recargas!$F$96*'Plan mensual'!D214+parametros_recargas!$G$96*'Plan mensual'!D215+parametros_recargas!$H$96*'Plan mensual'!D216+parametros_recargas!$I$96*'Plan mensual'!D217+parametros_recargas!$J$96*'Plan mensual'!D218+parametros_recargas!$K$96*'Plan mensual'!D219+parametros_recargas!$L$96*'Plan mensual'!D220+parametros_recargas!$M$96*'Plan mensual'!D222</f>
        <v>15804.9677387576</v>
      </c>
      <c r="C214" s="26" t="n">
        <f aca="false">parametros_recargas!$E$96*'Plan mensual'!E213+parametros_recargas!$F$96*'Plan mensual'!E214+parametros_recargas!$G$96*'Plan mensual'!E215+parametros_recargas!$H$96*'Plan mensual'!E216+parametros_recargas!$I$96*'Plan mensual'!E217+parametros_recargas!$J$96*'Plan mensual'!E218+parametros_recargas!$K$96*'Plan mensual'!E219+parametros_recargas!$L$96*'Plan mensual'!E220+parametros_recargas!$M$96*'Plan mensual'!E222</f>
        <v>13731.4312403904</v>
      </c>
      <c r="D214" s="26" t="n">
        <f aca="false">parametros_recargas!$E$96*'Plan mensual'!F213+parametros_recargas!$F$96*'Plan mensual'!F214+parametros_recargas!$G$96*'Plan mensual'!F215+parametros_recargas!$H$96*'Plan mensual'!F216+parametros_recargas!$I$96*'Plan mensual'!F217+parametros_recargas!$J$96*'Plan mensual'!F218+parametros_recargas!$K$96*'Plan mensual'!F219+parametros_recargas!$L$96*'Plan mensual'!F220+parametros_recargas!$M$96*'Plan mensual'!F222</f>
        <v>13079.6295754519</v>
      </c>
      <c r="E214" s="26" t="n">
        <f aca="false">parametros_recargas!$E$96*'Plan mensual'!G213+parametros_recargas!$F$96*'Plan mensual'!G214+parametros_recargas!$G$96*'Plan mensual'!G215+parametros_recargas!$H$96*'Plan mensual'!G216+parametros_recargas!$I$96*'Plan mensual'!G217+parametros_recargas!$J$96*'Plan mensual'!G218+parametros_recargas!$K$96*'Plan mensual'!G219+parametros_recargas!$L$96*'Plan mensual'!G220+parametros_recargas!$M$96*'Plan mensual'!G222</f>
        <v>14437.2773372058</v>
      </c>
      <c r="F214" s="26" t="n">
        <f aca="false">parametros_recargas!$E$96*'Plan mensual'!H213+parametros_recargas!$F$96*'Plan mensual'!H214+parametros_recargas!$G$96*'Plan mensual'!H215+parametros_recargas!$H$96*'Plan mensual'!H216+parametros_recargas!$I$96*'Plan mensual'!H217+parametros_recargas!$J$96*'Plan mensual'!H218+parametros_recargas!$K$96*'Plan mensual'!H219+parametros_recargas!$L$96*'Plan mensual'!H220+parametros_recargas!$M$96*'Plan mensual'!H222</f>
        <v>14535.7147847718</v>
      </c>
      <c r="G214" s="26" t="n">
        <f aca="false">parametros_recargas!$E$96*'Plan mensual'!I213+parametros_recargas!$F$96*'Plan mensual'!I214+parametros_recargas!$G$96*'Plan mensual'!I215+parametros_recargas!$H$96*'Plan mensual'!I216+parametros_recargas!$I$96*'Plan mensual'!I217+parametros_recargas!$J$96*'Plan mensual'!I218+parametros_recargas!$K$96*'Plan mensual'!I219+parametros_recargas!$L$96*'Plan mensual'!I220+parametros_recargas!$M$96*'Plan mensual'!I222</f>
        <v>14377.4970616747</v>
      </c>
      <c r="H214" s="26" t="n">
        <f aca="false">parametros_recargas!$E$96*'Plan mensual'!J213+parametros_recargas!$F$96*'Plan mensual'!J214+parametros_recargas!$G$96*'Plan mensual'!J215+parametros_recargas!$H$96*'Plan mensual'!J216+parametros_recargas!$I$96*'Plan mensual'!J217+parametros_recargas!$J$96*'Plan mensual'!J218+parametros_recargas!$K$96*'Plan mensual'!J219+parametros_recargas!$L$96*'Plan mensual'!J220+parametros_recargas!$M$96*'Plan mensual'!J222</f>
        <v>12799.5633576222</v>
      </c>
      <c r="I214" s="26" t="n">
        <f aca="false">parametros_recargas!$E$96*'Plan mensual'!K213+parametros_recargas!$F$96*'Plan mensual'!K214+parametros_recargas!$G$96*'Plan mensual'!K215+parametros_recargas!$H$96*'Plan mensual'!K216+parametros_recargas!$I$96*'Plan mensual'!K217+parametros_recargas!$J$96*'Plan mensual'!K218+parametros_recargas!$K$96*'Plan mensual'!K219+parametros_recargas!$L$96*'Plan mensual'!K220+parametros_recargas!$M$96*'Plan mensual'!K222</f>
        <v>12905.4107226115</v>
      </c>
      <c r="J214" s="26" t="n">
        <f aca="false">parametros_recargas!$E$96*'Plan mensual'!L213+parametros_recargas!$F$96*'Plan mensual'!L214+parametros_recargas!$G$96*'Plan mensual'!L215+parametros_recargas!$H$96*'Plan mensual'!L216+parametros_recargas!$I$96*'Plan mensual'!L217+parametros_recargas!$J$96*'Plan mensual'!L218+parametros_recargas!$K$96*'Plan mensual'!L219+parametros_recargas!$L$96*'Plan mensual'!L220+parametros_recargas!$M$96*'Plan mensual'!L222</f>
        <v>13044.5448611044</v>
      </c>
      <c r="K214" s="26" t="n">
        <f aca="false">parametros_recargas!$E$96*'Plan mensual'!M213+parametros_recargas!$F$96*'Plan mensual'!M214+parametros_recargas!$G$96*'Plan mensual'!M215+parametros_recargas!$H$96*'Plan mensual'!M216+parametros_recargas!$I$96*'Plan mensual'!M217+parametros_recargas!$J$96*'Plan mensual'!M218+parametros_recargas!$K$96*'Plan mensual'!M219+parametros_recargas!$L$96*'Plan mensual'!M220+parametros_recargas!$M$96*'Plan mensual'!M222</f>
        <v>13043.1736900163</v>
      </c>
      <c r="L214" s="26" t="n">
        <f aca="false">parametros_recargas!$E$96*'Plan mensual'!N213+parametros_recargas!$F$96*'Plan mensual'!N214+parametros_recargas!$G$96*'Plan mensual'!N215+parametros_recargas!$H$96*'Plan mensual'!N216+parametros_recargas!$I$96*'Plan mensual'!N217+parametros_recargas!$J$96*'Plan mensual'!N218+parametros_recargas!$K$96*'Plan mensual'!N219+parametros_recargas!$L$96*'Plan mensual'!N220+parametros_recargas!$M$96*'Plan mensual'!N222</f>
        <v>15012.0264841853</v>
      </c>
      <c r="M214" s="26" t="n">
        <f aca="false">parametros_recargas!$E$96*'Plan mensual'!O213+parametros_recargas!$F$96*'Plan mensual'!O214+parametros_recargas!$G$96*'Plan mensual'!O215+parametros_recargas!$H$96*'Plan mensual'!O216+parametros_recargas!$I$96*'Plan mensual'!O217+parametros_recargas!$J$96*'Plan mensual'!O218+parametros_recargas!$K$96*'Plan mensual'!O219+parametros_recargas!$L$96*'Plan mensual'!O220+parametros_recargas!$M$96*'Plan mensual'!O222</f>
        <v>17246.1335345615</v>
      </c>
      <c r="N214" s="12" t="n">
        <f aca="false">SUM(B214:M214)</f>
        <v>170017.370388353</v>
      </c>
      <c r="O214" s="27" t="n">
        <f aca="false">MAX(B214:M214)</f>
        <v>17246.1335345615</v>
      </c>
      <c r="P214" s="16" t="n">
        <f aca="false">O214/parametros_recargas!$B$6</f>
        <v>114.974223563743</v>
      </c>
    </row>
    <row r="215" customFormat="false" ht="15" hidden="false" customHeight="false" outlineLevel="0" collapsed="false">
      <c r="A215" s="6" t="str">
        <f aca="false">parametros_recargas!$B$97</f>
        <v>Inutilización y disposición final</v>
      </c>
      <c r="B215" s="26" t="n">
        <f aca="false">parametros_recargas!$E$97*'Plan mensual'!D213+parametros_recargas!$F$97*'Plan mensual'!D214+parametros_recargas!$G$97*'Plan mensual'!D215+parametros_recargas!$H$97*'Plan mensual'!D216+parametros_recargas!$I$97*'Plan mensual'!D217+parametros_recargas!$J$97*'Plan mensual'!D218+parametros_recargas!$K$97*'Plan mensual'!D219+parametros_recargas!$L$97*'Plan mensual'!D220+parametros_recargas!$M$97*'Plan mensual'!D222</f>
        <v>1248.13942502668</v>
      </c>
      <c r="C215" s="26" t="n">
        <f aca="false">parametros_recargas!$E$97*'Plan mensual'!E213+parametros_recargas!$F$97*'Plan mensual'!E214+parametros_recargas!$G$97*'Plan mensual'!E215+parametros_recargas!$H$97*'Plan mensual'!E216+parametros_recargas!$I$97*'Plan mensual'!E217+parametros_recargas!$J$97*'Plan mensual'!E218+parametros_recargas!$K$97*'Plan mensual'!E219+parametros_recargas!$L$97*'Plan mensual'!E220+parametros_recargas!$M$97*'Plan mensual'!E222</f>
        <v>1082.58963884436</v>
      </c>
      <c r="D215" s="26" t="n">
        <f aca="false">parametros_recargas!$E$97*'Plan mensual'!F213+parametros_recargas!$F$97*'Plan mensual'!F214+parametros_recargas!$G$97*'Plan mensual'!F215+parametros_recargas!$H$97*'Plan mensual'!F216+parametros_recargas!$I$97*'Plan mensual'!F217+parametros_recargas!$J$97*'Plan mensual'!F218+parametros_recargas!$K$97*'Plan mensual'!F219+parametros_recargas!$L$97*'Plan mensual'!F220+parametros_recargas!$M$97*'Plan mensual'!F222</f>
        <v>1026.46897729838</v>
      </c>
      <c r="E215" s="26" t="n">
        <f aca="false">parametros_recargas!$E$97*'Plan mensual'!G213+parametros_recargas!$F$97*'Plan mensual'!G214+parametros_recargas!$G$97*'Plan mensual'!G215+parametros_recargas!$H$97*'Plan mensual'!G216+parametros_recargas!$I$97*'Plan mensual'!G217+parametros_recargas!$J$97*'Plan mensual'!G218+parametros_recargas!$K$97*'Plan mensual'!G219+parametros_recargas!$L$97*'Plan mensual'!G220+parametros_recargas!$M$97*'Plan mensual'!G222</f>
        <v>1131.30430786402</v>
      </c>
      <c r="F215" s="26" t="n">
        <f aca="false">parametros_recargas!$E$97*'Plan mensual'!H213+parametros_recargas!$F$97*'Plan mensual'!H214+parametros_recargas!$G$97*'Plan mensual'!H215+parametros_recargas!$H$97*'Plan mensual'!H216+parametros_recargas!$I$97*'Plan mensual'!H217+parametros_recargas!$J$97*'Plan mensual'!H218+parametros_recargas!$K$97*'Plan mensual'!H219+parametros_recargas!$L$97*'Plan mensual'!H220+parametros_recargas!$M$97*'Plan mensual'!H222</f>
        <v>1139.10167614707</v>
      </c>
      <c r="G215" s="26" t="n">
        <f aca="false">parametros_recargas!$E$97*'Plan mensual'!I213+parametros_recargas!$F$97*'Plan mensual'!I214+parametros_recargas!$G$97*'Plan mensual'!I215+parametros_recargas!$H$97*'Plan mensual'!I216+parametros_recargas!$I$97*'Plan mensual'!I217+parametros_recargas!$J$97*'Plan mensual'!I218+parametros_recargas!$K$97*'Plan mensual'!I219+parametros_recargas!$L$97*'Plan mensual'!I220+parametros_recargas!$M$97*'Plan mensual'!I222</f>
        <v>1127.0046657966</v>
      </c>
      <c r="H215" s="26" t="n">
        <f aca="false">parametros_recargas!$E$97*'Plan mensual'!J213+parametros_recargas!$F$97*'Plan mensual'!J214+parametros_recargas!$G$97*'Plan mensual'!J215+parametros_recargas!$H$97*'Plan mensual'!J216+parametros_recargas!$I$97*'Plan mensual'!J217+parametros_recargas!$J$97*'Plan mensual'!J218+parametros_recargas!$K$97*'Plan mensual'!J219+parametros_recargas!$L$97*'Plan mensual'!J220+parametros_recargas!$M$97*'Plan mensual'!J222</f>
        <v>1004.82619421035</v>
      </c>
      <c r="I215" s="26" t="n">
        <f aca="false">parametros_recargas!$E$97*'Plan mensual'!K213+parametros_recargas!$F$97*'Plan mensual'!K214+parametros_recargas!$G$97*'Plan mensual'!K215+parametros_recargas!$H$97*'Plan mensual'!K216+parametros_recargas!$I$97*'Plan mensual'!K217+parametros_recargas!$J$97*'Plan mensual'!K218+parametros_recargas!$K$97*'Plan mensual'!K219+parametros_recargas!$L$97*'Plan mensual'!K220+parametros_recargas!$M$97*'Plan mensual'!K222</f>
        <v>1013.27589909284</v>
      </c>
      <c r="J215" s="26" t="n">
        <f aca="false">parametros_recargas!$E$97*'Plan mensual'!L213+parametros_recargas!$F$97*'Plan mensual'!L214+parametros_recargas!$G$97*'Plan mensual'!L215+parametros_recargas!$H$97*'Plan mensual'!L216+parametros_recargas!$I$97*'Plan mensual'!L217+parametros_recargas!$J$97*'Plan mensual'!L218+parametros_recargas!$K$97*'Plan mensual'!L219+parametros_recargas!$L$97*'Plan mensual'!L220+parametros_recargas!$M$97*'Plan mensual'!L222</f>
        <v>1024.02375263603</v>
      </c>
      <c r="K215" s="26" t="n">
        <f aca="false">parametros_recargas!$E$97*'Plan mensual'!M213+parametros_recargas!$F$97*'Plan mensual'!M214+parametros_recargas!$G$97*'Plan mensual'!M215+parametros_recargas!$H$97*'Plan mensual'!M216+parametros_recargas!$I$97*'Plan mensual'!M217+parametros_recargas!$J$97*'Plan mensual'!M218+parametros_recargas!$K$97*'Plan mensual'!M219+parametros_recargas!$L$97*'Plan mensual'!M220+parametros_recargas!$M$97*'Plan mensual'!M222</f>
        <v>1024.02375263603</v>
      </c>
      <c r="L215" s="26" t="n">
        <f aca="false">parametros_recargas!$E$97*'Plan mensual'!N213+parametros_recargas!$F$97*'Plan mensual'!N214+parametros_recargas!$G$97*'Plan mensual'!N215+parametros_recargas!$H$97*'Plan mensual'!N216+parametros_recargas!$I$97*'Plan mensual'!N217+parametros_recargas!$J$97*'Plan mensual'!N218+parametros_recargas!$K$97*'Plan mensual'!N219+parametros_recargas!$L$97*'Plan mensual'!N220+parametros_recargas!$M$97*'Plan mensual'!N222</f>
        <v>1181.7761705353</v>
      </c>
      <c r="M215" s="26" t="n">
        <f aca="false">parametros_recargas!$E$97*'Plan mensual'!O213+parametros_recargas!$F$97*'Plan mensual'!O214+parametros_recargas!$G$97*'Plan mensual'!O215+parametros_recargas!$H$97*'Plan mensual'!O216+parametros_recargas!$I$97*'Plan mensual'!O217+parametros_recargas!$J$97*'Plan mensual'!O218+parametros_recargas!$K$97*'Plan mensual'!O219+parametros_recargas!$L$97*'Plan mensual'!O220+parametros_recargas!$M$97*'Plan mensual'!O222</f>
        <v>1359.4229670681</v>
      </c>
      <c r="N215" s="12" t="n">
        <f aca="false">SUM(B215:M215)</f>
        <v>13361.9574271558</v>
      </c>
      <c r="O215" s="27" t="n">
        <f aca="false">MAX(B215:M215)</f>
        <v>1359.4229670681</v>
      </c>
      <c r="P215" s="16" t="n">
        <f aca="false">O215/parametros_recargas!$B$6</f>
        <v>9.06281978045397</v>
      </c>
    </row>
    <row r="216" customFormat="false" ht="15" hidden="false" customHeight="false" outlineLevel="0" collapsed="false">
      <c r="A216" s="6" t="str">
        <f aca="false">parametros_recargas!$B$98</f>
        <v>PH de mangueras (CO₂ y rodantes)</v>
      </c>
      <c r="B216" s="26" t="n">
        <f aca="false">'Plan mensual'!D221</f>
        <v>412.659254891905</v>
      </c>
      <c r="C216" s="26" t="n">
        <f aca="false">'Plan mensual'!E221</f>
        <v>412.659254891905</v>
      </c>
      <c r="D216" s="26" t="n">
        <f aca="false">'Plan mensual'!F221</f>
        <v>448.575275433155</v>
      </c>
      <c r="E216" s="26" t="n">
        <f aca="false">'Plan mensual'!G221</f>
        <v>497.451459171456</v>
      </c>
      <c r="F216" s="26" t="n">
        <f aca="false">'Plan mensual'!H221</f>
        <v>503.262564281501</v>
      </c>
      <c r="G216" s="26" t="n">
        <f aca="false">'Plan mensual'!I221</f>
        <v>482.656257863663</v>
      </c>
      <c r="H216" s="26" t="n">
        <f aca="false">'Plan mensual'!J221</f>
        <v>427.267876507908</v>
      </c>
      <c r="I216" s="26" t="n">
        <f aca="false">'Plan mensual'!K221</f>
        <v>431.945036014621</v>
      </c>
      <c r="J216" s="26" t="n">
        <f aca="false">'Plan mensual'!L221</f>
        <v>449.537576603455</v>
      </c>
      <c r="K216" s="26" t="n">
        <f aca="false">'Plan mensual'!M221</f>
        <v>449.537576603455</v>
      </c>
      <c r="L216" s="26" t="n">
        <f aca="false">'Plan mensual'!N221</f>
        <v>443.72647149341</v>
      </c>
      <c r="M216" s="26" t="n">
        <f aca="false">'Plan mensual'!O221</f>
        <v>464.332777911248</v>
      </c>
      <c r="N216" s="12" t="n">
        <f aca="false">SUM(B216:M216)</f>
        <v>5423.61138166768</v>
      </c>
      <c r="O216" s="27" t="n">
        <f aca="false">MAX(B216:M216)</f>
        <v>503.262564281501</v>
      </c>
      <c r="P216" s="16" t="n">
        <f aca="false">O216/parametros_recargas!$B$6</f>
        <v>3.35508376187667</v>
      </c>
    </row>
    <row r="225" customFormat="false" ht="23.85" hidden="false" customHeight="false" outlineLevel="0" collapsed="false">
      <c r="A225" s="3" t="s">
        <v>399</v>
      </c>
      <c r="B225" s="3" t="s">
        <v>64</v>
      </c>
      <c r="C225" s="3" t="s">
        <v>65</v>
      </c>
      <c r="D225" s="3" t="s">
        <v>66</v>
      </c>
      <c r="E225" s="3" t="s">
        <v>67</v>
      </c>
      <c r="F225" s="3" t="s">
        <v>68</v>
      </c>
      <c r="G225" s="3" t="s">
        <v>69</v>
      </c>
      <c r="H225" s="3" t="s">
        <v>70</v>
      </c>
      <c r="I225" s="3" t="s">
        <v>71</v>
      </c>
      <c r="J225" s="3" t="s">
        <v>72</v>
      </c>
      <c r="K225" s="3" t="s">
        <v>73</v>
      </c>
      <c r="L225" s="3" t="s">
        <v>74</v>
      </c>
      <c r="M225" s="3" t="s">
        <v>75</v>
      </c>
      <c r="N225" s="3" t="s">
        <v>390</v>
      </c>
      <c r="O225" s="3" t="s">
        <v>391</v>
      </c>
      <c r="P225" s="3" t="s">
        <v>392</v>
      </c>
    </row>
    <row r="226" customFormat="false" ht="15" hidden="false" customHeight="false" outlineLevel="0" collapsed="false">
      <c r="A226" s="6" t="str">
        <f aca="false">parametros_recargas!$B$76</f>
        <v>Recepción y registro</v>
      </c>
      <c r="B226" s="26" t="n">
        <f aca="false">parametros_recargas!$E$76*'Plan mensual'!D245+parametros_recargas!$F$76*'Plan mensual'!D246+parametros_recargas!$G$76*'Plan mensual'!D247+parametros_recargas!$H$76*'Plan mensual'!D248+parametros_recargas!$I$76*'Plan mensual'!D249+parametros_recargas!$J$76*'Plan mensual'!D250+parametros_recargas!$K$76*'Plan mensual'!D251+parametros_recargas!$L$76*'Plan mensual'!D252+parametros_recargas!$M$76*'Plan mensual'!D254</f>
        <v>18062.6309998851</v>
      </c>
      <c r="C226" s="26" t="n">
        <f aca="false">parametros_recargas!$E$76*'Plan mensual'!E245+parametros_recargas!$F$76*'Plan mensual'!E246+parametros_recargas!$G$76*'Plan mensual'!E247+parametros_recargas!$H$76*'Plan mensual'!E248+parametros_recargas!$I$76*'Plan mensual'!E249+parametros_recargas!$J$76*'Plan mensual'!E250+parametros_recargas!$K$76*'Plan mensual'!E251+parametros_recargas!$L$76*'Plan mensual'!E252+parametros_recargas!$M$76*'Plan mensual'!E254</f>
        <v>15660.1050493735</v>
      </c>
      <c r="D226" s="26" t="n">
        <f aca="false">parametros_recargas!$E$76*'Plan mensual'!F245+parametros_recargas!$F$76*'Plan mensual'!F246+parametros_recargas!$G$76*'Plan mensual'!F247+parametros_recargas!$H$76*'Plan mensual'!F248+parametros_recargas!$I$76*'Plan mensual'!F249+parametros_recargas!$J$76*'Plan mensual'!F250+parametros_recargas!$K$76*'Plan mensual'!F251+parametros_recargas!$L$76*'Plan mensual'!F252+parametros_recargas!$M$76*'Plan mensual'!F254</f>
        <v>14834.0693977643</v>
      </c>
      <c r="E226" s="26" t="n">
        <f aca="false">parametros_recargas!$E$76*'Plan mensual'!G245+parametros_recargas!$F$76*'Plan mensual'!G246+parametros_recargas!$G$76*'Plan mensual'!G247+parametros_recargas!$H$76*'Plan mensual'!G248+parametros_recargas!$I$76*'Plan mensual'!G249+parametros_recargas!$J$76*'Plan mensual'!G250+parametros_recargas!$K$76*'Plan mensual'!G251+parametros_recargas!$L$76*'Plan mensual'!G252+parametros_recargas!$M$76*'Plan mensual'!G254</f>
        <v>16341.3704994958</v>
      </c>
      <c r="F226" s="26" t="n">
        <f aca="false">parametros_recargas!$E$76*'Plan mensual'!H245+parametros_recargas!$F$76*'Plan mensual'!H246+parametros_recargas!$G$76*'Plan mensual'!H247+parametros_recargas!$H$76*'Plan mensual'!H248+parametros_recargas!$I$76*'Plan mensual'!H249+parametros_recargas!$J$76*'Plan mensual'!H250+parametros_recargas!$K$76*'Plan mensual'!H251+parametros_recargas!$L$76*'Plan mensual'!H252+parametros_recargas!$M$76*'Plan mensual'!H254</f>
        <v>16451.4443310961</v>
      </c>
      <c r="G226" s="26" t="n">
        <f aca="false">parametros_recargas!$E$76*'Plan mensual'!I245+parametros_recargas!$F$76*'Plan mensual'!I246+parametros_recargas!$G$76*'Plan mensual'!I247+parametros_recargas!$H$76*'Plan mensual'!I248+parametros_recargas!$I$76*'Plan mensual'!I249+parametros_recargas!$J$76*'Plan mensual'!I250+parametros_recargas!$K$76*'Plan mensual'!I251+parametros_recargas!$L$76*'Plan mensual'!I252+parametros_recargas!$M$76*'Plan mensual'!I254</f>
        <v>16275.4693459284</v>
      </c>
      <c r="H226" s="26" t="n">
        <f aca="false">parametros_recargas!$E$76*'Plan mensual'!J245+parametros_recargas!$F$76*'Plan mensual'!J246+parametros_recargas!$G$76*'Plan mensual'!J247+parametros_recargas!$H$76*'Plan mensual'!J248+parametros_recargas!$I$76*'Plan mensual'!J249+parametros_recargas!$J$76*'Plan mensual'!J250+parametros_recargas!$K$76*'Plan mensual'!J251+parametros_recargas!$L$76*'Plan mensual'!J252+parametros_recargas!$M$76*'Plan mensual'!J254</f>
        <v>14522.3561366053</v>
      </c>
      <c r="I226" s="26" t="n">
        <f aca="false">parametros_recargas!$E$76*'Plan mensual'!K245+parametros_recargas!$F$76*'Plan mensual'!K246+parametros_recargas!$G$76*'Plan mensual'!K247+parametros_recargas!$H$76*'Plan mensual'!K248+parametros_recargas!$I$76*'Plan mensual'!K249+parametros_recargas!$J$76*'Plan mensual'!K250+parametros_recargas!$K$76*'Plan mensual'!K251+parametros_recargas!$L$76*'Plan mensual'!K252+parametros_recargas!$M$76*'Plan mensual'!K254</f>
        <v>14640.7478818762</v>
      </c>
      <c r="J226" s="26" t="n">
        <f aca="false">parametros_recargas!$E$76*'Plan mensual'!L245+parametros_recargas!$F$76*'Plan mensual'!L246+parametros_recargas!$G$76*'Plan mensual'!L247+parametros_recargas!$H$76*'Plan mensual'!L248+parametros_recargas!$I$76*'Plan mensual'!L249+parametros_recargas!$J$76*'Plan mensual'!L250+parametros_recargas!$K$76*'Plan mensual'!L251+parametros_recargas!$L$76*'Plan mensual'!L252+parametros_recargas!$M$76*'Plan mensual'!L254</f>
        <v>14795.9323018765</v>
      </c>
      <c r="K226" s="26" t="n">
        <f aca="false">parametros_recargas!$E$76*'Plan mensual'!M245+parametros_recargas!$F$76*'Plan mensual'!M246+parametros_recargas!$G$76*'Plan mensual'!M247+parametros_recargas!$H$76*'Plan mensual'!M248+parametros_recargas!$I$76*'Plan mensual'!M249+parametros_recargas!$J$76*'Plan mensual'!M250+parametros_recargas!$K$76*'Plan mensual'!M251+parametros_recargas!$L$76*'Plan mensual'!M252+parametros_recargas!$M$76*'Plan mensual'!M254</f>
        <v>14794.8255044504</v>
      </c>
      <c r="L226" s="26" t="n">
        <f aca="false">parametros_recargas!$E$76*'Plan mensual'!N245+parametros_recargas!$F$76*'Plan mensual'!N246+parametros_recargas!$G$76*'Plan mensual'!N247+parametros_recargas!$H$76*'Plan mensual'!N248+parametros_recargas!$I$76*'Plan mensual'!N249+parametros_recargas!$J$76*'Plan mensual'!N250+parametros_recargas!$K$76*'Plan mensual'!N251+parametros_recargas!$L$76*'Plan mensual'!N252+parametros_recargas!$M$76*'Plan mensual'!N254</f>
        <v>17082.1596272225</v>
      </c>
      <c r="M226" s="26" t="n">
        <f aca="false">parametros_recargas!$E$76*'Plan mensual'!O245+parametros_recargas!$F$76*'Plan mensual'!O246+parametros_recargas!$G$76*'Plan mensual'!O247+parametros_recargas!$H$76*'Plan mensual'!O248+parametros_recargas!$I$76*'Plan mensual'!O249+parametros_recargas!$J$76*'Plan mensual'!O250+parametros_recargas!$K$76*'Plan mensual'!O251+parametros_recargas!$L$76*'Plan mensual'!O252+parametros_recargas!$M$76*'Plan mensual'!O254</f>
        <v>19662.6273654757</v>
      </c>
      <c r="N226" s="12" t="n">
        <f aca="false">SUM(B226:M226)</f>
        <v>193123.73844105</v>
      </c>
      <c r="O226" s="27" t="n">
        <f aca="false">MAX(B226:M226)</f>
        <v>19662.6273654757</v>
      </c>
      <c r="P226" s="16" t="n">
        <f aca="false">O226/parametros_recargas!$B$6</f>
        <v>131.084182436504</v>
      </c>
    </row>
    <row r="227" customFormat="false" ht="15" hidden="false" customHeight="false" outlineLevel="0" collapsed="false">
      <c r="A227" s="6" t="str">
        <f aca="false">parametros_recargas!$B$77</f>
        <v>Inspección visual</v>
      </c>
      <c r="B227" s="26" t="n">
        <f aca="false">parametros_recargas!$E$77*'Plan mensual'!D245+parametros_recargas!$F$77*'Plan mensual'!D246+parametros_recargas!$G$77*'Plan mensual'!D247+parametros_recargas!$H$77*'Plan mensual'!D248+parametros_recargas!$I$77*'Plan mensual'!D249+parametros_recargas!$J$77*'Plan mensual'!D250+parametros_recargas!$K$77*'Plan mensual'!D251+parametros_recargas!$L$77*'Plan mensual'!D252+parametros_recargas!$M$77*'Plan mensual'!D254</f>
        <v>18044.3866217628</v>
      </c>
      <c r="C227" s="26" t="n">
        <f aca="false">parametros_recargas!$E$77*'Plan mensual'!E245+parametros_recargas!$F$77*'Plan mensual'!E246+parametros_recargas!$G$77*'Plan mensual'!E247+parametros_recargas!$H$77*'Plan mensual'!E248+parametros_recargas!$I$77*'Plan mensual'!E249+parametros_recargas!$J$77*'Plan mensual'!E250+parametros_recargas!$K$77*'Plan mensual'!E251+parametros_recargas!$L$77*'Plan mensual'!E252+parametros_recargas!$M$77*'Plan mensual'!E254</f>
        <v>15645.2726686774</v>
      </c>
      <c r="D227" s="26" t="n">
        <f aca="false">parametros_recargas!$E$77*'Plan mensual'!F245+parametros_recargas!$F$77*'Plan mensual'!F246+parametros_recargas!$G$77*'Plan mensual'!F247+parametros_recargas!$H$77*'Plan mensual'!F248+parametros_recargas!$I$77*'Plan mensual'!F249+parametros_recargas!$J$77*'Plan mensual'!F250+parametros_recargas!$K$77*'Plan mensual'!F251+parametros_recargas!$L$77*'Plan mensual'!F252+parametros_recargas!$M$77*'Plan mensual'!F254</f>
        <v>14817.9610209289</v>
      </c>
      <c r="E227" s="26" t="n">
        <f aca="false">parametros_recargas!$E$77*'Plan mensual'!G245+parametros_recargas!$F$77*'Plan mensual'!G246+parametros_recargas!$G$77*'Plan mensual'!G247+parametros_recargas!$H$77*'Plan mensual'!G248+parametros_recargas!$I$77*'Plan mensual'!G249+parametros_recargas!$J$77*'Plan mensual'!G250+parametros_recargas!$K$77*'Plan mensual'!G251+parametros_recargas!$L$77*'Plan mensual'!G252+parametros_recargas!$M$77*'Plan mensual'!G254</f>
        <v>16325.2621226605</v>
      </c>
      <c r="F227" s="26" t="n">
        <f aca="false">parametros_recargas!$E$77*'Plan mensual'!H245+parametros_recargas!$F$77*'Plan mensual'!H246+parametros_recargas!$G$77*'Plan mensual'!H247+parametros_recargas!$H$77*'Plan mensual'!H248+parametros_recargas!$I$77*'Plan mensual'!H249+parametros_recargas!$J$77*'Plan mensual'!H250+parametros_recargas!$K$77*'Plan mensual'!H251+parametros_recargas!$L$77*'Plan mensual'!H252+parametros_recargas!$M$77*'Plan mensual'!H254</f>
        <v>16436.1043542607</v>
      </c>
      <c r="G227" s="26" t="n">
        <f aca="false">parametros_recargas!$E$77*'Plan mensual'!I245+parametros_recargas!$F$77*'Plan mensual'!I246+parametros_recargas!$G$77*'Plan mensual'!I247+parametros_recargas!$H$77*'Plan mensual'!I248+parametros_recargas!$I$77*'Plan mensual'!I249+parametros_recargas!$J$77*'Plan mensual'!I250+parametros_recargas!$K$77*'Plan mensual'!I251+parametros_recargas!$L$77*'Plan mensual'!I252+parametros_recargas!$M$77*'Plan mensual'!I254</f>
        <v>16261.2361665192</v>
      </c>
      <c r="H227" s="26" t="n">
        <f aca="false">parametros_recargas!$E$77*'Plan mensual'!J245+parametros_recargas!$F$77*'Plan mensual'!J246+parametros_recargas!$G$77*'Plan mensual'!J247+parametros_recargas!$H$77*'Plan mensual'!J248+parametros_recargas!$I$77*'Plan mensual'!J249+parametros_recargas!$J$77*'Plan mensual'!J250+parametros_recargas!$K$77*'Plan mensual'!J251+parametros_recargas!$L$77*'Plan mensual'!J252+parametros_recargas!$M$77*'Plan mensual'!J254</f>
        <v>14507.01615977</v>
      </c>
      <c r="I227" s="26" t="n">
        <f aca="false">parametros_recargas!$E$77*'Plan mensual'!K245+parametros_recargas!$F$77*'Plan mensual'!K246+parametros_recargas!$G$77*'Plan mensual'!K247+parametros_recargas!$H$77*'Plan mensual'!K248+parametros_recargas!$I$77*'Plan mensual'!K249+parametros_recargas!$J$77*'Plan mensual'!K250+parametros_recargas!$K$77*'Plan mensual'!K251+parametros_recargas!$L$77*'Plan mensual'!K252+parametros_recargas!$M$77*'Plan mensual'!K254</f>
        <v>14625.4079050408</v>
      </c>
      <c r="J227" s="26" t="n">
        <f aca="false">parametros_recargas!$E$77*'Plan mensual'!L245+parametros_recargas!$F$77*'Plan mensual'!L246+parametros_recargas!$G$77*'Plan mensual'!L247+parametros_recargas!$H$77*'Plan mensual'!L248+parametros_recargas!$I$77*'Plan mensual'!L249+parametros_recargas!$J$77*'Plan mensual'!L250+parametros_recargas!$K$77*'Plan mensual'!L251+parametros_recargas!$L$77*'Plan mensual'!L252+parametros_recargas!$M$77*'Plan mensual'!L254</f>
        <v>14780.7615237543</v>
      </c>
      <c r="K227" s="26" t="n">
        <f aca="false">parametros_recargas!$E$77*'Plan mensual'!M245+parametros_recargas!$F$77*'Plan mensual'!M246+parametros_recargas!$G$77*'Plan mensual'!M247+parametros_recargas!$H$77*'Plan mensual'!M248+parametros_recargas!$I$77*'Plan mensual'!M249+parametros_recargas!$J$77*'Plan mensual'!M250+parametros_recargas!$K$77*'Plan mensual'!M251+parametros_recargas!$L$77*'Plan mensual'!M252+parametros_recargas!$M$77*'Plan mensual'!M254</f>
        <v>14780.7615237543</v>
      </c>
      <c r="L227" s="26" t="n">
        <f aca="false">parametros_recargas!$E$77*'Plan mensual'!N245+parametros_recargas!$F$77*'Plan mensual'!N246+parametros_recargas!$G$77*'Plan mensual'!N247+parametros_recargas!$H$77*'Plan mensual'!N248+parametros_recargas!$I$77*'Plan mensual'!N249+parametros_recargas!$J$77*'Plan mensual'!N250+parametros_recargas!$K$77*'Plan mensual'!N251+parametros_recargas!$L$77*'Plan mensual'!N252+parametros_recargas!$M$77*'Plan mensual'!N254</f>
        <v>17069.0332452395</v>
      </c>
      <c r="M227" s="26" t="n">
        <f aca="false">parametros_recargas!$E$77*'Plan mensual'!O245+parametros_recargas!$F$77*'Plan mensual'!O246+parametros_recargas!$G$77*'Plan mensual'!O247+parametros_recargas!$H$77*'Plan mensual'!O248+parametros_recargas!$I$77*'Plan mensual'!O249+parametros_recargas!$J$77*'Plan mensual'!O250+parametros_recargas!$K$77*'Plan mensual'!O251+parametros_recargas!$L$77*'Plan mensual'!O252+parametros_recargas!$M$77*'Plan mensual'!O254</f>
        <v>19643.0153860665</v>
      </c>
      <c r="N227" s="12" t="n">
        <f aca="false">SUM(B227:M227)</f>
        <v>192936.218698435</v>
      </c>
      <c r="O227" s="27" t="n">
        <f aca="false">MAX(B227:M227)</f>
        <v>19643.0153860665</v>
      </c>
      <c r="P227" s="16" t="n">
        <f aca="false">O227/parametros_recargas!$B$6</f>
        <v>130.95343590711</v>
      </c>
    </row>
    <row r="228" customFormat="false" ht="15" hidden="false" customHeight="false" outlineLevel="0" collapsed="false">
      <c r="A228" s="6" t="str">
        <f aca="false">parametros_recargas!$B$78</f>
        <v>Descarga ABC — ruta recuperable</v>
      </c>
      <c r="B228" s="26" t="n">
        <f aca="false">parametros_recargas!$E$78*'Plan mensual'!D245+parametros_recargas!$F$78*'Plan mensual'!D246+parametros_recargas!$G$78*'Plan mensual'!D247+parametros_recargas!$H$78*'Plan mensual'!D248+parametros_recargas!$I$78*'Plan mensual'!D249+parametros_recargas!$J$78*'Plan mensual'!D250+parametros_recargas!$K$78*'Plan mensual'!D251+parametros_recargas!$L$78*'Plan mensual'!D252+parametros_recargas!$M$78*'Plan mensual'!D254</f>
        <v>13934.5290477569</v>
      </c>
      <c r="C228" s="26" t="n">
        <f aca="false">parametros_recargas!$E$78*'Plan mensual'!E245+parametros_recargas!$F$78*'Plan mensual'!E246+parametros_recargas!$G$78*'Plan mensual'!E247+parametros_recargas!$H$78*'Plan mensual'!E248+parametros_recargas!$I$78*'Plan mensual'!E249+parametros_recargas!$J$78*'Plan mensual'!E250+parametros_recargas!$K$78*'Plan mensual'!E251+parametros_recargas!$L$78*'Plan mensual'!E252+parametros_recargas!$M$78*'Plan mensual'!E254</f>
        <v>11883.2866178689</v>
      </c>
      <c r="D228" s="26" t="n">
        <f aca="false">parametros_recargas!$E$78*'Plan mensual'!F245+parametros_recargas!$F$78*'Plan mensual'!F246+parametros_recargas!$G$78*'Plan mensual'!F247+parametros_recargas!$H$78*'Plan mensual'!F248+parametros_recargas!$I$78*'Plan mensual'!F249+parametros_recargas!$J$78*'Plan mensual'!F250+parametros_recargas!$K$78*'Plan mensual'!F251+parametros_recargas!$L$78*'Plan mensual'!F252+parametros_recargas!$M$78*'Plan mensual'!F254</f>
        <v>10881.7685350446</v>
      </c>
      <c r="E228" s="26" t="n">
        <f aca="false">parametros_recargas!$E$78*'Plan mensual'!G245+parametros_recargas!$F$78*'Plan mensual'!G246+parametros_recargas!$G$78*'Plan mensual'!G247+parametros_recargas!$H$78*'Plan mensual'!G248+parametros_recargas!$I$78*'Plan mensual'!G249+parametros_recargas!$J$78*'Plan mensual'!G250+parametros_recargas!$K$78*'Plan mensual'!G251+parametros_recargas!$L$78*'Plan mensual'!G252+parametros_recargas!$M$78*'Plan mensual'!G254</f>
        <v>11880.0046778786</v>
      </c>
      <c r="F228" s="26" t="n">
        <f aca="false">parametros_recargas!$E$78*'Plan mensual'!H245+parametros_recargas!$F$78*'Plan mensual'!H246+parametros_recargas!$G$78*'Plan mensual'!H247+parametros_recargas!$H$78*'Plan mensual'!H248+parametros_recargas!$I$78*'Plan mensual'!H249+parametros_recargas!$J$78*'Plan mensual'!H250+parametros_recargas!$K$78*'Plan mensual'!H251+parametros_recargas!$L$78*'Plan mensual'!H252+parametros_recargas!$M$78*'Plan mensual'!H254</f>
        <v>11959.8618652196</v>
      </c>
      <c r="G228" s="26" t="n">
        <f aca="false">parametros_recargas!$E$78*'Plan mensual'!I245+parametros_recargas!$F$78*'Plan mensual'!I246+parametros_recargas!$G$78*'Plan mensual'!I247+parametros_recargas!$H$78*'Plan mensual'!I248+parametros_recargas!$I$78*'Plan mensual'!I249+parametros_recargas!$J$78*'Plan mensual'!I250+parametros_recargas!$K$78*'Plan mensual'!I251+parametros_recargas!$L$78*'Plan mensual'!I252+parametros_recargas!$M$78*'Plan mensual'!I254</f>
        <v>11852.5833323975</v>
      </c>
      <c r="H228" s="26" t="n">
        <f aca="false">parametros_recargas!$E$78*'Plan mensual'!J245+parametros_recargas!$F$78*'Plan mensual'!J246+parametros_recargas!$G$78*'Plan mensual'!J247+parametros_recargas!$H$78*'Plan mensual'!J248+parametros_recargas!$I$78*'Plan mensual'!J249+parametros_recargas!$J$78*'Plan mensual'!J250+parametros_recargas!$K$78*'Plan mensual'!J251+parametros_recargas!$L$78*'Plan mensual'!J252+parametros_recargas!$M$78*'Plan mensual'!J254</f>
        <v>10681.4655414435</v>
      </c>
      <c r="I228" s="26" t="n">
        <f aca="false">parametros_recargas!$E$78*'Plan mensual'!K245+parametros_recargas!$F$78*'Plan mensual'!K246+parametros_recargas!$G$78*'Plan mensual'!K247+parametros_recargas!$H$78*'Plan mensual'!K248+parametros_recargas!$I$78*'Plan mensual'!K249+parametros_recargas!$J$78*'Plan mensual'!K250+parametros_recargas!$K$78*'Plan mensual'!K251+parametros_recargas!$L$78*'Plan mensual'!K252+parametros_recargas!$M$78*'Plan mensual'!K254</f>
        <v>10775.4376398526</v>
      </c>
      <c r="J228" s="26" t="n">
        <f aca="false">parametros_recargas!$E$78*'Plan mensual'!L245+parametros_recargas!$F$78*'Plan mensual'!L246+parametros_recargas!$G$78*'Plan mensual'!L247+parametros_recargas!$H$78*'Plan mensual'!L248+parametros_recargas!$I$78*'Plan mensual'!L249+parametros_recargas!$J$78*'Plan mensual'!L250+parametros_recargas!$K$78*'Plan mensual'!L251+parametros_recargas!$L$78*'Plan mensual'!L252+parametros_recargas!$M$78*'Plan mensual'!L254</f>
        <v>10869.572421966</v>
      </c>
      <c r="K228" s="26" t="n">
        <f aca="false">parametros_recargas!$E$78*'Plan mensual'!M245+parametros_recargas!$F$78*'Plan mensual'!M246+parametros_recargas!$G$78*'Plan mensual'!M247+parametros_recargas!$H$78*'Plan mensual'!M248+parametros_recargas!$I$78*'Plan mensual'!M249+parametros_recargas!$J$78*'Plan mensual'!M250+parametros_recargas!$K$78*'Plan mensual'!M251+parametros_recargas!$L$78*'Plan mensual'!M252+parametros_recargas!$M$78*'Plan mensual'!M254</f>
        <v>10869.572421966</v>
      </c>
      <c r="L228" s="26" t="n">
        <f aca="false">parametros_recargas!$E$78*'Plan mensual'!N245+parametros_recargas!$F$78*'Plan mensual'!N246+parametros_recargas!$G$78*'Plan mensual'!N247+parametros_recargas!$H$78*'Plan mensual'!N248+parametros_recargas!$I$78*'Plan mensual'!N249+parametros_recargas!$J$78*'Plan mensual'!N250+parametros_recargas!$K$78*'Plan mensual'!N251+parametros_recargas!$L$78*'Plan mensual'!N252+parametros_recargas!$M$78*'Plan mensual'!N254</f>
        <v>12840.9576645131</v>
      </c>
      <c r="M228" s="26" t="n">
        <f aca="false">parametros_recargas!$E$78*'Plan mensual'!O245+parametros_recargas!$F$78*'Plan mensual'!O246+parametros_recargas!$G$78*'Plan mensual'!O247+parametros_recargas!$H$78*'Plan mensual'!O248+parametros_recargas!$I$78*'Plan mensual'!O249+parametros_recargas!$J$78*'Plan mensual'!O250+parametros_recargas!$K$78*'Plan mensual'!O251+parametros_recargas!$L$78*'Plan mensual'!O252+parametros_recargas!$M$78*'Plan mensual'!O254</f>
        <v>14999.4786272232</v>
      </c>
      <c r="N228" s="12" t="n">
        <f aca="false">SUM(B228:M228)</f>
        <v>143428.51839313</v>
      </c>
      <c r="O228" s="27" t="n">
        <f aca="false">MAX(B228:M228)</f>
        <v>14999.4786272232</v>
      </c>
      <c r="P228" s="16" t="n">
        <f aca="false">O228/parametros_recargas!$B$6</f>
        <v>99.9965241814882</v>
      </c>
    </row>
    <row r="229" customFormat="false" ht="15" hidden="false" customHeight="false" outlineLevel="0" collapsed="false">
      <c r="A229" s="6" t="str">
        <f aca="false">parametros_recargas!$B$79</f>
        <v>Descarga a descarte (ABC, BC y Clase D)</v>
      </c>
      <c r="B229" s="26" t="n">
        <f aca="false">parametros_recargas!$E$79*'Plan mensual'!D245+parametros_recargas!$F$79*'Plan mensual'!D246+parametros_recargas!$G$79*'Plan mensual'!D247+parametros_recargas!$H$79*'Plan mensual'!D248+parametros_recargas!$I$79*'Plan mensual'!D249+parametros_recargas!$J$79*'Plan mensual'!D250+parametros_recargas!$K$79*'Plan mensual'!D251+parametros_recargas!$L$79*'Plan mensual'!D252+parametros_recargas!$M$79*'Plan mensual'!D254</f>
        <v>1582.79201897529</v>
      </c>
      <c r="C229" s="26" t="n">
        <f aca="false">parametros_recargas!$E$79*'Plan mensual'!E245+parametros_recargas!$F$79*'Plan mensual'!E246+parametros_recargas!$G$79*'Plan mensual'!E247+parametros_recargas!$H$79*'Plan mensual'!E248+parametros_recargas!$I$79*'Plan mensual'!E249+parametros_recargas!$J$79*'Plan mensual'!E250+parametros_recargas!$K$79*'Plan mensual'!E251+parametros_recargas!$L$79*'Plan mensual'!E252+parametros_recargas!$M$79*'Plan mensual'!E254</f>
        <v>1354.87619343217</v>
      </c>
      <c r="D229" s="26" t="n">
        <f aca="false">parametros_recargas!$E$79*'Plan mensual'!F245+parametros_recargas!$F$79*'Plan mensual'!F246+parametros_recargas!$G$79*'Plan mensual'!F247+parametros_recargas!$H$79*'Plan mensual'!F248+parametros_recargas!$I$79*'Plan mensual'!F249+parametros_recargas!$J$79*'Plan mensual'!F250+parametros_recargas!$K$79*'Plan mensual'!F251+parametros_recargas!$L$79*'Plan mensual'!F252+parametros_recargas!$M$79*'Plan mensual'!F254</f>
        <v>1243.59640645169</v>
      </c>
      <c r="E229" s="26" t="n">
        <f aca="false">parametros_recargas!$E$79*'Plan mensual'!G245+parametros_recargas!$F$79*'Plan mensual'!G246+parametros_recargas!$G$79*'Plan mensual'!G247+parametros_recargas!$H$79*'Plan mensual'!G248+parametros_recargas!$I$79*'Plan mensual'!G249+parametros_recargas!$J$79*'Plan mensual'!G250+parametros_recargas!$K$79*'Plan mensual'!G251+parametros_recargas!$L$79*'Plan mensual'!G252+parametros_recargas!$M$79*'Plan mensual'!G254</f>
        <v>1354.51153343325</v>
      </c>
      <c r="F229" s="26" t="n">
        <f aca="false">parametros_recargas!$E$79*'Plan mensual'!H245+parametros_recargas!$F$79*'Plan mensual'!H246+parametros_recargas!$G$79*'Plan mensual'!H247+parametros_recargas!$H$79*'Plan mensual'!H248+parametros_recargas!$I$79*'Plan mensual'!H249+parametros_recargas!$J$79*'Plan mensual'!H250+parametros_recargas!$K$79*'Plan mensual'!H251+parametros_recargas!$L$79*'Plan mensual'!H252+parametros_recargas!$M$79*'Plan mensual'!H254</f>
        <v>1363.38455424892</v>
      </c>
      <c r="G229" s="26" t="n">
        <f aca="false">parametros_recargas!$E$79*'Plan mensual'!I245+parametros_recargas!$F$79*'Plan mensual'!I246+parametros_recargas!$G$79*'Plan mensual'!I247+parametros_recargas!$H$79*'Plan mensual'!I248+parametros_recargas!$I$79*'Plan mensual'!I249+parametros_recargas!$J$79*'Plan mensual'!I250+parametros_recargas!$K$79*'Plan mensual'!I251+parametros_recargas!$L$79*'Plan mensual'!I252+parametros_recargas!$M$79*'Plan mensual'!I254</f>
        <v>1351.46471726868</v>
      </c>
      <c r="H229" s="26" t="n">
        <f aca="false">parametros_recargas!$E$79*'Plan mensual'!J245+parametros_recargas!$F$79*'Plan mensual'!J246+parametros_recargas!$G$79*'Plan mensual'!J247+parametros_recargas!$H$79*'Plan mensual'!J248+parametros_recargas!$I$79*'Plan mensual'!J249+parametros_recargas!$J$79*'Plan mensual'!J250+parametros_recargas!$K$79*'Plan mensual'!J251+parametros_recargas!$L$79*'Plan mensual'!J252+parametros_recargas!$M$79*'Plan mensual'!J254</f>
        <v>1221.3405182738</v>
      </c>
      <c r="I229" s="26" t="n">
        <f aca="false">parametros_recargas!$E$79*'Plan mensual'!K245+parametros_recargas!$F$79*'Plan mensual'!K246+parametros_recargas!$G$79*'Plan mensual'!K247+parametros_recargas!$H$79*'Plan mensual'!K248+parametros_recargas!$I$79*'Plan mensual'!K249+parametros_recargas!$J$79*'Plan mensual'!K250+parametros_recargas!$K$79*'Plan mensual'!K251+parametros_recargas!$L$79*'Plan mensual'!K252+parametros_recargas!$M$79*'Plan mensual'!K254</f>
        <v>1231.78186254147</v>
      </c>
      <c r="J229" s="26" t="n">
        <f aca="false">parametros_recargas!$E$79*'Plan mensual'!L245+parametros_recargas!$F$79*'Plan mensual'!L246+parametros_recargas!$G$79*'Plan mensual'!L247+parametros_recargas!$H$79*'Plan mensual'!L248+parametros_recargas!$I$79*'Plan mensual'!L249+parametros_recargas!$J$79*'Plan mensual'!L250+parametros_recargas!$K$79*'Plan mensual'!L251+parametros_recargas!$L$79*'Plan mensual'!L252+parametros_recargas!$M$79*'Plan mensual'!L254</f>
        <v>1242.2412827763</v>
      </c>
      <c r="K229" s="26" t="n">
        <f aca="false">parametros_recargas!$E$79*'Plan mensual'!M245+parametros_recargas!$F$79*'Plan mensual'!M246+parametros_recargas!$G$79*'Plan mensual'!M247+parametros_recargas!$H$79*'Plan mensual'!M248+parametros_recargas!$I$79*'Plan mensual'!M249+parametros_recargas!$J$79*'Plan mensual'!M250+parametros_recargas!$K$79*'Plan mensual'!M251+parametros_recargas!$L$79*'Plan mensual'!M252+parametros_recargas!$M$79*'Plan mensual'!M254</f>
        <v>1242.2412827763</v>
      </c>
      <c r="L229" s="26" t="n">
        <f aca="false">parametros_recargas!$E$79*'Plan mensual'!N245+parametros_recargas!$F$79*'Plan mensual'!N246+parametros_recargas!$G$79*'Plan mensual'!N247+parametros_recargas!$H$79*'Plan mensual'!N248+parametros_recargas!$I$79*'Plan mensual'!N249+parametros_recargas!$J$79*'Plan mensual'!N250+parametros_recargas!$K$79*'Plan mensual'!N251+parametros_recargas!$L$79*'Plan mensual'!N252+parametros_recargas!$M$79*'Plan mensual'!N254</f>
        <v>1461.28408750375</v>
      </c>
      <c r="M229" s="26" t="n">
        <f aca="false">parametros_recargas!$E$79*'Plan mensual'!O245+parametros_recargas!$F$79*'Plan mensual'!O246+parametros_recargas!$G$79*'Plan mensual'!O247+parametros_recargas!$H$79*'Plan mensual'!O248+parametros_recargas!$I$79*'Plan mensual'!O249+parametros_recargas!$J$79*'Plan mensual'!O250+parametros_recargas!$K$79*'Plan mensual'!O251+parametros_recargas!$L$79*'Plan mensual'!O252+parametros_recargas!$M$79*'Plan mensual'!O254</f>
        <v>1701.1197500271</v>
      </c>
      <c r="N229" s="12" t="n">
        <f aca="false">SUM(B229:M229)</f>
        <v>16350.6342077087</v>
      </c>
      <c r="O229" s="27" t="n">
        <f aca="false">MAX(B229:M229)</f>
        <v>1701.1197500271</v>
      </c>
      <c r="P229" s="16" t="n">
        <f aca="false">O229/parametros_recargas!$B$6</f>
        <v>11.340798333514</v>
      </c>
    </row>
    <row r="230" customFormat="false" ht="15" hidden="false" customHeight="false" outlineLevel="0" collapsed="false">
      <c r="A230" s="6" t="str">
        <f aca="false">parametros_recargas!$B$80</f>
        <v>Descarga y carga de agua / AFFF / sales K</v>
      </c>
      <c r="B230" s="26" t="n">
        <f aca="false">parametros_recargas!$E$80*'Plan mensual'!D245+parametros_recargas!$F$80*'Plan mensual'!D246+parametros_recargas!$G$80*'Plan mensual'!D247+parametros_recargas!$H$80*'Plan mensual'!D248+parametros_recargas!$I$80*'Plan mensual'!D249+parametros_recargas!$J$80*'Plan mensual'!D250+parametros_recargas!$K$80*'Plan mensual'!D251+parametros_recargas!$L$80*'Plan mensual'!D252+parametros_recargas!$M$80*'Plan mensual'!D254</f>
        <v>655.772538826265</v>
      </c>
      <c r="C230" s="26" t="n">
        <f aca="false">parametros_recargas!$E$80*'Plan mensual'!E245+parametros_recargas!$F$80*'Plan mensual'!E246+parametros_recargas!$G$80*'Plan mensual'!E247+parametros_recargas!$H$80*'Plan mensual'!E248+parametros_recargas!$I$80*'Plan mensual'!E249+parametros_recargas!$J$80*'Plan mensual'!E250+parametros_recargas!$K$80*'Plan mensual'!E251+parametros_recargas!$L$80*'Plan mensual'!E252+parametros_recargas!$M$80*'Plan mensual'!E254</f>
        <v>655.772538826265</v>
      </c>
      <c r="D230" s="26" t="n">
        <f aca="false">parametros_recargas!$E$80*'Plan mensual'!F245+parametros_recargas!$F$80*'Plan mensual'!F246+parametros_recargas!$G$80*'Plan mensual'!F247+parametros_recargas!$H$80*'Plan mensual'!F248+parametros_recargas!$I$80*'Plan mensual'!F249+parametros_recargas!$J$80*'Plan mensual'!F250+parametros_recargas!$K$80*'Plan mensual'!F251+parametros_recargas!$L$80*'Plan mensual'!F252+parametros_recargas!$M$80*'Plan mensual'!F254</f>
        <v>742.874721818819</v>
      </c>
      <c r="E230" s="26" t="n">
        <f aca="false">parametros_recargas!$E$80*'Plan mensual'!G245+parametros_recargas!$F$80*'Plan mensual'!G246+parametros_recargas!$G$80*'Plan mensual'!G247+parametros_recargas!$H$80*'Plan mensual'!G248+parametros_recargas!$I$80*'Plan mensual'!G249+parametros_recargas!$J$80*'Plan mensual'!G250+parametros_recargas!$K$80*'Plan mensual'!G251+parametros_recargas!$L$80*'Plan mensual'!G252+parametros_recargas!$M$80*'Plan mensual'!G254</f>
        <v>827.057821036697</v>
      </c>
      <c r="F230" s="26" t="n">
        <f aca="false">parametros_recargas!$E$80*'Plan mensual'!H245+parametros_recargas!$F$80*'Plan mensual'!H246+parametros_recargas!$G$80*'Plan mensual'!H247+parametros_recargas!$H$80*'Plan mensual'!H248+parametros_recargas!$I$80*'Plan mensual'!H249+parametros_recargas!$J$80*'Plan mensual'!H250+parametros_recargas!$K$80*'Plan mensual'!H251+parametros_recargas!$L$80*'Plan mensual'!H252+parametros_recargas!$M$80*'Plan mensual'!H254</f>
        <v>833.931868196534</v>
      </c>
      <c r="G230" s="26" t="n">
        <f aca="false">parametros_recargas!$E$80*'Plan mensual'!I245+parametros_recargas!$F$80*'Plan mensual'!I246+parametros_recargas!$G$80*'Plan mensual'!I247+parametros_recargas!$H$80*'Plan mensual'!I248+parametros_recargas!$I$80*'Plan mensual'!I249+parametros_recargas!$J$80*'Plan mensual'!I250+parametros_recargas!$K$80*'Plan mensual'!I251+parametros_recargas!$L$80*'Plan mensual'!I252+parametros_recargas!$M$80*'Plan mensual'!I254</f>
        <v>818.972801861473</v>
      </c>
      <c r="H230" s="26" t="n">
        <f aca="false">parametros_recargas!$E$80*'Plan mensual'!J245+parametros_recargas!$F$80*'Plan mensual'!J246+parametros_recargas!$G$80*'Plan mensual'!J247+parametros_recargas!$H$80*'Plan mensual'!J248+parametros_recargas!$I$80*'Plan mensual'!J249+parametros_recargas!$J$80*'Plan mensual'!J250+parametros_recargas!$K$80*'Plan mensual'!J251+parametros_recargas!$L$80*'Plan mensual'!J252+parametros_recargas!$M$80*'Plan mensual'!J254</f>
        <v>716.944659978454</v>
      </c>
      <c r="I230" s="26" t="n">
        <f aca="false">parametros_recargas!$E$80*'Plan mensual'!K245+parametros_recargas!$F$80*'Plan mensual'!K246+parametros_recargas!$G$80*'Plan mensual'!K247+parametros_recargas!$H$80*'Plan mensual'!K248+parametros_recargas!$I$80*'Plan mensual'!K249+parametros_recargas!$J$80*'Plan mensual'!K250+parametros_recargas!$K$80*'Plan mensual'!K251+parametros_recargas!$L$80*'Plan mensual'!K252+parametros_recargas!$M$80*'Plan mensual'!K254</f>
        <v>723.785599693695</v>
      </c>
      <c r="J230" s="26" t="n">
        <f aca="false">parametros_recargas!$E$80*'Plan mensual'!L245+parametros_recargas!$F$80*'Plan mensual'!L246+parametros_recargas!$G$80*'Plan mensual'!L247+parametros_recargas!$H$80*'Plan mensual'!L248+parametros_recargas!$I$80*'Plan mensual'!L249+parametros_recargas!$J$80*'Plan mensual'!L250+parametros_recargas!$K$80*'Plan mensual'!L251+parametros_recargas!$L$80*'Plan mensual'!L252+parametros_recargas!$M$80*'Plan mensual'!L254</f>
        <v>738.042114464014</v>
      </c>
      <c r="K230" s="26" t="n">
        <f aca="false">parametros_recargas!$E$80*'Plan mensual'!M245+parametros_recargas!$F$80*'Plan mensual'!M246+parametros_recargas!$G$80*'Plan mensual'!M247+parametros_recargas!$H$80*'Plan mensual'!M248+parametros_recargas!$I$80*'Plan mensual'!M249+parametros_recargas!$J$80*'Plan mensual'!M250+parametros_recargas!$K$80*'Plan mensual'!M251+parametros_recargas!$L$80*'Plan mensual'!M252+parametros_recargas!$M$80*'Plan mensual'!M254</f>
        <v>738.042114464014</v>
      </c>
      <c r="L230" s="26" t="n">
        <f aca="false">parametros_recargas!$E$80*'Plan mensual'!N245+parametros_recargas!$F$80*'Plan mensual'!N246+parametros_recargas!$G$80*'Plan mensual'!N247+parametros_recargas!$H$80*'Plan mensual'!N248+parametros_recargas!$I$80*'Plan mensual'!N249+parametros_recargas!$J$80*'Plan mensual'!N250+parametros_recargas!$K$80*'Plan mensual'!N251+parametros_recargas!$L$80*'Plan mensual'!N252+parametros_recargas!$M$80*'Plan mensual'!N254</f>
        <v>731.168067304178</v>
      </c>
      <c r="M230" s="26" t="n">
        <f aca="false">parametros_recargas!$E$80*'Plan mensual'!O245+parametros_recargas!$F$80*'Plan mensual'!O246+parametros_recargas!$G$80*'Plan mensual'!O247+parametros_recargas!$H$80*'Plan mensual'!O248+parametros_recargas!$I$80*'Plan mensual'!O249+parametros_recargas!$J$80*'Plan mensual'!O250+parametros_recargas!$K$80*'Plan mensual'!O251+parametros_recargas!$L$80*'Plan mensual'!O252+parametros_recargas!$M$80*'Plan mensual'!O254</f>
        <v>746.127133639238</v>
      </c>
      <c r="N230" s="12" t="n">
        <f aca="false">SUM(B230:M230)</f>
        <v>8928.49198010965</v>
      </c>
      <c r="O230" s="27" t="n">
        <f aca="false">MAX(B230:M230)</f>
        <v>833.931868196534</v>
      </c>
      <c r="P230" s="16" t="n">
        <f aca="false">O230/parametros_recargas!$B$6</f>
        <v>5.55954578797689</v>
      </c>
    </row>
    <row r="231" customFormat="false" ht="15" hidden="false" customHeight="false" outlineLevel="0" collapsed="false">
      <c r="A231" s="6" t="str">
        <f aca="false">parametros_recargas!$B$81</f>
        <v>Recuperación y carga de CO₂</v>
      </c>
      <c r="B231" s="26" t="n">
        <f aca="false">parametros_recargas!$E$81*'Plan mensual'!D245+parametros_recargas!$F$81*'Plan mensual'!D246+parametros_recargas!$G$81*'Plan mensual'!D247+parametros_recargas!$H$81*'Plan mensual'!D248+parametros_recargas!$I$81*'Plan mensual'!D249+parametros_recargas!$J$81*'Plan mensual'!D250+parametros_recargas!$K$81*'Plan mensual'!D251+parametros_recargas!$L$81*'Plan mensual'!D252+parametros_recargas!$M$81*'Plan mensual'!D254</f>
        <v>585.902778585514</v>
      </c>
      <c r="C231" s="26" t="n">
        <f aca="false">parametros_recargas!$E$81*'Plan mensual'!E245+parametros_recargas!$F$81*'Plan mensual'!E246+parametros_recargas!$G$81*'Plan mensual'!E247+parametros_recargas!$H$81*'Plan mensual'!E248+parametros_recargas!$I$81*'Plan mensual'!E249+parametros_recargas!$J$81*'Plan mensual'!E250+parametros_recargas!$K$81*'Plan mensual'!E251+parametros_recargas!$L$81*'Plan mensual'!E252+parametros_recargas!$M$81*'Plan mensual'!E254</f>
        <v>585.902778585514</v>
      </c>
      <c r="D231" s="26" t="n">
        <f aca="false">parametros_recargas!$E$81*'Plan mensual'!F245+parametros_recargas!$F$81*'Plan mensual'!F246+parametros_recargas!$G$81*'Plan mensual'!F247+parametros_recargas!$H$81*'Plan mensual'!F248+parametros_recargas!$I$81*'Plan mensual'!F249+parametros_recargas!$J$81*'Plan mensual'!F250+parametros_recargas!$K$81*'Plan mensual'!F251+parametros_recargas!$L$81*'Plan mensual'!F252+parametros_recargas!$M$81*'Plan mensual'!F254</f>
        <v>740.977530640979</v>
      </c>
      <c r="E231" s="26" t="n">
        <f aca="false">parametros_recargas!$E$81*'Plan mensual'!G245+parametros_recargas!$F$81*'Plan mensual'!G246+parametros_recargas!$G$81*'Plan mensual'!G247+parametros_recargas!$H$81*'Plan mensual'!G248+parametros_recargas!$I$81*'Plan mensual'!G249+parametros_recargas!$J$81*'Plan mensual'!G250+parametros_recargas!$K$81*'Plan mensual'!G251+parametros_recargas!$L$81*'Plan mensual'!G252+parametros_recargas!$M$81*'Plan mensual'!G254</f>
        <v>893.24307490622</v>
      </c>
      <c r="F231" s="26" t="n">
        <f aca="false">parametros_recargas!$E$81*'Plan mensual'!H245+parametros_recargas!$F$81*'Plan mensual'!H246+parametros_recargas!$G$81*'Plan mensual'!H247+parametros_recargas!$H$81*'Plan mensual'!H248+parametros_recargas!$I$81*'Plan mensual'!H249+parametros_recargas!$J$81*'Plan mensual'!H250+parametros_recargas!$K$81*'Plan mensual'!H251+parametros_recargas!$L$81*'Plan mensual'!H252+parametros_recargas!$M$81*'Plan mensual'!H254</f>
        <v>899.430567513207</v>
      </c>
      <c r="G231" s="26" t="n">
        <f aca="false">parametros_recargas!$E$81*'Plan mensual'!I245+parametros_recargas!$F$81*'Plan mensual'!I246+parametros_recargas!$G$81*'Plan mensual'!I247+parametros_recargas!$H$81*'Plan mensual'!I248+parametros_recargas!$I$81*'Plan mensual'!I249+parametros_recargas!$J$81*'Plan mensual'!I250+parametros_recargas!$K$81*'Plan mensual'!I251+parametros_recargas!$L$81*'Plan mensual'!I252+parametros_recargas!$M$81*'Plan mensual'!I254</f>
        <v>881.106994069828</v>
      </c>
      <c r="H231" s="26" t="n">
        <f aca="false">parametros_recargas!$E$81*'Plan mensual'!J245+parametros_recargas!$F$81*'Plan mensual'!J246+parametros_recargas!$G$81*'Plan mensual'!J247+parametros_recargas!$H$81*'Plan mensual'!J248+parametros_recargas!$I$81*'Plan mensual'!J249+parametros_recargas!$J$81*'Plan mensual'!J250+parametros_recargas!$K$81*'Plan mensual'!J251+parametros_recargas!$L$81*'Plan mensual'!J252+parametros_recargas!$M$81*'Plan mensual'!J254</f>
        <v>713.119028055056</v>
      </c>
      <c r="I231" s="26" t="n">
        <f aca="false">parametros_recargas!$E$81*'Plan mensual'!K245+parametros_recargas!$F$81*'Plan mensual'!K246+parametros_recargas!$G$81*'Plan mensual'!K247+parametros_recargas!$H$81*'Plan mensual'!K248+parametros_recargas!$I$81*'Plan mensual'!K249+parametros_recargas!$J$81*'Plan mensual'!K250+parametros_recargas!$K$81*'Plan mensual'!K251+parametros_recargas!$L$81*'Plan mensual'!K252+parametros_recargas!$M$81*'Plan mensual'!K254</f>
        <v>713.896161177971</v>
      </c>
      <c r="J231" s="26" t="n">
        <f aca="false">parametros_recargas!$E$81*'Plan mensual'!L245+parametros_recargas!$F$81*'Plan mensual'!L246+parametros_recargas!$G$81*'Plan mensual'!L247+parametros_recargas!$H$81*'Plan mensual'!L248+parametros_recargas!$I$81*'Plan mensual'!L249+parametros_recargas!$J$81*'Plan mensual'!L250+parametros_recargas!$K$81*'Plan mensual'!L251+parametros_recargas!$L$81*'Plan mensual'!L252+parametros_recargas!$M$81*'Plan mensual'!L254</f>
        <v>730.157130732475</v>
      </c>
      <c r="K231" s="26" t="n">
        <f aca="false">parametros_recargas!$E$81*'Plan mensual'!M245+parametros_recargas!$F$81*'Plan mensual'!M246+parametros_recargas!$G$81*'Plan mensual'!M247+parametros_recargas!$H$81*'Plan mensual'!M248+parametros_recargas!$I$81*'Plan mensual'!M249+parametros_recargas!$J$81*'Plan mensual'!M250+parametros_recargas!$K$81*'Plan mensual'!M251+parametros_recargas!$L$81*'Plan mensual'!M252+parametros_recargas!$M$81*'Plan mensual'!M254</f>
        <v>730.157130732475</v>
      </c>
      <c r="L231" s="26" t="n">
        <f aca="false">parametros_recargas!$E$81*'Plan mensual'!N245+parametros_recargas!$F$81*'Plan mensual'!N246+parametros_recargas!$G$81*'Plan mensual'!N247+parametros_recargas!$H$81*'Plan mensual'!N248+parametros_recargas!$I$81*'Plan mensual'!N249+parametros_recargas!$J$81*'Plan mensual'!N250+parametros_recargas!$K$81*'Plan mensual'!N251+parametros_recargas!$L$81*'Plan mensual'!N252+parametros_recargas!$M$81*'Plan mensual'!N254</f>
        <v>723.969638125488</v>
      </c>
      <c r="M231" s="26" t="n">
        <f aca="false">parametros_recargas!$E$81*'Plan mensual'!O245+parametros_recargas!$F$81*'Plan mensual'!O246+parametros_recargas!$G$81*'Plan mensual'!O247+parametros_recargas!$H$81*'Plan mensual'!O248+parametros_recargas!$I$81*'Plan mensual'!O249+parametros_recargas!$J$81*'Plan mensual'!O250+parametros_recargas!$K$81*'Plan mensual'!O251+parametros_recargas!$L$81*'Plan mensual'!O252+parametros_recargas!$M$81*'Plan mensual'!O254</f>
        <v>742.293211568867</v>
      </c>
      <c r="N231" s="12" t="n">
        <f aca="false">SUM(B231:M231)</f>
        <v>8940.1560246936</v>
      </c>
      <c r="O231" s="27" t="n">
        <f aca="false">MAX(B231:M231)</f>
        <v>899.430567513207</v>
      </c>
      <c r="P231" s="16" t="n">
        <f aca="false">O231/parametros_recargas!$B$6</f>
        <v>5.99620378342138</v>
      </c>
    </row>
    <row r="232" customFormat="false" ht="15" hidden="false" customHeight="false" outlineLevel="0" collapsed="false">
      <c r="A232" s="6" t="str">
        <f aca="false">parametros_recargas!$B$82</f>
        <v>Recuperación y carga de halogenado</v>
      </c>
      <c r="B232" s="26" t="n">
        <f aca="false">parametros_recargas!$E$82*'Plan mensual'!D245+parametros_recargas!$F$82*'Plan mensual'!D246+parametros_recargas!$G$82*'Plan mensual'!D247+parametros_recargas!$H$82*'Plan mensual'!D248+parametros_recargas!$I$82*'Plan mensual'!D249+parametros_recargas!$J$82*'Plan mensual'!D250+parametros_recargas!$K$82*'Plan mensual'!D251+parametros_recargas!$L$82*'Plan mensual'!D252+parametros_recargas!$M$82*'Plan mensual'!D254</f>
        <v>18.7739966244586</v>
      </c>
      <c r="C232" s="26" t="n">
        <f aca="false">parametros_recargas!$E$82*'Plan mensual'!E245+parametros_recargas!$F$82*'Plan mensual'!E246+parametros_recargas!$G$82*'Plan mensual'!E247+parametros_recargas!$H$82*'Plan mensual'!E248+parametros_recargas!$I$82*'Plan mensual'!E249+parametros_recargas!$J$82*'Plan mensual'!E250+parametros_recargas!$K$82*'Plan mensual'!E251+parametros_recargas!$L$82*'Plan mensual'!E252+parametros_recargas!$M$82*'Plan mensual'!E254</f>
        <v>18.7739966244586</v>
      </c>
      <c r="D232" s="26" t="n">
        <f aca="false">parametros_recargas!$E$82*'Plan mensual'!F245+parametros_recargas!$F$82*'Plan mensual'!F246+parametros_recargas!$G$82*'Plan mensual'!F247+parametros_recargas!$H$82*'Plan mensual'!F248+parametros_recargas!$I$82*'Plan mensual'!F249+parametros_recargas!$J$82*'Plan mensual'!F250+parametros_recargas!$K$82*'Plan mensual'!F251+parametros_recargas!$L$82*'Plan mensual'!F252+parametros_recargas!$M$82*'Plan mensual'!F254</f>
        <v>17.575112619238</v>
      </c>
      <c r="E232" s="26" t="n">
        <f aca="false">parametros_recargas!$E$82*'Plan mensual'!G245+parametros_recargas!$F$82*'Plan mensual'!G246+parametros_recargas!$G$82*'Plan mensual'!G247+parametros_recargas!$H$82*'Plan mensual'!G248+parametros_recargas!$I$82*'Plan mensual'!G249+parametros_recargas!$J$82*'Plan mensual'!G250+parametros_recargas!$K$82*'Plan mensual'!G251+parametros_recargas!$L$82*'Plan mensual'!G252+parametros_recargas!$M$82*'Plan mensual'!G254</f>
        <v>17.575112619238</v>
      </c>
      <c r="F232" s="26" t="n">
        <f aca="false">parametros_recargas!$E$82*'Plan mensual'!H245+parametros_recargas!$F$82*'Plan mensual'!H246+parametros_recargas!$G$82*'Plan mensual'!H247+parametros_recargas!$H$82*'Plan mensual'!H248+parametros_recargas!$I$82*'Plan mensual'!H249+parametros_recargas!$J$82*'Plan mensual'!H250+parametros_recargas!$K$82*'Plan mensual'!H251+parametros_recargas!$L$82*'Plan mensual'!H252+parametros_recargas!$M$82*'Plan mensual'!H254</f>
        <v>17.575112619238</v>
      </c>
      <c r="G232" s="26" t="n">
        <f aca="false">parametros_recargas!$E$82*'Plan mensual'!I245+parametros_recargas!$F$82*'Plan mensual'!I246+parametros_recargas!$G$82*'Plan mensual'!I247+parametros_recargas!$H$82*'Plan mensual'!I248+parametros_recargas!$I$82*'Plan mensual'!I249+parametros_recargas!$J$82*'Plan mensual'!I250+parametros_recargas!$K$82*'Plan mensual'!I251+parametros_recargas!$L$82*'Plan mensual'!I252+parametros_recargas!$M$82*'Plan mensual'!I254</f>
        <v>16.3762286140175</v>
      </c>
      <c r="H232" s="26" t="n">
        <f aca="false">parametros_recargas!$E$82*'Plan mensual'!J245+parametros_recargas!$F$82*'Plan mensual'!J246+parametros_recargas!$G$82*'Plan mensual'!J247+parametros_recargas!$H$82*'Plan mensual'!J248+parametros_recargas!$I$82*'Plan mensual'!J249+parametros_recargas!$J$82*'Plan mensual'!J250+parametros_recargas!$K$82*'Plan mensual'!J251+parametros_recargas!$L$82*'Plan mensual'!J252+parametros_recargas!$M$82*'Plan mensual'!J254</f>
        <v>16.3762286140175</v>
      </c>
      <c r="I232" s="26" t="n">
        <f aca="false">parametros_recargas!$E$82*'Plan mensual'!K245+parametros_recargas!$F$82*'Plan mensual'!K246+parametros_recargas!$G$82*'Plan mensual'!K247+parametros_recargas!$H$82*'Plan mensual'!K248+parametros_recargas!$I$82*'Plan mensual'!K249+parametros_recargas!$J$82*'Plan mensual'!K250+parametros_recargas!$K$82*'Plan mensual'!K251+parametros_recargas!$L$82*'Plan mensual'!K252+parametros_recargas!$M$82*'Plan mensual'!K254</f>
        <v>16.3762286140175</v>
      </c>
      <c r="J232" s="26" t="n">
        <f aca="false">parametros_recargas!$E$82*'Plan mensual'!L245+parametros_recargas!$F$82*'Plan mensual'!L246+parametros_recargas!$G$82*'Plan mensual'!L247+parametros_recargas!$H$82*'Plan mensual'!L248+parametros_recargas!$I$82*'Plan mensual'!L249+parametros_recargas!$J$82*'Plan mensual'!L250+parametros_recargas!$K$82*'Plan mensual'!L251+parametros_recargas!$L$82*'Plan mensual'!L252+parametros_recargas!$M$82*'Plan mensual'!L254</f>
        <v>17.575112619238</v>
      </c>
      <c r="K232" s="26" t="n">
        <f aca="false">parametros_recargas!$E$82*'Plan mensual'!M245+parametros_recargas!$F$82*'Plan mensual'!M246+parametros_recargas!$G$82*'Plan mensual'!M247+parametros_recargas!$H$82*'Plan mensual'!M248+parametros_recargas!$I$82*'Plan mensual'!M249+parametros_recargas!$J$82*'Plan mensual'!M250+parametros_recargas!$K$82*'Plan mensual'!M251+parametros_recargas!$L$82*'Plan mensual'!M252+parametros_recargas!$M$82*'Plan mensual'!M254</f>
        <v>17.575112619238</v>
      </c>
      <c r="L232" s="26" t="n">
        <f aca="false">parametros_recargas!$E$82*'Plan mensual'!N245+parametros_recargas!$F$82*'Plan mensual'!N246+parametros_recargas!$G$82*'Plan mensual'!N247+parametros_recargas!$H$82*'Plan mensual'!N248+parametros_recargas!$I$82*'Plan mensual'!N249+parametros_recargas!$J$82*'Plan mensual'!N250+parametros_recargas!$K$82*'Plan mensual'!N251+parametros_recargas!$L$82*'Plan mensual'!N252+parametros_recargas!$M$82*'Plan mensual'!N254</f>
        <v>17.575112619238</v>
      </c>
      <c r="M232" s="26" t="n">
        <f aca="false">parametros_recargas!$E$82*'Plan mensual'!O245+parametros_recargas!$F$82*'Plan mensual'!O246+parametros_recargas!$G$82*'Plan mensual'!O247+parametros_recargas!$H$82*'Plan mensual'!O248+parametros_recargas!$I$82*'Plan mensual'!O249+parametros_recargas!$J$82*'Plan mensual'!O250+parametros_recargas!$K$82*'Plan mensual'!O251+parametros_recargas!$L$82*'Plan mensual'!O252+parametros_recargas!$M$82*'Plan mensual'!O254</f>
        <v>18.7739966244586</v>
      </c>
      <c r="N232" s="12" t="n">
        <f aca="false">SUM(B232:M232)</f>
        <v>210.901351430857</v>
      </c>
      <c r="O232" s="27" t="n">
        <f aca="false">MAX(B232:M232)</f>
        <v>18.7739966244586</v>
      </c>
      <c r="P232" s="16" t="n">
        <f aca="false">O232/parametros_recargas!$B$6</f>
        <v>0.125159977496391</v>
      </c>
    </row>
    <row r="233" customFormat="false" ht="15" hidden="false" customHeight="false" outlineLevel="0" collapsed="false">
      <c r="A233" s="6" t="str">
        <f aca="false">parametros_recargas!$B$83</f>
        <v>Desarme y limpieza — recinto</v>
      </c>
      <c r="B233" s="26" t="n">
        <f aca="false">parametros_recargas!$E$83*'Plan mensual'!D245+parametros_recargas!$F$83*'Plan mensual'!D246+parametros_recargas!$G$83*'Plan mensual'!D247+parametros_recargas!$H$83*'Plan mensual'!D248+parametros_recargas!$I$83*'Plan mensual'!D249+parametros_recargas!$J$83*'Plan mensual'!D250+parametros_recargas!$K$83*'Plan mensual'!D251+parametros_recargas!$L$83*'Plan mensual'!D252+parametros_recargas!$M$83*'Plan mensual'!D254</f>
        <v>16334.0221755076</v>
      </c>
      <c r="C233" s="26" t="n">
        <f aca="false">parametros_recargas!$E$83*'Plan mensual'!E245+parametros_recargas!$F$83*'Plan mensual'!E246+parametros_recargas!$G$83*'Plan mensual'!E247+parametros_recargas!$H$83*'Plan mensual'!E248+parametros_recargas!$I$83*'Plan mensual'!E249+parametros_recargas!$J$83*'Plan mensual'!E250+parametros_recargas!$K$83*'Plan mensual'!E251+parametros_recargas!$L$83*'Plan mensual'!E252+parametros_recargas!$M$83*'Plan mensual'!E254</f>
        <v>13934.9082224222</v>
      </c>
      <c r="D233" s="26" t="n">
        <f aca="false">parametros_recargas!$E$83*'Plan mensual'!F245+parametros_recargas!$F$83*'Plan mensual'!F246+parametros_recargas!$G$83*'Plan mensual'!F247+parametros_recargas!$H$83*'Plan mensual'!F248+parametros_recargas!$I$83*'Plan mensual'!F249+parametros_recargas!$J$83*'Plan mensual'!F250+parametros_recargas!$K$83*'Plan mensual'!F251+parametros_recargas!$L$83*'Plan mensual'!F252+parametros_recargas!$M$83*'Plan mensual'!F254</f>
        <v>12763.5420436803</v>
      </c>
      <c r="E233" s="26" t="n">
        <f aca="false">parametros_recargas!$E$83*'Plan mensual'!G245+parametros_recargas!$F$83*'Plan mensual'!G246+parametros_recargas!$G$83*'Plan mensual'!G247+parametros_recargas!$H$83*'Plan mensual'!G248+parametros_recargas!$I$83*'Plan mensual'!G249+parametros_recargas!$J$83*'Plan mensual'!G250+parametros_recargas!$K$83*'Plan mensual'!G251+parametros_recargas!$L$83*'Plan mensual'!G252+parametros_recargas!$M$83*'Plan mensual'!G254</f>
        <v>13931.0696961178</v>
      </c>
      <c r="F233" s="26" t="n">
        <f aca="false">parametros_recargas!$E$83*'Plan mensual'!H245+parametros_recargas!$F$83*'Plan mensual'!H246+parametros_recargas!$G$83*'Plan mensual'!H247+parametros_recargas!$H$83*'Plan mensual'!H248+parametros_recargas!$I$83*'Plan mensual'!H249+parametros_recargas!$J$83*'Plan mensual'!H250+parametros_recargas!$K$83*'Plan mensual'!H251+parametros_recargas!$L$83*'Plan mensual'!H252+parametros_recargas!$M$83*'Plan mensual'!H254</f>
        <v>14024.46991523</v>
      </c>
      <c r="G233" s="26" t="n">
        <f aca="false">parametros_recargas!$E$83*'Plan mensual'!I245+parametros_recargas!$F$83*'Plan mensual'!I246+parametros_recargas!$G$83*'Plan mensual'!I247+parametros_recargas!$H$83*'Plan mensual'!I248+parametros_recargas!$I$83*'Plan mensual'!I249+parametros_recargas!$J$83*'Plan mensual'!I250+parametros_recargas!$K$83*'Plan mensual'!I251+parametros_recargas!$L$83*'Plan mensual'!I252+parametros_recargas!$M$83*'Plan mensual'!I254</f>
        <v>13898.997947017</v>
      </c>
      <c r="H233" s="26" t="n">
        <f aca="false">parametros_recargas!$E$83*'Plan mensual'!J245+parametros_recargas!$F$83*'Plan mensual'!J246+parametros_recargas!$G$83*'Plan mensual'!J247+parametros_recargas!$H$83*'Plan mensual'!J248+parametros_recargas!$I$83*'Plan mensual'!J249+parametros_recargas!$J$83*'Plan mensual'!J250+parametros_recargas!$K$83*'Plan mensual'!J251+parametros_recargas!$L$83*'Plan mensual'!J252+parametros_recargas!$M$83*'Plan mensual'!J254</f>
        <v>12529.2695365445</v>
      </c>
      <c r="I233" s="26" t="n">
        <f aca="false">parametros_recargas!$E$83*'Plan mensual'!K245+parametros_recargas!$F$83*'Plan mensual'!K246+parametros_recargas!$G$83*'Plan mensual'!K247+parametros_recargas!$H$83*'Plan mensual'!K248+parametros_recargas!$I$83*'Plan mensual'!K249+parametros_recargas!$J$83*'Plan mensual'!K250+parametros_recargas!$K$83*'Plan mensual'!K251+parametros_recargas!$L$83*'Plan mensual'!K252+parametros_recargas!$M$83*'Plan mensual'!K254</f>
        <v>12639.1784235727</v>
      </c>
      <c r="J233" s="26" t="n">
        <f aca="false">parametros_recargas!$E$83*'Plan mensual'!L245+parametros_recargas!$F$83*'Plan mensual'!L246+parametros_recargas!$G$83*'Plan mensual'!L247+parametros_recargas!$H$83*'Plan mensual'!L248+parametros_recargas!$I$83*'Plan mensual'!L249+parametros_recargas!$J$83*'Plan mensual'!L250+parametros_recargas!$K$83*'Plan mensual'!L251+parametros_recargas!$L$83*'Plan mensual'!L252+parametros_recargas!$M$83*'Plan mensual'!L254</f>
        <v>12749.2775839393</v>
      </c>
      <c r="K233" s="26" t="n">
        <f aca="false">parametros_recargas!$E$83*'Plan mensual'!M245+parametros_recargas!$F$83*'Plan mensual'!M246+parametros_recargas!$G$83*'Plan mensual'!M247+parametros_recargas!$H$83*'Plan mensual'!M248+parametros_recargas!$I$83*'Plan mensual'!M249+parametros_recargas!$J$83*'Plan mensual'!M250+parametros_recargas!$K$83*'Plan mensual'!M251+parametros_recargas!$L$83*'Plan mensual'!M252+parametros_recargas!$M$83*'Plan mensual'!M254</f>
        <v>12749.2775839393</v>
      </c>
      <c r="L233" s="26" t="n">
        <f aca="false">parametros_recargas!$E$83*'Plan mensual'!N245+parametros_recargas!$F$83*'Plan mensual'!N246+parametros_recargas!$G$83*'Plan mensual'!N247+parametros_recargas!$H$83*'Plan mensual'!N248+parametros_recargas!$I$83*'Plan mensual'!N249+parametros_recargas!$J$83*'Plan mensual'!N250+parametros_recargas!$K$83*'Plan mensual'!N251+parametros_recargas!$L$83*'Plan mensual'!N252+parametros_recargas!$M$83*'Plan mensual'!N254</f>
        <v>15054.9913179124</v>
      </c>
      <c r="M233" s="26" t="n">
        <f aca="false">parametros_recargas!$E$83*'Plan mensual'!O245+parametros_recargas!$F$83*'Plan mensual'!O246+parametros_recargas!$G$83*'Plan mensual'!O247+parametros_recargas!$H$83*'Plan mensual'!O248+parametros_recargas!$I$83*'Plan mensual'!O249+parametros_recargas!$J$83*'Plan mensual'!O250+parametros_recargas!$K$83*'Plan mensual'!O251+parametros_recargas!$L$83*'Plan mensual'!O252+parametros_recargas!$M$83*'Plan mensual'!O254</f>
        <v>17579.5772392109</v>
      </c>
      <c r="N233" s="12" t="n">
        <f aca="false">SUM(B233:M233)</f>
        <v>168188.581685094</v>
      </c>
      <c r="O233" s="27" t="n">
        <f aca="false">MAX(B233:M233)</f>
        <v>17579.5772392109</v>
      </c>
      <c r="P233" s="16" t="n">
        <f aca="false">O233/parametros_recargas!$B$6</f>
        <v>117.197181594739</v>
      </c>
    </row>
    <row r="234" customFormat="false" ht="15" hidden="false" customHeight="false" outlineLevel="0" collapsed="false">
      <c r="A234" s="6" t="str">
        <f aca="false">parametros_recargas!$B$84</f>
        <v>Desarme e inspección interior — zona general</v>
      </c>
      <c r="B234" s="26" t="n">
        <f aca="false">parametros_recargas!$E$84*'Plan mensual'!D245+parametros_recargas!$F$84*'Plan mensual'!D246+parametros_recargas!$G$84*'Plan mensual'!D247+parametros_recargas!$H$84*'Plan mensual'!D248+parametros_recargas!$I$84*'Plan mensual'!D249+parametros_recargas!$J$84*'Plan mensual'!D250+parametros_recargas!$K$84*'Plan mensual'!D251+parametros_recargas!$L$84*'Plan mensual'!D252+parametros_recargas!$M$84*'Plan mensual'!D254</f>
        <v>998.992151476843</v>
      </c>
      <c r="C234" s="26" t="n">
        <f aca="false">parametros_recargas!$E$84*'Plan mensual'!E245+parametros_recargas!$F$84*'Plan mensual'!E246+parametros_recargas!$G$84*'Plan mensual'!E247+parametros_recargas!$H$84*'Plan mensual'!E248+parametros_recargas!$I$84*'Plan mensual'!E249+parametros_recargas!$J$84*'Plan mensual'!E250+parametros_recargas!$K$84*'Plan mensual'!E251+parametros_recargas!$L$84*'Plan mensual'!E252+parametros_recargas!$M$84*'Plan mensual'!E254</f>
        <v>998.992151476843</v>
      </c>
      <c r="D234" s="26" t="n">
        <f aca="false">parametros_recargas!$E$84*'Plan mensual'!F245+parametros_recargas!$F$84*'Plan mensual'!F246+parametros_recargas!$G$84*'Plan mensual'!F247+parametros_recargas!$H$84*'Plan mensual'!F248+parametros_recargas!$I$84*'Plan mensual'!F249+parametros_recargas!$J$84*'Plan mensual'!F250+parametros_recargas!$K$84*'Plan mensual'!F251+parametros_recargas!$L$84*'Plan mensual'!F252+parametros_recargas!$M$84*'Plan mensual'!F254</f>
        <v>1166.21779752053</v>
      </c>
      <c r="E234" s="26" t="n">
        <f aca="false">parametros_recargas!$E$84*'Plan mensual'!G245+parametros_recargas!$F$84*'Plan mensual'!G246+parametros_recargas!$G$84*'Plan mensual'!G247+parametros_recargas!$H$84*'Plan mensual'!G248+parametros_recargas!$I$84*'Plan mensual'!G249+parametros_recargas!$J$84*'Plan mensual'!G250+parametros_recargas!$K$84*'Plan mensual'!G251+parametros_recargas!$L$84*'Plan mensual'!G252+parametros_recargas!$M$84*'Plan mensual'!G254</f>
        <v>1330.17948436404</v>
      </c>
      <c r="F234" s="26" t="n">
        <f aca="false">parametros_recargas!$E$84*'Plan mensual'!H245+parametros_recargas!$F$84*'Plan mensual'!H246+parametros_recargas!$G$84*'Plan mensual'!H247+parametros_recargas!$H$84*'Plan mensual'!H248+parametros_recargas!$I$84*'Plan mensual'!H249+parametros_recargas!$J$84*'Plan mensual'!H250+parametros_recargas!$K$84*'Plan mensual'!H251+parametros_recargas!$L$84*'Plan mensual'!H252+parametros_recargas!$M$84*'Plan mensual'!H254</f>
        <v>1340.47717549136</v>
      </c>
      <c r="G234" s="26" t="n">
        <f aca="false">parametros_recargas!$E$84*'Plan mensual'!I245+parametros_recargas!$F$84*'Plan mensual'!I246+parametros_recargas!$G$84*'Plan mensual'!I247+parametros_recargas!$H$84*'Plan mensual'!I248+parametros_recargas!$I$84*'Plan mensual'!I249+parametros_recargas!$J$84*'Plan mensual'!I250+parametros_recargas!$K$84*'Plan mensual'!I251+parametros_recargas!$L$84*'Plan mensual'!I252+parametros_recargas!$M$84*'Plan mensual'!I254</f>
        <v>1314.4645705581</v>
      </c>
      <c r="H234" s="26" t="n">
        <f aca="false">parametros_recargas!$E$84*'Plan mensual'!J245+parametros_recargas!$F$84*'Plan mensual'!J246+parametros_recargas!$G$84*'Plan mensual'!J247+parametros_recargas!$H$84*'Plan mensual'!J248+parametros_recargas!$I$84*'Plan mensual'!J249+parametros_recargas!$J$84*'Plan mensual'!J250+parametros_recargas!$K$84*'Plan mensual'!J251+parametros_recargas!$L$84*'Plan mensual'!J252+parametros_recargas!$M$84*'Plan mensual'!J254</f>
        <v>1123.93846081392</v>
      </c>
      <c r="I234" s="26" t="n">
        <f aca="false">parametros_recargas!$E$84*'Plan mensual'!K245+parametros_recargas!$F$84*'Plan mensual'!K246+parametros_recargas!$G$84*'Plan mensual'!K247+parametros_recargas!$H$84*'Plan mensual'!K248+parametros_recargas!$I$84*'Plan mensual'!K249+parametros_recargas!$J$84*'Plan mensual'!K250+parametros_recargas!$K$84*'Plan mensual'!K251+parametros_recargas!$L$84*'Plan mensual'!K252+parametros_recargas!$M$84*'Plan mensual'!K254</f>
        <v>1131.52401070847</v>
      </c>
      <c r="J234" s="26" t="n">
        <f aca="false">parametros_recargas!$E$84*'Plan mensual'!L245+parametros_recargas!$F$84*'Plan mensual'!L246+parametros_recargas!$G$84*'Plan mensual'!L247+parametros_recargas!$H$84*'Plan mensual'!L248+parametros_recargas!$I$84*'Plan mensual'!L249+parametros_recargas!$J$84*'Plan mensual'!L250+parametros_recargas!$K$84*'Plan mensual'!L251+parametros_recargas!$L$84*'Plan mensual'!L252+parametros_recargas!$M$84*'Plan mensual'!L254</f>
        <v>1155.77641771322</v>
      </c>
      <c r="K234" s="26" t="n">
        <f aca="false">parametros_recargas!$E$84*'Plan mensual'!M245+parametros_recargas!$F$84*'Plan mensual'!M246+parametros_recargas!$G$84*'Plan mensual'!M247+parametros_recargas!$H$84*'Plan mensual'!M248+parametros_recargas!$I$84*'Plan mensual'!M249+parametros_recargas!$J$84*'Plan mensual'!M250+parametros_recargas!$K$84*'Plan mensual'!M251+parametros_recargas!$L$84*'Plan mensual'!M252+parametros_recargas!$M$84*'Plan mensual'!M254</f>
        <v>1155.77641771322</v>
      </c>
      <c r="L234" s="26" t="n">
        <f aca="false">parametros_recargas!$E$84*'Plan mensual'!N245+parametros_recargas!$F$84*'Plan mensual'!N246+parametros_recargas!$G$84*'Plan mensual'!N247+parametros_recargas!$H$84*'Plan mensual'!N248+parametros_recargas!$I$84*'Plan mensual'!N249+parametros_recargas!$J$84*'Plan mensual'!N250+parametros_recargas!$K$84*'Plan mensual'!N251+parametros_recargas!$L$84*'Plan mensual'!N252+parametros_recargas!$M$84*'Plan mensual'!N254</f>
        <v>1145.4787265859</v>
      </c>
      <c r="M234" s="26" t="n">
        <f aca="false">parametros_recargas!$E$84*'Plan mensual'!O245+parametros_recargas!$F$84*'Plan mensual'!O246+parametros_recargas!$G$84*'Plan mensual'!O247+parametros_recargas!$H$84*'Plan mensual'!O248+parametros_recargas!$I$84*'Plan mensual'!O249+parametros_recargas!$J$84*'Plan mensual'!O250+parametros_recargas!$K$84*'Plan mensual'!O251+parametros_recargas!$L$84*'Plan mensual'!O252+parametros_recargas!$M$84*'Plan mensual'!O254</f>
        <v>1171.49133151916</v>
      </c>
      <c r="N234" s="12" t="n">
        <f aca="false">SUM(B234:M234)</f>
        <v>14033.3086959416</v>
      </c>
      <c r="O234" s="27" t="n">
        <f aca="false">MAX(B234:M234)</f>
        <v>1340.47717549136</v>
      </c>
      <c r="P234" s="16" t="n">
        <f aca="false">O234/parametros_recargas!$B$6</f>
        <v>8.93651450327573</v>
      </c>
    </row>
    <row r="235" customFormat="false" ht="15" hidden="false" customHeight="false" outlineLevel="0" collapsed="false">
      <c r="A235" s="6" t="str">
        <f aca="false">parametros_recargas!$B$85</f>
        <v>Laboratorio — Puffer y mufla</v>
      </c>
      <c r="B235" s="26" t="n">
        <f aca="false">parametros_recargas!$E$85*'Plan mensual'!D245+parametros_recargas!$F$85*'Plan mensual'!D246+parametros_recargas!$G$85*'Plan mensual'!D247+parametros_recargas!$H$85*'Plan mensual'!D248+parametros_recargas!$I$85*'Plan mensual'!D249+parametros_recargas!$J$85*'Plan mensual'!D250+parametros_recargas!$K$85*'Plan mensual'!D251+parametros_recargas!$L$85*'Plan mensual'!D252+parametros_recargas!$M$85*'Plan mensual'!D254</f>
        <v>169.606719012913</v>
      </c>
      <c r="C235" s="26" t="n">
        <f aca="false">parametros_recargas!$E$85*'Plan mensual'!E245+parametros_recargas!$F$85*'Plan mensual'!E246+parametros_recargas!$G$85*'Plan mensual'!E247+parametros_recargas!$H$85*'Plan mensual'!E248+parametros_recargas!$I$85*'Plan mensual'!E249+parametros_recargas!$J$85*'Plan mensual'!E250+parametros_recargas!$K$85*'Plan mensual'!E251+parametros_recargas!$L$85*'Plan mensual'!E252+parametros_recargas!$M$85*'Plan mensual'!E254</f>
        <v>144.639639232819</v>
      </c>
      <c r="D235" s="26" t="n">
        <f aca="false">parametros_recargas!$E$85*'Plan mensual'!F245+parametros_recargas!$F$85*'Plan mensual'!F246+parametros_recargas!$G$85*'Plan mensual'!F247+parametros_recargas!$H$85*'Plan mensual'!F248+parametros_recargas!$I$85*'Plan mensual'!F249+parametros_recargas!$J$85*'Plan mensual'!F250+parametros_recargas!$K$85*'Plan mensual'!F251+parametros_recargas!$L$85*'Plan mensual'!F252+parametros_recargas!$M$85*'Plan mensual'!F254</f>
        <v>132.44947511046</v>
      </c>
      <c r="E235" s="26" t="n">
        <f aca="false">parametros_recargas!$E$85*'Plan mensual'!G245+parametros_recargas!$F$85*'Plan mensual'!G246+parametros_recargas!$G$85*'Plan mensual'!G247+parametros_recargas!$H$85*'Plan mensual'!G248+parametros_recargas!$I$85*'Plan mensual'!G249+parametros_recargas!$J$85*'Plan mensual'!G250+parametros_recargas!$K$85*'Plan mensual'!G251+parametros_recargas!$L$85*'Plan mensual'!G252+parametros_recargas!$M$85*'Plan mensual'!G254</f>
        <v>144.599692488165</v>
      </c>
      <c r="F235" s="26" t="n">
        <f aca="false">parametros_recargas!$E$85*'Plan mensual'!H245+parametros_recargas!$F$85*'Plan mensual'!H246+parametros_recargas!$G$85*'Plan mensual'!H247+parametros_recargas!$H$85*'Plan mensual'!H248+parametros_recargas!$I$85*'Plan mensual'!H249+parametros_recargas!$J$85*'Plan mensual'!H250+parametros_recargas!$K$85*'Plan mensual'!H251+parametros_recargas!$L$85*'Plan mensual'!H252+parametros_recargas!$M$85*'Plan mensual'!H254</f>
        <v>145.571689136784</v>
      </c>
      <c r="G235" s="26" t="n">
        <f aca="false">parametros_recargas!$E$85*'Plan mensual'!I245+parametros_recargas!$F$85*'Plan mensual'!I246+parametros_recargas!$G$85*'Plan mensual'!I247+parametros_recargas!$H$85*'Plan mensual'!I248+parametros_recargas!$I$85*'Plan mensual'!I249+parametros_recargas!$J$85*'Plan mensual'!I250+parametros_recargas!$K$85*'Plan mensual'!I251+parametros_recargas!$L$85*'Plan mensual'!I252+parametros_recargas!$M$85*'Plan mensual'!I254</f>
        <v>144.26592846772</v>
      </c>
      <c r="H235" s="26" t="n">
        <f aca="false">parametros_recargas!$E$85*'Plan mensual'!J245+parametros_recargas!$F$85*'Plan mensual'!J246+parametros_recargas!$G$85*'Plan mensual'!J247+parametros_recargas!$H$85*'Plan mensual'!J248+parametros_recargas!$I$85*'Plan mensual'!J249+parametros_recargas!$J$85*'Plan mensual'!J250+parametros_recargas!$K$85*'Plan mensual'!J251+parametros_recargas!$L$85*'Plan mensual'!J252+parametros_recargas!$M$85*'Plan mensual'!J254</f>
        <v>130.011449868508</v>
      </c>
      <c r="I235" s="26" t="n">
        <f aca="false">parametros_recargas!$E$85*'Plan mensual'!K245+parametros_recargas!$F$85*'Plan mensual'!K246+parametros_recargas!$G$85*'Plan mensual'!K247+parametros_recargas!$H$85*'Plan mensual'!K248+parametros_recargas!$I$85*'Plan mensual'!K249+parametros_recargas!$J$85*'Plan mensual'!K250+parametros_recargas!$K$85*'Plan mensual'!K251+parametros_recargas!$L$85*'Plan mensual'!K252+parametros_recargas!$M$85*'Plan mensual'!K254</f>
        <v>131.155248789541</v>
      </c>
      <c r="J235" s="26" t="n">
        <f aca="false">parametros_recargas!$E$85*'Plan mensual'!L245+parametros_recargas!$F$85*'Plan mensual'!L246+parametros_recargas!$G$85*'Plan mensual'!L247+parametros_recargas!$H$85*'Plan mensual'!L248+parametros_recargas!$I$85*'Plan mensual'!L249+parametros_recargas!$J$85*'Plan mensual'!L250+parametros_recargas!$K$85*'Plan mensual'!L251+parametros_recargas!$L$85*'Plan mensual'!L252+parametros_recargas!$M$85*'Plan mensual'!L254</f>
        <v>132.30102784562</v>
      </c>
      <c r="K235" s="26" t="n">
        <f aca="false">parametros_recargas!$E$85*'Plan mensual'!M245+parametros_recargas!$F$85*'Plan mensual'!M246+parametros_recargas!$G$85*'Plan mensual'!M247+parametros_recargas!$H$85*'Plan mensual'!M248+parametros_recargas!$I$85*'Plan mensual'!M249+parametros_recargas!$J$85*'Plan mensual'!M250+parametros_recargas!$K$85*'Plan mensual'!M251+parametros_recargas!$L$85*'Plan mensual'!M252+parametros_recargas!$M$85*'Plan mensual'!M254</f>
        <v>132.30102784562</v>
      </c>
      <c r="L235" s="26" t="n">
        <f aca="false">parametros_recargas!$E$85*'Plan mensual'!N245+parametros_recargas!$F$85*'Plan mensual'!N246+parametros_recargas!$G$85*'Plan mensual'!N247+parametros_recargas!$H$85*'Plan mensual'!N248+parametros_recargas!$I$85*'Plan mensual'!N249+parametros_recargas!$J$85*'Plan mensual'!N250+parametros_recargas!$K$85*'Plan mensual'!N251+parametros_recargas!$L$85*'Plan mensual'!N252+parametros_recargas!$M$85*'Plan mensual'!N254</f>
        <v>156.296110977095</v>
      </c>
      <c r="M235" s="26" t="n">
        <f aca="false">parametros_recargas!$E$85*'Plan mensual'!O245+parametros_recargas!$F$85*'Plan mensual'!O246+parametros_recargas!$G$85*'Plan mensual'!O247+parametros_recargas!$H$85*'Plan mensual'!O248+parametros_recargas!$I$85*'Plan mensual'!O249+parametros_recargas!$J$85*'Plan mensual'!O250+parametros_recargas!$K$85*'Plan mensual'!O251+parametros_recargas!$L$85*'Plan mensual'!O252+parametros_recargas!$M$85*'Plan mensual'!O254</f>
        <v>182.568951426253</v>
      </c>
      <c r="N235" s="12" t="n">
        <f aca="false">SUM(B235:M235)</f>
        <v>1745.7669602015</v>
      </c>
      <c r="O235" s="27" t="n">
        <f aca="false">MAX(B235:M235)</f>
        <v>182.568951426253</v>
      </c>
      <c r="P235" s="16" t="n">
        <f aca="false">O235/parametros_recargas!$B$6</f>
        <v>1.21712634284169</v>
      </c>
    </row>
    <row r="236" customFormat="false" ht="15" hidden="false" customHeight="false" outlineLevel="0" collapsed="false">
      <c r="A236" s="6" t="str">
        <f aca="false">parametros_recargas!$B$86</f>
        <v>Prueba hidráulica</v>
      </c>
      <c r="B236" s="26" t="n">
        <f aca="false">parametros_recargas!$E$86*'Plan mensual'!D245+parametros_recargas!$F$86*'Plan mensual'!D246+parametros_recargas!$G$86*'Plan mensual'!D247+parametros_recargas!$H$86*'Plan mensual'!D248+parametros_recargas!$I$86*'Plan mensual'!D249+parametros_recargas!$J$86*'Plan mensual'!D250+parametros_recargas!$K$86*'Plan mensual'!D251+parametros_recargas!$L$86*'Plan mensual'!D252+parametros_recargas!$M$86*'Plan mensual'!D254</f>
        <v>4718.1827203332</v>
      </c>
      <c r="C236" s="26" t="n">
        <f aca="false">parametros_recargas!$E$86*'Plan mensual'!E245+parametros_recargas!$F$86*'Plan mensual'!E246+parametros_recargas!$G$86*'Plan mensual'!E247+parametros_recargas!$H$86*'Plan mensual'!E248+parametros_recargas!$I$86*'Plan mensual'!E249+parametros_recargas!$J$86*'Plan mensual'!E250+parametros_recargas!$K$86*'Plan mensual'!E251+parametros_recargas!$L$86*'Plan mensual'!E252+parametros_recargas!$M$86*'Plan mensual'!E254</f>
        <v>4118.40423206185</v>
      </c>
      <c r="D236" s="26" t="n">
        <f aca="false">parametros_recargas!$E$86*'Plan mensual'!F245+parametros_recargas!$F$86*'Plan mensual'!F246+parametros_recargas!$G$86*'Plan mensual'!F247+parametros_recargas!$H$86*'Plan mensual'!F248+parametros_recargas!$I$86*'Plan mensual'!F249+parametros_recargas!$J$86*'Plan mensual'!F250+parametros_recargas!$K$86*'Plan mensual'!F251+parametros_recargas!$L$86*'Plan mensual'!F252+parametros_recargas!$M$86*'Plan mensual'!F254</f>
        <v>3939.0822726487</v>
      </c>
      <c r="E236" s="26" t="n">
        <f aca="false">parametros_recargas!$E$86*'Plan mensual'!G245+parametros_recargas!$F$86*'Plan mensual'!G246+parametros_recargas!$G$86*'Plan mensual'!G247+parametros_recargas!$H$86*'Plan mensual'!G248+parametros_recargas!$I$86*'Plan mensual'!G249+parametros_recargas!$J$86*'Plan mensual'!G250+parametros_recargas!$K$86*'Plan mensual'!G251+parametros_recargas!$L$86*'Plan mensual'!G252+parametros_recargas!$M$86*'Plan mensual'!G254</f>
        <v>4342.49168467671</v>
      </c>
      <c r="F236" s="26" t="n">
        <f aca="false">parametros_recargas!$E$86*'Plan mensual'!H245+parametros_recargas!$F$86*'Plan mensual'!H246+parametros_recargas!$G$86*'Plan mensual'!H247+parametros_recargas!$H$86*'Plan mensual'!H248+parametros_recargas!$I$86*'Plan mensual'!H249+parametros_recargas!$J$86*'Plan mensual'!H250+parametros_recargas!$K$86*'Plan mensual'!H251+parametros_recargas!$L$86*'Plan mensual'!H252+parametros_recargas!$M$86*'Plan mensual'!H254</f>
        <v>4372.37299431145</v>
      </c>
      <c r="G236" s="26" t="n">
        <f aca="false">parametros_recargas!$E$86*'Plan mensual'!I245+parametros_recargas!$F$86*'Plan mensual'!I246+parametros_recargas!$G$86*'Plan mensual'!I247+parametros_recargas!$H$86*'Plan mensual'!I248+parametros_recargas!$I$86*'Plan mensual'!I249+parametros_recargas!$J$86*'Plan mensual'!I250+parametros_recargas!$K$86*'Plan mensual'!I251+parametros_recargas!$L$86*'Plan mensual'!I252+parametros_recargas!$M$86*'Plan mensual'!I254</f>
        <v>4323.93203169131</v>
      </c>
      <c r="H236" s="26" t="n">
        <f aca="false">parametros_recargas!$E$86*'Plan mensual'!J245+parametros_recargas!$F$86*'Plan mensual'!J246+parametros_recargas!$G$86*'Plan mensual'!J247+parametros_recargas!$H$86*'Plan mensual'!J248+parametros_recargas!$I$86*'Plan mensual'!J249+parametros_recargas!$J$86*'Plan mensual'!J250+parametros_recargas!$K$86*'Plan mensual'!J251+parametros_recargas!$L$86*'Plan mensual'!J252+parametros_recargas!$M$86*'Plan mensual'!J254</f>
        <v>3853.1576167778</v>
      </c>
      <c r="I236" s="26" t="n">
        <f aca="false">parametros_recargas!$E$86*'Plan mensual'!K245+parametros_recargas!$F$86*'Plan mensual'!K246+parametros_recargas!$G$86*'Plan mensual'!K247+parametros_recargas!$H$86*'Plan mensual'!K248+parametros_recargas!$I$86*'Plan mensual'!K249+parametros_recargas!$J$86*'Plan mensual'!K250+parametros_recargas!$K$86*'Plan mensual'!K251+parametros_recargas!$L$86*'Plan mensual'!K252+parametros_recargas!$M$86*'Plan mensual'!K254</f>
        <v>3884.91584984769</v>
      </c>
      <c r="J236" s="26" t="n">
        <f aca="false">parametros_recargas!$E$86*'Plan mensual'!L245+parametros_recargas!$F$86*'Plan mensual'!L246+parametros_recargas!$G$86*'Plan mensual'!L247+parametros_recargas!$H$86*'Plan mensual'!L248+parametros_recargas!$I$86*'Plan mensual'!L249+parametros_recargas!$J$86*'Plan mensual'!L250+parametros_recargas!$K$86*'Plan mensual'!L251+parametros_recargas!$L$86*'Plan mensual'!L252+parametros_recargas!$M$86*'Plan mensual'!L254</f>
        <v>3928.25631182194</v>
      </c>
      <c r="K236" s="26" t="n">
        <f aca="false">parametros_recargas!$E$86*'Plan mensual'!M245+parametros_recargas!$F$86*'Plan mensual'!M246+parametros_recargas!$G$86*'Plan mensual'!M247+parametros_recargas!$H$86*'Plan mensual'!M248+parametros_recargas!$I$86*'Plan mensual'!M249+parametros_recargas!$J$86*'Plan mensual'!M250+parametros_recargas!$K$86*'Plan mensual'!M251+parametros_recargas!$L$86*'Plan mensual'!M252+parametros_recargas!$M$86*'Plan mensual'!M254</f>
        <v>3928.25631182194</v>
      </c>
      <c r="L236" s="26" t="n">
        <f aca="false">parametros_recargas!$E$86*'Plan mensual'!N245+parametros_recargas!$F$86*'Plan mensual'!N246+parametros_recargas!$G$86*'Plan mensual'!N247+parametros_recargas!$H$86*'Plan mensual'!N248+parametros_recargas!$I$86*'Plan mensual'!N249+parametros_recargas!$J$86*'Plan mensual'!N250+parametros_recargas!$K$86*'Plan mensual'!N251+parametros_recargas!$L$86*'Plan mensual'!N252+parametros_recargas!$M$86*'Plan mensual'!N254</f>
        <v>4498.15349045856</v>
      </c>
      <c r="M236" s="26" t="n">
        <f aca="false">parametros_recargas!$E$86*'Plan mensual'!O245+parametros_recargas!$F$86*'Plan mensual'!O246+parametros_recargas!$G$86*'Plan mensual'!O247+parametros_recargas!$H$86*'Plan mensual'!O248+parametros_recargas!$I$86*'Plan mensual'!O249+parametros_recargas!$J$86*'Plan mensual'!O250+parametros_recargas!$K$86*'Plan mensual'!O251+parametros_recargas!$L$86*'Plan mensual'!O252+parametros_recargas!$M$86*'Plan mensual'!O254</f>
        <v>5146.37294135006</v>
      </c>
      <c r="N236" s="12" t="n">
        <f aca="false">SUM(B236:M236)</f>
        <v>51053.5784578012</v>
      </c>
      <c r="O236" s="27" t="n">
        <f aca="false">MAX(B236:M236)</f>
        <v>5146.37294135006</v>
      </c>
      <c r="P236" s="16" t="n">
        <f aca="false">O236/parametros_recargas!$B$6</f>
        <v>34.3091529423337</v>
      </c>
    </row>
    <row r="237" customFormat="false" ht="15" hidden="false" customHeight="false" outlineLevel="0" collapsed="false">
      <c r="A237" s="6" t="str">
        <f aca="false">parametros_recargas!$B$87</f>
        <v>Secado</v>
      </c>
      <c r="B237" s="26" t="n">
        <f aca="false">parametros_recargas!$E$87*'Plan mensual'!D245+parametros_recargas!$F$87*'Plan mensual'!D246+parametros_recargas!$G$87*'Plan mensual'!D247+parametros_recargas!$H$87*'Plan mensual'!D248+parametros_recargas!$I$87*'Plan mensual'!D249+parametros_recargas!$J$87*'Plan mensual'!D250+parametros_recargas!$K$87*'Plan mensual'!D251+parametros_recargas!$L$87*'Plan mensual'!D252+parametros_recargas!$M$87*'Plan mensual'!D254</f>
        <v>4501.86515645202</v>
      </c>
      <c r="C237" s="26" t="n">
        <f aca="false">parametros_recargas!$E$87*'Plan mensual'!E245+parametros_recargas!$F$87*'Plan mensual'!E246+parametros_recargas!$G$87*'Plan mensual'!E247+parametros_recargas!$H$87*'Plan mensual'!E248+parametros_recargas!$I$87*'Plan mensual'!E249+parametros_recargas!$J$87*'Plan mensual'!E250+parametros_recargas!$K$87*'Plan mensual'!E251+parametros_recargas!$L$87*'Plan mensual'!E252+parametros_recargas!$M$87*'Plan mensual'!E254</f>
        <v>3878.09552864981</v>
      </c>
      <c r="D237" s="26" t="n">
        <f aca="false">parametros_recargas!$E$87*'Plan mensual'!F245+parametros_recargas!$F$87*'Plan mensual'!F246+parametros_recargas!$G$87*'Plan mensual'!F247+parametros_recargas!$H$87*'Plan mensual'!F248+parametros_recargas!$I$87*'Plan mensual'!F249+parametros_recargas!$J$87*'Plan mensual'!F250+parametros_recargas!$K$87*'Plan mensual'!F251+parametros_recargas!$L$87*'Plan mensual'!F252+parametros_recargas!$M$87*'Plan mensual'!F254</f>
        <v>3636.63232782198</v>
      </c>
      <c r="E237" s="26" t="n">
        <f aca="false">parametros_recargas!$E$87*'Plan mensual'!G245+parametros_recargas!$F$87*'Plan mensual'!G246+parametros_recargas!$G$87*'Plan mensual'!G247+parametros_recargas!$H$87*'Plan mensual'!G248+parametros_recargas!$I$87*'Plan mensual'!G249+parametros_recargas!$J$87*'Plan mensual'!G250+parametros_recargas!$K$87*'Plan mensual'!G251+parametros_recargas!$L$87*'Plan mensual'!G252+parametros_recargas!$M$87*'Plan mensual'!G254</f>
        <v>4002.97943261664</v>
      </c>
      <c r="F237" s="26" t="n">
        <f aca="false">parametros_recargas!$E$87*'Plan mensual'!H245+parametros_recargas!$F$87*'Plan mensual'!H246+parametros_recargas!$G$87*'Plan mensual'!H247+parametros_recargas!$H$87*'Plan mensual'!H248+parametros_recargas!$I$87*'Plan mensual'!H249+parametros_recargas!$J$87*'Plan mensual'!H250+parametros_recargas!$K$87*'Plan mensual'!H251+parametros_recargas!$L$87*'Plan mensual'!H252+parametros_recargas!$M$87*'Plan mensual'!H254</f>
        <v>4029.81503292892</v>
      </c>
      <c r="G237" s="26" t="n">
        <f aca="false">parametros_recargas!$E$87*'Plan mensual'!I245+parametros_recargas!$F$87*'Plan mensual'!I246+parametros_recargas!$G$87*'Plan mensual'!I247+parametros_recargas!$H$87*'Plan mensual'!I248+parametros_recargas!$I$87*'Plan mensual'!I249+parametros_recargas!$J$87*'Plan mensual'!I250+parametros_recargas!$K$87*'Plan mensual'!I251+parametros_recargas!$L$87*'Plan mensual'!I252+parametros_recargas!$M$87*'Plan mensual'!I254</f>
        <v>3988.77986271536</v>
      </c>
      <c r="H237" s="26" t="n">
        <f aca="false">parametros_recargas!$E$87*'Plan mensual'!J245+parametros_recargas!$F$87*'Plan mensual'!J246+parametros_recargas!$G$87*'Plan mensual'!J247+parametros_recargas!$H$87*'Plan mensual'!J248+parametros_recargas!$I$87*'Plan mensual'!J249+parametros_recargas!$J$87*'Plan mensual'!J250+parametros_recargas!$K$87*'Plan mensual'!J251+parametros_recargas!$L$87*'Plan mensual'!J252+parametros_recargas!$M$87*'Plan mensual'!J254</f>
        <v>3563.37708794519</v>
      </c>
      <c r="I237" s="26" t="n">
        <f aca="false">parametros_recargas!$E$87*'Plan mensual'!K245+parametros_recargas!$F$87*'Plan mensual'!K246+parametros_recargas!$G$87*'Plan mensual'!K247+parametros_recargas!$H$87*'Plan mensual'!K248+parametros_recargas!$I$87*'Plan mensual'!K249+parametros_recargas!$J$87*'Plan mensual'!K250+parametros_recargas!$K$87*'Plan mensual'!K251+parametros_recargas!$L$87*'Plan mensual'!K252+parametros_recargas!$M$87*'Plan mensual'!K254</f>
        <v>3592.2738658397</v>
      </c>
      <c r="J237" s="26" t="n">
        <f aca="false">parametros_recargas!$E$87*'Plan mensual'!L245+parametros_recargas!$F$87*'Plan mensual'!L246+parametros_recargas!$G$87*'Plan mensual'!L247+parametros_recargas!$H$87*'Plan mensual'!L248+parametros_recargas!$I$87*'Plan mensual'!L249+parametros_recargas!$J$87*'Plan mensual'!L250+parametros_recargas!$K$87*'Plan mensual'!L251+parametros_recargas!$L$87*'Plan mensual'!L252+parametros_recargas!$M$87*'Plan mensual'!L254</f>
        <v>3628.46154770848</v>
      </c>
      <c r="K237" s="26" t="n">
        <f aca="false">parametros_recargas!$E$87*'Plan mensual'!M245+parametros_recargas!$F$87*'Plan mensual'!M246+parametros_recargas!$G$87*'Plan mensual'!M247+parametros_recargas!$H$87*'Plan mensual'!M248+parametros_recargas!$I$87*'Plan mensual'!M249+parametros_recargas!$J$87*'Plan mensual'!M250+parametros_recargas!$K$87*'Plan mensual'!M251+parametros_recargas!$L$87*'Plan mensual'!M252+parametros_recargas!$M$87*'Plan mensual'!M254</f>
        <v>3628.46154770848</v>
      </c>
      <c r="L237" s="26" t="n">
        <f aca="false">parametros_recargas!$E$87*'Plan mensual'!N245+parametros_recargas!$F$87*'Plan mensual'!N246+parametros_recargas!$G$87*'Plan mensual'!N247+parametros_recargas!$H$87*'Plan mensual'!N248+parametros_recargas!$I$87*'Plan mensual'!N249+parametros_recargas!$J$87*'Plan mensual'!N250+parametros_recargas!$K$87*'Plan mensual'!N251+parametros_recargas!$L$87*'Plan mensual'!N252+parametros_recargas!$M$87*'Plan mensual'!N254</f>
        <v>4225.39557519842</v>
      </c>
      <c r="M237" s="26" t="n">
        <f aca="false">parametros_recargas!$E$87*'Plan mensual'!O245+parametros_recargas!$F$87*'Plan mensual'!O246+parametros_recargas!$G$87*'Plan mensual'!O247+parametros_recargas!$H$87*'Plan mensual'!O248+parametros_recargas!$I$87*'Plan mensual'!O249+parametros_recargas!$J$87*'Plan mensual'!O250+parametros_recargas!$K$87*'Plan mensual'!O251+parametros_recargas!$L$87*'Plan mensual'!O252+parametros_recargas!$M$87*'Plan mensual'!O254</f>
        <v>4890.20037321419</v>
      </c>
      <c r="N237" s="12" t="n">
        <f aca="false">SUM(B237:M237)</f>
        <v>47566.3373387992</v>
      </c>
      <c r="O237" s="27" t="n">
        <f aca="false">MAX(B237:M237)</f>
        <v>4890.20037321419</v>
      </c>
      <c r="P237" s="16" t="n">
        <f aca="false">O237/parametros_recargas!$B$6</f>
        <v>32.6013358214279</v>
      </c>
    </row>
    <row r="238" customFormat="false" ht="15" hidden="false" customHeight="false" outlineLevel="0" collapsed="false">
      <c r="A238" s="6" t="str">
        <f aca="false">parametros_recargas!$B$88</f>
        <v>Inspección interior con videoscopio</v>
      </c>
      <c r="B238" s="26" t="n">
        <f aca="false">parametros_recargas!$E$88*'Plan mensual'!D245+parametros_recargas!$F$88*'Plan mensual'!D246+parametros_recargas!$G$88*'Plan mensual'!D247+parametros_recargas!$H$88*'Plan mensual'!D248+parametros_recargas!$I$88*'Plan mensual'!D249+parametros_recargas!$J$88*'Plan mensual'!D250+parametros_recargas!$K$88*'Plan mensual'!D251+parametros_recargas!$L$88*'Plan mensual'!D252+parametros_recargas!$M$88*'Plan mensual'!D254</f>
        <v>4501.86515645202</v>
      </c>
      <c r="C238" s="26" t="n">
        <f aca="false">parametros_recargas!$E$88*'Plan mensual'!E245+parametros_recargas!$F$88*'Plan mensual'!E246+parametros_recargas!$G$88*'Plan mensual'!E247+parametros_recargas!$H$88*'Plan mensual'!E248+parametros_recargas!$I$88*'Plan mensual'!E249+parametros_recargas!$J$88*'Plan mensual'!E250+parametros_recargas!$K$88*'Plan mensual'!E251+parametros_recargas!$L$88*'Plan mensual'!E252+parametros_recargas!$M$88*'Plan mensual'!E254</f>
        <v>3878.09552864981</v>
      </c>
      <c r="D238" s="26" t="n">
        <f aca="false">parametros_recargas!$E$88*'Plan mensual'!F245+parametros_recargas!$F$88*'Plan mensual'!F246+parametros_recargas!$G$88*'Plan mensual'!F247+parametros_recargas!$H$88*'Plan mensual'!F248+parametros_recargas!$I$88*'Plan mensual'!F249+parametros_recargas!$J$88*'Plan mensual'!F250+parametros_recargas!$K$88*'Plan mensual'!F251+parametros_recargas!$L$88*'Plan mensual'!F252+parametros_recargas!$M$88*'Plan mensual'!F254</f>
        <v>3636.63232782198</v>
      </c>
      <c r="E238" s="26" t="n">
        <f aca="false">parametros_recargas!$E$88*'Plan mensual'!G245+parametros_recargas!$F$88*'Plan mensual'!G246+parametros_recargas!$G$88*'Plan mensual'!G247+parametros_recargas!$H$88*'Plan mensual'!G248+parametros_recargas!$I$88*'Plan mensual'!G249+parametros_recargas!$J$88*'Plan mensual'!G250+parametros_recargas!$K$88*'Plan mensual'!G251+parametros_recargas!$L$88*'Plan mensual'!G252+parametros_recargas!$M$88*'Plan mensual'!G254</f>
        <v>4002.97943261664</v>
      </c>
      <c r="F238" s="26" t="n">
        <f aca="false">parametros_recargas!$E$88*'Plan mensual'!H245+parametros_recargas!$F$88*'Plan mensual'!H246+parametros_recargas!$G$88*'Plan mensual'!H247+parametros_recargas!$H$88*'Plan mensual'!H248+parametros_recargas!$I$88*'Plan mensual'!H249+parametros_recargas!$J$88*'Plan mensual'!H250+parametros_recargas!$K$88*'Plan mensual'!H251+parametros_recargas!$L$88*'Plan mensual'!H252+parametros_recargas!$M$88*'Plan mensual'!H254</f>
        <v>4029.81503292892</v>
      </c>
      <c r="G238" s="26" t="n">
        <f aca="false">parametros_recargas!$E$88*'Plan mensual'!I245+parametros_recargas!$F$88*'Plan mensual'!I246+parametros_recargas!$G$88*'Plan mensual'!I247+parametros_recargas!$H$88*'Plan mensual'!I248+parametros_recargas!$I$88*'Plan mensual'!I249+parametros_recargas!$J$88*'Plan mensual'!I250+parametros_recargas!$K$88*'Plan mensual'!I251+parametros_recargas!$L$88*'Plan mensual'!I252+parametros_recargas!$M$88*'Plan mensual'!I254</f>
        <v>3988.77986271536</v>
      </c>
      <c r="H238" s="26" t="n">
        <f aca="false">parametros_recargas!$E$88*'Plan mensual'!J245+parametros_recargas!$F$88*'Plan mensual'!J246+parametros_recargas!$G$88*'Plan mensual'!J247+parametros_recargas!$H$88*'Plan mensual'!J248+parametros_recargas!$I$88*'Plan mensual'!J249+parametros_recargas!$J$88*'Plan mensual'!J250+parametros_recargas!$K$88*'Plan mensual'!J251+parametros_recargas!$L$88*'Plan mensual'!J252+parametros_recargas!$M$88*'Plan mensual'!J254</f>
        <v>3563.37708794519</v>
      </c>
      <c r="I238" s="26" t="n">
        <f aca="false">parametros_recargas!$E$88*'Plan mensual'!K245+parametros_recargas!$F$88*'Plan mensual'!K246+parametros_recargas!$G$88*'Plan mensual'!K247+parametros_recargas!$H$88*'Plan mensual'!K248+parametros_recargas!$I$88*'Plan mensual'!K249+parametros_recargas!$J$88*'Plan mensual'!K250+parametros_recargas!$K$88*'Plan mensual'!K251+parametros_recargas!$L$88*'Plan mensual'!K252+parametros_recargas!$M$88*'Plan mensual'!K254</f>
        <v>3592.2738658397</v>
      </c>
      <c r="J238" s="26" t="n">
        <f aca="false">parametros_recargas!$E$88*'Plan mensual'!L245+parametros_recargas!$F$88*'Plan mensual'!L246+parametros_recargas!$G$88*'Plan mensual'!L247+parametros_recargas!$H$88*'Plan mensual'!L248+parametros_recargas!$I$88*'Plan mensual'!L249+parametros_recargas!$J$88*'Plan mensual'!L250+parametros_recargas!$K$88*'Plan mensual'!L251+parametros_recargas!$L$88*'Plan mensual'!L252+parametros_recargas!$M$88*'Plan mensual'!L254</f>
        <v>3628.46154770848</v>
      </c>
      <c r="K238" s="26" t="n">
        <f aca="false">parametros_recargas!$E$88*'Plan mensual'!M245+parametros_recargas!$F$88*'Plan mensual'!M246+parametros_recargas!$G$88*'Plan mensual'!M247+parametros_recargas!$H$88*'Plan mensual'!M248+parametros_recargas!$I$88*'Plan mensual'!M249+parametros_recargas!$J$88*'Plan mensual'!M250+parametros_recargas!$K$88*'Plan mensual'!M251+parametros_recargas!$L$88*'Plan mensual'!M252+parametros_recargas!$M$88*'Plan mensual'!M254</f>
        <v>3628.46154770848</v>
      </c>
      <c r="L238" s="26" t="n">
        <f aca="false">parametros_recargas!$E$88*'Plan mensual'!N245+parametros_recargas!$F$88*'Plan mensual'!N246+parametros_recargas!$G$88*'Plan mensual'!N247+parametros_recargas!$H$88*'Plan mensual'!N248+parametros_recargas!$I$88*'Plan mensual'!N249+parametros_recargas!$J$88*'Plan mensual'!N250+parametros_recargas!$K$88*'Plan mensual'!N251+parametros_recargas!$L$88*'Plan mensual'!N252+parametros_recargas!$M$88*'Plan mensual'!N254</f>
        <v>4225.39557519842</v>
      </c>
      <c r="M238" s="26" t="n">
        <f aca="false">parametros_recargas!$E$88*'Plan mensual'!O245+parametros_recargas!$F$88*'Plan mensual'!O246+parametros_recargas!$G$88*'Plan mensual'!O247+parametros_recargas!$H$88*'Plan mensual'!O248+parametros_recargas!$I$88*'Plan mensual'!O249+parametros_recargas!$J$88*'Plan mensual'!O250+parametros_recargas!$K$88*'Plan mensual'!O251+parametros_recargas!$L$88*'Plan mensual'!O252+parametros_recargas!$M$88*'Plan mensual'!O254</f>
        <v>4890.20037321419</v>
      </c>
      <c r="N238" s="12" t="n">
        <f aca="false">SUM(B238:M238)</f>
        <v>47566.3373387992</v>
      </c>
      <c r="O238" s="27" t="n">
        <f aca="false">MAX(B238:M238)</f>
        <v>4890.20037321419</v>
      </c>
      <c r="P238" s="16" t="n">
        <f aca="false">O238/parametros_recargas!$B$6</f>
        <v>32.6013358214279</v>
      </c>
    </row>
    <row r="239" customFormat="false" ht="15" hidden="false" customHeight="false" outlineLevel="0" collapsed="false">
      <c r="A239" s="6" t="str">
        <f aca="false">parametros_recargas!$B$89</f>
        <v>Pintura</v>
      </c>
      <c r="B239" s="26" t="n">
        <f aca="false">parametros_recargas!$E$89*'Plan mensual'!D245+parametros_recargas!$F$89*'Plan mensual'!D246+parametros_recargas!$G$89*'Plan mensual'!D247+parametros_recargas!$H$89*'Plan mensual'!D248+parametros_recargas!$I$89*'Plan mensual'!D249+parametros_recargas!$J$89*'Plan mensual'!D250+parametros_recargas!$K$89*'Plan mensual'!D251+parametros_recargas!$L$89*'Plan mensual'!D252+parametros_recargas!$M$89*'Plan mensual'!D254</f>
        <v>2706.65799326442</v>
      </c>
      <c r="C239" s="26" t="n">
        <f aca="false">parametros_recargas!$E$89*'Plan mensual'!E245+parametros_recargas!$F$89*'Plan mensual'!E246+parametros_recargas!$G$89*'Plan mensual'!E247+parametros_recargas!$H$89*'Plan mensual'!E248+parametros_recargas!$I$89*'Plan mensual'!E249+parametros_recargas!$J$89*'Plan mensual'!E250+parametros_recargas!$K$89*'Plan mensual'!E251+parametros_recargas!$L$89*'Plan mensual'!E252+parametros_recargas!$M$89*'Plan mensual'!E254</f>
        <v>2346.7909003016</v>
      </c>
      <c r="D239" s="26" t="n">
        <f aca="false">parametros_recargas!$E$89*'Plan mensual'!F245+parametros_recargas!$F$89*'Plan mensual'!F246+parametros_recargas!$G$89*'Plan mensual'!F247+parametros_recargas!$H$89*'Plan mensual'!F248+parametros_recargas!$I$89*'Plan mensual'!F249+parametros_recargas!$J$89*'Plan mensual'!F250+parametros_recargas!$K$89*'Plan mensual'!F251+parametros_recargas!$L$89*'Plan mensual'!F252+parametros_recargas!$M$89*'Plan mensual'!F254</f>
        <v>2222.69415313934</v>
      </c>
      <c r="E239" s="26" t="n">
        <f aca="false">parametros_recargas!$E$89*'Plan mensual'!G245+parametros_recargas!$F$89*'Plan mensual'!G246+parametros_recargas!$G$89*'Plan mensual'!G247+parametros_recargas!$H$89*'Plan mensual'!G248+parametros_recargas!$I$89*'Plan mensual'!G249+parametros_recargas!$J$89*'Plan mensual'!G250+parametros_recargas!$K$89*'Plan mensual'!G251+parametros_recargas!$L$89*'Plan mensual'!G252+parametros_recargas!$M$89*'Plan mensual'!G254</f>
        <v>2448.78931839907</v>
      </c>
      <c r="F239" s="26" t="n">
        <f aca="false">parametros_recargas!$E$89*'Plan mensual'!H245+parametros_recargas!$F$89*'Plan mensual'!H246+parametros_recargas!$G$89*'Plan mensual'!H247+parametros_recargas!$H$89*'Plan mensual'!H248+parametros_recargas!$I$89*'Plan mensual'!H249+parametros_recargas!$J$89*'Plan mensual'!H250+parametros_recargas!$K$89*'Plan mensual'!H251+parametros_recargas!$L$89*'Plan mensual'!H252+parametros_recargas!$M$89*'Plan mensual'!H254</f>
        <v>2465.41565313911</v>
      </c>
      <c r="G239" s="26" t="n">
        <f aca="false">parametros_recargas!$E$89*'Plan mensual'!I245+parametros_recargas!$F$89*'Plan mensual'!I246+parametros_recargas!$G$89*'Plan mensual'!I247+parametros_recargas!$H$89*'Plan mensual'!I248+parametros_recargas!$I$89*'Plan mensual'!I249+parametros_recargas!$J$89*'Plan mensual'!I250+parametros_recargas!$K$89*'Plan mensual'!I251+parametros_recargas!$L$89*'Plan mensual'!I252+parametros_recargas!$M$89*'Plan mensual'!I254</f>
        <v>2439.18542497787</v>
      </c>
      <c r="H239" s="26" t="n">
        <f aca="false">parametros_recargas!$E$89*'Plan mensual'!J245+parametros_recargas!$F$89*'Plan mensual'!J246+parametros_recargas!$G$89*'Plan mensual'!J247+parametros_recargas!$H$89*'Plan mensual'!J248+parametros_recargas!$I$89*'Plan mensual'!J249+parametros_recargas!$J$89*'Plan mensual'!J250+parametros_recargas!$K$89*'Plan mensual'!J251+parametros_recargas!$L$89*'Plan mensual'!J252+parametros_recargas!$M$89*'Plan mensual'!J254</f>
        <v>2176.0524239655</v>
      </c>
      <c r="I239" s="26" t="n">
        <f aca="false">parametros_recargas!$E$89*'Plan mensual'!K245+parametros_recargas!$F$89*'Plan mensual'!K246+parametros_recargas!$G$89*'Plan mensual'!K247+parametros_recargas!$H$89*'Plan mensual'!K248+parametros_recargas!$I$89*'Plan mensual'!K249+parametros_recargas!$J$89*'Plan mensual'!K250+parametros_recargas!$K$89*'Plan mensual'!K251+parametros_recargas!$L$89*'Plan mensual'!K252+parametros_recargas!$M$89*'Plan mensual'!K254</f>
        <v>2193.81118575612</v>
      </c>
      <c r="J239" s="26" t="n">
        <f aca="false">parametros_recargas!$E$89*'Plan mensual'!L245+parametros_recargas!$F$89*'Plan mensual'!L246+parametros_recargas!$G$89*'Plan mensual'!L247+parametros_recargas!$H$89*'Plan mensual'!L248+parametros_recargas!$I$89*'Plan mensual'!L249+parametros_recargas!$J$89*'Plan mensual'!L250+parametros_recargas!$K$89*'Plan mensual'!L251+parametros_recargas!$L$89*'Plan mensual'!L252+parametros_recargas!$M$89*'Plan mensual'!L254</f>
        <v>2217.11422856314</v>
      </c>
      <c r="K239" s="26" t="n">
        <f aca="false">parametros_recargas!$E$89*'Plan mensual'!M245+parametros_recargas!$F$89*'Plan mensual'!M246+parametros_recargas!$G$89*'Plan mensual'!M247+parametros_recargas!$H$89*'Plan mensual'!M248+parametros_recargas!$I$89*'Plan mensual'!M249+parametros_recargas!$J$89*'Plan mensual'!M250+parametros_recargas!$K$89*'Plan mensual'!M251+parametros_recargas!$L$89*'Plan mensual'!M252+parametros_recargas!$M$89*'Plan mensual'!M254</f>
        <v>2217.11422856314</v>
      </c>
      <c r="L239" s="26" t="n">
        <f aca="false">parametros_recargas!$E$89*'Plan mensual'!N245+parametros_recargas!$F$89*'Plan mensual'!N246+parametros_recargas!$G$89*'Plan mensual'!N247+parametros_recargas!$H$89*'Plan mensual'!N248+parametros_recargas!$I$89*'Plan mensual'!N249+parametros_recargas!$J$89*'Plan mensual'!N250+parametros_recargas!$K$89*'Plan mensual'!N251+parametros_recargas!$L$89*'Plan mensual'!N252+parametros_recargas!$M$89*'Plan mensual'!N254</f>
        <v>2560.35498678592</v>
      </c>
      <c r="M239" s="26" t="n">
        <f aca="false">parametros_recargas!$E$89*'Plan mensual'!O245+parametros_recargas!$F$89*'Plan mensual'!O246+parametros_recargas!$G$89*'Plan mensual'!O247+parametros_recargas!$H$89*'Plan mensual'!O248+parametros_recargas!$I$89*'Plan mensual'!O249+parametros_recargas!$J$89*'Plan mensual'!O250+parametros_recargas!$K$89*'Plan mensual'!O251+parametros_recargas!$L$89*'Plan mensual'!O252+parametros_recargas!$M$89*'Plan mensual'!O254</f>
        <v>2946.45230790997</v>
      </c>
      <c r="N239" s="12" t="n">
        <f aca="false">SUM(B239:M239)</f>
        <v>28940.4328047652</v>
      </c>
      <c r="O239" s="27" t="n">
        <f aca="false">MAX(B239:M239)</f>
        <v>2946.45230790997</v>
      </c>
      <c r="P239" s="16" t="n">
        <f aca="false">O239/parametros_recargas!$B$6</f>
        <v>19.6430153860665</v>
      </c>
    </row>
    <row r="240" customFormat="false" ht="15" hidden="false" customHeight="false" outlineLevel="0" collapsed="false">
      <c r="A240" s="6" t="str">
        <f aca="false">parametros_recargas!$B$90</f>
        <v>Carga de polvo ABC, BC y Clase D</v>
      </c>
      <c r="B240" s="26" t="n">
        <f aca="false">parametros_recargas!$E$90*'Plan mensual'!D245+parametros_recargas!$F$90*'Plan mensual'!D246+parametros_recargas!$G$90*'Plan mensual'!D247+parametros_recargas!$H$90*'Plan mensual'!D248+parametros_recargas!$I$90*'Plan mensual'!D249+parametros_recargas!$J$90*'Plan mensual'!D250+parametros_recargas!$K$90*'Plan mensual'!D251+parametros_recargas!$L$90*'Plan mensual'!D252+parametros_recargas!$M$90*'Plan mensual'!D254</f>
        <v>16377.9806358391</v>
      </c>
      <c r="C240" s="26" t="n">
        <f aca="false">parametros_recargas!$E$90*'Plan mensual'!E245+parametros_recargas!$F$90*'Plan mensual'!E246+parametros_recargas!$G$90*'Plan mensual'!E247+parametros_recargas!$H$90*'Plan mensual'!E248+parametros_recargas!$I$90*'Plan mensual'!E249+parametros_recargas!$J$90*'Plan mensual'!E250+parametros_recargas!$K$90*'Plan mensual'!E251+parametros_recargas!$L$90*'Plan mensual'!E252+parametros_recargas!$M$90*'Plan mensual'!E254</f>
        <v>13975.4546853275</v>
      </c>
      <c r="D240" s="26" t="n">
        <f aca="false">parametros_recargas!$E$90*'Plan mensual'!F245+parametros_recargas!$F$90*'Plan mensual'!F246+parametros_recargas!$G$90*'Plan mensual'!F247+parametros_recargas!$H$90*'Plan mensual'!F248+parametros_recargas!$I$90*'Plan mensual'!F249+parametros_recargas!$J$90*'Plan mensual'!F250+parametros_recargas!$K$90*'Plan mensual'!F251+parametros_recargas!$L$90*'Plan mensual'!F252+parametros_recargas!$M$90*'Plan mensual'!F254</f>
        <v>12805.3645027249</v>
      </c>
      <c r="E240" s="26" t="n">
        <f aca="false">parametros_recargas!$E$90*'Plan mensual'!G245+parametros_recargas!$F$90*'Plan mensual'!G246+parametros_recargas!$G$90*'Plan mensual'!G247+parametros_recargas!$H$90*'Plan mensual'!G248+parametros_recargas!$I$90*'Plan mensual'!G249+parametros_recargas!$J$90*'Plan mensual'!G250+parametros_recargas!$K$90*'Plan mensual'!G251+parametros_recargas!$L$90*'Plan mensual'!G252+parametros_recargas!$M$90*'Plan mensual'!G254</f>
        <v>13972.8921551623</v>
      </c>
      <c r="F240" s="26" t="n">
        <f aca="false">parametros_recargas!$E$90*'Plan mensual'!H245+parametros_recargas!$F$90*'Plan mensual'!H246+parametros_recargas!$G$90*'Plan mensual'!H247+parametros_recargas!$H$90*'Plan mensual'!H248+parametros_recargas!$I$90*'Plan mensual'!H249+parametros_recargas!$J$90*'Plan mensual'!H250+parametros_recargas!$K$90*'Plan mensual'!H251+parametros_recargas!$L$90*'Plan mensual'!H252+parametros_recargas!$M$90*'Plan mensual'!H254</f>
        <v>14065.5239742746</v>
      </c>
      <c r="G240" s="26" t="n">
        <f aca="false">parametros_recargas!$E$90*'Plan mensual'!I245+parametros_recargas!$F$90*'Plan mensual'!I246+parametros_recargas!$G$90*'Plan mensual'!I247+parametros_recargas!$H$90*'Plan mensual'!I248+parametros_recargas!$I$90*'Plan mensual'!I249+parametros_recargas!$J$90*'Plan mensual'!I250+parametros_recargas!$K$90*'Plan mensual'!I251+parametros_recargas!$L$90*'Plan mensual'!I252+parametros_recargas!$M$90*'Plan mensual'!I254</f>
        <v>13938.9452086354</v>
      </c>
      <c r="H240" s="26" t="n">
        <f aca="false">parametros_recargas!$E$90*'Plan mensual'!J245+parametros_recargas!$F$90*'Plan mensual'!J246+parametros_recargas!$G$90*'Plan mensual'!J247+parametros_recargas!$H$90*'Plan mensual'!J248+parametros_recargas!$I$90*'Plan mensual'!J249+parametros_recargas!$J$90*'Plan mensual'!J250+parametros_recargas!$K$90*'Plan mensual'!J251+parametros_recargas!$L$90*'Plan mensual'!J252+parametros_recargas!$M$90*'Plan mensual'!J254</f>
        <v>12570.3235955891</v>
      </c>
      <c r="I240" s="26" t="n">
        <f aca="false">parametros_recargas!$E$90*'Plan mensual'!K245+parametros_recargas!$F$90*'Plan mensual'!K246+parametros_recargas!$G$90*'Plan mensual'!K247+parametros_recargas!$H$90*'Plan mensual'!K248+parametros_recargas!$I$90*'Plan mensual'!K249+parametros_recargas!$J$90*'Plan mensual'!K250+parametros_recargas!$K$90*'Plan mensual'!K251+parametros_recargas!$L$90*'Plan mensual'!K252+parametros_recargas!$M$90*'Plan mensual'!K254</f>
        <v>12680.2324826173</v>
      </c>
      <c r="J240" s="26" t="n">
        <f aca="false">parametros_recargas!$E$90*'Plan mensual'!L245+parametros_recargas!$F$90*'Plan mensual'!L246+parametros_recargas!$G$90*'Plan mensual'!L247+parametros_recargas!$H$90*'Plan mensual'!L248+parametros_recargas!$I$90*'Plan mensual'!L249+parametros_recargas!$J$90*'Plan mensual'!L250+parametros_recargas!$K$90*'Plan mensual'!L251+parametros_recargas!$L$90*'Plan mensual'!L252+parametros_recargas!$M$90*'Plan mensual'!L254</f>
        <v>12790.1624442707</v>
      </c>
      <c r="K240" s="26" t="n">
        <f aca="false">parametros_recargas!$E$90*'Plan mensual'!M245+parametros_recargas!$F$90*'Plan mensual'!M246+parametros_recargas!$G$90*'Plan mensual'!M247+parametros_recargas!$H$90*'Plan mensual'!M248+parametros_recargas!$I$90*'Plan mensual'!M249+parametros_recargas!$J$90*'Plan mensual'!M250+parametros_recargas!$K$90*'Plan mensual'!M251+parametros_recargas!$L$90*'Plan mensual'!M252+parametros_recargas!$M$90*'Plan mensual'!M254</f>
        <v>12789.0556468446</v>
      </c>
      <c r="L240" s="26" t="n">
        <f aca="false">parametros_recargas!$E$90*'Plan mensual'!N245+parametros_recargas!$F$90*'Plan mensual'!N246+parametros_recargas!$G$90*'Plan mensual'!N247+parametros_recargas!$H$90*'Plan mensual'!N248+parametros_recargas!$I$90*'Plan mensual'!N249+parametros_recargas!$J$90*'Plan mensual'!N250+parametros_recargas!$K$90*'Plan mensual'!N251+parametros_recargas!$L$90*'Plan mensual'!N252+parametros_recargas!$M$90*'Plan mensual'!N254</f>
        <v>15093.8317821047</v>
      </c>
      <c r="M240" s="26" t="n">
        <f aca="false">parametros_recargas!$E$90*'Plan mensual'!O245+parametros_recargas!$F$90*'Plan mensual'!O246+parametros_recargas!$G$90*'Plan mensual'!O247+parametros_recargas!$H$90*'Plan mensual'!O248+parametros_recargas!$I$90*'Plan mensual'!O249+parametros_recargas!$J$90*'Plan mensual'!O250+parametros_recargas!$K$90*'Plan mensual'!O251+parametros_recargas!$L$90*'Plan mensual'!O252+parametros_recargas!$M$90*'Plan mensual'!O254</f>
        <v>17624.9033008293</v>
      </c>
      <c r="N240" s="12" t="n">
        <f aca="false">SUM(B240:M240)</f>
        <v>168684.670414219</v>
      </c>
      <c r="O240" s="27" t="n">
        <f aca="false">MAX(B240:M240)</f>
        <v>17624.9033008293</v>
      </c>
      <c r="P240" s="16" t="n">
        <f aca="false">O240/parametros_recargas!$B$6</f>
        <v>117.499355338862</v>
      </c>
    </row>
    <row r="241" customFormat="false" ht="15" hidden="false" customHeight="false" outlineLevel="0" collapsed="false">
      <c r="A241" s="6" t="str">
        <f aca="false">parametros_recargas!$B$91</f>
        <v>Ensamblaje y marbete — recinto</v>
      </c>
      <c r="B241" s="26" t="n">
        <f aca="false">parametros_recargas!$E$91*'Plan mensual'!D245+parametros_recargas!$F$91*'Plan mensual'!D246+parametros_recargas!$G$91*'Plan mensual'!D247+parametros_recargas!$H$91*'Plan mensual'!D248+parametros_recargas!$I$91*'Plan mensual'!D249+parametros_recargas!$J$91*'Plan mensual'!D250+parametros_recargas!$K$91*'Plan mensual'!D251+parametros_recargas!$L$91*'Plan mensual'!D252+parametros_recargas!$M$91*'Plan mensual'!D254</f>
        <v>16352.2665536299</v>
      </c>
      <c r="C241" s="26" t="n">
        <f aca="false">parametros_recargas!$E$91*'Plan mensual'!E245+parametros_recargas!$F$91*'Plan mensual'!E246+parametros_recargas!$G$91*'Plan mensual'!E247+parametros_recargas!$H$91*'Plan mensual'!E248+parametros_recargas!$I$91*'Plan mensual'!E249+parametros_recargas!$J$91*'Plan mensual'!E250+parametros_recargas!$K$91*'Plan mensual'!E251+parametros_recargas!$L$91*'Plan mensual'!E252+parametros_recargas!$M$91*'Plan mensual'!E254</f>
        <v>13949.7406031183</v>
      </c>
      <c r="D241" s="26" t="n">
        <f aca="false">parametros_recargas!$E$91*'Plan mensual'!F245+parametros_recargas!$F$91*'Plan mensual'!F246+parametros_recargas!$G$91*'Plan mensual'!F247+parametros_recargas!$H$91*'Plan mensual'!F248+parametros_recargas!$I$91*'Plan mensual'!F249+parametros_recargas!$J$91*'Plan mensual'!F250+parametros_recargas!$K$91*'Plan mensual'!F251+parametros_recargas!$L$91*'Plan mensual'!F252+parametros_recargas!$M$91*'Plan mensual'!F254</f>
        <v>12779.6504205156</v>
      </c>
      <c r="E241" s="26" t="n">
        <f aca="false">parametros_recargas!$E$91*'Plan mensual'!G245+parametros_recargas!$F$91*'Plan mensual'!G246+parametros_recargas!$G$91*'Plan mensual'!G247+parametros_recargas!$H$91*'Plan mensual'!G248+parametros_recargas!$I$91*'Plan mensual'!G249+parametros_recargas!$J$91*'Plan mensual'!G250+parametros_recargas!$K$91*'Plan mensual'!G251+parametros_recargas!$L$91*'Plan mensual'!G252+parametros_recargas!$M$91*'Plan mensual'!G254</f>
        <v>13947.1780729531</v>
      </c>
      <c r="F241" s="26" t="n">
        <f aca="false">parametros_recargas!$E$91*'Plan mensual'!H245+parametros_recargas!$F$91*'Plan mensual'!H246+parametros_recargas!$G$91*'Plan mensual'!H247+parametros_recargas!$H$91*'Plan mensual'!H248+parametros_recargas!$I$91*'Plan mensual'!H249+parametros_recargas!$J$91*'Plan mensual'!H250+parametros_recargas!$K$91*'Plan mensual'!H251+parametros_recargas!$L$91*'Plan mensual'!H252+parametros_recargas!$M$91*'Plan mensual'!H254</f>
        <v>14039.8098920654</v>
      </c>
      <c r="G241" s="26" t="n">
        <f aca="false">parametros_recargas!$E$91*'Plan mensual'!I245+parametros_recargas!$F$91*'Plan mensual'!I246+parametros_recargas!$G$91*'Plan mensual'!I247+parametros_recargas!$H$91*'Plan mensual'!I248+parametros_recargas!$I$91*'Plan mensual'!I249+parametros_recargas!$J$91*'Plan mensual'!I250+parametros_recargas!$K$91*'Plan mensual'!I251+parametros_recargas!$L$91*'Plan mensual'!I252+parametros_recargas!$M$91*'Plan mensual'!I254</f>
        <v>13913.2311264262</v>
      </c>
      <c r="H241" s="26" t="n">
        <f aca="false">parametros_recargas!$E$91*'Plan mensual'!J245+parametros_recargas!$F$91*'Plan mensual'!J246+parametros_recargas!$G$91*'Plan mensual'!J247+parametros_recargas!$H$91*'Plan mensual'!J248+parametros_recargas!$I$91*'Plan mensual'!J249+parametros_recargas!$J$91*'Plan mensual'!J250+parametros_recargas!$K$91*'Plan mensual'!J251+parametros_recargas!$L$91*'Plan mensual'!J252+parametros_recargas!$M$91*'Plan mensual'!J254</f>
        <v>12544.6095133799</v>
      </c>
      <c r="I241" s="26" t="n">
        <f aca="false">parametros_recargas!$E$91*'Plan mensual'!K245+parametros_recargas!$F$91*'Plan mensual'!K246+parametros_recargas!$G$91*'Plan mensual'!K247+parametros_recargas!$H$91*'Plan mensual'!K248+parametros_recargas!$I$91*'Plan mensual'!K249+parametros_recargas!$J$91*'Plan mensual'!K250+parametros_recargas!$K$91*'Plan mensual'!K251+parametros_recargas!$L$91*'Plan mensual'!K252+parametros_recargas!$M$91*'Plan mensual'!K254</f>
        <v>12654.518400408</v>
      </c>
      <c r="J241" s="26" t="n">
        <f aca="false">parametros_recargas!$E$91*'Plan mensual'!L245+parametros_recargas!$F$91*'Plan mensual'!L246+parametros_recargas!$G$91*'Plan mensual'!L247+parametros_recargas!$H$91*'Plan mensual'!L248+parametros_recargas!$I$91*'Plan mensual'!L249+parametros_recargas!$J$91*'Plan mensual'!L250+parametros_recargas!$K$91*'Plan mensual'!L251+parametros_recargas!$L$91*'Plan mensual'!L252+parametros_recargas!$M$91*'Plan mensual'!L254</f>
        <v>12764.4483620615</v>
      </c>
      <c r="K241" s="26" t="n">
        <f aca="false">parametros_recargas!$E$91*'Plan mensual'!M245+parametros_recargas!$F$91*'Plan mensual'!M246+parametros_recargas!$G$91*'Plan mensual'!M247+parametros_recargas!$H$91*'Plan mensual'!M248+parametros_recargas!$I$91*'Plan mensual'!M249+parametros_recargas!$J$91*'Plan mensual'!M250+parametros_recargas!$K$91*'Plan mensual'!M251+parametros_recargas!$L$91*'Plan mensual'!M252+parametros_recargas!$M$91*'Plan mensual'!M254</f>
        <v>12763.3415646354</v>
      </c>
      <c r="L241" s="26" t="n">
        <f aca="false">parametros_recargas!$E$91*'Plan mensual'!N245+parametros_recargas!$F$91*'Plan mensual'!N246+parametros_recargas!$G$91*'Plan mensual'!N247+parametros_recargas!$H$91*'Plan mensual'!N248+parametros_recargas!$I$91*'Plan mensual'!N249+parametros_recargas!$J$91*'Plan mensual'!N250+parametros_recargas!$K$91*'Plan mensual'!N251+parametros_recargas!$L$91*'Plan mensual'!N252+parametros_recargas!$M$91*'Plan mensual'!N254</f>
        <v>15068.1176998955</v>
      </c>
      <c r="M241" s="26" t="n">
        <f aca="false">parametros_recargas!$E$91*'Plan mensual'!O245+parametros_recargas!$F$91*'Plan mensual'!O246+parametros_recargas!$G$91*'Plan mensual'!O247+parametros_recargas!$H$91*'Plan mensual'!O248+parametros_recargas!$I$91*'Plan mensual'!O249+parametros_recargas!$J$91*'Plan mensual'!O250+parametros_recargas!$K$91*'Plan mensual'!O251+parametros_recargas!$L$91*'Plan mensual'!O252+parametros_recargas!$M$91*'Plan mensual'!O254</f>
        <v>17599.1892186201</v>
      </c>
      <c r="N241" s="12" t="n">
        <f aca="false">SUM(B241:M241)</f>
        <v>168376.101427709</v>
      </c>
      <c r="O241" s="27" t="n">
        <f aca="false">MAX(B241:M241)</f>
        <v>17599.1892186201</v>
      </c>
      <c r="P241" s="16" t="n">
        <f aca="false">O241/parametros_recargas!$B$6</f>
        <v>117.327928124134</v>
      </c>
    </row>
    <row r="242" customFormat="false" ht="15" hidden="false" customHeight="false" outlineLevel="0" collapsed="false">
      <c r="A242" s="6" t="str">
        <f aca="false">parametros_recargas!$B$92</f>
        <v>Presurización — recinto</v>
      </c>
      <c r="B242" s="26" t="n">
        <f aca="false">parametros_recargas!$E$92*'Plan mensual'!D245+parametros_recargas!$F$92*'Plan mensual'!D246+parametros_recargas!$G$92*'Plan mensual'!D247+parametros_recargas!$H$92*'Plan mensual'!D248+parametros_recargas!$I$92*'Plan mensual'!D249+parametros_recargas!$J$92*'Plan mensual'!D250+parametros_recargas!$K$92*'Plan mensual'!D251+parametros_recargas!$L$92*'Plan mensual'!D252+parametros_recargas!$M$92*'Plan mensual'!D254</f>
        <v>16352.2665536299</v>
      </c>
      <c r="C242" s="26" t="n">
        <f aca="false">parametros_recargas!$E$92*'Plan mensual'!E245+parametros_recargas!$F$92*'Plan mensual'!E246+parametros_recargas!$G$92*'Plan mensual'!E247+parametros_recargas!$H$92*'Plan mensual'!E248+parametros_recargas!$I$92*'Plan mensual'!E249+parametros_recargas!$J$92*'Plan mensual'!E250+parametros_recargas!$K$92*'Plan mensual'!E251+parametros_recargas!$L$92*'Plan mensual'!E252+parametros_recargas!$M$92*'Plan mensual'!E254</f>
        <v>13949.7406031183</v>
      </c>
      <c r="D242" s="26" t="n">
        <f aca="false">parametros_recargas!$E$92*'Plan mensual'!F245+parametros_recargas!$F$92*'Plan mensual'!F246+parametros_recargas!$G$92*'Plan mensual'!F247+parametros_recargas!$H$92*'Plan mensual'!F248+parametros_recargas!$I$92*'Plan mensual'!F249+parametros_recargas!$J$92*'Plan mensual'!F250+parametros_recargas!$K$92*'Plan mensual'!F251+parametros_recargas!$L$92*'Plan mensual'!F252+parametros_recargas!$M$92*'Plan mensual'!F254</f>
        <v>12779.6504205156</v>
      </c>
      <c r="E242" s="26" t="n">
        <f aca="false">parametros_recargas!$E$92*'Plan mensual'!G245+parametros_recargas!$F$92*'Plan mensual'!G246+parametros_recargas!$G$92*'Plan mensual'!G247+parametros_recargas!$H$92*'Plan mensual'!G248+parametros_recargas!$I$92*'Plan mensual'!G249+parametros_recargas!$J$92*'Plan mensual'!G250+parametros_recargas!$K$92*'Plan mensual'!G251+parametros_recargas!$L$92*'Plan mensual'!G252+parametros_recargas!$M$92*'Plan mensual'!G254</f>
        <v>13947.1780729531</v>
      </c>
      <c r="F242" s="26" t="n">
        <f aca="false">parametros_recargas!$E$92*'Plan mensual'!H245+parametros_recargas!$F$92*'Plan mensual'!H246+parametros_recargas!$G$92*'Plan mensual'!H247+parametros_recargas!$H$92*'Plan mensual'!H248+parametros_recargas!$I$92*'Plan mensual'!H249+parametros_recargas!$J$92*'Plan mensual'!H250+parametros_recargas!$K$92*'Plan mensual'!H251+parametros_recargas!$L$92*'Plan mensual'!H252+parametros_recargas!$M$92*'Plan mensual'!H254</f>
        <v>14039.8098920654</v>
      </c>
      <c r="G242" s="26" t="n">
        <f aca="false">parametros_recargas!$E$92*'Plan mensual'!I245+parametros_recargas!$F$92*'Plan mensual'!I246+parametros_recargas!$G$92*'Plan mensual'!I247+parametros_recargas!$H$92*'Plan mensual'!I248+parametros_recargas!$I$92*'Plan mensual'!I249+parametros_recargas!$J$92*'Plan mensual'!I250+parametros_recargas!$K$92*'Plan mensual'!I251+parametros_recargas!$L$92*'Plan mensual'!I252+parametros_recargas!$M$92*'Plan mensual'!I254</f>
        <v>13913.2311264262</v>
      </c>
      <c r="H242" s="26" t="n">
        <f aca="false">parametros_recargas!$E$92*'Plan mensual'!J245+parametros_recargas!$F$92*'Plan mensual'!J246+parametros_recargas!$G$92*'Plan mensual'!J247+parametros_recargas!$H$92*'Plan mensual'!J248+parametros_recargas!$I$92*'Plan mensual'!J249+parametros_recargas!$J$92*'Plan mensual'!J250+parametros_recargas!$K$92*'Plan mensual'!J251+parametros_recargas!$L$92*'Plan mensual'!J252+parametros_recargas!$M$92*'Plan mensual'!J254</f>
        <v>12544.6095133799</v>
      </c>
      <c r="I242" s="26" t="n">
        <f aca="false">parametros_recargas!$E$92*'Plan mensual'!K245+parametros_recargas!$F$92*'Plan mensual'!K246+parametros_recargas!$G$92*'Plan mensual'!K247+parametros_recargas!$H$92*'Plan mensual'!K248+parametros_recargas!$I$92*'Plan mensual'!K249+parametros_recargas!$J$92*'Plan mensual'!K250+parametros_recargas!$K$92*'Plan mensual'!K251+parametros_recargas!$L$92*'Plan mensual'!K252+parametros_recargas!$M$92*'Plan mensual'!K254</f>
        <v>12654.518400408</v>
      </c>
      <c r="J242" s="26" t="n">
        <f aca="false">parametros_recargas!$E$92*'Plan mensual'!L245+parametros_recargas!$F$92*'Plan mensual'!L246+parametros_recargas!$G$92*'Plan mensual'!L247+parametros_recargas!$H$92*'Plan mensual'!L248+parametros_recargas!$I$92*'Plan mensual'!L249+parametros_recargas!$J$92*'Plan mensual'!L250+parametros_recargas!$K$92*'Plan mensual'!L251+parametros_recargas!$L$92*'Plan mensual'!L252+parametros_recargas!$M$92*'Plan mensual'!L254</f>
        <v>12764.4483620615</v>
      </c>
      <c r="K242" s="26" t="n">
        <f aca="false">parametros_recargas!$E$92*'Plan mensual'!M245+parametros_recargas!$F$92*'Plan mensual'!M246+parametros_recargas!$G$92*'Plan mensual'!M247+parametros_recargas!$H$92*'Plan mensual'!M248+parametros_recargas!$I$92*'Plan mensual'!M249+parametros_recargas!$J$92*'Plan mensual'!M250+parametros_recargas!$K$92*'Plan mensual'!M251+parametros_recargas!$L$92*'Plan mensual'!M252+parametros_recargas!$M$92*'Plan mensual'!M254</f>
        <v>12763.3415646354</v>
      </c>
      <c r="L242" s="26" t="n">
        <f aca="false">parametros_recargas!$E$92*'Plan mensual'!N245+parametros_recargas!$F$92*'Plan mensual'!N246+parametros_recargas!$G$92*'Plan mensual'!N247+parametros_recargas!$H$92*'Plan mensual'!N248+parametros_recargas!$I$92*'Plan mensual'!N249+parametros_recargas!$J$92*'Plan mensual'!N250+parametros_recargas!$K$92*'Plan mensual'!N251+parametros_recargas!$L$92*'Plan mensual'!N252+parametros_recargas!$M$92*'Plan mensual'!N254</f>
        <v>15068.1176998955</v>
      </c>
      <c r="M242" s="26" t="n">
        <f aca="false">parametros_recargas!$E$92*'Plan mensual'!O245+parametros_recargas!$F$92*'Plan mensual'!O246+parametros_recargas!$G$92*'Plan mensual'!O247+parametros_recargas!$H$92*'Plan mensual'!O248+parametros_recargas!$I$92*'Plan mensual'!O249+parametros_recargas!$J$92*'Plan mensual'!O250+parametros_recargas!$K$92*'Plan mensual'!O251+parametros_recargas!$L$92*'Plan mensual'!O252+parametros_recargas!$M$92*'Plan mensual'!O254</f>
        <v>17599.1892186201</v>
      </c>
      <c r="N242" s="12" t="n">
        <f aca="false">SUM(B242:M242)</f>
        <v>168376.101427709</v>
      </c>
      <c r="O242" s="27" t="n">
        <f aca="false">MAX(B242:M242)</f>
        <v>17599.1892186201</v>
      </c>
      <c r="P242" s="16" t="n">
        <f aca="false">O242/parametros_recargas!$B$6</f>
        <v>117.327928124134</v>
      </c>
    </row>
    <row r="243" customFormat="false" ht="15" hidden="false" customHeight="false" outlineLevel="0" collapsed="false">
      <c r="A243" s="6" t="str">
        <f aca="false">parametros_recargas!$B$93</f>
        <v>Ensamblaje y presurización — zona general</v>
      </c>
      <c r="B243" s="26" t="n">
        <f aca="false">parametros_recargas!$E$93*'Plan mensual'!D245+parametros_recargas!$F$93*'Plan mensual'!D246+parametros_recargas!$G$93*'Plan mensual'!D247+parametros_recargas!$H$93*'Plan mensual'!D248+parametros_recargas!$I$93*'Plan mensual'!D249+parametros_recargas!$J$93*'Plan mensual'!D250+parametros_recargas!$K$93*'Plan mensual'!D251+parametros_recargas!$L$93*'Plan mensual'!D252+parametros_recargas!$M$93*'Plan mensual'!D254</f>
        <v>998.992151476843</v>
      </c>
      <c r="C243" s="26" t="n">
        <f aca="false">parametros_recargas!$E$93*'Plan mensual'!E245+parametros_recargas!$F$93*'Plan mensual'!E246+parametros_recargas!$G$93*'Plan mensual'!E247+parametros_recargas!$H$93*'Plan mensual'!E248+parametros_recargas!$I$93*'Plan mensual'!E249+parametros_recargas!$J$93*'Plan mensual'!E250+parametros_recargas!$K$93*'Plan mensual'!E251+parametros_recargas!$L$93*'Plan mensual'!E252+parametros_recargas!$M$93*'Plan mensual'!E254</f>
        <v>998.992151476843</v>
      </c>
      <c r="D243" s="26" t="n">
        <f aca="false">parametros_recargas!$E$93*'Plan mensual'!F245+parametros_recargas!$F$93*'Plan mensual'!F246+parametros_recargas!$G$93*'Plan mensual'!F247+parametros_recargas!$H$93*'Plan mensual'!F248+parametros_recargas!$I$93*'Plan mensual'!F249+parametros_recargas!$J$93*'Plan mensual'!F250+parametros_recargas!$K$93*'Plan mensual'!F251+parametros_recargas!$L$93*'Plan mensual'!F252+parametros_recargas!$M$93*'Plan mensual'!F254</f>
        <v>1166.21779752053</v>
      </c>
      <c r="E243" s="26" t="n">
        <f aca="false">parametros_recargas!$E$93*'Plan mensual'!G245+parametros_recargas!$F$93*'Plan mensual'!G246+parametros_recargas!$G$93*'Plan mensual'!G247+parametros_recargas!$H$93*'Plan mensual'!G248+parametros_recargas!$I$93*'Plan mensual'!G249+parametros_recargas!$J$93*'Plan mensual'!G250+parametros_recargas!$K$93*'Plan mensual'!G251+parametros_recargas!$L$93*'Plan mensual'!G252+parametros_recargas!$M$93*'Plan mensual'!G254</f>
        <v>1330.17948436404</v>
      </c>
      <c r="F243" s="26" t="n">
        <f aca="false">parametros_recargas!$E$93*'Plan mensual'!H245+parametros_recargas!$F$93*'Plan mensual'!H246+parametros_recargas!$G$93*'Plan mensual'!H247+parametros_recargas!$H$93*'Plan mensual'!H248+parametros_recargas!$I$93*'Plan mensual'!H249+parametros_recargas!$J$93*'Plan mensual'!H250+parametros_recargas!$K$93*'Plan mensual'!H251+parametros_recargas!$L$93*'Plan mensual'!H252+parametros_recargas!$M$93*'Plan mensual'!H254</f>
        <v>1340.47717549136</v>
      </c>
      <c r="G243" s="26" t="n">
        <f aca="false">parametros_recargas!$E$93*'Plan mensual'!I245+parametros_recargas!$F$93*'Plan mensual'!I246+parametros_recargas!$G$93*'Plan mensual'!I247+parametros_recargas!$H$93*'Plan mensual'!I248+parametros_recargas!$I$93*'Plan mensual'!I249+parametros_recargas!$J$93*'Plan mensual'!I250+parametros_recargas!$K$93*'Plan mensual'!I251+parametros_recargas!$L$93*'Plan mensual'!I252+parametros_recargas!$M$93*'Plan mensual'!I254</f>
        <v>1314.4645705581</v>
      </c>
      <c r="H243" s="26" t="n">
        <f aca="false">parametros_recargas!$E$93*'Plan mensual'!J245+parametros_recargas!$F$93*'Plan mensual'!J246+parametros_recargas!$G$93*'Plan mensual'!J247+parametros_recargas!$H$93*'Plan mensual'!J248+parametros_recargas!$I$93*'Plan mensual'!J249+parametros_recargas!$J$93*'Plan mensual'!J250+parametros_recargas!$K$93*'Plan mensual'!J251+parametros_recargas!$L$93*'Plan mensual'!J252+parametros_recargas!$M$93*'Plan mensual'!J254</f>
        <v>1123.93846081392</v>
      </c>
      <c r="I243" s="26" t="n">
        <f aca="false">parametros_recargas!$E$93*'Plan mensual'!K245+parametros_recargas!$F$93*'Plan mensual'!K246+parametros_recargas!$G$93*'Plan mensual'!K247+parametros_recargas!$H$93*'Plan mensual'!K248+parametros_recargas!$I$93*'Plan mensual'!K249+parametros_recargas!$J$93*'Plan mensual'!K250+parametros_recargas!$K$93*'Plan mensual'!K251+parametros_recargas!$L$93*'Plan mensual'!K252+parametros_recargas!$M$93*'Plan mensual'!K254</f>
        <v>1131.52401070847</v>
      </c>
      <c r="J243" s="26" t="n">
        <f aca="false">parametros_recargas!$E$93*'Plan mensual'!L245+parametros_recargas!$F$93*'Plan mensual'!L246+parametros_recargas!$G$93*'Plan mensual'!L247+parametros_recargas!$H$93*'Plan mensual'!L248+parametros_recargas!$I$93*'Plan mensual'!L249+parametros_recargas!$J$93*'Plan mensual'!L250+parametros_recargas!$K$93*'Plan mensual'!L251+parametros_recargas!$L$93*'Plan mensual'!L252+parametros_recargas!$M$93*'Plan mensual'!L254</f>
        <v>1155.77641771322</v>
      </c>
      <c r="K243" s="26" t="n">
        <f aca="false">parametros_recargas!$E$93*'Plan mensual'!M245+parametros_recargas!$F$93*'Plan mensual'!M246+parametros_recargas!$G$93*'Plan mensual'!M247+parametros_recargas!$H$93*'Plan mensual'!M248+parametros_recargas!$I$93*'Plan mensual'!M249+parametros_recargas!$J$93*'Plan mensual'!M250+parametros_recargas!$K$93*'Plan mensual'!M251+parametros_recargas!$L$93*'Plan mensual'!M252+parametros_recargas!$M$93*'Plan mensual'!M254</f>
        <v>1155.77641771322</v>
      </c>
      <c r="L243" s="26" t="n">
        <f aca="false">parametros_recargas!$E$93*'Plan mensual'!N245+parametros_recargas!$F$93*'Plan mensual'!N246+parametros_recargas!$G$93*'Plan mensual'!N247+parametros_recargas!$H$93*'Plan mensual'!N248+parametros_recargas!$I$93*'Plan mensual'!N249+parametros_recargas!$J$93*'Plan mensual'!N250+parametros_recargas!$K$93*'Plan mensual'!N251+parametros_recargas!$L$93*'Plan mensual'!N252+parametros_recargas!$M$93*'Plan mensual'!N254</f>
        <v>1145.4787265859</v>
      </c>
      <c r="M243" s="26" t="n">
        <f aca="false">parametros_recargas!$E$93*'Plan mensual'!O245+parametros_recargas!$F$93*'Plan mensual'!O246+parametros_recargas!$G$93*'Plan mensual'!O247+parametros_recargas!$H$93*'Plan mensual'!O248+parametros_recargas!$I$93*'Plan mensual'!O249+parametros_recargas!$J$93*'Plan mensual'!O250+parametros_recargas!$K$93*'Plan mensual'!O251+parametros_recargas!$L$93*'Plan mensual'!O252+parametros_recargas!$M$93*'Plan mensual'!O254</f>
        <v>1171.49133151916</v>
      </c>
      <c r="N243" s="12" t="n">
        <f aca="false">SUM(B243:M243)</f>
        <v>14033.3086959416</v>
      </c>
      <c r="O243" s="27" t="n">
        <f aca="false">MAX(B243:M243)</f>
        <v>1340.47717549136</v>
      </c>
      <c r="P243" s="16" t="n">
        <f aca="false">O243/parametros_recargas!$B$6</f>
        <v>8.93651450327573</v>
      </c>
    </row>
    <row r="244" customFormat="false" ht="15" hidden="false" customHeight="false" outlineLevel="0" collapsed="false">
      <c r="A244" s="6" t="str">
        <f aca="false">parametros_recargas!$B$94</f>
        <v>Control de peso (CO₂ y halogenados sin recarga)</v>
      </c>
      <c r="B244" s="26" t="n">
        <f aca="false">parametros_recargas!$E$94*'Plan mensual'!D245+parametros_recargas!$F$94*'Plan mensual'!D246+parametros_recargas!$G$94*'Plan mensual'!D247+parametros_recargas!$H$94*'Plan mensual'!D248+parametros_recargas!$I$94*'Plan mensual'!D249+parametros_recargas!$J$94*'Plan mensual'!D250+parametros_recargas!$K$94*'Plan mensual'!D251+parametros_recargas!$L$94*'Plan mensual'!D252+parametros_recargas!$M$94*'Plan mensual'!D254</f>
        <v>663.050416132101</v>
      </c>
      <c r="C244" s="26" t="n">
        <f aca="false">parametros_recargas!$E$94*'Plan mensual'!E245+parametros_recargas!$F$94*'Plan mensual'!E246+parametros_recargas!$G$94*'Plan mensual'!E247+parametros_recargas!$H$94*'Plan mensual'!E248+parametros_recargas!$I$94*'Plan mensual'!E249+parametros_recargas!$J$94*'Plan mensual'!E250+parametros_recargas!$K$94*'Plan mensual'!E251+parametros_recargas!$L$94*'Plan mensual'!E252+parametros_recargas!$M$94*'Plan mensual'!E254</f>
        <v>663.050416132101</v>
      </c>
      <c r="D244" s="26" t="n">
        <f aca="false">parametros_recargas!$E$94*'Plan mensual'!F245+parametros_recargas!$F$94*'Plan mensual'!F246+parametros_recargas!$G$94*'Plan mensual'!F247+parametros_recargas!$H$94*'Plan mensual'!F248+parametros_recargas!$I$94*'Plan mensual'!F249+parametros_recargas!$J$94*'Plan mensual'!F250+parametros_recargas!$K$94*'Plan mensual'!F251+parametros_recargas!$L$94*'Plan mensual'!F252+parametros_recargas!$M$94*'Plan mensual'!F254</f>
        <v>827.089630809266</v>
      </c>
      <c r="E244" s="26" t="n">
        <f aca="false">parametros_recargas!$E$94*'Plan mensual'!G245+parametros_recargas!$F$94*'Plan mensual'!G246+parametros_recargas!$G$94*'Plan mensual'!G247+parametros_recargas!$H$94*'Plan mensual'!G248+parametros_recargas!$I$94*'Plan mensual'!G249+parametros_recargas!$J$94*'Plan mensual'!G250+parametros_recargas!$K$94*'Plan mensual'!G251+parametros_recargas!$L$94*'Plan mensual'!G252+parametros_recargas!$M$94*'Plan mensual'!G254</f>
        <v>990.343410227669</v>
      </c>
      <c r="F244" s="26" t="n">
        <f aca="false">parametros_recargas!$E$94*'Plan mensual'!H245+parametros_recargas!$F$94*'Plan mensual'!H246+parametros_recargas!$G$94*'Plan mensual'!H247+parametros_recargas!$H$94*'Plan mensual'!H248+parametros_recargas!$I$94*'Plan mensual'!H249+parametros_recargas!$J$94*'Plan mensual'!H250+parametros_recargas!$K$94*'Plan mensual'!H251+parametros_recargas!$L$94*'Plan mensual'!H252+parametros_recargas!$M$94*'Plan mensual'!H254</f>
        <v>996.977422919696</v>
      </c>
      <c r="G244" s="26" t="n">
        <f aca="false">parametros_recargas!$E$94*'Plan mensual'!I245+parametros_recargas!$F$94*'Plan mensual'!I246+parametros_recargas!$G$94*'Plan mensual'!I247+parametros_recargas!$H$94*'Plan mensual'!I248+parametros_recargas!$I$94*'Plan mensual'!I249+parametros_recargas!$J$94*'Plan mensual'!I250+parametros_recargas!$K$94*'Plan mensual'!I251+parametros_recargas!$L$94*'Plan mensual'!I252+parametros_recargas!$M$94*'Plan mensual'!I254</f>
        <v>975.105030876452</v>
      </c>
      <c r="H244" s="26" t="n">
        <f aca="false">parametros_recargas!$E$94*'Plan mensual'!J245+parametros_recargas!$F$94*'Plan mensual'!J246+parametros_recargas!$G$94*'Plan mensual'!J247+parametros_recargas!$H$94*'Plan mensual'!J248+parametros_recargas!$I$94*'Plan mensual'!J249+parametros_recargas!$J$94*'Plan mensual'!J250+parametros_recargas!$K$94*'Plan mensual'!J251+parametros_recargas!$L$94*'Plan mensual'!J252+parametros_recargas!$M$94*'Plan mensual'!J254</f>
        <v>794.994221953398</v>
      </c>
      <c r="I244" s="26" t="n">
        <f aca="false">parametros_recargas!$E$94*'Plan mensual'!K245+parametros_recargas!$F$94*'Plan mensual'!K246+parametros_recargas!$G$94*'Plan mensual'!K247+parametros_recargas!$H$94*'Plan mensual'!K248+parametros_recargas!$I$94*'Plan mensual'!K249+parametros_recargas!$J$94*'Plan mensual'!K250+parametros_recargas!$K$94*'Plan mensual'!K251+parametros_recargas!$L$94*'Plan mensual'!K252+parametros_recargas!$M$94*'Plan mensual'!K254</f>
        <v>795.82743684807</v>
      </c>
      <c r="J244" s="26" t="n">
        <f aca="false">parametros_recargas!$E$94*'Plan mensual'!L245+parametros_recargas!$F$94*'Plan mensual'!L246+parametros_recargas!$G$94*'Plan mensual'!L247+parametros_recargas!$H$94*'Plan mensual'!L248+parametros_recargas!$I$94*'Plan mensual'!L249+parametros_recargas!$J$94*'Plan mensual'!L250+parametros_recargas!$K$94*'Plan mensual'!L251+parametros_recargas!$L$94*'Plan mensual'!L252+parametros_recargas!$M$94*'Plan mensual'!L254</f>
        <v>815.488377299118</v>
      </c>
      <c r="K244" s="26" t="n">
        <f aca="false">parametros_recargas!$E$94*'Plan mensual'!M245+parametros_recargas!$F$94*'Plan mensual'!M246+parametros_recargas!$G$94*'Plan mensual'!M247+parametros_recargas!$H$94*'Plan mensual'!M248+parametros_recargas!$I$94*'Plan mensual'!M249+parametros_recargas!$J$94*'Plan mensual'!M250+parametros_recargas!$K$94*'Plan mensual'!M251+parametros_recargas!$L$94*'Plan mensual'!M252+parametros_recargas!$M$94*'Plan mensual'!M254</f>
        <v>815.488377299118</v>
      </c>
      <c r="L244" s="26" t="n">
        <f aca="false">parametros_recargas!$E$94*'Plan mensual'!N245+parametros_recargas!$F$94*'Plan mensual'!N246+parametros_recargas!$G$94*'Plan mensual'!N247+parametros_recargas!$H$94*'Plan mensual'!N248+parametros_recargas!$I$94*'Plan mensual'!N249+parametros_recargas!$J$94*'Plan mensual'!N250+parametros_recargas!$K$94*'Plan mensual'!N251+parametros_recargas!$L$94*'Plan mensual'!N252+parametros_recargas!$M$94*'Plan mensual'!N254</f>
        <v>808.854364607091</v>
      </c>
      <c r="M244" s="26" t="n">
        <f aca="false">parametros_recargas!$E$94*'Plan mensual'!O245+parametros_recargas!$F$94*'Plan mensual'!O246+parametros_recargas!$G$94*'Plan mensual'!O247+parametros_recargas!$H$94*'Plan mensual'!O248+parametros_recargas!$I$94*'Plan mensual'!O249+parametros_recargas!$J$94*'Plan mensual'!O250+parametros_recargas!$K$94*'Plan mensual'!O251+parametros_recargas!$L$94*'Plan mensual'!O252+parametros_recargas!$M$94*'Plan mensual'!O254</f>
        <v>830.726756650335</v>
      </c>
      <c r="N244" s="12" t="n">
        <f aca="false">SUM(B244:M244)</f>
        <v>9976.99586175441</v>
      </c>
      <c r="O244" s="27" t="n">
        <f aca="false">MAX(B244:M244)</f>
        <v>996.977422919696</v>
      </c>
      <c r="P244" s="16" t="n">
        <f aca="false">O244/parametros_recargas!$B$6</f>
        <v>6.64651615279797</v>
      </c>
    </row>
    <row r="245" customFormat="false" ht="15" hidden="false" customHeight="false" outlineLevel="0" collapsed="false">
      <c r="A245" s="6" t="str">
        <f aca="false">parametros_recargas!$B$95</f>
        <v>Ensayo de pérdidas</v>
      </c>
      <c r="B245" s="26" t="n">
        <f aca="false">parametros_recargas!$E$95*'Plan mensual'!D245+parametros_recargas!$F$95*'Plan mensual'!D246+parametros_recargas!$G$95*'Plan mensual'!D247+parametros_recargas!$H$95*'Plan mensual'!D248+parametros_recargas!$I$95*'Plan mensual'!D249+parametros_recargas!$J$95*'Plan mensual'!D250+parametros_recargas!$K$95*'Plan mensual'!D251+parametros_recargas!$L$95*'Plan mensual'!D252+parametros_recargas!$M$95*'Plan mensual'!D254</f>
        <v>18062.6309998851</v>
      </c>
      <c r="C245" s="26" t="n">
        <f aca="false">parametros_recargas!$E$95*'Plan mensual'!E245+parametros_recargas!$F$95*'Plan mensual'!E246+parametros_recargas!$G$95*'Plan mensual'!E247+parametros_recargas!$H$95*'Plan mensual'!E248+parametros_recargas!$I$95*'Plan mensual'!E249+parametros_recargas!$J$95*'Plan mensual'!E250+parametros_recargas!$K$95*'Plan mensual'!E251+parametros_recargas!$L$95*'Plan mensual'!E252+parametros_recargas!$M$95*'Plan mensual'!E254</f>
        <v>15660.1050493735</v>
      </c>
      <c r="D245" s="26" t="n">
        <f aca="false">parametros_recargas!$E$95*'Plan mensual'!F245+parametros_recargas!$F$95*'Plan mensual'!F246+parametros_recargas!$G$95*'Plan mensual'!F247+parametros_recargas!$H$95*'Plan mensual'!F248+parametros_recargas!$I$95*'Plan mensual'!F249+parametros_recargas!$J$95*'Plan mensual'!F250+parametros_recargas!$K$95*'Plan mensual'!F251+parametros_recargas!$L$95*'Plan mensual'!F252+parametros_recargas!$M$95*'Plan mensual'!F254</f>
        <v>14834.0693977643</v>
      </c>
      <c r="E245" s="26" t="n">
        <f aca="false">parametros_recargas!$E$95*'Plan mensual'!G245+parametros_recargas!$F$95*'Plan mensual'!G246+parametros_recargas!$G$95*'Plan mensual'!G247+parametros_recargas!$H$95*'Plan mensual'!G248+parametros_recargas!$I$95*'Plan mensual'!G249+parametros_recargas!$J$95*'Plan mensual'!G250+parametros_recargas!$K$95*'Plan mensual'!G251+parametros_recargas!$L$95*'Plan mensual'!G252+parametros_recargas!$M$95*'Plan mensual'!G254</f>
        <v>16341.3704994958</v>
      </c>
      <c r="F245" s="26" t="n">
        <f aca="false">parametros_recargas!$E$95*'Plan mensual'!H245+parametros_recargas!$F$95*'Plan mensual'!H246+parametros_recargas!$G$95*'Plan mensual'!H247+parametros_recargas!$H$95*'Plan mensual'!H248+parametros_recargas!$I$95*'Plan mensual'!H249+parametros_recargas!$J$95*'Plan mensual'!H250+parametros_recargas!$K$95*'Plan mensual'!H251+parametros_recargas!$L$95*'Plan mensual'!H252+parametros_recargas!$M$95*'Plan mensual'!H254</f>
        <v>16451.4443310961</v>
      </c>
      <c r="G245" s="26" t="n">
        <f aca="false">parametros_recargas!$E$95*'Plan mensual'!I245+parametros_recargas!$F$95*'Plan mensual'!I246+parametros_recargas!$G$95*'Plan mensual'!I247+parametros_recargas!$H$95*'Plan mensual'!I248+parametros_recargas!$I$95*'Plan mensual'!I249+parametros_recargas!$J$95*'Plan mensual'!I250+parametros_recargas!$K$95*'Plan mensual'!I251+parametros_recargas!$L$95*'Plan mensual'!I252+parametros_recargas!$M$95*'Plan mensual'!I254</f>
        <v>16275.4693459284</v>
      </c>
      <c r="H245" s="26" t="n">
        <f aca="false">parametros_recargas!$E$95*'Plan mensual'!J245+parametros_recargas!$F$95*'Plan mensual'!J246+parametros_recargas!$G$95*'Plan mensual'!J247+parametros_recargas!$H$95*'Plan mensual'!J248+parametros_recargas!$I$95*'Plan mensual'!J249+parametros_recargas!$J$95*'Plan mensual'!J250+parametros_recargas!$K$95*'Plan mensual'!J251+parametros_recargas!$L$95*'Plan mensual'!J252+parametros_recargas!$M$95*'Plan mensual'!J254</f>
        <v>14522.3561366053</v>
      </c>
      <c r="I245" s="26" t="n">
        <f aca="false">parametros_recargas!$E$95*'Plan mensual'!K245+parametros_recargas!$F$95*'Plan mensual'!K246+parametros_recargas!$G$95*'Plan mensual'!K247+parametros_recargas!$H$95*'Plan mensual'!K248+parametros_recargas!$I$95*'Plan mensual'!K249+parametros_recargas!$J$95*'Plan mensual'!K250+parametros_recargas!$K$95*'Plan mensual'!K251+parametros_recargas!$L$95*'Plan mensual'!K252+parametros_recargas!$M$95*'Plan mensual'!K254</f>
        <v>14640.7478818762</v>
      </c>
      <c r="J245" s="26" t="n">
        <f aca="false">parametros_recargas!$E$95*'Plan mensual'!L245+parametros_recargas!$F$95*'Plan mensual'!L246+parametros_recargas!$G$95*'Plan mensual'!L247+parametros_recargas!$H$95*'Plan mensual'!L248+parametros_recargas!$I$95*'Plan mensual'!L249+parametros_recargas!$J$95*'Plan mensual'!L250+parametros_recargas!$K$95*'Plan mensual'!L251+parametros_recargas!$L$95*'Plan mensual'!L252+parametros_recargas!$M$95*'Plan mensual'!L254</f>
        <v>14795.9323018765</v>
      </c>
      <c r="K245" s="26" t="n">
        <f aca="false">parametros_recargas!$E$95*'Plan mensual'!M245+parametros_recargas!$F$95*'Plan mensual'!M246+parametros_recargas!$G$95*'Plan mensual'!M247+parametros_recargas!$H$95*'Plan mensual'!M248+parametros_recargas!$I$95*'Plan mensual'!M249+parametros_recargas!$J$95*'Plan mensual'!M250+parametros_recargas!$K$95*'Plan mensual'!M251+parametros_recargas!$L$95*'Plan mensual'!M252+parametros_recargas!$M$95*'Plan mensual'!M254</f>
        <v>14794.8255044504</v>
      </c>
      <c r="L245" s="26" t="n">
        <f aca="false">parametros_recargas!$E$95*'Plan mensual'!N245+parametros_recargas!$F$95*'Plan mensual'!N246+parametros_recargas!$G$95*'Plan mensual'!N247+parametros_recargas!$H$95*'Plan mensual'!N248+parametros_recargas!$I$95*'Plan mensual'!N249+parametros_recargas!$J$95*'Plan mensual'!N250+parametros_recargas!$K$95*'Plan mensual'!N251+parametros_recargas!$L$95*'Plan mensual'!N252+parametros_recargas!$M$95*'Plan mensual'!N254</f>
        <v>17082.1596272225</v>
      </c>
      <c r="M245" s="26" t="n">
        <f aca="false">parametros_recargas!$E$95*'Plan mensual'!O245+parametros_recargas!$F$95*'Plan mensual'!O246+parametros_recargas!$G$95*'Plan mensual'!O247+parametros_recargas!$H$95*'Plan mensual'!O248+parametros_recargas!$I$95*'Plan mensual'!O249+parametros_recargas!$J$95*'Plan mensual'!O250+parametros_recargas!$K$95*'Plan mensual'!O251+parametros_recargas!$L$95*'Plan mensual'!O252+parametros_recargas!$M$95*'Plan mensual'!O254</f>
        <v>19662.6273654757</v>
      </c>
      <c r="N245" s="12" t="n">
        <f aca="false">SUM(B245:M245)</f>
        <v>193123.73844105</v>
      </c>
      <c r="O245" s="27" t="n">
        <f aca="false">MAX(B245:M245)</f>
        <v>19662.6273654757</v>
      </c>
      <c r="P245" s="16" t="n">
        <f aca="false">O245/parametros_recargas!$B$6</f>
        <v>131.084182436504</v>
      </c>
    </row>
    <row r="246" customFormat="false" ht="15" hidden="false" customHeight="false" outlineLevel="0" collapsed="false">
      <c r="A246" s="6" t="str">
        <f aca="false">parametros_recargas!$B$96</f>
        <v>Precinto, etiqueta y despacho</v>
      </c>
      <c r="B246" s="26" t="n">
        <f aca="false">parametros_recargas!$E$96*'Plan mensual'!D245+parametros_recargas!$F$96*'Plan mensual'!D246+parametros_recargas!$G$96*'Plan mensual'!D247+parametros_recargas!$H$96*'Plan mensual'!D248+parametros_recargas!$I$96*'Plan mensual'!D249+parametros_recargas!$J$96*'Plan mensual'!D250+parametros_recargas!$K$96*'Plan mensual'!D251+parametros_recargas!$L$96*'Plan mensual'!D252+parametros_recargas!$M$96*'Plan mensual'!D254</f>
        <v>18062.6309998851</v>
      </c>
      <c r="C246" s="26" t="n">
        <f aca="false">parametros_recargas!$E$96*'Plan mensual'!E245+parametros_recargas!$F$96*'Plan mensual'!E246+parametros_recargas!$G$96*'Plan mensual'!E247+parametros_recargas!$H$96*'Plan mensual'!E248+parametros_recargas!$I$96*'Plan mensual'!E249+parametros_recargas!$J$96*'Plan mensual'!E250+parametros_recargas!$K$96*'Plan mensual'!E251+parametros_recargas!$L$96*'Plan mensual'!E252+parametros_recargas!$M$96*'Plan mensual'!E254</f>
        <v>15660.1050493735</v>
      </c>
      <c r="D246" s="26" t="n">
        <f aca="false">parametros_recargas!$E$96*'Plan mensual'!F245+parametros_recargas!$F$96*'Plan mensual'!F246+parametros_recargas!$G$96*'Plan mensual'!F247+parametros_recargas!$H$96*'Plan mensual'!F248+parametros_recargas!$I$96*'Plan mensual'!F249+parametros_recargas!$J$96*'Plan mensual'!F250+parametros_recargas!$K$96*'Plan mensual'!F251+parametros_recargas!$L$96*'Plan mensual'!F252+parametros_recargas!$M$96*'Plan mensual'!F254</f>
        <v>14834.0693977643</v>
      </c>
      <c r="E246" s="26" t="n">
        <f aca="false">parametros_recargas!$E$96*'Plan mensual'!G245+parametros_recargas!$F$96*'Plan mensual'!G246+parametros_recargas!$G$96*'Plan mensual'!G247+parametros_recargas!$H$96*'Plan mensual'!G248+parametros_recargas!$I$96*'Plan mensual'!G249+parametros_recargas!$J$96*'Plan mensual'!G250+parametros_recargas!$K$96*'Plan mensual'!G251+parametros_recargas!$L$96*'Plan mensual'!G252+parametros_recargas!$M$96*'Plan mensual'!G254</f>
        <v>16341.3704994958</v>
      </c>
      <c r="F246" s="26" t="n">
        <f aca="false">parametros_recargas!$E$96*'Plan mensual'!H245+parametros_recargas!$F$96*'Plan mensual'!H246+parametros_recargas!$G$96*'Plan mensual'!H247+parametros_recargas!$H$96*'Plan mensual'!H248+parametros_recargas!$I$96*'Plan mensual'!H249+parametros_recargas!$J$96*'Plan mensual'!H250+parametros_recargas!$K$96*'Plan mensual'!H251+parametros_recargas!$L$96*'Plan mensual'!H252+parametros_recargas!$M$96*'Plan mensual'!H254</f>
        <v>16451.4443310961</v>
      </c>
      <c r="G246" s="26" t="n">
        <f aca="false">parametros_recargas!$E$96*'Plan mensual'!I245+parametros_recargas!$F$96*'Plan mensual'!I246+parametros_recargas!$G$96*'Plan mensual'!I247+parametros_recargas!$H$96*'Plan mensual'!I248+parametros_recargas!$I$96*'Plan mensual'!I249+parametros_recargas!$J$96*'Plan mensual'!I250+parametros_recargas!$K$96*'Plan mensual'!I251+parametros_recargas!$L$96*'Plan mensual'!I252+parametros_recargas!$M$96*'Plan mensual'!I254</f>
        <v>16275.4693459284</v>
      </c>
      <c r="H246" s="26" t="n">
        <f aca="false">parametros_recargas!$E$96*'Plan mensual'!J245+parametros_recargas!$F$96*'Plan mensual'!J246+parametros_recargas!$G$96*'Plan mensual'!J247+parametros_recargas!$H$96*'Plan mensual'!J248+parametros_recargas!$I$96*'Plan mensual'!J249+parametros_recargas!$J$96*'Plan mensual'!J250+parametros_recargas!$K$96*'Plan mensual'!J251+parametros_recargas!$L$96*'Plan mensual'!J252+parametros_recargas!$M$96*'Plan mensual'!J254</f>
        <v>14522.3561366053</v>
      </c>
      <c r="I246" s="26" t="n">
        <f aca="false">parametros_recargas!$E$96*'Plan mensual'!K245+parametros_recargas!$F$96*'Plan mensual'!K246+parametros_recargas!$G$96*'Plan mensual'!K247+parametros_recargas!$H$96*'Plan mensual'!K248+parametros_recargas!$I$96*'Plan mensual'!K249+parametros_recargas!$J$96*'Plan mensual'!K250+parametros_recargas!$K$96*'Plan mensual'!K251+parametros_recargas!$L$96*'Plan mensual'!K252+parametros_recargas!$M$96*'Plan mensual'!K254</f>
        <v>14640.7478818762</v>
      </c>
      <c r="J246" s="26" t="n">
        <f aca="false">parametros_recargas!$E$96*'Plan mensual'!L245+parametros_recargas!$F$96*'Plan mensual'!L246+parametros_recargas!$G$96*'Plan mensual'!L247+parametros_recargas!$H$96*'Plan mensual'!L248+parametros_recargas!$I$96*'Plan mensual'!L249+parametros_recargas!$J$96*'Plan mensual'!L250+parametros_recargas!$K$96*'Plan mensual'!L251+parametros_recargas!$L$96*'Plan mensual'!L252+parametros_recargas!$M$96*'Plan mensual'!L254</f>
        <v>14795.9323018765</v>
      </c>
      <c r="K246" s="26" t="n">
        <f aca="false">parametros_recargas!$E$96*'Plan mensual'!M245+parametros_recargas!$F$96*'Plan mensual'!M246+parametros_recargas!$G$96*'Plan mensual'!M247+parametros_recargas!$H$96*'Plan mensual'!M248+parametros_recargas!$I$96*'Plan mensual'!M249+parametros_recargas!$J$96*'Plan mensual'!M250+parametros_recargas!$K$96*'Plan mensual'!M251+parametros_recargas!$L$96*'Plan mensual'!M252+parametros_recargas!$M$96*'Plan mensual'!M254</f>
        <v>14794.8255044504</v>
      </c>
      <c r="L246" s="26" t="n">
        <f aca="false">parametros_recargas!$E$96*'Plan mensual'!N245+parametros_recargas!$F$96*'Plan mensual'!N246+parametros_recargas!$G$96*'Plan mensual'!N247+parametros_recargas!$H$96*'Plan mensual'!N248+parametros_recargas!$I$96*'Plan mensual'!N249+parametros_recargas!$J$96*'Plan mensual'!N250+parametros_recargas!$K$96*'Plan mensual'!N251+parametros_recargas!$L$96*'Plan mensual'!N252+parametros_recargas!$M$96*'Plan mensual'!N254</f>
        <v>17082.1596272225</v>
      </c>
      <c r="M246" s="26" t="n">
        <f aca="false">parametros_recargas!$E$96*'Plan mensual'!O245+parametros_recargas!$F$96*'Plan mensual'!O246+parametros_recargas!$G$96*'Plan mensual'!O247+parametros_recargas!$H$96*'Plan mensual'!O248+parametros_recargas!$I$96*'Plan mensual'!O249+parametros_recargas!$J$96*'Plan mensual'!O250+parametros_recargas!$K$96*'Plan mensual'!O251+parametros_recargas!$L$96*'Plan mensual'!O252+parametros_recargas!$M$96*'Plan mensual'!O254</f>
        <v>19662.6273654757</v>
      </c>
      <c r="N246" s="12" t="n">
        <f aca="false">SUM(B246:M246)</f>
        <v>193123.73844105</v>
      </c>
      <c r="O246" s="27" t="n">
        <f aca="false">MAX(B246:M246)</f>
        <v>19662.6273654757</v>
      </c>
      <c r="P246" s="16" t="n">
        <f aca="false">O246/parametros_recargas!$B$6</f>
        <v>131.084182436504</v>
      </c>
    </row>
    <row r="247" customFormat="false" ht="15" hidden="false" customHeight="false" outlineLevel="0" collapsed="false">
      <c r="A247" s="6" t="str">
        <f aca="false">parametros_recargas!$B$97</f>
        <v>Inutilización y disposición final</v>
      </c>
      <c r="B247" s="26" t="n">
        <f aca="false">parametros_recargas!$E$97*'Plan mensual'!D245+parametros_recargas!$F$97*'Plan mensual'!D246+parametros_recargas!$G$97*'Plan mensual'!D247+parametros_recargas!$H$97*'Plan mensual'!D248+parametros_recargas!$I$97*'Plan mensual'!D249+parametros_recargas!$J$97*'Plan mensual'!D250+parametros_recargas!$K$97*'Plan mensual'!D251+parametros_recargas!$L$97*'Plan mensual'!D252+parametros_recargas!$M$97*'Plan mensual'!D254</f>
        <v>1427.44363685895</v>
      </c>
      <c r="C247" s="26" t="n">
        <f aca="false">parametros_recargas!$E$97*'Plan mensual'!E245+parametros_recargas!$F$97*'Plan mensual'!E246+parametros_recargas!$G$97*'Plan mensual'!E247+parametros_recargas!$H$97*'Plan mensual'!E248+parametros_recargas!$I$97*'Plan mensual'!E249+parametros_recargas!$J$97*'Plan mensual'!E250+parametros_recargas!$K$97*'Plan mensual'!E251+parametros_recargas!$L$97*'Plan mensual'!E252+parametros_recargas!$M$97*'Plan mensual'!E254</f>
        <v>1235.51452061211</v>
      </c>
      <c r="D247" s="26" t="n">
        <f aca="false">parametros_recargas!$E$97*'Plan mensual'!F245+parametros_recargas!$F$97*'Plan mensual'!F246+parametros_recargas!$G$97*'Plan mensual'!F247+parametros_recargas!$H$97*'Plan mensual'!F248+parametros_recargas!$I$97*'Plan mensual'!F249+parametros_recargas!$J$97*'Plan mensual'!F250+parametros_recargas!$K$97*'Plan mensual'!F251+parametros_recargas!$L$97*'Plan mensual'!F252+parametros_recargas!$M$97*'Plan mensual'!F254</f>
        <v>1165.06636536803</v>
      </c>
      <c r="E247" s="26" t="n">
        <f aca="false">parametros_recargas!$E$97*'Plan mensual'!G245+parametros_recargas!$F$97*'Plan mensual'!G246+parametros_recargas!$G$97*'Plan mensual'!G247+parametros_recargas!$H$97*'Plan mensual'!G248+parametros_recargas!$I$97*'Plan mensual'!G249+parametros_recargas!$J$97*'Plan mensual'!G250+parametros_recargas!$K$97*'Plan mensual'!G251+parametros_recargas!$L$97*'Plan mensual'!G252+parametros_recargas!$M$97*'Plan mensual'!G254</f>
        <v>1281.4644591625</v>
      </c>
      <c r="F247" s="26" t="n">
        <f aca="false">parametros_recargas!$E$97*'Plan mensual'!H245+parametros_recargas!$F$97*'Plan mensual'!H246+parametros_recargas!$G$97*'Plan mensual'!H247+parametros_recargas!$H$97*'Plan mensual'!H248+parametros_recargas!$I$97*'Plan mensual'!H249+parametros_recargas!$J$97*'Plan mensual'!H250+parametros_recargas!$K$97*'Plan mensual'!H251+parametros_recargas!$L$97*'Plan mensual'!H252+parametros_recargas!$M$97*'Plan mensual'!H254</f>
        <v>1290.16173480098</v>
      </c>
      <c r="G247" s="26" t="n">
        <f aca="false">parametros_recargas!$E$97*'Plan mensual'!I245+parametros_recargas!$F$97*'Plan mensual'!I246+parametros_recargas!$G$97*'Plan mensual'!I247+parametros_recargas!$H$97*'Plan mensual'!I248+parametros_recargas!$I$97*'Plan mensual'!I249+parametros_recargas!$J$97*'Plan mensual'!I250+parametros_recargas!$K$97*'Plan mensual'!I251+parametros_recargas!$L$97*'Plan mensual'!I252+parametros_recargas!$M$97*'Plan mensual'!I254</f>
        <v>1276.67602063233</v>
      </c>
      <c r="H247" s="26" t="n">
        <f aca="false">parametros_recargas!$E$97*'Plan mensual'!J245+parametros_recargas!$F$97*'Plan mensual'!J246+parametros_recargas!$G$97*'Plan mensual'!J247+parametros_recargas!$H$97*'Plan mensual'!J248+parametros_recargas!$I$97*'Plan mensual'!J249+parametros_recargas!$J$97*'Plan mensual'!J250+parametros_recargas!$K$97*'Plan mensual'!J251+parametros_recargas!$L$97*'Plan mensual'!J252+parametros_recargas!$M$97*'Plan mensual'!J254</f>
        <v>1140.95664596222</v>
      </c>
      <c r="I247" s="26" t="n">
        <f aca="false">parametros_recargas!$E$97*'Plan mensual'!K245+parametros_recargas!$F$97*'Plan mensual'!K246+parametros_recargas!$G$97*'Plan mensual'!K247+parametros_recargas!$H$97*'Plan mensual'!K248+parametros_recargas!$I$97*'Plan mensual'!K249+parametros_recargas!$J$97*'Plan mensual'!K250+parametros_recargas!$K$97*'Plan mensual'!K251+parametros_recargas!$L$97*'Plan mensual'!K252+parametros_recargas!$M$97*'Plan mensual'!K254</f>
        <v>1150.4066210994</v>
      </c>
      <c r="J247" s="26" t="n">
        <f aca="false">parametros_recargas!$E$97*'Plan mensual'!L245+parametros_recargas!$F$97*'Plan mensual'!L246+parametros_recargas!$G$97*'Plan mensual'!L247+parametros_recargas!$H$97*'Plan mensual'!L248+parametros_recargas!$I$97*'Plan mensual'!L249+parametros_recargas!$J$97*'Plan mensual'!L250+parametros_recargas!$K$97*'Plan mensual'!L251+parametros_recargas!$L$97*'Plan mensual'!L252+parametros_recargas!$M$97*'Plan mensual'!L254</f>
        <v>1162.38787363278</v>
      </c>
      <c r="K247" s="26" t="n">
        <f aca="false">parametros_recargas!$E$97*'Plan mensual'!M245+parametros_recargas!$F$97*'Plan mensual'!M246+parametros_recargas!$G$97*'Plan mensual'!M247+parametros_recargas!$H$97*'Plan mensual'!M248+parametros_recargas!$I$97*'Plan mensual'!M249+parametros_recargas!$J$97*'Plan mensual'!M250+parametros_recargas!$K$97*'Plan mensual'!M251+parametros_recargas!$L$97*'Plan mensual'!M252+parametros_recargas!$M$97*'Plan mensual'!M254</f>
        <v>1162.38787363278</v>
      </c>
      <c r="L247" s="26" t="n">
        <f aca="false">parametros_recargas!$E$97*'Plan mensual'!N245+parametros_recargas!$F$97*'Plan mensual'!N246+parametros_recargas!$G$97*'Plan mensual'!N247+parametros_recargas!$H$97*'Plan mensual'!N248+parametros_recargas!$I$97*'Plan mensual'!N249+parametros_recargas!$J$97*'Plan mensual'!N250+parametros_recargas!$K$97*'Plan mensual'!N251+parametros_recargas!$L$97*'Plan mensual'!N252+parametros_recargas!$M$97*'Plan mensual'!N254</f>
        <v>1345.61971424114</v>
      </c>
      <c r="M247" s="26" t="n">
        <f aca="false">parametros_recargas!$E$97*'Plan mensual'!O245+parametros_recargas!$F$97*'Plan mensual'!O246+parametros_recargas!$G$97*'Plan mensual'!O247+parametros_recargas!$H$97*'Plan mensual'!O248+parametros_recargas!$I$97*'Plan mensual'!O249+parametros_recargas!$J$97*'Plan mensual'!O250+parametros_recargas!$K$97*'Plan mensual'!O251+parametros_recargas!$L$97*'Plan mensual'!O252+parametros_recargas!$M$97*'Plan mensual'!O254</f>
        <v>1551.03454465662</v>
      </c>
      <c r="N247" s="12" t="n">
        <f aca="false">SUM(B247:M247)</f>
        <v>15189.1200106598</v>
      </c>
      <c r="O247" s="27" t="n">
        <f aca="false">MAX(B247:M247)</f>
        <v>1551.03454465662</v>
      </c>
      <c r="P247" s="16" t="n">
        <f aca="false">O247/parametros_recargas!$B$6</f>
        <v>10.3402302977108</v>
      </c>
    </row>
    <row r="248" customFormat="false" ht="15" hidden="false" customHeight="false" outlineLevel="0" collapsed="false">
      <c r="A248" s="6" t="str">
        <f aca="false">parametros_recargas!$B$98</f>
        <v>PH de mangueras (CO₂ y rodantes)</v>
      </c>
      <c r="B248" s="26" t="n">
        <f aca="false">'Plan mensual'!D253</f>
        <v>465.245984595316</v>
      </c>
      <c r="C248" s="26" t="n">
        <f aca="false">'Plan mensual'!E253</f>
        <v>465.245984595316</v>
      </c>
      <c r="D248" s="26" t="n">
        <f aca="false">'Plan mensual'!F253</f>
        <v>505.699617154932</v>
      </c>
      <c r="E248" s="26" t="n">
        <f aca="false">'Plan mensual'!G253</f>
        <v>560.753999880862</v>
      </c>
      <c r="F248" s="26" t="n">
        <f aca="false">'Plan mensual'!H253</f>
        <v>567.309197530563</v>
      </c>
      <c r="G248" s="26" t="n">
        <f aca="false">'Plan mensual'!I253</f>
        <v>544.087035929395</v>
      </c>
      <c r="H248" s="26" t="n">
        <f aca="false">'Plan mensual'!J253</f>
        <v>481.693617449015</v>
      </c>
      <c r="I248" s="26" t="n">
        <f aca="false">'Plan mensual'!K253</f>
        <v>486.966439418311</v>
      </c>
      <c r="J248" s="26" t="n">
        <f aca="false">'Plan mensual'!L253</f>
        <v>506.786367800715</v>
      </c>
      <c r="K248" s="26" t="n">
        <f aca="false">'Plan mensual'!M253</f>
        <v>506.786367800715</v>
      </c>
      <c r="L248" s="26" t="n">
        <f aca="false">'Plan mensual'!N253</f>
        <v>500.231170151015</v>
      </c>
      <c r="M248" s="26" t="n">
        <f aca="false">'Plan mensual'!O253</f>
        <v>523.453331752183</v>
      </c>
      <c r="N248" s="12" t="n">
        <f aca="false">SUM(B248:M248)</f>
        <v>6114.25911405834</v>
      </c>
      <c r="O248" s="27" t="n">
        <f aca="false">MAX(B248:M248)</f>
        <v>567.309197530563</v>
      </c>
      <c r="P248" s="16" t="n">
        <f aca="false">O248/parametros_recargas!$B$6</f>
        <v>3.78206131687042</v>
      </c>
    </row>
    <row r="257" customFormat="false" ht="23.85" hidden="false" customHeight="false" outlineLevel="0" collapsed="false">
      <c r="A257" s="3" t="s">
        <v>400</v>
      </c>
      <c r="B257" s="3" t="s">
        <v>64</v>
      </c>
      <c r="C257" s="3" t="s">
        <v>65</v>
      </c>
      <c r="D257" s="3" t="s">
        <v>66</v>
      </c>
      <c r="E257" s="3" t="s">
        <v>67</v>
      </c>
      <c r="F257" s="3" t="s">
        <v>68</v>
      </c>
      <c r="G257" s="3" t="s">
        <v>69</v>
      </c>
      <c r="H257" s="3" t="s">
        <v>70</v>
      </c>
      <c r="I257" s="3" t="s">
        <v>71</v>
      </c>
      <c r="J257" s="3" t="s">
        <v>72</v>
      </c>
      <c r="K257" s="3" t="s">
        <v>73</v>
      </c>
      <c r="L257" s="3" t="s">
        <v>74</v>
      </c>
      <c r="M257" s="3" t="s">
        <v>75</v>
      </c>
      <c r="N257" s="3" t="s">
        <v>390</v>
      </c>
      <c r="O257" s="3" t="s">
        <v>391</v>
      </c>
      <c r="P257" s="3" t="s">
        <v>392</v>
      </c>
    </row>
    <row r="258" customFormat="false" ht="15" hidden="false" customHeight="false" outlineLevel="0" collapsed="false">
      <c r="A258" s="6" t="str">
        <f aca="false">parametros_recargas!$B$76</f>
        <v>Recepción y registro</v>
      </c>
      <c r="B258" s="26" t="n">
        <f aca="false">parametros_recargas!$E$76*'Plan mensual'!D277+parametros_recargas!$F$76*'Plan mensual'!D278+parametros_recargas!$G$76*'Plan mensual'!D279+parametros_recargas!$H$76*'Plan mensual'!D280+parametros_recargas!$I$76*'Plan mensual'!D281+parametros_recargas!$J$76*'Plan mensual'!D282+parametros_recargas!$K$76*'Plan mensual'!D283+parametros_recargas!$L$76*'Plan mensual'!D284+parametros_recargas!$M$76*'Plan mensual'!D286</f>
        <v>19418.6747333742</v>
      </c>
      <c r="C258" s="26" t="n">
        <f aca="false">parametros_recargas!$E$76*'Plan mensual'!E277+parametros_recargas!$F$76*'Plan mensual'!E278+parametros_recargas!$G$76*'Plan mensual'!E279+parametros_recargas!$H$76*'Plan mensual'!E280+parametros_recargas!$I$76*'Plan mensual'!E281+parametros_recargas!$J$76*'Plan mensual'!E282+parametros_recargas!$K$76*'Plan mensual'!E283+parametros_recargas!$L$76*'Plan mensual'!E284+parametros_recargas!$M$76*'Plan mensual'!E286</f>
        <v>16843.8900246435</v>
      </c>
      <c r="D258" s="26" t="n">
        <f aca="false">parametros_recargas!$E$76*'Plan mensual'!F277+parametros_recargas!$F$76*'Plan mensual'!F278+parametros_recargas!$G$76*'Plan mensual'!F279+parametros_recargas!$H$76*'Plan mensual'!F280+parametros_recargas!$I$76*'Plan mensual'!F281+parametros_recargas!$J$76*'Plan mensual'!F282+parametros_recargas!$K$76*'Plan mensual'!F283+parametros_recargas!$L$76*'Plan mensual'!F284+parametros_recargas!$M$76*'Plan mensual'!F286</f>
        <v>15970.4240273743</v>
      </c>
      <c r="E258" s="26" t="n">
        <f aca="false">parametros_recargas!$E$76*'Plan mensual'!G277+parametros_recargas!$F$76*'Plan mensual'!G278+parametros_recargas!$G$76*'Plan mensual'!G279+parametros_recargas!$H$76*'Plan mensual'!G280+parametros_recargas!$I$76*'Plan mensual'!G281+parametros_recargas!$J$76*'Plan mensual'!G282+parametros_recargas!$K$76*'Plan mensual'!G283+parametros_recargas!$L$76*'Plan mensual'!G284+parametros_recargas!$M$76*'Plan mensual'!G286</f>
        <v>17598.089987435</v>
      </c>
      <c r="F258" s="26" t="n">
        <f aca="false">parametros_recargas!$E$76*'Plan mensual'!H277+parametros_recargas!$F$76*'Plan mensual'!H278+parametros_recargas!$G$76*'Plan mensual'!H279+parametros_recargas!$H$76*'Plan mensual'!H280+parametros_recargas!$I$76*'Plan mensual'!H281+parametros_recargas!$J$76*'Plan mensual'!H282+parametros_recargas!$K$76*'Plan mensual'!H283+parametros_recargas!$L$76*'Plan mensual'!H284+parametros_recargas!$M$76*'Plan mensual'!H286</f>
        <v>17717.2061328745</v>
      </c>
      <c r="G258" s="26" t="n">
        <f aca="false">parametros_recargas!$E$76*'Plan mensual'!I277+parametros_recargas!$F$76*'Plan mensual'!I278+parametros_recargas!$G$76*'Plan mensual'!I279+parametros_recargas!$H$76*'Plan mensual'!I280+parametros_recargas!$I$76*'Plan mensual'!I281+parametros_recargas!$J$76*'Plan mensual'!I282+parametros_recargas!$K$76*'Plan mensual'!I283+parametros_recargas!$L$76*'Plan mensual'!I284+parametros_recargas!$M$76*'Plan mensual'!I286</f>
        <v>17527.0749363278</v>
      </c>
      <c r="H258" s="26" t="n">
        <f aca="false">parametros_recargas!$E$76*'Plan mensual'!J277+parametros_recargas!$F$76*'Plan mensual'!J278+parametros_recargas!$G$76*'Plan mensual'!J279+parametros_recargas!$H$76*'Plan mensual'!J280+parametros_recargas!$I$76*'Plan mensual'!J281+parametros_recargas!$J$76*'Plan mensual'!J282+parametros_recargas!$K$76*'Plan mensual'!J283+parametros_recargas!$L$76*'Plan mensual'!J284+parametros_recargas!$M$76*'Plan mensual'!J286</f>
        <v>15633.4923735626</v>
      </c>
      <c r="I258" s="26" t="n">
        <f aca="false">parametros_recargas!$E$76*'Plan mensual'!K277+parametros_recargas!$F$76*'Plan mensual'!K278+parametros_recargas!$G$76*'Plan mensual'!K279+parametros_recargas!$H$76*'Plan mensual'!K280+parametros_recargas!$I$76*'Plan mensual'!K281+parametros_recargas!$J$76*'Plan mensual'!K282+parametros_recargas!$K$76*'Plan mensual'!K283+parametros_recargas!$L$76*'Plan mensual'!K284+parametros_recargas!$M$76*'Plan mensual'!K286</f>
        <v>15761.5889825499</v>
      </c>
      <c r="J258" s="26" t="n">
        <f aca="false">parametros_recargas!$E$76*'Plan mensual'!L277+parametros_recargas!$F$76*'Plan mensual'!L278+parametros_recargas!$G$76*'Plan mensual'!L279+parametros_recargas!$H$76*'Plan mensual'!L280+parametros_recargas!$I$76*'Plan mensual'!L281+parametros_recargas!$J$76*'Plan mensual'!L282+parametros_recargas!$K$76*'Plan mensual'!L283+parametros_recargas!$L$76*'Plan mensual'!L284+parametros_recargas!$M$76*'Plan mensual'!L286</f>
        <v>15929.5492285826</v>
      </c>
      <c r="K258" s="26" t="n">
        <f aca="false">parametros_recargas!$E$76*'Plan mensual'!M277+parametros_recargas!$F$76*'Plan mensual'!M278+parametros_recargas!$G$76*'Plan mensual'!M279+parametros_recargas!$H$76*'Plan mensual'!M280+parametros_recargas!$I$76*'Plan mensual'!M281+parametros_recargas!$J$76*'Plan mensual'!M282+parametros_recargas!$K$76*'Plan mensual'!M283+parametros_recargas!$L$76*'Plan mensual'!M284+parametros_recargas!$M$76*'Plan mensual'!M286</f>
        <v>15928.5941821847</v>
      </c>
      <c r="L258" s="26" t="n">
        <f aca="false">parametros_recargas!$E$76*'Plan mensual'!N277+parametros_recargas!$F$76*'Plan mensual'!N278+parametros_recargas!$G$76*'Plan mensual'!N279+parametros_recargas!$H$76*'Plan mensual'!N280+parametros_recargas!$I$76*'Plan mensual'!N281+parametros_recargas!$J$76*'Plan mensual'!N282+parametros_recargas!$K$76*'Plan mensual'!N283+parametros_recargas!$L$76*'Plan mensual'!N284+parametros_recargas!$M$76*'Plan mensual'!N286</f>
        <v>18379.5514758789</v>
      </c>
      <c r="M258" s="26" t="n">
        <f aca="false">parametros_recargas!$E$76*'Plan mensual'!O277+parametros_recargas!$F$76*'Plan mensual'!O278+parametros_recargas!$G$76*'Plan mensual'!O279+parametros_recargas!$H$76*'Plan mensual'!O280+parametros_recargas!$I$76*'Plan mensual'!O281+parametros_recargas!$J$76*'Plan mensual'!O282+parametros_recargas!$K$76*'Plan mensual'!O283+parametros_recargas!$L$76*'Plan mensual'!O284+parametros_recargas!$M$76*'Plan mensual'!O286</f>
        <v>21146.4267347583</v>
      </c>
      <c r="N258" s="12" t="n">
        <f aca="false">SUM(B258:M258)</f>
        <v>207854.562819546</v>
      </c>
      <c r="O258" s="27" t="n">
        <f aca="false">MAX(B258:M258)</f>
        <v>21146.4267347583</v>
      </c>
      <c r="P258" s="16" t="n">
        <f aca="false">O258/parametros_recargas!$B$6</f>
        <v>140.976178231722</v>
      </c>
    </row>
    <row r="259" customFormat="false" ht="15" hidden="false" customHeight="false" outlineLevel="0" collapsed="false">
      <c r="A259" s="6" t="str">
        <f aca="false">parametros_recargas!$B$77</f>
        <v>Inspección visual</v>
      </c>
      <c r="B259" s="26" t="n">
        <f aca="false">parametros_recargas!$E$77*'Plan mensual'!D277+parametros_recargas!$F$77*'Plan mensual'!D278+parametros_recargas!$G$77*'Plan mensual'!D279+parametros_recargas!$H$77*'Plan mensual'!D280+parametros_recargas!$I$77*'Plan mensual'!D281+parametros_recargas!$J$77*'Plan mensual'!D282+parametros_recargas!$K$77*'Plan mensual'!D283+parametros_recargas!$L$77*'Plan mensual'!D284+parametros_recargas!$M$77*'Plan mensual'!D286</f>
        <v>19402.1779389916</v>
      </c>
      <c r="C259" s="26" t="n">
        <f aca="false">parametros_recargas!$E$77*'Plan mensual'!E277+parametros_recargas!$F$77*'Plan mensual'!E278+parametros_recargas!$G$77*'Plan mensual'!E279+parametros_recargas!$H$77*'Plan mensual'!E280+parametros_recargas!$I$77*'Plan mensual'!E281+parametros_recargas!$J$77*'Plan mensual'!E282+parametros_recargas!$K$77*'Plan mensual'!E283+parametros_recargas!$L$77*'Plan mensual'!E284+parametros_recargas!$M$77*'Plan mensual'!E286</f>
        <v>16830.5340766589</v>
      </c>
      <c r="D259" s="26" t="n">
        <f aca="false">parametros_recargas!$E$77*'Plan mensual'!F277+parametros_recargas!$F$77*'Plan mensual'!F278+parametros_recargas!$G$77*'Plan mensual'!F279+parametros_recargas!$H$77*'Plan mensual'!F280+parametros_recargas!$I$77*'Plan mensual'!F281+parametros_recargas!$J$77*'Plan mensual'!F282+parametros_recargas!$K$77*'Plan mensual'!F283+parametros_recargas!$L$77*'Plan mensual'!F284+parametros_recargas!$M$77*'Plan mensual'!F286</f>
        <v>15955.9998097928</v>
      </c>
      <c r="E259" s="26" t="n">
        <f aca="false">parametros_recargas!$E$77*'Plan mensual'!G277+parametros_recargas!$F$77*'Plan mensual'!G278+parametros_recargas!$G$77*'Plan mensual'!G279+parametros_recargas!$H$77*'Plan mensual'!G280+parametros_recargas!$I$77*'Plan mensual'!G281+parametros_recargas!$J$77*'Plan mensual'!G282+parametros_recargas!$K$77*'Plan mensual'!G283+parametros_recargas!$L$77*'Plan mensual'!G284+parametros_recargas!$M$77*'Plan mensual'!G286</f>
        <v>17583.6657698534</v>
      </c>
      <c r="F259" s="26" t="n">
        <f aca="false">parametros_recargas!$E$77*'Plan mensual'!H277+parametros_recargas!$F$77*'Plan mensual'!H278+parametros_recargas!$G$77*'Plan mensual'!H279+parametros_recargas!$H$77*'Plan mensual'!H280+parametros_recargas!$I$77*'Plan mensual'!H281+parametros_recargas!$J$77*'Plan mensual'!H282+parametros_recargas!$K$77*'Plan mensual'!H283+parametros_recargas!$L$77*'Plan mensual'!H284+parametros_recargas!$M$77*'Plan mensual'!H286</f>
        <v>17703.5105152929</v>
      </c>
      <c r="G259" s="26" t="n">
        <f aca="false">parametros_recargas!$E$77*'Plan mensual'!I277+parametros_recargas!$F$77*'Plan mensual'!I278+parametros_recargas!$G$77*'Plan mensual'!I279+parametros_recargas!$H$77*'Plan mensual'!I280+parametros_recargas!$I$77*'Plan mensual'!I281+parametros_recargas!$J$77*'Plan mensual'!I282+parametros_recargas!$K$77*'Plan mensual'!I283+parametros_recargas!$L$77*'Plan mensual'!I284+parametros_recargas!$M$77*'Plan mensual'!I286</f>
        <v>17514.3343651442</v>
      </c>
      <c r="H259" s="26" t="n">
        <f aca="false">parametros_recargas!$E$77*'Plan mensual'!J277+parametros_recargas!$F$77*'Plan mensual'!J278+parametros_recargas!$G$77*'Plan mensual'!J279+parametros_recargas!$H$77*'Plan mensual'!J280+parametros_recargas!$I$77*'Plan mensual'!J281+parametros_recargas!$J$77*'Plan mensual'!J282+parametros_recargas!$K$77*'Plan mensual'!J283+parametros_recargas!$L$77*'Plan mensual'!J284+parametros_recargas!$M$77*'Plan mensual'!J286</f>
        <v>15619.796755981</v>
      </c>
      <c r="I259" s="26" t="n">
        <f aca="false">parametros_recargas!$E$77*'Plan mensual'!K277+parametros_recargas!$F$77*'Plan mensual'!K278+parametros_recargas!$G$77*'Plan mensual'!K279+parametros_recargas!$H$77*'Plan mensual'!K280+parametros_recargas!$I$77*'Plan mensual'!K281+parametros_recargas!$J$77*'Plan mensual'!K282+parametros_recargas!$K$77*'Plan mensual'!K283+parametros_recargas!$L$77*'Plan mensual'!K284+parametros_recargas!$M$77*'Plan mensual'!K286</f>
        <v>15747.8933649683</v>
      </c>
      <c r="J259" s="26" t="n">
        <f aca="false">parametros_recargas!$E$77*'Plan mensual'!L277+parametros_recargas!$F$77*'Plan mensual'!L278+parametros_recargas!$G$77*'Plan mensual'!L279+parametros_recargas!$H$77*'Plan mensual'!L280+parametros_recargas!$I$77*'Plan mensual'!L281+parametros_recargas!$J$77*'Plan mensual'!L282+parametros_recargas!$K$77*'Plan mensual'!L283+parametros_recargas!$L$77*'Plan mensual'!L284+parametros_recargas!$M$77*'Plan mensual'!L286</f>
        <v>15915.9668342</v>
      </c>
      <c r="K259" s="26" t="n">
        <f aca="false">parametros_recargas!$E$77*'Plan mensual'!M277+parametros_recargas!$F$77*'Plan mensual'!M278+parametros_recargas!$G$77*'Plan mensual'!M279+parametros_recargas!$H$77*'Plan mensual'!M280+parametros_recargas!$I$77*'Plan mensual'!M281+parametros_recargas!$J$77*'Plan mensual'!M282+parametros_recargas!$K$77*'Plan mensual'!M283+parametros_recargas!$L$77*'Plan mensual'!M284+parametros_recargas!$M$77*'Plan mensual'!M286</f>
        <v>15915.9668342</v>
      </c>
      <c r="L259" s="26" t="n">
        <f aca="false">parametros_recargas!$E$77*'Plan mensual'!N277+parametros_recargas!$F$77*'Plan mensual'!N278+parametros_recargas!$G$77*'Plan mensual'!N279+parametros_recargas!$H$77*'Plan mensual'!N280+parametros_recargas!$I$77*'Plan mensual'!N281+parametros_recargas!$J$77*'Plan mensual'!N282+parametros_recargas!$K$77*'Plan mensual'!N283+parametros_recargas!$L$77*'Plan mensual'!N284+parametros_recargas!$M$77*'Plan mensual'!N286</f>
        <v>18367.7659510933</v>
      </c>
      <c r="M259" s="26" t="n">
        <f aca="false">parametros_recargas!$E$77*'Plan mensual'!O277+parametros_recargas!$F$77*'Plan mensual'!O278+parametros_recargas!$G$77*'Plan mensual'!O279+parametros_recargas!$H$77*'Plan mensual'!O280+parametros_recargas!$I$77*'Plan mensual'!O281+parametros_recargas!$J$77*'Plan mensual'!O282+parametros_recargas!$K$77*'Plan mensual'!O283+parametros_recargas!$L$77*'Plan mensual'!O284+parametros_recargas!$M$77*'Plan mensual'!O286</f>
        <v>21128.5859635747</v>
      </c>
      <c r="N259" s="12" t="n">
        <f aca="false">SUM(B259:M259)</f>
        <v>207686.198179751</v>
      </c>
      <c r="O259" s="27" t="n">
        <f aca="false">MAX(B259:M259)</f>
        <v>21128.5859635747</v>
      </c>
      <c r="P259" s="16" t="n">
        <f aca="false">O259/parametros_recargas!$B$6</f>
        <v>140.857239757165</v>
      </c>
    </row>
    <row r="260" customFormat="false" ht="15" hidden="false" customHeight="false" outlineLevel="0" collapsed="false">
      <c r="A260" s="6" t="str">
        <f aca="false">parametros_recargas!$B$78</f>
        <v>Descarga ABC — ruta recuperable</v>
      </c>
      <c r="B260" s="26" t="n">
        <f aca="false">parametros_recargas!$E$78*'Plan mensual'!D277+parametros_recargas!$F$78*'Plan mensual'!D278+parametros_recargas!$G$78*'Plan mensual'!D279+parametros_recargas!$H$78*'Plan mensual'!D280+parametros_recargas!$I$78*'Plan mensual'!D281+parametros_recargas!$J$78*'Plan mensual'!D282+parametros_recargas!$K$78*'Plan mensual'!D283+parametros_recargas!$L$78*'Plan mensual'!D284+parametros_recargas!$M$78*'Plan mensual'!D286</f>
        <v>14971.1923723203</v>
      </c>
      <c r="C260" s="26" t="n">
        <f aca="false">parametros_recargas!$E$78*'Plan mensual'!E277+parametros_recargas!$F$78*'Plan mensual'!E278+parametros_recargas!$G$78*'Plan mensual'!E279+parametros_recargas!$H$78*'Plan mensual'!E280+parametros_recargas!$I$78*'Plan mensual'!E281+parametros_recargas!$J$78*'Plan mensual'!E282+parametros_recargas!$K$78*'Plan mensual'!E283+parametros_recargas!$L$78*'Plan mensual'!E284+parametros_recargas!$M$78*'Plan mensual'!E286</f>
        <v>12772.4368700258</v>
      </c>
      <c r="D260" s="26" t="n">
        <f aca="false">parametros_recargas!$E$78*'Plan mensual'!F277+parametros_recargas!$F$78*'Plan mensual'!F278+parametros_recargas!$G$78*'Plan mensual'!F279+parametros_recargas!$H$78*'Plan mensual'!F280+parametros_recargas!$I$78*'Plan mensual'!F281+parametros_recargas!$J$78*'Plan mensual'!F282+parametros_recargas!$K$78*'Plan mensual'!F283+parametros_recargas!$L$78*'Plan mensual'!F284+parametros_recargas!$M$78*'Plan mensual'!F286</f>
        <v>11707.0785280495</v>
      </c>
      <c r="E260" s="26" t="n">
        <f aca="false">parametros_recargas!$E$78*'Plan mensual'!G277+parametros_recargas!$F$78*'Plan mensual'!G278+parametros_recargas!$G$78*'Plan mensual'!G279+parametros_recargas!$H$78*'Plan mensual'!G280+parametros_recargas!$I$78*'Plan mensual'!G281+parametros_recargas!$J$78*'Plan mensual'!G282+parametros_recargas!$K$78*'Plan mensual'!G283+parametros_recargas!$L$78*'Plan mensual'!G284+parametros_recargas!$M$78*'Plan mensual'!G286</f>
        <v>12784.9522886625</v>
      </c>
      <c r="F260" s="26" t="n">
        <f aca="false">parametros_recargas!$E$78*'Plan mensual'!H277+parametros_recargas!$F$78*'Plan mensual'!H278+parametros_recargas!$G$78*'Plan mensual'!H279+parametros_recargas!$H$78*'Plan mensual'!H280+parametros_recargas!$I$78*'Plan mensual'!H281+parametros_recargas!$J$78*'Plan mensual'!H282+parametros_recargas!$K$78*'Plan mensual'!H283+parametros_recargas!$L$78*'Plan mensual'!H284+parametros_recargas!$M$78*'Plan mensual'!H286</f>
        <v>12871.2750694676</v>
      </c>
      <c r="G260" s="26" t="n">
        <f aca="false">parametros_recargas!$E$78*'Plan mensual'!I277+parametros_recargas!$F$78*'Plan mensual'!I278+parametros_recargas!$G$78*'Plan mensual'!I279+parametros_recargas!$H$78*'Plan mensual'!I280+parametros_recargas!$I$78*'Plan mensual'!I281+parametros_recargas!$J$78*'Plan mensual'!I282+parametros_recargas!$K$78*'Plan mensual'!I283+parametros_recargas!$L$78*'Plan mensual'!I284+parametros_recargas!$M$78*'Plan mensual'!I286</f>
        <v>12755.2750188862</v>
      </c>
      <c r="H260" s="26" t="n">
        <f aca="false">parametros_recargas!$E$78*'Plan mensual'!J277+parametros_recargas!$F$78*'Plan mensual'!J278+parametros_recargas!$G$78*'Plan mensual'!J279+parametros_recargas!$H$78*'Plan mensual'!J280+parametros_recargas!$I$78*'Plan mensual'!J281+parametros_recargas!$J$78*'Plan mensual'!J282+parametros_recargas!$K$78*'Plan mensual'!J283+parametros_recargas!$L$78*'Plan mensual'!J284+parametros_recargas!$M$78*'Plan mensual'!J286</f>
        <v>11490.548479109</v>
      </c>
      <c r="I260" s="26" t="n">
        <f aca="false">parametros_recargas!$E$78*'Plan mensual'!K277+parametros_recargas!$F$78*'Plan mensual'!K278+parametros_recargas!$G$78*'Plan mensual'!K279+parametros_recargas!$H$78*'Plan mensual'!K280+parametros_recargas!$I$78*'Plan mensual'!K281+parametros_recargas!$J$78*'Plan mensual'!K282+parametros_recargas!$K$78*'Plan mensual'!K283+parametros_recargas!$L$78*'Plan mensual'!K284+parametros_recargas!$M$78*'Plan mensual'!K286</f>
        <v>11592.2005887917</v>
      </c>
      <c r="J260" s="26" t="n">
        <f aca="false">parametros_recargas!$E$78*'Plan mensual'!L277+parametros_recargas!$F$78*'Plan mensual'!L278+parametros_recargas!$G$78*'Plan mensual'!L279+parametros_recargas!$H$78*'Plan mensual'!L280+parametros_recargas!$I$78*'Plan mensual'!L281+parametros_recargas!$J$78*'Plan mensual'!L282+parametros_recargas!$K$78*'Plan mensual'!L283+parametros_recargas!$L$78*'Plan mensual'!L284+parametros_recargas!$M$78*'Plan mensual'!L286</f>
        <v>11694.0040807798</v>
      </c>
      <c r="K260" s="26" t="n">
        <f aca="false">parametros_recargas!$E$78*'Plan mensual'!M277+parametros_recargas!$F$78*'Plan mensual'!M278+parametros_recargas!$G$78*'Plan mensual'!M279+parametros_recargas!$H$78*'Plan mensual'!M280+parametros_recargas!$I$78*'Plan mensual'!M281+parametros_recargas!$J$78*'Plan mensual'!M282+parametros_recargas!$K$78*'Plan mensual'!M283+parametros_recargas!$L$78*'Plan mensual'!M284+parametros_recargas!$M$78*'Plan mensual'!M286</f>
        <v>11694.0040807798</v>
      </c>
      <c r="L260" s="26" t="n">
        <f aca="false">parametros_recargas!$E$78*'Plan mensual'!N277+parametros_recargas!$F$78*'Plan mensual'!N278+parametros_recargas!$G$78*'Plan mensual'!N279+parametros_recargas!$H$78*'Plan mensual'!N280+parametros_recargas!$I$78*'Plan mensual'!N281+parametros_recargas!$J$78*'Plan mensual'!N282+parametros_recargas!$K$78*'Plan mensual'!N283+parametros_recargas!$L$78*'Plan mensual'!N284+parametros_recargas!$M$78*'Plan mensual'!N286</f>
        <v>13806.4368022691</v>
      </c>
      <c r="M260" s="26" t="n">
        <f aca="false">parametros_recargas!$E$78*'Plan mensual'!O277+parametros_recargas!$F$78*'Plan mensual'!O278+parametros_recargas!$G$78*'Plan mensual'!O279+parametros_recargas!$H$78*'Plan mensual'!O280+parametros_recargas!$I$78*'Plan mensual'!O281+parametros_recargas!$J$78*'Plan mensual'!O282+parametros_recargas!$K$78*'Plan mensual'!O283+parametros_recargas!$L$78*'Plan mensual'!O284+parametros_recargas!$M$78*'Plan mensual'!O286</f>
        <v>16121.192355145</v>
      </c>
      <c r="N260" s="12" t="n">
        <f aca="false">SUM(B260:M260)</f>
        <v>154260.596534286</v>
      </c>
      <c r="O260" s="27" t="n">
        <f aca="false">MAX(B260:M260)</f>
        <v>16121.192355145</v>
      </c>
      <c r="P260" s="16" t="n">
        <f aca="false">O260/parametros_recargas!$B$6</f>
        <v>107.474615700967</v>
      </c>
    </row>
    <row r="261" customFormat="false" ht="15" hidden="false" customHeight="false" outlineLevel="0" collapsed="false">
      <c r="A261" s="6" t="str">
        <f aca="false">parametros_recargas!$B$79</f>
        <v>Descarga a descarte (ABC, BC y Clase D)</v>
      </c>
      <c r="B261" s="26" t="n">
        <f aca="false">parametros_recargas!$E$79*'Plan mensual'!D277+parametros_recargas!$F$79*'Plan mensual'!D278+parametros_recargas!$G$79*'Plan mensual'!D279+parametros_recargas!$H$79*'Plan mensual'!D280+parametros_recargas!$I$79*'Plan mensual'!D281+parametros_recargas!$J$79*'Plan mensual'!D282+parametros_recargas!$K$79*'Plan mensual'!D283+parametros_recargas!$L$79*'Plan mensual'!D284+parametros_recargas!$M$79*'Plan mensual'!D286</f>
        <v>1701.14403217635</v>
      </c>
      <c r="C261" s="26" t="n">
        <f aca="false">parametros_recargas!$E$79*'Plan mensual'!E277+parametros_recargas!$F$79*'Plan mensual'!E278+parametros_recargas!$G$79*'Plan mensual'!E279+parametros_recargas!$H$79*'Plan mensual'!E280+parametros_recargas!$I$79*'Plan mensual'!E281+parametros_recargas!$J$79*'Plan mensual'!E282+parametros_recargas!$K$79*'Plan mensual'!E283+parametros_recargas!$L$79*'Plan mensual'!E284+parametros_recargas!$M$79*'Plan mensual'!E286</f>
        <v>1456.83786525474</v>
      </c>
      <c r="D261" s="26" t="n">
        <f aca="false">parametros_recargas!$E$79*'Plan mensual'!F277+parametros_recargas!$F$79*'Plan mensual'!F278+parametros_recargas!$G$79*'Plan mensual'!F279+parametros_recargas!$H$79*'Plan mensual'!F280+parametros_recargas!$I$79*'Plan mensual'!F281+parametros_recargas!$J$79*'Plan mensual'!F282+parametros_recargas!$K$79*'Plan mensual'!F283+parametros_recargas!$L$79*'Plan mensual'!F284+parametros_recargas!$M$79*'Plan mensual'!F286</f>
        <v>1338.46471614626</v>
      </c>
      <c r="E261" s="26" t="n">
        <f aca="false">parametros_recargas!$E$79*'Plan mensual'!G277+parametros_recargas!$F$79*'Plan mensual'!G278+parametros_recargas!$G$79*'Plan mensual'!G279+parametros_recargas!$H$79*'Plan mensual'!G280+parametros_recargas!$I$79*'Plan mensual'!G281+parametros_recargas!$J$79*'Plan mensual'!G282+parametros_recargas!$K$79*'Plan mensual'!G283+parametros_recargas!$L$79*'Plan mensual'!G284+parametros_recargas!$M$79*'Plan mensual'!G286</f>
        <v>1458.22846732548</v>
      </c>
      <c r="F261" s="26" t="n">
        <f aca="false">parametros_recargas!$E$79*'Plan mensual'!H277+parametros_recargas!$F$79*'Plan mensual'!H278+parametros_recargas!$G$79*'Plan mensual'!H279+parametros_recargas!$H$79*'Plan mensual'!H280+parametros_recargas!$I$79*'Plan mensual'!H281+parametros_recargas!$J$79*'Plan mensual'!H282+parametros_recargas!$K$79*'Plan mensual'!H283+parametros_recargas!$L$79*'Plan mensual'!H284+parametros_recargas!$M$79*'Plan mensual'!H286</f>
        <v>1467.81988741494</v>
      </c>
      <c r="G261" s="26" t="n">
        <f aca="false">parametros_recargas!$E$79*'Plan mensual'!I277+parametros_recargas!$F$79*'Plan mensual'!I278+parametros_recargas!$G$79*'Plan mensual'!I279+parametros_recargas!$H$79*'Plan mensual'!I280+parametros_recargas!$I$79*'Plan mensual'!I281+parametros_recargas!$J$79*'Plan mensual'!I282+parametros_recargas!$K$79*'Plan mensual'!I283+parametros_recargas!$L$79*'Plan mensual'!I284+parametros_recargas!$M$79*'Plan mensual'!I286</f>
        <v>1454.93099290589</v>
      </c>
      <c r="H261" s="26" t="n">
        <f aca="false">parametros_recargas!$E$79*'Plan mensual'!J277+parametros_recargas!$F$79*'Plan mensual'!J278+parametros_recargas!$G$79*'Plan mensual'!J279+parametros_recargas!$H$79*'Plan mensual'!J280+parametros_recargas!$I$79*'Plan mensual'!J281+parametros_recargas!$J$79*'Plan mensual'!J282+parametros_recargas!$K$79*'Plan mensual'!J283+parametros_recargas!$L$79*'Plan mensual'!J284+parametros_recargas!$M$79*'Plan mensual'!J286</f>
        <v>1314.40582181954</v>
      </c>
      <c r="I261" s="26" t="n">
        <f aca="false">parametros_recargas!$E$79*'Plan mensual'!K277+parametros_recargas!$F$79*'Plan mensual'!K278+parametros_recargas!$G$79*'Plan mensual'!K279+parametros_recargas!$H$79*'Plan mensual'!K280+parametros_recargas!$I$79*'Plan mensual'!K281+parametros_recargas!$J$79*'Plan mensual'!K282+parametros_recargas!$K$79*'Plan mensual'!K283+parametros_recargas!$L$79*'Plan mensual'!K284+parametros_recargas!$M$79*'Plan mensual'!K286</f>
        <v>1325.70050067318</v>
      </c>
      <c r="J261" s="26" t="n">
        <f aca="false">parametros_recargas!$E$79*'Plan mensual'!L277+parametros_recargas!$F$79*'Plan mensual'!L278+parametros_recargas!$G$79*'Plan mensual'!L279+parametros_recargas!$H$79*'Plan mensual'!L280+parametros_recargas!$I$79*'Plan mensual'!L281+parametros_recargas!$J$79*'Plan mensual'!L282+parametros_recargas!$K$79*'Plan mensual'!L283+parametros_recargas!$L$79*'Plan mensual'!L284+parametros_recargas!$M$79*'Plan mensual'!L286</f>
        <v>1337.01199978296</v>
      </c>
      <c r="K261" s="26" t="n">
        <f aca="false">parametros_recargas!$E$79*'Plan mensual'!M277+parametros_recargas!$F$79*'Plan mensual'!M278+parametros_recargas!$G$79*'Plan mensual'!M279+parametros_recargas!$H$79*'Plan mensual'!M280+parametros_recargas!$I$79*'Plan mensual'!M281+parametros_recargas!$J$79*'Plan mensual'!M282+parametros_recargas!$K$79*'Plan mensual'!M283+parametros_recargas!$L$79*'Plan mensual'!M284+parametros_recargas!$M$79*'Plan mensual'!M286</f>
        <v>1337.01199978296</v>
      </c>
      <c r="L261" s="26" t="n">
        <f aca="false">parametros_recargas!$E$79*'Plan mensual'!N277+parametros_recargas!$F$79*'Plan mensual'!N278+parametros_recargas!$G$79*'Plan mensual'!N279+parametros_recargas!$H$79*'Plan mensual'!N280+parametros_recargas!$I$79*'Plan mensual'!N281+parametros_recargas!$J$79*'Plan mensual'!N282+parametros_recargas!$K$79*'Plan mensual'!N283+parametros_recargas!$L$79*'Plan mensual'!N284+parametros_recargas!$M$79*'Plan mensual'!N286</f>
        <v>1571.72674661511</v>
      </c>
      <c r="M261" s="26" t="n">
        <f aca="false">parametros_recargas!$E$79*'Plan mensual'!O277+parametros_recargas!$F$79*'Plan mensual'!O278+parametros_recargas!$G$79*'Plan mensual'!O279+parametros_recargas!$H$79*'Plan mensual'!O280+parametros_recargas!$I$79*'Plan mensual'!O281+parametros_recargas!$J$79*'Plan mensual'!O282+parametros_recargas!$K$79*'Plan mensual'!O283+parametros_recargas!$L$79*'Plan mensual'!O284+parametros_recargas!$M$79*'Plan mensual'!O286</f>
        <v>1828.92180804576</v>
      </c>
      <c r="N261" s="12" t="n">
        <f aca="false">SUM(B261:M261)</f>
        <v>17592.2048379431</v>
      </c>
      <c r="O261" s="27" t="n">
        <f aca="false">MAX(B261:M261)</f>
        <v>1828.92180804576</v>
      </c>
      <c r="P261" s="16" t="n">
        <f aca="false">O261/parametros_recargas!$B$6</f>
        <v>12.1928120536384</v>
      </c>
    </row>
    <row r="262" customFormat="false" ht="15" hidden="false" customHeight="false" outlineLevel="0" collapsed="false">
      <c r="A262" s="6" t="str">
        <f aca="false">parametros_recargas!$B$80</f>
        <v>Descarga y carga de agua / AFFF / sales K</v>
      </c>
      <c r="B262" s="26" t="n">
        <f aca="false">parametros_recargas!$E$80*'Plan mensual'!D277+parametros_recargas!$F$80*'Plan mensual'!D278+parametros_recargas!$G$80*'Plan mensual'!D279+parametros_recargas!$H$80*'Plan mensual'!D280+parametros_recargas!$I$80*'Plan mensual'!D281+parametros_recargas!$J$80*'Plan mensual'!D282+parametros_recargas!$K$80*'Plan mensual'!D283+parametros_recargas!$L$80*'Plan mensual'!D284+parametros_recargas!$M$80*'Plan mensual'!D286</f>
        <v>710.867537766223</v>
      </c>
      <c r="C262" s="26" t="n">
        <f aca="false">parametros_recargas!$E$80*'Plan mensual'!E277+parametros_recargas!$F$80*'Plan mensual'!E278+parametros_recargas!$G$80*'Plan mensual'!E279+parametros_recargas!$H$80*'Plan mensual'!E280+parametros_recargas!$I$80*'Plan mensual'!E281+parametros_recargas!$J$80*'Plan mensual'!E282+parametros_recargas!$K$80*'Plan mensual'!E283+parametros_recargas!$L$80*'Plan mensual'!E284+parametros_recargas!$M$80*'Plan mensual'!E286</f>
        <v>710.867537766223</v>
      </c>
      <c r="D262" s="26" t="n">
        <f aca="false">parametros_recargas!$E$80*'Plan mensual'!F277+parametros_recargas!$F$80*'Plan mensual'!F278+parametros_recargas!$G$80*'Plan mensual'!F279+parametros_recargas!$H$80*'Plan mensual'!F280+parametros_recargas!$I$80*'Plan mensual'!F281+parametros_recargas!$J$80*'Plan mensual'!F282+parametros_recargas!$K$80*'Plan mensual'!F283+parametros_recargas!$L$80*'Plan mensual'!F284+parametros_recargas!$M$80*'Plan mensual'!F286</f>
        <v>805.015901701401</v>
      </c>
      <c r="E262" s="26" t="n">
        <f aca="false">parametros_recargas!$E$80*'Plan mensual'!G277+parametros_recargas!$F$80*'Plan mensual'!G278+parametros_recargas!$G$80*'Plan mensual'!G279+parametros_recargas!$H$80*'Plan mensual'!G280+parametros_recargas!$I$80*'Plan mensual'!G281+parametros_recargas!$J$80*'Plan mensual'!G282+parametros_recargas!$K$80*'Plan mensual'!G283+parametros_recargas!$L$80*'Plan mensual'!G284+parametros_recargas!$M$80*'Plan mensual'!G286</f>
        <v>896.003228749853</v>
      </c>
      <c r="F262" s="26" t="n">
        <f aca="false">parametros_recargas!$E$80*'Plan mensual'!H277+parametros_recargas!$F$80*'Plan mensual'!H278+parametros_recargas!$G$80*'Plan mensual'!H279+parametros_recargas!$H$80*'Plan mensual'!H280+parametros_recargas!$I$80*'Plan mensual'!H281+parametros_recargas!$J$80*'Plan mensual'!H282+parametros_recargas!$K$80*'Plan mensual'!H283+parametros_recargas!$L$80*'Plan mensual'!H284+parametros_recargas!$M$80*'Plan mensual'!H286</f>
        <v>903.435963386582</v>
      </c>
      <c r="G262" s="26" t="n">
        <f aca="false">parametros_recargas!$E$80*'Plan mensual'!I277+parametros_recargas!$F$80*'Plan mensual'!I278+parametros_recargas!$G$80*'Plan mensual'!I279+parametros_recargas!$H$80*'Plan mensual'!I280+parametros_recargas!$I$80*'Plan mensual'!I281+parametros_recargas!$J$80*'Plan mensual'!I282+parametros_recargas!$K$80*'Plan mensual'!I283+parametros_recargas!$L$80*'Plan mensual'!I284+parametros_recargas!$M$80*'Plan mensual'!I286</f>
        <v>887.267728557919</v>
      </c>
      <c r="H262" s="26" t="n">
        <f aca="false">parametros_recargas!$E$80*'Plan mensual'!J277+parametros_recargas!$F$80*'Plan mensual'!J278+parametros_recargas!$G$80*'Plan mensual'!J279+parametros_recargas!$H$80*'Plan mensual'!J280+parametros_recargas!$I$80*'Plan mensual'!J281+parametros_recargas!$J$80*'Plan mensual'!J282+parametros_recargas!$K$80*'Plan mensual'!J283+parametros_recargas!$L$80*'Plan mensual'!J284+parametros_recargas!$M$80*'Plan mensual'!J286</f>
        <v>776.984955176369</v>
      </c>
      <c r="I262" s="26" t="n">
        <f aca="false">parametros_recargas!$E$80*'Plan mensual'!K277+parametros_recargas!$F$80*'Plan mensual'!K278+parametros_recargas!$G$80*'Plan mensual'!K279+parametros_recargas!$H$80*'Plan mensual'!K280+parametros_recargas!$I$80*'Plan mensual'!K281+parametros_recargas!$J$80*'Plan mensual'!K282+parametros_recargas!$K$80*'Plan mensual'!K283+parametros_recargas!$L$80*'Plan mensual'!K284+parametros_recargas!$M$80*'Plan mensual'!K286</f>
        <v>784.383864430806</v>
      </c>
      <c r="J262" s="26" t="n">
        <f aca="false">parametros_recargas!$E$80*'Plan mensual'!L277+parametros_recargas!$F$80*'Plan mensual'!L278+parametros_recargas!$G$80*'Plan mensual'!L279+parametros_recargas!$H$80*'Plan mensual'!L280+parametros_recargas!$I$80*'Plan mensual'!L281+parametros_recargas!$J$80*'Plan mensual'!L282+parametros_recargas!$K$80*'Plan mensual'!L283+parametros_recargas!$L$80*'Plan mensual'!L284+parametros_recargas!$M$80*'Plan mensual'!L286</f>
        <v>799.792953519624</v>
      </c>
      <c r="K262" s="26" t="n">
        <f aca="false">parametros_recargas!$E$80*'Plan mensual'!M277+parametros_recargas!$F$80*'Plan mensual'!M278+parametros_recargas!$G$80*'Plan mensual'!M279+parametros_recargas!$H$80*'Plan mensual'!M280+parametros_recargas!$I$80*'Plan mensual'!M281+parametros_recargas!$J$80*'Plan mensual'!M282+parametros_recargas!$K$80*'Plan mensual'!M283+parametros_recargas!$L$80*'Plan mensual'!M284+parametros_recargas!$M$80*'Plan mensual'!M286</f>
        <v>799.792953519624</v>
      </c>
      <c r="L262" s="26" t="n">
        <f aca="false">parametros_recargas!$E$80*'Plan mensual'!N277+parametros_recargas!$F$80*'Plan mensual'!N278+parametros_recargas!$G$80*'Plan mensual'!N279+parametros_recargas!$H$80*'Plan mensual'!N280+parametros_recargas!$I$80*'Plan mensual'!N281+parametros_recargas!$J$80*'Plan mensual'!N282+parametros_recargas!$K$80*'Plan mensual'!N283+parametros_recargas!$L$80*'Plan mensual'!N284+parametros_recargas!$M$80*'Plan mensual'!N286</f>
        <v>792.360218882895</v>
      </c>
      <c r="M262" s="26" t="n">
        <f aca="false">parametros_recargas!$E$80*'Plan mensual'!O277+parametros_recargas!$F$80*'Plan mensual'!O278+parametros_recargas!$G$80*'Plan mensual'!O279+parametros_recargas!$H$80*'Plan mensual'!O280+parametros_recargas!$I$80*'Plan mensual'!O281+parametros_recargas!$J$80*'Plan mensual'!O282+parametros_recargas!$K$80*'Plan mensual'!O283+parametros_recargas!$L$80*'Plan mensual'!O284+parametros_recargas!$M$80*'Plan mensual'!O286</f>
        <v>808.528453711558</v>
      </c>
      <c r="N262" s="12" t="n">
        <f aca="false">SUM(B262:M262)</f>
        <v>9675.30129716908</v>
      </c>
      <c r="O262" s="27" t="n">
        <f aca="false">MAX(B262:M262)</f>
        <v>903.435963386582</v>
      </c>
      <c r="P262" s="16" t="n">
        <f aca="false">O262/parametros_recargas!$B$6</f>
        <v>6.02290642257722</v>
      </c>
    </row>
    <row r="263" customFormat="false" ht="15" hidden="false" customHeight="false" outlineLevel="0" collapsed="false">
      <c r="A263" s="6" t="str">
        <f aca="false">parametros_recargas!$B$81</f>
        <v>Recuperación y carga de CO₂</v>
      </c>
      <c r="B263" s="26" t="n">
        <f aca="false">parametros_recargas!$E$81*'Plan mensual'!D277+parametros_recargas!$F$81*'Plan mensual'!D278+parametros_recargas!$G$81*'Plan mensual'!D279+parametros_recargas!$H$81*'Plan mensual'!D280+parametros_recargas!$I$81*'Plan mensual'!D281+parametros_recargas!$J$81*'Plan mensual'!D282+parametros_recargas!$K$81*'Plan mensual'!D283+parametros_recargas!$L$81*'Plan mensual'!D284+parametros_recargas!$M$81*'Plan mensual'!D286</f>
        <v>633.792766575211</v>
      </c>
      <c r="C263" s="26" t="n">
        <f aca="false">parametros_recargas!$E$81*'Plan mensual'!E277+parametros_recargas!$F$81*'Plan mensual'!E278+parametros_recargas!$G$81*'Plan mensual'!E279+parametros_recargas!$H$81*'Plan mensual'!E280+parametros_recargas!$I$81*'Plan mensual'!E281+parametros_recargas!$J$81*'Plan mensual'!E282+parametros_recargas!$K$81*'Plan mensual'!E283+parametros_recargas!$L$81*'Plan mensual'!E284+parametros_recargas!$M$81*'Plan mensual'!E286</f>
        <v>633.792766575211</v>
      </c>
      <c r="D263" s="26" t="n">
        <f aca="false">parametros_recargas!$E$81*'Plan mensual'!F277+parametros_recargas!$F$81*'Plan mensual'!F278+parametros_recargas!$G$81*'Plan mensual'!F279+parametros_recargas!$H$81*'Plan mensual'!F280+parametros_recargas!$I$81*'Plan mensual'!F281+parametros_recargas!$J$81*'Plan mensual'!F282+parametros_recargas!$K$81*'Plan mensual'!F283+parametros_recargas!$L$81*'Plan mensual'!F284+parametros_recargas!$M$81*'Plan mensual'!F286</f>
        <v>801.201710341524</v>
      </c>
      <c r="E263" s="26" t="n">
        <f aca="false">parametros_recargas!$E$81*'Plan mensual'!G277+parametros_recargas!$F$81*'Plan mensual'!G278+parametros_recargas!$G$81*'Plan mensual'!G279+parametros_recargas!$H$81*'Plan mensual'!G280+parametros_recargas!$I$81*'Plan mensual'!G281+parametros_recargas!$J$81*'Plan mensual'!G282+parametros_recargas!$K$81*'Plan mensual'!G283+parametros_recargas!$L$81*'Plan mensual'!G284+parametros_recargas!$M$81*'Plan mensual'!G286</f>
        <v>965.628084368121</v>
      </c>
      <c r="F263" s="26" t="n">
        <f aca="false">parametros_recargas!$E$81*'Plan mensual'!H277+parametros_recargas!$F$81*'Plan mensual'!H278+parametros_recargas!$G$81*'Plan mensual'!H279+parametros_recargas!$H$81*'Plan mensual'!H280+parametros_recargas!$I$81*'Plan mensual'!H281+parametros_recargas!$J$81*'Plan mensual'!H282+parametros_recargas!$K$81*'Plan mensual'!H283+parametros_recargas!$L$81*'Plan mensual'!H284+parametros_recargas!$M$81*'Plan mensual'!H286</f>
        <v>972.332298484653</v>
      </c>
      <c r="G263" s="26" t="n">
        <f aca="false">parametros_recargas!$E$81*'Plan mensual'!I277+parametros_recargas!$F$81*'Plan mensual'!I278+parametros_recargas!$G$81*'Plan mensual'!I279+parametros_recargas!$H$81*'Plan mensual'!I280+parametros_recargas!$I$81*'Plan mensual'!I281+parametros_recargas!$J$81*'Plan mensual'!I282+parametros_recargas!$K$81*'Plan mensual'!I283+parametros_recargas!$L$81*'Plan mensual'!I284+parametros_recargas!$M$81*'Plan mensual'!I286</f>
        <v>952.482910501926</v>
      </c>
      <c r="H263" s="26" t="n">
        <f aca="false">parametros_recargas!$E$81*'Plan mensual'!J277+parametros_recargas!$F$81*'Plan mensual'!J278+parametros_recargas!$G$81*'Plan mensual'!J279+parametros_recargas!$H$81*'Plan mensual'!J280+parametros_recargas!$I$81*'Plan mensual'!J281+parametros_recargas!$J$81*'Plan mensual'!J282+parametros_recargas!$K$81*'Plan mensual'!J283+parametros_recargas!$L$81*'Plan mensual'!J284+parametros_recargas!$M$81*'Plan mensual'!J286</f>
        <v>771.069780813663</v>
      </c>
      <c r="I263" s="26" t="n">
        <f aca="false">parametros_recargas!$E$81*'Plan mensual'!K277+parametros_recargas!$F$81*'Plan mensual'!K278+parametros_recargas!$G$81*'Plan mensual'!K279+parametros_recargas!$H$81*'Plan mensual'!K280+parametros_recargas!$I$81*'Plan mensual'!K281+parametros_recargas!$J$81*'Plan mensual'!K282+parametros_recargas!$K$81*'Plan mensual'!K283+parametros_recargas!$L$81*'Plan mensual'!K284+parametros_recargas!$M$81*'Plan mensual'!K286</f>
        <v>771.928792869417</v>
      </c>
      <c r="J263" s="26" t="n">
        <f aca="false">parametros_recargas!$E$81*'Plan mensual'!L277+parametros_recargas!$F$81*'Plan mensual'!L278+parametros_recargas!$G$81*'Plan mensual'!L279+parametros_recargas!$H$81*'Plan mensual'!L280+parametros_recargas!$I$81*'Plan mensual'!L281+parametros_recargas!$J$81*'Plan mensual'!L282+parametros_recargas!$K$81*'Plan mensual'!L283+parametros_recargas!$L$81*'Plan mensual'!L284+parametros_recargas!$M$81*'Plan mensual'!L286</f>
        <v>789.535408664967</v>
      </c>
      <c r="K263" s="26" t="n">
        <f aca="false">parametros_recargas!$E$81*'Plan mensual'!M277+parametros_recargas!$F$81*'Plan mensual'!M278+parametros_recargas!$G$81*'Plan mensual'!M279+parametros_recargas!$H$81*'Plan mensual'!M280+parametros_recargas!$I$81*'Plan mensual'!M281+parametros_recargas!$J$81*'Plan mensual'!M282+parametros_recargas!$K$81*'Plan mensual'!M283+parametros_recargas!$L$81*'Plan mensual'!M284+parametros_recargas!$M$81*'Plan mensual'!M286</f>
        <v>789.535408664967</v>
      </c>
      <c r="L263" s="26" t="n">
        <f aca="false">parametros_recargas!$E$81*'Plan mensual'!N277+parametros_recargas!$F$81*'Plan mensual'!N278+parametros_recargas!$G$81*'Plan mensual'!N279+parametros_recargas!$H$81*'Plan mensual'!N280+parametros_recargas!$I$81*'Plan mensual'!N281+parametros_recargas!$J$81*'Plan mensual'!N282+parametros_recargas!$K$81*'Plan mensual'!N283+parametros_recargas!$L$81*'Plan mensual'!N284+parametros_recargas!$M$81*'Plan mensual'!N286</f>
        <v>782.831194548436</v>
      </c>
      <c r="M263" s="26" t="n">
        <f aca="false">parametros_recargas!$E$81*'Plan mensual'!O277+parametros_recargas!$F$81*'Plan mensual'!O278+parametros_recargas!$G$81*'Plan mensual'!O279+parametros_recargas!$H$81*'Plan mensual'!O280+parametros_recargas!$I$81*'Plan mensual'!O281+parametros_recargas!$J$81*'Plan mensual'!O282+parametros_recargas!$K$81*'Plan mensual'!O283+parametros_recargas!$L$81*'Plan mensual'!O284+parametros_recargas!$M$81*'Plan mensual'!O286</f>
        <v>802.680582531162</v>
      </c>
      <c r="N263" s="12" t="n">
        <f aca="false">SUM(B263:M263)</f>
        <v>9666.81170493926</v>
      </c>
      <c r="O263" s="27" t="n">
        <f aca="false">MAX(B263:M263)</f>
        <v>972.332298484653</v>
      </c>
      <c r="P263" s="16" t="n">
        <f aca="false">O263/parametros_recargas!$B$6</f>
        <v>6.48221532323102</v>
      </c>
    </row>
    <row r="264" customFormat="false" ht="15" hidden="false" customHeight="false" outlineLevel="0" collapsed="false">
      <c r="A264" s="6" t="str">
        <f aca="false">parametros_recargas!$B$82</f>
        <v>Recuperación y carga de halogenado</v>
      </c>
      <c r="B264" s="26" t="n">
        <f aca="false">parametros_recargas!$E$82*'Plan mensual'!D277+parametros_recargas!$F$82*'Plan mensual'!D278+parametros_recargas!$G$82*'Plan mensual'!D279+parametros_recargas!$H$82*'Plan mensual'!D280+parametros_recargas!$I$82*'Plan mensual'!D281+parametros_recargas!$J$82*'Plan mensual'!D282+parametros_recargas!$K$82*'Plan mensual'!D283+parametros_recargas!$L$82*'Plan mensual'!D284+parametros_recargas!$M$82*'Plan mensual'!D286</f>
        <v>20.5230054878089</v>
      </c>
      <c r="C264" s="26" t="n">
        <f aca="false">parametros_recargas!$E$82*'Plan mensual'!E277+parametros_recargas!$F$82*'Plan mensual'!E278+parametros_recargas!$G$82*'Plan mensual'!E279+parametros_recargas!$H$82*'Plan mensual'!E280+parametros_recargas!$I$82*'Plan mensual'!E281+parametros_recargas!$J$82*'Plan mensual'!E282+parametros_recargas!$K$82*'Plan mensual'!E283+parametros_recargas!$L$82*'Plan mensual'!E284+parametros_recargas!$M$82*'Plan mensual'!E286</f>
        <v>20.5230054878089</v>
      </c>
      <c r="D264" s="26" t="n">
        <f aca="false">parametros_recargas!$E$82*'Plan mensual'!F277+parametros_recargas!$F$82*'Plan mensual'!F278+parametros_recargas!$G$82*'Plan mensual'!F279+parametros_recargas!$H$82*'Plan mensual'!F280+parametros_recargas!$I$82*'Plan mensual'!F281+parametros_recargas!$J$82*'Plan mensual'!F282+parametros_recargas!$K$82*'Plan mensual'!F283+parametros_recargas!$L$82*'Plan mensual'!F284+parametros_recargas!$M$82*'Plan mensual'!F286</f>
        <v>19.2129123381941</v>
      </c>
      <c r="E264" s="26" t="n">
        <f aca="false">parametros_recargas!$E$82*'Plan mensual'!G277+parametros_recargas!$F$82*'Plan mensual'!G278+parametros_recargas!$G$82*'Plan mensual'!G279+parametros_recargas!$H$82*'Plan mensual'!G280+parametros_recargas!$I$82*'Plan mensual'!G281+parametros_recargas!$J$82*'Plan mensual'!G282+parametros_recargas!$K$82*'Plan mensual'!G283+parametros_recargas!$L$82*'Plan mensual'!G284+parametros_recargas!$M$82*'Plan mensual'!G286</f>
        <v>19.2129123381941</v>
      </c>
      <c r="F264" s="26" t="n">
        <f aca="false">parametros_recargas!$E$82*'Plan mensual'!H277+parametros_recargas!$F$82*'Plan mensual'!H278+parametros_recargas!$G$82*'Plan mensual'!H279+parametros_recargas!$H$82*'Plan mensual'!H280+parametros_recargas!$I$82*'Plan mensual'!H281+parametros_recargas!$J$82*'Plan mensual'!H282+parametros_recargas!$K$82*'Plan mensual'!H283+parametros_recargas!$L$82*'Plan mensual'!H284+parametros_recargas!$M$82*'Plan mensual'!H286</f>
        <v>19.2129123381941</v>
      </c>
      <c r="G264" s="26" t="n">
        <f aca="false">parametros_recargas!$E$82*'Plan mensual'!I277+parametros_recargas!$F$82*'Plan mensual'!I278+parametros_recargas!$G$82*'Plan mensual'!I279+parametros_recargas!$H$82*'Plan mensual'!I280+parametros_recargas!$I$82*'Plan mensual'!I281+parametros_recargas!$J$82*'Plan mensual'!I282+parametros_recargas!$K$82*'Plan mensual'!I283+parametros_recargas!$L$82*'Plan mensual'!I284+parametros_recargas!$M$82*'Plan mensual'!I286</f>
        <v>17.9028191885793</v>
      </c>
      <c r="H264" s="26" t="n">
        <f aca="false">parametros_recargas!$E$82*'Plan mensual'!J277+parametros_recargas!$F$82*'Plan mensual'!J278+parametros_recargas!$G$82*'Plan mensual'!J279+parametros_recargas!$H$82*'Plan mensual'!J280+parametros_recargas!$I$82*'Plan mensual'!J281+parametros_recargas!$J$82*'Plan mensual'!J282+parametros_recargas!$K$82*'Plan mensual'!J283+parametros_recargas!$L$82*'Plan mensual'!J284+parametros_recargas!$M$82*'Plan mensual'!J286</f>
        <v>17.9028191885793</v>
      </c>
      <c r="I264" s="26" t="n">
        <f aca="false">parametros_recargas!$E$82*'Plan mensual'!K277+parametros_recargas!$F$82*'Plan mensual'!K278+parametros_recargas!$G$82*'Plan mensual'!K279+parametros_recargas!$H$82*'Plan mensual'!K280+parametros_recargas!$I$82*'Plan mensual'!K281+parametros_recargas!$J$82*'Plan mensual'!K282+parametros_recargas!$K$82*'Plan mensual'!K283+parametros_recargas!$L$82*'Plan mensual'!K284+parametros_recargas!$M$82*'Plan mensual'!K286</f>
        <v>17.9028191885793</v>
      </c>
      <c r="J264" s="26" t="n">
        <f aca="false">parametros_recargas!$E$82*'Plan mensual'!L277+parametros_recargas!$F$82*'Plan mensual'!L278+parametros_recargas!$G$82*'Plan mensual'!L279+parametros_recargas!$H$82*'Plan mensual'!L280+parametros_recargas!$I$82*'Plan mensual'!L281+parametros_recargas!$J$82*'Plan mensual'!L282+parametros_recargas!$K$82*'Plan mensual'!L283+parametros_recargas!$L$82*'Plan mensual'!L284+parametros_recargas!$M$82*'Plan mensual'!L286</f>
        <v>19.2129123381941</v>
      </c>
      <c r="K264" s="26" t="n">
        <f aca="false">parametros_recargas!$E$82*'Plan mensual'!M277+parametros_recargas!$F$82*'Plan mensual'!M278+parametros_recargas!$G$82*'Plan mensual'!M279+parametros_recargas!$H$82*'Plan mensual'!M280+parametros_recargas!$I$82*'Plan mensual'!M281+parametros_recargas!$J$82*'Plan mensual'!M282+parametros_recargas!$K$82*'Plan mensual'!M283+parametros_recargas!$L$82*'Plan mensual'!M284+parametros_recargas!$M$82*'Plan mensual'!M286</f>
        <v>19.2129123381941</v>
      </c>
      <c r="L264" s="26" t="n">
        <f aca="false">parametros_recargas!$E$82*'Plan mensual'!N277+parametros_recargas!$F$82*'Plan mensual'!N278+parametros_recargas!$G$82*'Plan mensual'!N279+parametros_recargas!$H$82*'Plan mensual'!N280+parametros_recargas!$I$82*'Plan mensual'!N281+parametros_recargas!$J$82*'Plan mensual'!N282+parametros_recargas!$K$82*'Plan mensual'!N283+parametros_recargas!$L$82*'Plan mensual'!N284+parametros_recargas!$M$82*'Plan mensual'!N286</f>
        <v>19.2129123381941</v>
      </c>
      <c r="M264" s="26" t="n">
        <f aca="false">parametros_recargas!$E$82*'Plan mensual'!O277+parametros_recargas!$F$82*'Plan mensual'!O278+parametros_recargas!$G$82*'Plan mensual'!O279+parametros_recargas!$H$82*'Plan mensual'!O280+parametros_recargas!$I$82*'Plan mensual'!O281+parametros_recargas!$J$82*'Plan mensual'!O282+parametros_recargas!$K$82*'Plan mensual'!O283+parametros_recargas!$L$82*'Plan mensual'!O284+parametros_recargas!$M$82*'Plan mensual'!O286</f>
        <v>20.5230054878089</v>
      </c>
      <c r="N264" s="12" t="n">
        <f aca="false">SUM(B264:M264)</f>
        <v>230.55494805833</v>
      </c>
      <c r="O264" s="27" t="n">
        <f aca="false">MAX(B264:M264)</f>
        <v>20.5230054878089</v>
      </c>
      <c r="P264" s="16" t="n">
        <f aca="false">O264/parametros_recargas!$B$6</f>
        <v>0.136820036585393</v>
      </c>
    </row>
    <row r="265" customFormat="false" ht="15" hidden="false" customHeight="false" outlineLevel="0" collapsed="false">
      <c r="A265" s="6" t="str">
        <f aca="false">parametros_recargas!$B$83</f>
        <v>Desarme y limpieza — recinto</v>
      </c>
      <c r="B265" s="26" t="n">
        <f aca="false">parametros_recargas!$E$83*'Plan mensual'!D277+parametros_recargas!$F$83*'Plan mensual'!D278+parametros_recargas!$G$83*'Plan mensual'!D279+parametros_recargas!$H$83*'Plan mensual'!D280+parametros_recargas!$I$83*'Plan mensual'!D281+parametros_recargas!$J$83*'Plan mensual'!D282+parametros_recargas!$K$83*'Plan mensual'!D283+parametros_recargas!$L$83*'Plan mensual'!D284+parametros_recargas!$M$83*'Plan mensual'!D286</f>
        <v>17549.827794207</v>
      </c>
      <c r="C265" s="26" t="n">
        <f aca="false">parametros_recargas!$E$83*'Plan mensual'!E277+parametros_recargas!$F$83*'Plan mensual'!E278+parametros_recargas!$G$83*'Plan mensual'!E279+parametros_recargas!$H$83*'Plan mensual'!E280+parametros_recargas!$I$83*'Plan mensual'!E281+parametros_recargas!$J$83*'Plan mensual'!E282+parametros_recargas!$K$83*'Plan mensual'!E283+parametros_recargas!$L$83*'Plan mensual'!E284+parametros_recargas!$M$83*'Plan mensual'!E286</f>
        <v>14978.1839318743</v>
      </c>
      <c r="D265" s="26" t="n">
        <f aca="false">parametros_recargas!$E$83*'Plan mensual'!F277+parametros_recargas!$F$83*'Plan mensual'!F278+parametros_recargas!$G$83*'Plan mensual'!F279+parametros_recargas!$H$83*'Plan mensual'!F280+parametros_recargas!$I$83*'Plan mensual'!F281+parametros_recargas!$J$83*'Plan mensual'!F282+parametros_recargas!$K$83*'Plan mensual'!F283+parametros_recargas!$L$83*'Plan mensual'!F284+parametros_recargas!$M$83*'Plan mensual'!F286</f>
        <v>13732.1507833639</v>
      </c>
      <c r="E265" s="26" t="n">
        <f aca="false">parametros_recargas!$E$83*'Plan mensual'!G277+parametros_recargas!$F$83*'Plan mensual'!G278+parametros_recargas!$G$83*'Plan mensual'!G279+parametros_recargas!$H$83*'Plan mensual'!G280+parametros_recargas!$I$83*'Plan mensual'!G281+parametros_recargas!$J$83*'Plan mensual'!G282+parametros_recargas!$K$83*'Plan mensual'!G283+parametros_recargas!$L$83*'Plan mensual'!G284+parametros_recargas!$M$83*'Plan mensual'!G286</f>
        <v>14992.8218484084</v>
      </c>
      <c r="F265" s="26" t="n">
        <f aca="false">parametros_recargas!$E$83*'Plan mensual'!H277+parametros_recargas!$F$83*'Plan mensual'!H278+parametros_recargas!$G$83*'Plan mensual'!H279+parametros_recargas!$H$83*'Plan mensual'!H280+parametros_recargas!$I$83*'Plan mensual'!H281+parametros_recargas!$J$83*'Plan mensual'!H282+parametros_recargas!$K$83*'Plan mensual'!H283+parametros_recargas!$L$83*'Plan mensual'!H284+parametros_recargas!$M$83*'Plan mensual'!H286</f>
        <v>15093.7841651395</v>
      </c>
      <c r="G265" s="26" t="n">
        <f aca="false">parametros_recargas!$E$83*'Plan mensual'!I277+parametros_recargas!$F$83*'Plan mensual'!I278+parametros_recargas!$G$83*'Plan mensual'!I279+parametros_recargas!$H$83*'Plan mensual'!I280+parametros_recargas!$I$83*'Plan mensual'!I281+parametros_recargas!$J$83*'Plan mensual'!I282+parametros_recargas!$K$83*'Plan mensual'!I283+parametros_recargas!$L$83*'Plan mensual'!I284+parametros_recargas!$M$83*'Plan mensual'!I286</f>
        <v>14958.1115913601</v>
      </c>
      <c r="H265" s="26" t="n">
        <f aca="false">parametros_recargas!$E$83*'Plan mensual'!J277+parametros_recargas!$F$83*'Plan mensual'!J278+parametros_recargas!$G$83*'Plan mensual'!J279+parametros_recargas!$H$83*'Plan mensual'!J280+parametros_recargas!$I$83*'Plan mensual'!J281+parametros_recargas!$J$83*'Plan mensual'!J282+parametros_recargas!$K$83*'Plan mensual'!J283+parametros_recargas!$L$83*'Plan mensual'!J284+parametros_recargas!$M$83*'Plan mensual'!J286</f>
        <v>13478.8992641354</v>
      </c>
      <c r="I265" s="26" t="n">
        <f aca="false">parametros_recargas!$E$83*'Plan mensual'!K277+parametros_recargas!$F$83*'Plan mensual'!K278+parametros_recargas!$G$83*'Plan mensual'!K279+parametros_recargas!$H$83*'Plan mensual'!K280+parametros_recargas!$I$83*'Plan mensual'!K281+parametros_recargas!$J$83*'Plan mensual'!K282+parametros_recargas!$K$83*'Plan mensual'!K283+parametros_recargas!$L$83*'Plan mensual'!K284+parametros_recargas!$M$83*'Plan mensual'!K286</f>
        <v>13597.7906204894</v>
      </c>
      <c r="J265" s="26" t="n">
        <f aca="false">parametros_recargas!$E$83*'Plan mensual'!L277+parametros_recargas!$F$83*'Plan mensual'!L278+parametros_recargas!$G$83*'Plan mensual'!L279+parametros_recargas!$H$83*'Plan mensual'!L280+parametros_recargas!$I$83*'Plan mensual'!L281+parametros_recargas!$J$83*'Plan mensual'!L282+parametros_recargas!$K$83*'Plan mensual'!L283+parametros_recargas!$L$83*'Plan mensual'!L284+parametros_recargas!$M$83*'Plan mensual'!L286</f>
        <v>13716.8590321713</v>
      </c>
      <c r="K265" s="26" t="n">
        <f aca="false">parametros_recargas!$E$83*'Plan mensual'!M277+parametros_recargas!$F$83*'Plan mensual'!M278+parametros_recargas!$G$83*'Plan mensual'!M279+parametros_recargas!$H$83*'Plan mensual'!M280+parametros_recargas!$I$83*'Plan mensual'!M281+parametros_recargas!$J$83*'Plan mensual'!M282+parametros_recargas!$K$83*'Plan mensual'!M283+parametros_recargas!$L$83*'Plan mensual'!M284+parametros_recargas!$M$83*'Plan mensual'!M286</f>
        <v>13716.8590321713</v>
      </c>
      <c r="L265" s="26" t="n">
        <f aca="false">parametros_recargas!$E$83*'Plan mensual'!N277+parametros_recargas!$F$83*'Plan mensual'!N278+parametros_recargas!$G$83*'Plan mensual'!N279+parametros_recargas!$H$83*'Plan mensual'!N280+parametros_recargas!$I$83*'Plan mensual'!N281+parametros_recargas!$J$83*'Plan mensual'!N282+parametros_recargas!$K$83*'Plan mensual'!N283+parametros_recargas!$L$83*'Plan mensual'!N284+parametros_recargas!$M$83*'Plan mensual'!N286</f>
        <v>16187.5405777729</v>
      </c>
      <c r="M265" s="26" t="n">
        <f aca="false">parametros_recargas!$E$83*'Plan mensual'!O277+parametros_recargas!$F$83*'Plan mensual'!O278+parametros_recargas!$G$83*'Plan mensual'!O279+parametros_recargas!$H$83*'Plan mensual'!O280+parametros_recargas!$I$83*'Plan mensual'!O281+parametros_recargas!$J$83*'Plan mensual'!O282+parametros_recargas!$K$83*'Plan mensual'!O283+parametros_recargas!$L$83*'Plan mensual'!O284+parametros_recargas!$M$83*'Plan mensual'!O286</f>
        <v>18894.857013885</v>
      </c>
      <c r="N265" s="12" t="n">
        <f aca="false">SUM(B265:M265)</f>
        <v>180897.685654978</v>
      </c>
      <c r="O265" s="27" t="n">
        <f aca="false">MAX(B265:M265)</f>
        <v>18894.857013885</v>
      </c>
      <c r="P265" s="16" t="n">
        <f aca="false">O265/parametros_recargas!$B$6</f>
        <v>125.9657134259</v>
      </c>
    </row>
    <row r="266" customFormat="false" ht="15" hidden="false" customHeight="false" outlineLevel="0" collapsed="false">
      <c r="A266" s="6" t="str">
        <f aca="false">parametros_recargas!$B$84</f>
        <v>Desarme e inspección interior — zona general</v>
      </c>
      <c r="B266" s="26" t="n">
        <f aca="false">parametros_recargas!$E$84*'Plan mensual'!D277+parametros_recargas!$F$84*'Plan mensual'!D278+parametros_recargas!$G$84*'Plan mensual'!D279+parametros_recargas!$H$84*'Plan mensual'!D280+parametros_recargas!$I$84*'Plan mensual'!D281+parametros_recargas!$J$84*'Plan mensual'!D282+parametros_recargas!$K$84*'Plan mensual'!D283+parametros_recargas!$L$84*'Plan mensual'!D284+parametros_recargas!$M$84*'Plan mensual'!D286</f>
        <v>1082.43403445312</v>
      </c>
      <c r="C266" s="26" t="n">
        <f aca="false">parametros_recargas!$E$84*'Plan mensual'!E277+parametros_recargas!$F$84*'Plan mensual'!E278+parametros_recargas!$G$84*'Plan mensual'!E279+parametros_recargas!$H$84*'Plan mensual'!E280+parametros_recargas!$I$84*'Plan mensual'!E281+parametros_recargas!$J$84*'Plan mensual'!E282+parametros_recargas!$K$84*'Plan mensual'!E283+parametros_recargas!$L$84*'Plan mensual'!E284+parametros_recargas!$M$84*'Plan mensual'!E286</f>
        <v>1082.43403445312</v>
      </c>
      <c r="D266" s="26" t="n">
        <f aca="false">parametros_recargas!$E$84*'Plan mensual'!F277+parametros_recargas!$F$84*'Plan mensual'!F278+parametros_recargas!$G$84*'Plan mensual'!F279+parametros_recargas!$H$84*'Plan mensual'!F280+parametros_recargas!$I$84*'Plan mensual'!F281+parametros_recargas!$J$84*'Plan mensual'!F282+parametros_recargas!$K$84*'Plan mensual'!F283+parametros_recargas!$L$84*'Plan mensual'!F284+parametros_recargas!$M$84*'Plan mensual'!F286</f>
        <v>1263.06902147123</v>
      </c>
      <c r="E266" s="26" t="n">
        <f aca="false">parametros_recargas!$E$84*'Plan mensual'!G277+parametros_recargas!$F$84*'Plan mensual'!G278+parametros_recargas!$G$84*'Plan mensual'!G279+parametros_recargas!$H$84*'Plan mensual'!G280+parametros_recargas!$I$84*'Plan mensual'!G281+parametros_recargas!$J$84*'Plan mensual'!G282+parametros_recargas!$K$84*'Plan mensual'!G283+parametros_recargas!$L$84*'Plan mensual'!G284+parametros_recargas!$M$84*'Plan mensual'!G286</f>
        <v>1440.21078359074</v>
      </c>
      <c r="F266" s="26" t="n">
        <f aca="false">parametros_recargas!$E$84*'Plan mensual'!H277+parametros_recargas!$F$84*'Plan mensual'!H278+parametros_recargas!$G$84*'Plan mensual'!H279+parametros_recargas!$H$84*'Plan mensual'!H280+parametros_recargas!$I$84*'Plan mensual'!H281+parametros_recargas!$J$84*'Plan mensual'!H282+parametros_recargas!$K$84*'Plan mensual'!H283+parametros_recargas!$L$84*'Plan mensual'!H284+parametros_recargas!$M$84*'Plan mensual'!H286</f>
        <v>1451.35226404084</v>
      </c>
      <c r="G266" s="26" t="n">
        <f aca="false">parametros_recargas!$E$84*'Plan mensual'!I277+parametros_recargas!$F$84*'Plan mensual'!I278+parametros_recargas!$G$84*'Plan mensual'!I279+parametros_recargas!$H$84*'Plan mensual'!I280+parametros_recargas!$I$84*'Plan mensual'!I281+parametros_recargas!$J$84*'Plan mensual'!I282+parametros_recargas!$K$84*'Plan mensual'!I283+parametros_recargas!$L$84*'Plan mensual'!I284+parametros_recargas!$M$84*'Plan mensual'!I286</f>
        <v>1423.20059877627</v>
      </c>
      <c r="H266" s="26" t="n">
        <f aca="false">parametros_recargas!$E$84*'Plan mensual'!J277+parametros_recargas!$F$84*'Plan mensual'!J278+parametros_recargas!$G$84*'Plan mensual'!J279+parametros_recargas!$H$84*'Plan mensual'!J280+parametros_recargas!$I$84*'Plan mensual'!J281+parametros_recargas!$J$84*'Plan mensual'!J282+parametros_recargas!$K$84*'Plan mensual'!J283+parametros_recargas!$L$84*'Plan mensual'!J284+parametros_recargas!$M$84*'Plan mensual'!J286</f>
        <v>1217.34202328202</v>
      </c>
      <c r="I266" s="26" t="n">
        <f aca="false">parametros_recargas!$E$84*'Plan mensual'!K277+parametros_recargas!$F$84*'Plan mensual'!K278+parametros_recargas!$G$84*'Plan mensual'!K279+parametros_recargas!$H$84*'Plan mensual'!K280+parametros_recargas!$I$84*'Plan mensual'!K281+parametros_recargas!$J$84*'Plan mensual'!K282+parametros_recargas!$K$84*'Plan mensual'!K283+parametros_recargas!$L$84*'Plan mensual'!K284+parametros_recargas!$M$84*'Plan mensual'!K286</f>
        <v>1225.55542694369</v>
      </c>
      <c r="J266" s="26" t="n">
        <f aca="false">parametros_recargas!$E$84*'Plan mensual'!L277+parametros_recargas!$F$84*'Plan mensual'!L278+parametros_recargas!$G$84*'Plan mensual'!L279+parametros_recargas!$H$84*'Plan mensual'!L280+parametros_recargas!$I$84*'Plan mensual'!L281+parametros_recargas!$J$84*'Plan mensual'!L282+parametros_recargas!$K$84*'Plan mensual'!L283+parametros_recargas!$L$84*'Plan mensual'!L284+parametros_recargas!$M$84*'Plan mensual'!L286</f>
        <v>1251.79816601726</v>
      </c>
      <c r="K266" s="26" t="n">
        <f aca="false">parametros_recargas!$E$84*'Plan mensual'!M277+parametros_recargas!$F$84*'Plan mensual'!M278+parametros_recargas!$G$84*'Plan mensual'!M279+parametros_recargas!$H$84*'Plan mensual'!M280+parametros_recargas!$I$84*'Plan mensual'!M281+parametros_recargas!$J$84*'Plan mensual'!M282+parametros_recargas!$K$84*'Plan mensual'!M283+parametros_recargas!$L$84*'Plan mensual'!M284+parametros_recargas!$M$84*'Plan mensual'!M286</f>
        <v>1251.79816601726</v>
      </c>
      <c r="L266" s="26" t="n">
        <f aca="false">parametros_recargas!$E$84*'Plan mensual'!N277+parametros_recargas!$F$84*'Plan mensual'!N278+parametros_recargas!$G$84*'Plan mensual'!N279+parametros_recargas!$H$84*'Plan mensual'!N280+parametros_recargas!$I$84*'Plan mensual'!N281+parametros_recargas!$J$84*'Plan mensual'!N282+parametros_recargas!$K$84*'Plan mensual'!N283+parametros_recargas!$L$84*'Plan mensual'!N284+parametros_recargas!$M$84*'Plan mensual'!N286</f>
        <v>1240.65668556716</v>
      </c>
      <c r="M266" s="26" t="n">
        <f aca="false">parametros_recargas!$E$84*'Plan mensual'!O277+parametros_recargas!$F$84*'Plan mensual'!O278+parametros_recargas!$G$84*'Plan mensual'!O279+parametros_recargas!$H$84*'Plan mensual'!O280+parametros_recargas!$I$84*'Plan mensual'!O281+parametros_recargas!$J$84*'Plan mensual'!O282+parametros_recargas!$K$84*'Plan mensual'!O283+parametros_recargas!$L$84*'Plan mensual'!O284+parametros_recargas!$M$84*'Plan mensual'!O286</f>
        <v>1268.80835083173</v>
      </c>
      <c r="N266" s="12" t="n">
        <f aca="false">SUM(B266:M266)</f>
        <v>15198.6595554444</v>
      </c>
      <c r="O266" s="27" t="n">
        <f aca="false">MAX(B266:M266)</f>
        <v>1451.35226404084</v>
      </c>
      <c r="P266" s="16" t="n">
        <f aca="false">O266/parametros_recargas!$B$6</f>
        <v>9.67568176027226</v>
      </c>
    </row>
    <row r="267" customFormat="false" ht="15" hidden="false" customHeight="false" outlineLevel="0" collapsed="false">
      <c r="A267" s="6" t="str">
        <f aca="false">parametros_recargas!$B$85</f>
        <v>Laboratorio — Puffer y mufla</v>
      </c>
      <c r="B267" s="26" t="n">
        <f aca="false">parametros_recargas!$E$85*'Plan mensual'!D277+parametros_recargas!$F$85*'Plan mensual'!D278+parametros_recargas!$G$85*'Plan mensual'!D279+parametros_recargas!$H$85*'Plan mensual'!D280+parametros_recargas!$I$85*'Plan mensual'!D281+parametros_recargas!$J$85*'Plan mensual'!D282+parametros_recargas!$K$85*'Plan mensual'!D283+parametros_recargas!$L$85*'Plan mensual'!D284+parametros_recargas!$M$85*'Plan mensual'!D286</f>
        <v>182.224659999481</v>
      </c>
      <c r="C267" s="26" t="n">
        <f aca="false">parametros_recargas!$E$85*'Plan mensual'!E277+parametros_recargas!$F$85*'Plan mensual'!E278+parametros_recargas!$G$85*'Plan mensual'!E279+parametros_recargas!$H$85*'Plan mensual'!E280+parametros_recargas!$I$85*'Plan mensual'!E281+parametros_recargas!$J$85*'Plan mensual'!E282+parametros_recargas!$K$85*'Plan mensual'!E283+parametros_recargas!$L$85*'Plan mensual'!E284+parametros_recargas!$M$85*'Plan mensual'!E286</f>
        <v>155.462097348267</v>
      </c>
      <c r="D267" s="26" t="n">
        <f aca="false">parametros_recargas!$E$85*'Plan mensual'!F277+parametros_recargas!$F$85*'Plan mensual'!F278+parametros_recargas!$G$85*'Plan mensual'!F279+parametros_recargas!$H$85*'Plan mensual'!F280+parametros_recargas!$I$85*'Plan mensual'!F281+parametros_recargas!$J$85*'Plan mensual'!F282+parametros_recargas!$K$85*'Plan mensual'!F283+parametros_recargas!$L$85*'Plan mensual'!F284+parametros_recargas!$M$85*'Plan mensual'!F286</f>
        <v>142.494889605804</v>
      </c>
      <c r="E267" s="26" t="n">
        <f aca="false">parametros_recargas!$E$85*'Plan mensual'!G277+parametros_recargas!$F$85*'Plan mensual'!G278+parametros_recargas!$G$85*'Plan mensual'!G279+parametros_recargas!$H$85*'Plan mensual'!G280+parametros_recargas!$I$85*'Plan mensual'!G281+parametros_recargas!$J$85*'Plan mensual'!G282+parametros_recargas!$K$85*'Plan mensual'!G283+parametros_recargas!$L$85*'Plan mensual'!G284+parametros_recargas!$M$85*'Plan mensual'!G286</f>
        <v>155.614431100255</v>
      </c>
      <c r="F267" s="26" t="n">
        <f aca="false">parametros_recargas!$E$85*'Plan mensual'!H277+parametros_recargas!$F$85*'Plan mensual'!H278+parametros_recargas!$G$85*'Plan mensual'!H279+parametros_recargas!$H$85*'Plan mensual'!H280+parametros_recargas!$I$85*'Plan mensual'!H281+parametros_recargas!$J$85*'Plan mensual'!H282+parametros_recargas!$K$85*'Plan mensual'!H283+parametros_recargas!$L$85*'Plan mensual'!H284+parametros_recargas!$M$85*'Plan mensual'!H286</f>
        <v>156.665124925518</v>
      </c>
      <c r="G267" s="26" t="n">
        <f aca="false">parametros_recargas!$E$85*'Plan mensual'!I277+parametros_recargas!$F$85*'Plan mensual'!I278+parametros_recargas!$G$85*'Plan mensual'!I279+parametros_recargas!$H$85*'Plan mensual'!I280+parametros_recargas!$I$85*'Plan mensual'!I281+parametros_recargas!$J$85*'Plan mensual'!I282+parametros_recargas!$K$85*'Plan mensual'!I283+parametros_recargas!$L$85*'Plan mensual'!I284+parametros_recargas!$M$85*'Plan mensual'!I286</f>
        <v>155.253208676536</v>
      </c>
      <c r="H267" s="26" t="n">
        <f aca="false">parametros_recargas!$E$85*'Plan mensual'!J277+parametros_recargas!$F$85*'Plan mensual'!J278+parametros_recargas!$G$85*'Plan mensual'!J279+parametros_recargas!$H$85*'Plan mensual'!J280+parametros_recargas!$I$85*'Plan mensual'!J281+parametros_recargas!$J$85*'Plan mensual'!J282+parametros_recargas!$K$85*'Plan mensual'!J283+parametros_recargas!$L$85*'Plan mensual'!J284+parametros_recargas!$M$85*'Plan mensual'!J286</f>
        <v>139.859353733538</v>
      </c>
      <c r="I267" s="26" t="n">
        <f aca="false">parametros_recargas!$E$85*'Plan mensual'!K277+parametros_recargas!$F$85*'Plan mensual'!K278+parametros_recargas!$G$85*'Plan mensual'!K279+parametros_recargas!$H$85*'Plan mensual'!K280+parametros_recargas!$I$85*'Plan mensual'!K281+parametros_recargas!$J$85*'Plan mensual'!K282+parametros_recargas!$K$85*'Plan mensual'!K283+parametros_recargas!$L$85*'Plan mensual'!K284+parametros_recargas!$M$85*'Plan mensual'!K286</f>
        <v>141.096631344065</v>
      </c>
      <c r="J267" s="26" t="n">
        <f aca="false">parametros_recargas!$E$85*'Plan mensual'!L277+parametros_recargas!$F$85*'Plan mensual'!L278+parametros_recargas!$G$85*'Plan mensual'!L279+parametros_recargas!$H$85*'Plan mensual'!L280+parametros_recargas!$I$85*'Plan mensual'!L281+parametros_recargas!$J$85*'Plan mensual'!L282+parametros_recargas!$K$85*'Plan mensual'!L283+parametros_recargas!$L$85*'Plan mensual'!L284+parametros_recargas!$M$85*'Plan mensual'!L286</f>
        <v>142.335751532553</v>
      </c>
      <c r="K267" s="26" t="n">
        <f aca="false">parametros_recargas!$E$85*'Plan mensual'!M277+parametros_recargas!$F$85*'Plan mensual'!M278+parametros_recargas!$G$85*'Plan mensual'!M279+parametros_recargas!$H$85*'Plan mensual'!M280+parametros_recargas!$I$85*'Plan mensual'!M281+parametros_recargas!$J$85*'Plan mensual'!M282+parametros_recargas!$K$85*'Plan mensual'!M283+parametros_recargas!$L$85*'Plan mensual'!M284+parametros_recargas!$M$85*'Plan mensual'!M286</f>
        <v>142.335751532553</v>
      </c>
      <c r="L267" s="26" t="n">
        <f aca="false">parametros_recargas!$E$85*'Plan mensual'!N277+parametros_recargas!$F$85*'Plan mensual'!N278+parametros_recargas!$G$85*'Plan mensual'!N279+parametros_recargas!$H$85*'Plan mensual'!N280+parametros_recargas!$I$85*'Plan mensual'!N281+parametros_recargas!$J$85*'Plan mensual'!N282+parametros_recargas!$K$85*'Plan mensual'!N283+parametros_recargas!$L$85*'Plan mensual'!N284+parametros_recargas!$M$85*'Plan mensual'!N286</f>
        <v>168.047620358504</v>
      </c>
      <c r="M267" s="26" t="n">
        <f aca="false">parametros_recargas!$E$85*'Plan mensual'!O277+parametros_recargas!$F$85*'Plan mensual'!O278+parametros_recargas!$G$85*'Plan mensual'!O279+parametros_recargas!$H$85*'Plan mensual'!O280+parametros_recargas!$I$85*'Plan mensual'!O281+parametros_recargas!$J$85*'Plan mensual'!O282+parametros_recargas!$K$85*'Plan mensual'!O283+parametros_recargas!$L$85*'Plan mensual'!O284+parametros_recargas!$M$85*'Plan mensual'!O286</f>
        <v>196.2220992587</v>
      </c>
      <c r="N267" s="12" t="n">
        <f aca="false">SUM(B267:M267)</f>
        <v>1877.61161941577</v>
      </c>
      <c r="O267" s="27" t="n">
        <f aca="false">MAX(B267:M267)</f>
        <v>196.2220992587</v>
      </c>
      <c r="P267" s="16" t="n">
        <f aca="false">O267/parametros_recargas!$B$6</f>
        <v>1.30814732839133</v>
      </c>
    </row>
    <row r="268" customFormat="false" ht="15" hidden="false" customHeight="false" outlineLevel="0" collapsed="false">
      <c r="A268" s="6" t="str">
        <f aca="false">parametros_recargas!$B$86</f>
        <v>Prueba hidráulica</v>
      </c>
      <c r="B268" s="26" t="n">
        <f aca="false">parametros_recargas!$E$86*'Plan mensual'!D277+parametros_recargas!$F$86*'Plan mensual'!D278+parametros_recargas!$G$86*'Plan mensual'!D279+parametros_recargas!$H$86*'Plan mensual'!D280+parametros_recargas!$I$86*'Plan mensual'!D281+parametros_recargas!$J$86*'Plan mensual'!D282+parametros_recargas!$K$86*'Plan mensual'!D283+parametros_recargas!$L$86*'Plan mensual'!D284+parametros_recargas!$M$86*'Plan mensual'!D286</f>
        <v>5075.02897035829</v>
      </c>
      <c r="C268" s="26" t="n">
        <f aca="false">parametros_recargas!$E$86*'Plan mensual'!E277+parametros_recargas!$F$86*'Plan mensual'!E278+parametros_recargas!$G$86*'Plan mensual'!E279+parametros_recargas!$H$86*'Plan mensual'!E280+parametros_recargas!$I$86*'Plan mensual'!E281+parametros_recargas!$J$86*'Plan mensual'!E282+parametros_recargas!$K$86*'Plan mensual'!E283+parametros_recargas!$L$86*'Plan mensual'!E284+parametros_recargas!$M$86*'Plan mensual'!E286</f>
        <v>4432.11800477511</v>
      </c>
      <c r="D268" s="26" t="n">
        <f aca="false">parametros_recargas!$E$86*'Plan mensual'!F277+parametros_recargas!$F$86*'Plan mensual'!F278+parametros_recargas!$G$86*'Plan mensual'!F279+parametros_recargas!$H$86*'Plan mensual'!F280+parametros_recargas!$I$86*'Plan mensual'!F281+parametros_recargas!$J$86*'Plan mensual'!F282+parametros_recargas!$K$86*'Plan mensual'!F283+parametros_recargas!$L$86*'Plan mensual'!F284+parametros_recargas!$M$86*'Plan mensual'!F286</f>
        <v>4243.2155003539</v>
      </c>
      <c r="E268" s="26" t="n">
        <f aca="false">parametros_recargas!$E$86*'Plan mensual'!G277+parametros_recargas!$F$86*'Plan mensual'!G278+parametros_recargas!$G$86*'Plan mensual'!G279+parametros_recargas!$H$86*'Plan mensual'!G280+parametros_recargas!$I$86*'Plan mensual'!G281+parametros_recargas!$J$86*'Plan mensual'!G282+parametros_recargas!$K$86*'Plan mensual'!G283+parametros_recargas!$L$86*'Plan mensual'!G284+parametros_recargas!$M$86*'Plan mensual'!G286</f>
        <v>4678.86483048963</v>
      </c>
      <c r="F268" s="26" t="n">
        <f aca="false">parametros_recargas!$E$86*'Plan mensual'!H277+parametros_recargas!$F$86*'Plan mensual'!H278+parametros_recargas!$G$86*'Plan mensual'!H279+parametros_recargas!$H$86*'Plan mensual'!H280+parametros_recargas!$I$86*'Plan mensual'!H281+parametros_recargas!$J$86*'Plan mensual'!H282+parametros_recargas!$K$86*'Plan mensual'!H283+parametros_recargas!$L$86*'Plan mensual'!H284+parametros_recargas!$M$86*'Plan mensual'!H286</f>
        <v>4711.17319620846</v>
      </c>
      <c r="G268" s="26" t="n">
        <f aca="false">parametros_recargas!$E$86*'Plan mensual'!I277+parametros_recargas!$F$86*'Plan mensual'!I278+parametros_recargas!$G$86*'Plan mensual'!I279+parametros_recargas!$H$86*'Plan mensual'!I280+parametros_recargas!$I$86*'Plan mensual'!I281+parametros_recargas!$J$86*'Plan mensual'!I282+parametros_recargas!$K$86*'Plan mensual'!I283+parametros_recargas!$L$86*'Plan mensual'!I284+parametros_recargas!$M$86*'Plan mensual'!I286</f>
        <v>4658.77340030433</v>
      </c>
      <c r="H268" s="26" t="n">
        <f aca="false">parametros_recargas!$E$86*'Plan mensual'!J277+parametros_recargas!$F$86*'Plan mensual'!J278+parametros_recargas!$G$86*'Plan mensual'!J279+parametros_recargas!$H$86*'Plan mensual'!J280+parametros_recargas!$I$86*'Plan mensual'!J281+parametros_recargas!$J$86*'Plan mensual'!J282+parametros_recargas!$K$86*'Plan mensual'!J283+parametros_recargas!$L$86*'Plan mensual'!J284+parametros_recargas!$M$86*'Plan mensual'!J286</f>
        <v>4150.31285905095</v>
      </c>
      <c r="I268" s="26" t="n">
        <f aca="false">parametros_recargas!$E$86*'Plan mensual'!K277+parametros_recargas!$F$86*'Plan mensual'!K278+parametros_recargas!$G$86*'Plan mensual'!K279+parametros_recargas!$H$86*'Plan mensual'!K280+parametros_recargas!$I$86*'Plan mensual'!K281+parametros_recargas!$J$86*'Plan mensual'!K282+parametros_recargas!$K$86*'Plan mensual'!K283+parametros_recargas!$L$86*'Plan mensual'!K284+parametros_recargas!$M$86*'Plan mensual'!K286</f>
        <v>4184.67350895707</v>
      </c>
      <c r="J268" s="26" t="n">
        <f aca="false">parametros_recargas!$E$86*'Plan mensual'!L277+parametros_recargas!$F$86*'Plan mensual'!L278+parametros_recargas!$G$86*'Plan mensual'!L279+parametros_recargas!$H$86*'Plan mensual'!L280+parametros_recargas!$I$86*'Plan mensual'!L281+parametros_recargas!$J$86*'Plan mensual'!L282+parametros_recargas!$K$86*'Plan mensual'!L283+parametros_recargas!$L$86*'Plan mensual'!L284+parametros_recargas!$M$86*'Plan mensual'!L286</f>
        <v>4231.55790439831</v>
      </c>
      <c r="K268" s="26" t="n">
        <f aca="false">parametros_recargas!$E$86*'Plan mensual'!M277+parametros_recargas!$F$86*'Plan mensual'!M278+parametros_recargas!$G$86*'Plan mensual'!M279+parametros_recargas!$H$86*'Plan mensual'!M280+parametros_recargas!$I$86*'Plan mensual'!M281+parametros_recargas!$J$86*'Plan mensual'!M282+parametros_recargas!$K$86*'Plan mensual'!M283+parametros_recargas!$L$86*'Plan mensual'!M284+parametros_recargas!$M$86*'Plan mensual'!M286</f>
        <v>4231.55790439831</v>
      </c>
      <c r="L268" s="26" t="n">
        <f aca="false">parametros_recargas!$E$86*'Plan mensual'!N277+parametros_recargas!$F$86*'Plan mensual'!N278+parametros_recargas!$G$86*'Plan mensual'!N279+parametros_recargas!$H$86*'Plan mensual'!N280+parametros_recargas!$I$86*'Plan mensual'!N281+parametros_recargas!$J$86*'Plan mensual'!N282+parametros_recargas!$K$86*'Plan mensual'!N283+parametros_recargas!$L$86*'Plan mensual'!N284+parametros_recargas!$M$86*'Plan mensual'!N286</f>
        <v>4842.16050426265</v>
      </c>
      <c r="M268" s="26" t="n">
        <f aca="false">parametros_recargas!$E$86*'Plan mensual'!O277+parametros_recargas!$F$86*'Plan mensual'!O278+parametros_recargas!$G$86*'Plan mensual'!O279+parametros_recargas!$H$86*'Plan mensual'!O280+parametros_recargas!$I$86*'Plan mensual'!O281+parametros_recargas!$J$86*'Plan mensual'!O282+parametros_recargas!$K$86*'Plan mensual'!O283+parametros_recargas!$L$86*'Plan mensual'!O284+parametros_recargas!$M$86*'Plan mensual'!O286</f>
        <v>5537.47126574996</v>
      </c>
      <c r="N268" s="12" t="n">
        <f aca="false">SUM(B268:M268)</f>
        <v>54976.907849307</v>
      </c>
      <c r="O268" s="27" t="n">
        <f aca="false">MAX(B268:M268)</f>
        <v>5537.47126574996</v>
      </c>
      <c r="P268" s="16" t="n">
        <f aca="false">O268/parametros_recargas!$B$6</f>
        <v>36.9164751049997</v>
      </c>
    </row>
    <row r="269" customFormat="false" ht="15" hidden="false" customHeight="false" outlineLevel="0" collapsed="false">
      <c r="A269" s="6" t="str">
        <f aca="false">parametros_recargas!$B$87</f>
        <v>Secado</v>
      </c>
      <c r="B269" s="26" t="n">
        <f aca="false">parametros_recargas!$E$87*'Plan mensual'!D277+parametros_recargas!$F$87*'Plan mensual'!D278+parametros_recargas!$G$87*'Plan mensual'!D279+parametros_recargas!$H$87*'Plan mensual'!D280+parametros_recargas!$I$87*'Plan mensual'!D281+parametros_recargas!$J$87*'Plan mensual'!D282+parametros_recargas!$K$87*'Plan mensual'!D283+parametros_recargas!$L$87*'Plan mensual'!D284+parametros_recargas!$M$87*'Plan mensual'!D286</f>
        <v>4838.97235801465</v>
      </c>
      <c r="C269" s="26" t="n">
        <f aca="false">parametros_recargas!$E$87*'Plan mensual'!E277+parametros_recargas!$F$87*'Plan mensual'!E278+parametros_recargas!$G$87*'Plan mensual'!E279+parametros_recargas!$H$87*'Plan mensual'!E280+parametros_recargas!$I$87*'Plan mensual'!E281+parametros_recargas!$J$87*'Plan mensual'!E282+parametros_recargas!$K$87*'Plan mensual'!E283+parametros_recargas!$L$87*'Plan mensual'!E284+parametros_recargas!$M$87*'Plan mensual'!E286</f>
        <v>4170.34495380815</v>
      </c>
      <c r="D269" s="26" t="n">
        <f aca="false">parametros_recargas!$E$87*'Plan mensual'!F277+parametros_recargas!$F$87*'Plan mensual'!F278+parametros_recargas!$G$87*'Plan mensual'!F279+parametros_recargas!$H$87*'Plan mensual'!F280+parametros_recargas!$I$87*'Plan mensual'!F281+parametros_recargas!$J$87*'Plan mensual'!F282+parametros_recargas!$K$87*'Plan mensual'!F283+parametros_recargas!$L$87*'Plan mensual'!F284+parametros_recargas!$M$87*'Plan mensual'!F286</f>
        <v>3914.47517036041</v>
      </c>
      <c r="E269" s="26" t="n">
        <f aca="false">parametros_recargas!$E$87*'Plan mensual'!G277+parametros_recargas!$F$87*'Plan mensual'!G278+parametros_recargas!$G$87*'Plan mensual'!G279+parametros_recargas!$H$87*'Plan mensual'!G280+parametros_recargas!$I$87*'Plan mensual'!G281+parametros_recargas!$J$87*'Plan mensual'!G282+parametros_recargas!$K$87*'Plan mensual'!G283+parametros_recargas!$L$87*'Plan mensual'!G284+parametros_recargas!$M$87*'Plan mensual'!G286</f>
        <v>4310.05433759222</v>
      </c>
      <c r="F269" s="26" t="n">
        <f aca="false">parametros_recargas!$E$87*'Plan mensual'!H277+parametros_recargas!$F$87*'Plan mensual'!H278+parametros_recargas!$G$87*'Plan mensual'!H279+parametros_recargas!$H$87*'Plan mensual'!H280+parametros_recargas!$I$87*'Plan mensual'!H281+parametros_recargas!$J$87*'Plan mensual'!H282+parametros_recargas!$K$87*'Plan mensual'!H283+parametros_recargas!$L$87*'Plan mensual'!H284+parametros_recargas!$M$87*'Plan mensual'!H286</f>
        <v>4339.06916432026</v>
      </c>
      <c r="G269" s="26" t="n">
        <f aca="false">parametros_recargas!$E$87*'Plan mensual'!I277+parametros_recargas!$F$87*'Plan mensual'!I278+parametros_recargas!$G$87*'Plan mensual'!I279+parametros_recargas!$H$87*'Plan mensual'!I280+parametros_recargas!$I$87*'Plan mensual'!I281+parametros_recargas!$J$87*'Plan mensual'!I282+parametros_recargas!$K$87*'Plan mensual'!I283+parametros_recargas!$L$87*'Plan mensual'!I284+parametros_recargas!$M$87*'Plan mensual'!I286</f>
        <v>4294.6731996844</v>
      </c>
      <c r="H269" s="26" t="n">
        <f aca="false">parametros_recargas!$E$87*'Plan mensual'!J277+parametros_recargas!$F$87*'Plan mensual'!J278+parametros_recargas!$G$87*'Plan mensual'!J279+parametros_recargas!$H$87*'Plan mensual'!J280+parametros_recargas!$I$87*'Plan mensual'!J281+parametros_recargas!$J$87*'Plan mensual'!J282+parametros_recargas!$K$87*'Plan mensual'!J283+parametros_recargas!$L$87*'Plan mensual'!J284+parametros_recargas!$M$87*'Plan mensual'!J286</f>
        <v>3835.26845659019</v>
      </c>
      <c r="I269" s="26" t="n">
        <f aca="false">parametros_recargas!$E$87*'Plan mensual'!K277+parametros_recargas!$F$87*'Plan mensual'!K278+parametros_recargas!$G$87*'Plan mensual'!K279+parametros_recargas!$H$87*'Plan mensual'!K280+parametros_recargas!$I$87*'Plan mensual'!K281+parametros_recargas!$J$87*'Plan mensual'!K282+parametros_recargas!$K$87*'Plan mensual'!K283+parametros_recargas!$L$87*'Plan mensual'!K284+parametros_recargas!$M$87*'Plan mensual'!K286</f>
        <v>3866.53444101781</v>
      </c>
      <c r="J269" s="26" t="n">
        <f aca="false">parametros_recargas!$E$87*'Plan mensual'!L277+parametros_recargas!$F$87*'Plan mensual'!L278+parametros_recargas!$G$87*'Plan mensual'!L279+parametros_recargas!$H$87*'Plan mensual'!L280+parametros_recargas!$I$87*'Plan mensual'!L281+parametros_recargas!$J$87*'Plan mensual'!L282+parametros_recargas!$K$87*'Plan mensual'!L283+parametros_recargas!$L$87*'Plan mensual'!L284+parametros_recargas!$M$87*'Plan mensual'!L286</f>
        <v>3905.68846899814</v>
      </c>
      <c r="K269" s="26" t="n">
        <f aca="false">parametros_recargas!$E$87*'Plan mensual'!M277+parametros_recargas!$F$87*'Plan mensual'!M278+parametros_recargas!$G$87*'Plan mensual'!M279+parametros_recargas!$H$87*'Plan mensual'!M280+parametros_recargas!$I$87*'Plan mensual'!M281+parametros_recargas!$J$87*'Plan mensual'!M282+parametros_recargas!$K$87*'Plan mensual'!M283+parametros_recargas!$L$87*'Plan mensual'!M284+parametros_recargas!$M$87*'Plan mensual'!M286</f>
        <v>3905.68846899814</v>
      </c>
      <c r="L269" s="26" t="n">
        <f aca="false">parametros_recargas!$E$87*'Plan mensual'!N277+parametros_recargas!$F$87*'Plan mensual'!N278+parametros_recargas!$G$87*'Plan mensual'!N279+parametros_recargas!$H$87*'Plan mensual'!N280+parametros_recargas!$I$87*'Plan mensual'!N281+parametros_recargas!$J$87*'Plan mensual'!N282+parametros_recargas!$K$87*'Plan mensual'!N283+parametros_recargas!$L$87*'Plan mensual'!N284+parametros_recargas!$M$87*'Plan mensual'!N286</f>
        <v>4545.3010464766</v>
      </c>
      <c r="M269" s="26" t="n">
        <f aca="false">parametros_recargas!$E$87*'Plan mensual'!O277+parametros_recargas!$F$87*'Plan mensual'!O278+parametros_recargas!$G$87*'Plan mensual'!O279+parametros_recargas!$H$87*'Plan mensual'!O280+parametros_recargas!$I$87*'Plan mensual'!O281+parametros_recargas!$J$87*'Plan mensual'!O282+parametros_recargas!$K$87*'Plan mensual'!O283+parametros_recargas!$L$87*'Plan mensual'!O284+parametros_recargas!$M$87*'Plan mensual'!O286</f>
        <v>5258.32441531896</v>
      </c>
      <c r="N269" s="12" t="n">
        <f aca="false">SUM(B269:M269)</f>
        <v>51184.3944811799</v>
      </c>
      <c r="O269" s="27" t="n">
        <f aca="false">MAX(B269:M269)</f>
        <v>5258.32441531896</v>
      </c>
      <c r="P269" s="16" t="n">
        <f aca="false">O269/parametros_recargas!$B$6</f>
        <v>35.0554961021264</v>
      </c>
    </row>
    <row r="270" customFormat="false" ht="15" hidden="false" customHeight="false" outlineLevel="0" collapsed="false">
      <c r="A270" s="6" t="str">
        <f aca="false">parametros_recargas!$B$88</f>
        <v>Inspección interior con videoscopio</v>
      </c>
      <c r="B270" s="26" t="n">
        <f aca="false">parametros_recargas!$E$88*'Plan mensual'!D277+parametros_recargas!$F$88*'Plan mensual'!D278+parametros_recargas!$G$88*'Plan mensual'!D279+parametros_recargas!$H$88*'Plan mensual'!D280+parametros_recargas!$I$88*'Plan mensual'!D281+parametros_recargas!$J$88*'Plan mensual'!D282+parametros_recargas!$K$88*'Plan mensual'!D283+parametros_recargas!$L$88*'Plan mensual'!D284+parametros_recargas!$M$88*'Plan mensual'!D286</f>
        <v>4838.97235801465</v>
      </c>
      <c r="C270" s="26" t="n">
        <f aca="false">parametros_recargas!$E$88*'Plan mensual'!E277+parametros_recargas!$F$88*'Plan mensual'!E278+parametros_recargas!$G$88*'Plan mensual'!E279+parametros_recargas!$H$88*'Plan mensual'!E280+parametros_recargas!$I$88*'Plan mensual'!E281+parametros_recargas!$J$88*'Plan mensual'!E282+parametros_recargas!$K$88*'Plan mensual'!E283+parametros_recargas!$L$88*'Plan mensual'!E284+parametros_recargas!$M$88*'Plan mensual'!E286</f>
        <v>4170.34495380815</v>
      </c>
      <c r="D270" s="26" t="n">
        <f aca="false">parametros_recargas!$E$88*'Plan mensual'!F277+parametros_recargas!$F$88*'Plan mensual'!F278+parametros_recargas!$G$88*'Plan mensual'!F279+parametros_recargas!$H$88*'Plan mensual'!F280+parametros_recargas!$I$88*'Plan mensual'!F281+parametros_recargas!$J$88*'Plan mensual'!F282+parametros_recargas!$K$88*'Plan mensual'!F283+parametros_recargas!$L$88*'Plan mensual'!F284+parametros_recargas!$M$88*'Plan mensual'!F286</f>
        <v>3914.47517036041</v>
      </c>
      <c r="E270" s="26" t="n">
        <f aca="false">parametros_recargas!$E$88*'Plan mensual'!G277+parametros_recargas!$F$88*'Plan mensual'!G278+parametros_recargas!$G$88*'Plan mensual'!G279+parametros_recargas!$H$88*'Plan mensual'!G280+parametros_recargas!$I$88*'Plan mensual'!G281+parametros_recargas!$J$88*'Plan mensual'!G282+parametros_recargas!$K$88*'Plan mensual'!G283+parametros_recargas!$L$88*'Plan mensual'!G284+parametros_recargas!$M$88*'Plan mensual'!G286</f>
        <v>4310.05433759222</v>
      </c>
      <c r="F270" s="26" t="n">
        <f aca="false">parametros_recargas!$E$88*'Plan mensual'!H277+parametros_recargas!$F$88*'Plan mensual'!H278+parametros_recargas!$G$88*'Plan mensual'!H279+parametros_recargas!$H$88*'Plan mensual'!H280+parametros_recargas!$I$88*'Plan mensual'!H281+parametros_recargas!$J$88*'Plan mensual'!H282+parametros_recargas!$K$88*'Plan mensual'!H283+parametros_recargas!$L$88*'Plan mensual'!H284+parametros_recargas!$M$88*'Plan mensual'!H286</f>
        <v>4339.06916432026</v>
      </c>
      <c r="G270" s="26" t="n">
        <f aca="false">parametros_recargas!$E$88*'Plan mensual'!I277+parametros_recargas!$F$88*'Plan mensual'!I278+parametros_recargas!$G$88*'Plan mensual'!I279+parametros_recargas!$H$88*'Plan mensual'!I280+parametros_recargas!$I$88*'Plan mensual'!I281+parametros_recargas!$J$88*'Plan mensual'!I282+parametros_recargas!$K$88*'Plan mensual'!I283+parametros_recargas!$L$88*'Plan mensual'!I284+parametros_recargas!$M$88*'Plan mensual'!I286</f>
        <v>4294.6731996844</v>
      </c>
      <c r="H270" s="26" t="n">
        <f aca="false">parametros_recargas!$E$88*'Plan mensual'!J277+parametros_recargas!$F$88*'Plan mensual'!J278+parametros_recargas!$G$88*'Plan mensual'!J279+parametros_recargas!$H$88*'Plan mensual'!J280+parametros_recargas!$I$88*'Plan mensual'!J281+parametros_recargas!$J$88*'Plan mensual'!J282+parametros_recargas!$K$88*'Plan mensual'!J283+parametros_recargas!$L$88*'Plan mensual'!J284+parametros_recargas!$M$88*'Plan mensual'!J286</f>
        <v>3835.26845659019</v>
      </c>
      <c r="I270" s="26" t="n">
        <f aca="false">parametros_recargas!$E$88*'Plan mensual'!K277+parametros_recargas!$F$88*'Plan mensual'!K278+parametros_recargas!$G$88*'Plan mensual'!K279+parametros_recargas!$H$88*'Plan mensual'!K280+parametros_recargas!$I$88*'Plan mensual'!K281+parametros_recargas!$J$88*'Plan mensual'!K282+parametros_recargas!$K$88*'Plan mensual'!K283+parametros_recargas!$L$88*'Plan mensual'!K284+parametros_recargas!$M$88*'Plan mensual'!K286</f>
        <v>3866.53444101781</v>
      </c>
      <c r="J270" s="26" t="n">
        <f aca="false">parametros_recargas!$E$88*'Plan mensual'!L277+parametros_recargas!$F$88*'Plan mensual'!L278+parametros_recargas!$G$88*'Plan mensual'!L279+parametros_recargas!$H$88*'Plan mensual'!L280+parametros_recargas!$I$88*'Plan mensual'!L281+parametros_recargas!$J$88*'Plan mensual'!L282+parametros_recargas!$K$88*'Plan mensual'!L283+parametros_recargas!$L$88*'Plan mensual'!L284+parametros_recargas!$M$88*'Plan mensual'!L286</f>
        <v>3905.68846899814</v>
      </c>
      <c r="K270" s="26" t="n">
        <f aca="false">parametros_recargas!$E$88*'Plan mensual'!M277+parametros_recargas!$F$88*'Plan mensual'!M278+parametros_recargas!$G$88*'Plan mensual'!M279+parametros_recargas!$H$88*'Plan mensual'!M280+parametros_recargas!$I$88*'Plan mensual'!M281+parametros_recargas!$J$88*'Plan mensual'!M282+parametros_recargas!$K$88*'Plan mensual'!M283+parametros_recargas!$L$88*'Plan mensual'!M284+parametros_recargas!$M$88*'Plan mensual'!M286</f>
        <v>3905.68846899814</v>
      </c>
      <c r="L270" s="26" t="n">
        <f aca="false">parametros_recargas!$E$88*'Plan mensual'!N277+parametros_recargas!$F$88*'Plan mensual'!N278+parametros_recargas!$G$88*'Plan mensual'!N279+parametros_recargas!$H$88*'Plan mensual'!N280+parametros_recargas!$I$88*'Plan mensual'!N281+parametros_recargas!$J$88*'Plan mensual'!N282+parametros_recargas!$K$88*'Plan mensual'!N283+parametros_recargas!$L$88*'Plan mensual'!N284+parametros_recargas!$M$88*'Plan mensual'!N286</f>
        <v>4545.3010464766</v>
      </c>
      <c r="M270" s="26" t="n">
        <f aca="false">parametros_recargas!$E$88*'Plan mensual'!O277+parametros_recargas!$F$88*'Plan mensual'!O278+parametros_recargas!$G$88*'Plan mensual'!O279+parametros_recargas!$H$88*'Plan mensual'!O280+parametros_recargas!$I$88*'Plan mensual'!O281+parametros_recargas!$J$88*'Plan mensual'!O282+parametros_recargas!$K$88*'Plan mensual'!O283+parametros_recargas!$L$88*'Plan mensual'!O284+parametros_recargas!$M$88*'Plan mensual'!O286</f>
        <v>5258.32441531896</v>
      </c>
      <c r="N270" s="12" t="n">
        <f aca="false">SUM(B270:M270)</f>
        <v>51184.3944811799</v>
      </c>
      <c r="O270" s="27" t="n">
        <f aca="false">MAX(B270:M270)</f>
        <v>5258.32441531896</v>
      </c>
      <c r="P270" s="16" t="n">
        <f aca="false">O270/parametros_recargas!$B$6</f>
        <v>35.0554961021264</v>
      </c>
    </row>
    <row r="271" customFormat="false" ht="15" hidden="false" customHeight="false" outlineLevel="0" collapsed="false">
      <c r="A271" s="6" t="str">
        <f aca="false">parametros_recargas!$B$89</f>
        <v>Pintura</v>
      </c>
      <c r="B271" s="26" t="n">
        <f aca="false">parametros_recargas!$E$89*'Plan mensual'!D277+parametros_recargas!$F$89*'Plan mensual'!D278+parametros_recargas!$G$89*'Plan mensual'!D279+parametros_recargas!$H$89*'Plan mensual'!D280+parametros_recargas!$I$89*'Plan mensual'!D281+parametros_recargas!$J$89*'Plan mensual'!D282+parametros_recargas!$K$89*'Plan mensual'!D283+parametros_recargas!$L$89*'Plan mensual'!D284+parametros_recargas!$M$89*'Plan mensual'!D286</f>
        <v>2910.32669084874</v>
      </c>
      <c r="C271" s="26" t="n">
        <f aca="false">parametros_recargas!$E$89*'Plan mensual'!E277+parametros_recargas!$F$89*'Plan mensual'!E278+parametros_recargas!$G$89*'Plan mensual'!E279+parametros_recargas!$H$89*'Plan mensual'!E280+parametros_recargas!$I$89*'Plan mensual'!E281+parametros_recargas!$J$89*'Plan mensual'!E282+parametros_recargas!$K$89*'Plan mensual'!E283+parametros_recargas!$L$89*'Plan mensual'!E284+parametros_recargas!$M$89*'Plan mensual'!E286</f>
        <v>2524.58011149884</v>
      </c>
      <c r="D271" s="26" t="n">
        <f aca="false">parametros_recargas!$E$89*'Plan mensual'!F277+parametros_recargas!$F$89*'Plan mensual'!F278+parametros_recargas!$G$89*'Plan mensual'!F279+parametros_recargas!$H$89*'Plan mensual'!F280+parametros_recargas!$I$89*'Plan mensual'!F281+parametros_recargas!$J$89*'Plan mensual'!F282+parametros_recargas!$K$89*'Plan mensual'!F283+parametros_recargas!$L$89*'Plan mensual'!F284+parametros_recargas!$M$89*'Plan mensual'!F286</f>
        <v>2393.39997146892</v>
      </c>
      <c r="E271" s="26" t="n">
        <f aca="false">parametros_recargas!$E$89*'Plan mensual'!G277+parametros_recargas!$F$89*'Plan mensual'!G278+parametros_recargas!$G$89*'Plan mensual'!G279+parametros_recargas!$H$89*'Plan mensual'!G280+parametros_recargas!$I$89*'Plan mensual'!G281+parametros_recargas!$J$89*'Plan mensual'!G282+parametros_recargas!$K$89*'Plan mensual'!G283+parametros_recargas!$L$89*'Plan mensual'!G284+parametros_recargas!$M$89*'Plan mensual'!G286</f>
        <v>2637.54986547801</v>
      </c>
      <c r="F271" s="26" t="n">
        <f aca="false">parametros_recargas!$E$89*'Plan mensual'!H277+parametros_recargas!$F$89*'Plan mensual'!H278+parametros_recargas!$G$89*'Plan mensual'!H279+parametros_recargas!$H$89*'Plan mensual'!H280+parametros_recargas!$I$89*'Plan mensual'!H281+parametros_recargas!$J$89*'Plan mensual'!H282+parametros_recargas!$K$89*'Plan mensual'!H283+parametros_recargas!$L$89*'Plan mensual'!H284+parametros_recargas!$M$89*'Plan mensual'!H286</f>
        <v>2655.52657729393</v>
      </c>
      <c r="G271" s="26" t="n">
        <f aca="false">parametros_recargas!$E$89*'Plan mensual'!I277+parametros_recargas!$F$89*'Plan mensual'!I278+parametros_recargas!$G$89*'Plan mensual'!I279+parametros_recargas!$H$89*'Plan mensual'!I280+parametros_recargas!$I$89*'Plan mensual'!I281+parametros_recargas!$J$89*'Plan mensual'!I282+parametros_recargas!$K$89*'Plan mensual'!I283+parametros_recargas!$L$89*'Plan mensual'!I284+parametros_recargas!$M$89*'Plan mensual'!I286</f>
        <v>2627.15015477162</v>
      </c>
      <c r="H271" s="26" t="n">
        <f aca="false">parametros_recargas!$E$89*'Plan mensual'!J277+parametros_recargas!$F$89*'Plan mensual'!J278+parametros_recargas!$G$89*'Plan mensual'!J279+parametros_recargas!$H$89*'Plan mensual'!J280+parametros_recargas!$I$89*'Plan mensual'!J281+parametros_recargas!$J$89*'Plan mensual'!J282+parametros_recargas!$K$89*'Plan mensual'!J283+parametros_recargas!$L$89*'Plan mensual'!J284+parametros_recargas!$M$89*'Plan mensual'!J286</f>
        <v>2342.96951339715</v>
      </c>
      <c r="I271" s="26" t="n">
        <f aca="false">parametros_recargas!$E$89*'Plan mensual'!K277+parametros_recargas!$F$89*'Plan mensual'!K278+parametros_recargas!$G$89*'Plan mensual'!K279+parametros_recargas!$H$89*'Plan mensual'!K280+parametros_recargas!$I$89*'Plan mensual'!K281+parametros_recargas!$J$89*'Plan mensual'!K282+parametros_recargas!$K$89*'Plan mensual'!K283+parametros_recargas!$L$89*'Plan mensual'!K284+parametros_recargas!$M$89*'Plan mensual'!K286</f>
        <v>2362.18400474525</v>
      </c>
      <c r="J271" s="26" t="n">
        <f aca="false">parametros_recargas!$E$89*'Plan mensual'!L277+parametros_recargas!$F$89*'Plan mensual'!L278+parametros_recargas!$G$89*'Plan mensual'!L279+parametros_recargas!$H$89*'Plan mensual'!L280+parametros_recargas!$I$89*'Plan mensual'!L281+parametros_recargas!$J$89*'Plan mensual'!L282+parametros_recargas!$K$89*'Plan mensual'!L283+parametros_recargas!$L$89*'Plan mensual'!L284+parametros_recargas!$M$89*'Plan mensual'!L286</f>
        <v>2387.39502513</v>
      </c>
      <c r="K271" s="26" t="n">
        <f aca="false">parametros_recargas!$E$89*'Plan mensual'!M277+parametros_recargas!$F$89*'Plan mensual'!M278+parametros_recargas!$G$89*'Plan mensual'!M279+parametros_recargas!$H$89*'Plan mensual'!M280+parametros_recargas!$I$89*'Plan mensual'!M281+parametros_recargas!$J$89*'Plan mensual'!M282+parametros_recargas!$K$89*'Plan mensual'!M283+parametros_recargas!$L$89*'Plan mensual'!M284+parametros_recargas!$M$89*'Plan mensual'!M286</f>
        <v>2387.39502513</v>
      </c>
      <c r="L271" s="26" t="n">
        <f aca="false">parametros_recargas!$E$89*'Plan mensual'!N277+parametros_recargas!$F$89*'Plan mensual'!N278+parametros_recargas!$G$89*'Plan mensual'!N279+parametros_recargas!$H$89*'Plan mensual'!N280+parametros_recargas!$I$89*'Plan mensual'!N281+parametros_recargas!$J$89*'Plan mensual'!N282+parametros_recargas!$K$89*'Plan mensual'!N283+parametros_recargas!$L$89*'Plan mensual'!N284+parametros_recargas!$M$89*'Plan mensual'!N286</f>
        <v>2755.16489266399</v>
      </c>
      <c r="M271" s="26" t="n">
        <f aca="false">parametros_recargas!$E$89*'Plan mensual'!O277+parametros_recargas!$F$89*'Plan mensual'!O278+parametros_recargas!$G$89*'Plan mensual'!O279+parametros_recargas!$H$89*'Plan mensual'!O280+parametros_recargas!$I$89*'Plan mensual'!O281+parametros_recargas!$J$89*'Plan mensual'!O282+parametros_recargas!$K$89*'Plan mensual'!O283+parametros_recargas!$L$89*'Plan mensual'!O284+parametros_recargas!$M$89*'Plan mensual'!O286</f>
        <v>3169.2878945362</v>
      </c>
      <c r="N271" s="12" t="n">
        <f aca="false">SUM(B271:M271)</f>
        <v>31152.9297269627</v>
      </c>
      <c r="O271" s="27" t="n">
        <f aca="false">MAX(B271:M271)</f>
        <v>3169.2878945362</v>
      </c>
      <c r="P271" s="16" t="n">
        <f aca="false">O271/parametros_recargas!$B$6</f>
        <v>21.1285859635747</v>
      </c>
    </row>
    <row r="272" customFormat="false" ht="15" hidden="false" customHeight="false" outlineLevel="0" collapsed="false">
      <c r="A272" s="6" t="str">
        <f aca="false">parametros_recargas!$B$90</f>
        <v>Carga de polvo ABC, BC y Clase D</v>
      </c>
      <c r="B272" s="26" t="n">
        <f aca="false">parametros_recargas!$E$90*'Plan mensual'!D277+parametros_recargas!$F$90*'Plan mensual'!D278+parametros_recargas!$G$90*'Plan mensual'!D279+parametros_recargas!$H$90*'Plan mensual'!D280+parametros_recargas!$I$90*'Plan mensual'!D281+parametros_recargas!$J$90*'Plan mensual'!D282+parametros_recargas!$K$90*'Plan mensual'!D283+parametros_recargas!$L$90*'Plan mensual'!D284+parametros_recargas!$M$90*'Plan mensual'!D286</f>
        <v>17594.4167062502</v>
      </c>
      <c r="C272" s="26" t="n">
        <f aca="false">parametros_recargas!$E$90*'Plan mensual'!E277+parametros_recargas!$F$90*'Plan mensual'!E278+parametros_recargas!$G$90*'Plan mensual'!E279+parametros_recargas!$H$90*'Plan mensual'!E280+parametros_recargas!$I$90*'Plan mensual'!E281+parametros_recargas!$J$90*'Plan mensual'!E282+parametros_recargas!$K$90*'Plan mensual'!E283+parametros_recargas!$L$90*'Plan mensual'!E284+parametros_recargas!$M$90*'Plan mensual'!E286</f>
        <v>15019.6319975196</v>
      </c>
      <c r="D272" s="26" t="n">
        <f aca="false">parametros_recargas!$E$90*'Plan mensual'!F277+parametros_recargas!$F$90*'Plan mensual'!F278+parametros_recargas!$G$90*'Plan mensual'!F279+parametros_recargas!$H$90*'Plan mensual'!F280+parametros_recargas!$I$90*'Plan mensual'!F281+parametros_recargas!$J$90*'Plan mensual'!F282+parametros_recargas!$K$90*'Plan mensual'!F283+parametros_recargas!$L$90*'Plan mensual'!F284+parametros_recargas!$M$90*'Plan mensual'!F286</f>
        <v>13774.6671186062</v>
      </c>
      <c r="E272" s="26" t="n">
        <f aca="false">parametros_recargas!$E$90*'Plan mensual'!G277+parametros_recargas!$F$90*'Plan mensual'!G278+parametros_recargas!$G$90*'Plan mensual'!G279+parametros_recargas!$H$90*'Plan mensual'!G280+parametros_recargas!$I$90*'Plan mensual'!G281+parametros_recargas!$J$90*'Plan mensual'!G282+parametros_recargas!$K$90*'Plan mensual'!G283+parametros_recargas!$L$90*'Plan mensual'!G284+parametros_recargas!$M$90*'Plan mensual'!G286</f>
        <v>15035.3381836506</v>
      </c>
      <c r="F272" s="26" t="n">
        <f aca="false">parametros_recargas!$E$90*'Plan mensual'!H277+parametros_recargas!$F$90*'Plan mensual'!H278+parametros_recargas!$G$90*'Plan mensual'!H279+parametros_recargas!$H$90*'Plan mensual'!H280+parametros_recargas!$I$90*'Plan mensual'!H281+parametros_recargas!$J$90*'Plan mensual'!H282+parametros_recargas!$K$90*'Plan mensual'!H283+parametros_recargas!$L$90*'Plan mensual'!H284+parametros_recargas!$M$90*'Plan mensual'!H286</f>
        <v>15135.5719003817</v>
      </c>
      <c r="G272" s="26" t="n">
        <f aca="false">parametros_recargas!$E$90*'Plan mensual'!I277+parametros_recargas!$F$90*'Plan mensual'!I278+parametros_recargas!$G$90*'Plan mensual'!I279+parametros_recargas!$H$90*'Plan mensual'!I280+parametros_recargas!$I$90*'Plan mensual'!I281+parametros_recargas!$J$90*'Plan mensual'!I282+parametros_recargas!$K$90*'Plan mensual'!I283+parametros_recargas!$L$90*'Plan mensual'!I284+parametros_recargas!$M$90*'Plan mensual'!I286</f>
        <v>14998.9442802043</v>
      </c>
      <c r="H272" s="26" t="n">
        <f aca="false">parametros_recargas!$E$90*'Plan mensual'!J277+parametros_recargas!$F$90*'Plan mensual'!J278+parametros_recargas!$G$90*'Plan mensual'!J279+parametros_recargas!$H$90*'Plan mensual'!J280+parametros_recargas!$I$90*'Plan mensual'!J281+parametros_recargas!$J$90*'Plan mensual'!J282+parametros_recargas!$K$90*'Plan mensual'!J283+parametros_recargas!$L$90*'Plan mensual'!J284+parametros_recargas!$M$90*'Plan mensual'!J286</f>
        <v>13520.6869993776</v>
      </c>
      <c r="I272" s="26" t="n">
        <f aca="false">parametros_recargas!$E$90*'Plan mensual'!K277+parametros_recargas!$F$90*'Plan mensual'!K278+parametros_recargas!$G$90*'Plan mensual'!K279+parametros_recargas!$H$90*'Plan mensual'!K280+parametros_recargas!$I$90*'Plan mensual'!K281+parametros_recargas!$J$90*'Plan mensual'!K282+parametros_recargas!$K$90*'Plan mensual'!K283+parametros_recargas!$L$90*'Plan mensual'!K284+parametros_recargas!$M$90*'Plan mensual'!K286</f>
        <v>13639.5783557316</v>
      </c>
      <c r="J272" s="26" t="n">
        <f aca="false">parametros_recargas!$E$90*'Plan mensual'!L277+parametros_recargas!$F$90*'Plan mensual'!L278+parametros_recargas!$G$90*'Plan mensual'!L279+parametros_recargas!$H$90*'Plan mensual'!L280+parametros_recargas!$I$90*'Plan mensual'!L281+parametros_recargas!$J$90*'Plan mensual'!L282+parametros_recargas!$K$90*'Plan mensual'!L283+parametros_recargas!$L$90*'Plan mensual'!L284+parametros_recargas!$M$90*'Plan mensual'!L286</f>
        <v>13758.5335442145</v>
      </c>
      <c r="K272" s="26" t="n">
        <f aca="false">parametros_recargas!$E$90*'Plan mensual'!M277+parametros_recargas!$F$90*'Plan mensual'!M278+parametros_recargas!$G$90*'Plan mensual'!M279+parametros_recargas!$H$90*'Plan mensual'!M280+parametros_recargas!$I$90*'Plan mensual'!M281+parametros_recargas!$J$90*'Plan mensual'!M282+parametros_recargas!$K$90*'Plan mensual'!M283+parametros_recargas!$L$90*'Plan mensual'!M284+parametros_recargas!$M$90*'Plan mensual'!M286</f>
        <v>13757.5784978166</v>
      </c>
      <c r="L272" s="26" t="n">
        <f aca="false">parametros_recargas!$E$90*'Plan mensual'!N277+parametros_recargas!$F$90*'Plan mensual'!N278+parametros_recargas!$G$90*'Plan mensual'!N279+parametros_recargas!$H$90*'Plan mensual'!N280+parametros_recargas!$I$90*'Plan mensual'!N281+parametros_recargas!$J$90*'Plan mensual'!N282+parametros_recargas!$K$90*'Plan mensual'!N283+parametros_recargas!$L$90*'Plan mensual'!N284+parametros_recargas!$M$90*'Plan mensual'!N286</f>
        <v>16227.4182202192</v>
      </c>
      <c r="M272" s="26" t="n">
        <f aca="false">parametros_recargas!$E$90*'Plan mensual'!O277+parametros_recargas!$F$90*'Plan mensual'!O278+parametros_recargas!$G$90*'Plan mensual'!O279+parametros_recargas!$H$90*'Plan mensual'!O280+parametros_recargas!$I$90*'Plan mensual'!O281+parametros_recargas!$J$90*'Plan mensual'!O282+parametros_recargas!$K$90*'Plan mensual'!O283+parametros_recargas!$L$90*'Plan mensual'!O284+parametros_recargas!$M$90*'Plan mensual'!O286</f>
        <v>18940.7899027293</v>
      </c>
      <c r="N272" s="12" t="n">
        <f aca="false">SUM(B272:M272)</f>
        <v>181403.155706701</v>
      </c>
      <c r="O272" s="27" t="n">
        <f aca="false">MAX(B272:M272)</f>
        <v>18940.7899027293</v>
      </c>
      <c r="P272" s="16" t="n">
        <f aca="false">O272/parametros_recargas!$B$6</f>
        <v>126.271932684862</v>
      </c>
    </row>
    <row r="273" customFormat="false" ht="15" hidden="false" customHeight="false" outlineLevel="0" collapsed="false">
      <c r="A273" s="6" t="str">
        <f aca="false">parametros_recargas!$B$91</f>
        <v>Ensamblaje y marbete — recinto</v>
      </c>
      <c r="B273" s="26" t="n">
        <f aca="false">parametros_recargas!$E$91*'Plan mensual'!D277+parametros_recargas!$F$91*'Plan mensual'!D278+parametros_recargas!$G$91*'Plan mensual'!D279+parametros_recargas!$H$91*'Plan mensual'!D280+parametros_recargas!$I$91*'Plan mensual'!D281+parametros_recargas!$J$91*'Plan mensual'!D282+parametros_recargas!$K$91*'Plan mensual'!D283+parametros_recargas!$L$91*'Plan mensual'!D284+parametros_recargas!$M$91*'Plan mensual'!D286</f>
        <v>17566.3245885896</v>
      </c>
      <c r="C273" s="26" t="n">
        <f aca="false">parametros_recargas!$E$91*'Plan mensual'!E277+parametros_recargas!$F$91*'Plan mensual'!E278+parametros_recargas!$G$91*'Plan mensual'!E279+parametros_recargas!$H$91*'Plan mensual'!E280+parametros_recargas!$I$91*'Plan mensual'!E281+parametros_recargas!$J$91*'Plan mensual'!E282+parametros_recargas!$K$91*'Plan mensual'!E283+parametros_recargas!$L$91*'Plan mensual'!E284+parametros_recargas!$M$91*'Plan mensual'!E286</f>
        <v>14991.5398798589</v>
      </c>
      <c r="D273" s="26" t="n">
        <f aca="false">parametros_recargas!$E$91*'Plan mensual'!F277+parametros_recargas!$F$91*'Plan mensual'!F278+parametros_recargas!$G$91*'Plan mensual'!F279+parametros_recargas!$H$91*'Plan mensual'!F280+parametros_recargas!$I$91*'Plan mensual'!F281+parametros_recargas!$J$91*'Plan mensual'!F282+parametros_recargas!$K$91*'Plan mensual'!F283+parametros_recargas!$L$91*'Plan mensual'!F284+parametros_recargas!$M$91*'Plan mensual'!F286</f>
        <v>13746.5750009455</v>
      </c>
      <c r="E273" s="26" t="n">
        <f aca="false">parametros_recargas!$E$91*'Plan mensual'!G277+parametros_recargas!$F$91*'Plan mensual'!G278+parametros_recargas!$G$91*'Plan mensual'!G279+parametros_recargas!$H$91*'Plan mensual'!G280+parametros_recargas!$I$91*'Plan mensual'!G281+parametros_recargas!$J$91*'Plan mensual'!G282+parametros_recargas!$K$91*'Plan mensual'!G283+parametros_recargas!$L$91*'Plan mensual'!G284+parametros_recargas!$M$91*'Plan mensual'!G286</f>
        <v>15007.2460659899</v>
      </c>
      <c r="F273" s="26" t="n">
        <f aca="false">parametros_recargas!$E$91*'Plan mensual'!H277+parametros_recargas!$F$91*'Plan mensual'!H278+parametros_recargas!$G$91*'Plan mensual'!H279+parametros_recargas!$H$91*'Plan mensual'!H280+parametros_recargas!$I$91*'Plan mensual'!H281+parametros_recargas!$J$91*'Plan mensual'!H282+parametros_recargas!$K$91*'Plan mensual'!H283+parametros_recargas!$L$91*'Plan mensual'!H284+parametros_recargas!$M$91*'Plan mensual'!H286</f>
        <v>15107.4797827211</v>
      </c>
      <c r="G273" s="26" t="n">
        <f aca="false">parametros_recargas!$E$91*'Plan mensual'!I277+parametros_recargas!$F$91*'Plan mensual'!I278+parametros_recargas!$G$91*'Plan mensual'!I279+parametros_recargas!$H$91*'Plan mensual'!I280+parametros_recargas!$I$91*'Plan mensual'!I281+parametros_recargas!$J$91*'Plan mensual'!I282+parametros_recargas!$K$91*'Plan mensual'!I283+parametros_recargas!$L$91*'Plan mensual'!I284+parametros_recargas!$M$91*'Plan mensual'!I286</f>
        <v>14970.8521625437</v>
      </c>
      <c r="H273" s="26" t="n">
        <f aca="false">parametros_recargas!$E$91*'Plan mensual'!J277+parametros_recargas!$F$91*'Plan mensual'!J278+parametros_recargas!$G$91*'Plan mensual'!J279+parametros_recargas!$H$91*'Plan mensual'!J280+parametros_recargas!$I$91*'Plan mensual'!J281+parametros_recargas!$J$91*'Plan mensual'!J282+parametros_recargas!$K$91*'Plan mensual'!J283+parametros_recargas!$L$91*'Plan mensual'!J284+parametros_recargas!$M$91*'Plan mensual'!J286</f>
        <v>13492.5948817169</v>
      </c>
      <c r="I273" s="26" t="n">
        <f aca="false">parametros_recargas!$E$91*'Plan mensual'!K277+parametros_recargas!$F$91*'Plan mensual'!K278+parametros_recargas!$G$91*'Plan mensual'!K279+parametros_recargas!$H$91*'Plan mensual'!K280+parametros_recargas!$I$91*'Plan mensual'!K281+parametros_recargas!$J$91*'Plan mensual'!K282+parametros_recargas!$K$91*'Plan mensual'!K283+parametros_recargas!$L$91*'Plan mensual'!K284+parametros_recargas!$M$91*'Plan mensual'!K286</f>
        <v>13611.4862380709</v>
      </c>
      <c r="J273" s="26" t="n">
        <f aca="false">parametros_recargas!$E$91*'Plan mensual'!L277+parametros_recargas!$F$91*'Plan mensual'!L278+parametros_recargas!$G$91*'Plan mensual'!L279+parametros_recargas!$H$91*'Plan mensual'!L280+parametros_recargas!$I$91*'Plan mensual'!L281+parametros_recargas!$J$91*'Plan mensual'!L282+parametros_recargas!$K$91*'Plan mensual'!L283+parametros_recargas!$L$91*'Plan mensual'!L284+parametros_recargas!$M$91*'Plan mensual'!L286</f>
        <v>13730.4414265539</v>
      </c>
      <c r="K273" s="26" t="n">
        <f aca="false">parametros_recargas!$E$91*'Plan mensual'!M277+parametros_recargas!$F$91*'Plan mensual'!M278+parametros_recargas!$G$91*'Plan mensual'!M279+parametros_recargas!$H$91*'Plan mensual'!M280+parametros_recargas!$I$91*'Plan mensual'!M281+parametros_recargas!$J$91*'Plan mensual'!M282+parametros_recargas!$K$91*'Plan mensual'!M283+parametros_recargas!$L$91*'Plan mensual'!M284+parametros_recargas!$M$91*'Plan mensual'!M286</f>
        <v>13729.4863801559</v>
      </c>
      <c r="L273" s="26" t="n">
        <f aca="false">parametros_recargas!$E$91*'Plan mensual'!N277+parametros_recargas!$F$91*'Plan mensual'!N278+parametros_recargas!$G$91*'Plan mensual'!N279+parametros_recargas!$H$91*'Plan mensual'!N280+parametros_recargas!$I$91*'Plan mensual'!N281+parametros_recargas!$J$91*'Plan mensual'!N282+parametros_recargas!$K$91*'Plan mensual'!N283+parametros_recargas!$L$91*'Plan mensual'!N284+parametros_recargas!$M$91*'Plan mensual'!N286</f>
        <v>16199.3261025585</v>
      </c>
      <c r="M273" s="26" t="n">
        <f aca="false">parametros_recargas!$E$91*'Plan mensual'!O277+parametros_recargas!$F$91*'Plan mensual'!O278+parametros_recargas!$G$91*'Plan mensual'!O279+parametros_recargas!$H$91*'Plan mensual'!O280+parametros_recargas!$I$91*'Plan mensual'!O281+parametros_recargas!$J$91*'Plan mensual'!O282+parametros_recargas!$K$91*'Plan mensual'!O283+parametros_recargas!$L$91*'Plan mensual'!O284+parametros_recargas!$M$91*'Plan mensual'!O286</f>
        <v>18912.6977850686</v>
      </c>
      <c r="N273" s="12" t="n">
        <f aca="false">SUM(B273:M273)</f>
        <v>181066.050294773</v>
      </c>
      <c r="O273" s="27" t="n">
        <f aca="false">MAX(B273:M273)</f>
        <v>18912.6977850686</v>
      </c>
      <c r="P273" s="16" t="n">
        <f aca="false">O273/parametros_recargas!$B$6</f>
        <v>126.084651900457</v>
      </c>
    </row>
    <row r="274" customFormat="false" ht="15" hidden="false" customHeight="false" outlineLevel="0" collapsed="false">
      <c r="A274" s="6" t="str">
        <f aca="false">parametros_recargas!$B$92</f>
        <v>Presurización — recinto</v>
      </c>
      <c r="B274" s="26" t="n">
        <f aca="false">parametros_recargas!$E$92*'Plan mensual'!D277+parametros_recargas!$F$92*'Plan mensual'!D278+parametros_recargas!$G$92*'Plan mensual'!D279+parametros_recargas!$H$92*'Plan mensual'!D280+parametros_recargas!$I$92*'Plan mensual'!D281+parametros_recargas!$J$92*'Plan mensual'!D282+parametros_recargas!$K$92*'Plan mensual'!D283+parametros_recargas!$L$92*'Plan mensual'!D284+parametros_recargas!$M$92*'Plan mensual'!D286</f>
        <v>17566.3245885896</v>
      </c>
      <c r="C274" s="26" t="n">
        <f aca="false">parametros_recargas!$E$92*'Plan mensual'!E277+parametros_recargas!$F$92*'Plan mensual'!E278+parametros_recargas!$G$92*'Plan mensual'!E279+parametros_recargas!$H$92*'Plan mensual'!E280+parametros_recargas!$I$92*'Plan mensual'!E281+parametros_recargas!$J$92*'Plan mensual'!E282+parametros_recargas!$K$92*'Plan mensual'!E283+parametros_recargas!$L$92*'Plan mensual'!E284+parametros_recargas!$M$92*'Plan mensual'!E286</f>
        <v>14991.5398798589</v>
      </c>
      <c r="D274" s="26" t="n">
        <f aca="false">parametros_recargas!$E$92*'Plan mensual'!F277+parametros_recargas!$F$92*'Plan mensual'!F278+parametros_recargas!$G$92*'Plan mensual'!F279+parametros_recargas!$H$92*'Plan mensual'!F280+parametros_recargas!$I$92*'Plan mensual'!F281+parametros_recargas!$J$92*'Plan mensual'!F282+parametros_recargas!$K$92*'Plan mensual'!F283+parametros_recargas!$L$92*'Plan mensual'!F284+parametros_recargas!$M$92*'Plan mensual'!F286</f>
        <v>13746.5750009455</v>
      </c>
      <c r="E274" s="26" t="n">
        <f aca="false">parametros_recargas!$E$92*'Plan mensual'!G277+parametros_recargas!$F$92*'Plan mensual'!G278+parametros_recargas!$G$92*'Plan mensual'!G279+parametros_recargas!$H$92*'Plan mensual'!G280+parametros_recargas!$I$92*'Plan mensual'!G281+parametros_recargas!$J$92*'Plan mensual'!G282+parametros_recargas!$K$92*'Plan mensual'!G283+parametros_recargas!$L$92*'Plan mensual'!G284+parametros_recargas!$M$92*'Plan mensual'!G286</f>
        <v>15007.2460659899</v>
      </c>
      <c r="F274" s="26" t="n">
        <f aca="false">parametros_recargas!$E$92*'Plan mensual'!H277+parametros_recargas!$F$92*'Plan mensual'!H278+parametros_recargas!$G$92*'Plan mensual'!H279+parametros_recargas!$H$92*'Plan mensual'!H280+parametros_recargas!$I$92*'Plan mensual'!H281+parametros_recargas!$J$92*'Plan mensual'!H282+parametros_recargas!$K$92*'Plan mensual'!H283+parametros_recargas!$L$92*'Plan mensual'!H284+parametros_recargas!$M$92*'Plan mensual'!H286</f>
        <v>15107.4797827211</v>
      </c>
      <c r="G274" s="26" t="n">
        <f aca="false">parametros_recargas!$E$92*'Plan mensual'!I277+parametros_recargas!$F$92*'Plan mensual'!I278+parametros_recargas!$G$92*'Plan mensual'!I279+parametros_recargas!$H$92*'Plan mensual'!I280+parametros_recargas!$I$92*'Plan mensual'!I281+parametros_recargas!$J$92*'Plan mensual'!I282+parametros_recargas!$K$92*'Plan mensual'!I283+parametros_recargas!$L$92*'Plan mensual'!I284+parametros_recargas!$M$92*'Plan mensual'!I286</f>
        <v>14970.8521625437</v>
      </c>
      <c r="H274" s="26" t="n">
        <f aca="false">parametros_recargas!$E$92*'Plan mensual'!J277+parametros_recargas!$F$92*'Plan mensual'!J278+parametros_recargas!$G$92*'Plan mensual'!J279+parametros_recargas!$H$92*'Plan mensual'!J280+parametros_recargas!$I$92*'Plan mensual'!J281+parametros_recargas!$J$92*'Plan mensual'!J282+parametros_recargas!$K$92*'Plan mensual'!J283+parametros_recargas!$L$92*'Plan mensual'!J284+parametros_recargas!$M$92*'Plan mensual'!J286</f>
        <v>13492.5948817169</v>
      </c>
      <c r="I274" s="26" t="n">
        <f aca="false">parametros_recargas!$E$92*'Plan mensual'!K277+parametros_recargas!$F$92*'Plan mensual'!K278+parametros_recargas!$G$92*'Plan mensual'!K279+parametros_recargas!$H$92*'Plan mensual'!K280+parametros_recargas!$I$92*'Plan mensual'!K281+parametros_recargas!$J$92*'Plan mensual'!K282+parametros_recargas!$K$92*'Plan mensual'!K283+parametros_recargas!$L$92*'Plan mensual'!K284+parametros_recargas!$M$92*'Plan mensual'!K286</f>
        <v>13611.4862380709</v>
      </c>
      <c r="J274" s="26" t="n">
        <f aca="false">parametros_recargas!$E$92*'Plan mensual'!L277+parametros_recargas!$F$92*'Plan mensual'!L278+parametros_recargas!$G$92*'Plan mensual'!L279+parametros_recargas!$H$92*'Plan mensual'!L280+parametros_recargas!$I$92*'Plan mensual'!L281+parametros_recargas!$J$92*'Plan mensual'!L282+parametros_recargas!$K$92*'Plan mensual'!L283+parametros_recargas!$L$92*'Plan mensual'!L284+parametros_recargas!$M$92*'Plan mensual'!L286</f>
        <v>13730.4414265539</v>
      </c>
      <c r="K274" s="26" t="n">
        <f aca="false">parametros_recargas!$E$92*'Plan mensual'!M277+parametros_recargas!$F$92*'Plan mensual'!M278+parametros_recargas!$G$92*'Plan mensual'!M279+parametros_recargas!$H$92*'Plan mensual'!M280+parametros_recargas!$I$92*'Plan mensual'!M281+parametros_recargas!$J$92*'Plan mensual'!M282+parametros_recargas!$K$92*'Plan mensual'!M283+parametros_recargas!$L$92*'Plan mensual'!M284+parametros_recargas!$M$92*'Plan mensual'!M286</f>
        <v>13729.4863801559</v>
      </c>
      <c r="L274" s="26" t="n">
        <f aca="false">parametros_recargas!$E$92*'Plan mensual'!N277+parametros_recargas!$F$92*'Plan mensual'!N278+parametros_recargas!$G$92*'Plan mensual'!N279+parametros_recargas!$H$92*'Plan mensual'!N280+parametros_recargas!$I$92*'Plan mensual'!N281+parametros_recargas!$J$92*'Plan mensual'!N282+parametros_recargas!$K$92*'Plan mensual'!N283+parametros_recargas!$L$92*'Plan mensual'!N284+parametros_recargas!$M$92*'Plan mensual'!N286</f>
        <v>16199.3261025585</v>
      </c>
      <c r="M274" s="26" t="n">
        <f aca="false">parametros_recargas!$E$92*'Plan mensual'!O277+parametros_recargas!$F$92*'Plan mensual'!O278+parametros_recargas!$G$92*'Plan mensual'!O279+parametros_recargas!$H$92*'Plan mensual'!O280+parametros_recargas!$I$92*'Plan mensual'!O281+parametros_recargas!$J$92*'Plan mensual'!O282+parametros_recargas!$K$92*'Plan mensual'!O283+parametros_recargas!$L$92*'Plan mensual'!O284+parametros_recargas!$M$92*'Plan mensual'!O286</f>
        <v>18912.6977850686</v>
      </c>
      <c r="N274" s="12" t="n">
        <f aca="false">SUM(B274:M274)</f>
        <v>181066.050294773</v>
      </c>
      <c r="O274" s="27" t="n">
        <f aca="false">MAX(B274:M274)</f>
        <v>18912.6977850686</v>
      </c>
      <c r="P274" s="16" t="n">
        <f aca="false">O274/parametros_recargas!$B$6</f>
        <v>126.084651900457</v>
      </c>
    </row>
    <row r="275" customFormat="false" ht="15" hidden="false" customHeight="false" outlineLevel="0" collapsed="false">
      <c r="A275" s="6" t="str">
        <f aca="false">parametros_recargas!$B$93</f>
        <v>Ensamblaje y presurización — zona general</v>
      </c>
      <c r="B275" s="26" t="n">
        <f aca="false">parametros_recargas!$E$93*'Plan mensual'!D277+parametros_recargas!$F$93*'Plan mensual'!D278+parametros_recargas!$G$93*'Plan mensual'!D279+parametros_recargas!$H$93*'Plan mensual'!D280+parametros_recargas!$I$93*'Plan mensual'!D281+parametros_recargas!$J$93*'Plan mensual'!D282+parametros_recargas!$K$93*'Plan mensual'!D283+parametros_recargas!$L$93*'Plan mensual'!D284+parametros_recargas!$M$93*'Plan mensual'!D286</f>
        <v>1082.43403445312</v>
      </c>
      <c r="C275" s="26" t="n">
        <f aca="false">parametros_recargas!$E$93*'Plan mensual'!E277+parametros_recargas!$F$93*'Plan mensual'!E278+parametros_recargas!$G$93*'Plan mensual'!E279+parametros_recargas!$H$93*'Plan mensual'!E280+parametros_recargas!$I$93*'Plan mensual'!E281+parametros_recargas!$J$93*'Plan mensual'!E282+parametros_recargas!$K$93*'Plan mensual'!E283+parametros_recargas!$L$93*'Plan mensual'!E284+parametros_recargas!$M$93*'Plan mensual'!E286</f>
        <v>1082.43403445312</v>
      </c>
      <c r="D275" s="26" t="n">
        <f aca="false">parametros_recargas!$E$93*'Plan mensual'!F277+parametros_recargas!$F$93*'Plan mensual'!F278+parametros_recargas!$G$93*'Plan mensual'!F279+parametros_recargas!$H$93*'Plan mensual'!F280+parametros_recargas!$I$93*'Plan mensual'!F281+parametros_recargas!$J$93*'Plan mensual'!F282+parametros_recargas!$K$93*'Plan mensual'!F283+parametros_recargas!$L$93*'Plan mensual'!F284+parametros_recargas!$M$93*'Plan mensual'!F286</f>
        <v>1263.06902147123</v>
      </c>
      <c r="E275" s="26" t="n">
        <f aca="false">parametros_recargas!$E$93*'Plan mensual'!G277+parametros_recargas!$F$93*'Plan mensual'!G278+parametros_recargas!$G$93*'Plan mensual'!G279+parametros_recargas!$H$93*'Plan mensual'!G280+parametros_recargas!$I$93*'Plan mensual'!G281+parametros_recargas!$J$93*'Plan mensual'!G282+parametros_recargas!$K$93*'Plan mensual'!G283+parametros_recargas!$L$93*'Plan mensual'!G284+parametros_recargas!$M$93*'Plan mensual'!G286</f>
        <v>1440.21078359074</v>
      </c>
      <c r="F275" s="26" t="n">
        <f aca="false">parametros_recargas!$E$93*'Plan mensual'!H277+parametros_recargas!$F$93*'Plan mensual'!H278+parametros_recargas!$G$93*'Plan mensual'!H279+parametros_recargas!$H$93*'Plan mensual'!H280+parametros_recargas!$I$93*'Plan mensual'!H281+parametros_recargas!$J$93*'Plan mensual'!H282+parametros_recargas!$K$93*'Plan mensual'!H283+parametros_recargas!$L$93*'Plan mensual'!H284+parametros_recargas!$M$93*'Plan mensual'!H286</f>
        <v>1451.35226404084</v>
      </c>
      <c r="G275" s="26" t="n">
        <f aca="false">parametros_recargas!$E$93*'Plan mensual'!I277+parametros_recargas!$F$93*'Plan mensual'!I278+parametros_recargas!$G$93*'Plan mensual'!I279+parametros_recargas!$H$93*'Plan mensual'!I280+parametros_recargas!$I$93*'Plan mensual'!I281+parametros_recargas!$J$93*'Plan mensual'!I282+parametros_recargas!$K$93*'Plan mensual'!I283+parametros_recargas!$L$93*'Plan mensual'!I284+parametros_recargas!$M$93*'Plan mensual'!I286</f>
        <v>1423.20059877627</v>
      </c>
      <c r="H275" s="26" t="n">
        <f aca="false">parametros_recargas!$E$93*'Plan mensual'!J277+parametros_recargas!$F$93*'Plan mensual'!J278+parametros_recargas!$G$93*'Plan mensual'!J279+parametros_recargas!$H$93*'Plan mensual'!J280+parametros_recargas!$I$93*'Plan mensual'!J281+parametros_recargas!$J$93*'Plan mensual'!J282+parametros_recargas!$K$93*'Plan mensual'!J283+parametros_recargas!$L$93*'Plan mensual'!J284+parametros_recargas!$M$93*'Plan mensual'!J286</f>
        <v>1217.34202328202</v>
      </c>
      <c r="I275" s="26" t="n">
        <f aca="false">parametros_recargas!$E$93*'Plan mensual'!K277+parametros_recargas!$F$93*'Plan mensual'!K278+parametros_recargas!$G$93*'Plan mensual'!K279+parametros_recargas!$H$93*'Plan mensual'!K280+parametros_recargas!$I$93*'Plan mensual'!K281+parametros_recargas!$J$93*'Plan mensual'!K282+parametros_recargas!$K$93*'Plan mensual'!K283+parametros_recargas!$L$93*'Plan mensual'!K284+parametros_recargas!$M$93*'Plan mensual'!K286</f>
        <v>1225.55542694369</v>
      </c>
      <c r="J275" s="26" t="n">
        <f aca="false">parametros_recargas!$E$93*'Plan mensual'!L277+parametros_recargas!$F$93*'Plan mensual'!L278+parametros_recargas!$G$93*'Plan mensual'!L279+parametros_recargas!$H$93*'Plan mensual'!L280+parametros_recargas!$I$93*'Plan mensual'!L281+parametros_recargas!$J$93*'Plan mensual'!L282+parametros_recargas!$K$93*'Plan mensual'!L283+parametros_recargas!$L$93*'Plan mensual'!L284+parametros_recargas!$M$93*'Plan mensual'!L286</f>
        <v>1251.79816601726</v>
      </c>
      <c r="K275" s="26" t="n">
        <f aca="false">parametros_recargas!$E$93*'Plan mensual'!M277+parametros_recargas!$F$93*'Plan mensual'!M278+parametros_recargas!$G$93*'Plan mensual'!M279+parametros_recargas!$H$93*'Plan mensual'!M280+parametros_recargas!$I$93*'Plan mensual'!M281+parametros_recargas!$J$93*'Plan mensual'!M282+parametros_recargas!$K$93*'Plan mensual'!M283+parametros_recargas!$L$93*'Plan mensual'!M284+parametros_recargas!$M$93*'Plan mensual'!M286</f>
        <v>1251.79816601726</v>
      </c>
      <c r="L275" s="26" t="n">
        <f aca="false">parametros_recargas!$E$93*'Plan mensual'!N277+parametros_recargas!$F$93*'Plan mensual'!N278+parametros_recargas!$G$93*'Plan mensual'!N279+parametros_recargas!$H$93*'Plan mensual'!N280+parametros_recargas!$I$93*'Plan mensual'!N281+parametros_recargas!$J$93*'Plan mensual'!N282+parametros_recargas!$K$93*'Plan mensual'!N283+parametros_recargas!$L$93*'Plan mensual'!N284+parametros_recargas!$M$93*'Plan mensual'!N286</f>
        <v>1240.65668556716</v>
      </c>
      <c r="M275" s="26" t="n">
        <f aca="false">parametros_recargas!$E$93*'Plan mensual'!O277+parametros_recargas!$F$93*'Plan mensual'!O278+parametros_recargas!$G$93*'Plan mensual'!O279+parametros_recargas!$H$93*'Plan mensual'!O280+parametros_recargas!$I$93*'Plan mensual'!O281+parametros_recargas!$J$93*'Plan mensual'!O282+parametros_recargas!$K$93*'Plan mensual'!O283+parametros_recargas!$L$93*'Plan mensual'!O284+parametros_recargas!$M$93*'Plan mensual'!O286</f>
        <v>1268.80835083173</v>
      </c>
      <c r="N275" s="12" t="n">
        <f aca="false">SUM(B275:M275)</f>
        <v>15198.6595554444</v>
      </c>
      <c r="O275" s="27" t="n">
        <f aca="false">MAX(B275:M275)</f>
        <v>1451.35226404084</v>
      </c>
      <c r="P275" s="16" t="n">
        <f aca="false">O275/parametros_recargas!$B$6</f>
        <v>9.67568176027226</v>
      </c>
    </row>
    <row r="276" customFormat="false" ht="15" hidden="false" customHeight="false" outlineLevel="0" collapsed="false">
      <c r="A276" s="6" t="str">
        <f aca="false">parametros_recargas!$B$94</f>
        <v>Control de peso (CO₂ y halogenados sin recarga)</v>
      </c>
      <c r="B276" s="26" t="n">
        <f aca="false">parametros_recargas!$E$94*'Plan mensual'!D277+parametros_recargas!$F$94*'Plan mensual'!D278+parametros_recargas!$G$94*'Plan mensual'!D279+parametros_recargas!$H$94*'Plan mensual'!D280+parametros_recargas!$I$94*'Plan mensual'!D281+parametros_recargas!$J$94*'Plan mensual'!D282+parametros_recargas!$K$94*'Plan mensual'!D283+parametros_recargas!$L$94*'Plan mensual'!D284+parametros_recargas!$M$94*'Plan mensual'!D286</f>
        <v>717.644541954169</v>
      </c>
      <c r="C276" s="26" t="n">
        <f aca="false">parametros_recargas!$E$94*'Plan mensual'!E277+parametros_recargas!$F$94*'Plan mensual'!E278+parametros_recargas!$G$94*'Plan mensual'!E279+parametros_recargas!$H$94*'Plan mensual'!E280+parametros_recargas!$I$94*'Plan mensual'!E281+parametros_recargas!$J$94*'Plan mensual'!E282+parametros_recargas!$K$94*'Plan mensual'!E283+parametros_recargas!$L$94*'Plan mensual'!E284+parametros_recargas!$M$94*'Plan mensual'!E286</f>
        <v>717.644541954169</v>
      </c>
      <c r="D276" s="26" t="n">
        <f aca="false">parametros_recargas!$E$94*'Plan mensual'!F277+parametros_recargas!$F$94*'Plan mensual'!F278+parametros_recargas!$G$94*'Plan mensual'!F279+parametros_recargas!$H$94*'Plan mensual'!F280+parametros_recargas!$I$94*'Plan mensual'!F281+parametros_recargas!$J$94*'Plan mensual'!F282+parametros_recargas!$K$94*'Plan mensual'!F283+parametros_recargas!$L$94*'Plan mensual'!F284+parametros_recargas!$M$94*'Plan mensual'!F286</f>
        <v>894.701513383052</v>
      </c>
      <c r="E276" s="26" t="n">
        <f aca="false">parametros_recargas!$E$94*'Plan mensual'!G277+parametros_recargas!$F$94*'Plan mensual'!G278+parametros_recargas!$G$94*'Plan mensual'!G279+parametros_recargas!$H$94*'Plan mensual'!G280+parametros_recargas!$I$94*'Plan mensual'!G281+parametros_recargas!$J$94*'Plan mensual'!G282+parametros_recargas!$K$94*'Plan mensual'!G283+parametros_recargas!$L$94*'Plan mensual'!G284+parametros_recargas!$M$94*'Plan mensual'!G286</f>
        <v>1070.99370821569</v>
      </c>
      <c r="F276" s="26" t="n">
        <f aca="false">parametros_recargas!$E$94*'Plan mensual'!H277+parametros_recargas!$F$94*'Plan mensual'!H278+parametros_recargas!$G$94*'Plan mensual'!H279+parametros_recargas!$H$94*'Plan mensual'!H280+parametros_recargas!$I$94*'Plan mensual'!H281+parametros_recargas!$J$94*'Plan mensual'!H282+parametros_recargas!$K$94*'Plan mensual'!H283+parametros_recargas!$L$94*'Plan mensual'!H284+parametros_recargas!$M$94*'Plan mensual'!H286</f>
        <v>1078.18173159837</v>
      </c>
      <c r="G276" s="26" t="n">
        <f aca="false">parametros_recargas!$E$94*'Plan mensual'!I277+parametros_recargas!$F$94*'Plan mensual'!I278+parametros_recargas!$G$94*'Plan mensual'!I279+parametros_recargas!$H$94*'Plan mensual'!I280+parametros_recargas!$I$94*'Plan mensual'!I281+parametros_recargas!$J$94*'Plan mensual'!I282+parametros_recargas!$K$94*'Plan mensual'!I283+parametros_recargas!$L$94*'Plan mensual'!I284+parametros_recargas!$M$94*'Plan mensual'!I286</f>
        <v>1054.46688342003</v>
      </c>
      <c r="H276" s="26" t="n">
        <f aca="false">parametros_recargas!$E$94*'Plan mensual'!J277+parametros_recargas!$F$94*'Plan mensual'!J278+parametros_recargas!$G$94*'Plan mensual'!J279+parametros_recargas!$H$94*'Plan mensual'!J280+parametros_recargas!$I$94*'Plan mensual'!J281+parametros_recargas!$J$94*'Plan mensual'!J282+parametros_recargas!$K$94*'Plan mensual'!J283+parametros_recargas!$L$94*'Plan mensual'!J284+parametros_recargas!$M$94*'Plan mensual'!J286</f>
        <v>859.962084579007</v>
      </c>
      <c r="I276" s="26" t="n">
        <f aca="false">parametros_recargas!$E$94*'Plan mensual'!K277+parametros_recargas!$F$94*'Plan mensual'!K278+parametros_recargas!$G$94*'Plan mensual'!K279+parametros_recargas!$H$94*'Plan mensual'!K280+parametros_recargas!$I$94*'Plan mensual'!K281+parametros_recargas!$J$94*'Plan mensual'!K282+parametros_recargas!$K$94*'Plan mensual'!K283+parametros_recargas!$L$94*'Plan mensual'!K284+parametros_recargas!$M$94*'Plan mensual'!K286</f>
        <v>860.883087195485</v>
      </c>
      <c r="J276" s="26" t="n">
        <f aca="false">parametros_recargas!$E$94*'Plan mensual'!L277+parametros_recargas!$F$94*'Plan mensual'!L278+parametros_recargas!$G$94*'Plan mensual'!L279+parametros_recargas!$H$94*'Plan mensual'!L280+parametros_recargas!$I$94*'Plan mensual'!L281+parametros_recargas!$J$94*'Plan mensual'!L282+parametros_recargas!$K$94*'Plan mensual'!L283+parametros_recargas!$L$94*'Plan mensual'!L284+parametros_recargas!$M$94*'Plan mensual'!L286</f>
        <v>882.193313647362</v>
      </c>
      <c r="K276" s="26" t="n">
        <f aca="false">parametros_recargas!$E$94*'Plan mensual'!M277+parametros_recargas!$F$94*'Plan mensual'!M278+parametros_recargas!$G$94*'Plan mensual'!M279+parametros_recargas!$H$94*'Plan mensual'!M280+parametros_recargas!$I$94*'Plan mensual'!M281+parametros_recargas!$J$94*'Plan mensual'!M282+parametros_recargas!$K$94*'Plan mensual'!M283+parametros_recargas!$L$94*'Plan mensual'!M284+parametros_recargas!$M$94*'Plan mensual'!M286</f>
        <v>882.193313647362</v>
      </c>
      <c r="L276" s="26" t="n">
        <f aca="false">parametros_recargas!$E$94*'Plan mensual'!N277+parametros_recargas!$F$94*'Plan mensual'!N278+parametros_recargas!$G$94*'Plan mensual'!N279+parametros_recargas!$H$94*'Plan mensual'!N280+parametros_recargas!$I$94*'Plan mensual'!N281+parametros_recargas!$J$94*'Plan mensual'!N282+parametros_recargas!$K$94*'Plan mensual'!N283+parametros_recargas!$L$94*'Plan mensual'!N284+parametros_recargas!$M$94*'Plan mensual'!N286</f>
        <v>875.005290264689</v>
      </c>
      <c r="M276" s="26" t="n">
        <f aca="false">parametros_recargas!$E$94*'Plan mensual'!O277+parametros_recargas!$F$94*'Plan mensual'!O278+parametros_recargas!$G$94*'Plan mensual'!O279+parametros_recargas!$H$94*'Plan mensual'!O280+parametros_recargas!$I$94*'Plan mensual'!O281+parametros_recargas!$J$94*'Plan mensual'!O282+parametros_recargas!$K$94*'Plan mensual'!O283+parametros_recargas!$L$94*'Plan mensual'!O284+parametros_recargas!$M$94*'Plan mensual'!O286</f>
        <v>898.720138443024</v>
      </c>
      <c r="N276" s="12" t="n">
        <f aca="false">SUM(B276:M276)</f>
        <v>10792.5901483024</v>
      </c>
      <c r="O276" s="27" t="n">
        <f aca="false">MAX(B276:M276)</f>
        <v>1078.18173159837</v>
      </c>
      <c r="P276" s="16" t="n">
        <f aca="false">O276/parametros_recargas!$B$6</f>
        <v>7.18787821065577</v>
      </c>
    </row>
    <row r="277" customFormat="false" ht="15" hidden="false" customHeight="false" outlineLevel="0" collapsed="false">
      <c r="A277" s="6" t="str">
        <f aca="false">parametros_recargas!$B$95</f>
        <v>Ensayo de pérdidas</v>
      </c>
      <c r="B277" s="26" t="n">
        <f aca="false">parametros_recargas!$E$95*'Plan mensual'!D277+parametros_recargas!$F$95*'Plan mensual'!D278+parametros_recargas!$G$95*'Plan mensual'!D279+parametros_recargas!$H$95*'Plan mensual'!D280+parametros_recargas!$I$95*'Plan mensual'!D281+parametros_recargas!$J$95*'Plan mensual'!D282+parametros_recargas!$K$95*'Plan mensual'!D283+parametros_recargas!$L$95*'Plan mensual'!D284+parametros_recargas!$M$95*'Plan mensual'!D286</f>
        <v>19418.6747333742</v>
      </c>
      <c r="C277" s="26" t="n">
        <f aca="false">parametros_recargas!$E$95*'Plan mensual'!E277+parametros_recargas!$F$95*'Plan mensual'!E278+parametros_recargas!$G$95*'Plan mensual'!E279+parametros_recargas!$H$95*'Plan mensual'!E280+parametros_recargas!$I$95*'Plan mensual'!E281+parametros_recargas!$J$95*'Plan mensual'!E282+parametros_recargas!$K$95*'Plan mensual'!E283+parametros_recargas!$L$95*'Plan mensual'!E284+parametros_recargas!$M$95*'Plan mensual'!E286</f>
        <v>16843.8900246435</v>
      </c>
      <c r="D277" s="26" t="n">
        <f aca="false">parametros_recargas!$E$95*'Plan mensual'!F277+parametros_recargas!$F$95*'Plan mensual'!F278+parametros_recargas!$G$95*'Plan mensual'!F279+parametros_recargas!$H$95*'Plan mensual'!F280+parametros_recargas!$I$95*'Plan mensual'!F281+parametros_recargas!$J$95*'Plan mensual'!F282+parametros_recargas!$K$95*'Plan mensual'!F283+parametros_recargas!$L$95*'Plan mensual'!F284+parametros_recargas!$M$95*'Plan mensual'!F286</f>
        <v>15970.4240273743</v>
      </c>
      <c r="E277" s="26" t="n">
        <f aca="false">parametros_recargas!$E$95*'Plan mensual'!G277+parametros_recargas!$F$95*'Plan mensual'!G278+parametros_recargas!$G$95*'Plan mensual'!G279+parametros_recargas!$H$95*'Plan mensual'!G280+parametros_recargas!$I$95*'Plan mensual'!G281+parametros_recargas!$J$95*'Plan mensual'!G282+parametros_recargas!$K$95*'Plan mensual'!G283+parametros_recargas!$L$95*'Plan mensual'!G284+parametros_recargas!$M$95*'Plan mensual'!G286</f>
        <v>17598.089987435</v>
      </c>
      <c r="F277" s="26" t="n">
        <f aca="false">parametros_recargas!$E$95*'Plan mensual'!H277+parametros_recargas!$F$95*'Plan mensual'!H278+parametros_recargas!$G$95*'Plan mensual'!H279+parametros_recargas!$H$95*'Plan mensual'!H280+parametros_recargas!$I$95*'Plan mensual'!H281+parametros_recargas!$J$95*'Plan mensual'!H282+parametros_recargas!$K$95*'Plan mensual'!H283+parametros_recargas!$L$95*'Plan mensual'!H284+parametros_recargas!$M$95*'Plan mensual'!H286</f>
        <v>17717.2061328745</v>
      </c>
      <c r="G277" s="26" t="n">
        <f aca="false">parametros_recargas!$E$95*'Plan mensual'!I277+parametros_recargas!$F$95*'Plan mensual'!I278+parametros_recargas!$G$95*'Plan mensual'!I279+parametros_recargas!$H$95*'Plan mensual'!I280+parametros_recargas!$I$95*'Plan mensual'!I281+parametros_recargas!$J$95*'Plan mensual'!I282+parametros_recargas!$K$95*'Plan mensual'!I283+parametros_recargas!$L$95*'Plan mensual'!I284+parametros_recargas!$M$95*'Plan mensual'!I286</f>
        <v>17527.0749363278</v>
      </c>
      <c r="H277" s="26" t="n">
        <f aca="false">parametros_recargas!$E$95*'Plan mensual'!J277+parametros_recargas!$F$95*'Plan mensual'!J278+parametros_recargas!$G$95*'Plan mensual'!J279+parametros_recargas!$H$95*'Plan mensual'!J280+parametros_recargas!$I$95*'Plan mensual'!J281+parametros_recargas!$J$95*'Plan mensual'!J282+parametros_recargas!$K$95*'Plan mensual'!J283+parametros_recargas!$L$95*'Plan mensual'!J284+parametros_recargas!$M$95*'Plan mensual'!J286</f>
        <v>15633.4923735626</v>
      </c>
      <c r="I277" s="26" t="n">
        <f aca="false">parametros_recargas!$E$95*'Plan mensual'!K277+parametros_recargas!$F$95*'Plan mensual'!K278+parametros_recargas!$G$95*'Plan mensual'!K279+parametros_recargas!$H$95*'Plan mensual'!K280+parametros_recargas!$I$95*'Plan mensual'!K281+parametros_recargas!$J$95*'Plan mensual'!K282+parametros_recargas!$K$95*'Plan mensual'!K283+parametros_recargas!$L$95*'Plan mensual'!K284+parametros_recargas!$M$95*'Plan mensual'!K286</f>
        <v>15761.5889825499</v>
      </c>
      <c r="J277" s="26" t="n">
        <f aca="false">parametros_recargas!$E$95*'Plan mensual'!L277+parametros_recargas!$F$95*'Plan mensual'!L278+parametros_recargas!$G$95*'Plan mensual'!L279+parametros_recargas!$H$95*'Plan mensual'!L280+parametros_recargas!$I$95*'Plan mensual'!L281+parametros_recargas!$J$95*'Plan mensual'!L282+parametros_recargas!$K$95*'Plan mensual'!L283+parametros_recargas!$L$95*'Plan mensual'!L284+parametros_recargas!$M$95*'Plan mensual'!L286</f>
        <v>15929.5492285826</v>
      </c>
      <c r="K277" s="26" t="n">
        <f aca="false">parametros_recargas!$E$95*'Plan mensual'!M277+parametros_recargas!$F$95*'Plan mensual'!M278+parametros_recargas!$G$95*'Plan mensual'!M279+parametros_recargas!$H$95*'Plan mensual'!M280+parametros_recargas!$I$95*'Plan mensual'!M281+parametros_recargas!$J$95*'Plan mensual'!M282+parametros_recargas!$K$95*'Plan mensual'!M283+parametros_recargas!$L$95*'Plan mensual'!M284+parametros_recargas!$M$95*'Plan mensual'!M286</f>
        <v>15928.5941821847</v>
      </c>
      <c r="L277" s="26" t="n">
        <f aca="false">parametros_recargas!$E$95*'Plan mensual'!N277+parametros_recargas!$F$95*'Plan mensual'!N278+parametros_recargas!$G$95*'Plan mensual'!N279+parametros_recargas!$H$95*'Plan mensual'!N280+parametros_recargas!$I$95*'Plan mensual'!N281+parametros_recargas!$J$95*'Plan mensual'!N282+parametros_recargas!$K$95*'Plan mensual'!N283+parametros_recargas!$L$95*'Plan mensual'!N284+parametros_recargas!$M$95*'Plan mensual'!N286</f>
        <v>18379.5514758789</v>
      </c>
      <c r="M277" s="26" t="n">
        <f aca="false">parametros_recargas!$E$95*'Plan mensual'!O277+parametros_recargas!$F$95*'Plan mensual'!O278+parametros_recargas!$G$95*'Plan mensual'!O279+parametros_recargas!$H$95*'Plan mensual'!O280+parametros_recargas!$I$95*'Plan mensual'!O281+parametros_recargas!$J$95*'Plan mensual'!O282+parametros_recargas!$K$95*'Plan mensual'!O283+parametros_recargas!$L$95*'Plan mensual'!O284+parametros_recargas!$M$95*'Plan mensual'!O286</f>
        <v>21146.4267347583</v>
      </c>
      <c r="N277" s="12" t="n">
        <f aca="false">SUM(B277:M277)</f>
        <v>207854.562819546</v>
      </c>
      <c r="O277" s="27" t="n">
        <f aca="false">MAX(B277:M277)</f>
        <v>21146.4267347583</v>
      </c>
      <c r="P277" s="16" t="n">
        <f aca="false">O277/parametros_recargas!$B$6</f>
        <v>140.976178231722</v>
      </c>
    </row>
    <row r="278" customFormat="false" ht="15" hidden="false" customHeight="false" outlineLevel="0" collapsed="false">
      <c r="A278" s="6" t="str">
        <f aca="false">parametros_recargas!$B$96</f>
        <v>Precinto, etiqueta y despacho</v>
      </c>
      <c r="B278" s="26" t="n">
        <f aca="false">parametros_recargas!$E$96*'Plan mensual'!D277+parametros_recargas!$F$96*'Plan mensual'!D278+parametros_recargas!$G$96*'Plan mensual'!D279+parametros_recargas!$H$96*'Plan mensual'!D280+parametros_recargas!$I$96*'Plan mensual'!D281+parametros_recargas!$J$96*'Plan mensual'!D282+parametros_recargas!$K$96*'Plan mensual'!D283+parametros_recargas!$L$96*'Plan mensual'!D284+parametros_recargas!$M$96*'Plan mensual'!D286</f>
        <v>19418.6747333742</v>
      </c>
      <c r="C278" s="26" t="n">
        <f aca="false">parametros_recargas!$E$96*'Plan mensual'!E277+parametros_recargas!$F$96*'Plan mensual'!E278+parametros_recargas!$G$96*'Plan mensual'!E279+parametros_recargas!$H$96*'Plan mensual'!E280+parametros_recargas!$I$96*'Plan mensual'!E281+parametros_recargas!$J$96*'Plan mensual'!E282+parametros_recargas!$K$96*'Plan mensual'!E283+parametros_recargas!$L$96*'Plan mensual'!E284+parametros_recargas!$M$96*'Plan mensual'!E286</f>
        <v>16843.8900246435</v>
      </c>
      <c r="D278" s="26" t="n">
        <f aca="false">parametros_recargas!$E$96*'Plan mensual'!F277+parametros_recargas!$F$96*'Plan mensual'!F278+parametros_recargas!$G$96*'Plan mensual'!F279+parametros_recargas!$H$96*'Plan mensual'!F280+parametros_recargas!$I$96*'Plan mensual'!F281+parametros_recargas!$J$96*'Plan mensual'!F282+parametros_recargas!$K$96*'Plan mensual'!F283+parametros_recargas!$L$96*'Plan mensual'!F284+parametros_recargas!$M$96*'Plan mensual'!F286</f>
        <v>15970.4240273743</v>
      </c>
      <c r="E278" s="26" t="n">
        <f aca="false">parametros_recargas!$E$96*'Plan mensual'!G277+parametros_recargas!$F$96*'Plan mensual'!G278+parametros_recargas!$G$96*'Plan mensual'!G279+parametros_recargas!$H$96*'Plan mensual'!G280+parametros_recargas!$I$96*'Plan mensual'!G281+parametros_recargas!$J$96*'Plan mensual'!G282+parametros_recargas!$K$96*'Plan mensual'!G283+parametros_recargas!$L$96*'Plan mensual'!G284+parametros_recargas!$M$96*'Plan mensual'!G286</f>
        <v>17598.089987435</v>
      </c>
      <c r="F278" s="26" t="n">
        <f aca="false">parametros_recargas!$E$96*'Plan mensual'!H277+parametros_recargas!$F$96*'Plan mensual'!H278+parametros_recargas!$G$96*'Plan mensual'!H279+parametros_recargas!$H$96*'Plan mensual'!H280+parametros_recargas!$I$96*'Plan mensual'!H281+parametros_recargas!$J$96*'Plan mensual'!H282+parametros_recargas!$K$96*'Plan mensual'!H283+parametros_recargas!$L$96*'Plan mensual'!H284+parametros_recargas!$M$96*'Plan mensual'!H286</f>
        <v>17717.2061328745</v>
      </c>
      <c r="G278" s="26" t="n">
        <f aca="false">parametros_recargas!$E$96*'Plan mensual'!I277+parametros_recargas!$F$96*'Plan mensual'!I278+parametros_recargas!$G$96*'Plan mensual'!I279+parametros_recargas!$H$96*'Plan mensual'!I280+parametros_recargas!$I$96*'Plan mensual'!I281+parametros_recargas!$J$96*'Plan mensual'!I282+parametros_recargas!$K$96*'Plan mensual'!I283+parametros_recargas!$L$96*'Plan mensual'!I284+parametros_recargas!$M$96*'Plan mensual'!I286</f>
        <v>17527.0749363278</v>
      </c>
      <c r="H278" s="26" t="n">
        <f aca="false">parametros_recargas!$E$96*'Plan mensual'!J277+parametros_recargas!$F$96*'Plan mensual'!J278+parametros_recargas!$G$96*'Plan mensual'!J279+parametros_recargas!$H$96*'Plan mensual'!J280+parametros_recargas!$I$96*'Plan mensual'!J281+parametros_recargas!$J$96*'Plan mensual'!J282+parametros_recargas!$K$96*'Plan mensual'!J283+parametros_recargas!$L$96*'Plan mensual'!J284+parametros_recargas!$M$96*'Plan mensual'!J286</f>
        <v>15633.4923735626</v>
      </c>
      <c r="I278" s="26" t="n">
        <f aca="false">parametros_recargas!$E$96*'Plan mensual'!K277+parametros_recargas!$F$96*'Plan mensual'!K278+parametros_recargas!$G$96*'Plan mensual'!K279+parametros_recargas!$H$96*'Plan mensual'!K280+parametros_recargas!$I$96*'Plan mensual'!K281+parametros_recargas!$J$96*'Plan mensual'!K282+parametros_recargas!$K$96*'Plan mensual'!K283+parametros_recargas!$L$96*'Plan mensual'!K284+parametros_recargas!$M$96*'Plan mensual'!K286</f>
        <v>15761.5889825499</v>
      </c>
      <c r="J278" s="26" t="n">
        <f aca="false">parametros_recargas!$E$96*'Plan mensual'!L277+parametros_recargas!$F$96*'Plan mensual'!L278+parametros_recargas!$G$96*'Plan mensual'!L279+parametros_recargas!$H$96*'Plan mensual'!L280+parametros_recargas!$I$96*'Plan mensual'!L281+parametros_recargas!$J$96*'Plan mensual'!L282+parametros_recargas!$K$96*'Plan mensual'!L283+parametros_recargas!$L$96*'Plan mensual'!L284+parametros_recargas!$M$96*'Plan mensual'!L286</f>
        <v>15929.5492285826</v>
      </c>
      <c r="K278" s="26" t="n">
        <f aca="false">parametros_recargas!$E$96*'Plan mensual'!M277+parametros_recargas!$F$96*'Plan mensual'!M278+parametros_recargas!$G$96*'Plan mensual'!M279+parametros_recargas!$H$96*'Plan mensual'!M280+parametros_recargas!$I$96*'Plan mensual'!M281+parametros_recargas!$J$96*'Plan mensual'!M282+parametros_recargas!$K$96*'Plan mensual'!M283+parametros_recargas!$L$96*'Plan mensual'!M284+parametros_recargas!$M$96*'Plan mensual'!M286</f>
        <v>15928.5941821847</v>
      </c>
      <c r="L278" s="26" t="n">
        <f aca="false">parametros_recargas!$E$96*'Plan mensual'!N277+parametros_recargas!$F$96*'Plan mensual'!N278+parametros_recargas!$G$96*'Plan mensual'!N279+parametros_recargas!$H$96*'Plan mensual'!N280+parametros_recargas!$I$96*'Plan mensual'!N281+parametros_recargas!$J$96*'Plan mensual'!N282+parametros_recargas!$K$96*'Plan mensual'!N283+parametros_recargas!$L$96*'Plan mensual'!N284+parametros_recargas!$M$96*'Plan mensual'!N286</f>
        <v>18379.5514758789</v>
      </c>
      <c r="M278" s="26" t="n">
        <f aca="false">parametros_recargas!$E$96*'Plan mensual'!O277+parametros_recargas!$F$96*'Plan mensual'!O278+parametros_recargas!$G$96*'Plan mensual'!O279+parametros_recargas!$H$96*'Plan mensual'!O280+parametros_recargas!$I$96*'Plan mensual'!O281+parametros_recargas!$J$96*'Plan mensual'!O282+parametros_recargas!$K$96*'Plan mensual'!O283+parametros_recargas!$L$96*'Plan mensual'!O284+parametros_recargas!$M$96*'Plan mensual'!O286</f>
        <v>21146.4267347583</v>
      </c>
      <c r="N278" s="12" t="n">
        <f aca="false">SUM(B278:M278)</f>
        <v>207854.562819546</v>
      </c>
      <c r="O278" s="27" t="n">
        <f aca="false">MAX(B278:M278)</f>
        <v>21146.4267347583</v>
      </c>
      <c r="P278" s="16" t="n">
        <f aca="false">O278/parametros_recargas!$B$6</f>
        <v>140.976178231722</v>
      </c>
    </row>
    <row r="279" customFormat="false" ht="15" hidden="false" customHeight="false" outlineLevel="0" collapsed="false">
      <c r="A279" s="6" t="str">
        <f aca="false">parametros_recargas!$B$97</f>
        <v>Inutilización y disposición final</v>
      </c>
      <c r="B279" s="26" t="n">
        <f aca="false">parametros_recargas!$E$97*'Plan mensual'!D277+parametros_recargas!$F$97*'Plan mensual'!D278+parametros_recargas!$G$97*'Plan mensual'!D279+parametros_recargas!$H$97*'Plan mensual'!D280+parametros_recargas!$I$97*'Plan mensual'!D281+parametros_recargas!$J$97*'Plan mensual'!D282+parametros_recargas!$K$97*'Plan mensual'!D283+parametros_recargas!$L$97*'Plan mensual'!D284+parametros_recargas!$M$97*'Plan mensual'!D286</f>
        <v>1534.75037899355</v>
      </c>
      <c r="C279" s="26" t="n">
        <f aca="false">parametros_recargas!$E$97*'Plan mensual'!E277+parametros_recargas!$F$97*'Plan mensual'!E278+parametros_recargas!$G$97*'Plan mensual'!E279+parametros_recargas!$H$97*'Plan mensual'!E280+parametros_recargas!$I$97*'Plan mensual'!E281+parametros_recargas!$J$97*'Plan mensual'!E282+parametros_recargas!$K$97*'Plan mensual'!E283+parametros_recargas!$L$97*'Plan mensual'!E284+parametros_recargas!$M$97*'Plan mensual'!E286</f>
        <v>1329.01887000693</v>
      </c>
      <c r="D279" s="26" t="n">
        <f aca="false">parametros_recargas!$E$97*'Plan mensual'!F277+parametros_recargas!$F$97*'Plan mensual'!F278+parametros_recargas!$G$97*'Plan mensual'!F279+parametros_recargas!$H$97*'Plan mensual'!F280+parametros_recargas!$I$97*'Plan mensual'!F281+parametros_recargas!$J$97*'Plan mensual'!F282+parametros_recargas!$K$97*'Plan mensual'!F283+parametros_recargas!$L$97*'Plan mensual'!F284+parametros_recargas!$M$97*'Plan mensual'!F286</f>
        <v>1254.45382092524</v>
      </c>
      <c r="E279" s="26" t="n">
        <f aca="false">parametros_recargas!$E$97*'Plan mensual'!G277+parametros_recargas!$F$97*'Plan mensual'!G278+parametros_recargas!$G$97*'Plan mensual'!G279+parametros_recargas!$H$97*'Plan mensual'!G280+parametros_recargas!$I$97*'Plan mensual'!G281+parametros_recargas!$J$97*'Plan mensual'!G282+parametros_recargas!$K$97*'Plan mensual'!G283+parametros_recargas!$L$97*'Plan mensual'!G284+parametros_recargas!$M$97*'Plan mensual'!G286</f>
        <v>1380.14678504207</v>
      </c>
      <c r="F279" s="26" t="n">
        <f aca="false">parametros_recargas!$E$97*'Plan mensual'!H277+parametros_recargas!$F$97*'Plan mensual'!H278+parametros_recargas!$G$97*'Plan mensual'!H279+parametros_recargas!$H$97*'Plan mensual'!H280+parametros_recargas!$I$97*'Plan mensual'!H281+parametros_recargas!$J$97*'Plan mensual'!H282+parametros_recargas!$K$97*'Plan mensual'!H283+parametros_recargas!$L$97*'Plan mensual'!H284+parametros_recargas!$M$97*'Plan mensual'!H286</f>
        <v>1389.55005638537</v>
      </c>
      <c r="G279" s="26" t="n">
        <f aca="false">parametros_recargas!$E$97*'Plan mensual'!I277+parametros_recargas!$F$97*'Plan mensual'!I278+parametros_recargas!$G$97*'Plan mensual'!I279+parametros_recargas!$H$97*'Plan mensual'!I280+parametros_recargas!$I$97*'Plan mensual'!I281+parametros_recargas!$J$97*'Plan mensual'!I282+parametros_recargas!$K$97*'Plan mensual'!I283+parametros_recargas!$L$97*'Plan mensual'!I284+parametros_recargas!$M$97*'Plan mensual'!I286</f>
        <v>1374.9616520156</v>
      </c>
      <c r="H279" s="26" t="n">
        <f aca="false">parametros_recargas!$E$97*'Plan mensual'!J277+parametros_recargas!$F$97*'Plan mensual'!J278+parametros_recargas!$G$97*'Plan mensual'!J279+parametros_recargas!$H$97*'Plan mensual'!J280+parametros_recargas!$I$97*'Plan mensual'!J281+parametros_recargas!$J$97*'Plan mensual'!J282+parametros_recargas!$K$97*'Plan mensual'!J283+parametros_recargas!$L$97*'Plan mensual'!J284+parametros_recargas!$M$97*'Plan mensual'!J286</f>
        <v>1228.38594581694</v>
      </c>
      <c r="I279" s="26" t="n">
        <f aca="false">parametros_recargas!$E$97*'Plan mensual'!K277+parametros_recargas!$F$97*'Plan mensual'!K278+parametros_recargas!$G$97*'Plan mensual'!K279+parametros_recargas!$H$97*'Plan mensual'!K280+parametros_recargas!$I$97*'Plan mensual'!K281+parametros_recargas!$J$97*'Plan mensual'!K282+parametros_recargas!$K$97*'Plan mensual'!K283+parametros_recargas!$L$97*'Plan mensual'!K284+parametros_recargas!$M$97*'Plan mensual'!K286</f>
        <v>1238.61005908422</v>
      </c>
      <c r="J279" s="26" t="n">
        <f aca="false">parametros_recargas!$E$97*'Plan mensual'!L277+parametros_recargas!$F$97*'Plan mensual'!L278+parametros_recargas!$G$97*'Plan mensual'!L279+parametros_recargas!$H$97*'Plan mensual'!L280+parametros_recargas!$I$97*'Plan mensual'!L281+parametros_recargas!$J$97*'Plan mensual'!L282+parametros_recargas!$K$97*'Plan mensual'!L283+parametros_recargas!$L$97*'Plan mensual'!L284+parametros_recargas!$M$97*'Plan mensual'!L286</f>
        <v>1251.57190594796</v>
      </c>
      <c r="K279" s="26" t="n">
        <f aca="false">parametros_recargas!$E$97*'Plan mensual'!M277+parametros_recargas!$F$97*'Plan mensual'!M278+parametros_recargas!$G$97*'Plan mensual'!M279+parametros_recargas!$H$97*'Plan mensual'!M280+parametros_recargas!$I$97*'Plan mensual'!M281+parametros_recargas!$J$97*'Plan mensual'!M282+parametros_recargas!$K$97*'Plan mensual'!M283+parametros_recargas!$L$97*'Plan mensual'!M284+parametros_recargas!$M$97*'Plan mensual'!M286</f>
        <v>1251.57190594796</v>
      </c>
      <c r="L279" s="26" t="n">
        <f aca="false">parametros_recargas!$E$97*'Plan mensual'!N277+parametros_recargas!$F$97*'Plan mensual'!N278+parametros_recargas!$G$97*'Plan mensual'!N279+parametros_recargas!$H$97*'Plan mensual'!N280+parametros_recargas!$I$97*'Plan mensual'!N281+parametros_recargas!$J$97*'Plan mensual'!N282+parametros_recargas!$K$97*'Plan mensual'!N283+parametros_recargas!$L$97*'Plan mensual'!N284+parametros_recargas!$M$97*'Plan mensual'!N286</f>
        <v>1447.90014359128</v>
      </c>
      <c r="M279" s="26" t="n">
        <f aca="false">parametros_recargas!$E$97*'Plan mensual'!O277+parametros_recargas!$F$97*'Plan mensual'!O278+parametros_recargas!$G$97*'Plan mensual'!O279+parametros_recargas!$H$97*'Plan mensual'!O280+parametros_recargas!$I$97*'Plan mensual'!O281+parametros_recargas!$J$97*'Plan mensual'!O282+parametros_recargas!$K$97*'Plan mensual'!O283+parametros_recargas!$L$97*'Plan mensual'!O284+parametros_recargas!$M$97*'Plan mensual'!O286</f>
        <v>1668.22005694766</v>
      </c>
      <c r="N279" s="12" t="n">
        <f aca="false">SUM(B279:M279)</f>
        <v>16349.1415807048</v>
      </c>
      <c r="O279" s="27" t="n">
        <f aca="false">MAX(B279:M279)</f>
        <v>1668.22005694766</v>
      </c>
      <c r="P279" s="16" t="n">
        <f aca="false">O279/parametros_recargas!$B$6</f>
        <v>11.1214670463177</v>
      </c>
    </row>
    <row r="280" customFormat="false" ht="15" hidden="false" customHeight="false" outlineLevel="0" collapsed="false">
      <c r="A280" s="6" t="str">
        <f aca="false">parametros_recargas!$B$98</f>
        <v>PH de mangueras (CO₂ y rodantes)</v>
      </c>
      <c r="B280" s="26" t="n">
        <f aca="false">'Plan mensual'!D285</f>
        <v>505.701275374411</v>
      </c>
      <c r="C280" s="26" t="n">
        <f aca="false">'Plan mensual'!E285</f>
        <v>505.701275374411</v>
      </c>
      <c r="D280" s="26" t="n">
        <f aca="false">'Plan mensual'!F285</f>
        <v>549.64950344129</v>
      </c>
      <c r="E280" s="26" t="n">
        <f aca="false">'Plan mensual'!G285</f>
        <v>609.461135585154</v>
      </c>
      <c r="F280" s="26" t="n">
        <f aca="false">'Plan mensual'!H285</f>
        <v>616.586828693801</v>
      </c>
      <c r="G280" s="26" t="n">
        <f aca="false">'Plan mensual'!I285</f>
        <v>591.353309291649</v>
      </c>
      <c r="H280" s="26" t="n">
        <f aca="false">'Plan mensual'!J285</f>
        <v>523.566915903638</v>
      </c>
      <c r="I280" s="26" t="n">
        <f aca="false">'Plan mensual'!K285</f>
        <v>529.297254931264</v>
      </c>
      <c r="J280" s="26" t="n">
        <f aca="false">'Plan mensual'!L285</f>
        <v>550.831356292713</v>
      </c>
      <c r="K280" s="26" t="n">
        <f aca="false">'Plan mensual'!M285</f>
        <v>550.831356292713</v>
      </c>
      <c r="L280" s="26" t="n">
        <f aca="false">'Plan mensual'!N285</f>
        <v>543.705663184066</v>
      </c>
      <c r="M280" s="26" t="n">
        <f aca="false">'Plan mensual'!O285</f>
        <v>568.939182586218</v>
      </c>
      <c r="N280" s="12" t="n">
        <f aca="false">SUM(B280:M280)</f>
        <v>6645.62505695133</v>
      </c>
      <c r="O280" s="27" t="n">
        <f aca="false">MAX(B280:M280)</f>
        <v>616.586828693801</v>
      </c>
      <c r="P280" s="16" t="n">
        <f aca="false">O280/parametros_recargas!$B$6</f>
        <v>4.11057885795867</v>
      </c>
    </row>
    <row r="289" customFormat="false" ht="23.85" hidden="false" customHeight="false" outlineLevel="0" collapsed="false">
      <c r="A289" s="3" t="s">
        <v>401</v>
      </c>
      <c r="B289" s="3" t="s">
        <v>64</v>
      </c>
      <c r="C289" s="3" t="s">
        <v>65</v>
      </c>
      <c r="D289" s="3" t="s">
        <v>66</v>
      </c>
      <c r="E289" s="3" t="s">
        <v>67</v>
      </c>
      <c r="F289" s="3" t="s">
        <v>68</v>
      </c>
      <c r="G289" s="3" t="s">
        <v>69</v>
      </c>
      <c r="H289" s="3" t="s">
        <v>70</v>
      </c>
      <c r="I289" s="3" t="s">
        <v>71</v>
      </c>
      <c r="J289" s="3" t="s">
        <v>72</v>
      </c>
      <c r="K289" s="3" t="s">
        <v>73</v>
      </c>
      <c r="L289" s="3" t="s">
        <v>74</v>
      </c>
      <c r="M289" s="3" t="s">
        <v>75</v>
      </c>
      <c r="N289" s="3" t="s">
        <v>390</v>
      </c>
      <c r="O289" s="3" t="s">
        <v>391</v>
      </c>
      <c r="P289" s="3" t="s">
        <v>392</v>
      </c>
    </row>
    <row r="290" customFormat="false" ht="15" hidden="false" customHeight="false" outlineLevel="0" collapsed="false">
      <c r="A290" s="6" t="str">
        <f aca="false">parametros_recargas!$B$76</f>
        <v>Recepción y registro</v>
      </c>
      <c r="B290" s="26" t="n">
        <f aca="false">parametros_recargas!$E$76*'Plan mensual'!D309+parametros_recargas!$F$76*'Plan mensual'!D310+parametros_recargas!$G$76*'Plan mensual'!D311+parametros_recargas!$H$76*'Plan mensual'!D312+parametros_recargas!$I$76*'Plan mensual'!D313+parametros_recargas!$J$76*'Plan mensual'!D314+parametros_recargas!$K$76*'Plan mensual'!D315+parametros_recargas!$L$76*'Plan mensual'!D316+parametros_recargas!$M$76*'Plan mensual'!D318</f>
        <v>20804.9302011855</v>
      </c>
      <c r="C290" s="26" t="n">
        <f aca="false">parametros_recargas!$E$76*'Plan mensual'!E309+parametros_recargas!$F$76*'Plan mensual'!E310+parametros_recargas!$G$76*'Plan mensual'!E311+parametros_recargas!$H$76*'Plan mensual'!E312+parametros_recargas!$I$76*'Plan mensual'!E313+parametros_recargas!$J$76*'Plan mensual'!E314+parametros_recargas!$K$76*'Plan mensual'!E315+parametros_recargas!$L$76*'Plan mensual'!E316+parametros_recargas!$M$76*'Plan mensual'!E318</f>
        <v>18053.1326764228</v>
      </c>
      <c r="D290" s="26" t="n">
        <f aca="false">parametros_recargas!$E$76*'Plan mensual'!F309+parametros_recargas!$F$76*'Plan mensual'!F310+parametros_recargas!$G$76*'Plan mensual'!F311+parametros_recargas!$H$76*'Plan mensual'!F312+parametros_recargas!$I$76*'Plan mensual'!F313+parametros_recargas!$J$76*'Plan mensual'!F314+parametros_recargas!$K$76*'Plan mensual'!F315+parametros_recargas!$L$76*'Plan mensual'!F316+parametros_recargas!$M$76*'Plan mensual'!F318</f>
        <v>17130.5866041373</v>
      </c>
      <c r="E290" s="26" t="n">
        <f aca="false">parametros_recargas!$E$76*'Plan mensual'!G309+parametros_recargas!$F$76*'Plan mensual'!G310+parametros_recargas!$G$76*'Plan mensual'!G311+parametros_recargas!$H$76*'Plan mensual'!G312+parametros_recargas!$I$76*'Plan mensual'!G313+parametros_recargas!$J$76*'Plan mensual'!G314+parametros_recargas!$K$76*'Plan mensual'!G315+parametros_recargas!$L$76*'Plan mensual'!G316+parametros_recargas!$M$76*'Plan mensual'!G318</f>
        <v>18880.6919283363</v>
      </c>
      <c r="F290" s="26" t="n">
        <f aca="false">parametros_recargas!$E$76*'Plan mensual'!H309+parametros_recargas!$F$76*'Plan mensual'!H310+parametros_recargas!$G$76*'Plan mensual'!H311+parametros_recargas!$H$76*'Plan mensual'!H312+parametros_recargas!$I$76*'Plan mensual'!H313+parametros_recargas!$J$76*'Plan mensual'!H314+parametros_recargas!$K$76*'Plan mensual'!H315+parametros_recargas!$L$76*'Plan mensual'!H316+parametros_recargas!$M$76*'Plan mensual'!H318</f>
        <v>19008.931382469</v>
      </c>
      <c r="G290" s="26" t="n">
        <f aca="false">parametros_recargas!$E$76*'Plan mensual'!I309+parametros_recargas!$F$76*'Plan mensual'!I310+parametros_recargas!$G$76*'Plan mensual'!I311+parametros_recargas!$H$76*'Plan mensual'!I312+parametros_recargas!$I$76*'Plan mensual'!I313+parametros_recargas!$J$76*'Plan mensual'!I314+parametros_recargas!$K$76*'Plan mensual'!I315+parametros_recargas!$L$76*'Plan mensual'!I316+parametros_recargas!$M$76*'Plan mensual'!I318</f>
        <v>18804.1122315877</v>
      </c>
      <c r="H290" s="26" t="n">
        <f aca="false">parametros_recargas!$E$76*'Plan mensual'!J309+parametros_recargas!$F$76*'Plan mensual'!J310+parametros_recargas!$G$76*'Plan mensual'!J311+parametros_recargas!$H$76*'Plan mensual'!J312+parametros_recargas!$I$76*'Plan mensual'!J313+parametros_recargas!$J$76*'Plan mensual'!J314+parametros_recargas!$K$76*'Plan mensual'!J315+parametros_recargas!$L$76*'Plan mensual'!J316+parametros_recargas!$M$76*'Plan mensual'!J318</f>
        <v>16767.965980146</v>
      </c>
      <c r="I290" s="26" t="n">
        <f aca="false">parametros_recargas!$E$76*'Plan mensual'!K309+parametros_recargas!$F$76*'Plan mensual'!K310+parametros_recargas!$G$76*'Plan mensual'!K311+parametros_recargas!$H$76*'Plan mensual'!K312+parametros_recargas!$I$76*'Plan mensual'!K313+parametros_recargas!$J$76*'Plan mensual'!K314+parametros_recargas!$K$76*'Plan mensual'!K315+parametros_recargas!$L$76*'Plan mensual'!K316+parametros_recargas!$M$76*'Plan mensual'!K318</f>
        <v>16905.9178670753</v>
      </c>
      <c r="J290" s="26" t="n">
        <f aca="false">parametros_recargas!$E$76*'Plan mensual'!L309+parametros_recargas!$F$76*'Plan mensual'!L310+parametros_recargas!$G$76*'Plan mensual'!L311+parametros_recargas!$H$76*'Plan mensual'!L312+parametros_recargas!$I$76*'Plan mensual'!L313+parametros_recargas!$J$76*'Plan mensual'!L314+parametros_recargas!$K$76*'Plan mensual'!L315+parametros_recargas!$L$76*'Plan mensual'!L316+parametros_recargas!$M$76*'Plan mensual'!L318</f>
        <v>17086.7299271688</v>
      </c>
      <c r="K290" s="26" t="n">
        <f aca="false">parametros_recargas!$E$76*'Plan mensual'!M309+parametros_recargas!$F$76*'Plan mensual'!M310+parametros_recargas!$G$76*'Plan mensual'!M311+parametros_recargas!$H$76*'Plan mensual'!M312+parametros_recargas!$I$76*'Plan mensual'!M313+parametros_recargas!$J$76*'Plan mensual'!M314+parametros_recargas!$K$76*'Plan mensual'!M315+parametros_recargas!$L$76*'Plan mensual'!M316+parametros_recargas!$M$76*'Plan mensual'!M318</f>
        <v>17085.6183750102</v>
      </c>
      <c r="L290" s="26" t="n">
        <f aca="false">parametros_recargas!$E$76*'Plan mensual'!N309+parametros_recargas!$F$76*'Plan mensual'!N310+parametros_recargas!$G$76*'Plan mensual'!N311+parametros_recargas!$H$76*'Plan mensual'!N312+parametros_recargas!$I$76*'Plan mensual'!N313+parametros_recargas!$J$76*'Plan mensual'!N314+parametros_recargas!$K$76*'Plan mensual'!N315+parametros_recargas!$L$76*'Plan mensual'!N316+parametros_recargas!$M$76*'Plan mensual'!N318</f>
        <v>19704.1215174024</v>
      </c>
      <c r="M290" s="26" t="n">
        <f aca="false">parametros_recargas!$E$76*'Plan mensual'!O309+parametros_recargas!$F$76*'Plan mensual'!O310+parametros_recargas!$G$76*'Plan mensual'!O311+parametros_recargas!$H$76*'Plan mensual'!O312+parametros_recargas!$I$76*'Plan mensual'!O313+parametros_recargas!$J$76*'Plan mensual'!O314+parametros_recargas!$K$76*'Plan mensual'!O315+parametros_recargas!$L$76*'Plan mensual'!O316+parametros_recargas!$M$76*'Plan mensual'!O318</f>
        <v>22662.6378408879</v>
      </c>
      <c r="N290" s="12" t="n">
        <f aca="false">SUM(B290:M290)</f>
        <v>222895.376531829</v>
      </c>
      <c r="O290" s="27" t="n">
        <f aca="false">MAX(B290:M290)</f>
        <v>22662.6378408879</v>
      </c>
      <c r="P290" s="16" t="n">
        <f aca="false">O290/parametros_recargas!$B$6</f>
        <v>151.084252272586</v>
      </c>
    </row>
    <row r="291" customFormat="false" ht="15" hidden="false" customHeight="false" outlineLevel="0" collapsed="false">
      <c r="A291" s="6" t="str">
        <f aca="false">parametros_recargas!$B$77</f>
        <v>Inspección visual</v>
      </c>
      <c r="B291" s="26" t="n">
        <f aca="false">parametros_recargas!$E$77*'Plan mensual'!D309+parametros_recargas!$F$77*'Plan mensual'!D310+parametros_recargas!$G$77*'Plan mensual'!D311+parametros_recargas!$H$77*'Plan mensual'!D312+parametros_recargas!$I$77*'Plan mensual'!D313+parametros_recargas!$J$77*'Plan mensual'!D314+parametros_recargas!$K$77*'Plan mensual'!D315+parametros_recargas!$L$77*'Plan mensual'!D316+parametros_recargas!$M$77*'Plan mensual'!D318</f>
        <v>20786.8248078379</v>
      </c>
      <c r="C291" s="26" t="n">
        <f aca="false">parametros_recargas!$E$77*'Plan mensual'!E309+parametros_recargas!$F$77*'Plan mensual'!E310+parametros_recargas!$G$77*'Plan mensual'!E311+parametros_recargas!$H$77*'Plan mensual'!E312+parametros_recargas!$I$77*'Plan mensual'!E313+parametros_recargas!$J$77*'Plan mensual'!E314+parametros_recargas!$K$77*'Plan mensual'!E315+parametros_recargas!$L$77*'Plan mensual'!E316+parametros_recargas!$M$77*'Plan mensual'!E318</f>
        <v>18038.3972352337</v>
      </c>
      <c r="D291" s="26" t="n">
        <f aca="false">parametros_recargas!$E$77*'Plan mensual'!F309+parametros_recargas!$F$77*'Plan mensual'!F310+parametros_recargas!$G$77*'Plan mensual'!F311+parametros_recargas!$H$77*'Plan mensual'!F312+parametros_recargas!$I$77*'Plan mensual'!F313+parametros_recargas!$J$77*'Plan mensual'!F314+parametros_recargas!$K$77*'Plan mensual'!F315+parametros_recargas!$L$77*'Plan mensual'!F316+parametros_recargas!$M$77*'Plan mensual'!F318</f>
        <v>17114.5602347103</v>
      </c>
      <c r="E291" s="26" t="n">
        <f aca="false">parametros_recargas!$E$77*'Plan mensual'!G309+parametros_recargas!$F$77*'Plan mensual'!G310+parametros_recargas!$G$77*'Plan mensual'!G311+parametros_recargas!$H$77*'Plan mensual'!G312+parametros_recargas!$I$77*'Plan mensual'!G313+parametros_recargas!$J$77*'Plan mensual'!G314+parametros_recargas!$K$77*'Plan mensual'!G315+parametros_recargas!$L$77*'Plan mensual'!G316+parametros_recargas!$M$77*'Plan mensual'!G318</f>
        <v>18864.6655589094</v>
      </c>
      <c r="F291" s="26" t="n">
        <f aca="false">parametros_recargas!$E$77*'Plan mensual'!H309+parametros_recargas!$F$77*'Plan mensual'!H310+parametros_recargas!$G$77*'Plan mensual'!H311+parametros_recargas!$H$77*'Plan mensual'!H312+parametros_recargas!$I$77*'Plan mensual'!H313+parametros_recargas!$J$77*'Plan mensual'!H314+parametros_recargas!$K$77*'Plan mensual'!H315+parametros_recargas!$L$77*'Plan mensual'!H316+parametros_recargas!$M$77*'Plan mensual'!H318</f>
        <v>18993.6578130421</v>
      </c>
      <c r="G291" s="26" t="n">
        <f aca="false">parametros_recargas!$E$77*'Plan mensual'!I309+parametros_recargas!$F$77*'Plan mensual'!I310+parametros_recargas!$G$77*'Plan mensual'!I311+parametros_recargas!$H$77*'Plan mensual'!I312+parametros_recargas!$I$77*'Plan mensual'!I313+parametros_recargas!$J$77*'Plan mensual'!I314+parametros_recargas!$K$77*'Plan mensual'!I315+parametros_recargas!$L$77*'Plan mensual'!I316+parametros_recargas!$M$77*'Plan mensual'!I318</f>
        <v>18789.9502143193</v>
      </c>
      <c r="H291" s="26" t="n">
        <f aca="false">parametros_recargas!$E$77*'Plan mensual'!J309+parametros_recargas!$F$77*'Plan mensual'!J310+parametros_recargas!$G$77*'Plan mensual'!J311+parametros_recargas!$H$77*'Plan mensual'!J312+parametros_recargas!$I$77*'Plan mensual'!J313+parametros_recargas!$J$77*'Plan mensual'!J314+parametros_recargas!$K$77*'Plan mensual'!J315+parametros_recargas!$L$77*'Plan mensual'!J316+parametros_recargas!$M$77*'Plan mensual'!J318</f>
        <v>16752.6924107191</v>
      </c>
      <c r="I291" s="26" t="n">
        <f aca="false">parametros_recargas!$E$77*'Plan mensual'!K309+parametros_recargas!$F$77*'Plan mensual'!K310+parametros_recargas!$G$77*'Plan mensual'!K311+parametros_recargas!$H$77*'Plan mensual'!K312+parametros_recargas!$I$77*'Plan mensual'!K313+parametros_recargas!$J$77*'Plan mensual'!K314+parametros_recargas!$K$77*'Plan mensual'!K315+parametros_recargas!$L$77*'Plan mensual'!K316+parametros_recargas!$M$77*'Plan mensual'!K318</f>
        <v>16890.6442976484</v>
      </c>
      <c r="J291" s="26" t="n">
        <f aca="false">parametros_recargas!$E$77*'Plan mensual'!L309+parametros_recargas!$F$77*'Plan mensual'!L310+parametros_recargas!$G$77*'Plan mensual'!L311+parametros_recargas!$H$77*'Plan mensual'!L312+parametros_recargas!$I$77*'Plan mensual'!L313+parametros_recargas!$J$77*'Plan mensual'!L314+parametros_recargas!$K$77*'Plan mensual'!L315+parametros_recargas!$L$77*'Plan mensual'!L316+parametros_recargas!$M$77*'Plan mensual'!L318</f>
        <v>17071.6357338211</v>
      </c>
      <c r="K291" s="26" t="n">
        <f aca="false">parametros_recargas!$E$77*'Plan mensual'!M309+parametros_recargas!$F$77*'Plan mensual'!M310+parametros_recargas!$G$77*'Plan mensual'!M311+parametros_recargas!$H$77*'Plan mensual'!M312+parametros_recargas!$I$77*'Plan mensual'!M313+parametros_recargas!$J$77*'Plan mensual'!M314+parametros_recargas!$K$77*'Plan mensual'!M315+parametros_recargas!$L$77*'Plan mensual'!M316+parametros_recargas!$M$77*'Plan mensual'!M318</f>
        <v>17071.6357338211</v>
      </c>
      <c r="L291" s="26" t="n">
        <f aca="false">parametros_recargas!$E$77*'Plan mensual'!N309+parametros_recargas!$F$77*'Plan mensual'!N310+parametros_recargas!$G$77*'Plan mensual'!N311+parametros_recargas!$H$77*'Plan mensual'!N312+parametros_recargas!$I$77*'Plan mensual'!N313+parametros_recargas!$J$77*'Plan mensual'!N314+parametros_recargas!$K$77*'Plan mensual'!N315+parametros_recargas!$L$77*'Plan mensual'!N316+parametros_recargas!$M$77*'Plan mensual'!N318</f>
        <v>19691.0710522926</v>
      </c>
      <c r="M291" s="26" t="n">
        <f aca="false">parametros_recargas!$E$77*'Plan mensual'!O309+parametros_recargas!$F$77*'Plan mensual'!O310+parametros_recargas!$G$77*'Plan mensual'!O311+parametros_recargas!$H$77*'Plan mensual'!O312+parametros_recargas!$I$77*'Plan mensual'!O313+parametros_recargas!$J$77*'Plan mensual'!O314+parametros_recargas!$K$77*'Plan mensual'!O315+parametros_recargas!$L$77*'Plan mensual'!O316+parametros_recargas!$M$77*'Plan mensual'!O318</f>
        <v>22643.2062236195</v>
      </c>
      <c r="N291" s="12" t="n">
        <f aca="false">SUM(B291:M291)</f>
        <v>222708.941315974</v>
      </c>
      <c r="O291" s="27" t="n">
        <f aca="false">MAX(B291:M291)</f>
        <v>22643.2062236195</v>
      </c>
      <c r="P291" s="16" t="n">
        <f aca="false">O291/parametros_recargas!$B$6</f>
        <v>150.954708157463</v>
      </c>
    </row>
    <row r="292" customFormat="false" ht="15" hidden="false" customHeight="false" outlineLevel="0" collapsed="false">
      <c r="A292" s="6" t="str">
        <f aca="false">parametros_recargas!$B$78</f>
        <v>Descarga ABC — ruta recuperable</v>
      </c>
      <c r="B292" s="26" t="n">
        <f aca="false">parametros_recargas!$E$78*'Plan mensual'!D309+parametros_recargas!$F$78*'Plan mensual'!D310+parametros_recargas!$G$78*'Plan mensual'!D311+parametros_recargas!$H$78*'Plan mensual'!D312+parametros_recargas!$I$78*'Plan mensual'!D313+parametros_recargas!$J$78*'Plan mensual'!D314+parametros_recargas!$K$78*'Plan mensual'!D315+parametros_recargas!$L$78*'Plan mensual'!D316+parametros_recargas!$M$78*'Plan mensual'!D318</f>
        <v>16028.8565901075</v>
      </c>
      <c r="C292" s="26" t="n">
        <f aca="false">parametros_recargas!$E$78*'Plan mensual'!E309+parametros_recargas!$F$78*'Plan mensual'!E310+parametros_recargas!$G$78*'Plan mensual'!E311+parametros_recargas!$H$78*'Plan mensual'!E312+parametros_recargas!$I$78*'Plan mensual'!E313+parametros_recargas!$J$78*'Plan mensual'!E314+parametros_recargas!$K$78*'Plan mensual'!E315+parametros_recargas!$L$78*'Plan mensual'!E316+parametros_recargas!$M$78*'Plan mensual'!E318</f>
        <v>13678.951015531</v>
      </c>
      <c r="D292" s="26" t="n">
        <f aca="false">parametros_recargas!$E$78*'Plan mensual'!F309+parametros_recargas!$F$78*'Plan mensual'!F310+parametros_recargas!$G$78*'Plan mensual'!F311+parametros_recargas!$H$78*'Plan mensual'!F312+parametros_recargas!$I$78*'Plan mensual'!F313+parametros_recargas!$J$78*'Plan mensual'!F314+parametros_recargas!$K$78*'Plan mensual'!F315+parametros_recargas!$L$78*'Plan mensual'!F316+parametros_recargas!$M$78*'Plan mensual'!F318</f>
        <v>12547.5677729484</v>
      </c>
      <c r="E292" s="26" t="n">
        <f aca="false">parametros_recargas!$E$78*'Plan mensual'!G309+parametros_recargas!$F$78*'Plan mensual'!G310+parametros_recargas!$G$78*'Plan mensual'!G311+parametros_recargas!$H$78*'Plan mensual'!G312+parametros_recargas!$I$78*'Plan mensual'!G313+parametros_recargas!$J$78*'Plan mensual'!G314+parametros_recargas!$K$78*'Plan mensual'!G315+parametros_recargas!$L$78*'Plan mensual'!G316+parametros_recargas!$M$78*'Plan mensual'!G318</f>
        <v>13706.456830165</v>
      </c>
      <c r="F292" s="26" t="n">
        <f aca="false">parametros_recargas!$E$78*'Plan mensual'!H309+parametros_recargas!$F$78*'Plan mensual'!H310+parametros_recargas!$G$78*'Plan mensual'!H311+parametros_recargas!$H$78*'Plan mensual'!H312+parametros_recargas!$I$78*'Plan mensual'!H313+parametros_recargas!$J$78*'Plan mensual'!H314+parametros_recargas!$K$78*'Plan mensual'!H315+parametros_recargas!$L$78*'Plan mensual'!H316+parametros_recargas!$M$78*'Plan mensual'!H318</f>
        <v>13799.3506835282</v>
      </c>
      <c r="G292" s="26" t="n">
        <f aca="false">parametros_recargas!$E$78*'Plan mensual'!I309+parametros_recargas!$F$78*'Plan mensual'!I310+parametros_recargas!$G$78*'Plan mensual'!I311+parametros_recargas!$H$78*'Plan mensual'!I312+parametros_recargas!$I$78*'Plan mensual'!I313+parametros_recargas!$J$78*'Plan mensual'!I314+parametros_recargas!$K$78*'Plan mensual'!I315+parametros_recargas!$L$78*'Plan mensual'!I316+parametros_recargas!$M$78*'Plan mensual'!I318</f>
        <v>13674.4892040772</v>
      </c>
      <c r="H292" s="26" t="n">
        <f aca="false">parametros_recargas!$E$78*'Plan mensual'!J309+parametros_recargas!$F$78*'Plan mensual'!J310+parametros_recargas!$G$78*'Plan mensual'!J311+parametros_recargas!$H$78*'Plan mensual'!J312+parametros_recargas!$I$78*'Plan mensual'!J313+parametros_recargas!$J$78*'Plan mensual'!J314+parametros_recargas!$K$78*'Plan mensual'!J315+parametros_recargas!$L$78*'Plan mensual'!J316+parametros_recargas!$M$78*'Plan mensual'!J318</f>
        <v>12314.5465805352</v>
      </c>
      <c r="I292" s="26" t="n">
        <f aca="false">parametros_recargas!$E$78*'Plan mensual'!K309+parametros_recargas!$F$78*'Plan mensual'!K310+parametros_recargas!$G$78*'Plan mensual'!K311+parametros_recargas!$H$78*'Plan mensual'!K312+parametros_recargas!$I$78*'Plan mensual'!K313+parametros_recargas!$J$78*'Plan mensual'!K314+parametros_recargas!$K$78*'Plan mensual'!K315+parametros_recargas!$L$78*'Plan mensual'!K316+parametros_recargas!$M$78*'Plan mensual'!K318</f>
        <v>12423.9992459953</v>
      </c>
      <c r="J292" s="26" t="n">
        <f aca="false">parametros_recargas!$E$78*'Plan mensual'!L309+parametros_recargas!$F$78*'Plan mensual'!L310+parametros_recargas!$G$78*'Plan mensual'!L311+parametros_recargas!$H$78*'Plan mensual'!L312+parametros_recargas!$I$78*'Plan mensual'!L313+parametros_recargas!$J$78*'Plan mensual'!L314+parametros_recargas!$K$78*'Plan mensual'!L315+parametros_recargas!$L$78*'Plan mensual'!L316+parametros_recargas!$M$78*'Plan mensual'!L318</f>
        <v>12533.5934300295</v>
      </c>
      <c r="K292" s="26" t="n">
        <f aca="false">parametros_recargas!$E$78*'Plan mensual'!M309+parametros_recargas!$F$78*'Plan mensual'!M310+parametros_recargas!$G$78*'Plan mensual'!M311+parametros_recargas!$H$78*'Plan mensual'!M312+parametros_recargas!$I$78*'Plan mensual'!M313+parametros_recargas!$J$78*'Plan mensual'!M314+parametros_recargas!$K$78*'Plan mensual'!M315+parametros_recargas!$L$78*'Plan mensual'!M316+parametros_recargas!$M$78*'Plan mensual'!M318</f>
        <v>12533.5934300295</v>
      </c>
      <c r="L292" s="26" t="n">
        <f aca="false">parametros_recargas!$E$78*'Plan mensual'!N309+parametros_recargas!$F$78*'Plan mensual'!N310+parametros_recargas!$G$78*'Plan mensual'!N311+parametros_recargas!$H$78*'Plan mensual'!N312+parametros_recargas!$I$78*'Plan mensual'!N313+parametros_recargas!$J$78*'Plan mensual'!N314+parametros_recargas!$K$78*'Plan mensual'!N315+parametros_recargas!$L$78*'Plan mensual'!N316+parametros_recargas!$M$78*'Plan mensual'!N318</f>
        <v>14790.6051512429</v>
      </c>
      <c r="M292" s="26" t="n">
        <f aca="false">parametros_recargas!$E$78*'Plan mensual'!O309+parametros_recargas!$F$78*'Plan mensual'!O310+parametros_recargas!$G$78*'Plan mensual'!O311+parametros_recargas!$H$78*'Plan mensual'!O312+parametros_recargas!$I$78*'Plan mensual'!O313+parametros_recargas!$J$78*'Plan mensual'!O314+parametros_recargas!$K$78*'Plan mensual'!O315+parametros_recargas!$L$78*'Plan mensual'!O316+parametros_recargas!$M$78*'Plan mensual'!O318</f>
        <v>17265.3722052705</v>
      </c>
      <c r="N292" s="12" t="n">
        <f aca="false">SUM(B292:M292)</f>
        <v>165297.38213946</v>
      </c>
      <c r="O292" s="27" t="n">
        <f aca="false">MAX(B292:M292)</f>
        <v>17265.3722052705</v>
      </c>
      <c r="P292" s="16" t="n">
        <f aca="false">O292/parametros_recargas!$B$6</f>
        <v>115.10248136847</v>
      </c>
    </row>
    <row r="293" customFormat="false" ht="15" hidden="false" customHeight="false" outlineLevel="0" collapsed="false">
      <c r="A293" s="6" t="str">
        <f aca="false">parametros_recargas!$B$79</f>
        <v>Descarga a descarte (ABC, BC y Clase D)</v>
      </c>
      <c r="B293" s="26" t="n">
        <f aca="false">parametros_recargas!$E$79*'Plan mensual'!D309+parametros_recargas!$F$79*'Plan mensual'!D310+parametros_recargas!$G$79*'Plan mensual'!D311+parametros_recargas!$H$79*'Plan mensual'!D312+parametros_recargas!$I$79*'Plan mensual'!D313+parametros_recargas!$J$79*'Plan mensual'!D314+parametros_recargas!$K$79*'Plan mensual'!D315+parametros_recargas!$L$79*'Plan mensual'!D316+parametros_recargas!$M$79*'Plan mensual'!D318</f>
        <v>1821.93303987246</v>
      </c>
      <c r="C293" s="26" t="n">
        <f aca="false">parametros_recargas!$E$79*'Plan mensual'!E309+parametros_recargas!$F$79*'Plan mensual'!E310+parametros_recargas!$G$79*'Plan mensual'!E311+parametros_recargas!$H$79*'Plan mensual'!E312+parametros_recargas!$I$79*'Plan mensual'!E313+parametros_recargas!$J$79*'Plan mensual'!E314+parametros_recargas!$K$79*'Plan mensual'!E315+parametros_recargas!$L$79*'Plan mensual'!E316+parametros_recargas!$M$79*'Plan mensual'!E318</f>
        <v>1560.83242047507</v>
      </c>
      <c r="D293" s="26" t="n">
        <f aca="false">parametros_recargas!$E$79*'Plan mensual'!F309+parametros_recargas!$F$79*'Plan mensual'!F310+parametros_recargas!$G$79*'Plan mensual'!F311+parametros_recargas!$H$79*'Plan mensual'!F312+parametros_recargas!$I$79*'Plan mensual'!F313+parametros_recargas!$J$79*'Plan mensual'!F314+parametros_recargas!$K$79*'Plan mensual'!F315+parametros_recargas!$L$79*'Plan mensual'!F316+parametros_recargas!$M$79*'Plan mensual'!F318</f>
        <v>1435.12317129923</v>
      </c>
      <c r="E293" s="26" t="n">
        <f aca="false">parametros_recargas!$E$79*'Plan mensual'!G309+parametros_recargas!$F$79*'Plan mensual'!G310+parametros_recargas!$G$79*'Plan mensual'!G311+parametros_recargas!$H$79*'Plan mensual'!G312+parametros_recargas!$I$79*'Plan mensual'!G313+parametros_recargas!$J$79*'Plan mensual'!G314+parametros_recargas!$K$79*'Plan mensual'!G315+parametros_recargas!$L$79*'Plan mensual'!G316+parametros_recargas!$M$79*'Plan mensual'!G318</f>
        <v>1563.88862210108</v>
      </c>
      <c r="F293" s="26" t="n">
        <f aca="false">parametros_recargas!$E$79*'Plan mensual'!H309+parametros_recargas!$F$79*'Plan mensual'!H310+parametros_recargas!$G$79*'Plan mensual'!H311+parametros_recargas!$H$79*'Plan mensual'!H312+parametros_recargas!$I$79*'Plan mensual'!H313+parametros_recargas!$J$79*'Plan mensual'!H314+parametros_recargas!$K$79*'Plan mensual'!H315+parametros_recargas!$L$79*'Plan mensual'!H316+parametros_recargas!$M$79*'Plan mensual'!H318</f>
        <v>1574.21016136365</v>
      </c>
      <c r="G293" s="26" t="n">
        <f aca="false">parametros_recargas!$E$79*'Plan mensual'!I309+parametros_recargas!$F$79*'Plan mensual'!I310+parametros_recargas!$G$79*'Plan mensual'!I311+parametros_recargas!$H$79*'Plan mensual'!I312+parametros_recargas!$I$79*'Plan mensual'!I313+parametros_recargas!$J$79*'Plan mensual'!I314+parametros_recargas!$K$79*'Plan mensual'!I315+parametros_recargas!$L$79*'Plan mensual'!I316+parametros_recargas!$M$79*'Plan mensual'!I318</f>
        <v>1560.33666364687</v>
      </c>
      <c r="H293" s="26" t="n">
        <f aca="false">parametros_recargas!$E$79*'Plan mensual'!J309+parametros_recargas!$F$79*'Plan mensual'!J310+parametros_recargas!$G$79*'Plan mensual'!J311+parametros_recargas!$H$79*'Plan mensual'!J312+parametros_recargas!$I$79*'Plan mensual'!J313+parametros_recargas!$J$79*'Plan mensual'!J314+parametros_recargas!$K$79*'Plan mensual'!J315+parametros_recargas!$L$79*'Plan mensual'!J316+parametros_recargas!$M$79*'Plan mensual'!J318</f>
        <v>1409.23192769777</v>
      </c>
      <c r="I293" s="26" t="n">
        <f aca="false">parametros_recargas!$E$79*'Plan mensual'!K309+parametros_recargas!$F$79*'Plan mensual'!K310+parametros_recargas!$G$79*'Plan mensual'!K311+parametros_recargas!$H$79*'Plan mensual'!K312+parametros_recargas!$I$79*'Plan mensual'!K313+parametros_recargas!$J$79*'Plan mensual'!K314+parametros_recargas!$K$79*'Plan mensual'!K315+parametros_recargas!$L$79*'Plan mensual'!K316+parametros_recargas!$M$79*'Plan mensual'!K318</f>
        <v>1421.39333497111</v>
      </c>
      <c r="J293" s="26" t="n">
        <f aca="false">parametros_recargas!$E$79*'Plan mensual'!L309+parametros_recargas!$F$79*'Plan mensual'!L310+parametros_recargas!$G$79*'Plan mensual'!L311+parametros_recargas!$H$79*'Plan mensual'!L312+parametros_recargas!$I$79*'Plan mensual'!L313+parametros_recargas!$J$79*'Plan mensual'!L314+parametros_recargas!$K$79*'Plan mensual'!L315+parametros_recargas!$L$79*'Plan mensual'!L316+parametros_recargas!$M$79*'Plan mensual'!L318</f>
        <v>1433.57046653047</v>
      </c>
      <c r="K293" s="26" t="n">
        <f aca="false">parametros_recargas!$E$79*'Plan mensual'!M309+parametros_recargas!$F$79*'Plan mensual'!M310+parametros_recargas!$G$79*'Plan mensual'!M311+parametros_recargas!$H$79*'Plan mensual'!M312+parametros_recargas!$I$79*'Plan mensual'!M313+parametros_recargas!$J$79*'Plan mensual'!M314+parametros_recargas!$K$79*'Plan mensual'!M315+parametros_recargas!$L$79*'Plan mensual'!M316+parametros_recargas!$M$79*'Plan mensual'!M318</f>
        <v>1433.57046653047</v>
      </c>
      <c r="L293" s="26" t="n">
        <f aca="false">parametros_recargas!$E$79*'Plan mensual'!N309+parametros_recargas!$F$79*'Plan mensual'!N310+parametros_recargas!$G$79*'Plan mensual'!N311+parametros_recargas!$H$79*'Plan mensual'!N312+parametros_recargas!$I$79*'Plan mensual'!N313+parametros_recargas!$J$79*'Plan mensual'!N314+parametros_recargas!$K$79*'Plan mensual'!N315+parametros_recargas!$L$79*'Plan mensual'!N316+parametros_recargas!$M$79*'Plan mensual'!N318</f>
        <v>1684.34954666528</v>
      </c>
      <c r="M293" s="26" t="n">
        <f aca="false">parametros_recargas!$E$79*'Plan mensual'!O309+parametros_recargas!$F$79*'Plan mensual'!O310+parametros_recargas!$G$79*'Plan mensual'!O311+parametros_recargas!$H$79*'Plan mensual'!O312+parametros_recargas!$I$79*'Plan mensual'!O313+parametros_recargas!$J$79*'Plan mensual'!O314+parametros_recargas!$K$79*'Plan mensual'!O315+parametros_recargas!$L$79*'Plan mensual'!O316+parametros_recargas!$M$79*'Plan mensual'!O318</f>
        <v>1959.32366377946</v>
      </c>
      <c r="N293" s="12" t="n">
        <f aca="false">SUM(B293:M293)</f>
        <v>18857.7634849329</v>
      </c>
      <c r="O293" s="27" t="n">
        <f aca="false">MAX(B293:M293)</f>
        <v>1959.32366377946</v>
      </c>
      <c r="P293" s="16" t="n">
        <f aca="false">O293/parametros_recargas!$B$6</f>
        <v>13.0621577585297</v>
      </c>
    </row>
    <row r="294" customFormat="false" ht="15" hidden="false" customHeight="false" outlineLevel="0" collapsed="false">
      <c r="A294" s="6" t="str">
        <f aca="false">parametros_recargas!$B$80</f>
        <v>Descarga y carga de agua / AFFF / sales K</v>
      </c>
      <c r="B294" s="26" t="n">
        <f aca="false">parametros_recargas!$E$80*'Plan mensual'!D309+parametros_recargas!$F$80*'Plan mensual'!D310+parametros_recargas!$G$80*'Plan mensual'!D311+parametros_recargas!$H$80*'Plan mensual'!D312+parametros_recargas!$I$80*'Plan mensual'!D313+parametros_recargas!$J$80*'Plan mensual'!D314+parametros_recargas!$K$80*'Plan mensual'!D315+parametros_recargas!$L$80*'Plan mensual'!D316+parametros_recargas!$M$80*'Plan mensual'!D318</f>
        <v>767.139676962856</v>
      </c>
      <c r="C294" s="26" t="n">
        <f aca="false">parametros_recargas!$E$80*'Plan mensual'!E309+parametros_recargas!$F$80*'Plan mensual'!E310+parametros_recargas!$G$80*'Plan mensual'!E311+parametros_recargas!$H$80*'Plan mensual'!E312+parametros_recargas!$I$80*'Plan mensual'!E313+parametros_recargas!$J$80*'Plan mensual'!E314+parametros_recargas!$K$80*'Plan mensual'!E315+parametros_recargas!$L$80*'Plan mensual'!E316+parametros_recargas!$M$80*'Plan mensual'!E318</f>
        <v>767.139676962856</v>
      </c>
      <c r="D294" s="26" t="n">
        <f aca="false">parametros_recargas!$E$80*'Plan mensual'!F309+parametros_recargas!$F$80*'Plan mensual'!F310+parametros_recargas!$G$80*'Plan mensual'!F311+parametros_recargas!$H$80*'Plan mensual'!F312+parametros_recargas!$I$80*'Plan mensual'!F313+parametros_recargas!$J$80*'Plan mensual'!F314+parametros_recargas!$K$80*'Plan mensual'!F315+parametros_recargas!$L$80*'Plan mensual'!F316+parametros_recargas!$M$80*'Plan mensual'!F318</f>
        <v>868.449570246639</v>
      </c>
      <c r="E294" s="26" t="n">
        <f aca="false">parametros_recargas!$E$80*'Plan mensual'!G309+parametros_recargas!$F$80*'Plan mensual'!G310+parametros_recargas!$G$80*'Plan mensual'!G311+parametros_recargas!$H$80*'Plan mensual'!G312+parametros_recargas!$I$80*'Plan mensual'!G313+parametros_recargas!$J$80*'Plan mensual'!G314+parametros_recargas!$K$80*'Plan mensual'!G315+parametros_recargas!$L$80*'Plan mensual'!G316+parametros_recargas!$M$80*'Plan mensual'!G318</f>
        <v>966.352898240205</v>
      </c>
      <c r="F294" s="26" t="n">
        <f aca="false">parametros_recargas!$E$80*'Plan mensual'!H309+parametros_recargas!$F$80*'Plan mensual'!H310+parametros_recargas!$G$80*'Plan mensual'!H311+parametros_recargas!$H$80*'Plan mensual'!H312+parametros_recargas!$I$80*'Plan mensual'!H313+parametros_recargas!$J$80*'Plan mensual'!H314+parametros_recargas!$K$80*'Plan mensual'!H315+parametros_recargas!$L$80*'Plan mensual'!H316+parametros_recargas!$M$80*'Plan mensual'!H318</f>
        <v>974.353293285083</v>
      </c>
      <c r="G294" s="26" t="n">
        <f aca="false">parametros_recargas!$E$80*'Plan mensual'!I309+parametros_recargas!$F$80*'Plan mensual'!I310+parametros_recargas!$G$80*'Plan mensual'!I311+parametros_recargas!$H$80*'Plan mensual'!I312+parametros_recargas!$I$80*'Plan mensual'!I313+parametros_recargas!$J$80*'Plan mensual'!I314+parametros_recargas!$K$80*'Plan mensual'!I315+parametros_recargas!$L$80*'Plan mensual'!I316+parametros_recargas!$M$80*'Plan mensual'!I318</f>
        <v>956.956032189946</v>
      </c>
      <c r="H294" s="26" t="n">
        <f aca="false">parametros_recargas!$E$80*'Plan mensual'!J309+parametros_recargas!$F$80*'Plan mensual'!J310+parametros_recargas!$G$80*'Plan mensual'!J311+parametros_recargas!$H$80*'Plan mensual'!J312+parametros_recargas!$I$80*'Plan mensual'!J313+parametros_recargas!$J$80*'Plan mensual'!J314+parametros_recargas!$K$80*'Plan mensual'!J315+parametros_recargas!$L$80*'Plan mensual'!J316+parametros_recargas!$M$80*'Plan mensual'!J318</f>
        <v>838.283562925869</v>
      </c>
      <c r="I294" s="26" t="n">
        <f aca="false">parametros_recargas!$E$80*'Plan mensual'!K309+parametros_recargas!$F$80*'Plan mensual'!K310+parametros_recargas!$G$80*'Plan mensual'!K311+parametros_recargas!$H$80*'Plan mensual'!K312+parametros_recargas!$I$80*'Plan mensual'!K313+parametros_recargas!$J$80*'Plan mensual'!K314+parametros_recargas!$K$80*'Plan mensual'!K315+parametros_recargas!$L$80*'Plan mensual'!K316+parametros_recargas!$M$80*'Plan mensual'!K318</f>
        <v>846.249272855904</v>
      </c>
      <c r="J294" s="26" t="n">
        <f aca="false">parametros_recargas!$E$80*'Plan mensual'!L309+parametros_recargas!$F$80*'Plan mensual'!L310+parametros_recargas!$G$80*'Plan mensual'!L311+parametros_recargas!$H$80*'Plan mensual'!L312+parametros_recargas!$I$80*'Plan mensual'!L313+parametros_recargas!$J$80*'Plan mensual'!L314+parametros_recargas!$K$80*'Plan mensual'!L315+parametros_recargas!$L$80*'Plan mensual'!L316+parametros_recargas!$M$80*'Plan mensual'!L318</f>
        <v>862.8298517063</v>
      </c>
      <c r="K294" s="26" t="n">
        <f aca="false">parametros_recargas!$E$80*'Plan mensual'!M309+parametros_recargas!$F$80*'Plan mensual'!M310+parametros_recargas!$G$80*'Plan mensual'!M311+parametros_recargas!$H$80*'Plan mensual'!M312+parametros_recargas!$I$80*'Plan mensual'!M313+parametros_recargas!$J$80*'Plan mensual'!M314+parametros_recargas!$K$80*'Plan mensual'!M315+parametros_recargas!$L$80*'Plan mensual'!M316+parametros_recargas!$M$80*'Plan mensual'!M318</f>
        <v>862.8298517063</v>
      </c>
      <c r="L294" s="26" t="n">
        <f aca="false">parametros_recargas!$E$80*'Plan mensual'!N309+parametros_recargas!$F$80*'Plan mensual'!N310+parametros_recargas!$G$80*'Plan mensual'!N311+parametros_recargas!$H$80*'Plan mensual'!N312+parametros_recargas!$I$80*'Plan mensual'!N313+parametros_recargas!$J$80*'Plan mensual'!N314+parametros_recargas!$K$80*'Plan mensual'!N315+parametros_recargas!$L$80*'Plan mensual'!N316+parametros_recargas!$M$80*'Plan mensual'!N318</f>
        <v>854.829456661421</v>
      </c>
      <c r="M294" s="26" t="n">
        <f aca="false">parametros_recargas!$E$80*'Plan mensual'!O309+parametros_recargas!$F$80*'Plan mensual'!O310+parametros_recargas!$G$80*'Plan mensual'!O311+parametros_recargas!$H$80*'Plan mensual'!O312+parametros_recargas!$I$80*'Plan mensual'!O313+parametros_recargas!$J$80*'Plan mensual'!O314+parametros_recargas!$K$80*'Plan mensual'!O315+parametros_recargas!$L$80*'Plan mensual'!O316+parametros_recargas!$M$80*'Plan mensual'!O318</f>
        <v>872.226717756558</v>
      </c>
      <c r="N294" s="12" t="n">
        <f aca="false">SUM(B294:M294)</f>
        <v>10437.6398614999</v>
      </c>
      <c r="O294" s="27" t="n">
        <f aca="false">MAX(B294:M294)</f>
        <v>974.353293285083</v>
      </c>
      <c r="P294" s="16" t="n">
        <f aca="false">O294/parametros_recargas!$B$6</f>
        <v>6.49568862190056</v>
      </c>
    </row>
    <row r="295" customFormat="false" ht="15" hidden="false" customHeight="false" outlineLevel="0" collapsed="false">
      <c r="A295" s="6" t="str">
        <f aca="false">parametros_recargas!$B$81</f>
        <v>Recuperación y carga de CO₂</v>
      </c>
      <c r="B295" s="26" t="n">
        <f aca="false">parametros_recargas!$E$81*'Plan mensual'!D309+parametros_recargas!$F$81*'Plan mensual'!D310+parametros_recargas!$G$81*'Plan mensual'!D311+parametros_recargas!$H$81*'Plan mensual'!D312+parametros_recargas!$I$81*'Plan mensual'!D313+parametros_recargas!$J$81*'Plan mensual'!D314+parametros_recargas!$K$81*'Plan mensual'!D315+parametros_recargas!$L$81*'Plan mensual'!D316+parametros_recargas!$M$81*'Plan mensual'!D318</f>
        <v>682.232168388166</v>
      </c>
      <c r="C295" s="26" t="n">
        <f aca="false">parametros_recargas!$E$81*'Plan mensual'!E309+parametros_recargas!$F$81*'Plan mensual'!E310+parametros_recargas!$G$81*'Plan mensual'!E311+parametros_recargas!$H$81*'Plan mensual'!E312+parametros_recargas!$I$81*'Plan mensual'!E313+parametros_recargas!$J$81*'Plan mensual'!E314+parametros_recargas!$K$81*'Plan mensual'!E315+parametros_recargas!$L$81*'Plan mensual'!E316+parametros_recargas!$M$81*'Plan mensual'!E318</f>
        <v>682.232168388166</v>
      </c>
      <c r="D295" s="26" t="n">
        <f aca="false">parametros_recargas!$E$81*'Plan mensual'!F309+parametros_recargas!$F$81*'Plan mensual'!F310+parametros_recargas!$G$81*'Plan mensual'!F311+parametros_recargas!$H$81*'Plan mensual'!F312+parametros_recargas!$I$81*'Plan mensual'!F313+parametros_recargas!$J$81*'Plan mensual'!F314+parametros_recargas!$K$81*'Plan mensual'!F315+parametros_recargas!$L$81*'Plan mensual'!F316+parametros_recargas!$M$81*'Plan mensual'!F318</f>
        <v>862.191194167766</v>
      </c>
      <c r="E295" s="26" t="n">
        <f aca="false">parametros_recargas!$E$81*'Plan mensual'!G309+parametros_recargas!$F$81*'Plan mensual'!G310+parametros_recargas!$G$81*'Plan mensual'!G311+parametros_recargas!$H$81*'Plan mensual'!G312+parametros_recargas!$I$81*'Plan mensual'!G313+parametros_recargas!$J$81*'Plan mensual'!G314+parametros_recargas!$K$81*'Plan mensual'!G315+parametros_recargas!$L$81*'Plan mensual'!G316+parametros_recargas!$M$81*'Plan mensual'!G318</f>
        <v>1038.98787529784</v>
      </c>
      <c r="F295" s="26" t="n">
        <f aca="false">parametros_recargas!$E$81*'Plan mensual'!H309+parametros_recargas!$F$81*'Plan mensual'!H310+parametros_recargas!$G$81*'Plan mensual'!H311+parametros_recargas!$H$81*'Plan mensual'!H312+parametros_recargas!$I$81*'Plan mensual'!H313+parametros_recargas!$J$81*'Plan mensual'!H314+parametros_recargas!$K$81*'Plan mensual'!H315+parametros_recargas!$L$81*'Plan mensual'!H316+parametros_recargas!$M$81*'Plan mensual'!H318</f>
        <v>1046.21619644439</v>
      </c>
      <c r="G295" s="26" t="n">
        <f aca="false">parametros_recargas!$E$81*'Plan mensual'!I309+parametros_recargas!$F$81*'Plan mensual'!I310+parametros_recargas!$G$81*'Plan mensual'!I311+parametros_recargas!$H$81*'Plan mensual'!I312+parametros_recargas!$I$81*'Plan mensual'!I313+parametros_recargas!$J$81*'Plan mensual'!I314+parametros_recargas!$K$81*'Plan mensual'!I315+parametros_recargas!$L$81*'Plan mensual'!I316+parametros_recargas!$M$81*'Plan mensual'!I318</f>
        <v>1024.81890271997</v>
      </c>
      <c r="H295" s="26" t="n">
        <f aca="false">parametros_recargas!$E$81*'Plan mensual'!J309+parametros_recargas!$F$81*'Plan mensual'!J310+parametros_recargas!$G$81*'Plan mensual'!J311+parametros_recargas!$H$81*'Plan mensual'!J312+parametros_recargas!$I$81*'Plan mensual'!J313+parametros_recargas!$J$81*'Plan mensual'!J314+parametros_recargas!$K$81*'Plan mensual'!J315+parametros_recargas!$L$81*'Plan mensual'!J316+parametros_recargas!$M$81*'Plan mensual'!J318</f>
        <v>829.749934216592</v>
      </c>
      <c r="I295" s="26" t="n">
        <f aca="false">parametros_recargas!$E$81*'Plan mensual'!K309+parametros_recargas!$F$81*'Plan mensual'!K310+parametros_recargas!$G$81*'Plan mensual'!K311+parametros_recargas!$H$81*'Plan mensual'!K312+parametros_recargas!$I$81*'Plan mensual'!K313+parametros_recargas!$J$81*'Plan mensual'!K314+parametros_recargas!$K$81*'Plan mensual'!K315+parametros_recargas!$L$81*'Plan mensual'!K316+parametros_recargas!$M$81*'Plan mensual'!K318</f>
        <v>830.690904362513</v>
      </c>
      <c r="J295" s="26" t="n">
        <f aca="false">parametros_recargas!$E$81*'Plan mensual'!L309+parametros_recargas!$F$81*'Plan mensual'!L310+parametros_recargas!$G$81*'Plan mensual'!L311+parametros_recargas!$H$81*'Plan mensual'!L312+parametros_recargas!$I$81*'Plan mensual'!L313+parametros_recargas!$J$81*'Plan mensual'!L314+parametros_recargas!$K$81*'Plan mensual'!L315+parametros_recargas!$L$81*'Plan mensual'!L316+parametros_recargas!$M$81*'Plan mensual'!L318</f>
        <v>849.663191320182</v>
      </c>
      <c r="K295" s="26" t="n">
        <f aca="false">parametros_recargas!$E$81*'Plan mensual'!M309+parametros_recargas!$F$81*'Plan mensual'!M310+parametros_recargas!$G$81*'Plan mensual'!M311+parametros_recargas!$H$81*'Plan mensual'!M312+parametros_recargas!$I$81*'Plan mensual'!M313+parametros_recargas!$J$81*'Plan mensual'!M314+parametros_recargas!$K$81*'Plan mensual'!M315+parametros_recargas!$L$81*'Plan mensual'!M316+parametros_recargas!$M$81*'Plan mensual'!M318</f>
        <v>849.663191320182</v>
      </c>
      <c r="L295" s="26" t="n">
        <f aca="false">parametros_recargas!$E$81*'Plan mensual'!N309+parametros_recargas!$F$81*'Plan mensual'!N310+parametros_recargas!$G$81*'Plan mensual'!N311+parametros_recargas!$H$81*'Plan mensual'!N312+parametros_recargas!$I$81*'Plan mensual'!N313+parametros_recargas!$J$81*'Plan mensual'!N314+parametros_recargas!$K$81*'Plan mensual'!N315+parametros_recargas!$L$81*'Plan mensual'!N316+parametros_recargas!$M$81*'Plan mensual'!N318</f>
        <v>842.434870173632</v>
      </c>
      <c r="M295" s="26" t="n">
        <f aca="false">parametros_recargas!$E$81*'Plan mensual'!O309+parametros_recargas!$F$81*'Plan mensual'!O310+parametros_recargas!$G$81*'Plan mensual'!O311+parametros_recargas!$H$81*'Plan mensual'!O312+parametros_recargas!$I$81*'Plan mensual'!O313+parametros_recargas!$J$81*'Plan mensual'!O314+parametros_recargas!$K$81*'Plan mensual'!O315+parametros_recargas!$L$81*'Plan mensual'!O316+parametros_recargas!$M$81*'Plan mensual'!O318</f>
        <v>863.832163898044</v>
      </c>
      <c r="N295" s="12" t="n">
        <f aca="false">SUM(B295:M295)</f>
        <v>10402.7127606974</v>
      </c>
      <c r="O295" s="27" t="n">
        <f aca="false">MAX(B295:M295)</f>
        <v>1046.21619644439</v>
      </c>
      <c r="P295" s="16" t="n">
        <f aca="false">O295/parametros_recargas!$B$6</f>
        <v>6.97477464296258</v>
      </c>
    </row>
    <row r="296" customFormat="false" ht="15" hidden="false" customHeight="false" outlineLevel="0" collapsed="false">
      <c r="A296" s="6" t="str">
        <f aca="false">parametros_recargas!$B$82</f>
        <v>Recuperación y carga de halogenado</v>
      </c>
      <c r="B296" s="26" t="n">
        <f aca="false">parametros_recargas!$E$82*'Plan mensual'!D309+parametros_recargas!$F$82*'Plan mensual'!D310+parametros_recargas!$G$82*'Plan mensual'!D311+parametros_recargas!$H$82*'Plan mensual'!D312+parametros_recargas!$I$82*'Plan mensual'!D313+parametros_recargas!$J$82*'Plan mensual'!D314+parametros_recargas!$K$82*'Plan mensual'!D315+parametros_recargas!$L$82*'Plan mensual'!D316+parametros_recargas!$M$82*'Plan mensual'!D318</f>
        <v>22.2855755380417</v>
      </c>
      <c r="C296" s="26" t="n">
        <f aca="false">parametros_recargas!$E$82*'Plan mensual'!E309+parametros_recargas!$F$82*'Plan mensual'!E310+parametros_recargas!$G$82*'Plan mensual'!E311+parametros_recargas!$H$82*'Plan mensual'!E312+parametros_recargas!$I$82*'Plan mensual'!E313+parametros_recargas!$J$82*'Plan mensual'!E314+parametros_recargas!$K$82*'Plan mensual'!E315+parametros_recargas!$L$82*'Plan mensual'!E316+parametros_recargas!$M$82*'Plan mensual'!E318</f>
        <v>22.2855755380417</v>
      </c>
      <c r="D296" s="26" t="n">
        <f aca="false">parametros_recargas!$E$82*'Plan mensual'!F309+parametros_recargas!$F$82*'Plan mensual'!F310+parametros_recargas!$G$82*'Plan mensual'!F311+parametros_recargas!$H$82*'Plan mensual'!F312+parametros_recargas!$I$82*'Plan mensual'!F313+parametros_recargas!$J$82*'Plan mensual'!F314+parametros_recargas!$K$82*'Plan mensual'!F315+parametros_recargas!$L$82*'Plan mensual'!F316+parametros_recargas!$M$82*'Plan mensual'!F318</f>
        <v>20.8633963449817</v>
      </c>
      <c r="E296" s="26" t="n">
        <f aca="false">parametros_recargas!$E$82*'Plan mensual'!G309+parametros_recargas!$F$82*'Plan mensual'!G310+parametros_recargas!$G$82*'Plan mensual'!G311+parametros_recargas!$H$82*'Plan mensual'!G312+parametros_recargas!$I$82*'Plan mensual'!G313+parametros_recargas!$J$82*'Plan mensual'!G314+parametros_recargas!$K$82*'Plan mensual'!G315+parametros_recargas!$L$82*'Plan mensual'!G316+parametros_recargas!$M$82*'Plan mensual'!G318</f>
        <v>20.8633963449817</v>
      </c>
      <c r="F296" s="26" t="n">
        <f aca="false">parametros_recargas!$E$82*'Plan mensual'!H309+parametros_recargas!$F$82*'Plan mensual'!H310+parametros_recargas!$G$82*'Plan mensual'!H311+parametros_recargas!$H$82*'Plan mensual'!H312+parametros_recargas!$I$82*'Plan mensual'!H313+parametros_recargas!$J$82*'Plan mensual'!H314+parametros_recargas!$K$82*'Plan mensual'!H315+parametros_recargas!$L$82*'Plan mensual'!H316+parametros_recargas!$M$82*'Plan mensual'!H318</f>
        <v>20.8633963449817</v>
      </c>
      <c r="G296" s="26" t="n">
        <f aca="false">parametros_recargas!$E$82*'Plan mensual'!I309+parametros_recargas!$F$82*'Plan mensual'!I310+parametros_recargas!$G$82*'Plan mensual'!I311+parametros_recargas!$H$82*'Plan mensual'!I312+parametros_recargas!$I$82*'Plan mensual'!I313+parametros_recargas!$J$82*'Plan mensual'!I314+parametros_recargas!$K$82*'Plan mensual'!I315+parametros_recargas!$L$82*'Plan mensual'!I316+parametros_recargas!$M$82*'Plan mensual'!I318</f>
        <v>19.4412171519217</v>
      </c>
      <c r="H296" s="26" t="n">
        <f aca="false">parametros_recargas!$E$82*'Plan mensual'!J309+parametros_recargas!$F$82*'Plan mensual'!J310+parametros_recargas!$G$82*'Plan mensual'!J311+parametros_recargas!$H$82*'Plan mensual'!J312+parametros_recargas!$I$82*'Plan mensual'!J313+parametros_recargas!$J$82*'Plan mensual'!J314+parametros_recargas!$K$82*'Plan mensual'!J315+parametros_recargas!$L$82*'Plan mensual'!J316+parametros_recargas!$M$82*'Plan mensual'!J318</f>
        <v>19.4412171519217</v>
      </c>
      <c r="I296" s="26" t="n">
        <f aca="false">parametros_recargas!$E$82*'Plan mensual'!K309+parametros_recargas!$F$82*'Plan mensual'!K310+parametros_recargas!$G$82*'Plan mensual'!K311+parametros_recargas!$H$82*'Plan mensual'!K312+parametros_recargas!$I$82*'Plan mensual'!K313+parametros_recargas!$J$82*'Plan mensual'!K314+parametros_recargas!$K$82*'Plan mensual'!K315+parametros_recargas!$L$82*'Plan mensual'!K316+parametros_recargas!$M$82*'Plan mensual'!K318</f>
        <v>19.4412171519217</v>
      </c>
      <c r="J296" s="26" t="n">
        <f aca="false">parametros_recargas!$E$82*'Plan mensual'!L309+parametros_recargas!$F$82*'Plan mensual'!L310+parametros_recargas!$G$82*'Plan mensual'!L311+parametros_recargas!$H$82*'Plan mensual'!L312+parametros_recargas!$I$82*'Plan mensual'!L313+parametros_recargas!$J$82*'Plan mensual'!L314+parametros_recargas!$K$82*'Plan mensual'!L315+parametros_recargas!$L$82*'Plan mensual'!L316+parametros_recargas!$M$82*'Plan mensual'!L318</f>
        <v>20.8633963449817</v>
      </c>
      <c r="K296" s="26" t="n">
        <f aca="false">parametros_recargas!$E$82*'Plan mensual'!M309+parametros_recargas!$F$82*'Plan mensual'!M310+parametros_recargas!$G$82*'Plan mensual'!M311+parametros_recargas!$H$82*'Plan mensual'!M312+parametros_recargas!$I$82*'Plan mensual'!M313+parametros_recargas!$J$82*'Plan mensual'!M314+parametros_recargas!$K$82*'Plan mensual'!M315+parametros_recargas!$L$82*'Plan mensual'!M316+parametros_recargas!$M$82*'Plan mensual'!M318</f>
        <v>20.8633963449817</v>
      </c>
      <c r="L296" s="26" t="n">
        <f aca="false">parametros_recargas!$E$82*'Plan mensual'!N309+parametros_recargas!$F$82*'Plan mensual'!N310+parametros_recargas!$G$82*'Plan mensual'!N311+parametros_recargas!$H$82*'Plan mensual'!N312+parametros_recargas!$I$82*'Plan mensual'!N313+parametros_recargas!$J$82*'Plan mensual'!N314+parametros_recargas!$K$82*'Plan mensual'!N315+parametros_recargas!$L$82*'Plan mensual'!N316+parametros_recargas!$M$82*'Plan mensual'!N318</f>
        <v>20.8633963449817</v>
      </c>
      <c r="M296" s="26" t="n">
        <f aca="false">parametros_recargas!$E$82*'Plan mensual'!O309+parametros_recargas!$F$82*'Plan mensual'!O310+parametros_recargas!$G$82*'Plan mensual'!O311+parametros_recargas!$H$82*'Plan mensual'!O312+parametros_recargas!$I$82*'Plan mensual'!O313+parametros_recargas!$J$82*'Plan mensual'!O314+parametros_recargas!$K$82*'Plan mensual'!O315+parametros_recargas!$L$82*'Plan mensual'!O316+parametros_recargas!$M$82*'Plan mensual'!O318</f>
        <v>22.2855755380417</v>
      </c>
      <c r="N296" s="12" t="n">
        <f aca="false">SUM(B296:M296)</f>
        <v>250.360756139781</v>
      </c>
      <c r="O296" s="27" t="n">
        <f aca="false">MAX(B296:M296)</f>
        <v>22.2855755380417</v>
      </c>
      <c r="P296" s="16" t="n">
        <f aca="false">O296/parametros_recargas!$B$6</f>
        <v>0.148570503586945</v>
      </c>
    </row>
    <row r="297" customFormat="false" ht="15" hidden="false" customHeight="false" outlineLevel="0" collapsed="false">
      <c r="A297" s="6" t="str">
        <f aca="false">parametros_recargas!$B$83</f>
        <v>Desarme y limpieza — recinto</v>
      </c>
      <c r="B297" s="26" t="n">
        <f aca="false">parametros_recargas!$E$83*'Plan mensual'!D309+parametros_recargas!$F$83*'Plan mensual'!D310+parametros_recargas!$G$83*'Plan mensual'!D311+parametros_recargas!$H$83*'Plan mensual'!D312+parametros_recargas!$I$83*'Plan mensual'!D313+parametros_recargas!$J$83*'Plan mensual'!D314+parametros_recargas!$K$83*'Plan mensual'!D315+parametros_recargas!$L$83*'Plan mensual'!D316+parametros_recargas!$M$83*'Plan mensual'!D318</f>
        <v>18790.3048736631</v>
      </c>
      <c r="C297" s="26" t="n">
        <f aca="false">parametros_recargas!$E$83*'Plan mensual'!E309+parametros_recargas!$F$83*'Plan mensual'!E310+parametros_recargas!$G$83*'Plan mensual'!E311+parametros_recargas!$H$83*'Plan mensual'!E312+parametros_recargas!$I$83*'Plan mensual'!E313+parametros_recargas!$J$83*'Plan mensual'!E314+parametros_recargas!$K$83*'Plan mensual'!E315+parametros_recargas!$L$83*'Plan mensual'!E316+parametros_recargas!$M$83*'Plan mensual'!E318</f>
        <v>16041.877301059</v>
      </c>
      <c r="D297" s="26" t="n">
        <f aca="false">parametros_recargas!$E$83*'Plan mensual'!F309+parametros_recargas!$F$83*'Plan mensual'!F310+parametros_recargas!$G$83*'Plan mensual'!F311+parametros_recargas!$H$83*'Plan mensual'!F312+parametros_recargas!$I$83*'Plan mensual'!F313+parametros_recargas!$J$83*'Plan mensual'!F314+parametros_recargas!$K$83*'Plan mensual'!F315+parametros_recargas!$L$83*'Plan mensual'!F316+parametros_recargas!$M$83*'Plan mensual'!F318</f>
        <v>14718.6220465764</v>
      </c>
      <c r="E297" s="26" t="n">
        <f aca="false">parametros_recargas!$E$83*'Plan mensual'!G309+parametros_recargas!$F$83*'Plan mensual'!G310+parametros_recargas!$G$83*'Plan mensual'!G311+parametros_recargas!$H$83*'Plan mensual'!G312+parametros_recargas!$I$83*'Plan mensual'!G313+parametros_recargas!$J$83*'Plan mensual'!G314+parametros_recargas!$K$83*'Plan mensual'!G315+parametros_recargas!$L$83*'Plan mensual'!G316+parametros_recargas!$M$83*'Plan mensual'!G318</f>
        <v>16074.0478444907</v>
      </c>
      <c r="F297" s="26" t="n">
        <f aca="false">parametros_recargas!$E$83*'Plan mensual'!H309+parametros_recargas!$F$83*'Plan mensual'!H310+parametros_recargas!$G$83*'Plan mensual'!H311+parametros_recargas!$H$83*'Plan mensual'!H312+parametros_recargas!$I$83*'Plan mensual'!H313+parametros_recargas!$J$83*'Plan mensual'!H314+parametros_recargas!$K$83*'Plan mensual'!H315+parametros_recargas!$L$83*'Plan mensual'!H316+parametros_recargas!$M$83*'Plan mensual'!H318</f>
        <v>16182.695626202</v>
      </c>
      <c r="G297" s="26" t="n">
        <f aca="false">parametros_recargas!$E$83*'Plan mensual'!I309+parametros_recargas!$F$83*'Plan mensual'!I310+parametros_recargas!$G$83*'Plan mensual'!I311+parametros_recargas!$H$83*'Plan mensual'!I312+parametros_recargas!$I$83*'Plan mensual'!I313+parametros_recargas!$J$83*'Plan mensual'!I314+parametros_recargas!$K$83*'Plan mensual'!I315+parametros_recargas!$L$83*'Plan mensual'!I316+parametros_recargas!$M$83*'Plan mensual'!I318</f>
        <v>16036.6588081306</v>
      </c>
      <c r="H297" s="26" t="n">
        <f aca="false">parametros_recargas!$E$83*'Plan mensual'!J309+parametros_recargas!$F$83*'Plan mensual'!J310+parametros_recargas!$G$83*'Plan mensual'!J311+parametros_recargas!$H$83*'Plan mensual'!J312+parametros_recargas!$I$83*'Plan mensual'!J313+parametros_recargas!$J$83*'Plan mensual'!J314+parametros_recargas!$K$83*'Plan mensual'!J315+parametros_recargas!$L$83*'Plan mensual'!J316+parametros_recargas!$M$83*'Plan mensual'!J318</f>
        <v>14446.0826402453</v>
      </c>
      <c r="I297" s="26" t="n">
        <f aca="false">parametros_recargas!$E$83*'Plan mensual'!K309+parametros_recargas!$F$83*'Plan mensual'!K310+parametros_recargas!$G$83*'Plan mensual'!K311+parametros_recargas!$H$83*'Plan mensual'!K312+parametros_recargas!$I$83*'Plan mensual'!K313+parametros_recargas!$J$83*'Plan mensual'!K314+parametros_recargas!$K$83*'Plan mensual'!K315+parametros_recargas!$L$83*'Plan mensual'!K316+parametros_recargas!$M$83*'Plan mensual'!K318</f>
        <v>14574.0974536489</v>
      </c>
      <c r="J297" s="26" t="n">
        <f aca="false">parametros_recargas!$E$83*'Plan mensual'!L309+parametros_recargas!$F$83*'Plan mensual'!L310+parametros_recargas!$G$83*'Plan mensual'!L311+parametros_recargas!$H$83*'Plan mensual'!L312+parametros_recargas!$I$83*'Plan mensual'!L313+parametros_recargas!$J$83*'Plan mensual'!L314+parametros_recargas!$K$83*'Plan mensual'!L315+parametros_recargas!$L$83*'Plan mensual'!L316+parametros_recargas!$M$83*'Plan mensual'!L318</f>
        <v>14702.2777858526</v>
      </c>
      <c r="K297" s="26" t="n">
        <f aca="false">parametros_recargas!$E$83*'Plan mensual'!M309+parametros_recargas!$F$83*'Plan mensual'!M310+parametros_recargas!$G$83*'Plan mensual'!M311+parametros_recargas!$H$83*'Plan mensual'!M312+parametros_recargas!$I$83*'Plan mensual'!M313+parametros_recargas!$J$83*'Plan mensual'!M314+parametros_recargas!$K$83*'Plan mensual'!M315+parametros_recargas!$L$83*'Plan mensual'!M316+parametros_recargas!$M$83*'Plan mensual'!M318</f>
        <v>14702.2777858526</v>
      </c>
      <c r="L297" s="26" t="n">
        <f aca="false">parametros_recargas!$E$83*'Plan mensual'!N309+parametros_recargas!$F$83*'Plan mensual'!N310+parametros_recargas!$G$83*'Plan mensual'!N311+parametros_recargas!$H$83*'Plan mensual'!N312+parametros_recargas!$I$83*'Plan mensual'!N313+parametros_recargas!$J$83*'Plan mensual'!N314+parametros_recargas!$K$83*'Plan mensual'!N315+parametros_recargas!$L$83*'Plan mensual'!N316+parametros_recargas!$M$83*'Plan mensual'!N318</f>
        <v>17342.0575767455</v>
      </c>
      <c r="M297" s="26" t="n">
        <f aca="false">parametros_recargas!$E$83*'Plan mensual'!O309+parametros_recargas!$F$83*'Plan mensual'!O310+parametros_recargas!$G$83*'Plan mensual'!O311+parametros_recargas!$H$83*'Plan mensual'!O312+parametros_recargas!$I$83*'Plan mensual'!O313+parametros_recargas!$J$83*'Plan mensual'!O314+parametros_recargas!$K$83*'Plan mensual'!O315+parametros_recargas!$L$83*'Plan mensual'!O316+parametros_recargas!$M$83*'Plan mensual'!O318</f>
        <v>20236.521967421</v>
      </c>
      <c r="N297" s="12" t="n">
        <f aca="false">SUM(B297:M297)</f>
        <v>193847.521709888</v>
      </c>
      <c r="O297" s="27" t="n">
        <f aca="false">MAX(B297:M297)</f>
        <v>20236.521967421</v>
      </c>
      <c r="P297" s="16" t="n">
        <f aca="false">O297/parametros_recargas!$B$6</f>
        <v>134.910146449474</v>
      </c>
    </row>
    <row r="298" customFormat="false" ht="15" hidden="false" customHeight="false" outlineLevel="0" collapsed="false">
      <c r="A298" s="6" t="str">
        <f aca="false">parametros_recargas!$B$84</f>
        <v>Desarme e inspección interior — zona general</v>
      </c>
      <c r="B298" s="26" t="n">
        <f aca="false">parametros_recargas!$E$84*'Plan mensual'!D309+parametros_recargas!$F$84*'Plan mensual'!D310+parametros_recargas!$G$84*'Plan mensual'!D311+parametros_recargas!$H$84*'Plan mensual'!D312+parametros_recargas!$I$84*'Plan mensual'!D313+parametros_recargas!$J$84*'Plan mensual'!D314+parametros_recargas!$K$84*'Plan mensual'!D315+parametros_recargas!$L$84*'Plan mensual'!D316+parametros_recargas!$M$84*'Plan mensual'!D318</f>
        <v>1167.40044850491</v>
      </c>
      <c r="C298" s="26" t="n">
        <f aca="false">parametros_recargas!$E$84*'Plan mensual'!E309+parametros_recargas!$F$84*'Plan mensual'!E310+parametros_recargas!$G$84*'Plan mensual'!E311+parametros_recargas!$H$84*'Plan mensual'!E312+parametros_recargas!$I$84*'Plan mensual'!E313+parametros_recargas!$J$84*'Plan mensual'!E314+parametros_recargas!$K$84*'Plan mensual'!E315+parametros_recargas!$L$84*'Plan mensual'!E316+parametros_recargas!$M$84*'Plan mensual'!E318</f>
        <v>1167.40044850491</v>
      </c>
      <c r="D298" s="26" t="n">
        <f aca="false">parametros_recargas!$E$84*'Plan mensual'!F309+parametros_recargas!$F$84*'Plan mensual'!F310+parametros_recargas!$G$84*'Plan mensual'!F311+parametros_recargas!$H$84*'Plan mensual'!F312+parametros_recargas!$I$84*'Plan mensual'!F313+parametros_recargas!$J$84*'Plan mensual'!F314+parametros_recargas!$K$84*'Plan mensual'!F315+parametros_recargas!$L$84*'Plan mensual'!F316+parametros_recargas!$M$84*'Plan mensual'!F318</f>
        <v>1361.67215128773</v>
      </c>
      <c r="E298" s="26" t="n">
        <f aca="false">parametros_recargas!$E$84*'Plan mensual'!G309+parametros_recargas!$F$84*'Plan mensual'!G310+parametros_recargas!$G$84*'Plan mensual'!G311+parametros_recargas!$H$84*'Plan mensual'!G312+parametros_recargas!$I$84*'Plan mensual'!G313+parametros_recargas!$J$84*'Plan mensual'!G314+parametros_recargas!$K$84*'Plan mensual'!G315+parametros_recargas!$L$84*'Plan mensual'!G316+parametros_recargas!$M$84*'Plan mensual'!G318</f>
        <v>1552.21530348422</v>
      </c>
      <c r="F298" s="26" t="n">
        <f aca="false">parametros_recargas!$E$84*'Plan mensual'!H309+parametros_recargas!$F$84*'Plan mensual'!H310+parametros_recargas!$G$84*'Plan mensual'!H311+parametros_recargas!$H$84*'Plan mensual'!H312+parametros_recargas!$I$84*'Plan mensual'!H313+parametros_recargas!$J$84*'Plan mensual'!H314+parametros_recargas!$K$84*'Plan mensual'!H315+parametros_recargas!$L$84*'Plan mensual'!H316+parametros_recargas!$M$84*'Plan mensual'!H318</f>
        <v>1564.21367313844</v>
      </c>
      <c r="G298" s="26" t="n">
        <f aca="false">parametros_recargas!$E$84*'Plan mensual'!I309+parametros_recargas!$F$84*'Plan mensual'!I310+parametros_recargas!$G$84*'Plan mensual'!I311+parametros_recargas!$H$84*'Plan mensual'!I312+parametros_recargas!$I$84*'Plan mensual'!I313+parametros_recargas!$J$84*'Plan mensual'!I314+parametros_recargas!$K$84*'Plan mensual'!I315+parametros_recargas!$L$84*'Plan mensual'!I316+parametros_recargas!$M$84*'Plan mensual'!I318</f>
        <v>1533.89023599572</v>
      </c>
      <c r="H298" s="26" t="n">
        <f aca="false">parametros_recargas!$E$84*'Plan mensual'!J309+parametros_recargas!$F$84*'Plan mensual'!J310+parametros_recargas!$G$84*'Plan mensual'!J311+parametros_recargas!$H$84*'Plan mensual'!J312+parametros_recargas!$I$84*'Plan mensual'!J313+parametros_recargas!$J$84*'Plan mensual'!J314+parametros_recargas!$K$84*'Plan mensual'!J315+parametros_recargas!$L$84*'Plan mensual'!J316+parametros_recargas!$M$84*'Plan mensual'!J318</f>
        <v>1312.44287319192</v>
      </c>
      <c r="I298" s="26" t="n">
        <f aca="false">parametros_recargas!$E$84*'Plan mensual'!K309+parametros_recargas!$F$84*'Plan mensual'!K310+parametros_recargas!$G$84*'Plan mensual'!K311+parametros_recargas!$H$84*'Plan mensual'!K312+parametros_recargas!$I$84*'Plan mensual'!K313+parametros_recargas!$J$84*'Plan mensual'!K314+parametros_recargas!$K$84*'Plan mensual'!K315+parametros_recargas!$L$84*'Plan mensual'!K316+parametros_recargas!$M$84*'Plan mensual'!K318</f>
        <v>1321.29346572439</v>
      </c>
      <c r="J298" s="26" t="n">
        <f aca="false">parametros_recargas!$E$84*'Plan mensual'!L309+parametros_recargas!$F$84*'Plan mensual'!L310+parametros_recargas!$G$84*'Plan mensual'!L311+parametros_recargas!$H$84*'Plan mensual'!L312+parametros_recargas!$I$84*'Plan mensual'!L313+parametros_recargas!$J$84*'Plan mensual'!L314+parametros_recargas!$K$84*'Plan mensual'!L315+parametros_recargas!$L$84*'Plan mensual'!L316+parametros_recargas!$M$84*'Plan mensual'!L318</f>
        <v>1349.55723399785</v>
      </c>
      <c r="K298" s="26" t="n">
        <f aca="false">parametros_recargas!$E$84*'Plan mensual'!M309+parametros_recargas!$F$84*'Plan mensual'!M310+parametros_recargas!$G$84*'Plan mensual'!M311+parametros_recargas!$H$84*'Plan mensual'!M312+parametros_recargas!$I$84*'Plan mensual'!M313+parametros_recargas!$J$84*'Plan mensual'!M314+parametros_recargas!$K$84*'Plan mensual'!M315+parametros_recargas!$L$84*'Plan mensual'!M316+parametros_recargas!$M$84*'Plan mensual'!M318</f>
        <v>1349.55723399785</v>
      </c>
      <c r="L298" s="26" t="n">
        <f aca="false">parametros_recargas!$E$84*'Plan mensual'!N309+parametros_recargas!$F$84*'Plan mensual'!N310+parametros_recargas!$G$84*'Plan mensual'!N311+parametros_recargas!$H$84*'Plan mensual'!N312+parametros_recargas!$I$84*'Plan mensual'!N313+parametros_recargas!$J$84*'Plan mensual'!N314+parametros_recargas!$K$84*'Plan mensual'!N315+parametros_recargas!$L$84*'Plan mensual'!N316+parametros_recargas!$M$84*'Plan mensual'!N318</f>
        <v>1337.55886434363</v>
      </c>
      <c r="M298" s="26" t="n">
        <f aca="false">parametros_recargas!$E$84*'Plan mensual'!O309+parametros_recargas!$F$84*'Plan mensual'!O310+parametros_recargas!$G$84*'Plan mensual'!O311+parametros_recargas!$H$84*'Plan mensual'!O312+parametros_recargas!$I$84*'Plan mensual'!O313+parametros_recargas!$J$84*'Plan mensual'!O314+parametros_recargas!$K$84*'Plan mensual'!O315+parametros_recargas!$L$84*'Plan mensual'!O316+parametros_recargas!$M$84*'Plan mensual'!O318</f>
        <v>1367.88230148635</v>
      </c>
      <c r="N298" s="12" t="n">
        <f aca="false">SUM(B298:M298)</f>
        <v>16385.0842336579</v>
      </c>
      <c r="O298" s="27" t="n">
        <f aca="false">MAX(B298:M298)</f>
        <v>1564.21367313844</v>
      </c>
      <c r="P298" s="16" t="n">
        <f aca="false">O298/parametros_recargas!$B$6</f>
        <v>10.4280911542563</v>
      </c>
    </row>
    <row r="299" customFormat="false" ht="15" hidden="false" customHeight="false" outlineLevel="0" collapsed="false">
      <c r="A299" s="6" t="str">
        <f aca="false">parametros_recargas!$B$85</f>
        <v>Laboratorio — Puffer y mufla</v>
      </c>
      <c r="B299" s="26" t="n">
        <f aca="false">parametros_recargas!$E$85*'Plan mensual'!D309+parametros_recargas!$F$85*'Plan mensual'!D310+parametros_recargas!$G$85*'Plan mensual'!D311+parametros_recargas!$H$85*'Plan mensual'!D312+parametros_recargas!$I$85*'Plan mensual'!D313+parametros_recargas!$J$85*'Plan mensual'!D314+parametros_recargas!$K$85*'Plan mensual'!D315+parametros_recargas!$L$85*'Plan mensual'!D316+parametros_recargas!$M$85*'Plan mensual'!D318</f>
        <v>195.098217274466</v>
      </c>
      <c r="C299" s="26" t="n">
        <f aca="false">parametros_recargas!$E$85*'Plan mensual'!E309+parametros_recargas!$F$85*'Plan mensual'!E310+parametros_recargas!$G$85*'Plan mensual'!E311+parametros_recargas!$H$85*'Plan mensual'!E312+parametros_recargas!$I$85*'Plan mensual'!E313+parametros_recargas!$J$85*'Plan mensual'!E314+parametros_recargas!$K$85*'Plan mensual'!E315+parametros_recargas!$L$85*'Plan mensual'!E316+parametros_recargas!$M$85*'Plan mensual'!E318</f>
        <v>166.495903329867</v>
      </c>
      <c r="D299" s="26" t="n">
        <f aca="false">parametros_recargas!$E$85*'Plan mensual'!F309+parametros_recargas!$F$85*'Plan mensual'!F310+parametros_recargas!$G$85*'Plan mensual'!F311+parametros_recargas!$H$85*'Plan mensual'!F312+parametros_recargas!$I$85*'Plan mensual'!F313+parametros_recargas!$J$85*'Plan mensual'!F314+parametros_recargas!$K$85*'Plan mensual'!F315+parametros_recargas!$L$85*'Plan mensual'!F316+parametros_recargas!$M$85*'Plan mensual'!F318</f>
        <v>152.725061196418</v>
      </c>
      <c r="E299" s="26" t="n">
        <f aca="false">parametros_recargas!$E$85*'Plan mensual'!G309+parametros_recargas!$F$85*'Plan mensual'!G310+parametros_recargas!$G$85*'Plan mensual'!G311+parametros_recargas!$H$85*'Plan mensual'!G312+parametros_recargas!$I$85*'Plan mensual'!G313+parametros_recargas!$J$85*'Plan mensual'!G314+parametros_recargas!$K$85*'Plan mensual'!G315+parametros_recargas!$L$85*'Plan mensual'!G316+parametros_recargas!$M$85*'Plan mensual'!G318</f>
        <v>166.830695482359</v>
      </c>
      <c r="F299" s="26" t="n">
        <f aca="false">parametros_recargas!$E$85*'Plan mensual'!H309+parametros_recargas!$F$85*'Plan mensual'!H310+parametros_recargas!$G$85*'Plan mensual'!H311+parametros_recargas!$H$85*'Plan mensual'!H312+parametros_recargas!$I$85*'Plan mensual'!H313+parametros_recargas!$J$85*'Plan mensual'!H314+parametros_recargas!$K$85*'Plan mensual'!H315+parametros_recargas!$L$85*'Plan mensual'!H316+parametros_recargas!$M$85*'Plan mensual'!H318</f>
        <v>167.961370342729</v>
      </c>
      <c r="G299" s="26" t="n">
        <f aca="false">parametros_recargas!$E$85*'Plan mensual'!I309+parametros_recargas!$F$85*'Plan mensual'!I310+parametros_recargas!$G$85*'Plan mensual'!I311+parametros_recargas!$H$85*'Plan mensual'!I312+parametros_recargas!$I$85*'Plan mensual'!I313+parametros_recargas!$J$85*'Plan mensual'!I314+parametros_recargas!$K$85*'Plan mensual'!I315+parametros_recargas!$L$85*'Plan mensual'!I316+parametros_recargas!$M$85*'Plan mensual'!I318</f>
        <v>166.441595559655</v>
      </c>
      <c r="H299" s="26" t="n">
        <f aca="false">parametros_recargas!$E$85*'Plan mensual'!J309+parametros_recargas!$F$85*'Plan mensual'!J310+parametros_recargas!$G$85*'Plan mensual'!J311+parametros_recargas!$H$85*'Plan mensual'!J312+parametros_recargas!$I$85*'Plan mensual'!J313+parametros_recargas!$J$85*'Plan mensual'!J314+parametros_recargas!$K$85*'Plan mensual'!J315+parametros_recargas!$L$85*'Plan mensual'!J316+parametros_recargas!$M$85*'Plan mensual'!J318</f>
        <v>149.888800295872</v>
      </c>
      <c r="I299" s="26" t="n">
        <f aca="false">parametros_recargas!$E$85*'Plan mensual'!K309+parametros_recargas!$F$85*'Plan mensual'!K310+parametros_recargas!$G$85*'Plan mensual'!K311+parametros_recargas!$H$85*'Plan mensual'!K312+parametros_recargas!$I$85*'Plan mensual'!K313+parametros_recargas!$J$85*'Plan mensual'!K314+parametros_recargas!$K$85*'Plan mensual'!K315+parametros_recargas!$L$85*'Plan mensual'!K316+parametros_recargas!$M$85*'Plan mensual'!K318</f>
        <v>151.221023825801</v>
      </c>
      <c r="J299" s="26" t="n">
        <f aca="false">parametros_recargas!$E$85*'Plan mensual'!L309+parametros_recargas!$F$85*'Plan mensual'!L310+parametros_recargas!$G$85*'Plan mensual'!L311+parametros_recargas!$H$85*'Plan mensual'!L312+parametros_recargas!$I$85*'Plan mensual'!L313+parametros_recargas!$J$85*'Plan mensual'!L314+parametros_recargas!$K$85*'Plan mensual'!L315+parametros_recargas!$L$85*'Plan mensual'!L316+parametros_recargas!$M$85*'Plan mensual'!L318</f>
        <v>152.554969875448</v>
      </c>
      <c r="K299" s="26" t="n">
        <f aca="false">parametros_recargas!$E$85*'Plan mensual'!M309+parametros_recargas!$F$85*'Plan mensual'!M310+parametros_recargas!$G$85*'Plan mensual'!M311+parametros_recargas!$H$85*'Plan mensual'!M312+parametros_recargas!$I$85*'Plan mensual'!M313+parametros_recargas!$J$85*'Plan mensual'!M314+parametros_recargas!$K$85*'Plan mensual'!M315+parametros_recargas!$L$85*'Plan mensual'!M316+parametros_recargas!$M$85*'Plan mensual'!M318</f>
        <v>152.554969875448</v>
      </c>
      <c r="L299" s="26" t="n">
        <f aca="false">parametros_recargas!$E$85*'Plan mensual'!N309+parametros_recargas!$F$85*'Plan mensual'!N310+parametros_recargas!$G$85*'Plan mensual'!N311+parametros_recargas!$H$85*'Plan mensual'!N312+parametros_recargas!$I$85*'Plan mensual'!N313+parametros_recargas!$J$85*'Plan mensual'!N314+parametros_recargas!$K$85*'Plan mensual'!N315+parametros_recargas!$L$85*'Plan mensual'!N316+parametros_recargas!$M$85*'Plan mensual'!N318</f>
        <v>180.026608959677</v>
      </c>
      <c r="M299" s="26" t="n">
        <f aca="false">parametros_recargas!$E$85*'Plan mensual'!O309+parametros_recargas!$F$85*'Plan mensual'!O310+parametros_recargas!$G$85*'Plan mensual'!O311+parametros_recargas!$H$85*'Plan mensual'!O312+parametros_recargas!$I$85*'Plan mensual'!O313+parametros_recargas!$J$85*'Plan mensual'!O314+parametros_recargas!$K$85*'Plan mensual'!O315+parametros_recargas!$L$85*'Plan mensual'!O316+parametros_recargas!$M$85*'Plan mensual'!O318</f>
        <v>210.14869768735</v>
      </c>
      <c r="N299" s="12" t="n">
        <f aca="false">SUM(B299:M299)</f>
        <v>2011.94791370509</v>
      </c>
      <c r="O299" s="27" t="n">
        <f aca="false">MAX(B299:M299)</f>
        <v>210.14869768735</v>
      </c>
      <c r="P299" s="16" t="n">
        <f aca="false">O299/parametros_recargas!$B$6</f>
        <v>1.40099131791567</v>
      </c>
    </row>
    <row r="300" customFormat="false" ht="15" hidden="false" customHeight="false" outlineLevel="0" collapsed="false">
      <c r="A300" s="6" t="str">
        <f aca="false">parametros_recargas!$B$86</f>
        <v>Prueba hidráulica</v>
      </c>
      <c r="B300" s="26" t="n">
        <f aca="false">parametros_recargas!$E$86*'Plan mensual'!D309+parametros_recargas!$F$86*'Plan mensual'!D310+parametros_recargas!$G$86*'Plan mensual'!D311+parametros_recargas!$H$86*'Plan mensual'!D312+parametros_recargas!$I$86*'Plan mensual'!D313+parametros_recargas!$J$86*'Plan mensual'!D314+parametros_recargas!$K$86*'Plan mensual'!D315+parametros_recargas!$L$86*'Plan mensual'!D316+parametros_recargas!$M$86*'Plan mensual'!D318</f>
        <v>5438.96083678984</v>
      </c>
      <c r="C300" s="26" t="n">
        <f aca="false">parametros_recargas!$E$86*'Plan mensual'!E309+parametros_recargas!$F$86*'Plan mensual'!E310+parametros_recargas!$G$86*'Plan mensual'!E311+parametros_recargas!$H$86*'Plan mensual'!E312+parametros_recargas!$I$86*'Plan mensual'!E313+parametros_recargas!$J$86*'Plan mensual'!E314+parametros_recargas!$K$86*'Plan mensual'!E315+parametros_recargas!$L$86*'Plan mensual'!E316+parametros_recargas!$M$86*'Plan mensual'!E318</f>
        <v>4751.8539436388</v>
      </c>
      <c r="D300" s="26" t="n">
        <f aca="false">parametros_recargas!$E$86*'Plan mensual'!F309+parametros_recargas!$F$86*'Plan mensual'!F310+parametros_recargas!$G$86*'Plan mensual'!F311+parametros_recargas!$H$86*'Plan mensual'!F312+parametros_recargas!$I$86*'Plan mensual'!F313+parametros_recargas!$J$86*'Plan mensual'!F314+parametros_recargas!$K$86*'Plan mensual'!F315+parametros_recargas!$L$86*'Plan mensual'!F316+parametros_recargas!$M$86*'Plan mensual'!F318</f>
        <v>4552.88729138705</v>
      </c>
      <c r="E300" s="26" t="n">
        <f aca="false">parametros_recargas!$E$86*'Plan mensual'!G309+parametros_recargas!$F$86*'Plan mensual'!G310+parametros_recargas!$G$86*'Plan mensual'!G311+parametros_recargas!$H$86*'Plan mensual'!G312+parametros_recargas!$I$86*'Plan mensual'!G313+parametros_recargas!$J$86*'Plan mensual'!G314+parametros_recargas!$K$86*'Plan mensual'!G315+parametros_recargas!$L$86*'Plan mensual'!G316+parametros_recargas!$M$86*'Plan mensual'!G318</f>
        <v>5021.33046285583</v>
      </c>
      <c r="F300" s="26" t="n">
        <f aca="false">parametros_recargas!$E$86*'Plan mensual'!H309+parametros_recargas!$F$86*'Plan mensual'!H310+parametros_recargas!$G$86*'Plan mensual'!H311+parametros_recargas!$H$86*'Plan mensual'!H312+parametros_recargas!$I$86*'Plan mensual'!H313+parametros_recargas!$J$86*'Plan mensual'!H314+parametros_recargas!$K$86*'Plan mensual'!H315+parametros_recargas!$L$86*'Plan mensual'!H316+parametros_recargas!$M$86*'Plan mensual'!H318</f>
        <v>5056.10496692949</v>
      </c>
      <c r="G300" s="26" t="n">
        <f aca="false">parametros_recargas!$E$86*'Plan mensual'!I309+parametros_recargas!$F$86*'Plan mensual'!I310+parametros_recargas!$G$86*'Plan mensual'!I311+parametros_recargas!$H$86*'Plan mensual'!I312+parametros_recargas!$I$86*'Plan mensual'!I313+parametros_recargas!$J$86*'Plan mensual'!I314+parametros_recargas!$K$86*'Plan mensual'!I315+parametros_recargas!$L$86*'Plan mensual'!I316+parametros_recargas!$M$86*'Plan mensual'!I318</f>
        <v>4999.68419532401</v>
      </c>
      <c r="H300" s="26" t="n">
        <f aca="false">parametros_recargas!$E$86*'Plan mensual'!J309+parametros_recargas!$F$86*'Plan mensual'!J310+parametros_recargas!$G$86*'Plan mensual'!J311+parametros_recargas!$H$86*'Plan mensual'!J312+parametros_recargas!$I$86*'Plan mensual'!J313+parametros_recargas!$J$86*'Plan mensual'!J314+parametros_recargas!$K$86*'Plan mensual'!J315+parametros_recargas!$L$86*'Plan mensual'!J316+parametros_recargas!$M$86*'Plan mensual'!J318</f>
        <v>4452.89422781425</v>
      </c>
      <c r="I300" s="26" t="n">
        <f aca="false">parametros_recargas!$E$86*'Plan mensual'!K309+parametros_recargas!$F$86*'Plan mensual'!K310+parametros_recargas!$G$86*'Plan mensual'!K311+parametros_recargas!$H$86*'Plan mensual'!K312+parametros_recargas!$I$86*'Plan mensual'!K313+parametros_recargas!$J$86*'Plan mensual'!K314+parametros_recargas!$K$86*'Plan mensual'!K315+parametros_recargas!$L$86*'Plan mensual'!K316+parametros_recargas!$M$86*'Plan mensual'!K318</f>
        <v>4489.8976868929</v>
      </c>
      <c r="J300" s="26" t="n">
        <f aca="false">parametros_recargas!$E$86*'Plan mensual'!L309+parametros_recargas!$F$86*'Plan mensual'!L310+parametros_recargas!$G$86*'Plan mensual'!L311+parametros_recargas!$H$86*'Plan mensual'!L312+parametros_recargas!$I$86*'Plan mensual'!L313+parametros_recargas!$J$86*'Plan mensual'!L314+parametros_recargas!$K$86*'Plan mensual'!L315+parametros_recargas!$L$86*'Plan mensual'!L316+parametros_recargas!$M$86*'Plan mensual'!L318</f>
        <v>4540.38151820463</v>
      </c>
      <c r="K300" s="26" t="n">
        <f aca="false">parametros_recargas!$E$86*'Plan mensual'!M309+parametros_recargas!$F$86*'Plan mensual'!M310+parametros_recargas!$G$86*'Plan mensual'!M311+parametros_recargas!$H$86*'Plan mensual'!M312+parametros_recargas!$I$86*'Plan mensual'!M313+parametros_recargas!$J$86*'Plan mensual'!M314+parametros_recargas!$K$86*'Plan mensual'!M315+parametros_recargas!$L$86*'Plan mensual'!M316+parametros_recargas!$M$86*'Plan mensual'!M318</f>
        <v>4540.38151820463</v>
      </c>
      <c r="L300" s="26" t="n">
        <f aca="false">parametros_recargas!$E$86*'Plan mensual'!N309+parametros_recargas!$F$86*'Plan mensual'!N310+parametros_recargas!$G$86*'Plan mensual'!N311+parametros_recargas!$H$86*'Plan mensual'!N312+parametros_recargas!$I$86*'Plan mensual'!N313+parametros_recargas!$J$86*'Plan mensual'!N314+parametros_recargas!$K$86*'Plan mensual'!N315+parametros_recargas!$L$86*'Plan mensual'!N316+parametros_recargas!$M$86*'Plan mensual'!N318</f>
        <v>5192.71390728201</v>
      </c>
      <c r="M300" s="26" t="n">
        <f aca="false">parametros_recargas!$E$86*'Plan mensual'!O309+parametros_recargas!$F$86*'Plan mensual'!O310+parametros_recargas!$G$86*'Plan mensual'!O311+parametros_recargas!$H$86*'Plan mensual'!O312+parametros_recargas!$I$86*'Plan mensual'!O313+parametros_recargas!$J$86*'Plan mensual'!O314+parametros_recargas!$K$86*'Plan mensual'!O315+parametros_recargas!$L$86*'Plan mensual'!O316+parametros_recargas!$M$86*'Plan mensual'!O318</f>
        <v>5936.24157203853</v>
      </c>
      <c r="N300" s="12" t="n">
        <f aca="false">SUM(B300:M300)</f>
        <v>58973.332127362</v>
      </c>
      <c r="O300" s="27" t="n">
        <f aca="false">MAX(B300:M300)</f>
        <v>5936.24157203853</v>
      </c>
      <c r="P300" s="16" t="n">
        <f aca="false">O300/parametros_recargas!$B$6</f>
        <v>39.5749438135902</v>
      </c>
    </row>
    <row r="301" customFormat="false" ht="15" hidden="false" customHeight="false" outlineLevel="0" collapsed="false">
      <c r="A301" s="6" t="str">
        <f aca="false">parametros_recargas!$B$87</f>
        <v>Secado</v>
      </c>
      <c r="B301" s="26" t="n">
        <f aca="false">parametros_recargas!$E$87*'Plan mensual'!D309+parametros_recargas!$F$87*'Plan mensual'!D310+parametros_recargas!$G$87*'Plan mensual'!D311+parametros_recargas!$H$87*'Plan mensual'!D312+parametros_recargas!$I$87*'Plan mensual'!D313+parametros_recargas!$J$87*'Plan mensual'!D314+parametros_recargas!$K$87*'Plan mensual'!D315+parametros_recargas!$L$87*'Plan mensual'!D316+parametros_recargas!$M$87*'Plan mensual'!D318</f>
        <v>5182.73038833745</v>
      </c>
      <c r="C301" s="26" t="n">
        <f aca="false">parametros_recargas!$E$87*'Plan mensual'!E309+parametros_recargas!$F$87*'Plan mensual'!E310+parametros_recargas!$G$87*'Plan mensual'!E311+parametros_recargas!$H$87*'Plan mensual'!E312+parametros_recargas!$I$87*'Plan mensual'!E313+parametros_recargas!$J$87*'Plan mensual'!E314+parametros_recargas!$K$87*'Plan mensual'!E315+parametros_recargas!$L$87*'Plan mensual'!E316+parametros_recargas!$M$87*'Plan mensual'!E318</f>
        <v>4468.13921946037</v>
      </c>
      <c r="D301" s="26" t="n">
        <f aca="false">parametros_recargas!$E$87*'Plan mensual'!F309+parametros_recargas!$F$87*'Plan mensual'!F310+parametros_recargas!$G$87*'Plan mensual'!F311+parametros_recargas!$H$87*'Plan mensual'!F312+parametros_recargas!$I$87*'Plan mensual'!F313+parametros_recargas!$J$87*'Plan mensual'!F314+parametros_recargas!$K$87*'Plan mensual'!F315+parametros_recargas!$L$87*'Plan mensual'!F316+parametros_recargas!$M$87*'Plan mensual'!F318</f>
        <v>4197.28691855213</v>
      </c>
      <c r="E301" s="26" t="n">
        <f aca="false">parametros_recargas!$E$87*'Plan mensual'!G309+parametros_recargas!$F$87*'Plan mensual'!G310+parametros_recargas!$G$87*'Plan mensual'!G311+parametros_recargas!$H$87*'Plan mensual'!G312+parametros_recargas!$I$87*'Plan mensual'!G313+parametros_recargas!$J$87*'Plan mensual'!G314+parametros_recargas!$K$87*'Plan mensual'!G315+parametros_recargas!$L$87*'Plan mensual'!G316+parametros_recargas!$M$87*'Plan mensual'!G318</f>
        <v>4622.60347389851</v>
      </c>
      <c r="F301" s="26" t="n">
        <f aca="false">parametros_recargas!$E$87*'Plan mensual'!H309+parametros_recargas!$F$87*'Plan mensual'!H310+parametros_recargas!$G$87*'Plan mensual'!H311+parametros_recargas!$H$87*'Plan mensual'!H312+parametros_recargas!$I$87*'Plan mensual'!H313+parametros_recargas!$J$87*'Plan mensual'!H314+parametros_recargas!$K$87*'Plan mensual'!H315+parametros_recargas!$L$87*'Plan mensual'!H316+parametros_recargas!$M$87*'Plan mensual'!H318</f>
        <v>4653.83264813172</v>
      </c>
      <c r="G301" s="26" t="n">
        <f aca="false">parametros_recargas!$E$87*'Plan mensual'!I309+parametros_recargas!$F$87*'Plan mensual'!I310+parametros_recargas!$G$87*'Plan mensual'!I311+parametros_recargas!$H$87*'Plan mensual'!I312+parametros_recargas!$I$87*'Plan mensual'!I313+parametros_recargas!$J$87*'Plan mensual'!I314+parametros_recargas!$K$87*'Plan mensual'!I315+parametros_recargas!$L$87*'Plan mensual'!I316+parametros_recargas!$M$87*'Plan mensual'!I318</f>
        <v>4606.02360687429</v>
      </c>
      <c r="H301" s="26" t="n">
        <f aca="false">parametros_recargas!$E$87*'Plan mensual'!J309+parametros_recargas!$F$87*'Plan mensual'!J310+parametros_recargas!$G$87*'Plan mensual'!J311+parametros_recargas!$H$87*'Plan mensual'!J312+parametros_recargas!$I$87*'Plan mensual'!J313+parametros_recargas!$J$87*'Plan mensual'!J314+parametros_recargas!$K$87*'Plan mensual'!J315+parametros_recargas!$L$87*'Plan mensual'!J316+parametros_recargas!$M$87*'Plan mensual'!J318</f>
        <v>4112.03299147015</v>
      </c>
      <c r="I301" s="26" t="n">
        <f aca="false">parametros_recargas!$E$87*'Plan mensual'!K309+parametros_recargas!$F$87*'Plan mensual'!K310+parametros_recargas!$G$87*'Plan mensual'!K311+parametros_recargas!$H$87*'Plan mensual'!K312+parametros_recargas!$I$87*'Plan mensual'!K313+parametros_recargas!$J$87*'Plan mensual'!K314+parametros_recargas!$K$87*'Plan mensual'!K315+parametros_recargas!$L$87*'Plan mensual'!K316+parametros_recargas!$M$87*'Plan mensual'!K318</f>
        <v>4145.70487188124</v>
      </c>
      <c r="J301" s="26" t="n">
        <f aca="false">parametros_recargas!$E$87*'Plan mensual'!L309+parametros_recargas!$F$87*'Plan mensual'!L310+parametros_recargas!$G$87*'Plan mensual'!L311+parametros_recargas!$H$87*'Plan mensual'!L312+parametros_recargas!$I$87*'Plan mensual'!L313+parametros_recargas!$J$87*'Plan mensual'!L314+parametros_recargas!$K$87*'Plan mensual'!L315+parametros_recargas!$L$87*'Plan mensual'!L316+parametros_recargas!$M$87*'Plan mensual'!L318</f>
        <v>4187.87122402267</v>
      </c>
      <c r="K301" s="26" t="n">
        <f aca="false">parametros_recargas!$E$87*'Plan mensual'!M309+parametros_recargas!$F$87*'Plan mensual'!M310+parametros_recargas!$G$87*'Plan mensual'!M311+parametros_recargas!$H$87*'Plan mensual'!M312+parametros_recargas!$I$87*'Plan mensual'!M313+parametros_recargas!$J$87*'Plan mensual'!M314+parametros_recargas!$K$87*'Plan mensual'!M315+parametros_recargas!$L$87*'Plan mensual'!M316+parametros_recargas!$M$87*'Plan mensual'!M318</f>
        <v>4187.87122402267</v>
      </c>
      <c r="L301" s="26" t="n">
        <f aca="false">parametros_recargas!$E$87*'Plan mensual'!N309+parametros_recargas!$F$87*'Plan mensual'!N310+parametros_recargas!$G$87*'Plan mensual'!N311+parametros_recargas!$H$87*'Plan mensual'!N312+parametros_recargas!$I$87*'Plan mensual'!N313+parametros_recargas!$J$87*'Plan mensual'!N314+parametros_recargas!$K$87*'Plan mensual'!N315+parametros_recargas!$L$87*'Plan mensual'!N316+parametros_recargas!$M$87*'Plan mensual'!N318</f>
        <v>4871.23321866654</v>
      </c>
      <c r="M301" s="26" t="n">
        <f aca="false">parametros_recargas!$E$87*'Plan mensual'!O309+parametros_recargas!$F$87*'Plan mensual'!O310+parametros_recargas!$G$87*'Plan mensual'!O311+parametros_recargas!$H$87*'Plan mensual'!O312+parametros_recargas!$I$87*'Plan mensual'!O313+parametros_recargas!$J$87*'Plan mensual'!O314+parametros_recargas!$K$87*'Plan mensual'!O315+parametros_recargas!$L$87*'Plan mensual'!O316+parametros_recargas!$M$87*'Plan mensual'!O318</f>
        <v>5633.63342880105</v>
      </c>
      <c r="N301" s="12" t="n">
        <f aca="false">SUM(B301:M301)</f>
        <v>54868.9632141188</v>
      </c>
      <c r="O301" s="27" t="n">
        <f aca="false">MAX(B301:M301)</f>
        <v>5633.63342880105</v>
      </c>
      <c r="P301" s="16" t="n">
        <f aca="false">O301/parametros_recargas!$B$6</f>
        <v>37.557556192007</v>
      </c>
    </row>
    <row r="302" customFormat="false" ht="15" hidden="false" customHeight="false" outlineLevel="0" collapsed="false">
      <c r="A302" s="6" t="str">
        <f aca="false">parametros_recargas!$B$88</f>
        <v>Inspección interior con videoscopio</v>
      </c>
      <c r="B302" s="26" t="n">
        <f aca="false">parametros_recargas!$E$88*'Plan mensual'!D309+parametros_recargas!$F$88*'Plan mensual'!D310+parametros_recargas!$G$88*'Plan mensual'!D311+parametros_recargas!$H$88*'Plan mensual'!D312+parametros_recargas!$I$88*'Plan mensual'!D313+parametros_recargas!$J$88*'Plan mensual'!D314+parametros_recargas!$K$88*'Plan mensual'!D315+parametros_recargas!$L$88*'Plan mensual'!D316+parametros_recargas!$M$88*'Plan mensual'!D318</f>
        <v>5182.73038833745</v>
      </c>
      <c r="C302" s="26" t="n">
        <f aca="false">parametros_recargas!$E$88*'Plan mensual'!E309+parametros_recargas!$F$88*'Plan mensual'!E310+parametros_recargas!$G$88*'Plan mensual'!E311+parametros_recargas!$H$88*'Plan mensual'!E312+parametros_recargas!$I$88*'Plan mensual'!E313+parametros_recargas!$J$88*'Plan mensual'!E314+parametros_recargas!$K$88*'Plan mensual'!E315+parametros_recargas!$L$88*'Plan mensual'!E316+parametros_recargas!$M$88*'Plan mensual'!E318</f>
        <v>4468.13921946037</v>
      </c>
      <c r="D302" s="26" t="n">
        <f aca="false">parametros_recargas!$E$88*'Plan mensual'!F309+parametros_recargas!$F$88*'Plan mensual'!F310+parametros_recargas!$G$88*'Plan mensual'!F311+parametros_recargas!$H$88*'Plan mensual'!F312+parametros_recargas!$I$88*'Plan mensual'!F313+parametros_recargas!$J$88*'Plan mensual'!F314+parametros_recargas!$K$88*'Plan mensual'!F315+parametros_recargas!$L$88*'Plan mensual'!F316+parametros_recargas!$M$88*'Plan mensual'!F318</f>
        <v>4197.28691855213</v>
      </c>
      <c r="E302" s="26" t="n">
        <f aca="false">parametros_recargas!$E$88*'Plan mensual'!G309+parametros_recargas!$F$88*'Plan mensual'!G310+parametros_recargas!$G$88*'Plan mensual'!G311+parametros_recargas!$H$88*'Plan mensual'!G312+parametros_recargas!$I$88*'Plan mensual'!G313+parametros_recargas!$J$88*'Plan mensual'!G314+parametros_recargas!$K$88*'Plan mensual'!G315+parametros_recargas!$L$88*'Plan mensual'!G316+parametros_recargas!$M$88*'Plan mensual'!G318</f>
        <v>4622.60347389851</v>
      </c>
      <c r="F302" s="26" t="n">
        <f aca="false">parametros_recargas!$E$88*'Plan mensual'!H309+parametros_recargas!$F$88*'Plan mensual'!H310+parametros_recargas!$G$88*'Plan mensual'!H311+parametros_recargas!$H$88*'Plan mensual'!H312+parametros_recargas!$I$88*'Plan mensual'!H313+parametros_recargas!$J$88*'Plan mensual'!H314+parametros_recargas!$K$88*'Plan mensual'!H315+parametros_recargas!$L$88*'Plan mensual'!H316+parametros_recargas!$M$88*'Plan mensual'!H318</f>
        <v>4653.83264813172</v>
      </c>
      <c r="G302" s="26" t="n">
        <f aca="false">parametros_recargas!$E$88*'Plan mensual'!I309+parametros_recargas!$F$88*'Plan mensual'!I310+parametros_recargas!$G$88*'Plan mensual'!I311+parametros_recargas!$H$88*'Plan mensual'!I312+parametros_recargas!$I$88*'Plan mensual'!I313+parametros_recargas!$J$88*'Plan mensual'!I314+parametros_recargas!$K$88*'Plan mensual'!I315+parametros_recargas!$L$88*'Plan mensual'!I316+parametros_recargas!$M$88*'Plan mensual'!I318</f>
        <v>4606.02360687429</v>
      </c>
      <c r="H302" s="26" t="n">
        <f aca="false">parametros_recargas!$E$88*'Plan mensual'!J309+parametros_recargas!$F$88*'Plan mensual'!J310+parametros_recargas!$G$88*'Plan mensual'!J311+parametros_recargas!$H$88*'Plan mensual'!J312+parametros_recargas!$I$88*'Plan mensual'!J313+parametros_recargas!$J$88*'Plan mensual'!J314+parametros_recargas!$K$88*'Plan mensual'!J315+parametros_recargas!$L$88*'Plan mensual'!J316+parametros_recargas!$M$88*'Plan mensual'!J318</f>
        <v>4112.03299147015</v>
      </c>
      <c r="I302" s="26" t="n">
        <f aca="false">parametros_recargas!$E$88*'Plan mensual'!K309+parametros_recargas!$F$88*'Plan mensual'!K310+parametros_recargas!$G$88*'Plan mensual'!K311+parametros_recargas!$H$88*'Plan mensual'!K312+parametros_recargas!$I$88*'Plan mensual'!K313+parametros_recargas!$J$88*'Plan mensual'!K314+parametros_recargas!$K$88*'Plan mensual'!K315+parametros_recargas!$L$88*'Plan mensual'!K316+parametros_recargas!$M$88*'Plan mensual'!K318</f>
        <v>4145.70487188124</v>
      </c>
      <c r="J302" s="26" t="n">
        <f aca="false">parametros_recargas!$E$88*'Plan mensual'!L309+parametros_recargas!$F$88*'Plan mensual'!L310+parametros_recargas!$G$88*'Plan mensual'!L311+parametros_recargas!$H$88*'Plan mensual'!L312+parametros_recargas!$I$88*'Plan mensual'!L313+parametros_recargas!$J$88*'Plan mensual'!L314+parametros_recargas!$K$88*'Plan mensual'!L315+parametros_recargas!$L$88*'Plan mensual'!L316+parametros_recargas!$M$88*'Plan mensual'!L318</f>
        <v>4187.87122402267</v>
      </c>
      <c r="K302" s="26" t="n">
        <f aca="false">parametros_recargas!$E$88*'Plan mensual'!M309+parametros_recargas!$F$88*'Plan mensual'!M310+parametros_recargas!$G$88*'Plan mensual'!M311+parametros_recargas!$H$88*'Plan mensual'!M312+parametros_recargas!$I$88*'Plan mensual'!M313+parametros_recargas!$J$88*'Plan mensual'!M314+parametros_recargas!$K$88*'Plan mensual'!M315+parametros_recargas!$L$88*'Plan mensual'!M316+parametros_recargas!$M$88*'Plan mensual'!M318</f>
        <v>4187.87122402267</v>
      </c>
      <c r="L302" s="26" t="n">
        <f aca="false">parametros_recargas!$E$88*'Plan mensual'!N309+parametros_recargas!$F$88*'Plan mensual'!N310+parametros_recargas!$G$88*'Plan mensual'!N311+parametros_recargas!$H$88*'Plan mensual'!N312+parametros_recargas!$I$88*'Plan mensual'!N313+parametros_recargas!$J$88*'Plan mensual'!N314+parametros_recargas!$K$88*'Plan mensual'!N315+parametros_recargas!$L$88*'Plan mensual'!N316+parametros_recargas!$M$88*'Plan mensual'!N318</f>
        <v>4871.23321866654</v>
      </c>
      <c r="M302" s="26" t="n">
        <f aca="false">parametros_recargas!$E$88*'Plan mensual'!O309+parametros_recargas!$F$88*'Plan mensual'!O310+parametros_recargas!$G$88*'Plan mensual'!O311+parametros_recargas!$H$88*'Plan mensual'!O312+parametros_recargas!$I$88*'Plan mensual'!O313+parametros_recargas!$J$88*'Plan mensual'!O314+parametros_recargas!$K$88*'Plan mensual'!O315+parametros_recargas!$L$88*'Plan mensual'!O316+parametros_recargas!$M$88*'Plan mensual'!O318</f>
        <v>5633.63342880105</v>
      </c>
      <c r="N302" s="12" t="n">
        <f aca="false">SUM(B302:M302)</f>
        <v>54868.9632141188</v>
      </c>
      <c r="O302" s="27" t="n">
        <f aca="false">MAX(B302:M302)</f>
        <v>5633.63342880105</v>
      </c>
      <c r="P302" s="16" t="n">
        <f aca="false">O302/parametros_recargas!$B$6</f>
        <v>37.557556192007</v>
      </c>
    </row>
    <row r="303" customFormat="false" ht="15" hidden="false" customHeight="false" outlineLevel="0" collapsed="false">
      <c r="A303" s="6" t="str">
        <f aca="false">parametros_recargas!$B$89</f>
        <v>Pintura</v>
      </c>
      <c r="B303" s="26" t="n">
        <f aca="false">parametros_recargas!$E$89*'Plan mensual'!D309+parametros_recargas!$F$89*'Plan mensual'!D310+parametros_recargas!$G$89*'Plan mensual'!D311+parametros_recargas!$H$89*'Plan mensual'!D312+parametros_recargas!$I$89*'Plan mensual'!D313+parametros_recargas!$J$89*'Plan mensual'!D314+parametros_recargas!$K$89*'Plan mensual'!D315+parametros_recargas!$L$89*'Plan mensual'!D316+parametros_recargas!$M$89*'Plan mensual'!D318</f>
        <v>3118.02372117568</v>
      </c>
      <c r="C303" s="26" t="n">
        <f aca="false">parametros_recargas!$E$89*'Plan mensual'!E309+parametros_recargas!$F$89*'Plan mensual'!E310+parametros_recargas!$G$89*'Plan mensual'!E311+parametros_recargas!$H$89*'Plan mensual'!E312+parametros_recargas!$I$89*'Plan mensual'!E313+parametros_recargas!$J$89*'Plan mensual'!E314+parametros_recargas!$K$89*'Plan mensual'!E315+parametros_recargas!$L$89*'Plan mensual'!E316+parametros_recargas!$M$89*'Plan mensual'!E318</f>
        <v>2705.75958528506</v>
      </c>
      <c r="D303" s="26" t="n">
        <f aca="false">parametros_recargas!$E$89*'Plan mensual'!F309+parametros_recargas!$F$89*'Plan mensual'!F310+parametros_recargas!$G$89*'Plan mensual'!F311+parametros_recargas!$H$89*'Plan mensual'!F312+parametros_recargas!$I$89*'Plan mensual'!F313+parametros_recargas!$J$89*'Plan mensual'!F314+parametros_recargas!$K$89*'Plan mensual'!F315+parametros_recargas!$L$89*'Plan mensual'!F316+parametros_recargas!$M$89*'Plan mensual'!F318</f>
        <v>2567.18403520655</v>
      </c>
      <c r="E303" s="26" t="n">
        <f aca="false">parametros_recargas!$E$89*'Plan mensual'!G309+parametros_recargas!$F$89*'Plan mensual'!G310+parametros_recargas!$G$89*'Plan mensual'!G311+parametros_recargas!$H$89*'Plan mensual'!G312+parametros_recargas!$I$89*'Plan mensual'!G313+parametros_recargas!$J$89*'Plan mensual'!G314+parametros_recargas!$K$89*'Plan mensual'!G315+parametros_recargas!$L$89*'Plan mensual'!G316+parametros_recargas!$M$89*'Plan mensual'!G318</f>
        <v>2829.69983383641</v>
      </c>
      <c r="F303" s="26" t="n">
        <f aca="false">parametros_recargas!$E$89*'Plan mensual'!H309+parametros_recargas!$F$89*'Plan mensual'!H310+parametros_recargas!$G$89*'Plan mensual'!H311+parametros_recargas!$H$89*'Plan mensual'!H312+parametros_recargas!$I$89*'Plan mensual'!H313+parametros_recargas!$J$89*'Plan mensual'!H314+parametros_recargas!$K$89*'Plan mensual'!H315+parametros_recargas!$L$89*'Plan mensual'!H316+parametros_recargas!$M$89*'Plan mensual'!H318</f>
        <v>2849.04867195631</v>
      </c>
      <c r="G303" s="26" t="n">
        <f aca="false">parametros_recargas!$E$89*'Plan mensual'!I309+parametros_recargas!$F$89*'Plan mensual'!I310+parametros_recargas!$G$89*'Plan mensual'!I311+parametros_recargas!$H$89*'Plan mensual'!I312+parametros_recargas!$I$89*'Plan mensual'!I313+parametros_recargas!$J$89*'Plan mensual'!I314+parametros_recargas!$K$89*'Plan mensual'!I315+parametros_recargas!$L$89*'Plan mensual'!I316+parametros_recargas!$M$89*'Plan mensual'!I318</f>
        <v>2818.49253214789</v>
      </c>
      <c r="H303" s="26" t="n">
        <f aca="false">parametros_recargas!$E$89*'Plan mensual'!J309+parametros_recargas!$F$89*'Plan mensual'!J310+parametros_recargas!$G$89*'Plan mensual'!J311+parametros_recargas!$H$89*'Plan mensual'!J312+parametros_recargas!$I$89*'Plan mensual'!J313+parametros_recargas!$J$89*'Plan mensual'!J314+parametros_recargas!$K$89*'Plan mensual'!J315+parametros_recargas!$L$89*'Plan mensual'!J316+parametros_recargas!$M$89*'Plan mensual'!J318</f>
        <v>2512.90386160786</v>
      </c>
      <c r="I303" s="26" t="n">
        <f aca="false">parametros_recargas!$E$89*'Plan mensual'!K309+parametros_recargas!$F$89*'Plan mensual'!K310+parametros_recargas!$G$89*'Plan mensual'!K311+parametros_recargas!$H$89*'Plan mensual'!K312+parametros_recargas!$I$89*'Plan mensual'!K313+parametros_recargas!$J$89*'Plan mensual'!K314+parametros_recargas!$K$89*'Plan mensual'!K315+parametros_recargas!$L$89*'Plan mensual'!K316+parametros_recargas!$M$89*'Plan mensual'!K318</f>
        <v>2533.59664464726</v>
      </c>
      <c r="J303" s="26" t="n">
        <f aca="false">parametros_recargas!$E$89*'Plan mensual'!L309+parametros_recargas!$F$89*'Plan mensual'!L310+parametros_recargas!$G$89*'Plan mensual'!L311+parametros_recargas!$H$89*'Plan mensual'!L312+parametros_recargas!$I$89*'Plan mensual'!L313+parametros_recargas!$J$89*'Plan mensual'!L314+parametros_recargas!$K$89*'Plan mensual'!L315+parametros_recargas!$L$89*'Plan mensual'!L316+parametros_recargas!$M$89*'Plan mensual'!L318</f>
        <v>2560.74536007316</v>
      </c>
      <c r="K303" s="26" t="n">
        <f aca="false">parametros_recargas!$E$89*'Plan mensual'!M309+parametros_recargas!$F$89*'Plan mensual'!M310+parametros_recargas!$G$89*'Plan mensual'!M311+parametros_recargas!$H$89*'Plan mensual'!M312+parametros_recargas!$I$89*'Plan mensual'!M313+parametros_recargas!$J$89*'Plan mensual'!M314+parametros_recargas!$K$89*'Plan mensual'!M315+parametros_recargas!$L$89*'Plan mensual'!M316+parametros_recargas!$M$89*'Plan mensual'!M318</f>
        <v>2560.74536007316</v>
      </c>
      <c r="L303" s="26" t="n">
        <f aca="false">parametros_recargas!$E$89*'Plan mensual'!N309+parametros_recargas!$F$89*'Plan mensual'!N310+parametros_recargas!$G$89*'Plan mensual'!N311+parametros_recargas!$H$89*'Plan mensual'!N312+parametros_recargas!$I$89*'Plan mensual'!N313+parametros_recargas!$J$89*'Plan mensual'!N314+parametros_recargas!$K$89*'Plan mensual'!N315+parametros_recargas!$L$89*'Plan mensual'!N316+parametros_recargas!$M$89*'Plan mensual'!N318</f>
        <v>2953.66065784388</v>
      </c>
      <c r="M303" s="26" t="n">
        <f aca="false">parametros_recargas!$E$89*'Plan mensual'!O309+parametros_recargas!$F$89*'Plan mensual'!O310+parametros_recargas!$G$89*'Plan mensual'!O311+parametros_recargas!$H$89*'Plan mensual'!O312+parametros_recargas!$I$89*'Plan mensual'!O313+parametros_recargas!$J$89*'Plan mensual'!O314+parametros_recargas!$K$89*'Plan mensual'!O315+parametros_recargas!$L$89*'Plan mensual'!O316+parametros_recargas!$M$89*'Plan mensual'!O318</f>
        <v>3396.48093354293</v>
      </c>
      <c r="N303" s="12" t="n">
        <f aca="false">SUM(B303:M303)</f>
        <v>33406.3411973961</v>
      </c>
      <c r="O303" s="27" t="n">
        <f aca="false">MAX(B303:M303)</f>
        <v>3396.48093354293</v>
      </c>
      <c r="P303" s="16" t="n">
        <f aca="false">O303/parametros_recargas!$B$6</f>
        <v>22.6432062236195</v>
      </c>
    </row>
    <row r="304" customFormat="false" ht="15" hidden="false" customHeight="false" outlineLevel="0" collapsed="false">
      <c r="A304" s="6" t="str">
        <f aca="false">parametros_recargas!$B$90</f>
        <v>Carga de polvo ABC, BC y Clase D</v>
      </c>
      <c r="B304" s="26" t="n">
        <f aca="false">parametros_recargas!$E$90*'Plan mensual'!D309+parametros_recargas!$F$90*'Plan mensual'!D310+parametros_recargas!$G$90*'Plan mensual'!D311+parametros_recargas!$H$90*'Plan mensual'!D312+parametros_recargas!$I$90*'Plan mensual'!D313+parametros_recargas!$J$90*'Plan mensual'!D314+parametros_recargas!$K$90*'Plan mensual'!D315+parametros_recargas!$L$90*'Plan mensual'!D316+parametros_recargas!$M$90*'Plan mensual'!D318</f>
        <v>18838.9309767539</v>
      </c>
      <c r="C304" s="26" t="n">
        <f aca="false">parametros_recargas!$E$90*'Plan mensual'!E309+parametros_recargas!$F$90*'Plan mensual'!E310+parametros_recargas!$G$90*'Plan mensual'!E311+parametros_recargas!$H$90*'Plan mensual'!E312+parametros_recargas!$I$90*'Plan mensual'!E313+parametros_recargas!$J$90*'Plan mensual'!E314+parametros_recargas!$K$90*'Plan mensual'!E315+parametros_recargas!$L$90*'Plan mensual'!E316+parametros_recargas!$M$90*'Plan mensual'!E318</f>
        <v>16087.1334519912</v>
      </c>
      <c r="D304" s="26" t="n">
        <f aca="false">parametros_recargas!$E$90*'Plan mensual'!F309+parametros_recargas!$F$90*'Plan mensual'!F310+parametros_recargas!$G$90*'Plan mensual'!F311+parametros_recargas!$H$90*'Plan mensual'!F312+parametros_recargas!$I$90*'Plan mensual'!F313+parametros_recargas!$J$90*'Plan mensual'!F314+parametros_recargas!$K$90*'Plan mensual'!F315+parametros_recargas!$L$90*'Plan mensual'!F316+parametros_recargas!$M$90*'Plan mensual'!F318</f>
        <v>14765.1691257465</v>
      </c>
      <c r="E304" s="26" t="n">
        <f aca="false">parametros_recargas!$E$90*'Plan mensual'!G309+parametros_recargas!$F$90*'Plan mensual'!G310+parametros_recargas!$G$90*'Plan mensual'!G311+parametros_recargas!$H$90*'Plan mensual'!G312+parametros_recargas!$I$90*'Plan mensual'!G313+parametros_recargas!$J$90*'Plan mensual'!G314+parametros_recargas!$K$90*'Plan mensual'!G315+parametros_recargas!$L$90*'Plan mensual'!G316+parametros_recargas!$M$90*'Plan mensual'!G318</f>
        <v>16120.5949236607</v>
      </c>
      <c r="F304" s="26" t="n">
        <f aca="false">parametros_recargas!$E$90*'Plan mensual'!H309+parametros_recargas!$F$90*'Plan mensual'!H310+parametros_recargas!$G$90*'Plan mensual'!H311+parametros_recargas!$H$90*'Plan mensual'!H312+parametros_recargas!$I$90*'Plan mensual'!H313+parametros_recargas!$J$90*'Plan mensual'!H314+parametros_recargas!$K$90*'Plan mensual'!H315+parametros_recargas!$L$90*'Plan mensual'!H316+parametros_recargas!$M$90*'Plan mensual'!H318</f>
        <v>16228.489905372</v>
      </c>
      <c r="G304" s="26" t="n">
        <f aca="false">parametros_recargas!$E$90*'Plan mensual'!I309+parametros_recargas!$F$90*'Plan mensual'!I310+parametros_recargas!$G$90*'Plan mensual'!I311+parametros_recargas!$H$90*'Plan mensual'!I312+parametros_recargas!$I$90*'Plan mensual'!I313+parametros_recargas!$J$90*'Plan mensual'!I314+parametros_recargas!$K$90*'Plan mensual'!I315+parametros_recargas!$L$90*'Plan mensual'!I316+parametros_recargas!$M$90*'Plan mensual'!I318</f>
        <v>16081.341535142</v>
      </c>
      <c r="H304" s="26" t="n">
        <f aca="false">parametros_recargas!$E$90*'Plan mensual'!J309+parametros_recargas!$F$90*'Plan mensual'!J310+parametros_recargas!$G$90*'Plan mensual'!J311+parametros_recargas!$H$90*'Plan mensual'!J312+parametros_recargas!$I$90*'Plan mensual'!J313+parametros_recargas!$J$90*'Plan mensual'!J314+parametros_recargas!$K$90*'Plan mensual'!J315+parametros_recargas!$L$90*'Plan mensual'!J316+parametros_recargas!$M$90*'Plan mensual'!J318</f>
        <v>14491.8769194153</v>
      </c>
      <c r="I304" s="26" t="n">
        <f aca="false">parametros_recargas!$E$90*'Plan mensual'!K309+parametros_recargas!$F$90*'Plan mensual'!K310+parametros_recargas!$G$90*'Plan mensual'!K311+parametros_recargas!$H$90*'Plan mensual'!K312+parametros_recargas!$I$90*'Plan mensual'!K313+parametros_recargas!$J$90*'Plan mensual'!K314+parametros_recargas!$K$90*'Plan mensual'!K315+parametros_recargas!$L$90*'Plan mensual'!K316+parametros_recargas!$M$90*'Plan mensual'!K318</f>
        <v>14619.8917328189</v>
      </c>
      <c r="J304" s="26" t="n">
        <f aca="false">parametros_recargas!$E$90*'Plan mensual'!L309+parametros_recargas!$F$90*'Plan mensual'!L310+parametros_recargas!$G$90*'Plan mensual'!L311+parametros_recargas!$H$90*'Plan mensual'!L312+parametros_recargas!$I$90*'Plan mensual'!L313+parametros_recargas!$J$90*'Plan mensual'!L314+parametros_recargas!$K$90*'Plan mensual'!L315+parametros_recargas!$L$90*'Plan mensual'!L316+parametros_recargas!$M$90*'Plan mensual'!L318</f>
        <v>14747.8926889434</v>
      </c>
      <c r="K304" s="26" t="n">
        <f aca="false">parametros_recargas!$E$90*'Plan mensual'!M309+parametros_recargas!$F$90*'Plan mensual'!M310+parametros_recargas!$G$90*'Plan mensual'!M311+parametros_recargas!$H$90*'Plan mensual'!M312+parametros_recargas!$I$90*'Plan mensual'!M313+parametros_recargas!$J$90*'Plan mensual'!M314+parametros_recargas!$K$90*'Plan mensual'!M315+parametros_recargas!$L$90*'Plan mensual'!M316+parametros_recargas!$M$90*'Plan mensual'!M318</f>
        <v>14746.7811367848</v>
      </c>
      <c r="L304" s="26" t="n">
        <f aca="false">parametros_recargas!$E$90*'Plan mensual'!N309+parametros_recargas!$F$90*'Plan mensual'!N310+parametros_recargas!$G$90*'Plan mensual'!N311+parametros_recargas!$H$90*'Plan mensual'!N312+parametros_recargas!$I$90*'Plan mensual'!N313+parametros_recargas!$J$90*'Plan mensual'!N314+parametros_recargas!$K$90*'Plan mensual'!N315+parametros_recargas!$L$90*'Plan mensual'!N316+parametros_recargas!$M$90*'Plan mensual'!N318</f>
        <v>17385.6287515984</v>
      </c>
      <c r="M304" s="26" t="n">
        <f aca="false">parametros_recargas!$E$90*'Plan mensual'!O309+parametros_recargas!$F$90*'Plan mensual'!O310+parametros_recargas!$G$90*'Plan mensual'!O311+parametros_recargas!$H$90*'Plan mensual'!O312+parametros_recargas!$I$90*'Plan mensual'!O313+parametros_recargas!$J$90*'Plan mensual'!O314+parametros_recargas!$K$90*'Plan mensual'!O315+parametros_recargas!$L$90*'Plan mensual'!O316+parametros_recargas!$M$90*'Plan mensual'!O318</f>
        <v>20286.4742944325</v>
      </c>
      <c r="N304" s="12" t="n">
        <f aca="false">SUM(B304:M304)</f>
        <v>194400.20544266</v>
      </c>
      <c r="O304" s="27" t="n">
        <f aca="false">MAX(B304:M304)</f>
        <v>20286.4742944325</v>
      </c>
      <c r="P304" s="16" t="n">
        <f aca="false">O304/parametros_recargas!$B$6</f>
        <v>135.243161962883</v>
      </c>
    </row>
    <row r="305" customFormat="false" ht="15" hidden="false" customHeight="false" outlineLevel="0" collapsed="false">
      <c r="A305" s="6" t="str">
        <f aca="false">parametros_recargas!$B$91</f>
        <v>Ensamblaje y marbete — recinto</v>
      </c>
      <c r="B305" s="26" t="n">
        <f aca="false">parametros_recargas!$E$91*'Plan mensual'!D309+parametros_recargas!$F$91*'Plan mensual'!D310+parametros_recargas!$G$91*'Plan mensual'!D311+parametros_recargas!$H$91*'Plan mensual'!D312+parametros_recargas!$I$91*'Plan mensual'!D313+parametros_recargas!$J$91*'Plan mensual'!D314+parametros_recargas!$K$91*'Plan mensual'!D315+parametros_recargas!$L$91*'Plan mensual'!D316+parametros_recargas!$M$91*'Plan mensual'!D318</f>
        <v>18808.4102670108</v>
      </c>
      <c r="C305" s="26" t="n">
        <f aca="false">parametros_recargas!$E$91*'Plan mensual'!E309+parametros_recargas!$F$91*'Plan mensual'!E310+parametros_recargas!$G$91*'Plan mensual'!E311+parametros_recargas!$H$91*'Plan mensual'!E312+parametros_recargas!$I$91*'Plan mensual'!E313+parametros_recargas!$J$91*'Plan mensual'!E314+parametros_recargas!$K$91*'Plan mensual'!E315+parametros_recargas!$L$91*'Plan mensual'!E316+parametros_recargas!$M$91*'Plan mensual'!E318</f>
        <v>16056.6127422481</v>
      </c>
      <c r="D305" s="26" t="n">
        <f aca="false">parametros_recargas!$E$91*'Plan mensual'!F309+parametros_recargas!$F$91*'Plan mensual'!F310+parametros_recargas!$G$91*'Plan mensual'!F311+parametros_recargas!$H$91*'Plan mensual'!F312+parametros_recargas!$I$91*'Plan mensual'!F313+parametros_recargas!$J$91*'Plan mensual'!F314+parametros_recargas!$K$91*'Plan mensual'!F315+parametros_recargas!$L$91*'Plan mensual'!F316+parametros_recargas!$M$91*'Plan mensual'!F318</f>
        <v>14734.6484160034</v>
      </c>
      <c r="E305" s="26" t="n">
        <f aca="false">parametros_recargas!$E$91*'Plan mensual'!G309+parametros_recargas!$F$91*'Plan mensual'!G310+parametros_recargas!$G$91*'Plan mensual'!G311+parametros_recargas!$H$91*'Plan mensual'!G312+parametros_recargas!$I$91*'Plan mensual'!G313+parametros_recargas!$J$91*'Plan mensual'!G314+parametros_recargas!$K$91*'Plan mensual'!G315+parametros_recargas!$L$91*'Plan mensual'!G316+parametros_recargas!$M$91*'Plan mensual'!G318</f>
        <v>16090.0742139176</v>
      </c>
      <c r="F305" s="26" t="n">
        <f aca="false">parametros_recargas!$E$91*'Plan mensual'!H309+parametros_recargas!$F$91*'Plan mensual'!H310+parametros_recargas!$G$91*'Plan mensual'!H311+parametros_recargas!$H$91*'Plan mensual'!H312+parametros_recargas!$I$91*'Plan mensual'!H313+parametros_recargas!$J$91*'Plan mensual'!H314+parametros_recargas!$K$91*'Plan mensual'!H315+parametros_recargas!$L$91*'Plan mensual'!H316+parametros_recargas!$M$91*'Plan mensual'!H318</f>
        <v>16197.9691956289</v>
      </c>
      <c r="G305" s="26" t="n">
        <f aca="false">parametros_recargas!$E$91*'Plan mensual'!I309+parametros_recargas!$F$91*'Plan mensual'!I310+parametros_recargas!$G$91*'Plan mensual'!I311+parametros_recargas!$H$91*'Plan mensual'!I312+parametros_recargas!$I$91*'Plan mensual'!I313+parametros_recargas!$J$91*'Plan mensual'!I314+parametros_recargas!$K$91*'Plan mensual'!I315+parametros_recargas!$L$91*'Plan mensual'!I316+parametros_recargas!$M$91*'Plan mensual'!I318</f>
        <v>16050.820825399</v>
      </c>
      <c r="H305" s="26" t="n">
        <f aca="false">parametros_recargas!$E$91*'Plan mensual'!J309+parametros_recargas!$F$91*'Plan mensual'!J310+parametros_recargas!$G$91*'Plan mensual'!J311+parametros_recargas!$H$91*'Plan mensual'!J312+parametros_recargas!$I$91*'Plan mensual'!J313+parametros_recargas!$J$91*'Plan mensual'!J314+parametros_recargas!$K$91*'Plan mensual'!J315+parametros_recargas!$L$91*'Plan mensual'!J316+parametros_recargas!$M$91*'Plan mensual'!J318</f>
        <v>14461.3562096722</v>
      </c>
      <c r="I305" s="26" t="n">
        <f aca="false">parametros_recargas!$E$91*'Plan mensual'!K309+parametros_recargas!$F$91*'Plan mensual'!K310+parametros_recargas!$G$91*'Plan mensual'!K311+parametros_recargas!$H$91*'Plan mensual'!K312+parametros_recargas!$I$91*'Plan mensual'!K313+parametros_recargas!$J$91*'Plan mensual'!K314+parametros_recargas!$K$91*'Plan mensual'!K315+parametros_recargas!$L$91*'Plan mensual'!K316+parametros_recargas!$M$91*'Plan mensual'!K318</f>
        <v>14589.3710230758</v>
      </c>
      <c r="J305" s="26" t="n">
        <f aca="false">parametros_recargas!$E$91*'Plan mensual'!L309+parametros_recargas!$F$91*'Plan mensual'!L310+parametros_recargas!$G$91*'Plan mensual'!L311+parametros_recargas!$H$91*'Plan mensual'!L312+parametros_recargas!$I$91*'Plan mensual'!L313+parametros_recargas!$J$91*'Plan mensual'!L314+parametros_recargas!$K$91*'Plan mensual'!L315+parametros_recargas!$L$91*'Plan mensual'!L316+parametros_recargas!$M$91*'Plan mensual'!L318</f>
        <v>14717.3719792003</v>
      </c>
      <c r="K305" s="26" t="n">
        <f aca="false">parametros_recargas!$E$91*'Plan mensual'!M309+parametros_recargas!$F$91*'Plan mensual'!M310+parametros_recargas!$G$91*'Plan mensual'!M311+parametros_recargas!$H$91*'Plan mensual'!M312+parametros_recargas!$I$91*'Plan mensual'!M313+parametros_recargas!$J$91*'Plan mensual'!M314+parametros_recargas!$K$91*'Plan mensual'!M315+parametros_recargas!$L$91*'Plan mensual'!M316+parametros_recargas!$M$91*'Plan mensual'!M318</f>
        <v>14716.2604270418</v>
      </c>
      <c r="L305" s="26" t="n">
        <f aca="false">parametros_recargas!$E$91*'Plan mensual'!N309+parametros_recargas!$F$91*'Plan mensual'!N310+parametros_recargas!$G$91*'Plan mensual'!N311+parametros_recargas!$H$91*'Plan mensual'!N312+parametros_recargas!$I$91*'Plan mensual'!N313+parametros_recargas!$J$91*'Plan mensual'!N314+parametros_recargas!$K$91*'Plan mensual'!N315+parametros_recargas!$L$91*'Plan mensual'!N316+parametros_recargas!$M$91*'Plan mensual'!N318</f>
        <v>17355.1080418553</v>
      </c>
      <c r="M305" s="26" t="n">
        <f aca="false">parametros_recargas!$E$91*'Plan mensual'!O309+parametros_recargas!$F$91*'Plan mensual'!O310+parametros_recargas!$G$91*'Plan mensual'!O311+parametros_recargas!$H$91*'Plan mensual'!O312+parametros_recargas!$I$91*'Plan mensual'!O313+parametros_recargas!$J$91*'Plan mensual'!O314+parametros_recargas!$K$91*'Plan mensual'!O315+parametros_recargas!$L$91*'Plan mensual'!O316+parametros_recargas!$M$91*'Plan mensual'!O318</f>
        <v>20255.9535846894</v>
      </c>
      <c r="N305" s="12" t="n">
        <f aca="false">SUM(B305:M305)</f>
        <v>194033.956925743</v>
      </c>
      <c r="O305" s="27" t="n">
        <f aca="false">MAX(B305:M305)</f>
        <v>20255.9535846894</v>
      </c>
      <c r="P305" s="16" t="n">
        <f aca="false">O305/parametros_recargas!$B$6</f>
        <v>135.039690564596</v>
      </c>
    </row>
    <row r="306" customFormat="false" ht="15" hidden="false" customHeight="false" outlineLevel="0" collapsed="false">
      <c r="A306" s="6" t="str">
        <f aca="false">parametros_recargas!$B$92</f>
        <v>Presurización — recinto</v>
      </c>
      <c r="B306" s="26" t="n">
        <f aca="false">parametros_recargas!$E$92*'Plan mensual'!D309+parametros_recargas!$F$92*'Plan mensual'!D310+parametros_recargas!$G$92*'Plan mensual'!D311+parametros_recargas!$H$92*'Plan mensual'!D312+parametros_recargas!$I$92*'Plan mensual'!D313+parametros_recargas!$J$92*'Plan mensual'!D314+parametros_recargas!$K$92*'Plan mensual'!D315+parametros_recargas!$L$92*'Plan mensual'!D316+parametros_recargas!$M$92*'Plan mensual'!D318</f>
        <v>18808.4102670108</v>
      </c>
      <c r="C306" s="26" t="n">
        <f aca="false">parametros_recargas!$E$92*'Plan mensual'!E309+parametros_recargas!$F$92*'Plan mensual'!E310+parametros_recargas!$G$92*'Plan mensual'!E311+parametros_recargas!$H$92*'Plan mensual'!E312+parametros_recargas!$I$92*'Plan mensual'!E313+parametros_recargas!$J$92*'Plan mensual'!E314+parametros_recargas!$K$92*'Plan mensual'!E315+parametros_recargas!$L$92*'Plan mensual'!E316+parametros_recargas!$M$92*'Plan mensual'!E318</f>
        <v>16056.6127422481</v>
      </c>
      <c r="D306" s="26" t="n">
        <f aca="false">parametros_recargas!$E$92*'Plan mensual'!F309+parametros_recargas!$F$92*'Plan mensual'!F310+parametros_recargas!$G$92*'Plan mensual'!F311+parametros_recargas!$H$92*'Plan mensual'!F312+parametros_recargas!$I$92*'Plan mensual'!F313+parametros_recargas!$J$92*'Plan mensual'!F314+parametros_recargas!$K$92*'Plan mensual'!F315+parametros_recargas!$L$92*'Plan mensual'!F316+parametros_recargas!$M$92*'Plan mensual'!F318</f>
        <v>14734.6484160034</v>
      </c>
      <c r="E306" s="26" t="n">
        <f aca="false">parametros_recargas!$E$92*'Plan mensual'!G309+parametros_recargas!$F$92*'Plan mensual'!G310+parametros_recargas!$G$92*'Plan mensual'!G311+parametros_recargas!$H$92*'Plan mensual'!G312+parametros_recargas!$I$92*'Plan mensual'!G313+parametros_recargas!$J$92*'Plan mensual'!G314+parametros_recargas!$K$92*'Plan mensual'!G315+parametros_recargas!$L$92*'Plan mensual'!G316+parametros_recargas!$M$92*'Plan mensual'!G318</f>
        <v>16090.0742139176</v>
      </c>
      <c r="F306" s="26" t="n">
        <f aca="false">parametros_recargas!$E$92*'Plan mensual'!H309+parametros_recargas!$F$92*'Plan mensual'!H310+parametros_recargas!$G$92*'Plan mensual'!H311+parametros_recargas!$H$92*'Plan mensual'!H312+parametros_recargas!$I$92*'Plan mensual'!H313+parametros_recargas!$J$92*'Plan mensual'!H314+parametros_recargas!$K$92*'Plan mensual'!H315+parametros_recargas!$L$92*'Plan mensual'!H316+parametros_recargas!$M$92*'Plan mensual'!H318</f>
        <v>16197.9691956289</v>
      </c>
      <c r="G306" s="26" t="n">
        <f aca="false">parametros_recargas!$E$92*'Plan mensual'!I309+parametros_recargas!$F$92*'Plan mensual'!I310+parametros_recargas!$G$92*'Plan mensual'!I311+parametros_recargas!$H$92*'Plan mensual'!I312+parametros_recargas!$I$92*'Plan mensual'!I313+parametros_recargas!$J$92*'Plan mensual'!I314+parametros_recargas!$K$92*'Plan mensual'!I315+parametros_recargas!$L$92*'Plan mensual'!I316+parametros_recargas!$M$92*'Plan mensual'!I318</f>
        <v>16050.820825399</v>
      </c>
      <c r="H306" s="26" t="n">
        <f aca="false">parametros_recargas!$E$92*'Plan mensual'!J309+parametros_recargas!$F$92*'Plan mensual'!J310+parametros_recargas!$G$92*'Plan mensual'!J311+parametros_recargas!$H$92*'Plan mensual'!J312+parametros_recargas!$I$92*'Plan mensual'!J313+parametros_recargas!$J$92*'Plan mensual'!J314+parametros_recargas!$K$92*'Plan mensual'!J315+parametros_recargas!$L$92*'Plan mensual'!J316+parametros_recargas!$M$92*'Plan mensual'!J318</f>
        <v>14461.3562096722</v>
      </c>
      <c r="I306" s="26" t="n">
        <f aca="false">parametros_recargas!$E$92*'Plan mensual'!K309+parametros_recargas!$F$92*'Plan mensual'!K310+parametros_recargas!$G$92*'Plan mensual'!K311+parametros_recargas!$H$92*'Plan mensual'!K312+parametros_recargas!$I$92*'Plan mensual'!K313+parametros_recargas!$J$92*'Plan mensual'!K314+parametros_recargas!$K$92*'Plan mensual'!K315+parametros_recargas!$L$92*'Plan mensual'!K316+parametros_recargas!$M$92*'Plan mensual'!K318</f>
        <v>14589.3710230758</v>
      </c>
      <c r="J306" s="26" t="n">
        <f aca="false">parametros_recargas!$E$92*'Plan mensual'!L309+parametros_recargas!$F$92*'Plan mensual'!L310+parametros_recargas!$G$92*'Plan mensual'!L311+parametros_recargas!$H$92*'Plan mensual'!L312+parametros_recargas!$I$92*'Plan mensual'!L313+parametros_recargas!$J$92*'Plan mensual'!L314+parametros_recargas!$K$92*'Plan mensual'!L315+parametros_recargas!$L$92*'Plan mensual'!L316+parametros_recargas!$M$92*'Plan mensual'!L318</f>
        <v>14717.3719792003</v>
      </c>
      <c r="K306" s="26" t="n">
        <f aca="false">parametros_recargas!$E$92*'Plan mensual'!M309+parametros_recargas!$F$92*'Plan mensual'!M310+parametros_recargas!$G$92*'Plan mensual'!M311+parametros_recargas!$H$92*'Plan mensual'!M312+parametros_recargas!$I$92*'Plan mensual'!M313+parametros_recargas!$J$92*'Plan mensual'!M314+parametros_recargas!$K$92*'Plan mensual'!M315+parametros_recargas!$L$92*'Plan mensual'!M316+parametros_recargas!$M$92*'Plan mensual'!M318</f>
        <v>14716.2604270418</v>
      </c>
      <c r="L306" s="26" t="n">
        <f aca="false">parametros_recargas!$E$92*'Plan mensual'!N309+parametros_recargas!$F$92*'Plan mensual'!N310+parametros_recargas!$G$92*'Plan mensual'!N311+parametros_recargas!$H$92*'Plan mensual'!N312+parametros_recargas!$I$92*'Plan mensual'!N313+parametros_recargas!$J$92*'Plan mensual'!N314+parametros_recargas!$K$92*'Plan mensual'!N315+parametros_recargas!$L$92*'Plan mensual'!N316+parametros_recargas!$M$92*'Plan mensual'!N318</f>
        <v>17355.1080418553</v>
      </c>
      <c r="M306" s="26" t="n">
        <f aca="false">parametros_recargas!$E$92*'Plan mensual'!O309+parametros_recargas!$F$92*'Plan mensual'!O310+parametros_recargas!$G$92*'Plan mensual'!O311+parametros_recargas!$H$92*'Plan mensual'!O312+parametros_recargas!$I$92*'Plan mensual'!O313+parametros_recargas!$J$92*'Plan mensual'!O314+parametros_recargas!$K$92*'Plan mensual'!O315+parametros_recargas!$L$92*'Plan mensual'!O316+parametros_recargas!$M$92*'Plan mensual'!O318</f>
        <v>20255.9535846894</v>
      </c>
      <c r="N306" s="12" t="n">
        <f aca="false">SUM(B306:M306)</f>
        <v>194033.956925743</v>
      </c>
      <c r="O306" s="27" t="n">
        <f aca="false">MAX(B306:M306)</f>
        <v>20255.9535846894</v>
      </c>
      <c r="P306" s="16" t="n">
        <f aca="false">O306/parametros_recargas!$B$6</f>
        <v>135.039690564596</v>
      </c>
    </row>
    <row r="307" customFormat="false" ht="15" hidden="false" customHeight="false" outlineLevel="0" collapsed="false">
      <c r="A307" s="6" t="str">
        <f aca="false">parametros_recargas!$B$93</f>
        <v>Ensamblaje y presurización — zona general</v>
      </c>
      <c r="B307" s="26" t="n">
        <f aca="false">parametros_recargas!$E$93*'Plan mensual'!D309+parametros_recargas!$F$93*'Plan mensual'!D310+parametros_recargas!$G$93*'Plan mensual'!D311+parametros_recargas!$H$93*'Plan mensual'!D312+parametros_recargas!$I$93*'Plan mensual'!D313+parametros_recargas!$J$93*'Plan mensual'!D314+parametros_recargas!$K$93*'Plan mensual'!D315+parametros_recargas!$L$93*'Plan mensual'!D316+parametros_recargas!$M$93*'Plan mensual'!D318</f>
        <v>1167.40044850491</v>
      </c>
      <c r="C307" s="26" t="n">
        <f aca="false">parametros_recargas!$E$93*'Plan mensual'!E309+parametros_recargas!$F$93*'Plan mensual'!E310+parametros_recargas!$G$93*'Plan mensual'!E311+parametros_recargas!$H$93*'Plan mensual'!E312+parametros_recargas!$I$93*'Plan mensual'!E313+parametros_recargas!$J$93*'Plan mensual'!E314+parametros_recargas!$K$93*'Plan mensual'!E315+parametros_recargas!$L$93*'Plan mensual'!E316+parametros_recargas!$M$93*'Plan mensual'!E318</f>
        <v>1167.40044850491</v>
      </c>
      <c r="D307" s="26" t="n">
        <f aca="false">parametros_recargas!$E$93*'Plan mensual'!F309+parametros_recargas!$F$93*'Plan mensual'!F310+parametros_recargas!$G$93*'Plan mensual'!F311+parametros_recargas!$H$93*'Plan mensual'!F312+parametros_recargas!$I$93*'Plan mensual'!F313+parametros_recargas!$J$93*'Plan mensual'!F314+parametros_recargas!$K$93*'Plan mensual'!F315+parametros_recargas!$L$93*'Plan mensual'!F316+parametros_recargas!$M$93*'Plan mensual'!F318</f>
        <v>1361.67215128773</v>
      </c>
      <c r="E307" s="26" t="n">
        <f aca="false">parametros_recargas!$E$93*'Plan mensual'!G309+parametros_recargas!$F$93*'Plan mensual'!G310+parametros_recargas!$G$93*'Plan mensual'!G311+parametros_recargas!$H$93*'Plan mensual'!G312+parametros_recargas!$I$93*'Plan mensual'!G313+parametros_recargas!$J$93*'Plan mensual'!G314+parametros_recargas!$K$93*'Plan mensual'!G315+parametros_recargas!$L$93*'Plan mensual'!G316+parametros_recargas!$M$93*'Plan mensual'!G318</f>
        <v>1552.21530348422</v>
      </c>
      <c r="F307" s="26" t="n">
        <f aca="false">parametros_recargas!$E$93*'Plan mensual'!H309+parametros_recargas!$F$93*'Plan mensual'!H310+parametros_recargas!$G$93*'Plan mensual'!H311+parametros_recargas!$H$93*'Plan mensual'!H312+parametros_recargas!$I$93*'Plan mensual'!H313+parametros_recargas!$J$93*'Plan mensual'!H314+parametros_recargas!$K$93*'Plan mensual'!H315+parametros_recargas!$L$93*'Plan mensual'!H316+parametros_recargas!$M$93*'Plan mensual'!H318</f>
        <v>1564.21367313844</v>
      </c>
      <c r="G307" s="26" t="n">
        <f aca="false">parametros_recargas!$E$93*'Plan mensual'!I309+parametros_recargas!$F$93*'Plan mensual'!I310+parametros_recargas!$G$93*'Plan mensual'!I311+parametros_recargas!$H$93*'Plan mensual'!I312+parametros_recargas!$I$93*'Plan mensual'!I313+parametros_recargas!$J$93*'Plan mensual'!I314+parametros_recargas!$K$93*'Plan mensual'!I315+parametros_recargas!$L$93*'Plan mensual'!I316+parametros_recargas!$M$93*'Plan mensual'!I318</f>
        <v>1533.89023599572</v>
      </c>
      <c r="H307" s="26" t="n">
        <f aca="false">parametros_recargas!$E$93*'Plan mensual'!J309+parametros_recargas!$F$93*'Plan mensual'!J310+parametros_recargas!$G$93*'Plan mensual'!J311+parametros_recargas!$H$93*'Plan mensual'!J312+parametros_recargas!$I$93*'Plan mensual'!J313+parametros_recargas!$J$93*'Plan mensual'!J314+parametros_recargas!$K$93*'Plan mensual'!J315+parametros_recargas!$L$93*'Plan mensual'!J316+parametros_recargas!$M$93*'Plan mensual'!J318</f>
        <v>1312.44287319192</v>
      </c>
      <c r="I307" s="26" t="n">
        <f aca="false">parametros_recargas!$E$93*'Plan mensual'!K309+parametros_recargas!$F$93*'Plan mensual'!K310+parametros_recargas!$G$93*'Plan mensual'!K311+parametros_recargas!$H$93*'Plan mensual'!K312+parametros_recargas!$I$93*'Plan mensual'!K313+parametros_recargas!$J$93*'Plan mensual'!K314+parametros_recargas!$K$93*'Plan mensual'!K315+parametros_recargas!$L$93*'Plan mensual'!K316+parametros_recargas!$M$93*'Plan mensual'!K318</f>
        <v>1321.29346572439</v>
      </c>
      <c r="J307" s="26" t="n">
        <f aca="false">parametros_recargas!$E$93*'Plan mensual'!L309+parametros_recargas!$F$93*'Plan mensual'!L310+parametros_recargas!$G$93*'Plan mensual'!L311+parametros_recargas!$H$93*'Plan mensual'!L312+parametros_recargas!$I$93*'Plan mensual'!L313+parametros_recargas!$J$93*'Plan mensual'!L314+parametros_recargas!$K$93*'Plan mensual'!L315+parametros_recargas!$L$93*'Plan mensual'!L316+parametros_recargas!$M$93*'Plan mensual'!L318</f>
        <v>1349.55723399785</v>
      </c>
      <c r="K307" s="26" t="n">
        <f aca="false">parametros_recargas!$E$93*'Plan mensual'!M309+parametros_recargas!$F$93*'Plan mensual'!M310+parametros_recargas!$G$93*'Plan mensual'!M311+parametros_recargas!$H$93*'Plan mensual'!M312+parametros_recargas!$I$93*'Plan mensual'!M313+parametros_recargas!$J$93*'Plan mensual'!M314+parametros_recargas!$K$93*'Plan mensual'!M315+parametros_recargas!$L$93*'Plan mensual'!M316+parametros_recargas!$M$93*'Plan mensual'!M318</f>
        <v>1349.55723399785</v>
      </c>
      <c r="L307" s="26" t="n">
        <f aca="false">parametros_recargas!$E$93*'Plan mensual'!N309+parametros_recargas!$F$93*'Plan mensual'!N310+parametros_recargas!$G$93*'Plan mensual'!N311+parametros_recargas!$H$93*'Plan mensual'!N312+parametros_recargas!$I$93*'Plan mensual'!N313+parametros_recargas!$J$93*'Plan mensual'!N314+parametros_recargas!$K$93*'Plan mensual'!N315+parametros_recargas!$L$93*'Plan mensual'!N316+parametros_recargas!$M$93*'Plan mensual'!N318</f>
        <v>1337.55886434363</v>
      </c>
      <c r="M307" s="26" t="n">
        <f aca="false">parametros_recargas!$E$93*'Plan mensual'!O309+parametros_recargas!$F$93*'Plan mensual'!O310+parametros_recargas!$G$93*'Plan mensual'!O311+parametros_recargas!$H$93*'Plan mensual'!O312+parametros_recargas!$I$93*'Plan mensual'!O313+parametros_recargas!$J$93*'Plan mensual'!O314+parametros_recargas!$K$93*'Plan mensual'!O315+parametros_recargas!$L$93*'Plan mensual'!O316+parametros_recargas!$M$93*'Plan mensual'!O318</f>
        <v>1367.88230148635</v>
      </c>
      <c r="N307" s="12" t="n">
        <f aca="false">SUM(B307:M307)</f>
        <v>16385.0842336579</v>
      </c>
      <c r="O307" s="27" t="n">
        <f aca="false">MAX(B307:M307)</f>
        <v>1564.21367313844</v>
      </c>
      <c r="P307" s="16" t="n">
        <f aca="false">O307/parametros_recargas!$B$6</f>
        <v>10.4280911542563</v>
      </c>
    </row>
    <row r="308" customFormat="false" ht="15" hidden="false" customHeight="false" outlineLevel="0" collapsed="false">
      <c r="A308" s="6" t="str">
        <f aca="false">parametros_recargas!$B$94</f>
        <v>Control de peso (CO₂ y halogenados sin recarga)</v>
      </c>
      <c r="B308" s="26" t="n">
        <f aca="false">parametros_recargas!$E$94*'Plan mensual'!D309+parametros_recargas!$F$94*'Plan mensual'!D310+parametros_recargas!$G$94*'Plan mensual'!D311+parametros_recargas!$H$94*'Plan mensual'!D312+parametros_recargas!$I$94*'Plan mensual'!D313+parametros_recargas!$J$94*'Plan mensual'!D314+parametros_recargas!$K$94*'Plan mensual'!D315+parametros_recargas!$L$94*'Plan mensual'!D316+parametros_recargas!$M$94*'Plan mensual'!D318</f>
        <v>772.852915081083</v>
      </c>
      <c r="C308" s="26" t="n">
        <f aca="false">parametros_recargas!$E$94*'Plan mensual'!E309+parametros_recargas!$F$94*'Plan mensual'!E310+parametros_recargas!$G$94*'Plan mensual'!E311+parametros_recargas!$H$94*'Plan mensual'!E312+parametros_recargas!$I$94*'Plan mensual'!E313+parametros_recargas!$J$94*'Plan mensual'!E314+parametros_recargas!$K$94*'Plan mensual'!E315+parametros_recargas!$L$94*'Plan mensual'!E316+parametros_recargas!$M$94*'Plan mensual'!E318</f>
        <v>772.852915081083</v>
      </c>
      <c r="D308" s="26" t="n">
        <f aca="false">parametros_recargas!$E$94*'Plan mensual'!F309+parametros_recargas!$F$94*'Plan mensual'!F310+parametros_recargas!$G$94*'Plan mensual'!F311+parametros_recargas!$H$94*'Plan mensual'!F312+parametros_recargas!$I$94*'Plan mensual'!F313+parametros_recargas!$J$94*'Plan mensual'!F314+parametros_recargas!$K$94*'Plan mensual'!F315+parametros_recargas!$L$94*'Plan mensual'!F316+parametros_recargas!$M$94*'Plan mensual'!F318</f>
        <v>963.157484749861</v>
      </c>
      <c r="E308" s="26" t="n">
        <f aca="false">parametros_recargas!$E$94*'Plan mensual'!G309+parametros_recargas!$F$94*'Plan mensual'!G310+parametros_recargas!$G$94*'Plan mensual'!G311+parametros_recargas!$H$94*'Plan mensual'!G312+parametros_recargas!$I$94*'Plan mensual'!G313+parametros_recargas!$J$94*'Plan mensual'!G314+parametros_recargas!$K$94*'Plan mensual'!G315+parametros_recargas!$L$94*'Plan mensual'!G316+parametros_recargas!$M$94*'Plan mensual'!G318</f>
        <v>1152.71268926045</v>
      </c>
      <c r="F308" s="26" t="n">
        <f aca="false">parametros_recargas!$E$94*'Plan mensual'!H309+parametros_recargas!$F$94*'Plan mensual'!H310+parametros_recargas!$G$94*'Plan mensual'!H311+parametros_recargas!$H$94*'Plan mensual'!H312+parametros_recargas!$I$94*'Plan mensual'!H313+parametros_recargas!$J$94*'Plan mensual'!H314+parametros_recargas!$K$94*'Plan mensual'!H315+parametros_recargas!$L$94*'Plan mensual'!H316+parametros_recargas!$M$94*'Plan mensual'!H318</f>
        <v>1160.46264182995</v>
      </c>
      <c r="G308" s="26" t="n">
        <f aca="false">parametros_recargas!$E$94*'Plan mensual'!I309+parametros_recargas!$F$94*'Plan mensual'!I310+parametros_recargas!$G$94*'Plan mensual'!I311+parametros_recargas!$H$94*'Plan mensual'!I312+parametros_recargas!$I$94*'Plan mensual'!I313+parametros_recargas!$J$94*'Plan mensual'!I314+parametros_recargas!$K$94*'Plan mensual'!I315+parametros_recargas!$L$94*'Plan mensual'!I316+parametros_recargas!$M$94*'Plan mensual'!I318</f>
        <v>1134.8800235769</v>
      </c>
      <c r="H308" s="26" t="n">
        <f aca="false">parametros_recargas!$E$94*'Plan mensual'!J309+parametros_recargas!$F$94*'Plan mensual'!J310+parametros_recargas!$G$94*'Plan mensual'!J311+parametros_recargas!$H$94*'Plan mensual'!J312+parametros_recargas!$I$94*'Plan mensual'!J313+parametros_recargas!$J$94*'Plan mensual'!J314+parametros_recargas!$K$94*'Plan mensual'!J315+parametros_recargas!$L$94*'Plan mensual'!J316+parametros_recargas!$M$94*'Plan mensual'!J318</f>
        <v>925.733913016572</v>
      </c>
      <c r="I308" s="26" t="n">
        <f aca="false">parametros_recargas!$E$94*'Plan mensual'!K309+parametros_recargas!$F$94*'Plan mensual'!K310+parametros_recargas!$G$94*'Plan mensual'!K311+parametros_recargas!$H$94*'Plan mensual'!K312+parametros_recargas!$I$94*'Plan mensual'!K313+parametros_recargas!$J$94*'Plan mensual'!K314+parametros_recargas!$K$94*'Plan mensual'!K315+parametros_recargas!$L$94*'Plan mensual'!K316+parametros_recargas!$M$94*'Plan mensual'!K318</f>
        <v>926.742788224569</v>
      </c>
      <c r="J308" s="26" t="n">
        <f aca="false">parametros_recargas!$E$94*'Plan mensual'!L309+parametros_recargas!$F$94*'Plan mensual'!L310+parametros_recargas!$G$94*'Plan mensual'!L311+parametros_recargas!$H$94*'Plan mensual'!L312+parametros_recargas!$I$94*'Plan mensual'!L313+parametros_recargas!$J$94*'Plan mensual'!L314+parametros_recargas!$K$94*'Plan mensual'!L315+parametros_recargas!$L$94*'Plan mensual'!L316+parametros_recargas!$M$94*'Plan mensual'!L318</f>
        <v>949.725399222555</v>
      </c>
      <c r="K308" s="26" t="n">
        <f aca="false">parametros_recargas!$E$94*'Plan mensual'!M309+parametros_recargas!$F$94*'Plan mensual'!M310+parametros_recargas!$G$94*'Plan mensual'!M311+parametros_recargas!$H$94*'Plan mensual'!M312+parametros_recargas!$I$94*'Plan mensual'!M313+parametros_recargas!$J$94*'Plan mensual'!M314+parametros_recargas!$K$94*'Plan mensual'!M315+parametros_recargas!$L$94*'Plan mensual'!M316+parametros_recargas!$M$94*'Plan mensual'!M318</f>
        <v>949.725399222555</v>
      </c>
      <c r="L308" s="26" t="n">
        <f aca="false">parametros_recargas!$E$94*'Plan mensual'!N309+parametros_recargas!$F$94*'Plan mensual'!N310+parametros_recargas!$G$94*'Plan mensual'!N311+parametros_recargas!$H$94*'Plan mensual'!N312+parametros_recargas!$I$94*'Plan mensual'!N313+parametros_recargas!$J$94*'Plan mensual'!N314+parametros_recargas!$K$94*'Plan mensual'!N315+parametros_recargas!$L$94*'Plan mensual'!N316+parametros_recargas!$M$94*'Plan mensual'!N318</f>
        <v>941.975446653058</v>
      </c>
      <c r="M308" s="26" t="n">
        <f aca="false">parametros_recargas!$E$94*'Plan mensual'!O309+parametros_recargas!$F$94*'Plan mensual'!O310+parametros_recargas!$G$94*'Plan mensual'!O311+parametros_recargas!$H$94*'Plan mensual'!O312+parametros_recargas!$I$94*'Plan mensual'!O313+parametros_recargas!$J$94*'Plan mensual'!O314+parametros_recargas!$K$94*'Plan mensual'!O315+parametros_recargas!$L$94*'Plan mensual'!O316+parametros_recargas!$M$94*'Plan mensual'!O318</f>
        <v>967.558064906107</v>
      </c>
      <c r="N308" s="12" t="n">
        <f aca="false">SUM(B308:M308)</f>
        <v>11618.3796808247</v>
      </c>
      <c r="O308" s="27" t="n">
        <f aca="false">MAX(B308:M308)</f>
        <v>1160.46264182995</v>
      </c>
      <c r="P308" s="16" t="n">
        <f aca="false">O308/parametros_recargas!$B$6</f>
        <v>7.73641761219966</v>
      </c>
    </row>
    <row r="309" customFormat="false" ht="15" hidden="false" customHeight="false" outlineLevel="0" collapsed="false">
      <c r="A309" s="6" t="str">
        <f aca="false">parametros_recargas!$B$95</f>
        <v>Ensayo de pérdidas</v>
      </c>
      <c r="B309" s="26" t="n">
        <f aca="false">parametros_recargas!$E$95*'Plan mensual'!D309+parametros_recargas!$F$95*'Plan mensual'!D310+parametros_recargas!$G$95*'Plan mensual'!D311+parametros_recargas!$H$95*'Plan mensual'!D312+parametros_recargas!$I$95*'Plan mensual'!D313+parametros_recargas!$J$95*'Plan mensual'!D314+parametros_recargas!$K$95*'Plan mensual'!D315+parametros_recargas!$L$95*'Plan mensual'!D316+parametros_recargas!$M$95*'Plan mensual'!D318</f>
        <v>20804.9302011855</v>
      </c>
      <c r="C309" s="26" t="n">
        <f aca="false">parametros_recargas!$E$95*'Plan mensual'!E309+parametros_recargas!$F$95*'Plan mensual'!E310+parametros_recargas!$G$95*'Plan mensual'!E311+parametros_recargas!$H$95*'Plan mensual'!E312+parametros_recargas!$I$95*'Plan mensual'!E313+parametros_recargas!$J$95*'Plan mensual'!E314+parametros_recargas!$K$95*'Plan mensual'!E315+parametros_recargas!$L$95*'Plan mensual'!E316+parametros_recargas!$M$95*'Plan mensual'!E318</f>
        <v>18053.1326764228</v>
      </c>
      <c r="D309" s="26" t="n">
        <f aca="false">parametros_recargas!$E$95*'Plan mensual'!F309+parametros_recargas!$F$95*'Plan mensual'!F310+parametros_recargas!$G$95*'Plan mensual'!F311+parametros_recargas!$H$95*'Plan mensual'!F312+parametros_recargas!$I$95*'Plan mensual'!F313+parametros_recargas!$J$95*'Plan mensual'!F314+parametros_recargas!$K$95*'Plan mensual'!F315+parametros_recargas!$L$95*'Plan mensual'!F316+parametros_recargas!$M$95*'Plan mensual'!F318</f>
        <v>17130.5866041373</v>
      </c>
      <c r="E309" s="26" t="n">
        <f aca="false">parametros_recargas!$E$95*'Plan mensual'!G309+parametros_recargas!$F$95*'Plan mensual'!G310+parametros_recargas!$G$95*'Plan mensual'!G311+parametros_recargas!$H$95*'Plan mensual'!G312+parametros_recargas!$I$95*'Plan mensual'!G313+parametros_recargas!$J$95*'Plan mensual'!G314+parametros_recargas!$K$95*'Plan mensual'!G315+parametros_recargas!$L$95*'Plan mensual'!G316+parametros_recargas!$M$95*'Plan mensual'!G318</f>
        <v>18880.6919283363</v>
      </c>
      <c r="F309" s="26" t="n">
        <f aca="false">parametros_recargas!$E$95*'Plan mensual'!H309+parametros_recargas!$F$95*'Plan mensual'!H310+parametros_recargas!$G$95*'Plan mensual'!H311+parametros_recargas!$H$95*'Plan mensual'!H312+parametros_recargas!$I$95*'Plan mensual'!H313+parametros_recargas!$J$95*'Plan mensual'!H314+parametros_recargas!$K$95*'Plan mensual'!H315+parametros_recargas!$L$95*'Plan mensual'!H316+parametros_recargas!$M$95*'Plan mensual'!H318</f>
        <v>19008.931382469</v>
      </c>
      <c r="G309" s="26" t="n">
        <f aca="false">parametros_recargas!$E$95*'Plan mensual'!I309+parametros_recargas!$F$95*'Plan mensual'!I310+parametros_recargas!$G$95*'Plan mensual'!I311+parametros_recargas!$H$95*'Plan mensual'!I312+parametros_recargas!$I$95*'Plan mensual'!I313+parametros_recargas!$J$95*'Plan mensual'!I314+parametros_recargas!$K$95*'Plan mensual'!I315+parametros_recargas!$L$95*'Plan mensual'!I316+parametros_recargas!$M$95*'Plan mensual'!I318</f>
        <v>18804.1122315877</v>
      </c>
      <c r="H309" s="26" t="n">
        <f aca="false">parametros_recargas!$E$95*'Plan mensual'!J309+parametros_recargas!$F$95*'Plan mensual'!J310+parametros_recargas!$G$95*'Plan mensual'!J311+parametros_recargas!$H$95*'Plan mensual'!J312+parametros_recargas!$I$95*'Plan mensual'!J313+parametros_recargas!$J$95*'Plan mensual'!J314+parametros_recargas!$K$95*'Plan mensual'!J315+parametros_recargas!$L$95*'Plan mensual'!J316+parametros_recargas!$M$95*'Plan mensual'!J318</f>
        <v>16767.965980146</v>
      </c>
      <c r="I309" s="26" t="n">
        <f aca="false">parametros_recargas!$E$95*'Plan mensual'!K309+parametros_recargas!$F$95*'Plan mensual'!K310+parametros_recargas!$G$95*'Plan mensual'!K311+parametros_recargas!$H$95*'Plan mensual'!K312+parametros_recargas!$I$95*'Plan mensual'!K313+parametros_recargas!$J$95*'Plan mensual'!K314+parametros_recargas!$K$95*'Plan mensual'!K315+parametros_recargas!$L$95*'Plan mensual'!K316+parametros_recargas!$M$95*'Plan mensual'!K318</f>
        <v>16905.9178670753</v>
      </c>
      <c r="J309" s="26" t="n">
        <f aca="false">parametros_recargas!$E$95*'Plan mensual'!L309+parametros_recargas!$F$95*'Plan mensual'!L310+parametros_recargas!$G$95*'Plan mensual'!L311+parametros_recargas!$H$95*'Plan mensual'!L312+parametros_recargas!$I$95*'Plan mensual'!L313+parametros_recargas!$J$95*'Plan mensual'!L314+parametros_recargas!$K$95*'Plan mensual'!L315+parametros_recargas!$L$95*'Plan mensual'!L316+parametros_recargas!$M$95*'Plan mensual'!L318</f>
        <v>17086.7299271688</v>
      </c>
      <c r="K309" s="26" t="n">
        <f aca="false">parametros_recargas!$E$95*'Plan mensual'!M309+parametros_recargas!$F$95*'Plan mensual'!M310+parametros_recargas!$G$95*'Plan mensual'!M311+parametros_recargas!$H$95*'Plan mensual'!M312+parametros_recargas!$I$95*'Plan mensual'!M313+parametros_recargas!$J$95*'Plan mensual'!M314+parametros_recargas!$K$95*'Plan mensual'!M315+parametros_recargas!$L$95*'Plan mensual'!M316+parametros_recargas!$M$95*'Plan mensual'!M318</f>
        <v>17085.6183750102</v>
      </c>
      <c r="L309" s="26" t="n">
        <f aca="false">parametros_recargas!$E$95*'Plan mensual'!N309+parametros_recargas!$F$95*'Plan mensual'!N310+parametros_recargas!$G$95*'Plan mensual'!N311+parametros_recargas!$H$95*'Plan mensual'!N312+parametros_recargas!$I$95*'Plan mensual'!N313+parametros_recargas!$J$95*'Plan mensual'!N314+parametros_recargas!$K$95*'Plan mensual'!N315+parametros_recargas!$L$95*'Plan mensual'!N316+parametros_recargas!$M$95*'Plan mensual'!N318</f>
        <v>19704.1215174024</v>
      </c>
      <c r="M309" s="26" t="n">
        <f aca="false">parametros_recargas!$E$95*'Plan mensual'!O309+parametros_recargas!$F$95*'Plan mensual'!O310+parametros_recargas!$G$95*'Plan mensual'!O311+parametros_recargas!$H$95*'Plan mensual'!O312+parametros_recargas!$I$95*'Plan mensual'!O313+parametros_recargas!$J$95*'Plan mensual'!O314+parametros_recargas!$K$95*'Plan mensual'!O315+parametros_recargas!$L$95*'Plan mensual'!O316+parametros_recargas!$M$95*'Plan mensual'!O318</f>
        <v>22662.6378408879</v>
      </c>
      <c r="N309" s="12" t="n">
        <f aca="false">SUM(B309:M309)</f>
        <v>222895.376531829</v>
      </c>
      <c r="O309" s="27" t="n">
        <f aca="false">MAX(B309:M309)</f>
        <v>22662.6378408879</v>
      </c>
      <c r="P309" s="16" t="n">
        <f aca="false">O309/parametros_recargas!$B$6</f>
        <v>151.084252272586</v>
      </c>
    </row>
    <row r="310" customFormat="false" ht="15" hidden="false" customHeight="false" outlineLevel="0" collapsed="false">
      <c r="A310" s="6" t="str">
        <f aca="false">parametros_recargas!$B$96</f>
        <v>Precinto, etiqueta y despacho</v>
      </c>
      <c r="B310" s="26" t="n">
        <f aca="false">parametros_recargas!$E$96*'Plan mensual'!D309+parametros_recargas!$F$96*'Plan mensual'!D310+parametros_recargas!$G$96*'Plan mensual'!D311+parametros_recargas!$H$96*'Plan mensual'!D312+parametros_recargas!$I$96*'Plan mensual'!D313+parametros_recargas!$J$96*'Plan mensual'!D314+parametros_recargas!$K$96*'Plan mensual'!D315+parametros_recargas!$L$96*'Plan mensual'!D316+parametros_recargas!$M$96*'Plan mensual'!D318</f>
        <v>20804.9302011855</v>
      </c>
      <c r="C310" s="26" t="n">
        <f aca="false">parametros_recargas!$E$96*'Plan mensual'!E309+parametros_recargas!$F$96*'Plan mensual'!E310+parametros_recargas!$G$96*'Plan mensual'!E311+parametros_recargas!$H$96*'Plan mensual'!E312+parametros_recargas!$I$96*'Plan mensual'!E313+parametros_recargas!$J$96*'Plan mensual'!E314+parametros_recargas!$K$96*'Plan mensual'!E315+parametros_recargas!$L$96*'Plan mensual'!E316+parametros_recargas!$M$96*'Plan mensual'!E318</f>
        <v>18053.1326764228</v>
      </c>
      <c r="D310" s="26" t="n">
        <f aca="false">parametros_recargas!$E$96*'Plan mensual'!F309+parametros_recargas!$F$96*'Plan mensual'!F310+parametros_recargas!$G$96*'Plan mensual'!F311+parametros_recargas!$H$96*'Plan mensual'!F312+parametros_recargas!$I$96*'Plan mensual'!F313+parametros_recargas!$J$96*'Plan mensual'!F314+parametros_recargas!$K$96*'Plan mensual'!F315+parametros_recargas!$L$96*'Plan mensual'!F316+parametros_recargas!$M$96*'Plan mensual'!F318</f>
        <v>17130.5866041373</v>
      </c>
      <c r="E310" s="26" t="n">
        <f aca="false">parametros_recargas!$E$96*'Plan mensual'!G309+parametros_recargas!$F$96*'Plan mensual'!G310+parametros_recargas!$G$96*'Plan mensual'!G311+parametros_recargas!$H$96*'Plan mensual'!G312+parametros_recargas!$I$96*'Plan mensual'!G313+parametros_recargas!$J$96*'Plan mensual'!G314+parametros_recargas!$K$96*'Plan mensual'!G315+parametros_recargas!$L$96*'Plan mensual'!G316+parametros_recargas!$M$96*'Plan mensual'!G318</f>
        <v>18880.6919283363</v>
      </c>
      <c r="F310" s="26" t="n">
        <f aca="false">parametros_recargas!$E$96*'Plan mensual'!H309+parametros_recargas!$F$96*'Plan mensual'!H310+parametros_recargas!$G$96*'Plan mensual'!H311+parametros_recargas!$H$96*'Plan mensual'!H312+parametros_recargas!$I$96*'Plan mensual'!H313+parametros_recargas!$J$96*'Plan mensual'!H314+parametros_recargas!$K$96*'Plan mensual'!H315+parametros_recargas!$L$96*'Plan mensual'!H316+parametros_recargas!$M$96*'Plan mensual'!H318</f>
        <v>19008.931382469</v>
      </c>
      <c r="G310" s="26" t="n">
        <f aca="false">parametros_recargas!$E$96*'Plan mensual'!I309+parametros_recargas!$F$96*'Plan mensual'!I310+parametros_recargas!$G$96*'Plan mensual'!I311+parametros_recargas!$H$96*'Plan mensual'!I312+parametros_recargas!$I$96*'Plan mensual'!I313+parametros_recargas!$J$96*'Plan mensual'!I314+parametros_recargas!$K$96*'Plan mensual'!I315+parametros_recargas!$L$96*'Plan mensual'!I316+parametros_recargas!$M$96*'Plan mensual'!I318</f>
        <v>18804.1122315877</v>
      </c>
      <c r="H310" s="26" t="n">
        <f aca="false">parametros_recargas!$E$96*'Plan mensual'!J309+parametros_recargas!$F$96*'Plan mensual'!J310+parametros_recargas!$G$96*'Plan mensual'!J311+parametros_recargas!$H$96*'Plan mensual'!J312+parametros_recargas!$I$96*'Plan mensual'!J313+parametros_recargas!$J$96*'Plan mensual'!J314+parametros_recargas!$K$96*'Plan mensual'!J315+parametros_recargas!$L$96*'Plan mensual'!J316+parametros_recargas!$M$96*'Plan mensual'!J318</f>
        <v>16767.965980146</v>
      </c>
      <c r="I310" s="26" t="n">
        <f aca="false">parametros_recargas!$E$96*'Plan mensual'!K309+parametros_recargas!$F$96*'Plan mensual'!K310+parametros_recargas!$G$96*'Plan mensual'!K311+parametros_recargas!$H$96*'Plan mensual'!K312+parametros_recargas!$I$96*'Plan mensual'!K313+parametros_recargas!$J$96*'Plan mensual'!K314+parametros_recargas!$K$96*'Plan mensual'!K315+parametros_recargas!$L$96*'Plan mensual'!K316+parametros_recargas!$M$96*'Plan mensual'!K318</f>
        <v>16905.9178670753</v>
      </c>
      <c r="J310" s="26" t="n">
        <f aca="false">parametros_recargas!$E$96*'Plan mensual'!L309+parametros_recargas!$F$96*'Plan mensual'!L310+parametros_recargas!$G$96*'Plan mensual'!L311+parametros_recargas!$H$96*'Plan mensual'!L312+parametros_recargas!$I$96*'Plan mensual'!L313+parametros_recargas!$J$96*'Plan mensual'!L314+parametros_recargas!$K$96*'Plan mensual'!L315+parametros_recargas!$L$96*'Plan mensual'!L316+parametros_recargas!$M$96*'Plan mensual'!L318</f>
        <v>17086.7299271688</v>
      </c>
      <c r="K310" s="26" t="n">
        <f aca="false">parametros_recargas!$E$96*'Plan mensual'!M309+parametros_recargas!$F$96*'Plan mensual'!M310+parametros_recargas!$G$96*'Plan mensual'!M311+parametros_recargas!$H$96*'Plan mensual'!M312+parametros_recargas!$I$96*'Plan mensual'!M313+parametros_recargas!$J$96*'Plan mensual'!M314+parametros_recargas!$K$96*'Plan mensual'!M315+parametros_recargas!$L$96*'Plan mensual'!M316+parametros_recargas!$M$96*'Plan mensual'!M318</f>
        <v>17085.6183750102</v>
      </c>
      <c r="L310" s="26" t="n">
        <f aca="false">parametros_recargas!$E$96*'Plan mensual'!N309+parametros_recargas!$F$96*'Plan mensual'!N310+parametros_recargas!$G$96*'Plan mensual'!N311+parametros_recargas!$H$96*'Plan mensual'!N312+parametros_recargas!$I$96*'Plan mensual'!N313+parametros_recargas!$J$96*'Plan mensual'!N314+parametros_recargas!$K$96*'Plan mensual'!N315+parametros_recargas!$L$96*'Plan mensual'!N316+parametros_recargas!$M$96*'Plan mensual'!N318</f>
        <v>19704.1215174024</v>
      </c>
      <c r="M310" s="26" t="n">
        <f aca="false">parametros_recargas!$E$96*'Plan mensual'!O309+parametros_recargas!$F$96*'Plan mensual'!O310+parametros_recargas!$G$96*'Plan mensual'!O311+parametros_recargas!$H$96*'Plan mensual'!O312+parametros_recargas!$I$96*'Plan mensual'!O313+parametros_recargas!$J$96*'Plan mensual'!O314+parametros_recargas!$K$96*'Plan mensual'!O315+parametros_recargas!$L$96*'Plan mensual'!O316+parametros_recargas!$M$96*'Plan mensual'!O318</f>
        <v>22662.6378408879</v>
      </c>
      <c r="N310" s="12" t="n">
        <f aca="false">SUM(B310:M310)</f>
        <v>222895.376531829</v>
      </c>
      <c r="O310" s="27" t="n">
        <f aca="false">MAX(B310:M310)</f>
        <v>22662.6378408879</v>
      </c>
      <c r="P310" s="16" t="n">
        <f aca="false">O310/parametros_recargas!$B$6</f>
        <v>151.084252272586</v>
      </c>
    </row>
    <row r="311" customFormat="false" ht="15" hidden="false" customHeight="false" outlineLevel="0" collapsed="false">
      <c r="A311" s="6" t="str">
        <f aca="false">parametros_recargas!$B$97</f>
        <v>Inutilización y disposición final</v>
      </c>
      <c r="B311" s="26" t="n">
        <f aca="false">parametros_recargas!$E$97*'Plan mensual'!D309+parametros_recargas!$F$97*'Plan mensual'!D310+parametros_recargas!$G$97*'Plan mensual'!D311+parametros_recargas!$H$97*'Plan mensual'!D312+parametros_recargas!$I$97*'Plan mensual'!D313+parametros_recargas!$J$97*'Plan mensual'!D314+parametros_recargas!$K$97*'Plan mensual'!D315+parametros_recargas!$L$97*'Plan mensual'!D316+parametros_recargas!$M$97*'Plan mensual'!D318</f>
        <v>1644.19046109746</v>
      </c>
      <c r="C311" s="26" t="n">
        <f aca="false">parametros_recargas!$E$97*'Plan mensual'!E309+parametros_recargas!$F$97*'Plan mensual'!E310+parametros_recargas!$G$97*'Plan mensual'!E311+parametros_recargas!$H$97*'Plan mensual'!E312+parametros_recargas!$I$97*'Plan mensual'!E313+parametros_recargas!$J$97*'Plan mensual'!E314+parametros_recargas!$K$97*'Plan mensual'!E315+parametros_recargas!$L$97*'Plan mensual'!E316+parametros_recargas!$M$97*'Plan mensual'!E318</f>
        <v>1424.31625528913</v>
      </c>
      <c r="D311" s="26" t="n">
        <f aca="false">parametros_recargas!$E$97*'Plan mensual'!F309+parametros_recargas!$F$97*'Plan mensual'!F310+parametros_recargas!$G$97*'Plan mensual'!F311+parametros_recargas!$H$97*'Plan mensual'!F312+parametros_recargas!$I$97*'Plan mensual'!F313+parametros_recargas!$J$97*'Plan mensual'!F314+parametros_recargas!$K$97*'Plan mensual'!F315+parametros_recargas!$L$97*'Plan mensual'!F316+parametros_recargas!$M$97*'Plan mensual'!F318</f>
        <v>1345.46196807806</v>
      </c>
      <c r="E311" s="26" t="n">
        <f aca="false">parametros_recargas!$E$97*'Plan mensual'!G309+parametros_recargas!$F$97*'Plan mensual'!G310+parametros_recargas!$G$97*'Plan mensual'!G311+parametros_recargas!$H$97*'Plan mensual'!G312+parametros_recargas!$I$97*'Plan mensual'!G313+parametros_recargas!$J$97*'Plan mensual'!G314+parametros_recargas!$K$97*'Plan mensual'!G315+parametros_recargas!$L$97*'Plan mensual'!G316+parametros_recargas!$M$97*'Plan mensual'!G318</f>
        <v>1480.61000415473</v>
      </c>
      <c r="F311" s="26" t="n">
        <f aca="false">parametros_recargas!$E$97*'Plan mensual'!H309+parametros_recargas!$F$97*'Plan mensual'!H310+parametros_recargas!$G$97*'Plan mensual'!H311+parametros_recargas!$H$97*'Plan mensual'!H312+parametros_recargas!$I$97*'Plan mensual'!H313+parametros_recargas!$J$97*'Plan mensual'!H314+parametros_recargas!$K$97*'Plan mensual'!H315+parametros_recargas!$L$97*'Plan mensual'!H316+parametros_recargas!$M$97*'Plan mensual'!H318</f>
        <v>1490.7306677528</v>
      </c>
      <c r="G311" s="26" t="n">
        <f aca="false">parametros_recargas!$E$97*'Plan mensual'!I309+parametros_recargas!$F$97*'Plan mensual'!I310+parametros_recargas!$G$97*'Plan mensual'!I311+parametros_recargas!$H$97*'Plan mensual'!I312+parametros_recargas!$I$97*'Plan mensual'!I313+parametros_recargas!$J$97*'Plan mensual'!I314+parametros_recargas!$K$97*'Plan mensual'!I315+parametros_recargas!$L$97*'Plan mensual'!I316+parametros_recargas!$M$97*'Plan mensual'!I318</f>
        <v>1475.02230160685</v>
      </c>
      <c r="H311" s="26" t="n">
        <f aca="false">parametros_recargas!$E$97*'Plan mensual'!J309+parametros_recargas!$F$97*'Plan mensual'!J310+parametros_recargas!$G$97*'Plan mensual'!J311+parametros_recargas!$H$97*'Plan mensual'!J312+parametros_recargas!$I$97*'Plan mensual'!J313+parametros_recargas!$J$97*'Plan mensual'!J314+parametros_recargas!$K$97*'Plan mensual'!J315+parametros_recargas!$L$97*'Plan mensual'!J316+parametros_recargas!$M$97*'Plan mensual'!J318</f>
        <v>1317.40439810243</v>
      </c>
      <c r="I311" s="26" t="n">
        <f aca="false">parametros_recargas!$E$97*'Plan mensual'!K309+parametros_recargas!$F$97*'Plan mensual'!K310+parametros_recargas!$G$97*'Plan mensual'!K311+parametros_recargas!$H$97*'Plan mensual'!K312+parametros_recargas!$I$97*'Plan mensual'!K313+parametros_recargas!$J$97*'Plan mensual'!K314+parametros_recargas!$K$97*'Plan mensual'!K315+parametros_recargas!$L$97*'Plan mensual'!K316+parametros_recargas!$M$97*'Plan mensual'!K318</f>
        <v>1328.4146804617</v>
      </c>
      <c r="J311" s="26" t="n">
        <f aca="false">parametros_recargas!$E$97*'Plan mensual'!L309+parametros_recargas!$F$97*'Plan mensual'!L310+parametros_recargas!$G$97*'Plan mensual'!L311+parametros_recargas!$H$97*'Plan mensual'!L312+parametros_recargas!$I$97*'Plan mensual'!L313+parametros_recargas!$J$97*'Plan mensual'!L314+parametros_recargas!$K$97*'Plan mensual'!L315+parametros_recargas!$L$97*'Plan mensual'!L316+parametros_recargas!$M$97*'Plan mensual'!L318</f>
        <v>1342.37242045634</v>
      </c>
      <c r="K311" s="26" t="n">
        <f aca="false">parametros_recargas!$E$97*'Plan mensual'!M309+parametros_recargas!$F$97*'Plan mensual'!M310+parametros_recargas!$G$97*'Plan mensual'!M311+parametros_recargas!$H$97*'Plan mensual'!M312+parametros_recargas!$I$97*'Plan mensual'!M313+parametros_recargas!$J$97*'Plan mensual'!M314+parametros_recargas!$K$97*'Plan mensual'!M315+parametros_recargas!$L$97*'Plan mensual'!M316+parametros_recargas!$M$97*'Plan mensual'!M318</f>
        <v>1342.37242045634</v>
      </c>
      <c r="L311" s="26" t="n">
        <f aca="false">parametros_recargas!$E$97*'Plan mensual'!N309+parametros_recargas!$F$97*'Plan mensual'!N310+parametros_recargas!$G$97*'Plan mensual'!N311+parametros_recargas!$H$97*'Plan mensual'!N312+parametros_recargas!$I$97*'Plan mensual'!N313+parametros_recargas!$J$97*'Plan mensual'!N314+parametros_recargas!$K$97*'Plan mensual'!N315+parametros_recargas!$L$97*'Plan mensual'!N316+parametros_recargas!$M$97*'Plan mensual'!N318</f>
        <v>1552.1259626666</v>
      </c>
      <c r="M311" s="26" t="n">
        <f aca="false">parametros_recargas!$E$97*'Plan mensual'!O309+parametros_recargas!$F$97*'Plan mensual'!O310+parametros_recargas!$G$97*'Plan mensual'!O311+parametros_recargas!$H$97*'Plan mensual'!O312+parametros_recargas!$I$97*'Plan mensual'!O313+parametros_recargas!$J$97*'Plan mensual'!O314+parametros_recargas!$K$97*'Plan mensual'!O315+parametros_recargas!$L$97*'Plan mensual'!O316+parametros_recargas!$M$97*'Plan mensual'!O318</f>
        <v>1787.70853462089</v>
      </c>
      <c r="N311" s="12" t="n">
        <f aca="false">SUM(B311:M311)</f>
        <v>17530.7300747433</v>
      </c>
      <c r="O311" s="27" t="n">
        <f aca="false">MAX(B311:M311)</f>
        <v>1787.70853462089</v>
      </c>
      <c r="P311" s="16" t="n">
        <f aca="false">O311/parametros_recargas!$B$6</f>
        <v>11.9180568974726</v>
      </c>
    </row>
    <row r="312" customFormat="false" ht="15" hidden="false" customHeight="false" outlineLevel="0" collapsed="false">
      <c r="A312" s="6" t="str">
        <f aca="false">parametros_recargas!$B$98</f>
        <v>PH de mangueras (CO₂ y rodantes)</v>
      </c>
      <c r="B312" s="26" t="n">
        <f aca="false">'Plan mensual'!D317</f>
        <v>546.46596925343</v>
      </c>
      <c r="C312" s="26" t="n">
        <f aca="false">'Plan mensual'!E317</f>
        <v>546.46596925343</v>
      </c>
      <c r="D312" s="26" t="n">
        <f aca="false">'Plan mensual'!F317</f>
        <v>593.951268603636</v>
      </c>
      <c r="E312" s="26" t="n">
        <f aca="false">'Plan mensual'!G317</f>
        <v>658.57788832758</v>
      </c>
      <c r="F312" s="26" t="n">
        <f aca="false">'Plan mensual'!H317</f>
        <v>666.280748738882</v>
      </c>
      <c r="G312" s="26" t="n">
        <f aca="false">'Plan mensual'!I317</f>
        <v>639.011753724408</v>
      </c>
      <c r="H312" s="26" t="n">
        <f aca="false">'Plan mensual'!J317</f>
        <v>565.767028386414</v>
      </c>
      <c r="I312" s="26" t="n">
        <f aca="false">'Plan mensual'!K317</f>
        <v>571.96031977103</v>
      </c>
      <c r="J312" s="26" t="n">
        <f aca="false">'Plan mensual'!L317</f>
        <v>595.229303623868</v>
      </c>
      <c r="K312" s="26" t="n">
        <f aca="false">'Plan mensual'!M317</f>
        <v>595.229303623868</v>
      </c>
      <c r="L312" s="26" t="n">
        <f aca="false">'Plan mensual'!N317</f>
        <v>587.526443212566</v>
      </c>
      <c r="M312" s="26" t="n">
        <f aca="false">'Plan mensual'!O317</f>
        <v>614.79543822704</v>
      </c>
      <c r="N312" s="12" t="n">
        <f aca="false">SUM(B312:M312)</f>
        <v>7181.26143474615</v>
      </c>
      <c r="O312" s="27" t="n">
        <f aca="false">MAX(B312:M312)</f>
        <v>666.280748738882</v>
      </c>
      <c r="P312" s="16" t="n">
        <f aca="false">O312/parametros_recargas!$B$6</f>
        <v>4.44187165825922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8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11" min="2" style="0" width="10"/>
    <col collapsed="false" customWidth="true" hidden="false" outlineLevel="0" max="12" min="12" style="0" width="13"/>
    <col collapsed="false" customWidth="true" hidden="false" outlineLevel="0" max="13" min="13" style="0" width="3"/>
    <col collapsed="false" customWidth="true" hidden="false" outlineLevel="0" max="14" min="14" style="0" width="30"/>
    <col collapsed="false" customWidth="true" hidden="false" outlineLevel="0" max="15" min="15" style="0" width="60"/>
  </cols>
  <sheetData>
    <row r="1" customFormat="false" ht="23.85" hidden="false" customHeight="false" outlineLevel="0" collapsed="false">
      <c r="A1" s="3" t="s">
        <v>402</v>
      </c>
      <c r="B1" s="3" t="n">
        <v>2026</v>
      </c>
      <c r="C1" s="3" t="n">
        <v>2027</v>
      </c>
      <c r="D1" s="3" t="n">
        <v>2028</v>
      </c>
      <c r="E1" s="3" t="n">
        <v>2029</v>
      </c>
      <c r="F1" s="3" t="n">
        <v>2030</v>
      </c>
      <c r="G1" s="3" t="n">
        <v>2031</v>
      </c>
      <c r="H1" s="3" t="n">
        <v>2032</v>
      </c>
      <c r="I1" s="3" t="n">
        <v>2033</v>
      </c>
      <c r="J1" s="3" t="n">
        <v>2034</v>
      </c>
      <c r="K1" s="3" t="n">
        <v>2035</v>
      </c>
      <c r="L1" s="4" t="s">
        <v>247</v>
      </c>
      <c r="N1" s="3" t="s">
        <v>403</v>
      </c>
      <c r="O1" s="3" t="s">
        <v>404</v>
      </c>
    </row>
    <row r="2" customFormat="false" ht="15" hidden="false" customHeight="false" outlineLevel="0" collapsed="false">
      <c r="A2" s="6" t="str">
        <f aca="false">parametros_recargas!$B$76</f>
        <v>Recepción y registro</v>
      </c>
      <c r="B2" s="17" t="n">
        <f aca="false">IF(parametros_recargas!$O$76*B34*B66=0,0,'Demanda por puesto'!$P$2/(parametros_recargas!$O$76*B34*B66))</f>
        <v>0.0573206564443593</v>
      </c>
      <c r="C2" s="17" t="n">
        <f aca="false">IF(parametros_recargas!$O$76*C34*C66=0,0,'Demanda por puesto'!$P$34/(parametros_recargas!$O$76*C34*C66))</f>
        <v>0.262337809927099</v>
      </c>
      <c r="D2" s="17" t="n">
        <f aca="false">IF(parametros_recargas!$O$76*D34*D66=0,0,'Demanda por puesto'!$P$66/(parametros_recargas!$O$76*D34*D66))</f>
        <v>0.51838966248483</v>
      </c>
      <c r="E2" s="17" t="n">
        <f aca="false">IF(parametros_recargas!$O$76*E34*E66=0,0,'Demanda por puesto'!$P$98/(parametros_recargas!$O$76*E34*E66))</f>
        <v>0.478819583426617</v>
      </c>
      <c r="F2" s="17" t="n">
        <f aca="false">IF(parametros_recargas!$O$76*F34*F66=0,0,'Demanda por puesto'!$P$130/(parametros_recargas!$O$76*F34*F66))</f>
        <v>0.706125330752005</v>
      </c>
      <c r="G2" s="17" t="n">
        <f aca="false">IF(parametros_recargas!$O$76*G34*G66=0,0,'Demanda por puesto'!$P$162/(parametros_recargas!$O$76*G34*G66))</f>
        <v>0.642019191514388</v>
      </c>
      <c r="H2" s="17" t="n">
        <f aca="false">IF(parametros_recargas!$O$76*H34*H66=0,0,'Demanda por puesto'!$P$194/(parametros_recargas!$O$76*H34*H66))</f>
        <v>0.399216054040774</v>
      </c>
      <c r="I2" s="17" t="n">
        <f aca="false">IF(parametros_recargas!$O$76*I34*I66=0,0,'Demanda por puesto'!$P$226/(parametros_recargas!$O$76*I34*I66))</f>
        <v>0.455153411237863</v>
      </c>
      <c r="J2" s="17" t="n">
        <f aca="false">IF(parametros_recargas!$O$76*J34*J66=0,0,'Demanda por puesto'!$P$258/(parametros_recargas!$O$76*J34*J66))</f>
        <v>0.489500618860146</v>
      </c>
      <c r="K2" s="17" t="n">
        <f aca="false">IF(parametros_recargas!$O$76*K34*K66=0,0,'Demanda por puesto'!$P$290/(parametros_recargas!$O$76*K34*K66))</f>
        <v>0.524598098168702</v>
      </c>
      <c r="L2" s="6" t="str">
        <f aca="false">parametros_recargas!$D$76</f>
        <v>Manual</v>
      </c>
      <c r="N2" s="5" t="s">
        <v>405</v>
      </c>
      <c r="O2" s="5" t="s">
        <v>406</v>
      </c>
    </row>
    <row r="3" customFormat="false" ht="15" hidden="false" customHeight="false" outlineLevel="0" collapsed="false">
      <c r="A3" s="6" t="str">
        <f aca="false">parametros_recargas!$B$77</f>
        <v>Inspección visual</v>
      </c>
      <c r="B3" s="17" t="n">
        <f aca="false">IF(parametros_recargas!$O$77*B35*B67=0,0,'Demanda por puesto'!$P$3/(parametros_recargas!$O$77*B35*B67))</f>
        <v>0.0680422088598978</v>
      </c>
      <c r="C3" s="17" t="n">
        <f aca="false">IF(parametros_recargas!$O$77*C35*C67=0,0,'Demanda por puesto'!$P$35/(parametros_recargas!$O$77*C35*C67))</f>
        <v>0.313487820884319</v>
      </c>
      <c r="D3" s="17" t="n">
        <f aca="false">IF(parametros_recargas!$O$77*D35*D67=0,0,'Demanda por puesto'!$P$67/(parametros_recargas!$O$77*D35*D67))</f>
        <v>0.61970976960613</v>
      </c>
      <c r="E3" s="17" t="n">
        <f aca="false">IF(parametros_recargas!$O$77*E35*E67=0,0,'Demanda por puesto'!$P$99/(parametros_recargas!$O$77*E35*E67))</f>
        <v>0.572654365339574</v>
      </c>
      <c r="F3" s="17" t="n">
        <f aca="false">IF(parametros_recargas!$O$77*F35*F67=0,0,'Demanda por puesto'!$P$131/(parametros_recargas!$O$77*F35*F67))</f>
        <v>0.845287221801372</v>
      </c>
      <c r="G3" s="17" t="n">
        <f aca="false">IF(parametros_recargas!$O$77*G35*G67=0,0,'Demanda por puesto'!$P$163/(parametros_recargas!$O$77*G35*G67))</f>
        <v>0.768971604120821</v>
      </c>
      <c r="H3" s="17" t="n">
        <f aca="false">IF(parametros_recargas!$O$77*H35*H67=0,0,'Demanda por puesto'!$P$195/(parametros_recargas!$O$77*H35*H67))</f>
        <v>0.478392504607118</v>
      </c>
      <c r="I3" s="17" t="n">
        <f aca="false">IF(parametros_recargas!$O$77*I35*I67=0,0,'Demanda por puesto'!$P$227/(parametros_recargas!$O$77*I35*I67))</f>
        <v>0.545639316279624</v>
      </c>
      <c r="J3" s="17" t="n">
        <f aca="false">IF(parametros_recargas!$O$77*J35*J67=0,0,'Demanda por puesto'!$P$259/(parametros_recargas!$O$77*J35*J67))</f>
        <v>0.586905165654853</v>
      </c>
      <c r="K3" s="17" t="n">
        <f aca="false">IF(parametros_recargas!$O$77*K35*K67=0,0,'Demanda por puesto'!$P$291/(parametros_recargas!$O$77*K35*K67))</f>
        <v>0.628977950656097</v>
      </c>
      <c r="L3" s="6" t="str">
        <f aca="false">parametros_recargas!$D$77</f>
        <v>Manual</v>
      </c>
      <c r="N3" s="29" t="s">
        <v>407</v>
      </c>
      <c r="O3" s="5" t="s">
        <v>408</v>
      </c>
    </row>
    <row r="4" customFormat="false" ht="15" hidden="false" customHeight="false" outlineLevel="0" collapsed="false">
      <c r="A4" s="6" t="str">
        <f aca="false">parametros_recargas!$B$78</f>
        <v>Descarga ABC — ruta recuperable</v>
      </c>
      <c r="B4" s="17" t="n">
        <f aca="false">IF(parametros_recargas!$O$78*B36*B68=0,0,'Demanda por puesto'!$P$4/(parametros_recargas!$O$78*B36*B68))</f>
        <v>0.0490776267365747</v>
      </c>
      <c r="C4" s="17" t="n">
        <f aca="false">IF(parametros_recargas!$O$78*C36*C68=0,0,'Demanda por puesto'!$P$36/(parametros_recargas!$O$78*C36*C68))</f>
        <v>0.226655294016787</v>
      </c>
      <c r="D4" s="17" t="n">
        <f aca="false">IF(parametros_recargas!$O$78*D36*D68=0,0,'Demanda por puesto'!$P$68/(parametros_recargas!$O$78*D36*D68))</f>
        <v>0.441903028513911</v>
      </c>
      <c r="E4" s="17" t="n">
        <f aca="false">IF(parametros_recargas!$O$78*E36*E68=0,0,'Demanda por puesto'!$P$100/(parametros_recargas!$O$78*E36*E68))</f>
        <v>0.816986616503095</v>
      </c>
      <c r="F4" s="17" t="n">
        <f aca="false">IF(parametros_recargas!$O$78*F36*F68=0,0,'Demanda por puesto'!$P$132/(parametros_recargas!$O$78*F36*F68))</f>
        <v>0.604875694713422</v>
      </c>
      <c r="G4" s="17" t="n">
        <f aca="false">IF(parametros_recargas!$O$78*G36*G68=0,0,'Demanda por puesto'!$P$164/(parametros_recargas!$O$78*G36*G68))</f>
        <v>0.828435934974376</v>
      </c>
      <c r="H4" s="17" t="n">
        <f aca="false">IF(parametros_recargas!$O$78*H36*H68=0,0,'Demanda por puesto'!$P$196/(parametros_recargas!$O$78*H36*H68))</f>
        <v>0.516146695996384</v>
      </c>
      <c r="I4" s="17" t="n">
        <f aca="false">IF(parametros_recargas!$O$78*I36*I68=0,0,'Demanda por puesto'!$P$228/(parametros_recargas!$O$78*I36*I68))</f>
        <v>0.590257260793507</v>
      </c>
      <c r="J4" s="17" t="n">
        <f aca="false">IF(parametros_recargas!$O$78*J36*J68=0,0,'Demanda por puesto'!$P$260/(parametros_recargas!$O$78*J36*J68))</f>
        <v>0.634398773234873</v>
      </c>
      <c r="K4" s="17" t="n">
        <f aca="false">IF(parametros_recargas!$O$78*K36*K68=0,0,'Demanda por puesto'!$P$292/(parametros_recargas!$O$78*K36*K68))</f>
        <v>0.679424369188886</v>
      </c>
      <c r="L4" s="6" t="str">
        <f aca="false">parametros_recargas!$D$78</f>
        <v>Máquina</v>
      </c>
      <c r="N4" s="30" t="s">
        <v>409</v>
      </c>
      <c r="O4" s="5" t="s">
        <v>410</v>
      </c>
    </row>
    <row r="5" customFormat="false" ht="15" hidden="false" customHeight="false" outlineLevel="0" collapsed="false">
      <c r="A5" s="6" t="str">
        <f aca="false">parametros_recargas!$B$79</f>
        <v>Descarga a descarte (ABC, BC y Clase D)</v>
      </c>
      <c r="B5" s="17" t="n">
        <f aca="false">IF(parametros_recargas!$O$79*B37*B69=0,0,'Demanda por puesto'!$P$5/(parametros_recargas!$O$79*B37*B69))</f>
        <v>0.00554742733191637</v>
      </c>
      <c r="C5" s="17" t="n">
        <f aca="false">IF(parametros_recargas!$O$79*C37*C69=0,0,'Demanda por puesto'!$P$37/(parametros_recargas!$O$79*C37*C69))</f>
        <v>0.025859404523275</v>
      </c>
      <c r="D5" s="17" t="n">
        <f aca="false">IF(parametros_recargas!$O$79*D37*D69=0,0,'Demanda por puesto'!$P$69/(parametros_recargas!$O$79*D37*D69))</f>
        <v>0.0503537330151441</v>
      </c>
      <c r="E5" s="17" t="n">
        <f aca="false">IF(parametros_recargas!$O$79*E37*E69=0,0,'Demanda por puesto'!$P$101/(parametros_recargas!$O$79*E37*E69))</f>
        <v>0.0929280166941287</v>
      </c>
      <c r="F5" s="17" t="n">
        <f aca="false">IF(parametros_recargas!$O$79*F37*F69=0,0,'Demanda por puesto'!$P$133/(parametros_recargas!$O$79*F37*F69))</f>
        <v>0.137403614382604</v>
      </c>
      <c r="G5" s="17" t="n">
        <f aca="false">IF(parametros_recargas!$O$79*G37*G69=0,0,'Demanda por puesto'!$P$165/(parametros_recargas!$O$79*G37*G69))</f>
        <v>0.187930934485101</v>
      </c>
      <c r="H5" s="17" t="n">
        <f aca="false">IF(parametros_recargas!$O$79*H37*H69=0,0,'Demanda por puesto'!$P$197/(parametros_recargas!$O$79*H37*H69))</f>
        <v>0.234278991540157</v>
      </c>
      <c r="I5" s="17" t="n">
        <f aca="false">IF(parametros_recargas!$O$79*I37*I69=0,0,'Demanda por puesto'!$P$229/(parametros_recargas!$O$79*I37*I69))</f>
        <v>0.267768849541303</v>
      </c>
      <c r="J5" s="17" t="n">
        <f aca="false">IF(parametros_recargas!$O$79*J37*J69=0,0,'Demanda por puesto'!$P$261/(parametros_recargas!$O$79*J37*J69))</f>
        <v>0.287885840155351</v>
      </c>
      <c r="K5" s="17" t="n">
        <f aca="false">IF(parametros_recargas!$O$79*K37*K69=0,0,'Demanda por puesto'!$P$293/(parametros_recargas!$O$79*K37*K69))</f>
        <v>0.308412058187508</v>
      </c>
      <c r="L5" s="6" t="str">
        <f aca="false">parametros_recargas!$D$79</f>
        <v>Máquina</v>
      </c>
      <c r="N5" s="31" t="s">
        <v>411</v>
      </c>
      <c r="O5" s="5" t="s">
        <v>412</v>
      </c>
    </row>
    <row r="6" customFormat="false" ht="15" hidden="false" customHeight="false" outlineLevel="0" collapsed="false">
      <c r="A6" s="6" t="str">
        <f aca="false">parametros_recargas!$B$80</f>
        <v>Descarga y carga de agua / AFFF / sales K</v>
      </c>
      <c r="B6" s="17" t="n">
        <f aca="false">IF(parametros_recargas!$O$80*B38*B70=0,0,'Demanda por puesto'!$P$6/(parametros_recargas!$O$80*B38*B70))</f>
        <v>0.00636349464415863</v>
      </c>
      <c r="C6" s="17" t="n">
        <f aca="false">IF(parametros_recargas!$O$80*C38*C70=0,0,'Demanda por puesto'!$P$38/(parametros_recargas!$O$80*C38*C70))</f>
        <v>0.0312068423726613</v>
      </c>
      <c r="D6" s="17" t="n">
        <f aca="false">IF(parametros_recargas!$O$80*D38*D70=0,0,'Demanda por puesto'!$P$70/(parametros_recargas!$O$80*D38*D70))</f>
        <v>0.0672247460032033</v>
      </c>
      <c r="E6" s="17" t="n">
        <f aca="false">IF(parametros_recargas!$O$80*E38*E70=0,0,'Demanda por puesto'!$P$102/(parametros_recargas!$O$80*E38*E70))</f>
        <v>0.121446329929115</v>
      </c>
      <c r="F6" s="17" t="n">
        <f aca="false">IF(parametros_recargas!$O$80*F38*F70=0,0,'Demanda por puesto'!$P$134/(parametros_recargas!$O$80*F38*F70))</f>
        <v>0.174256071964951</v>
      </c>
      <c r="G6" s="17" t="n">
        <f aca="false">IF(parametros_recargas!$O$80*G38*G70=0,0,'Demanda por puesto'!$P$166/(parametros_recargas!$O$80*G38*G70))</f>
        <v>0.230165387099329</v>
      </c>
      <c r="H6" s="17" t="n">
        <f aca="false">IF(parametros_recargas!$O$80*H38*H70=0,0,'Demanda por puesto'!$P$198/(parametros_recargas!$O$80*H38*H70))</f>
        <v>0.282662961021325</v>
      </c>
      <c r="I6" s="17" t="n">
        <f aca="false">IF(parametros_recargas!$O$80*I38*I70=0,0,'Demanda por puesto'!$P$230/(parametros_recargas!$O$80*I38*I70))</f>
        <v>0.316585246259795</v>
      </c>
      <c r="J6" s="17" t="n">
        <f aca="false">IF(parametros_recargas!$O$80*J38*J70=0,0,'Demanda por puesto'!$P$262/(parametros_recargas!$O$80*J38*J70))</f>
        <v>0.342971060174536</v>
      </c>
      <c r="K6" s="17" t="n">
        <f aca="false">IF(parametros_recargas!$O$80*K38*K70=0,0,'Demanda por puesto'!$P$294/(parametros_recargas!$O$80*K38*K70))</f>
        <v>0.369893379858226</v>
      </c>
      <c r="L6" s="6" t="str">
        <f aca="false">parametros_recargas!$D$80</f>
        <v>Máquina</v>
      </c>
      <c r="N6" s="32" t="s">
        <v>413</v>
      </c>
      <c r="O6" s="5" t="s">
        <v>414</v>
      </c>
    </row>
    <row r="7" customFormat="false" ht="15" hidden="false" customHeight="false" outlineLevel="0" collapsed="false">
      <c r="A7" s="6" t="str">
        <f aca="false">parametros_recargas!$B$81</f>
        <v>Recuperación y carga de CO₂</v>
      </c>
      <c r="B7" s="17" t="n">
        <f aca="false">IF(parametros_recargas!$O$81*B39*B71=0,0,'Demanda por puesto'!$P$7/(parametros_recargas!$O$81*B39*B71))</f>
        <v>0.00870636569962155</v>
      </c>
      <c r="C7" s="17" t="n">
        <f aca="false">IF(parametros_recargas!$O$81*C39*C71=0,0,'Demanda por puesto'!$P$39/(parametros_recargas!$O$81*C39*C71))</f>
        <v>0.03534614566363</v>
      </c>
      <c r="D7" s="17" t="n">
        <f aca="false">IF(parametros_recargas!$O$81*D39*D71=0,0,'Demanda por puesto'!$P$71/(parametros_recargas!$O$81*D39*D71))</f>
        <v>0.0807689960947784</v>
      </c>
      <c r="E7" s="17" t="n">
        <f aca="false">IF(parametros_recargas!$O$81*E39*E71=0,0,'Demanda por puesto'!$P$103/(parametros_recargas!$O$81*E39*E71))</f>
        <v>0.152203454075971</v>
      </c>
      <c r="F7" s="17" t="n">
        <f aca="false">IF(parametros_recargas!$O$81*F39*F71=0,0,'Demanda por puesto'!$P$135/(parametros_recargas!$O$81*F39*F71))</f>
        <v>0.220181889606555</v>
      </c>
      <c r="G7" s="17" t="n">
        <f aca="false">IF(parametros_recargas!$O$81*G39*G71=0,0,'Demanda por puesto'!$P$167/(parametros_recargas!$O$81*G39*G71))</f>
        <v>0.293013409686854</v>
      </c>
      <c r="H7" s="17" t="n">
        <f aca="false">IF(parametros_recargas!$O$81*H39*H71=0,0,'Demanda por puesto'!$P$199/(parametros_recargas!$O$81*H39*H71))</f>
        <v>0.359658272461105</v>
      </c>
      <c r="I7" s="17" t="n">
        <f aca="false">IF(parametros_recargas!$O$81*I39*I71=0,0,'Demanda por puesto'!$P$231/(parametros_recargas!$O$81*I39*I71))</f>
        <v>0.399746918894759</v>
      </c>
      <c r="J7" s="17" t="n">
        <f aca="false">IF(parametros_recargas!$O$81*J39*J71=0,0,'Demanda por puesto'!$P$263/(parametros_recargas!$O$81*J39*J71))</f>
        <v>0.432147688215401</v>
      </c>
      <c r="K7" s="17" t="n">
        <f aca="false">IF(parametros_recargas!$O$81*K39*K71=0,0,'Demanda por puesto'!$P$295/(parametros_recargas!$O$81*K39*K71))</f>
        <v>0.464984976197505</v>
      </c>
      <c r="L7" s="6" t="str">
        <f aca="false">parametros_recargas!$D$81</f>
        <v>Máquina</v>
      </c>
      <c r="N7" s="33" t="s">
        <v>415</v>
      </c>
      <c r="O7" s="5" t="s">
        <v>416</v>
      </c>
    </row>
    <row r="8" customFormat="false" ht="15" hidden="false" customHeight="false" outlineLevel="0" collapsed="false">
      <c r="A8" s="6" t="str">
        <f aca="false">parametros_recargas!$B$82</f>
        <v>Recuperación y carga de halogenado</v>
      </c>
      <c r="B8" s="17" t="n">
        <f aca="false">IF(parametros_recargas!$O$82*B40*B72=0,0,'Demanda por puesto'!$P$8/(parametros_recargas!$O$82*B40*B72))</f>
        <v>0.000521790589815939</v>
      </c>
      <c r="C8" s="17" t="n">
        <f aca="false">IF(parametros_recargas!$O$82*C40*C72=0,0,'Demanda por puesto'!$P$40/(parametros_recargas!$O$82*C40*C72))</f>
        <v>0.00326032906787201</v>
      </c>
      <c r="D8" s="17" t="n">
        <f aca="false">IF(parametros_recargas!$O$82*D40*D72=0,0,'Demanda por puesto'!$P$72/(parametros_recargas!$O$82*D40*D72))</f>
        <v>0.00671278387478524</v>
      </c>
      <c r="E8" s="17" t="n">
        <f aca="false">IF(parametros_recargas!$O$82*E40*E72=0,0,'Demanda por puesto'!$P$104/(parametros_recargas!$O$82*E40*E72))</f>
        <v>0.0116292207886641</v>
      </c>
      <c r="F8" s="17" t="n">
        <f aca="false">IF(parametros_recargas!$O$82*F40*F72=0,0,'Demanda por puesto'!$P$136/(parametros_recargas!$O$82*F40*F72))</f>
        <v>0.0166583218247621</v>
      </c>
      <c r="G8" s="17" t="n">
        <f aca="false">IF(parametros_recargas!$O$82*G40*G72=0,0,'Demanda por puesto'!$P$168/(parametros_recargas!$O$82*G40*G72))</f>
        <v>0.0219090198886324</v>
      </c>
      <c r="H8" s="17" t="n">
        <f aca="false">IF(parametros_recargas!$O$82*H40*H72=0,0,'Demanda por puesto'!$P$200/(parametros_recargas!$O$82*H40*H72))</f>
        <v>0.0274170386931521</v>
      </c>
      <c r="I8" s="17" t="n">
        <f aca="false">IF(parametros_recargas!$O$82*I40*I72=0,0,'Demanda por puesto'!$P$232/(parametros_recargas!$O$82*I40*I72))</f>
        <v>0.0311161610720194</v>
      </c>
      <c r="J8" s="17" t="n">
        <f aca="false">IF(parametros_recargas!$O$82*J40*J72=0,0,'Demanda por puesto'!$P$264/(parametros_recargas!$O$82*J40*J72))</f>
        <v>0.0340149813177574</v>
      </c>
      <c r="K8" s="17" t="n">
        <f aca="false">IF(parametros_recargas!$O$82*K40*K72=0,0,'Demanda por puesto'!$P$296/(parametros_recargas!$O$82*K40*K72))</f>
        <v>0.0369362779750877</v>
      </c>
      <c r="L8" s="6" t="str">
        <f aca="false">parametros_recargas!$D$82</f>
        <v>Máquina</v>
      </c>
    </row>
    <row r="9" customFormat="false" ht="15" hidden="false" customHeight="false" outlineLevel="0" collapsed="false">
      <c r="A9" s="6" t="str">
        <f aca="false">parametros_recargas!$B$83</f>
        <v>Desarme y limpieza — recinto</v>
      </c>
      <c r="B9" s="17" t="n">
        <f aca="false">IF(parametros_recargas!$O$83*B41*B73=0,0,'Demanda por puesto'!$P$9/(parametros_recargas!$O$83*B41*B73))</f>
        <v>0.0710294820704837</v>
      </c>
      <c r="C9" s="17" t="n">
        <f aca="false">IF(parametros_recargas!$O$83*C41*C73=0,0,'Demanda por puesto'!$P$41/(parametros_recargas!$O$83*C41*C73))</f>
        <v>0.328347286027326</v>
      </c>
      <c r="D9" s="17" t="n">
        <f aca="false">IF(parametros_recargas!$O$83*D41*D73=0,0,'Demanda por puesto'!$P$73/(parametros_recargas!$O$83*D41*D73))</f>
        <v>0.640086191461929</v>
      </c>
      <c r="E9" s="17" t="n">
        <f aca="false">IF(parametros_recargas!$O$83*E41*E73=0,0,'Demanda por puesto'!$P$105/(parametros_recargas!$O$83*E41*E73))</f>
        <v>0.591585365236585</v>
      </c>
      <c r="F9" s="17" t="n">
        <f aca="false">IF(parametros_recargas!$O$83*F41*F73=0,0,'Demanda por puesto'!$P$137/(parametros_recargas!$O$83*F41*F73))</f>
        <v>0.875859290402428</v>
      </c>
      <c r="G9" s="17" t="n">
        <f aca="false">IF(parametros_recargas!$O$83*G41*G73=0,0,'Demanda por puesto'!$P$169/(parametros_recargas!$O$83*G41*G73))</f>
        <v>0.799604930714363</v>
      </c>
      <c r="H9" s="17" t="n">
        <f aca="false">IF(parametros_recargas!$O$83*H41*H73=0,0,'Demanda por puesto'!$P$201/(parametros_recargas!$O$83*H41*H73))</f>
        <v>0.498206205222286</v>
      </c>
      <c r="I9" s="17" t="n">
        <f aca="false">IF(parametros_recargas!$O$83*I41*I73=0,0,'Demanda por puesto'!$P$233/(parametros_recargas!$O$83*I41*I73))</f>
        <v>0.569708521641093</v>
      </c>
      <c r="J9" s="17" t="n">
        <f aca="false">IF(parametros_recargas!$O$83*J41*J73=0,0,'Demanda por puesto'!$P$265/(parametros_recargas!$O$83*J41*J73))</f>
        <v>0.612333329153681</v>
      </c>
      <c r="K9" s="17" t="n">
        <f aca="false">IF(parametros_recargas!$O$83*K41*K73=0,0,'Demanda por puesto'!$P$297/(parametros_recargas!$O$83*K41*K73))</f>
        <v>0.655813211907163</v>
      </c>
      <c r="L9" s="6" t="str">
        <f aca="false">parametros_recargas!$D$83</f>
        <v>Manual</v>
      </c>
      <c r="N9" s="4" t="s">
        <v>153</v>
      </c>
      <c r="O9" s="21" t="n">
        <f aca="false">parametros_recargas!B7</f>
        <v>0.9</v>
      </c>
    </row>
    <row r="10" customFormat="false" ht="15" hidden="false" customHeight="false" outlineLevel="0" collapsed="false">
      <c r="A10" s="6" t="str">
        <f aca="false">parametros_recargas!$B$84</f>
        <v>Desarme e inspección interior — zona general</v>
      </c>
      <c r="B10" s="17" t="n">
        <f aca="false">IF(parametros_recargas!$O$84*B42*B74=0,0,'Demanda por puesto'!$P$10/(parametros_recargas!$O$84*B42*B74))</f>
        <v>0.00900623227420985</v>
      </c>
      <c r="C10" s="17" t="n">
        <f aca="false">IF(parametros_recargas!$O$84*C42*C74=0,0,'Demanda por puesto'!$P$42/(parametros_recargas!$O$84*C42*C74))</f>
        <v>0.0416292696084434</v>
      </c>
      <c r="D10" s="17" t="n">
        <f aca="false">IF(parametros_recargas!$O$84*D42*D74=0,0,'Demanda por puesto'!$P$74/(parametros_recargas!$O$84*D42*D74))</f>
        <v>0.091298443831952</v>
      </c>
      <c r="E10" s="17" t="n">
        <f aca="false">IF(parametros_recargas!$O$84*E42*E74=0,0,'Demanda por puesto'!$P$106/(parametros_recargas!$O$84*E42*E74))</f>
        <v>0.167127234930487</v>
      </c>
      <c r="F10" s="17" t="n">
        <f aca="false">IF(parametros_recargas!$O$84*F42*F74=0,0,'Demanda por puesto'!$P$138/(parametros_recargas!$O$84*F42*F74))</f>
        <v>0.240446690776394</v>
      </c>
      <c r="G10" s="17" t="n">
        <f aca="false">IF(parametros_recargas!$O$84*G42*G74=0,0,'Demanda por puesto'!$P$170/(parametros_recargas!$O$84*G42*G74))</f>
        <v>0.318369794144754</v>
      </c>
      <c r="H10" s="17" t="n">
        <f aca="false">IF(parametros_recargas!$O$84*H42*H74=0,0,'Demanda por puesto'!$P$202/(parametros_recargas!$O$84*H42*H74))</f>
        <v>0.391011289343041</v>
      </c>
      <c r="I10" s="17" t="n">
        <f aca="false">IF(parametros_recargas!$O$84*I42*I74=0,0,'Demanda por puesto'!$P$234/(parametros_recargas!$O$84*I42*I74))</f>
        <v>0.436896264604591</v>
      </c>
      <c r="J10" s="17" t="n">
        <f aca="false">IF(parametros_recargas!$O$84*J42*J74=0,0,'Demanda por puesto'!$P$266/(parametros_recargas!$O$84*J42*J74))</f>
        <v>0.473033330502199</v>
      </c>
      <c r="K10" s="17" t="n">
        <f aca="false">IF(parametros_recargas!$O$84*K42*K74=0,0,'Demanda por puesto'!$P$298/(parametros_recargas!$O$84*K42*K74))</f>
        <v>0.50981778976364</v>
      </c>
      <c r="L10" s="6" t="str">
        <f aca="false">parametros_recargas!$D$84</f>
        <v>Manual</v>
      </c>
      <c r="N10" s="4" t="s">
        <v>155</v>
      </c>
      <c r="O10" s="15" t="n">
        <f aca="false">parametros_recargas!B8</f>
        <v>2</v>
      </c>
    </row>
    <row r="11" customFormat="false" ht="15" hidden="false" customHeight="false" outlineLevel="0" collapsed="false">
      <c r="A11" s="6" t="str">
        <f aca="false">parametros_recargas!$B$85</f>
        <v>Laboratorio — Puffer y mufla</v>
      </c>
      <c r="B11" s="17" t="n">
        <f aca="false">IF(parametros_recargas!$O$85*B43*B75=0,0,'Demanda por puesto'!$P$11/(parametros_recargas!$O$85*B43*B75))</f>
        <v>0.0223481977307764</v>
      </c>
      <c r="C11" s="17" t="n">
        <f aca="false">IF(parametros_recargas!$O$85*C43*C75=0,0,'Demanda por puesto'!$P$43/(parametros_recargas!$O$85*C43*C75))</f>
        <v>0.103210722771962</v>
      </c>
      <c r="D11" s="17" t="n">
        <f aca="false">IF(parametros_recargas!$O$85*D43*D75=0,0,'Demanda por puesto'!$P$75/(parametros_recargas!$O$85*D43*D75))</f>
        <v>0.201226850517162</v>
      </c>
      <c r="E11" s="17" t="n">
        <f aca="false">IF(parametros_recargas!$O$85*E43*E75=0,0,'Demanda por puesto'!$P$107/(parametros_recargas!$O$85*E43*E75))</f>
        <v>0.372026515198266</v>
      </c>
      <c r="F11" s="17" t="n">
        <f aca="false">IF(parametros_recargas!$O$85*F43*F75=0,0,'Demanda por puesto'!$P$139/(parametros_recargas!$O$85*F43*F75))</f>
        <v>0.550877559770925</v>
      </c>
      <c r="G11" s="17" t="n">
        <f aca="false">IF(parametros_recargas!$O$85*G43*G75=0,0,'Demanda por puesto'!$P$171/(parametros_recargas!$O$85*G43*G75))</f>
        <v>0.754480251519192</v>
      </c>
      <c r="H11" s="17" t="n">
        <f aca="false">IF(parametros_recargas!$O$85*H43*H75=0,0,'Demanda por puesto'!$P$203/(parametros_recargas!$O$85*H43*H75))</f>
        <v>0.47006952810201</v>
      </c>
      <c r="I11" s="17" t="n">
        <f aca="false">IF(parametros_recargas!$O$85*I43*I75=0,0,'Demanda por puesto'!$P$235/(parametros_recargas!$O$85*I43*I75))</f>
        <v>0.537564134755078</v>
      </c>
      <c r="J11" s="17" t="n">
        <f aca="false">IF(parametros_recargas!$O$85*J43*J75=0,0,'Demanda por puesto'!$P$267/(parametros_recargas!$O$85*J43*J75))</f>
        <v>0.577765070039505</v>
      </c>
      <c r="K11" s="17" t="n">
        <f aca="false">IF(parametros_recargas!$O$85*K43*K75=0,0,'Demanda por puesto'!$P$299/(parametros_recargas!$O$85*K43*K75))</f>
        <v>0.618771165412754</v>
      </c>
      <c r="L11" s="6" t="str">
        <f aca="false">parametros_recargas!$D$85</f>
        <v>Máquina</v>
      </c>
      <c r="N11" s="4" t="s">
        <v>417</v>
      </c>
      <c r="O11" s="15" t="n">
        <f aca="false">parametros_recargas!B10</f>
        <v>2032</v>
      </c>
    </row>
    <row r="12" customFormat="false" ht="15" hidden="false" customHeight="false" outlineLevel="0" collapsed="false">
      <c r="A12" s="6" t="str">
        <f aca="false">parametros_recargas!$B$86</f>
        <v>Prueba hidráulica</v>
      </c>
      <c r="B12" s="17" t="n">
        <f aca="false">IF(parametros_recargas!$O$86*B44*B76=0,0,'Demanda por puesto'!$P$12/(parametros_recargas!$O$86*B44*B76))</f>
        <v>0.0596957413880107</v>
      </c>
      <c r="C12" s="17" t="n">
        <f aca="false">IF(parametros_recargas!$O$86*C44*C76=0,0,'Demanda por puesto'!$P$44/(parametros_recargas!$O$86*C44*C76))</f>
        <v>0.276101945310754</v>
      </c>
      <c r="D12" s="17" t="n">
        <f aca="false">IF(parametros_recargas!$O$86*D44*D76=0,0,'Demanda por puesto'!$P$76/(parametros_recargas!$O$86*D44*D76))</f>
        <v>0.547968749345589</v>
      </c>
      <c r="E12" s="17" t="n">
        <f aca="false">IF(parametros_recargas!$O$86*E44*E76=0,0,'Demanda por puesto'!$P$108/(parametros_recargas!$O$86*E44*E76))</f>
        <v>0.505693911358466</v>
      </c>
      <c r="F12" s="17" t="n">
        <f aca="false">IF(parametros_recargas!$O$86*F44*F76=0,0,'Demanda por puesto'!$P$140/(parametros_recargas!$O$86*F44*F76))</f>
        <v>0.7453804430005</v>
      </c>
      <c r="G12" s="17" t="n">
        <f aca="false">IF(parametros_recargas!$O$86*G44*G76=0,0,'Demanda por puesto'!$P$172/(parametros_recargas!$O$86*G44*G76))</f>
        <v>0.676992164449936</v>
      </c>
      <c r="H12" s="17" t="n">
        <f aca="false">IF(parametros_recargas!$O$86*H44*H76=0,0,'Demanda por puesto'!$P$204/(parametros_recargas!$O$86*H44*H76))</f>
        <v>0.420914604884952</v>
      </c>
      <c r="I12" s="17" t="n">
        <f aca="false">IF(parametros_recargas!$O$86*I44*I76=0,0,'Demanda por puesto'!$P$236/(parametros_recargas!$O$86*I44*I76))</f>
        <v>0.479692786508555</v>
      </c>
      <c r="J12" s="17" t="n">
        <f aca="false">IF(parametros_recargas!$O$86*J44*J76=0,0,'Demanda por puesto'!$P$268/(parametros_recargas!$O$86*J44*J76))</f>
        <v>0.516147013042125</v>
      </c>
      <c r="K12" s="17" t="n">
        <f aca="false">IF(parametros_recargas!$O$86*K44*K76=0,0,'Demanda por puesto'!$P$300/(parametros_recargas!$O$86*K44*K76))</f>
        <v>0.553316344060381</v>
      </c>
      <c r="L12" s="6" t="str">
        <f aca="false">parametros_recargas!$D$86</f>
        <v>Máquina</v>
      </c>
    </row>
    <row r="13" customFormat="false" ht="15" hidden="false" customHeight="false" outlineLevel="0" collapsed="false">
      <c r="A13" s="6" t="str">
        <f aca="false">parametros_recargas!$B$87</f>
        <v>Secado</v>
      </c>
      <c r="B13" s="17" t="n">
        <f aca="false">IF(parametros_recargas!$O$87*B45*B77=0,0,'Demanda por puesto'!$P$13/(parametros_recargas!$O$87*B45*B77))</f>
        <v>0.0339394703761409</v>
      </c>
      <c r="C13" s="17" t="n">
        <f aca="false">IF(parametros_recargas!$O$87*C45*C77=0,0,'Demanda por puesto'!$P$45/(parametros_recargas!$O$87*C45*C77))</f>
        <v>0.155855918624883</v>
      </c>
      <c r="D13" s="17" t="n">
        <f aca="false">IF(parametros_recargas!$O$87*D45*D77=0,0,'Demanda por puesto'!$P$77/(parametros_recargas!$O$87*D45*D77))</f>
        <v>0.306870286329608</v>
      </c>
      <c r="E13" s="17" t="n">
        <f aca="false">IF(parametros_recargas!$O$87*E45*E77=0,0,'Demanda por puesto'!$P$109/(parametros_recargas!$O$87*E45*E77))</f>
        <v>0.567804318205918</v>
      </c>
      <c r="F13" s="17" t="n">
        <f aca="false">IF(parametros_recargas!$O$87*F45*F77=0,0,'Demanda por puesto'!$P$141/(parametros_recargas!$O$87*F45*F77))</f>
        <v>0.839278552678416</v>
      </c>
      <c r="G13" s="17" t="n">
        <f aca="false">IF(parametros_recargas!$O$87*G45*G77=0,0,'Demanda por puesto'!$P$173/(parametros_recargas!$O$87*G45*G77))</f>
        <v>0.57351564583878</v>
      </c>
      <c r="H13" s="17" t="n">
        <f aca="false">IF(parametros_recargas!$O$87*H45*H77=0,0,'Demanda por puesto'!$P$205/(parametros_recargas!$O$87*H45*H77))</f>
        <v>0.357005392331516</v>
      </c>
      <c r="I13" s="17" t="n">
        <f aca="false">IF(parametros_recargas!$O$87*I45*I77=0,0,'Demanda por puesto'!$P$237/(parametros_recargas!$O$87*I45*I77))</f>
        <v>0.407516697767849</v>
      </c>
      <c r="J13" s="17" t="n">
        <f aca="false">IF(parametros_recargas!$O$87*J45*J77=0,0,'Demanda por puesto'!$P$269/(parametros_recargas!$O$87*J45*J77))</f>
        <v>0.43819370127658</v>
      </c>
      <c r="K13" s="17" t="n">
        <f aca="false">IF(parametros_recargas!$O$87*K45*K77=0,0,'Demanda por puesto'!$P$301/(parametros_recargas!$O$87*K45*K77))</f>
        <v>0.469469452400087</v>
      </c>
      <c r="L13" s="6" t="str">
        <f aca="false">parametros_recargas!$D$87</f>
        <v>Máquina</v>
      </c>
      <c r="N13" s="2" t="s">
        <v>418</v>
      </c>
    </row>
    <row r="14" customFormat="false" ht="15" hidden="false" customHeight="false" outlineLevel="0" collapsed="false">
      <c r="A14" s="6" t="str">
        <f aca="false">parametros_recargas!$B$88</f>
        <v>Inspección interior con videoscopio</v>
      </c>
      <c r="B14" s="17" t="n">
        <f aca="false">IF(parametros_recargas!$O$88*B46*B78=0,0,'Demanda por puesto'!$P$14/(parametros_recargas!$O$88*B46*B78))</f>
        <v>0.0160269721220665</v>
      </c>
      <c r="C14" s="17" t="n">
        <f aca="false">IF(parametros_recargas!$O$88*C46*C78=0,0,'Demanda por puesto'!$P$46/(parametros_recargas!$O$88*C46*C78))</f>
        <v>0.0735986282395279</v>
      </c>
      <c r="D14" s="17" t="n">
        <f aca="false">IF(parametros_recargas!$O$88*D46*D78=0,0,'Demanda por puesto'!$P$78/(parametros_recargas!$O$88*D46*D78))</f>
        <v>0.144910968544537</v>
      </c>
      <c r="E14" s="17" t="n">
        <f aca="false">IF(parametros_recargas!$O$88*E46*E78=0,0,'Demanda por puesto'!$P$110/(parametros_recargas!$O$88*E46*E78))</f>
        <v>0.268129816930573</v>
      </c>
      <c r="F14" s="17" t="n">
        <f aca="false">IF(parametros_recargas!$O$88*F46*F78=0,0,'Demanda por puesto'!$P$142/(parametros_recargas!$O$88*F46*F78))</f>
        <v>0.396325983209252</v>
      </c>
      <c r="G14" s="17" t="n">
        <f aca="false">IF(parametros_recargas!$O$88*G46*G78=0,0,'Demanda por puesto'!$P$174/(parametros_recargas!$O$88*G46*G78))</f>
        <v>0.541653665514403</v>
      </c>
      <c r="H14" s="17" t="n">
        <f aca="false">IF(parametros_recargas!$O$88*H46*H78=0,0,'Demanda por puesto'!$P$206/(parametros_recargas!$O$88*H46*H78))</f>
        <v>0.674343518848419</v>
      </c>
      <c r="I14" s="17" t="n">
        <f aca="false">IF(parametros_recargas!$O$88*I46*I78=0,0,'Demanda por puesto'!$P$238/(parametros_recargas!$O$88*I46*I78))</f>
        <v>0.769753762450381</v>
      </c>
      <c r="J14" s="17" t="n">
        <f aca="false">IF(parametros_recargas!$O$88*J46*J78=0,0,'Demanda por puesto'!$P$270/(parametros_recargas!$O$88*J46*J78))</f>
        <v>0.827699213522428</v>
      </c>
      <c r="K14" s="17" t="n">
        <f aca="false">IF(parametros_recargas!$O$88*K46*K78=0,0,'Demanda por puesto'!$P$302/(parametros_recargas!$O$88*K46*K78))</f>
        <v>0.886775632311276</v>
      </c>
      <c r="L14" s="6" t="str">
        <f aca="false">parametros_recargas!$D$88</f>
        <v>Manual</v>
      </c>
    </row>
    <row r="15" customFormat="false" ht="15" hidden="false" customHeight="false" outlineLevel="0" collapsed="false">
      <c r="A15" s="6" t="str">
        <f aca="false">parametros_recargas!$B$89</f>
        <v>Pintura</v>
      </c>
      <c r="B15" s="17" t="n">
        <f aca="false">IF(parametros_recargas!$O$89*B47*B79=0,0,'Demanda por puesto'!$P$15/(parametros_recargas!$O$89*B47*B79))</f>
        <v>0.0697432640813953</v>
      </c>
      <c r="C15" s="17" t="n">
        <f aca="false">IF(parametros_recargas!$O$89*C47*C79=0,0,'Demanda por puesto'!$P$47/(parametros_recargas!$O$89*C47*C79))</f>
        <v>0.321325016406427</v>
      </c>
      <c r="D15" s="17" t="n">
        <f aca="false">IF(parametros_recargas!$O$89*D47*D79=0,0,'Demanda por puesto'!$P$79/(parametros_recargas!$O$89*D47*D79))</f>
        <v>0.635202513846283</v>
      </c>
      <c r="E15" s="17" t="n">
        <f aca="false">IF(parametros_recargas!$O$89*E47*E79=0,0,'Demanda por puesto'!$P$111/(parametros_recargas!$O$89*E47*E79))</f>
        <v>0.586970724473063</v>
      </c>
      <c r="F15" s="17" t="n">
        <f aca="false">IF(parametros_recargas!$O$89*F47*F79=0,0,'Demanda por puesto'!$P$143/(parametros_recargas!$O$89*F47*F79))</f>
        <v>0.866419402346407</v>
      </c>
      <c r="G15" s="17" t="n">
        <f aca="false">IF(parametros_recargas!$O$89*G47*G79=0,0,'Demanda por puesto'!$P$175/(parametros_recargas!$O$89*G47*G79))</f>
        <v>0.788195894223842</v>
      </c>
      <c r="H15" s="17" t="n">
        <f aca="false">IF(parametros_recargas!$O$89*H47*H79=0,0,'Demanda por puesto'!$P$207/(parametros_recargas!$O$89*H47*H79))</f>
        <v>0.490352317222296</v>
      </c>
      <c r="I15" s="17" t="n">
        <f aca="false">IF(parametros_recargas!$O$89*I47*I79=0,0,'Demanda por puesto'!$P$239/(parametros_recargas!$O$89*I47*I79))</f>
        <v>0.559280299186614</v>
      </c>
      <c r="J15" s="17" t="n">
        <f aca="false">IF(parametros_recargas!$O$89*J47*J79=0,0,'Demanda por puesto'!$P$271/(parametros_recargas!$O$89*J47*J79))</f>
        <v>0.601577794796224</v>
      </c>
      <c r="K15" s="17" t="n">
        <f aca="false">IF(parametros_recargas!$O$89*K47*K79=0,0,'Demanda por puesto'!$P$303/(parametros_recargas!$O$89*K47*K79))</f>
        <v>0.6447023994225</v>
      </c>
      <c r="L15" s="6" t="str">
        <f aca="false">parametros_recargas!$D$89</f>
        <v>Máquina</v>
      </c>
    </row>
    <row r="16" customFormat="false" ht="15" hidden="false" customHeight="false" outlineLevel="0" collapsed="false">
      <c r="A16" s="6" t="str">
        <f aca="false">parametros_recargas!$B$90</f>
        <v>Carga de polvo ABC, BC y Clase D</v>
      </c>
      <c r="B16" s="17" t="n">
        <f aca="false">IF(parametros_recargas!$O$90*B48*B80=0,0,'Demanda por puesto'!$P$16/(parametros_recargas!$O$90*B48*B80))</f>
        <v>0.0685569308531577</v>
      </c>
      <c r="C16" s="17" t="n">
        <f aca="false">IF(parametros_recargas!$O$90*C48*C80=0,0,'Demanda por puesto'!$P$48/(parametros_recargas!$O$90*C48*C80))</f>
        <v>0.314782117339591</v>
      </c>
      <c r="D16" s="17" t="n">
        <f aca="false">IF(parametros_recargas!$O$90*D48*D80=0,0,'Demanda por puesto'!$P$80/(parametros_recargas!$O$90*D48*D80))</f>
        <v>0.613351043126416</v>
      </c>
      <c r="E16" s="17" t="n">
        <f aca="false">IF(parametros_recargas!$O$90*E48*E80=0,0,'Demanda por puesto'!$P$112/(parametros_recargas!$O$90*E48*E80))</f>
        <v>0.566508454847521</v>
      </c>
      <c r="F16" s="17" t="n">
        <f aca="false">IF(parametros_recargas!$O$90*F48*F80=0,0,'Demanda por puesto'!$P$144/(parametros_recargas!$O$90*F48*F80))</f>
        <v>0.837764681532189</v>
      </c>
      <c r="G16" s="17" t="n">
        <f aca="false">IF(parametros_recargas!$O$90*G48*G80=0,0,'Demanda por puesto'!$P$176/(parametros_recargas!$O$90*G48*G80))</f>
        <v>0.764255178028669</v>
      </c>
      <c r="H16" s="17" t="n">
        <f aca="false">IF(parametros_recargas!$O$90*H48*H80=0,0,'Demanda por puesto'!$P$208/(parametros_recargas!$O$90*H48*H80))</f>
        <v>0.475933676582865</v>
      </c>
      <c r="I16" s="17" t="n">
        <f aca="false">IF(parametros_recargas!$O$90*I48*I80=0,0,'Demanda por puesto'!$P$240/(parametros_recargas!$O$90*I48*I80))</f>
        <v>0.543978496939175</v>
      </c>
      <c r="J16" s="17" t="n">
        <f aca="false">IF(parametros_recargas!$O$90*J48*J80=0,0,'Demanda por puesto'!$P$272/(parametros_recargas!$O$90*J48*J80))</f>
        <v>0.584592280948435</v>
      </c>
      <c r="K16" s="17" t="n">
        <f aca="false">IF(parametros_recargas!$O$90*K48*K80=0,0,'Demanda por puesto'!$P$304/(parametros_recargas!$O$90*K48*K80))</f>
        <v>0.626125749828164</v>
      </c>
      <c r="L16" s="6" t="str">
        <f aca="false">parametros_recargas!$D$90</f>
        <v>Máquina</v>
      </c>
    </row>
    <row r="17" customFormat="false" ht="15" hidden="false" customHeight="false" outlineLevel="0" collapsed="false">
      <c r="A17" s="6" t="str">
        <f aca="false">parametros_recargas!$B$91</f>
        <v>Ensamblaje y marbete — recinto</v>
      </c>
      <c r="B17" s="17" t="n">
        <f aca="false">IF(parametros_recargas!$O$91*B49*B81=0,0,'Demanda por puesto'!$P$17/(parametros_recargas!$O$91*B49*B81))</f>
        <v>0.0821666561021401</v>
      </c>
      <c r="C17" s="17" t="n">
        <f aca="false">IF(parametros_recargas!$O$91*C49*C81=0,0,'Demanda por puesto'!$P$49/(parametros_recargas!$O$91*C49*C81))</f>
        <v>0.377010775878353</v>
      </c>
      <c r="D17" s="17" t="n">
        <f aca="false">IF(parametros_recargas!$O$91*D49*D81=0,0,'Demanda por puesto'!$P$81/(parametros_recargas!$O$91*D49*D81))</f>
        <v>0.734670843124046</v>
      </c>
      <c r="E17" s="17" t="n">
        <f aca="false">IF(parametros_recargas!$O$91*E49*E81=0,0,'Demanda por puesto'!$P$113/(parametros_recargas!$O$91*E49*E81))</f>
        <v>0.678669739966872</v>
      </c>
      <c r="F17" s="17" t="n">
        <f aca="false">IF(parametros_recargas!$O$91*F49*F81=0,0,'Demanda por puesto'!$P$145/(parametros_recargas!$O$91*F49*F81))</f>
        <v>0.669155297539276</v>
      </c>
      <c r="G17" s="17" t="n">
        <f aca="false">IF(parametros_recargas!$O$91*G49*G81=0,0,'Demanda por puesto'!$P$177/(parametros_recargas!$O$91*G49*G81))</f>
        <v>0.68682708059447</v>
      </c>
      <c r="H17" s="17" t="n">
        <f aca="false">IF(parametros_recargas!$O$91*H49*H81=0,0,'Demanda por puesto'!$P$209/(parametros_recargas!$O$91*H49*H81))</f>
        <v>0.427700650432342</v>
      </c>
      <c r="I17" s="17" t="n">
        <f aca="false">IF(parametros_recargas!$O$91*I49*I81=0,0,'Demanda por puesto'!$P$241/(parametros_recargas!$O$91*I49*I81))</f>
        <v>0.488866367183891</v>
      </c>
      <c r="J17" s="17" t="n">
        <f aca="false">IF(parametros_recargas!$O$91*J49*J81=0,0,'Demanda por puesto'!$P$273/(parametros_recargas!$O$91*J49*J81))</f>
        <v>0.525352716251906</v>
      </c>
      <c r="K17" s="17" t="n">
        <f aca="false">IF(parametros_recargas!$O$91*K49*K81=0,0,'Demanda por puesto'!$P$305/(parametros_recargas!$O$91*K49*K81))</f>
        <v>0.562665377352484</v>
      </c>
      <c r="L17" s="6" t="str">
        <f aca="false">parametros_recargas!$D$91</f>
        <v>Manual</v>
      </c>
    </row>
    <row r="18" customFormat="false" ht="15" hidden="false" customHeight="false" outlineLevel="0" collapsed="false">
      <c r="A18" s="6" t="str">
        <f aca="false">parametros_recargas!$B$92</f>
        <v>Presurización — recinto</v>
      </c>
      <c r="B18" s="17" t="n">
        <f aca="false">IF(parametros_recargas!$O$92*B50*B82=0,0,'Demanda por puesto'!$P$18/(parametros_recargas!$O$92*B50*B82))</f>
        <v>0.0499847157954685</v>
      </c>
      <c r="C18" s="17" t="n">
        <f aca="false">IF(parametros_recargas!$O$92*C50*C82=0,0,'Demanda por puesto'!$P$50/(parametros_recargas!$O$92*C50*C82))</f>
        <v>0.229348221992665</v>
      </c>
      <c r="D18" s="17" t="n">
        <f aca="false">IF(parametros_recargas!$O$92*D50*D82=0,0,'Demanda por puesto'!$P$82/(parametros_recargas!$O$92*D50*D82))</f>
        <v>0.446924762900461</v>
      </c>
      <c r="E18" s="17" t="n">
        <f aca="false">IF(parametros_recargas!$O$92*E50*E82=0,0,'Demanda por puesto'!$P$114/(parametros_recargas!$O$92*E50*E82))</f>
        <v>0.825714850293027</v>
      </c>
      <c r="F18" s="17" t="n">
        <f aca="false">IF(parametros_recargas!$O$92*F50*F82=0,0,'Demanda por puesto'!$P$146/(parametros_recargas!$O$92*F50*F82))</f>
        <v>0.61060420900459</v>
      </c>
      <c r="G18" s="17" t="n">
        <f aca="false">IF(parametros_recargas!$O$92*G50*G82=0,0,'Demanda por puesto'!$P$178/(parametros_recargas!$O$92*G50*G82))</f>
        <v>0.835639614723272</v>
      </c>
      <c r="H18" s="17" t="n">
        <f aca="false">IF(parametros_recargas!$O$92*H50*H82=0,0,'Demanda por puesto'!$P$210/(parametros_recargas!$O$92*H50*H82))</f>
        <v>0.520369124692683</v>
      </c>
      <c r="I18" s="17" t="n">
        <f aca="false">IF(parametros_recargas!$O$92*I50*I82=0,0,'Demanda por puesto'!$P$242/(parametros_recargas!$O$92*I50*I82))</f>
        <v>0.594787413407067</v>
      </c>
      <c r="J18" s="17" t="n">
        <f aca="false">IF(parametros_recargas!$O$92*J50*J82=0,0,'Demanda por puesto'!$P$274/(parametros_recargas!$O$92*J50*J82))</f>
        <v>0.639179138106485</v>
      </c>
      <c r="K18" s="17" t="n">
        <f aca="false">IF(parametros_recargas!$O$92*K50*K82=0,0,'Demanda por puesto'!$P$306/(parametros_recargas!$O$92*K50*K82))</f>
        <v>0.684576209112189</v>
      </c>
      <c r="L18" s="6" t="str">
        <f aca="false">parametros_recargas!$D$92</f>
        <v>Máquina</v>
      </c>
    </row>
    <row r="19" customFormat="false" ht="15" hidden="false" customHeight="false" outlineLevel="0" collapsed="false">
      <c r="A19" s="6" t="str">
        <f aca="false">parametros_recargas!$B$93</f>
        <v>Ensamblaje y presurización — zona general</v>
      </c>
      <c r="B19" s="17" t="n">
        <f aca="false">IF(parametros_recargas!$O$93*B51*B83=0,0,'Demanda por puesto'!$P$19/(parametros_recargas!$O$93*B51*B83))</f>
        <v>0.00869920162849815</v>
      </c>
      <c r="C19" s="17" t="n">
        <f aca="false">IF(parametros_recargas!$O$93*C51*C83=0,0,'Demanda por puesto'!$P$51/(parametros_recargas!$O$93*C51*C83))</f>
        <v>0.040210089962701</v>
      </c>
      <c r="D19" s="17" t="n">
        <f aca="false">IF(parametros_recargas!$O$93*D51*D83=0,0,'Demanda por puesto'!$P$83/(parametros_recargas!$O$93*D51*D83))</f>
        <v>0.0881859968831354</v>
      </c>
      <c r="E19" s="17" t="n">
        <f aca="false">IF(parametros_recargas!$O$93*E51*E83=0,0,'Demanda por puesto'!$P$115/(parametros_recargas!$O$93*E51*E83))</f>
        <v>0.161429715557857</v>
      </c>
      <c r="F19" s="17" t="n">
        <f aca="false">IF(parametros_recargas!$O$93*F51*F83=0,0,'Demanda por puesto'!$P$147/(parametros_recargas!$O$93*F51*F83))</f>
        <v>0.232249644499926</v>
      </c>
      <c r="G19" s="17" t="n">
        <f aca="false">IF(parametros_recargas!$O$93*G51*G83=0,0,'Demanda por puesto'!$P$179/(parametros_recargas!$O$93*G51*G83))</f>
        <v>0.307516278435274</v>
      </c>
      <c r="H19" s="17" t="n">
        <f aca="false">IF(parametros_recargas!$O$93*H51*H83=0,0,'Demanda por puesto'!$P$211/(parametros_recargas!$O$93*H51*H83))</f>
        <v>0.377681359024528</v>
      </c>
      <c r="I19" s="17" t="n">
        <f aca="false">IF(parametros_recargas!$O$93*I51*I83=0,0,'Demanda por puesto'!$P$243/(parametros_recargas!$O$93*I51*I83))</f>
        <v>0.422002073765798</v>
      </c>
      <c r="J19" s="17" t="n">
        <f aca="false">IF(parametros_recargas!$O$93*J51*J83=0,0,'Demanda por puesto'!$P$275/(parametros_recargas!$O$93*J51*J83))</f>
        <v>0.456907194235079</v>
      </c>
      <c r="K19" s="17" t="n">
        <f aca="false">IF(parametros_recargas!$O$93*K51*K83=0,0,'Demanda por puesto'!$P$307/(parametros_recargas!$O$93*K51*K83))</f>
        <v>0.492437637839879</v>
      </c>
      <c r="L19" s="6" t="str">
        <f aca="false">parametros_recargas!$D$93</f>
        <v>Manual</v>
      </c>
    </row>
    <row r="20" customFormat="false" ht="15" hidden="false" customHeight="false" outlineLevel="0" collapsed="false">
      <c r="A20" s="6" t="str">
        <f aca="false">parametros_recargas!$B$94</f>
        <v>Control de peso (CO₂ y halogenados sin recarga)</v>
      </c>
      <c r="B20" s="17" t="n">
        <f aca="false">IF(parametros_recargas!$O$94*B52*B84=0,0,'Demanda por puesto'!$P$20/(parametros_recargas!$O$94*B52*B84))</f>
        <v>0.00159628525729798</v>
      </c>
      <c r="C20" s="17" t="n">
        <f aca="false">IF(parametros_recargas!$O$94*C52*C84=0,0,'Demanda por puesto'!$P$52/(parametros_recargas!$O$94*C52*C84))</f>
        <v>0.00656952081343553</v>
      </c>
      <c r="D20" s="17" t="n">
        <f aca="false">IF(parametros_recargas!$O$94*D52*D84=0,0,'Demanda por puesto'!$P$84/(parametros_recargas!$O$94*D52*D84))</f>
        <v>0.0149546053462036</v>
      </c>
      <c r="E20" s="17" t="n">
        <f aca="false">IF(parametros_recargas!$O$94*E52*E84=0,0,'Demanda por puesto'!$P$116/(parametros_recargas!$O$94*E52*E84))</f>
        <v>0.0281014666350751</v>
      </c>
      <c r="F20" s="17" t="n">
        <f aca="false">IF(parametros_recargas!$O$94*F52*F84=0,0,'Demanda por puesto'!$P$148/(parametros_recargas!$O$94*F52*F84))</f>
        <v>0.0406395034419791</v>
      </c>
      <c r="G20" s="17" t="n">
        <f aca="false">IF(parametros_recargas!$O$94*G52*G84=0,0,'Demanda por puesto'!$P$180/(parametros_recargas!$O$94*G52*G84))</f>
        <v>0.054062220966379</v>
      </c>
      <c r="H20" s="17" t="n">
        <f aca="false">IF(parametros_recargas!$O$94*H52*H84=0,0,'Demanda por puesto'!$P$212/(parametros_recargas!$O$94*H52*H84))</f>
        <v>0.0663991363024667</v>
      </c>
      <c r="I20" s="17" t="n">
        <f aca="false">IF(parametros_recargas!$O$94*I52*I84=0,0,'Demanda por puesto'!$P$244/(parametros_recargas!$O$94*I52*I84))</f>
        <v>0.0738501794755331</v>
      </c>
      <c r="J20" s="17" t="n">
        <f aca="false">IF(parametros_recargas!$O$94*J52*J84=0,0,'Demanda por puesto'!$P$276/(parametros_recargas!$O$94*J52*J84))</f>
        <v>0.0798653134517307</v>
      </c>
      <c r="K20" s="17" t="n">
        <f aca="false">IF(parametros_recargas!$O$94*K52*K84=0,0,'Demanda por puesto'!$P$308/(parametros_recargas!$O$94*K52*K84))</f>
        <v>0.0859601956911073</v>
      </c>
      <c r="L20" s="6" t="str">
        <f aca="false">parametros_recargas!$D$94</f>
        <v>Manual</v>
      </c>
    </row>
    <row r="21" customFormat="false" ht="15" hidden="false" customHeight="false" outlineLevel="0" collapsed="false">
      <c r="A21" s="6" t="str">
        <f aca="false">parametros_recargas!$B$95</f>
        <v>Ensayo de pérdidas</v>
      </c>
      <c r="B21" s="17" t="n">
        <f aca="false">IF(parametros_recargas!$O$95*B53*B85=0,0,'Demanda por puesto'!$P$21/(parametros_recargas!$O$95*B53*B85))</f>
        <v>0.0611420335406499</v>
      </c>
      <c r="C21" s="17" t="n">
        <f aca="false">IF(parametros_recargas!$O$95*C53*C85=0,0,'Demanda por puesto'!$P$53/(parametros_recargas!$O$95*C53*C85))</f>
        <v>0.279826997255573</v>
      </c>
      <c r="D21" s="17" t="n">
        <f aca="false">IF(parametros_recargas!$O$95*D53*D85=0,0,'Demanda por puesto'!$P$85/(parametros_recargas!$O$95*D53*D85))</f>
        <v>0.552948973317152</v>
      </c>
      <c r="E21" s="17" t="n">
        <f aca="false">IF(parametros_recargas!$O$95*E53*E85=0,0,'Demanda por puesto'!$P$117/(parametros_recargas!$O$95*E53*E85))</f>
        <v>0.510740888988392</v>
      </c>
      <c r="F21" s="17" t="n">
        <f aca="false">IF(parametros_recargas!$O$95*F53*F85=0,0,'Demanda por puesto'!$P$149/(parametros_recargas!$O$95*F53*F85))</f>
        <v>0.753200352802138</v>
      </c>
      <c r="G21" s="17" t="n">
        <f aca="false">IF(parametros_recargas!$O$95*G53*G85=0,0,'Demanda por puesto'!$P$181/(parametros_recargas!$O$95*G53*G85))</f>
        <v>0.684820470948681</v>
      </c>
      <c r="H21" s="17" t="n">
        <f aca="false">IF(parametros_recargas!$O$95*H53*H85=0,0,'Demanda por puesto'!$P$213/(parametros_recargas!$O$95*H53*H85))</f>
        <v>0.425830457643493</v>
      </c>
      <c r="I21" s="17" t="n">
        <f aca="false">IF(parametros_recargas!$O$95*I53*I85=0,0,'Demanda por puesto'!$P$245/(parametros_recargas!$O$95*I53*I85))</f>
        <v>0.485496971987053</v>
      </c>
      <c r="J21" s="17" t="n">
        <f aca="false">IF(parametros_recargas!$O$95*J53*J85=0,0,'Demanda por puesto'!$P$277/(parametros_recargas!$O$95*J53*J85))</f>
        <v>0.522133993450822</v>
      </c>
      <c r="K21" s="17" t="n">
        <f aca="false">IF(parametros_recargas!$O$95*K53*K85=0,0,'Demanda por puesto'!$P$309/(parametros_recargas!$O$95*K53*K85))</f>
        <v>0.559571304713282</v>
      </c>
      <c r="L21" s="6" t="str">
        <f aca="false">parametros_recargas!$D$95</f>
        <v>Máquina</v>
      </c>
    </row>
    <row r="22" customFormat="false" ht="15" hidden="false" customHeight="false" outlineLevel="0" collapsed="false">
      <c r="A22" s="6" t="str">
        <f aca="false">parametros_recargas!$B$96</f>
        <v>Precinto, etiqueta y despacho</v>
      </c>
      <c r="B22" s="17" t="n">
        <f aca="false">IF(parametros_recargas!$O$96*B54*B86=0,0,'Demanda por puesto'!$P$22/(parametros_recargas!$O$96*B54*B86))</f>
        <v>0.0657276860561987</v>
      </c>
      <c r="C22" s="17" t="n">
        <f aca="false">IF(parametros_recargas!$O$96*C54*C86=0,0,'Demanda por puesto'!$P$54/(parametros_recargas!$O$96*C54*C86))</f>
        <v>0.300814022049741</v>
      </c>
      <c r="D22" s="17" t="n">
        <f aca="false">IF(parametros_recargas!$O$96*D54*D86=0,0,'Demanda por puesto'!$P$86/(parametros_recargas!$O$96*D54*D86))</f>
        <v>0.594420146315939</v>
      </c>
      <c r="E22" s="17" t="n">
        <f aca="false">IF(parametros_recargas!$O$96*E54*E86=0,0,'Demanda por puesto'!$P$118/(parametros_recargas!$O$96*E54*E86))</f>
        <v>0.549046455662521</v>
      </c>
      <c r="F22" s="17" t="n">
        <f aca="false">IF(parametros_recargas!$O$96*F54*F86=0,0,'Demanda por puesto'!$P$150/(parametros_recargas!$O$96*F54*F86))</f>
        <v>0.809690379262299</v>
      </c>
      <c r="G22" s="17" t="n">
        <f aca="false">IF(parametros_recargas!$O$96*G54*G86=0,0,'Demanda por puesto'!$P$182/(parametros_recargas!$O$96*G54*G86))</f>
        <v>0.736182006269832</v>
      </c>
      <c r="H22" s="17" t="n">
        <f aca="false">IF(parametros_recargas!$O$96*H54*H86=0,0,'Demanda por puesto'!$P$214/(parametros_recargas!$O$96*H54*H86))</f>
        <v>0.457767741966755</v>
      </c>
      <c r="I22" s="17" t="n">
        <f aca="false">IF(parametros_recargas!$O$96*I54*I86=0,0,'Demanda por puesto'!$P$246/(parametros_recargas!$O$96*I54*I86))</f>
        <v>0.521909244886082</v>
      </c>
      <c r="J22" s="17" t="n">
        <f aca="false">IF(parametros_recargas!$O$96*J54*J86=0,0,'Demanda por puesto'!$P$278/(parametros_recargas!$O$96*J54*J86))</f>
        <v>0.561294042959634</v>
      </c>
      <c r="K22" s="17" t="n">
        <f aca="false">IF(parametros_recargas!$O$96*K54*K86=0,0,'Demanda por puesto'!$P$310/(parametros_recargas!$O$96*K54*K86))</f>
        <v>0.601539152566778</v>
      </c>
      <c r="L22" s="6" t="str">
        <f aca="false">parametros_recargas!$D$96</f>
        <v>Manual</v>
      </c>
    </row>
    <row r="23" customFormat="false" ht="15" hidden="false" customHeight="false" outlineLevel="0" collapsed="false">
      <c r="A23" s="6" t="str">
        <f aca="false">parametros_recargas!$B$97</f>
        <v>Inutilización y disposición final</v>
      </c>
      <c r="B23" s="17" t="n">
        <f aca="false">IF(parametros_recargas!$O$97*B55*B87=0,0,'Demanda por puesto'!$P$23/(parametros_recargas!$O$97*B55*B87))</f>
        <v>0.023269370756548</v>
      </c>
      <c r="C23" s="17" t="n">
        <f aca="false">IF(parametros_recargas!$O$97*C55*C87=0,0,'Demanda por puesto'!$P$55/(parametros_recargas!$O$97*C55*C87))</f>
        <v>0.107370219792217</v>
      </c>
      <c r="D23" s="17" t="n">
        <f aca="false">IF(parametros_recargas!$O$97*D55*D87=0,0,'Demanda por puesto'!$P$87/(parametros_recargas!$O$97*D55*D87))</f>
        <v>0.211855662321697</v>
      </c>
      <c r="E23" s="17" t="n">
        <f aca="false">IF(parametros_recargas!$O$97*E55*E87=0,0,'Demanda por puesto'!$P$119/(parametros_recargas!$O$97*E55*E87))</f>
        <v>0.391439147781131</v>
      </c>
      <c r="F23" s="17" t="n">
        <f aca="false">IF(parametros_recargas!$O$97*F55*F87=0,0,'Demanda por puesto'!$P$151/(parametros_recargas!$O$97*F55*F87))</f>
        <v>0.577959656877025</v>
      </c>
      <c r="G23" s="17" t="n">
        <f aca="false">IF(parametros_recargas!$O$97*G55*G87=0,0,'Demanda por puesto'!$P$183/(parametros_recargas!$O$97*G55*G87))</f>
        <v>0.788940768036586</v>
      </c>
      <c r="H23" s="17" t="n">
        <f aca="false">IF(parametros_recargas!$O$97*H55*H87=0,0,'Demanda por puesto'!$P$215/(parametros_recargas!$O$97*H55*H87))</f>
        <v>0.490902738107924</v>
      </c>
      <c r="I23" s="17" t="n">
        <f aca="false">IF(parametros_recargas!$O$97*I55*I87=0,0,'Demanda por puesto'!$P$247/(parametros_recargas!$O$97*I55*I87))</f>
        <v>0.560095807792668</v>
      </c>
      <c r="J23" s="17" t="n">
        <f aca="false">IF(parametros_recargas!$O$97*J55*J87=0,0,'Demanda por puesto'!$P$279/(parametros_recargas!$O$97*J55*J87))</f>
        <v>0.602412798342211</v>
      </c>
      <c r="K23" s="17" t="n">
        <f aca="false">IF(parametros_recargas!$O$97*K55*K87=0,0,'Demanda por puesto'!$P$311/(parametros_recargas!$O$97*K55*K87))</f>
        <v>0.645561415279765</v>
      </c>
      <c r="L23" s="6" t="str">
        <f aca="false">parametros_recargas!$D$97</f>
        <v>Máquina</v>
      </c>
    </row>
    <row r="24" customFormat="false" ht="15" hidden="false" customHeight="false" outlineLevel="0" collapsed="false">
      <c r="A24" s="6" t="str">
        <f aca="false">parametros_recargas!$B$98</f>
        <v>PH de mangueras (CO₂ y rodantes)</v>
      </c>
      <c r="B24" s="17" t="n">
        <f aca="false">IF(parametros_recargas!$O$98*B56*B88=0,0,'Demanda por puesto'!$P$24/(parametros_recargas!$O$98*B56*B88))</f>
        <v>0.0059354664267725</v>
      </c>
      <c r="C24" s="17" t="n">
        <f aca="false">IF(parametros_recargas!$O$98*C56*C88=0,0,'Demanda por puesto'!$P$56/(parametros_recargas!$O$98*C56*C88))</f>
        <v>0.0309318452826851</v>
      </c>
      <c r="D24" s="17" t="n">
        <f aca="false">IF(parametros_recargas!$O$98*D56*D88=0,0,'Demanda por puesto'!$P$88/(parametros_recargas!$O$98*D56*D88))</f>
        <v>0.0659879799607013</v>
      </c>
      <c r="E24" s="17" t="n">
        <f aca="false">IF(parametros_recargas!$O$98*E56*E88=0,0,'Demanda por puesto'!$P$120/(parametros_recargas!$O$98*E56*E88))</f>
        <v>0.118036454058979</v>
      </c>
      <c r="F24" s="17" t="n">
        <f aca="false">IF(parametros_recargas!$O$98*F56*F88=0,0,'Demanda por puesto'!$P$152/(parametros_recargas!$O$98*F56*F88))</f>
        <v>0.170045147335888</v>
      </c>
      <c r="G24" s="17" t="n">
        <f aca="false">IF(parametros_recargas!$O$98*G56*G88=0,0,'Demanda por puesto'!$P$184/(parametros_recargas!$O$98*G56*G88))</f>
        <v>0.226114293251402</v>
      </c>
      <c r="H24" s="17" t="n">
        <f aca="false">IF(parametros_recargas!$O$98*H56*H88=0,0,'Demanda por puesto'!$P$216/(parametros_recargas!$O$98*H56*H88))</f>
        <v>0.279590313489723</v>
      </c>
      <c r="I24" s="17" t="n">
        <f aca="false">IF(parametros_recargas!$O$98*I56*I88=0,0,'Demanda por puesto'!$P$248/(parametros_recargas!$O$98*I56*I88))</f>
        <v>0.315171776405868</v>
      </c>
      <c r="J24" s="17" t="n">
        <f aca="false">IF(parametros_recargas!$O$98*J56*J88=0,0,'Demanda por puesto'!$P$280/(parametros_recargas!$O$98*J56*J88))</f>
        <v>0.342548238163223</v>
      </c>
      <c r="K24" s="17" t="n">
        <f aca="false">IF(parametros_recargas!$O$98*K56*K88=0,0,'Demanda por puesto'!$P$312/(parametros_recargas!$O$98*K56*K88))</f>
        <v>0.370155971521601</v>
      </c>
      <c r="L24" s="6" t="str">
        <f aca="false">parametros_recargas!$D$98</f>
        <v>Máquina</v>
      </c>
    </row>
    <row r="25" customFormat="false" ht="15" hidden="false" customHeight="false" outlineLevel="0" collapsed="false">
      <c r="A25" s="4" t="s">
        <v>419</v>
      </c>
      <c r="B25" s="21" t="n">
        <f aca="false">MAX(B2:B24)</f>
        <v>0.0821666561021401</v>
      </c>
      <c r="C25" s="21" t="n">
        <f aca="false">MAX(C2:C24)</f>
        <v>0.377010775878353</v>
      </c>
      <c r="D25" s="21" t="n">
        <f aca="false">MAX(D2:D24)</f>
        <v>0.734670843124046</v>
      </c>
      <c r="E25" s="21" t="n">
        <f aca="false">MAX(E2:E24)</f>
        <v>0.825714850293027</v>
      </c>
      <c r="F25" s="21" t="n">
        <f aca="false">MAX(F2:F24)</f>
        <v>0.875859290402428</v>
      </c>
      <c r="G25" s="21" t="n">
        <f aca="false">MAX(G2:G24)</f>
        <v>0.835639614723272</v>
      </c>
      <c r="H25" s="21" t="n">
        <f aca="false">MAX(H2:H24)</f>
        <v>0.674343518848419</v>
      </c>
      <c r="I25" s="21" t="n">
        <f aca="false">MAX(I2:I24)</f>
        <v>0.769753762450381</v>
      </c>
      <c r="J25" s="21" t="n">
        <f aca="false">MAX(J2:J24)</f>
        <v>0.827699213522428</v>
      </c>
      <c r="K25" s="21" t="n">
        <f aca="false">MAX(K2:K24)</f>
        <v>0.886775632311276</v>
      </c>
    </row>
    <row r="33" customFormat="false" ht="15" hidden="false" customHeight="false" outlineLevel="0" collapsed="false">
      <c r="A33" s="3" t="s">
        <v>420</v>
      </c>
      <c r="B33" s="3" t="n">
        <v>2026</v>
      </c>
      <c r="C33" s="3" t="n">
        <v>2027</v>
      </c>
      <c r="D33" s="3" t="n">
        <v>2028</v>
      </c>
      <c r="E33" s="3" t="n">
        <v>2029</v>
      </c>
      <c r="F33" s="3" t="n">
        <v>2030</v>
      </c>
      <c r="G33" s="3" t="n">
        <v>2031</v>
      </c>
      <c r="H33" s="3" t="n">
        <v>2032</v>
      </c>
      <c r="I33" s="3" t="n">
        <v>2033</v>
      </c>
      <c r="J33" s="3" t="n">
        <v>2034</v>
      </c>
      <c r="K33" s="3" t="n">
        <v>2035</v>
      </c>
    </row>
    <row r="34" customFormat="false" ht="15" hidden="false" customHeight="false" outlineLevel="0" collapsed="false">
      <c r="A34" s="6" t="str">
        <f aca="false">parametros_recargas!$B$76</f>
        <v>Recepción y registro</v>
      </c>
      <c r="B34" s="10" t="n">
        <v>1</v>
      </c>
      <c r="C34" s="10" t="n">
        <v>1</v>
      </c>
      <c r="D34" s="10" t="n">
        <v>1</v>
      </c>
      <c r="E34" s="10" t="n">
        <v>2</v>
      </c>
      <c r="F34" s="10" t="n">
        <v>2</v>
      </c>
      <c r="G34" s="10" t="n">
        <v>3</v>
      </c>
      <c r="H34" s="10" t="n">
        <v>3</v>
      </c>
      <c r="I34" s="10" t="n">
        <v>3</v>
      </c>
      <c r="J34" s="10" t="n">
        <v>3</v>
      </c>
      <c r="K34" s="10" t="n">
        <v>3</v>
      </c>
    </row>
    <row r="35" customFormat="false" ht="15" hidden="false" customHeight="false" outlineLevel="0" collapsed="false">
      <c r="A35" s="6" t="str">
        <f aca="false">parametros_recargas!$B$77</f>
        <v>Inspección visual</v>
      </c>
      <c r="B35" s="10" t="n">
        <v>1</v>
      </c>
      <c r="C35" s="10" t="n">
        <v>1</v>
      </c>
      <c r="D35" s="10" t="n">
        <v>1</v>
      </c>
      <c r="E35" s="10" t="n">
        <v>2</v>
      </c>
      <c r="F35" s="10" t="n">
        <v>2</v>
      </c>
      <c r="G35" s="10" t="n">
        <v>3</v>
      </c>
      <c r="H35" s="10" t="n">
        <v>3</v>
      </c>
      <c r="I35" s="10" t="n">
        <v>3</v>
      </c>
      <c r="J35" s="10" t="n">
        <v>3</v>
      </c>
      <c r="K35" s="10" t="n">
        <v>3</v>
      </c>
    </row>
    <row r="36" customFormat="false" ht="15" hidden="false" customHeight="false" outlineLevel="0" collapsed="false">
      <c r="A36" s="6" t="str">
        <f aca="false">parametros_recargas!$B$78</f>
        <v>Descarga ABC — ruta recuperable</v>
      </c>
      <c r="B36" s="10" t="n">
        <v>1</v>
      </c>
      <c r="C36" s="10" t="n">
        <v>1</v>
      </c>
      <c r="D36" s="10" t="n">
        <v>1</v>
      </c>
      <c r="E36" s="10" t="n">
        <v>1</v>
      </c>
      <c r="F36" s="10" t="n">
        <v>2</v>
      </c>
      <c r="G36" s="10" t="n">
        <v>2</v>
      </c>
      <c r="H36" s="10" t="n">
        <v>2</v>
      </c>
      <c r="I36" s="10" t="n">
        <v>2</v>
      </c>
      <c r="J36" s="10" t="n">
        <v>2</v>
      </c>
      <c r="K36" s="10" t="n">
        <v>2</v>
      </c>
    </row>
    <row r="37" customFormat="false" ht="15" hidden="false" customHeight="false" outlineLevel="0" collapsed="false">
      <c r="A37" s="6" t="str">
        <f aca="false">parametros_recargas!$B$79</f>
        <v>Descarga a descarte (ABC, BC y Clase D)</v>
      </c>
      <c r="B37" s="10" t="n">
        <v>1</v>
      </c>
      <c r="C37" s="10" t="n">
        <v>1</v>
      </c>
      <c r="D37" s="10" t="n">
        <v>1</v>
      </c>
      <c r="E37" s="10" t="n">
        <v>1</v>
      </c>
      <c r="F37" s="10" t="n">
        <v>1</v>
      </c>
      <c r="G37" s="10" t="n">
        <v>1</v>
      </c>
      <c r="H37" s="10" t="n">
        <v>1</v>
      </c>
      <c r="I37" s="10" t="n">
        <v>1</v>
      </c>
      <c r="J37" s="10" t="n">
        <v>1</v>
      </c>
      <c r="K37" s="10" t="n">
        <v>1</v>
      </c>
    </row>
    <row r="38" customFormat="false" ht="15" hidden="false" customHeight="false" outlineLevel="0" collapsed="false">
      <c r="A38" s="6" t="str">
        <f aca="false">parametros_recargas!$B$80</f>
        <v>Descarga y carga de agua / AFFF / sales K</v>
      </c>
      <c r="B38" s="10" t="n">
        <v>1</v>
      </c>
      <c r="C38" s="10" t="n">
        <v>1</v>
      </c>
      <c r="D38" s="10" t="n">
        <v>1</v>
      </c>
      <c r="E38" s="10" t="n">
        <v>1</v>
      </c>
      <c r="F38" s="10" t="n">
        <v>1</v>
      </c>
      <c r="G38" s="10" t="n">
        <v>1</v>
      </c>
      <c r="H38" s="10" t="n">
        <v>1</v>
      </c>
      <c r="I38" s="10" t="n">
        <v>1</v>
      </c>
      <c r="J38" s="10" t="n">
        <v>1</v>
      </c>
      <c r="K38" s="10" t="n">
        <v>1</v>
      </c>
    </row>
    <row r="39" customFormat="false" ht="15" hidden="false" customHeight="false" outlineLevel="0" collapsed="false">
      <c r="A39" s="6" t="str">
        <f aca="false">parametros_recargas!$B$81</f>
        <v>Recuperación y carga de CO₂</v>
      </c>
      <c r="B39" s="10" t="n">
        <v>1</v>
      </c>
      <c r="C39" s="10" t="n">
        <v>1</v>
      </c>
      <c r="D39" s="10" t="n">
        <v>1</v>
      </c>
      <c r="E39" s="10" t="n">
        <v>1</v>
      </c>
      <c r="F39" s="10" t="n">
        <v>1</v>
      </c>
      <c r="G39" s="10" t="n">
        <v>1</v>
      </c>
      <c r="H39" s="10" t="n">
        <v>1</v>
      </c>
      <c r="I39" s="10" t="n">
        <v>1</v>
      </c>
      <c r="J39" s="10" t="n">
        <v>1</v>
      </c>
      <c r="K39" s="10" t="n">
        <v>1</v>
      </c>
    </row>
    <row r="40" customFormat="false" ht="15" hidden="false" customHeight="false" outlineLevel="0" collapsed="false">
      <c r="A40" s="6" t="str">
        <f aca="false">parametros_recargas!$B$82</f>
        <v>Recuperación y carga de halogenado</v>
      </c>
      <c r="B40" s="10" t="n">
        <v>1</v>
      </c>
      <c r="C40" s="10" t="n">
        <v>1</v>
      </c>
      <c r="D40" s="10" t="n">
        <v>1</v>
      </c>
      <c r="E40" s="10" t="n">
        <v>1</v>
      </c>
      <c r="F40" s="10" t="n">
        <v>1</v>
      </c>
      <c r="G40" s="10" t="n">
        <v>1</v>
      </c>
      <c r="H40" s="10" t="n">
        <v>1</v>
      </c>
      <c r="I40" s="10" t="n">
        <v>1</v>
      </c>
      <c r="J40" s="10" t="n">
        <v>1</v>
      </c>
      <c r="K40" s="10" t="n">
        <v>1</v>
      </c>
    </row>
    <row r="41" customFormat="false" ht="15" hidden="false" customHeight="false" outlineLevel="0" collapsed="false">
      <c r="A41" s="6" t="str">
        <f aca="false">parametros_recargas!$B$83</f>
        <v>Desarme y limpieza — recinto</v>
      </c>
      <c r="B41" s="10" t="n">
        <v>1</v>
      </c>
      <c r="C41" s="10" t="n">
        <v>1</v>
      </c>
      <c r="D41" s="10" t="n">
        <v>1</v>
      </c>
      <c r="E41" s="10" t="n">
        <v>2</v>
      </c>
      <c r="F41" s="10" t="n">
        <v>2</v>
      </c>
      <c r="G41" s="10" t="n">
        <v>3</v>
      </c>
      <c r="H41" s="10" t="n">
        <v>3</v>
      </c>
      <c r="I41" s="10" t="n">
        <v>3</v>
      </c>
      <c r="J41" s="10" t="n">
        <v>3</v>
      </c>
      <c r="K41" s="10" t="n">
        <v>3</v>
      </c>
    </row>
    <row r="42" customFormat="false" ht="15" hidden="false" customHeight="false" outlineLevel="0" collapsed="false">
      <c r="A42" s="6" t="str">
        <f aca="false">parametros_recargas!$B$84</f>
        <v>Desarme e inspección interior — zona general</v>
      </c>
      <c r="B42" s="10" t="n">
        <v>1</v>
      </c>
      <c r="C42" s="10" t="n">
        <v>1</v>
      </c>
      <c r="D42" s="10" t="n">
        <v>1</v>
      </c>
      <c r="E42" s="10" t="n">
        <v>1</v>
      </c>
      <c r="F42" s="10" t="n">
        <v>1</v>
      </c>
      <c r="G42" s="10" t="n">
        <v>1</v>
      </c>
      <c r="H42" s="10" t="n">
        <v>1</v>
      </c>
      <c r="I42" s="10" t="n">
        <v>1</v>
      </c>
      <c r="J42" s="10" t="n">
        <v>1</v>
      </c>
      <c r="K42" s="10" t="n">
        <v>1</v>
      </c>
    </row>
    <row r="43" customFormat="false" ht="15" hidden="false" customHeight="false" outlineLevel="0" collapsed="false">
      <c r="A43" s="6" t="str">
        <f aca="false">parametros_recargas!$B$85</f>
        <v>Laboratorio — Puffer y mufla</v>
      </c>
      <c r="B43" s="10" t="n">
        <v>1</v>
      </c>
      <c r="C43" s="10" t="n">
        <v>1</v>
      </c>
      <c r="D43" s="10" t="n">
        <v>1</v>
      </c>
      <c r="E43" s="10" t="n">
        <v>1</v>
      </c>
      <c r="F43" s="10" t="n">
        <v>1</v>
      </c>
      <c r="G43" s="10" t="n">
        <v>1</v>
      </c>
      <c r="H43" s="10" t="n">
        <v>1</v>
      </c>
      <c r="I43" s="10" t="n">
        <v>1</v>
      </c>
      <c r="J43" s="10" t="n">
        <v>1</v>
      </c>
      <c r="K43" s="10" t="n">
        <v>1</v>
      </c>
    </row>
    <row r="44" customFormat="false" ht="15" hidden="false" customHeight="false" outlineLevel="0" collapsed="false">
      <c r="A44" s="6" t="str">
        <f aca="false">parametros_recargas!$B$86</f>
        <v>Prueba hidráulica</v>
      </c>
      <c r="B44" s="10" t="n">
        <v>1</v>
      </c>
      <c r="C44" s="10" t="n">
        <v>1</v>
      </c>
      <c r="D44" s="10" t="n">
        <v>1</v>
      </c>
      <c r="E44" s="10" t="n">
        <v>2</v>
      </c>
      <c r="F44" s="10" t="n">
        <v>2</v>
      </c>
      <c r="G44" s="10" t="n">
        <v>3</v>
      </c>
      <c r="H44" s="10" t="n">
        <v>3</v>
      </c>
      <c r="I44" s="10" t="n">
        <v>3</v>
      </c>
      <c r="J44" s="10" t="n">
        <v>3</v>
      </c>
      <c r="K44" s="10" t="n">
        <v>3</v>
      </c>
    </row>
    <row r="45" customFormat="false" ht="15" hidden="false" customHeight="false" outlineLevel="0" collapsed="false">
      <c r="A45" s="6" t="str">
        <f aca="false">parametros_recargas!$B$87</f>
        <v>Secado</v>
      </c>
      <c r="B45" s="10" t="n">
        <v>1</v>
      </c>
      <c r="C45" s="10" t="n">
        <v>1</v>
      </c>
      <c r="D45" s="10" t="n">
        <v>1</v>
      </c>
      <c r="E45" s="10" t="n">
        <v>1</v>
      </c>
      <c r="F45" s="10" t="n">
        <v>1</v>
      </c>
      <c r="G45" s="10" t="n">
        <v>2</v>
      </c>
      <c r="H45" s="10" t="n">
        <v>2</v>
      </c>
      <c r="I45" s="10" t="n">
        <v>2</v>
      </c>
      <c r="J45" s="10" t="n">
        <v>2</v>
      </c>
      <c r="K45" s="10" t="n">
        <v>2</v>
      </c>
    </row>
    <row r="46" customFormat="false" ht="15" hidden="false" customHeight="false" outlineLevel="0" collapsed="false">
      <c r="A46" s="6" t="str">
        <f aca="false">parametros_recargas!$B$88</f>
        <v>Inspección interior con videoscopio</v>
      </c>
      <c r="B46" s="10" t="n">
        <v>1</v>
      </c>
      <c r="C46" s="10" t="n">
        <v>1</v>
      </c>
      <c r="D46" s="10" t="n">
        <v>1</v>
      </c>
      <c r="E46" s="10" t="n">
        <v>1</v>
      </c>
      <c r="F46" s="10" t="n">
        <v>1</v>
      </c>
      <c r="G46" s="10" t="n">
        <v>1</v>
      </c>
      <c r="H46" s="10" t="n">
        <v>1</v>
      </c>
      <c r="I46" s="10" t="n">
        <v>1</v>
      </c>
      <c r="J46" s="10" t="n">
        <v>1</v>
      </c>
      <c r="K46" s="10" t="n">
        <v>1</v>
      </c>
    </row>
    <row r="47" customFormat="false" ht="15" hidden="false" customHeight="false" outlineLevel="0" collapsed="false">
      <c r="A47" s="6" t="str">
        <f aca="false">parametros_recargas!$B$89</f>
        <v>Pintura</v>
      </c>
      <c r="B47" s="10" t="n">
        <v>1</v>
      </c>
      <c r="C47" s="10" t="n">
        <v>1</v>
      </c>
      <c r="D47" s="10" t="n">
        <v>1</v>
      </c>
      <c r="E47" s="10" t="n">
        <v>2</v>
      </c>
      <c r="F47" s="10" t="n">
        <v>2</v>
      </c>
      <c r="G47" s="10" t="n">
        <v>3</v>
      </c>
      <c r="H47" s="10" t="n">
        <v>3</v>
      </c>
      <c r="I47" s="10" t="n">
        <v>3</v>
      </c>
      <c r="J47" s="10" t="n">
        <v>3</v>
      </c>
      <c r="K47" s="10" t="n">
        <v>3</v>
      </c>
    </row>
    <row r="48" customFormat="false" ht="15" hidden="false" customHeight="false" outlineLevel="0" collapsed="false">
      <c r="A48" s="6" t="str">
        <f aca="false">parametros_recargas!$B$90</f>
        <v>Carga de polvo ABC, BC y Clase D</v>
      </c>
      <c r="B48" s="10" t="n">
        <v>1</v>
      </c>
      <c r="C48" s="10" t="n">
        <v>1</v>
      </c>
      <c r="D48" s="10" t="n">
        <v>1</v>
      </c>
      <c r="E48" s="10" t="n">
        <v>2</v>
      </c>
      <c r="F48" s="10" t="n">
        <v>2</v>
      </c>
      <c r="G48" s="10" t="n">
        <v>3</v>
      </c>
      <c r="H48" s="10" t="n">
        <v>3</v>
      </c>
      <c r="I48" s="10" t="n">
        <v>3</v>
      </c>
      <c r="J48" s="10" t="n">
        <v>3</v>
      </c>
      <c r="K48" s="10" t="n">
        <v>3</v>
      </c>
    </row>
    <row r="49" customFormat="false" ht="15" hidden="false" customHeight="false" outlineLevel="0" collapsed="false">
      <c r="A49" s="6" t="str">
        <f aca="false">parametros_recargas!$B$91</f>
        <v>Ensamblaje y marbete — recinto</v>
      </c>
      <c r="B49" s="10" t="n">
        <v>1</v>
      </c>
      <c r="C49" s="10" t="n">
        <v>1</v>
      </c>
      <c r="D49" s="10" t="n">
        <v>1</v>
      </c>
      <c r="E49" s="10" t="n">
        <v>2</v>
      </c>
      <c r="F49" s="10" t="n">
        <v>3</v>
      </c>
      <c r="G49" s="10" t="n">
        <v>4</v>
      </c>
      <c r="H49" s="10" t="n">
        <v>4</v>
      </c>
      <c r="I49" s="10" t="n">
        <v>4</v>
      </c>
      <c r="J49" s="10" t="n">
        <v>4</v>
      </c>
      <c r="K49" s="10" t="n">
        <v>4</v>
      </c>
    </row>
    <row r="50" customFormat="false" ht="15" hidden="false" customHeight="false" outlineLevel="0" collapsed="false">
      <c r="A50" s="6" t="str">
        <f aca="false">parametros_recargas!$B$92</f>
        <v>Presurización — recinto</v>
      </c>
      <c r="B50" s="10" t="n">
        <v>1</v>
      </c>
      <c r="C50" s="10" t="n">
        <v>1</v>
      </c>
      <c r="D50" s="10" t="n">
        <v>1</v>
      </c>
      <c r="E50" s="10" t="n">
        <v>1</v>
      </c>
      <c r="F50" s="10" t="n">
        <v>2</v>
      </c>
      <c r="G50" s="10" t="n">
        <v>2</v>
      </c>
      <c r="H50" s="10" t="n">
        <v>2</v>
      </c>
      <c r="I50" s="10" t="n">
        <v>2</v>
      </c>
      <c r="J50" s="10" t="n">
        <v>2</v>
      </c>
      <c r="K50" s="10" t="n">
        <v>2</v>
      </c>
    </row>
    <row r="51" customFormat="false" ht="15" hidden="false" customHeight="false" outlineLevel="0" collapsed="false">
      <c r="A51" s="6" t="str">
        <f aca="false">parametros_recargas!$B$93</f>
        <v>Ensamblaje y presurización — zona general</v>
      </c>
      <c r="B51" s="10" t="n">
        <v>1</v>
      </c>
      <c r="C51" s="10" t="n">
        <v>1</v>
      </c>
      <c r="D51" s="10" t="n">
        <v>1</v>
      </c>
      <c r="E51" s="10" t="n">
        <v>1</v>
      </c>
      <c r="F51" s="10" t="n">
        <v>1</v>
      </c>
      <c r="G51" s="10" t="n">
        <v>1</v>
      </c>
      <c r="H51" s="10" t="n">
        <v>1</v>
      </c>
      <c r="I51" s="10" t="n">
        <v>1</v>
      </c>
      <c r="J51" s="10" t="n">
        <v>1</v>
      </c>
      <c r="K51" s="10" t="n">
        <v>1</v>
      </c>
    </row>
    <row r="52" customFormat="false" ht="15" hidden="false" customHeight="false" outlineLevel="0" collapsed="false">
      <c r="A52" s="6" t="str">
        <f aca="false">parametros_recargas!$B$94</f>
        <v>Control de peso (CO₂ y halogenados sin recarga)</v>
      </c>
      <c r="B52" s="10" t="n">
        <v>1</v>
      </c>
      <c r="C52" s="10" t="n">
        <v>1</v>
      </c>
      <c r="D52" s="10" t="n">
        <v>1</v>
      </c>
      <c r="E52" s="10" t="n">
        <v>1</v>
      </c>
      <c r="F52" s="10" t="n">
        <v>1</v>
      </c>
      <c r="G52" s="10" t="n">
        <v>1</v>
      </c>
      <c r="H52" s="10" t="n">
        <v>1</v>
      </c>
      <c r="I52" s="10" t="n">
        <v>1</v>
      </c>
      <c r="J52" s="10" t="n">
        <v>1</v>
      </c>
      <c r="K52" s="10" t="n">
        <v>1</v>
      </c>
    </row>
    <row r="53" customFormat="false" ht="15" hidden="false" customHeight="false" outlineLevel="0" collapsed="false">
      <c r="A53" s="6" t="str">
        <f aca="false">parametros_recargas!$B$95</f>
        <v>Ensayo de pérdidas</v>
      </c>
      <c r="B53" s="10" t="n">
        <v>1</v>
      </c>
      <c r="C53" s="10" t="n">
        <v>1</v>
      </c>
      <c r="D53" s="10" t="n">
        <v>1</v>
      </c>
      <c r="E53" s="10" t="n">
        <v>2</v>
      </c>
      <c r="F53" s="10" t="n">
        <v>2</v>
      </c>
      <c r="G53" s="10" t="n">
        <v>3</v>
      </c>
      <c r="H53" s="10" t="n">
        <v>3</v>
      </c>
      <c r="I53" s="10" t="n">
        <v>3</v>
      </c>
      <c r="J53" s="10" t="n">
        <v>3</v>
      </c>
      <c r="K53" s="10" t="n">
        <v>3</v>
      </c>
    </row>
    <row r="54" customFormat="false" ht="15" hidden="false" customHeight="false" outlineLevel="0" collapsed="false">
      <c r="A54" s="6" t="str">
        <f aca="false">parametros_recargas!$B$96</f>
        <v>Precinto, etiqueta y despacho</v>
      </c>
      <c r="B54" s="10" t="n">
        <v>1</v>
      </c>
      <c r="C54" s="10" t="n">
        <v>1</v>
      </c>
      <c r="D54" s="10" t="n">
        <v>1</v>
      </c>
      <c r="E54" s="10" t="n">
        <v>2</v>
      </c>
      <c r="F54" s="10" t="n">
        <v>2</v>
      </c>
      <c r="G54" s="10" t="n">
        <v>3</v>
      </c>
      <c r="H54" s="10" t="n">
        <v>3</v>
      </c>
      <c r="I54" s="10" t="n">
        <v>3</v>
      </c>
      <c r="J54" s="10" t="n">
        <v>3</v>
      </c>
      <c r="K54" s="10" t="n">
        <v>3</v>
      </c>
    </row>
    <row r="55" customFormat="false" ht="15" hidden="false" customHeight="false" outlineLevel="0" collapsed="false">
      <c r="A55" s="6" t="str">
        <f aca="false">parametros_recargas!$B$97</f>
        <v>Inutilización y disposición final</v>
      </c>
      <c r="B55" s="10" t="n">
        <v>1</v>
      </c>
      <c r="C55" s="10" t="n">
        <v>1</v>
      </c>
      <c r="D55" s="10" t="n">
        <v>1</v>
      </c>
      <c r="E55" s="10" t="n">
        <v>1</v>
      </c>
      <c r="F55" s="10" t="n">
        <v>1</v>
      </c>
      <c r="G55" s="10" t="n">
        <v>1</v>
      </c>
      <c r="H55" s="10" t="n">
        <v>1</v>
      </c>
      <c r="I55" s="10" t="n">
        <v>1</v>
      </c>
      <c r="J55" s="10" t="n">
        <v>1</v>
      </c>
      <c r="K55" s="10" t="n">
        <v>1</v>
      </c>
    </row>
    <row r="56" customFormat="false" ht="15" hidden="false" customHeight="false" outlineLevel="0" collapsed="false">
      <c r="A56" s="6" t="str">
        <f aca="false">parametros_recargas!$B$98</f>
        <v>PH de mangueras (CO₂ y rodantes)</v>
      </c>
      <c r="B56" s="10" t="n">
        <v>1</v>
      </c>
      <c r="C56" s="10" t="n">
        <v>1</v>
      </c>
      <c r="D56" s="10" t="n">
        <v>1</v>
      </c>
      <c r="E56" s="10" t="n">
        <v>1</v>
      </c>
      <c r="F56" s="10" t="n">
        <v>1</v>
      </c>
      <c r="G56" s="10" t="n">
        <v>1</v>
      </c>
      <c r="H56" s="10" t="n">
        <v>1</v>
      </c>
      <c r="I56" s="10" t="n">
        <v>1</v>
      </c>
      <c r="J56" s="10" t="n">
        <v>1</v>
      </c>
      <c r="K56" s="10" t="n">
        <v>1</v>
      </c>
    </row>
    <row r="57" customFormat="false" ht="15" hidden="false" customHeight="false" outlineLevel="0" collapsed="false">
      <c r="A57" s="4" t="s">
        <v>421</v>
      </c>
      <c r="B57" s="15" t="n">
        <f aca="false">SUM(B34:B56)</f>
        <v>23</v>
      </c>
      <c r="C57" s="15" t="n">
        <f aca="false">SUM(C34:C56)</f>
        <v>23</v>
      </c>
      <c r="D57" s="15" t="n">
        <f aca="false">SUM(D34:D56)</f>
        <v>23</v>
      </c>
      <c r="E57" s="15" t="n">
        <f aca="false">SUM(E34:E56)</f>
        <v>32</v>
      </c>
      <c r="F57" s="15" t="n">
        <f aca="false">SUM(F34:F56)</f>
        <v>35</v>
      </c>
      <c r="G57" s="15" t="n">
        <f aca="false">SUM(G34:G56)</f>
        <v>45</v>
      </c>
      <c r="H57" s="15" t="n">
        <f aca="false">SUM(H34:H56)</f>
        <v>45</v>
      </c>
      <c r="I57" s="15" t="n">
        <f aca="false">SUM(I34:I56)</f>
        <v>45</v>
      </c>
      <c r="J57" s="15" t="n">
        <f aca="false">SUM(J34:J56)</f>
        <v>45</v>
      </c>
      <c r="K57" s="15" t="n">
        <f aca="false">SUM(K34:K56)</f>
        <v>45</v>
      </c>
    </row>
    <row r="65" customFormat="false" ht="15" hidden="false" customHeight="false" outlineLevel="0" collapsed="false">
      <c r="A65" s="3" t="s">
        <v>422</v>
      </c>
      <c r="B65" s="3" t="n">
        <v>2026</v>
      </c>
      <c r="C65" s="3" t="n">
        <v>2027</v>
      </c>
      <c r="D65" s="3" t="n">
        <v>2028</v>
      </c>
      <c r="E65" s="3" t="n">
        <v>2029</v>
      </c>
      <c r="F65" s="3" t="n">
        <v>2030</v>
      </c>
      <c r="G65" s="3" t="n">
        <v>2031</v>
      </c>
      <c r="H65" s="3" t="n">
        <v>2032</v>
      </c>
      <c r="I65" s="3" t="n">
        <v>2033</v>
      </c>
      <c r="J65" s="3" t="n">
        <v>2034</v>
      </c>
      <c r="K65" s="3" t="n">
        <v>2035</v>
      </c>
    </row>
    <row r="66" customFormat="false" ht="15" hidden="false" customHeight="false" outlineLevel="0" collapsed="false">
      <c r="A66" s="6" t="str">
        <f aca="false">parametros_recargas!$B$76</f>
        <v>Recepción y registro</v>
      </c>
      <c r="B66" s="10" t="n">
        <v>1</v>
      </c>
      <c r="C66" s="10" t="n">
        <v>1</v>
      </c>
      <c r="D66" s="10" t="n">
        <v>1</v>
      </c>
      <c r="E66" s="10" t="n">
        <v>1</v>
      </c>
      <c r="F66" s="10" t="n">
        <v>1</v>
      </c>
      <c r="G66" s="10" t="n">
        <v>1</v>
      </c>
      <c r="H66" s="10" t="n">
        <v>2</v>
      </c>
      <c r="I66" s="10" t="n">
        <v>2</v>
      </c>
      <c r="J66" s="10" t="n">
        <v>2</v>
      </c>
      <c r="K66" s="10" t="n">
        <v>2</v>
      </c>
    </row>
    <row r="67" customFormat="false" ht="15" hidden="false" customHeight="false" outlineLevel="0" collapsed="false">
      <c r="A67" s="6" t="str">
        <f aca="false">parametros_recargas!$B$77</f>
        <v>Inspección visual</v>
      </c>
      <c r="B67" s="10" t="n">
        <v>1</v>
      </c>
      <c r="C67" s="10" t="n">
        <v>1</v>
      </c>
      <c r="D67" s="10" t="n">
        <v>1</v>
      </c>
      <c r="E67" s="10" t="n">
        <v>1</v>
      </c>
      <c r="F67" s="10" t="n">
        <v>1</v>
      </c>
      <c r="G67" s="10" t="n">
        <v>1</v>
      </c>
      <c r="H67" s="10" t="n">
        <v>2</v>
      </c>
      <c r="I67" s="10" t="n">
        <v>2</v>
      </c>
      <c r="J67" s="10" t="n">
        <v>2</v>
      </c>
      <c r="K67" s="10" t="n">
        <v>2</v>
      </c>
    </row>
    <row r="68" customFormat="false" ht="15" hidden="false" customHeight="false" outlineLevel="0" collapsed="false">
      <c r="A68" s="6" t="str">
        <f aca="false">parametros_recargas!$B$78</f>
        <v>Descarga ABC — ruta recuperable</v>
      </c>
      <c r="B68" s="10" t="n">
        <v>1</v>
      </c>
      <c r="C68" s="10" t="n">
        <v>1</v>
      </c>
      <c r="D68" s="10" t="n">
        <v>1</v>
      </c>
      <c r="E68" s="10" t="n">
        <v>1</v>
      </c>
      <c r="F68" s="10" t="n">
        <v>1</v>
      </c>
      <c r="G68" s="10" t="n">
        <v>1</v>
      </c>
      <c r="H68" s="10" t="n">
        <v>2</v>
      </c>
      <c r="I68" s="10" t="n">
        <v>2</v>
      </c>
      <c r="J68" s="10" t="n">
        <v>2</v>
      </c>
      <c r="K68" s="10" t="n">
        <v>2</v>
      </c>
    </row>
    <row r="69" customFormat="false" ht="15" hidden="false" customHeight="false" outlineLevel="0" collapsed="false">
      <c r="A69" s="6" t="str">
        <f aca="false">parametros_recargas!$B$79</f>
        <v>Descarga a descarte (ABC, BC y Clase D)</v>
      </c>
      <c r="B69" s="10" t="n">
        <v>1</v>
      </c>
      <c r="C69" s="10" t="n">
        <v>1</v>
      </c>
      <c r="D69" s="10" t="n">
        <v>1</v>
      </c>
      <c r="E69" s="10" t="n">
        <v>1</v>
      </c>
      <c r="F69" s="10" t="n">
        <v>1</v>
      </c>
      <c r="G69" s="10" t="n">
        <v>1</v>
      </c>
      <c r="H69" s="10" t="n">
        <v>1</v>
      </c>
      <c r="I69" s="10" t="n">
        <v>1</v>
      </c>
      <c r="J69" s="10" t="n">
        <v>1</v>
      </c>
      <c r="K69" s="10" t="n">
        <v>1</v>
      </c>
    </row>
    <row r="70" customFormat="false" ht="15" hidden="false" customHeight="false" outlineLevel="0" collapsed="false">
      <c r="A70" s="6" t="str">
        <f aca="false">parametros_recargas!$B$80</f>
        <v>Descarga y carga de agua / AFFF / sales K</v>
      </c>
      <c r="B70" s="10" t="n">
        <v>1</v>
      </c>
      <c r="C70" s="10" t="n">
        <v>1</v>
      </c>
      <c r="D70" s="10" t="n">
        <v>1</v>
      </c>
      <c r="E70" s="10" t="n">
        <v>1</v>
      </c>
      <c r="F70" s="10" t="n">
        <v>1</v>
      </c>
      <c r="G70" s="10" t="n">
        <v>1</v>
      </c>
      <c r="H70" s="10" t="n">
        <v>1</v>
      </c>
      <c r="I70" s="10" t="n">
        <v>1</v>
      </c>
      <c r="J70" s="10" t="n">
        <v>1</v>
      </c>
      <c r="K70" s="10" t="n">
        <v>1</v>
      </c>
    </row>
    <row r="71" customFormat="false" ht="15" hidden="false" customHeight="false" outlineLevel="0" collapsed="false">
      <c r="A71" s="6" t="str">
        <f aca="false">parametros_recargas!$B$81</f>
        <v>Recuperación y carga de CO₂</v>
      </c>
      <c r="B71" s="10" t="n">
        <v>1</v>
      </c>
      <c r="C71" s="10" t="n">
        <v>1</v>
      </c>
      <c r="D71" s="10" t="n">
        <v>1</v>
      </c>
      <c r="E71" s="10" t="n">
        <v>1</v>
      </c>
      <c r="F71" s="10" t="n">
        <v>1</v>
      </c>
      <c r="G71" s="10" t="n">
        <v>1</v>
      </c>
      <c r="H71" s="10" t="n">
        <v>1</v>
      </c>
      <c r="I71" s="10" t="n">
        <v>1</v>
      </c>
      <c r="J71" s="10" t="n">
        <v>1</v>
      </c>
      <c r="K71" s="10" t="n">
        <v>1</v>
      </c>
    </row>
    <row r="72" customFormat="false" ht="15" hidden="false" customHeight="false" outlineLevel="0" collapsed="false">
      <c r="A72" s="6" t="str">
        <f aca="false">parametros_recargas!$B$82</f>
        <v>Recuperación y carga de halogenado</v>
      </c>
      <c r="B72" s="10" t="n">
        <v>1</v>
      </c>
      <c r="C72" s="10" t="n">
        <v>1</v>
      </c>
      <c r="D72" s="10" t="n">
        <v>1</v>
      </c>
      <c r="E72" s="10" t="n">
        <v>1</v>
      </c>
      <c r="F72" s="10" t="n">
        <v>1</v>
      </c>
      <c r="G72" s="10" t="n">
        <v>1</v>
      </c>
      <c r="H72" s="10" t="n">
        <v>1</v>
      </c>
      <c r="I72" s="10" t="n">
        <v>1</v>
      </c>
      <c r="J72" s="10" t="n">
        <v>1</v>
      </c>
      <c r="K72" s="10" t="n">
        <v>1</v>
      </c>
    </row>
    <row r="73" customFormat="false" ht="15" hidden="false" customHeight="false" outlineLevel="0" collapsed="false">
      <c r="A73" s="6" t="str">
        <f aca="false">parametros_recargas!$B$83</f>
        <v>Desarme y limpieza — recinto</v>
      </c>
      <c r="B73" s="10" t="n">
        <v>1</v>
      </c>
      <c r="C73" s="10" t="n">
        <v>1</v>
      </c>
      <c r="D73" s="10" t="n">
        <v>1</v>
      </c>
      <c r="E73" s="10" t="n">
        <v>1</v>
      </c>
      <c r="F73" s="10" t="n">
        <v>1</v>
      </c>
      <c r="G73" s="10" t="n">
        <v>1</v>
      </c>
      <c r="H73" s="10" t="n">
        <v>2</v>
      </c>
      <c r="I73" s="10" t="n">
        <v>2</v>
      </c>
      <c r="J73" s="10" t="n">
        <v>2</v>
      </c>
      <c r="K73" s="10" t="n">
        <v>2</v>
      </c>
    </row>
    <row r="74" customFormat="false" ht="15" hidden="false" customHeight="false" outlineLevel="0" collapsed="false">
      <c r="A74" s="6" t="str">
        <f aca="false">parametros_recargas!$B$84</f>
        <v>Desarme e inspección interior — zona general</v>
      </c>
      <c r="B74" s="10" t="n">
        <v>1</v>
      </c>
      <c r="C74" s="10" t="n">
        <v>1</v>
      </c>
      <c r="D74" s="10" t="n">
        <v>1</v>
      </c>
      <c r="E74" s="10" t="n">
        <v>1</v>
      </c>
      <c r="F74" s="10" t="n">
        <v>1</v>
      </c>
      <c r="G74" s="10" t="n">
        <v>1</v>
      </c>
      <c r="H74" s="10" t="n">
        <v>1</v>
      </c>
      <c r="I74" s="10" t="n">
        <v>1</v>
      </c>
      <c r="J74" s="10" t="n">
        <v>1</v>
      </c>
      <c r="K74" s="10" t="n">
        <v>1</v>
      </c>
    </row>
    <row r="75" customFormat="false" ht="15" hidden="false" customHeight="false" outlineLevel="0" collapsed="false">
      <c r="A75" s="6" t="str">
        <f aca="false">parametros_recargas!$B$85</f>
        <v>Laboratorio — Puffer y mufla</v>
      </c>
      <c r="B75" s="10" t="n">
        <v>1</v>
      </c>
      <c r="C75" s="10" t="n">
        <v>1</v>
      </c>
      <c r="D75" s="10" t="n">
        <v>1</v>
      </c>
      <c r="E75" s="10" t="n">
        <v>1</v>
      </c>
      <c r="F75" s="10" t="n">
        <v>1</v>
      </c>
      <c r="G75" s="10" t="n">
        <v>1</v>
      </c>
      <c r="H75" s="10" t="n">
        <v>2</v>
      </c>
      <c r="I75" s="10" t="n">
        <v>2</v>
      </c>
      <c r="J75" s="10" t="n">
        <v>2</v>
      </c>
      <c r="K75" s="10" t="n">
        <v>2</v>
      </c>
    </row>
    <row r="76" customFormat="false" ht="15" hidden="false" customHeight="false" outlineLevel="0" collapsed="false">
      <c r="A76" s="6" t="str">
        <f aca="false">parametros_recargas!$B$86</f>
        <v>Prueba hidráulica</v>
      </c>
      <c r="B76" s="10" t="n">
        <v>1</v>
      </c>
      <c r="C76" s="10" t="n">
        <v>1</v>
      </c>
      <c r="D76" s="10" t="n">
        <v>1</v>
      </c>
      <c r="E76" s="10" t="n">
        <v>1</v>
      </c>
      <c r="F76" s="10" t="n">
        <v>1</v>
      </c>
      <c r="G76" s="10" t="n">
        <v>1</v>
      </c>
      <c r="H76" s="10" t="n">
        <v>2</v>
      </c>
      <c r="I76" s="10" t="n">
        <v>2</v>
      </c>
      <c r="J76" s="10" t="n">
        <v>2</v>
      </c>
      <c r="K76" s="10" t="n">
        <v>2</v>
      </c>
    </row>
    <row r="77" customFormat="false" ht="15" hidden="false" customHeight="false" outlineLevel="0" collapsed="false">
      <c r="A77" s="6" t="str">
        <f aca="false">parametros_recargas!$B$87</f>
        <v>Secado</v>
      </c>
      <c r="B77" s="10" t="n">
        <v>1</v>
      </c>
      <c r="C77" s="10" t="n">
        <v>1</v>
      </c>
      <c r="D77" s="10" t="n">
        <v>1</v>
      </c>
      <c r="E77" s="10" t="n">
        <v>1</v>
      </c>
      <c r="F77" s="10" t="n">
        <v>1</v>
      </c>
      <c r="G77" s="10" t="n">
        <v>1</v>
      </c>
      <c r="H77" s="10" t="n">
        <v>2</v>
      </c>
      <c r="I77" s="10" t="n">
        <v>2</v>
      </c>
      <c r="J77" s="10" t="n">
        <v>2</v>
      </c>
      <c r="K77" s="10" t="n">
        <v>2</v>
      </c>
    </row>
    <row r="78" customFormat="false" ht="15" hidden="false" customHeight="false" outlineLevel="0" collapsed="false">
      <c r="A78" s="6" t="str">
        <f aca="false">parametros_recargas!$B$88</f>
        <v>Inspección interior con videoscopio</v>
      </c>
      <c r="B78" s="10" t="n">
        <v>1</v>
      </c>
      <c r="C78" s="10" t="n">
        <v>1</v>
      </c>
      <c r="D78" s="10" t="n">
        <v>1</v>
      </c>
      <c r="E78" s="10" t="n">
        <v>1</v>
      </c>
      <c r="F78" s="10" t="n">
        <v>1</v>
      </c>
      <c r="G78" s="10" t="n">
        <v>1</v>
      </c>
      <c r="H78" s="10" t="n">
        <v>1</v>
      </c>
      <c r="I78" s="10" t="n">
        <v>1</v>
      </c>
      <c r="J78" s="10" t="n">
        <v>1</v>
      </c>
      <c r="K78" s="10" t="n">
        <v>1</v>
      </c>
    </row>
    <row r="79" customFormat="false" ht="15" hidden="false" customHeight="false" outlineLevel="0" collapsed="false">
      <c r="A79" s="6" t="str">
        <f aca="false">parametros_recargas!$B$89</f>
        <v>Pintura</v>
      </c>
      <c r="B79" s="10" t="n">
        <v>1</v>
      </c>
      <c r="C79" s="10" t="n">
        <v>1</v>
      </c>
      <c r="D79" s="10" t="n">
        <v>1</v>
      </c>
      <c r="E79" s="10" t="n">
        <v>1</v>
      </c>
      <c r="F79" s="10" t="n">
        <v>1</v>
      </c>
      <c r="G79" s="10" t="n">
        <v>1</v>
      </c>
      <c r="H79" s="10" t="n">
        <v>2</v>
      </c>
      <c r="I79" s="10" t="n">
        <v>2</v>
      </c>
      <c r="J79" s="10" t="n">
        <v>2</v>
      </c>
      <c r="K79" s="10" t="n">
        <v>2</v>
      </c>
    </row>
    <row r="80" customFormat="false" ht="15" hidden="false" customHeight="false" outlineLevel="0" collapsed="false">
      <c r="A80" s="6" t="str">
        <f aca="false">parametros_recargas!$B$90</f>
        <v>Carga de polvo ABC, BC y Clase D</v>
      </c>
      <c r="B80" s="10" t="n">
        <v>1</v>
      </c>
      <c r="C80" s="10" t="n">
        <v>1</v>
      </c>
      <c r="D80" s="10" t="n">
        <v>1</v>
      </c>
      <c r="E80" s="10" t="n">
        <v>1</v>
      </c>
      <c r="F80" s="10" t="n">
        <v>1</v>
      </c>
      <c r="G80" s="10" t="n">
        <v>1</v>
      </c>
      <c r="H80" s="10" t="n">
        <v>2</v>
      </c>
      <c r="I80" s="10" t="n">
        <v>2</v>
      </c>
      <c r="J80" s="10" t="n">
        <v>2</v>
      </c>
      <c r="K80" s="10" t="n">
        <v>2</v>
      </c>
    </row>
    <row r="81" customFormat="false" ht="15" hidden="false" customHeight="false" outlineLevel="0" collapsed="false">
      <c r="A81" s="6" t="str">
        <f aca="false">parametros_recargas!$B$91</f>
        <v>Ensamblaje y marbete — recinto</v>
      </c>
      <c r="B81" s="10" t="n">
        <v>1</v>
      </c>
      <c r="C81" s="10" t="n">
        <v>1</v>
      </c>
      <c r="D81" s="10" t="n">
        <v>1</v>
      </c>
      <c r="E81" s="10" t="n">
        <v>1</v>
      </c>
      <c r="F81" s="10" t="n">
        <v>1</v>
      </c>
      <c r="G81" s="10" t="n">
        <v>1</v>
      </c>
      <c r="H81" s="10" t="n">
        <v>2</v>
      </c>
      <c r="I81" s="10" t="n">
        <v>2</v>
      </c>
      <c r="J81" s="10" t="n">
        <v>2</v>
      </c>
      <c r="K81" s="10" t="n">
        <v>2</v>
      </c>
    </row>
    <row r="82" customFormat="false" ht="15" hidden="false" customHeight="false" outlineLevel="0" collapsed="false">
      <c r="A82" s="6" t="str">
        <f aca="false">parametros_recargas!$B$92</f>
        <v>Presurización — recinto</v>
      </c>
      <c r="B82" s="10" t="n">
        <v>1</v>
      </c>
      <c r="C82" s="10" t="n">
        <v>1</v>
      </c>
      <c r="D82" s="10" t="n">
        <v>1</v>
      </c>
      <c r="E82" s="10" t="n">
        <v>1</v>
      </c>
      <c r="F82" s="10" t="n">
        <v>1</v>
      </c>
      <c r="G82" s="10" t="n">
        <v>1</v>
      </c>
      <c r="H82" s="10" t="n">
        <v>2</v>
      </c>
      <c r="I82" s="10" t="n">
        <v>2</v>
      </c>
      <c r="J82" s="10" t="n">
        <v>2</v>
      </c>
      <c r="K82" s="10" t="n">
        <v>2</v>
      </c>
    </row>
    <row r="83" customFormat="false" ht="15" hidden="false" customHeight="false" outlineLevel="0" collapsed="false">
      <c r="A83" s="6" t="str">
        <f aca="false">parametros_recargas!$B$93</f>
        <v>Ensamblaje y presurización — zona general</v>
      </c>
      <c r="B83" s="10" t="n">
        <v>1</v>
      </c>
      <c r="C83" s="10" t="n">
        <v>1</v>
      </c>
      <c r="D83" s="10" t="n">
        <v>1</v>
      </c>
      <c r="E83" s="10" t="n">
        <v>1</v>
      </c>
      <c r="F83" s="10" t="n">
        <v>1</v>
      </c>
      <c r="G83" s="10" t="n">
        <v>1</v>
      </c>
      <c r="H83" s="10" t="n">
        <v>1</v>
      </c>
      <c r="I83" s="10" t="n">
        <v>1</v>
      </c>
      <c r="J83" s="10" t="n">
        <v>1</v>
      </c>
      <c r="K83" s="10" t="n">
        <v>1</v>
      </c>
    </row>
    <row r="84" customFormat="false" ht="15" hidden="false" customHeight="false" outlineLevel="0" collapsed="false">
      <c r="A84" s="6" t="str">
        <f aca="false">parametros_recargas!$B$94</f>
        <v>Control de peso (CO₂ y halogenados sin recarga)</v>
      </c>
      <c r="B84" s="10" t="n">
        <v>1</v>
      </c>
      <c r="C84" s="10" t="n">
        <v>1</v>
      </c>
      <c r="D84" s="10" t="n">
        <v>1</v>
      </c>
      <c r="E84" s="10" t="n">
        <v>1</v>
      </c>
      <c r="F84" s="10" t="n">
        <v>1</v>
      </c>
      <c r="G84" s="10" t="n">
        <v>1</v>
      </c>
      <c r="H84" s="10" t="n">
        <v>1</v>
      </c>
      <c r="I84" s="10" t="n">
        <v>1</v>
      </c>
      <c r="J84" s="10" t="n">
        <v>1</v>
      </c>
      <c r="K84" s="10" t="n">
        <v>1</v>
      </c>
    </row>
    <row r="85" customFormat="false" ht="15" hidden="false" customHeight="false" outlineLevel="0" collapsed="false">
      <c r="A85" s="6" t="str">
        <f aca="false">parametros_recargas!$B$95</f>
        <v>Ensayo de pérdidas</v>
      </c>
      <c r="B85" s="10" t="n">
        <v>1</v>
      </c>
      <c r="C85" s="10" t="n">
        <v>1</v>
      </c>
      <c r="D85" s="10" t="n">
        <v>1</v>
      </c>
      <c r="E85" s="10" t="n">
        <v>1</v>
      </c>
      <c r="F85" s="10" t="n">
        <v>1</v>
      </c>
      <c r="G85" s="10" t="n">
        <v>1</v>
      </c>
      <c r="H85" s="10" t="n">
        <v>2</v>
      </c>
      <c r="I85" s="10" t="n">
        <v>2</v>
      </c>
      <c r="J85" s="10" t="n">
        <v>2</v>
      </c>
      <c r="K85" s="10" t="n">
        <v>2</v>
      </c>
    </row>
    <row r="86" customFormat="false" ht="15" hidden="false" customHeight="false" outlineLevel="0" collapsed="false">
      <c r="A86" s="6" t="str">
        <f aca="false">parametros_recargas!$B$96</f>
        <v>Precinto, etiqueta y despacho</v>
      </c>
      <c r="B86" s="10" t="n">
        <v>1</v>
      </c>
      <c r="C86" s="10" t="n">
        <v>1</v>
      </c>
      <c r="D86" s="10" t="n">
        <v>1</v>
      </c>
      <c r="E86" s="10" t="n">
        <v>1</v>
      </c>
      <c r="F86" s="10" t="n">
        <v>1</v>
      </c>
      <c r="G86" s="10" t="n">
        <v>1</v>
      </c>
      <c r="H86" s="10" t="n">
        <v>2</v>
      </c>
      <c r="I86" s="10" t="n">
        <v>2</v>
      </c>
      <c r="J86" s="10" t="n">
        <v>2</v>
      </c>
      <c r="K86" s="10" t="n">
        <v>2</v>
      </c>
    </row>
    <row r="87" customFormat="false" ht="15" hidden="false" customHeight="false" outlineLevel="0" collapsed="false">
      <c r="A87" s="6" t="str">
        <f aca="false">parametros_recargas!$B$97</f>
        <v>Inutilización y disposición final</v>
      </c>
      <c r="B87" s="10" t="n">
        <v>1</v>
      </c>
      <c r="C87" s="10" t="n">
        <v>1</v>
      </c>
      <c r="D87" s="10" t="n">
        <v>1</v>
      </c>
      <c r="E87" s="10" t="n">
        <v>1</v>
      </c>
      <c r="F87" s="10" t="n">
        <v>1</v>
      </c>
      <c r="G87" s="10" t="n">
        <v>1</v>
      </c>
      <c r="H87" s="10" t="n">
        <v>2</v>
      </c>
      <c r="I87" s="10" t="n">
        <v>2</v>
      </c>
      <c r="J87" s="10" t="n">
        <v>2</v>
      </c>
      <c r="K87" s="10" t="n">
        <v>2</v>
      </c>
    </row>
    <row r="88" customFormat="false" ht="15" hidden="false" customHeight="false" outlineLevel="0" collapsed="false">
      <c r="A88" s="6" t="str">
        <f aca="false">parametros_recargas!$B$98</f>
        <v>PH de mangueras (CO₂ y rodantes)</v>
      </c>
      <c r="B88" s="10" t="n">
        <v>1</v>
      </c>
      <c r="C88" s="10" t="n">
        <v>1</v>
      </c>
      <c r="D88" s="10" t="n">
        <v>1</v>
      </c>
      <c r="E88" s="10" t="n">
        <v>1</v>
      </c>
      <c r="F88" s="10" t="n">
        <v>1</v>
      </c>
      <c r="G88" s="10" t="n">
        <v>1</v>
      </c>
      <c r="H88" s="10" t="n">
        <v>1</v>
      </c>
      <c r="I88" s="10" t="n">
        <v>1</v>
      </c>
      <c r="J88" s="10" t="n">
        <v>1</v>
      </c>
      <c r="K88" s="10" t="n">
        <v>1</v>
      </c>
    </row>
    <row r="89" customFormat="false" ht="15" hidden="false" customHeight="false" outlineLevel="0" collapsed="false">
      <c r="A89" s="4" t="s">
        <v>423</v>
      </c>
      <c r="B89" s="15" t="n">
        <f aca="false">MAX(B66:B88)</f>
        <v>1</v>
      </c>
      <c r="C89" s="15" t="n">
        <f aca="false">MAX(C66:C88)</f>
        <v>1</v>
      </c>
      <c r="D89" s="15" t="n">
        <f aca="false">MAX(D66:D88)</f>
        <v>1</v>
      </c>
      <c r="E89" s="15" t="n">
        <f aca="false">MAX(E66:E88)</f>
        <v>1</v>
      </c>
      <c r="F89" s="15" t="n">
        <f aca="false">MAX(F66:F88)</f>
        <v>1</v>
      </c>
      <c r="G89" s="15" t="n">
        <f aca="false">MAX(G66:G88)</f>
        <v>1</v>
      </c>
      <c r="H89" s="15" t="n">
        <f aca="false">MAX(H66:H88)</f>
        <v>2</v>
      </c>
      <c r="I89" s="15" t="n">
        <f aca="false">MAX(I66:I88)</f>
        <v>2</v>
      </c>
      <c r="J89" s="15" t="n">
        <f aca="false">MAX(J66:J88)</f>
        <v>2</v>
      </c>
      <c r="K89" s="15" t="n">
        <f aca="false">MAX(K66:K88)</f>
        <v>2</v>
      </c>
    </row>
  </sheetData>
  <conditionalFormatting sqref="B2:B24">
    <cfRule type="expression" priority="2" aboveAverage="0" equalAverage="0" bottom="0" percent="0" rank="0" text="" dxfId="0">
      <formula>B2&gt;$O$9</formula>
    </cfRule>
    <cfRule type="expression" priority="3" aboveAverage="0" equalAverage="0" bottom="0" percent="0" rank="0" text="" dxfId="1">
      <formula>$L2="Tercerizado"</formula>
    </cfRule>
    <cfRule type="expression" priority="4" aboveAverage="0" equalAverage="0" bottom="0" percent="0" rank="0" text="" dxfId="2">
      <formula>B66&gt;1</formula>
    </cfRule>
    <cfRule type="expression" priority="5" aboveAverage="0" equalAverage="0" bottom="0" percent="0" rank="0" text="" dxfId="3">
      <formula>AND(B34&gt;1,$L2&lt;&gt;"Manual")</formula>
    </cfRule>
    <cfRule type="expression" priority="6" aboveAverage="0" equalAverage="0" bottom="0" percent="0" rank="0" text="" dxfId="4">
      <formula>AND(B34&gt;1,$L2="Manual")</formula>
    </cfRule>
  </conditionalFormatting>
  <conditionalFormatting sqref="C2:K24">
    <cfRule type="expression" priority="7" aboveAverage="0" equalAverage="0" bottom="0" percent="0" rank="0" text="" dxfId="0">
      <formula>C2&gt;$O$9</formula>
    </cfRule>
    <cfRule type="expression" priority="8" aboveAverage="0" equalAverage="0" bottom="0" percent="0" rank="0" text="" dxfId="1">
      <formula>$L2="Tercerizado"</formula>
    </cfRule>
    <cfRule type="expression" priority="9" aboveAverage="0" equalAverage="0" bottom="0" percent="0" rank="0" text="" dxfId="2">
      <formula>C66&gt;B66</formula>
    </cfRule>
    <cfRule type="expression" priority="10" aboveAverage="0" equalAverage="0" bottom="0" percent="0" rank="0" text="" dxfId="3">
      <formula>AND(C34&gt;B34,$L2&lt;&gt;"Manual")</formula>
    </cfRule>
    <cfRule type="expression" priority="11" aboveAverage="0" equalAverage="0" bottom="0" percent="0" rank="0" text="" dxfId="4">
      <formula>AND(C34&gt;B34,$L2="Manual")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2026-10-21T03:52:38Z</dcterms:created>
  <dc:creator>openpyxl</dc:creator>
  <dc:description/>
  <dc:language>en-US</dc:language>
  <cp:lastModifiedBy/>
  <dcterms:modified xsi:type="dcterms:W3CDTF">2026-10-21T03:52:38Z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