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6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6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8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nks" sheetId="1" state="visible" r:id="rId3"/>
    <sheet name="datos_base" sheetId="2" state="visible" r:id="rId4"/>
    <sheet name="parametros_manuales" sheetId="3" state="visible" r:id="rId5"/>
    <sheet name="Plan mensual" sheetId="4" state="visible" r:id="rId6"/>
    <sheet name="Demanda puesto sin sobrestock" sheetId="5" state="visible" r:id="rId7"/>
    <sheet name="Resumen cap. sin sobrestock" sheetId="6" state="visible" r:id="rId8"/>
    <sheet name="Demanda puesto con sobrestock" sheetId="7" state="visible" r:id="rId9"/>
    <sheet name="Resumen cap. con sobrestock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0" authorId="0">
      <text>
        <r>
          <rPr>
            <sz val="10"/>
            <rFont val="Arial"/>
            <family val="2"/>
          </rPr>
          <t xml:space="preserve">Esto porque la operación es manual
======</t>
        </r>
      </text>
    </comment>
  </commentList>
</comments>
</file>

<file path=xl/comments8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M10" authorId="0">
      <text>
        <r>
          <rPr>
            <sz val="10"/>
            <rFont val="Arial"/>
            <family val="2"/>
          </rPr>
          <t xml:space="preserve">Esto porque la operación es manual
======</t>
        </r>
      </text>
    </comment>
  </commentList>
</comments>
</file>

<file path=xl/sharedStrings.xml><?xml version="1.0" encoding="utf-8"?>
<sst xmlns="http://schemas.openxmlformats.org/spreadsheetml/2006/main" count="1053" uniqueCount="219">
  <si>
    <t xml:space="preserve">Links de los IMPORTRANGE</t>
  </si>
  <si>
    <t xml:space="preserve">Pegar en B el link de cada Google Sheet: todos los IMPORTRANGE lo leen de acá.</t>
  </si>
  <si>
    <t xml:space="preserve">Archivo</t>
  </si>
  <si>
    <t xml:space="preserve">Link</t>
  </si>
  <si>
    <t xml:space="preserve">Qué se importa</t>
  </si>
  <si>
    <t xml:space="preserve">Proyecciones</t>
  </si>
  <si>
    <t xml:space="preserve">https://docs.google.com/spreadsheets/d/1xc4xDAwSYT3l-RulPYtcePxiCninrbQGzaBUsgO0YEs/edit?gid=1764491891#gid=1764491891</t>
  </si>
  <si>
    <t xml:space="preserve">Indexado Dim Técnico B27:K43, U61:U74, V61 y V63</t>
  </si>
  <si>
    <t xml:space="preserve">Dimensionamiento Recargas Planta Comercial</t>
  </si>
  <si>
    <t xml:space="preserve">PEGAR ACÁ EL LINK DEL GOOGLE SHEET</t>
  </si>
  <si>
    <t xml:space="preserve">sobrestock_sustitutos, paso 4: alta de sustitutos ABC que pide como cilindro vacío</t>
  </si>
  <si>
    <t xml:space="preserve">Dimensionamiento Recargas Planta Industrial</t>
  </si>
  <si>
    <t xml:space="preserve">sobrestock_sustitutos, paso 4: alta de sustitutos ABC que pide como matafuego terminado</t>
  </si>
  <si>
    <t xml:space="preserve">MRP (FLAMA_MRP)</t>
  </si>
  <si>
    <t xml:space="preserve">ESTACIONALIDAD C4:N5: perfiles E01 (1 kg) y E02 (2,5 a 10 kg), filas 12 a 15 de parametros_manuales</t>
  </si>
  <si>
    <t xml:space="preserve">Matafuegos terminados</t>
  </si>
  <si>
    <t xml:space="preserve">ABC 1 kg</t>
  </si>
  <si>
    <t xml:space="preserve">ABC 2,5 kg</t>
  </si>
  <si>
    <t xml:space="preserve">ABC 5 kg</t>
  </si>
  <si>
    <t xml:space="preserve">ABC 10 kg</t>
  </si>
  <si>
    <t xml:space="preserve">Total terminados</t>
  </si>
  <si>
    <t xml:space="preserve">Cilindros vendidos vacíos</t>
  </si>
  <si>
    <t xml:space="preserve">Cilindros ABC 1 kg</t>
  </si>
  <si>
    <t xml:space="preserve">Cilindros ABC 2,5 kg</t>
  </si>
  <si>
    <t xml:space="preserve">Cilindros ABC 5 kg</t>
  </si>
  <si>
    <t xml:space="preserve">Cilindros ABC 10 kg</t>
  </si>
  <si>
    <t xml:space="preserve">Total cilindros</t>
  </si>
  <si>
    <t xml:space="preserve">Total recipientes a fabricar (con sustitutos)</t>
  </si>
  <si>
    <t xml:space="preserve">Sustitutos ABC para las plantas de recargas</t>
  </si>
  <si>
    <t xml:space="preserve">ABC 1 kg — sustituto (terminado, planta industrial)</t>
  </si>
  <si>
    <t xml:space="preserve">ABC 2,5 kg — sustituto (terminado, planta industrial)</t>
  </si>
  <si>
    <t xml:space="preserve">ABC 5 kg — sustituto (terminado, planta industrial)</t>
  </si>
  <si>
    <t xml:space="preserve">ABC 10 kg — sustituto (terminado, planta industrial)</t>
  </si>
  <si>
    <t xml:space="preserve">Total sustitutos terminados</t>
  </si>
  <si>
    <t xml:space="preserve">ABC 1 kg — sustituto (cilindro vacío, planta comercial)</t>
  </si>
  <si>
    <t xml:space="preserve">ABC 2,5 kg — sustituto (cilindro vacío, planta comercial)</t>
  </si>
  <si>
    <t xml:space="preserve">ABC 5 kg — sustituto (cilindro vacío, planta comercial)</t>
  </si>
  <si>
    <t xml:space="preserve">ABC 10 kg — sustituto (cilindro vacío, planta comercial)</t>
  </si>
  <si>
    <t xml:space="preserve">Total sustitutos cilindros vacíos</t>
  </si>
  <si>
    <t xml:space="preserve">Sustitutos: alta (paso 4) de cada Dimensionamiento de recargas · Word de recargas § 9</t>
  </si>
  <si>
    <t xml:space="preserve">Parámetro</t>
  </si>
  <si>
    <t xml:space="preserve">Valor</t>
  </si>
  <si>
    <t xml:space="preserve">Nota</t>
  </si>
  <si>
    <t xml:space="preserve">Días hábiles por mes</t>
  </si>
  <si>
    <t xml:space="preserve">Excel original, Parametros B37</t>
  </si>
  <si>
    <t xml:space="preserve">Horas por día (1 turno)</t>
  </si>
  <si>
    <t xml:space="preserve">Excel original, Parametros D37</t>
  </si>
  <si>
    <t xml:space="preserve">Refrigerio (min/turno)</t>
  </si>
  <si>
    <t xml:space="preserve">Excel original, Parametros H37</t>
  </si>
  <si>
    <t xml:space="preserve">Horas productivas por turno</t>
  </si>
  <si>
    <t xml:space="preserve">Horas/día − refrigerio</t>
  </si>
  <si>
    <t xml:space="preserve">Turnos por día</t>
  </si>
  <si>
    <t xml:space="preserve">Un solo turno (editable)</t>
  </si>
  <si>
    <t xml:space="preserve">Horas productivas por mes</t>
  </si>
  <si>
    <t xml:space="preserve">Días × horas productivas × turnos</t>
  </si>
  <si>
    <t xml:space="preserve">Umbral de aprovechamiento</t>
  </si>
  <si>
    <t xml:space="preserve">Límite duro (análisis de riesgos) · Word de recargas § 8</t>
  </si>
  <si>
    <t xml:space="preserve">Año de inicio del 2° turno (antes: más máquinas)</t>
  </si>
  <si>
    <t xml:space="preserve">Todos los turnos entran ese año · Word de recargas § 8</t>
  </si>
  <si>
    <t xml:space="preserve">ESTACIONALIDAD (% de la demanda anual por mes; IMPORTRANGE del MRP, que define los picos)</t>
  </si>
  <si>
    <t xml:space="preserve">Modelo</t>
  </si>
  <si>
    <t xml:space="preserve">Ene</t>
  </si>
  <si>
    <t xml:space="preserve">Feb</t>
  </si>
  <si>
    <t xml:space="preserve">Mar</t>
  </si>
  <si>
    <t xml:space="preserve">Abr</t>
  </si>
  <si>
    <t xml:space="preserve">May</t>
  </si>
  <si>
    <t xml:space="preserve">Jun</t>
  </si>
  <si>
    <t xml:space="preserve">Jul</t>
  </si>
  <si>
    <t xml:space="preserve">Ago</t>
  </si>
  <si>
    <t xml:space="preserve">Sep</t>
  </si>
  <si>
    <t xml:space="preserve">Oct</t>
  </si>
  <si>
    <t xml:space="preserve">Nov</t>
  </si>
  <si>
    <t xml:space="preserve">Dic</t>
  </si>
  <si>
    <t xml:space="preserve">Total</t>
  </si>
  <si>
    <t xml:space="preserve">1 kg</t>
  </si>
  <si>
    <t xml:space="preserve">MRP, ESTACIONALIDAD E01 automotor (1 kg) (IMPORTRANGE)</t>
  </si>
  <si>
    <t xml:space="preserve">2,5 kg</t>
  </si>
  <si>
    <t xml:space="preserve">MRP, ESTACIONALIDAD E02 manual comercial (2,5 a 10 kg) (IMPORTRANGE)</t>
  </si>
  <si>
    <t xml:space="preserve">5 kg</t>
  </si>
  <si>
    <t xml:space="preserve">10 kg</t>
  </si>
  <si>
    <t xml:space="preserve">CAPACIDAD POR PUESTO</t>
  </si>
  <si>
    <t xml:space="preserve">N°</t>
  </si>
  <si>
    <t xml:space="preserve">Puesto</t>
  </si>
  <si>
    <t xml:space="preserve">Máquina</t>
  </si>
  <si>
    <t xml:space="preserve">Alcance</t>
  </si>
  <si>
    <t xml:space="preserve">Piezas por unidad</t>
  </si>
  <si>
    <t xml:space="preserve">% que pasa</t>
  </si>
  <si>
    <t xml:space="preserve">Tiempo tipo (s/u)</t>
  </si>
  <si>
    <t xml:space="preserve">Disponibilidad</t>
  </si>
  <si>
    <t xml:space="preserve">Cap. real (u/h)</t>
  </si>
  <si>
    <t xml:space="preserve">Cap. real (u/mes)</t>
  </si>
  <si>
    <t xml:space="preserve">SUPOSICIONES</t>
  </si>
  <si>
    <t xml:space="preserve">Recepción de materia prima</t>
  </si>
  <si>
    <t xml:space="preserve">Autoelevador Heli CPCD50 + micrómetro</t>
  </si>
  <si>
    <t xml:space="preserve">Todos</t>
  </si>
  <si>
    <t xml:space="preserve">25 min x pallet de 20 hojas en carros (1,25 min x hoja)</t>
  </si>
  <si>
    <t xml:space="preserve">Corte de chapa (guillotina) — 2,5 a 10 kg</t>
  </si>
  <si>
    <t xml:space="preserve">Guillotina hidráulica Cena serie O 3.200 mm</t>
  </si>
  <si>
    <t xml:space="preserve">ref carros - 1,2/1,5 min x cuerpo (+ CORTES + TIEMPO)</t>
  </si>
  <si>
    <t xml:space="preserve">Corte de tubo — 1 kg</t>
  </si>
  <si>
    <t xml:space="preserve">Cortadora láser de tubo Leapion 1,5 kW</t>
  </si>
  <si>
    <t xml:space="preserve">10 minutos por tubo de 6m (en cada tubo entran 23 cuerpos)</t>
  </si>
  <si>
    <t xml:space="preserve">Corte de disco y embutido (cúpula y fondo)</t>
  </si>
  <si>
    <t xml:space="preserve">Prensa embutidora Sangiacomo + alimentador Cena PRE-1</t>
  </si>
  <si>
    <t xml:space="preserve">Son 10c segundos contemplando cupula y fondo</t>
  </si>
  <si>
    <t xml:space="preserve">Preparación de cuello</t>
  </si>
  <si>
    <t xml:space="preserve">Prensa de banco Pannier MarkFirst MB-21</t>
  </si>
  <si>
    <t xml:space="preserve">Numerado de cúpula</t>
  </si>
  <si>
    <t xml:space="preserve">Micropercusión Pannier ADP120160D Deep Marker</t>
  </si>
  <si>
    <t xml:space="preserve">Soldadura del cuello a la cúpula</t>
  </si>
  <si>
    <t xml:space="preserve">Firesafer FS-HFM1 (versión manual)</t>
  </si>
  <si>
    <t xml:space="preserve">Cilindrado</t>
  </si>
  <si>
    <t xml:space="preserve">Roladora Firesafer FS-RM01</t>
  </si>
  <si>
    <t xml:space="preserve">Soldadura longitudinal</t>
  </si>
  <si>
    <t xml:space="preserve">Soldadora longitudinal Firesafer</t>
  </si>
  <si>
    <t xml:space="preserve">Encastre de fondo</t>
  </si>
  <si>
    <t xml:space="preserve">Prensa hidráulica motorizada Del Fabro 30 t</t>
  </si>
  <si>
    <t xml:space="preserve">Bordoneado</t>
  </si>
  <si>
    <t xml:space="preserve">Bordoneadora motorizada Pilman SWM-400</t>
  </si>
  <si>
    <t xml:space="preserve">Soldadura circunferencial de cúpula y fondo</t>
  </si>
  <si>
    <t xml:space="preserve">Soldadora circunferencial Firesafer</t>
  </si>
  <si>
    <t xml:space="preserve">Control de calidad — Espesor</t>
  </si>
  <si>
    <t xml:space="preserve">Medidor de espesores Melisam MR017</t>
  </si>
  <si>
    <t xml:space="preserve">Prueba hidráulica</t>
  </si>
  <si>
    <t xml:space="preserve">Banco Firesafer FS-JD12A</t>
  </si>
  <si>
    <t xml:space="preserve">Secado</t>
  </si>
  <si>
    <t xml:space="preserve">Secadora de cilindros Yukon</t>
  </si>
  <si>
    <t xml:space="preserve">las 4 maquinas sirven para secado de carros</t>
  </si>
  <si>
    <t xml:space="preserve">Granallado</t>
  </si>
  <si>
    <t xml:space="preserve">Granalladora de rodillos AirBlast G-100</t>
  </si>
  <si>
    <t xml:space="preserve">Detección de defectos</t>
  </si>
  <si>
    <t xml:space="preserve">Mesa de inspección con iluminación</t>
  </si>
  <si>
    <t xml:space="preserve">Corrección de defectos</t>
  </si>
  <si>
    <t xml:space="preserve">Amoladora 115 mm + machos y calibres</t>
  </si>
  <si>
    <t xml:space="preserve">Pintura en polvo + horno</t>
  </si>
  <si>
    <t xml:space="preserve">Línea de pintura en polvo Firesafer</t>
  </si>
  <si>
    <t xml:space="preserve">Carga de polvo</t>
  </si>
  <si>
    <t xml:space="preserve">Cargadora Firesafer FS-A10 / Yukon M-000121</t>
  </si>
  <si>
    <t xml:space="preserve">Terminados</t>
  </si>
  <si>
    <t xml:space="preserve">Ensamblaje</t>
  </si>
  <si>
    <t xml:space="preserve">Puesto manual con llave dinamométrica</t>
  </si>
  <si>
    <t xml:space="preserve">Presurización</t>
  </si>
  <si>
    <t xml:space="preserve">Pinza neumática Yukon M-000150 + pack N₂</t>
  </si>
  <si>
    <t xml:space="preserve">Control de calidad — Ensayo de pérdidas</t>
  </si>
  <si>
    <t xml:space="preserve">Tanque de inmersión de acero inoxidable</t>
  </si>
  <si>
    <t xml:space="preserve">Etiquetado</t>
  </si>
  <si>
    <t xml:space="preserve">Dispensador de etiquetas + impresora Zebra ZD421</t>
  </si>
  <si>
    <t xml:space="preserve">Embalaje y paletizado</t>
  </si>
  <si>
    <t xml:space="preserve">Armadora de cajas + envolvedora EDOS PS 5</t>
  </si>
  <si>
    <t xml:space="preserve">25 seg embalaje + 20 seg paletizado (1000kg pallet/13 kg mat)=76 mat x pallet *20s = 25 min x pallet</t>
  </si>
  <si>
    <t xml:space="preserve">Alcance: "Todos" = matafuegos terminados + cilindros vacíos; "Terminados" = solo los que se cargan como matafuego.</t>
  </si>
  <si>
    <t xml:space="preserve">Tiempo tipo = tiempo PCP del Excel original ((tpr + tdl + ta) / rendimiento). Disponibilidad = descuento por cambios de matriz del Excel original.</t>
  </si>
  <si>
    <t xml:space="preserve">Cap. real (u/h) = 3600 / tiempo tipo × disponibilidad. Cap. real (u/mes) = cap. real × horas productivas del mes.</t>
  </si>
  <si>
    <t xml:space="preserve">DISPONIBILIDAD</t>
  </si>
  <si>
    <t xml:space="preserve">Cambio de matriz (min/cambio)</t>
  </si>
  <si>
    <t xml:space="preserve">N° cambios/mes (est.)</t>
  </si>
  <si>
    <t xml:space="preserve">Pérdida por cambios (h/mes)</t>
  </si>
  <si>
    <t xml:space="preserve">Disponibilidad (cambios)</t>
  </si>
  <si>
    <t xml:space="preserve">Es 32 porque contemplamos 4 cambios de cupula y 4 de fondo x semana (8*4)</t>
  </si>
  <si>
    <t xml:space="preserve">PRODUCCIÓN CON SOBRESTOCK (perfil mensual de producción, % de la demanda anual)</t>
  </si>
  <si>
    <t xml:space="preserve">Regla: el pico de diciembre y enero se cubre con stock fabricado antes. Diciembre puede salir de stock del mismo año; enero solo de stock hecho en octubre y noviembre, porque recién desde octubre se puede numerar con el año siguiente.</t>
  </si>
  <si>
    <t xml:space="preserve">Nivel máximo de producción (L): el mínimo que cumple la regla del lote. El stock de enero tiene que entrar en la capacidad libre de octubre y noviembre: (Ene − L) ≤ (L − Oct) + (L − Nov), o sea L ≥ (Ene + Oct + Nov) / 3.</t>
  </si>
  <si>
    <t xml:space="preserve">Meses de sobrestock: se fabrica lo más tarde posible, hacia atrás desde noviembre y usando toda la capacidad libre hasta L, para que sean los menos meses posibles.</t>
  </si>
  <si>
    <t xml:space="preserve">Nivel máximo de producción mensual L (% del año)</t>
  </si>
  <si>
    <t xml:space="preserve">Por defecto el mayor de los L mínimos (lo fija el 1 kg). Se puede escribir otro valor, siempre que la columna G diga OK.</t>
  </si>
  <si>
    <t xml:space="preserve">L mínimo por regla de lote</t>
  </si>
  <si>
    <t xml:space="preserve">Exceso de diciembre</t>
  </si>
  <si>
    <t xml:space="preserve">Exceso de enero (año siguiente)</t>
  </si>
  <si>
    <t xml:space="preserve">Stock a fabricar (% del año)</t>
  </si>
  <si>
    <t xml:space="preserve">Meses de sobrestock</t>
  </si>
  <si>
    <t xml:space="preserve">Stock de enero cubierto en oct–nov</t>
  </si>
  <si>
    <t xml:space="preserve">Stock máximo acumulado (% del año)</t>
  </si>
  <si>
    <t xml:space="preserve">Modelo 1 kg</t>
  </si>
  <si>
    <t xml:space="preserve">Demanda (% del año)</t>
  </si>
  <si>
    <t xml:space="preserve">Capacidad libre hasta L</t>
  </si>
  <si>
    <t xml:space="preserve">Sobrestock fabricado</t>
  </si>
  <si>
    <t xml:space="preserve">PRODUCCIÓN (% del año)</t>
  </si>
  <si>
    <t xml:space="preserve">Modelo 2,5 kg</t>
  </si>
  <si>
    <t xml:space="preserve">Modelo 5 kg</t>
  </si>
  <si>
    <t xml:space="preserve">Modelo 10 kg</t>
  </si>
  <si>
    <t xml:space="preserve">Control: la fila PRODUCCIÓN suma 100 %, porque el stock de enero que se fabrica en oct–nov reemplaza al que se recibió del año anterior. En 2026, el primer año, no hay stock previo para enero.</t>
  </si>
  <si>
    <t xml:space="preserve">Producto</t>
  </si>
  <si>
    <t xml:space="preserve">Tipo</t>
  </si>
  <si>
    <t xml:space="preserve">Total anual</t>
  </si>
  <si>
    <t xml:space="preserve">Terminado</t>
  </si>
  <si>
    <t xml:space="preserve">Cilindro</t>
  </si>
  <si>
    <t xml:space="preserve">Total recipientes</t>
  </si>
  <si>
    <t xml:space="preserve">Año 2026</t>
  </si>
  <si>
    <t xml:space="preserve">Mes pico (u/mes)</t>
  </si>
  <si>
    <t xml:space="preserve">Demanda pico (u/h)</t>
  </si>
  <si>
    <t xml:space="preserve">Mes pico</t>
  </si>
  <si>
    <t xml:space="preserve">Año 2027</t>
  </si>
  <si>
    <t xml:space="preserve">Año 2028</t>
  </si>
  <si>
    <t xml:space="preserve">Año 2029</t>
  </si>
  <si>
    <t xml:space="preserve">Año 2030</t>
  </si>
  <si>
    <t xml:space="preserve">Año 2031</t>
  </si>
  <si>
    <t xml:space="preserve">Año 2032</t>
  </si>
  <si>
    <t xml:space="preserve">Año 2033</t>
  </si>
  <si>
    <t xml:space="preserve">Año 2034</t>
  </si>
  <si>
    <t xml:space="preserve">Año 2035</t>
  </si>
  <si>
    <t xml:space="preserve">Aprovechamiento por puesto</t>
  </si>
  <si>
    <t xml:space="preserve">Recurso</t>
  </si>
  <si>
    <t xml:space="preserve">Manual</t>
  </si>
  <si>
    <t xml:space="preserve">Agrega máquina</t>
  </si>
  <si>
    <t xml:space="preserve">Agrega turno</t>
  </si>
  <si>
    <t xml:space="preserve">Agrega operario (puesto manual)</t>
  </si>
  <si>
    <t xml:space="preserve">Tercerizado</t>
  </si>
  <si>
    <t xml:space="preserve">Revisar</t>
  </si>
  <si>
    <t xml:space="preserve">Colores automáticos contra el año anterior · Word de recargas § 9</t>
  </si>
  <si>
    <t xml:space="preserve">Aprovechamiento máximo</t>
  </si>
  <si>
    <t xml:space="preserve">Máquinas/operarios en el puesto</t>
  </si>
  <si>
    <t xml:space="preserve">TOTAL máquinas / puestos</t>
  </si>
  <si>
    <t xml:space="preserve">Cantidad de turnos </t>
  </si>
  <si>
    <t xml:space="preserve">Cantidad de turnos en el año </t>
  </si>
  <si>
    <t xml:space="preserve">Producción con sobrestock = demanda anual × perfil de producción (parametros_manuales, bloque PRODUCCIÓN CON SOBRESTOCK).</t>
  </si>
  <si>
    <t xml:space="preserve">Turnos: esta hoja divide por la tabla de turnos (filas 58 a 82), igual que la hoja sin sobrestock.</t>
  </si>
  <si>
    <t xml:space="preserve">COMPARACIÓN DE APROVECHAMIENTO MÁXIMO (cada hoja con sus propias máquinas y turnos)</t>
  </si>
  <si>
    <t xml:space="preserve">Sin sobrestock</t>
  </si>
  <si>
    <t xml:space="preserve">Con sobrestock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</si>
</sst>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"/>
    <numFmt numFmtId="166" formatCode="0"/>
    <numFmt numFmtId="167" formatCode="0.0"/>
    <numFmt numFmtId="168" formatCode="0.00"/>
    <numFmt numFmtId="169" formatCode="0%"/>
    <numFmt numFmtId="170" formatCode="0.0%"/>
    <numFmt numFmtId="171" formatCode="0.00%"/>
    <numFmt numFmtId="172" formatCode="#,##0.0"/>
  </numFmts>
  <fonts count="14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name val="Arial"/>
      <family val="2"/>
    </font>
    <font>
      <sz val="11"/>
      <color rgb="FF008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D9EAD3"/>
        <bgColor rgb="FFD9D9D9"/>
      </patternFill>
    </fill>
    <fill>
      <patternFill patternType="solid">
        <fgColor rgb="FFD9D9D9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4A86E8"/>
        <bgColor rgb="FF808080"/>
      </patternFill>
    </fill>
    <fill>
      <patternFill patternType="solid">
        <fgColor rgb="FFE06666"/>
        <bgColor rgb="FFFF6600"/>
      </patternFill>
    </fill>
    <fill>
      <patternFill patternType="solid">
        <fgColor rgb="FFFF9900"/>
        <bgColor rgb="FFFFCC00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0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9" fillId="3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8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4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9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2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9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3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FF00"/>
        </patternFill>
      </fill>
    </dxf>
    <dxf>
      <fill>
        <patternFill>
          <bgColor rgb="FFFF9900"/>
        </patternFill>
      </fill>
    </dxf>
    <dxf>
      <fill>
        <patternFill>
          <bgColor rgb="FF4A86E8"/>
        </patternFill>
      </fill>
    </dxf>
    <dxf>
      <fill>
        <patternFill>
          <bgColor rgb="FFFF00FF"/>
        </patternFill>
      </fill>
    </dxf>
    <dxf>
      <fill>
        <patternFill>
          <bgColor rgb="FFE06666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E06666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vmlDrawing" Target="../drawings/vmlDrawing1.v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70"/>
    <col collapsed="false" customWidth="true" hidden="false" outlineLevel="0" max="3" min="3" style="1" width="96"/>
  </cols>
  <sheetData>
    <row r="1" customFormat="false" ht="1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 t="s">
        <v>2</v>
      </c>
      <c r="B3" s="4" t="s">
        <v>3</v>
      </c>
      <c r="C3" s="4" t="s">
        <v>4</v>
      </c>
    </row>
    <row r="4" customFormat="false" ht="23.25" hidden="false" customHeight="true" outlineLevel="0" collapsed="false">
      <c r="A4" s="5" t="s">
        <v>5</v>
      </c>
      <c r="B4" s="6" t="s">
        <v>6</v>
      </c>
      <c r="C4" s="6" t="s">
        <v>7</v>
      </c>
    </row>
    <row r="5" customFormat="false" ht="23.25" hidden="false" customHeight="true" outlineLevel="0" collapsed="false">
      <c r="A5" s="5" t="s">
        <v>8</v>
      </c>
      <c r="B5" s="6" t="s">
        <v>9</v>
      </c>
      <c r="C5" s="6" t="s">
        <v>10</v>
      </c>
    </row>
    <row r="6" customFormat="false" ht="23.25" hidden="false" customHeight="true" outlineLevel="0" collapsed="false">
      <c r="A6" s="5" t="s">
        <v>11</v>
      </c>
      <c r="B6" s="6" t="s">
        <v>9</v>
      </c>
      <c r="C6" s="6" t="s">
        <v>12</v>
      </c>
    </row>
    <row r="7" customFormat="false" ht="15" hidden="false" customHeight="true" outlineLevel="0" collapsed="false">
      <c r="A7" s="5" t="s">
        <v>13</v>
      </c>
      <c r="B7" s="6" t="s">
        <v>9</v>
      </c>
      <c r="C7" s="6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11" min="2" style="1" width="11"/>
  </cols>
  <sheetData>
    <row r="1" customFormat="false" ht="14.25" hidden="false" customHeight="true" outlineLevel="0" collapsed="false">
      <c r="A1" s="7" t="s">
        <v>15</v>
      </c>
      <c r="B1" s="7" t="n">
        <v>2026</v>
      </c>
      <c r="C1" s="7" t="n">
        <v>2027</v>
      </c>
      <c r="D1" s="7" t="n">
        <v>2028</v>
      </c>
      <c r="E1" s="7" t="n">
        <v>2029</v>
      </c>
      <c r="F1" s="7" t="n">
        <v>2030</v>
      </c>
      <c r="G1" s="7" t="n">
        <v>2031</v>
      </c>
      <c r="H1" s="7" t="n">
        <v>2032</v>
      </c>
      <c r="I1" s="7" t="n">
        <v>2033</v>
      </c>
      <c r="J1" s="7" t="n">
        <v>2034</v>
      </c>
      <c r="K1" s="7" t="n">
        <v>2035</v>
      </c>
    </row>
    <row r="2" customFormat="false" ht="14.25" hidden="false" customHeight="true" outlineLevel="0" collapsed="false">
      <c r="A2" s="8" t="s">
        <v>16</v>
      </c>
      <c r="B2" s="9" t="n">
        <f aca="false">IFERROR(__xludf.DUMMYFUNCTION("IMPORTRANGE(Links!$B$4,""Indexado Dim Técnico!B3:K6"")"),4178.736543)</f>
        <v>4178.736543</v>
      </c>
      <c r="C2" s="9" t="n">
        <f aca="false">IFERROR(__xludf.DUMMYFUNCTION("""COMPUTED_VALUE"""),5997.303977)</f>
        <v>5997.303977</v>
      </c>
      <c r="D2" s="9" t="n">
        <f aca="false">IFERROR(__xludf.DUMMYFUNCTION("""COMPUTED_VALUE"""),6851.747758)</f>
        <v>6851.747758</v>
      </c>
      <c r="E2" s="9" t="n">
        <f aca="false">IFERROR(__xludf.DUMMYFUNCTION("""COMPUTED_VALUE"""),8467.135549)</f>
        <v>8467.135549</v>
      </c>
      <c r="F2" s="9" t="n">
        <f aca="false">IFERROR(__xludf.DUMMYFUNCTION("""COMPUTED_VALUE"""),12680.63271)</f>
        <v>12680.63271</v>
      </c>
      <c r="G2" s="9" t="n">
        <f aca="false">IFERROR(__xludf.DUMMYFUNCTION("""COMPUTED_VALUE"""),15620.25307)</f>
        <v>15620.25307</v>
      </c>
      <c r="H2" s="9" t="n">
        <f aca="false">IFERROR(__xludf.DUMMYFUNCTION("""COMPUTED_VALUE"""),20332.55326)</f>
        <v>20332.55326</v>
      </c>
      <c r="I2" s="9" t="n">
        <f aca="false">IFERROR(__xludf.DUMMYFUNCTION("""COMPUTED_VALUE"""),25132.07848)</f>
        <v>25132.07848</v>
      </c>
      <c r="J2" s="9" t="n">
        <f aca="false">IFERROR(__xludf.DUMMYFUNCTION("""COMPUTED_VALUE"""),28573.33614)</f>
        <v>28573.33614</v>
      </c>
      <c r="K2" s="9" t="n">
        <f aca="false">IFERROR(__xludf.DUMMYFUNCTION("""COMPUTED_VALUE"""),32072.63913)</f>
        <v>32072.63913</v>
      </c>
    </row>
    <row r="3" customFormat="false" ht="14.25" hidden="false" customHeight="true" outlineLevel="0" collapsed="false">
      <c r="A3" s="8" t="s">
        <v>17</v>
      </c>
      <c r="B3" s="9" t="n">
        <f aca="false">IFERROR(__xludf.DUMMYFUNCTION("""COMPUTED_VALUE"""),295.0303572)</f>
        <v>295.0303572</v>
      </c>
      <c r="C3" s="9" t="n">
        <f aca="false">IFERROR(__xludf.DUMMYFUNCTION("""COMPUTED_VALUE"""),709.7274503)</f>
        <v>709.7274503</v>
      </c>
      <c r="D3" s="9" t="n">
        <f aca="false">IFERROR(__xludf.DUMMYFUNCTION("""COMPUTED_VALUE"""),986.8680576)</f>
        <v>986.8680576</v>
      </c>
      <c r="E3" s="9" t="n">
        <f aca="false">IFERROR(__xludf.DUMMYFUNCTION("""COMPUTED_VALUE"""),1500.638174)</f>
        <v>1500.638174</v>
      </c>
      <c r="F3" s="9" t="n">
        <f aca="false">IFERROR(__xludf.DUMMYFUNCTION("""COMPUTED_VALUE"""),2312.627726)</f>
        <v>2312.627726</v>
      </c>
      <c r="G3" s="9" t="n">
        <f aca="false">IFERROR(__xludf.DUMMYFUNCTION("""COMPUTED_VALUE"""),3252.869887)</f>
        <v>3252.869887</v>
      </c>
      <c r="H3" s="9" t="n">
        <f aca="false">IFERROR(__xludf.DUMMYFUNCTION("""COMPUTED_VALUE"""),4102.315524)</f>
        <v>4102.315524</v>
      </c>
      <c r="I3" s="9" t="n">
        <f aca="false">IFERROR(__xludf.DUMMYFUNCTION("""COMPUTED_VALUE"""),5104.306587)</f>
        <v>5104.306587</v>
      </c>
      <c r="J3" s="9" t="n">
        <f aca="false">IFERROR(__xludf.DUMMYFUNCTION("""COMPUTED_VALUE"""),6195.186243)</f>
        <v>6195.186243</v>
      </c>
      <c r="K3" s="9" t="n">
        <f aca="false">IFERROR(__xludf.DUMMYFUNCTION("""COMPUTED_VALUE"""),7424.858444)</f>
        <v>7424.858444</v>
      </c>
    </row>
    <row r="4" customFormat="false" ht="14.25" hidden="false" customHeight="true" outlineLevel="0" collapsed="false">
      <c r="A4" s="8" t="s">
        <v>18</v>
      </c>
      <c r="B4" s="9" t="n">
        <f aca="false">IFERROR(__xludf.DUMMYFUNCTION("""COMPUTED_VALUE"""),2255.773025)</f>
        <v>2255.773025</v>
      </c>
      <c r="C4" s="9" t="n">
        <f aca="false">IFERROR(__xludf.DUMMYFUNCTION("""COMPUTED_VALUE"""),3846.978881)</f>
        <v>3846.978881</v>
      </c>
      <c r="D4" s="9" t="n">
        <f aca="false">IFERROR(__xludf.DUMMYFUNCTION("""COMPUTED_VALUE"""),5093.537591)</f>
        <v>5093.537591</v>
      </c>
      <c r="E4" s="9" t="n">
        <f aca="false">IFERROR(__xludf.DUMMYFUNCTION("""COMPUTED_VALUE"""),6823.115313)</f>
        <v>6823.115313</v>
      </c>
      <c r="F4" s="9" t="n">
        <f aca="false">IFERROR(__xludf.DUMMYFUNCTION("""COMPUTED_VALUE"""),10819.30694)</f>
        <v>10819.30694</v>
      </c>
      <c r="G4" s="9" t="n">
        <f aca="false">IFERROR(__xludf.DUMMYFUNCTION("""COMPUTED_VALUE"""),14605.96411)</f>
        <v>14605.96411</v>
      </c>
      <c r="H4" s="9" t="n">
        <f aca="false">IFERROR(__xludf.DUMMYFUNCTION("""COMPUTED_VALUE"""),18877.75984)</f>
        <v>18877.75984</v>
      </c>
      <c r="I4" s="9" t="n">
        <f aca="false">IFERROR(__xludf.DUMMYFUNCTION("""COMPUTED_VALUE"""),23368.18637)</f>
        <v>23368.18637</v>
      </c>
      <c r="J4" s="9" t="n">
        <f aca="false">IFERROR(__xludf.DUMMYFUNCTION("""COMPUTED_VALUE"""),26967.72455)</f>
        <v>26967.72455</v>
      </c>
      <c r="K4" s="9" t="n">
        <f aca="false">IFERROR(__xludf.DUMMYFUNCTION("""COMPUTED_VALUE"""),30750.77872)</f>
        <v>30750.77872</v>
      </c>
    </row>
    <row r="5" customFormat="false" ht="14.25" hidden="false" customHeight="true" outlineLevel="0" collapsed="false">
      <c r="A5" s="8" t="s">
        <v>19</v>
      </c>
      <c r="B5" s="9" t="n">
        <f aca="false">IFERROR(__xludf.DUMMYFUNCTION("""COMPUTED_VALUE"""),91.83318153)</f>
        <v>91.83318153</v>
      </c>
      <c r="C5" s="9" t="n">
        <f aca="false">IFERROR(__xludf.DUMMYFUNCTION("""COMPUTED_VALUE"""),177.2472967)</f>
        <v>177.2472967</v>
      </c>
      <c r="D5" s="9" t="n">
        <f aca="false">IFERROR(__xludf.DUMMYFUNCTION("""COMPUTED_VALUE"""),252.9787798)</f>
        <v>252.9787798</v>
      </c>
      <c r="E5" s="9" t="n">
        <f aca="false">IFERROR(__xludf.DUMMYFUNCTION("""COMPUTED_VALUE"""),358.0204941)</f>
        <v>358.0204941</v>
      </c>
      <c r="F5" s="9" t="n">
        <f aca="false">IFERROR(__xludf.DUMMYFUNCTION("""COMPUTED_VALUE"""),602.7181519)</f>
        <v>602.7181519</v>
      </c>
      <c r="G5" s="9" t="n">
        <f aca="false">IFERROR(__xludf.DUMMYFUNCTION("""COMPUTED_VALUE"""),872.605032)</f>
        <v>872.605032</v>
      </c>
      <c r="H5" s="9" t="n">
        <f aca="false">IFERROR(__xludf.DUMMYFUNCTION("""COMPUTED_VALUE"""),1127.160545)</f>
        <v>1127.160545</v>
      </c>
      <c r="I5" s="9" t="n">
        <f aca="false">IFERROR(__xludf.DUMMYFUNCTION("""COMPUTED_VALUE"""),1395.444812)</f>
        <v>1395.444812</v>
      </c>
      <c r="J5" s="9" t="n">
        <f aca="false">IFERROR(__xludf.DUMMYFUNCTION("""COMPUTED_VALUE"""),1612.350054)</f>
        <v>1612.350054</v>
      </c>
      <c r="K5" s="9" t="n">
        <f aca="false">IFERROR(__xludf.DUMMYFUNCTION("""COMPUTED_VALUE"""),1840.848079)</f>
        <v>1840.848079</v>
      </c>
    </row>
    <row r="6" customFormat="false" ht="14.25" hidden="false" customHeight="true" outlineLevel="0" collapsed="false">
      <c r="A6" s="10" t="s">
        <v>20</v>
      </c>
      <c r="B6" s="11" t="n">
        <f aca="false">SUM(B2:B5)</f>
        <v>6821.37310673</v>
      </c>
      <c r="C6" s="11" t="n">
        <f aca="false">SUM(C2:C5)</f>
        <v>10731.257605</v>
      </c>
      <c r="D6" s="11" t="n">
        <f aca="false">SUM(D2:D5)</f>
        <v>13185.1321864</v>
      </c>
      <c r="E6" s="11" t="n">
        <f aca="false">SUM(E2:E5)</f>
        <v>17148.9095301</v>
      </c>
      <c r="F6" s="11" t="n">
        <f aca="false">SUM(F2:F5)</f>
        <v>26415.2855279</v>
      </c>
      <c r="G6" s="11" t="n">
        <f aca="false">SUM(G2:G5)</f>
        <v>34351.692099</v>
      </c>
      <c r="H6" s="11" t="n">
        <f aca="false">SUM(H2:H5)</f>
        <v>44439.789169</v>
      </c>
      <c r="I6" s="11" t="n">
        <f aca="false">SUM(I2:I5)</f>
        <v>55000.016249</v>
      </c>
      <c r="J6" s="11" t="n">
        <f aca="false">SUM(J2:J5)</f>
        <v>63348.596987</v>
      </c>
      <c r="K6" s="11" t="n">
        <f aca="false">SUM(K2:K5)</f>
        <v>72089.124373</v>
      </c>
    </row>
    <row r="7" customFormat="false" ht="14.25" hidden="false" customHeight="true" outlineLevel="0" collapsed="false"/>
    <row r="8" customFormat="false" ht="14.25" hidden="false" customHeight="true" outlineLevel="0" collapsed="false">
      <c r="A8" s="7" t="s">
        <v>21</v>
      </c>
      <c r="B8" s="7" t="n">
        <v>2026</v>
      </c>
      <c r="C8" s="7" t="n">
        <v>2027</v>
      </c>
      <c r="D8" s="7" t="n">
        <v>2028</v>
      </c>
      <c r="E8" s="7" t="n">
        <v>2029</v>
      </c>
      <c r="F8" s="7" t="n">
        <v>2030</v>
      </c>
      <c r="G8" s="7" t="n">
        <v>2031</v>
      </c>
      <c r="H8" s="7" t="n">
        <v>2032</v>
      </c>
      <c r="I8" s="7" t="n">
        <v>2033</v>
      </c>
      <c r="J8" s="7" t="n">
        <v>2034</v>
      </c>
      <c r="K8" s="7" t="n">
        <v>2035</v>
      </c>
    </row>
    <row r="9" customFormat="false" ht="14.25" hidden="false" customHeight="true" outlineLevel="0" collapsed="false">
      <c r="A9" s="8" t="s">
        <v>22</v>
      </c>
      <c r="B9" s="9" t="n">
        <f aca="false">IFERROR(__xludf.DUMMYFUNCTION("IMPORTRANGE(Links!$B$4,""Indexado Dim Técnico!B15:K18"")"),0)</f>
        <v>0</v>
      </c>
      <c r="C9" s="9" t="n">
        <f aca="false">IFERROR(__xludf.DUMMYFUNCTION("""COMPUTED_VALUE"""),0)</f>
        <v>0</v>
      </c>
      <c r="D9" s="9" t="n">
        <f aca="false">IFERROR(__xludf.DUMMYFUNCTION("""COMPUTED_VALUE"""),7662.4)</f>
        <v>7662.4</v>
      </c>
      <c r="E9" s="9" t="n">
        <f aca="false">IFERROR(__xludf.DUMMYFUNCTION("""COMPUTED_VALUE"""),26694.8)</f>
        <v>26694.8</v>
      </c>
      <c r="F9" s="9" t="n">
        <f aca="false">IFERROR(__xludf.DUMMYFUNCTION("""COMPUTED_VALUE"""),49434.8)</f>
        <v>49434.8</v>
      </c>
      <c r="G9" s="9" t="n">
        <f aca="false">IFERROR(__xludf.DUMMYFUNCTION("""COMPUTED_VALUE"""),71680.2)</f>
        <v>71680.2</v>
      </c>
      <c r="H9" s="9" t="n">
        <f aca="false">IFERROR(__xludf.DUMMYFUNCTION("""COMPUTED_VALUE"""),101340.6)</f>
        <v>101340.6</v>
      </c>
      <c r="I9" s="9" t="n">
        <f aca="false">IFERROR(__xludf.DUMMYFUNCTION("""COMPUTED_VALUE"""),131001)</f>
        <v>131001</v>
      </c>
      <c r="J9" s="9" t="n">
        <f aca="false">IFERROR(__xludf.DUMMYFUNCTION("""COMPUTED_VALUE"""),146819.8)</f>
        <v>146819.8</v>
      </c>
      <c r="K9" s="9" t="n">
        <f aca="false">IFERROR(__xludf.DUMMYFUNCTION("""COMPUTED_VALUE"""),170548)</f>
        <v>170548</v>
      </c>
    </row>
    <row r="10" customFormat="false" ht="14.25" hidden="false" customHeight="true" outlineLevel="0" collapsed="false">
      <c r="A10" s="8" t="s">
        <v>23</v>
      </c>
      <c r="B10" s="9" t="n">
        <f aca="false">IFERROR(__xludf.DUMMYFUNCTION("""COMPUTED_VALUE"""),0)</f>
        <v>0</v>
      </c>
      <c r="C10" s="9" t="n">
        <f aca="false">IFERROR(__xludf.DUMMYFUNCTION("""COMPUTED_VALUE"""),0)</f>
        <v>0</v>
      </c>
      <c r="D10" s="9" t="n">
        <f aca="false">IFERROR(__xludf.DUMMYFUNCTION("""COMPUTED_VALUE"""),299.6)</f>
        <v>299.6</v>
      </c>
      <c r="E10" s="9" t="n">
        <f aca="false">IFERROR(__xludf.DUMMYFUNCTION("""COMPUTED_VALUE"""),1043.8)</f>
        <v>1043.8</v>
      </c>
      <c r="F10" s="9" t="n">
        <f aca="false">IFERROR(__xludf.DUMMYFUNCTION("""COMPUTED_VALUE"""),1933)</f>
        <v>1933</v>
      </c>
      <c r="G10" s="9" t="n">
        <f aca="false">IFERROR(__xludf.DUMMYFUNCTION("""COMPUTED_VALUE"""),2803)</f>
        <v>2803</v>
      </c>
      <c r="H10" s="9" t="n">
        <f aca="false">IFERROR(__xludf.DUMMYFUNCTION("""COMPUTED_VALUE"""),3963)</f>
        <v>3963</v>
      </c>
      <c r="I10" s="9" t="n">
        <f aca="false">IFERROR(__xludf.DUMMYFUNCTION("""COMPUTED_VALUE"""),5123)</f>
        <v>5123</v>
      </c>
      <c r="J10" s="9" t="n">
        <f aca="false">IFERROR(__xludf.DUMMYFUNCTION("""COMPUTED_VALUE"""),5741.4)</f>
        <v>5741.4</v>
      </c>
      <c r="K10" s="9" t="n">
        <f aca="false">IFERROR(__xludf.DUMMYFUNCTION("""COMPUTED_VALUE"""),6669)</f>
        <v>6669</v>
      </c>
    </row>
    <row r="11" customFormat="false" ht="14.25" hidden="false" customHeight="true" outlineLevel="0" collapsed="false">
      <c r="A11" s="8" t="s">
        <v>24</v>
      </c>
      <c r="B11" s="9" t="n">
        <f aca="false">IFERROR(__xludf.DUMMYFUNCTION("""COMPUTED_VALUE"""),0)</f>
        <v>0</v>
      </c>
      <c r="C11" s="9" t="n">
        <f aca="false">IFERROR(__xludf.DUMMYFUNCTION("""COMPUTED_VALUE"""),0)</f>
        <v>0</v>
      </c>
      <c r="D11" s="9" t="n">
        <f aca="false">IFERROR(__xludf.DUMMYFUNCTION("""COMPUTED_VALUE"""),1478.8)</f>
        <v>1478.8</v>
      </c>
      <c r="E11" s="9" t="n">
        <f aca="false">IFERROR(__xludf.DUMMYFUNCTION("""COMPUTED_VALUE"""),5152)</f>
        <v>5152</v>
      </c>
      <c r="F11" s="9" t="n">
        <f aca="false">IFERROR(__xludf.DUMMYFUNCTION("""COMPUTED_VALUE"""),9540.8)</f>
        <v>9540.8</v>
      </c>
      <c r="G11" s="9" t="n">
        <f aca="false">IFERROR(__xludf.DUMMYFUNCTION("""COMPUTED_VALUE"""),13834.2)</f>
        <v>13834.2</v>
      </c>
      <c r="H11" s="9" t="n">
        <f aca="false">IFERROR(__xludf.DUMMYFUNCTION("""COMPUTED_VALUE"""),19558.6)</f>
        <v>19558.6</v>
      </c>
      <c r="I11" s="9" t="n">
        <f aca="false">IFERROR(__xludf.DUMMYFUNCTION("""COMPUTED_VALUE"""),25283)</f>
        <v>25283</v>
      </c>
      <c r="J11" s="9" t="n">
        <f aca="false">IFERROR(__xludf.DUMMYFUNCTION("""COMPUTED_VALUE"""),28335.8)</f>
        <v>28335.8</v>
      </c>
      <c r="K11" s="9" t="n">
        <f aca="false">IFERROR(__xludf.DUMMYFUNCTION("""COMPUTED_VALUE"""),32915)</f>
        <v>32915</v>
      </c>
    </row>
    <row r="12" customFormat="false" ht="14.25" hidden="false" customHeight="true" outlineLevel="0" collapsed="false">
      <c r="A12" s="8" t="s">
        <v>25</v>
      </c>
      <c r="B12" s="9" t="n">
        <f aca="false">IFERROR(__xludf.DUMMYFUNCTION("""COMPUTED_VALUE"""),0)</f>
        <v>0</v>
      </c>
      <c r="C12" s="9" t="n">
        <f aca="false">IFERROR(__xludf.DUMMYFUNCTION("""COMPUTED_VALUE"""),0)</f>
        <v>0</v>
      </c>
      <c r="D12" s="9" t="n">
        <f aca="false">IFERROR(__xludf.DUMMYFUNCTION("""COMPUTED_VALUE"""),90.4)</f>
        <v>90.4</v>
      </c>
      <c r="E12" s="9" t="n">
        <f aca="false">IFERROR(__xludf.DUMMYFUNCTION("""COMPUTED_VALUE"""),315)</f>
        <v>315</v>
      </c>
      <c r="F12" s="9" t="n">
        <f aca="false">IFERROR(__xludf.DUMMYFUNCTION("""COMPUTED_VALUE"""),583.4)</f>
        <v>583.4</v>
      </c>
      <c r="G12" s="9" t="n">
        <f aca="false">IFERROR(__xludf.DUMMYFUNCTION("""COMPUTED_VALUE"""),845.8)</f>
        <v>845.8</v>
      </c>
      <c r="H12" s="9" t="n">
        <f aca="false">IFERROR(__xludf.DUMMYFUNCTION("""COMPUTED_VALUE"""),1195.4)</f>
        <v>1195.4</v>
      </c>
      <c r="I12" s="9" t="n">
        <f aca="false">IFERROR(__xludf.DUMMYFUNCTION("""COMPUTED_VALUE"""),1545)</f>
        <v>1545</v>
      </c>
      <c r="J12" s="9" t="n">
        <f aca="false">IFERROR(__xludf.DUMMYFUNCTION("""COMPUTED_VALUE"""),1731.4)</f>
        <v>1731.4</v>
      </c>
      <c r="K12" s="9" t="n">
        <f aca="false">IFERROR(__xludf.DUMMYFUNCTION("""COMPUTED_VALUE"""),2011)</f>
        <v>2011</v>
      </c>
    </row>
    <row r="13" customFormat="false" ht="14.25" hidden="false" customHeight="true" outlineLevel="0" collapsed="false">
      <c r="A13" s="10" t="s">
        <v>26</v>
      </c>
      <c r="B13" s="11" t="n">
        <f aca="false">SUM(B9:B12)</f>
        <v>0</v>
      </c>
      <c r="C13" s="11" t="n">
        <f aca="false">SUM(C9:C12)</f>
        <v>0</v>
      </c>
      <c r="D13" s="11" t="n">
        <f aca="false">SUM(D9:D12)</f>
        <v>9531.2</v>
      </c>
      <c r="E13" s="11" t="n">
        <f aca="false">SUM(E9:E12)</f>
        <v>33205.6</v>
      </c>
      <c r="F13" s="11" t="n">
        <f aca="false">SUM(F9:F12)</f>
        <v>61492</v>
      </c>
      <c r="G13" s="11" t="n">
        <f aca="false">SUM(G9:G12)</f>
        <v>89163.2</v>
      </c>
      <c r="H13" s="11" t="n">
        <f aca="false">SUM(H9:H12)</f>
        <v>126057.6</v>
      </c>
      <c r="I13" s="11" t="n">
        <f aca="false">SUM(I9:I12)</f>
        <v>162952</v>
      </c>
      <c r="J13" s="11" t="n">
        <f aca="false">SUM(J9:J12)</f>
        <v>182628.4</v>
      </c>
      <c r="K13" s="11" t="n">
        <f aca="false">SUM(K9:K12)</f>
        <v>212143</v>
      </c>
    </row>
    <row r="14" customFormat="false" ht="14.25" hidden="false" customHeight="true" outlineLevel="0" collapsed="false"/>
    <row r="15" customFormat="false" ht="14.25" hidden="false" customHeight="true" outlineLevel="0" collapsed="false">
      <c r="A15" s="10" t="s">
        <v>27</v>
      </c>
      <c r="B15" s="11" t="n">
        <f aca="false">B6+B13+B22+B27</f>
        <v>6862.37310673</v>
      </c>
      <c r="C15" s="11" t="n">
        <f aca="false">C6+C13+C22+C27</f>
        <v>10849.537605</v>
      </c>
      <c r="D15" s="11" t="n">
        <f aca="false">D6+D13+D22+D27</f>
        <v>22920.8121864</v>
      </c>
      <c r="E15" s="11" t="n">
        <f aca="false">E6+E13+E22+E27</f>
        <v>50689.3495301</v>
      </c>
      <c r="F15" s="11" t="n">
        <f aca="false">F6+F13+F22+F27</f>
        <v>88247.6855279</v>
      </c>
      <c r="G15" s="11" t="n">
        <f aca="false">G6+G13+G22+G27</f>
        <v>123901.332099</v>
      </c>
      <c r="H15" s="11" t="n">
        <f aca="false">H6+H13+H22+H27</f>
        <v>170829.709169</v>
      </c>
      <c r="I15" s="11" t="n">
        <f aca="false">I6+I13+I22+I27</f>
        <v>218232.896249</v>
      </c>
      <c r="J15" s="11" t="n">
        <f aca="false">J6+J13+J22+J27</f>
        <v>246237.836987</v>
      </c>
      <c r="K15" s="11" t="n">
        <f aca="false">K6+K13+K22+K27</f>
        <v>284507.284373</v>
      </c>
    </row>
    <row r="16" customFormat="false" ht="14.25" hidden="false" customHeight="true" outlineLevel="0" collapsed="false"/>
    <row r="17" customFormat="false" ht="14.25" hidden="false" customHeight="true" outlineLevel="0" collapsed="false">
      <c r="A17" s="7" t="s">
        <v>28</v>
      </c>
      <c r="B17" s="7" t="n">
        <v>2026</v>
      </c>
      <c r="C17" s="7" t="n">
        <v>2027</v>
      </c>
      <c r="D17" s="7" t="n">
        <v>2028</v>
      </c>
      <c r="E17" s="7" t="n">
        <v>2029</v>
      </c>
      <c r="F17" s="7" t="n">
        <v>2030</v>
      </c>
      <c r="G17" s="7" t="n">
        <v>2031</v>
      </c>
      <c r="H17" s="7" t="n">
        <v>2032</v>
      </c>
      <c r="I17" s="7" t="n">
        <v>2033</v>
      </c>
      <c r="J17" s="7" t="n">
        <v>2034</v>
      </c>
      <c r="K17" s="7" t="n">
        <v>2035</v>
      </c>
    </row>
    <row r="18" customFormat="false" ht="14.25" hidden="false" customHeight="true" outlineLevel="0" collapsed="false">
      <c r="A18" s="8" t="s">
        <v>29</v>
      </c>
      <c r="B18" s="9" t="n">
        <f aca="false">IFERROR(__xludf.DUMMYFUNCTION("IMPORTRANGE(Links!$B$6,""sobrestock_sustitutos!B73:K76"")"),0)</f>
        <v>0</v>
      </c>
      <c r="C18" s="9" t="n">
        <f aca="false">IFERROR(__xludf.DUMMYFUNCTION("""COMPUTED_VALUE"""),0)</f>
        <v>0</v>
      </c>
      <c r="D18" s="9" t="n">
        <f aca="false">IFERROR(__xludf.DUMMYFUNCTION("""COMPUTED_VALUE"""),0)</f>
        <v>0</v>
      </c>
      <c r="E18" s="9" t="n">
        <f aca="false">IFERROR(__xludf.DUMMYFUNCTION("""COMPUTED_VALUE"""),0)</f>
        <v>0</v>
      </c>
      <c r="F18" s="9" t="n">
        <f aca="false">IFERROR(__xludf.DUMMYFUNCTION("""COMPUTED_VALUE"""),0)</f>
        <v>0</v>
      </c>
      <c r="G18" s="9" t="n">
        <f aca="false">IFERROR(__xludf.DUMMYFUNCTION("""COMPUTED_VALUE"""),0)</f>
        <v>0</v>
      </c>
      <c r="H18" s="9" t="n">
        <f aca="false">IFERROR(__xludf.DUMMYFUNCTION("""COMPUTED_VALUE"""),0)</f>
        <v>0</v>
      </c>
      <c r="I18" s="9" t="n">
        <f aca="false">IFERROR(__xludf.DUMMYFUNCTION("""COMPUTED_VALUE"""),0)</f>
        <v>0</v>
      </c>
      <c r="J18" s="9" t="n">
        <f aca="false">IFERROR(__xludf.DUMMYFUNCTION("""COMPUTED_VALUE"""),0)</f>
        <v>0</v>
      </c>
      <c r="K18" s="9" t="n">
        <f aca="false">IFERROR(__xludf.DUMMYFUNCTION("""COMPUTED_VALUE"""),0)</f>
        <v>0</v>
      </c>
    </row>
    <row r="19" customFormat="false" ht="14.25" hidden="false" customHeight="true" outlineLevel="0" collapsed="false">
      <c r="A19" s="8" t="s">
        <v>30</v>
      </c>
      <c r="B19" s="9" t="n">
        <f aca="false">IFERROR(__xludf.DUMMYFUNCTION("""COMPUTED_VALUE"""),3)</f>
        <v>3</v>
      </c>
      <c r="C19" s="9" t="n">
        <f aca="false">IFERROR(__xludf.DUMMYFUNCTION("""COMPUTED_VALUE"""),6.24)</f>
        <v>6.24</v>
      </c>
      <c r="D19" s="9" t="n">
        <f aca="false">IFERROR(__xludf.DUMMYFUNCTION("""COMPUTED_VALUE"""),10.72)</f>
        <v>10.72</v>
      </c>
      <c r="E19" s="9" t="n">
        <f aca="false">IFERROR(__xludf.DUMMYFUNCTION("""COMPUTED_VALUE"""),17.52)</f>
        <v>17.52</v>
      </c>
      <c r="F19" s="9" t="n">
        <f aca="false">IFERROR(__xludf.DUMMYFUNCTION("""COMPUTED_VALUE"""),18.8)</f>
        <v>18.8</v>
      </c>
      <c r="G19" s="9" t="n">
        <f aca="false">IFERROR(__xludf.DUMMYFUNCTION("""COMPUTED_VALUE"""),21.08)</f>
        <v>21.08</v>
      </c>
      <c r="H19" s="9" t="n">
        <f aca="false">IFERROR(__xludf.DUMMYFUNCTION("""COMPUTED_VALUE"""),18.44)</f>
        <v>18.44</v>
      </c>
      <c r="I19" s="9" t="n">
        <f aca="false">IFERROR(__xludf.DUMMYFUNCTION("""COMPUTED_VALUE"""),15.48)</f>
        <v>15.48</v>
      </c>
      <c r="J19" s="9" t="n">
        <f aca="false">IFERROR(__xludf.DUMMYFUNCTION("""COMPUTED_VALUE"""),14.2)</f>
        <v>14.2</v>
      </c>
      <c r="K19" s="9" t="n">
        <f aca="false">IFERROR(__xludf.DUMMYFUNCTION("""COMPUTED_VALUE"""),14.76)</f>
        <v>14.76</v>
      </c>
    </row>
    <row r="20" customFormat="false" ht="14.25" hidden="false" customHeight="true" outlineLevel="0" collapsed="false">
      <c r="A20" s="8" t="s">
        <v>31</v>
      </c>
      <c r="B20" s="9" t="n">
        <f aca="false">IFERROR(__xludf.DUMMYFUNCTION("""COMPUTED_VALUE"""),11)</f>
        <v>11</v>
      </c>
      <c r="C20" s="9" t="n">
        <f aca="false">IFERROR(__xludf.DUMMYFUNCTION("""COMPUTED_VALUE"""),33.88)</f>
        <v>33.88</v>
      </c>
      <c r="D20" s="9" t="n">
        <f aca="false">IFERROR(__xludf.DUMMYFUNCTION("""COMPUTED_VALUE"""),57.52)</f>
        <v>57.52</v>
      </c>
      <c r="E20" s="9" t="n">
        <f aca="false">IFERROR(__xludf.DUMMYFUNCTION("""COMPUTED_VALUE"""),95.84)</f>
        <v>95.84</v>
      </c>
      <c r="F20" s="9" t="n">
        <f aca="false">IFERROR(__xludf.DUMMYFUNCTION("""COMPUTED_VALUE"""),95.88)</f>
        <v>95.88</v>
      </c>
      <c r="G20" s="9" t="n">
        <f aca="false">IFERROR(__xludf.DUMMYFUNCTION("""COMPUTED_VALUE"""),109.36)</f>
        <v>109.36</v>
      </c>
      <c r="H20" s="9" t="n">
        <f aca="false">IFERROR(__xludf.DUMMYFUNCTION("""COMPUTED_VALUE"""),93.4)</f>
        <v>93.4</v>
      </c>
      <c r="I20" s="9" t="n">
        <f aca="false">IFERROR(__xludf.DUMMYFUNCTION("""COMPUTED_VALUE"""),79.6)</f>
        <v>79.6</v>
      </c>
      <c r="J20" s="9" t="n">
        <f aca="false">IFERROR(__xludf.DUMMYFUNCTION("""COMPUTED_VALUE"""),73.28)</f>
        <v>73.28</v>
      </c>
      <c r="K20" s="9" t="n">
        <f aca="false">IFERROR(__xludf.DUMMYFUNCTION("""COMPUTED_VALUE"""),78.16)</f>
        <v>78.16</v>
      </c>
    </row>
    <row r="21" customFormat="false" ht="14.25" hidden="false" customHeight="true" outlineLevel="0" collapsed="false">
      <c r="A21" s="8" t="s">
        <v>32</v>
      </c>
      <c r="B21" s="9" t="n">
        <f aca="false">IFERROR(__xludf.DUMMYFUNCTION("""COMPUTED_VALUE"""),1)</f>
        <v>1</v>
      </c>
      <c r="C21" s="9" t="n">
        <f aca="false">IFERROR(__xludf.DUMMYFUNCTION("""COMPUTED_VALUE"""),3.08)</f>
        <v>3.08</v>
      </c>
      <c r="D21" s="9" t="n">
        <f aca="false">IFERROR(__xludf.DUMMYFUNCTION("""COMPUTED_VALUE"""),4.32)</f>
        <v>4.32</v>
      </c>
      <c r="E21" s="9" t="n">
        <f aca="false">IFERROR(__xludf.DUMMYFUNCTION("""COMPUTED_VALUE"""),7.64)</f>
        <v>7.64</v>
      </c>
      <c r="F21" s="9" t="n">
        <f aca="false">IFERROR(__xludf.DUMMYFUNCTION("""COMPUTED_VALUE"""),7.2)</f>
        <v>7.2</v>
      </c>
      <c r="G21" s="9" t="n">
        <f aca="false">IFERROR(__xludf.DUMMYFUNCTION("""COMPUTED_VALUE"""),8.68)</f>
        <v>8.68</v>
      </c>
      <c r="H21" s="9" t="n">
        <f aca="false">IFERROR(__xludf.DUMMYFUNCTION("""COMPUTED_VALUE"""),6.24)</f>
        <v>6.24</v>
      </c>
      <c r="I21" s="9" t="n">
        <f aca="false">IFERROR(__xludf.DUMMYFUNCTION("""COMPUTED_VALUE"""),6.56)</f>
        <v>6.56</v>
      </c>
      <c r="J21" s="9" t="n">
        <f aca="false">IFERROR(__xludf.DUMMYFUNCTION("""COMPUTED_VALUE"""),4.88)</f>
        <v>4.88</v>
      </c>
      <c r="K21" s="9" t="n">
        <f aca="false">IFERROR(__xludf.DUMMYFUNCTION("""COMPUTED_VALUE"""),6.04)</f>
        <v>6.04</v>
      </c>
    </row>
    <row r="22" customFormat="false" ht="14.25" hidden="false" customHeight="true" outlineLevel="0" collapsed="false">
      <c r="A22" s="10" t="s">
        <v>33</v>
      </c>
      <c r="B22" s="11" t="n">
        <f aca="false">SUM(B18:B21)</f>
        <v>15</v>
      </c>
      <c r="C22" s="11" t="n">
        <f aca="false">SUM(C18:C21)</f>
        <v>43.2</v>
      </c>
      <c r="D22" s="11" t="n">
        <f aca="false">SUM(D18:D21)</f>
        <v>72.56</v>
      </c>
      <c r="E22" s="11" t="n">
        <f aca="false">SUM(E18:E21)</f>
        <v>121</v>
      </c>
      <c r="F22" s="11" t="n">
        <f aca="false">SUM(F18:F21)</f>
        <v>121.88</v>
      </c>
      <c r="G22" s="11" t="n">
        <f aca="false">SUM(G18:G21)</f>
        <v>139.12</v>
      </c>
      <c r="H22" s="11" t="n">
        <f aca="false">SUM(H18:H21)</f>
        <v>118.08</v>
      </c>
      <c r="I22" s="11" t="n">
        <f aca="false">SUM(I18:I21)</f>
        <v>101.64</v>
      </c>
      <c r="J22" s="11" t="n">
        <f aca="false">SUM(J18:J21)</f>
        <v>92.36</v>
      </c>
      <c r="K22" s="11" t="n">
        <f aca="false">SUM(K18:K21)</f>
        <v>98.96</v>
      </c>
    </row>
    <row r="23" customFormat="false" ht="14.25" hidden="false" customHeight="true" outlineLevel="0" collapsed="false">
      <c r="A23" s="8" t="s">
        <v>34</v>
      </c>
      <c r="B23" s="9" t="n">
        <f aca="false">IFERROR(__xludf.DUMMYFUNCTION("IMPORTRANGE(Links!$B$5,""sobrestock_sustitutos!B73:K76"")"),0)</f>
        <v>0</v>
      </c>
      <c r="C23" s="9" t="n">
        <f aca="false">IFERROR(__xludf.DUMMYFUNCTION("""COMPUTED_VALUE"""),0)</f>
        <v>0</v>
      </c>
      <c r="D23" s="9" t="n">
        <f aca="false">IFERROR(__xludf.DUMMYFUNCTION("""COMPUTED_VALUE"""),0)</f>
        <v>0</v>
      </c>
      <c r="E23" s="9" t="n">
        <f aca="false">IFERROR(__xludf.DUMMYFUNCTION("""COMPUTED_VALUE"""),0)</f>
        <v>0</v>
      </c>
      <c r="F23" s="9" t="n">
        <f aca="false">IFERROR(__xludf.DUMMYFUNCTION("""COMPUTED_VALUE"""),0)</f>
        <v>0</v>
      </c>
      <c r="G23" s="9" t="n">
        <f aca="false">IFERROR(__xludf.DUMMYFUNCTION("""COMPUTED_VALUE"""),0)</f>
        <v>0</v>
      </c>
      <c r="H23" s="9" t="n">
        <f aca="false">IFERROR(__xludf.DUMMYFUNCTION("""COMPUTED_VALUE"""),0)</f>
        <v>0</v>
      </c>
      <c r="I23" s="9" t="n">
        <f aca="false">IFERROR(__xludf.DUMMYFUNCTION("""COMPUTED_VALUE"""),0)</f>
        <v>0</v>
      </c>
      <c r="J23" s="9" t="n">
        <f aca="false">IFERROR(__xludf.DUMMYFUNCTION("""COMPUTED_VALUE"""),0)</f>
        <v>0</v>
      </c>
      <c r="K23" s="9" t="n">
        <f aca="false">IFERROR(__xludf.DUMMYFUNCTION("""COMPUTED_VALUE"""),0)</f>
        <v>0</v>
      </c>
    </row>
    <row r="24" customFormat="false" ht="14.25" hidden="false" customHeight="true" outlineLevel="0" collapsed="false">
      <c r="A24" s="8" t="s">
        <v>35</v>
      </c>
      <c r="B24" s="9" t="n">
        <f aca="false">IFERROR(__xludf.DUMMYFUNCTION("""COMPUTED_VALUE"""),4)</f>
        <v>4</v>
      </c>
      <c r="C24" s="9" t="n">
        <f aca="false">IFERROR(__xludf.DUMMYFUNCTION("""COMPUTED_VALUE"""),11.32)</f>
        <v>11.32</v>
      </c>
      <c r="D24" s="9" t="n">
        <f aca="false">IFERROR(__xludf.DUMMYFUNCTION("""COMPUTED_VALUE"""),20.2)</f>
        <v>20.2</v>
      </c>
      <c r="E24" s="9" t="n">
        <f aca="false">IFERROR(__xludf.DUMMYFUNCTION("""COMPUTED_VALUE"""),30.72)</f>
        <v>30.72</v>
      </c>
      <c r="F24" s="9" t="n">
        <f aca="false">IFERROR(__xludf.DUMMYFUNCTION("""COMPUTED_VALUE"""),32.96)</f>
        <v>32.96</v>
      </c>
      <c r="G24" s="9" t="n">
        <f aca="false">IFERROR(__xludf.DUMMYFUNCTION("""COMPUTED_VALUE"""),36.2)</f>
        <v>36.2</v>
      </c>
      <c r="H24" s="9" t="n">
        <f aca="false">IFERROR(__xludf.DUMMYFUNCTION("""COMPUTED_VALUE"""),33.52)</f>
        <v>33.52</v>
      </c>
      <c r="I24" s="9" t="n">
        <f aca="false">IFERROR(__xludf.DUMMYFUNCTION("""COMPUTED_VALUE"""),27.44)</f>
        <v>27.44</v>
      </c>
      <c r="J24" s="9" t="n">
        <f aca="false">IFERROR(__xludf.DUMMYFUNCTION("""COMPUTED_VALUE"""),25.72)</f>
        <v>25.72</v>
      </c>
      <c r="K24" s="9" t="n">
        <f aca="false">IFERROR(__xludf.DUMMYFUNCTION("""COMPUTED_VALUE"""),26.76)</f>
        <v>26.76</v>
      </c>
    </row>
    <row r="25" customFormat="false" ht="14.25" hidden="false" customHeight="true" outlineLevel="0" collapsed="false">
      <c r="A25" s="8" t="s">
        <v>36</v>
      </c>
      <c r="B25" s="9" t="n">
        <f aca="false">IFERROR(__xludf.DUMMYFUNCTION("""COMPUTED_VALUE"""),20)</f>
        <v>20</v>
      </c>
      <c r="C25" s="9" t="n">
        <f aca="false">IFERROR(__xludf.DUMMYFUNCTION("""COMPUTED_VALUE"""),59.6)</f>
        <v>59.6</v>
      </c>
      <c r="D25" s="9" t="n">
        <f aca="false">IFERROR(__xludf.DUMMYFUNCTION("""COMPUTED_VALUE"""),103.24)</f>
        <v>103.24</v>
      </c>
      <c r="E25" s="9" t="n">
        <f aca="false">IFERROR(__xludf.DUMMYFUNCTION("""COMPUTED_VALUE"""),170)</f>
        <v>170</v>
      </c>
      <c r="F25" s="9" t="n">
        <f aca="false">IFERROR(__xludf.DUMMYFUNCTION("""COMPUTED_VALUE"""),172.48)</f>
        <v>172.48</v>
      </c>
      <c r="G25" s="9" t="n">
        <f aca="false">IFERROR(__xludf.DUMMYFUNCTION("""COMPUTED_VALUE"""),195.16)</f>
        <v>195.16</v>
      </c>
      <c r="H25" s="9" t="n">
        <f aca="false">IFERROR(__xludf.DUMMYFUNCTION("""COMPUTED_VALUE"""),169.72)</f>
        <v>169.72</v>
      </c>
      <c r="I25" s="9" t="n">
        <f aca="false">IFERROR(__xludf.DUMMYFUNCTION("""COMPUTED_VALUE"""),141.24)</f>
        <v>141.24</v>
      </c>
      <c r="J25" s="9" t="n">
        <f aca="false">IFERROR(__xludf.DUMMYFUNCTION("""COMPUTED_VALUE"""),132.72)</f>
        <v>132.72</v>
      </c>
      <c r="K25" s="9" t="n">
        <f aca="false">IFERROR(__xludf.DUMMYFUNCTION("""COMPUTED_VALUE"""),139)</f>
        <v>139</v>
      </c>
    </row>
    <row r="26" customFormat="false" ht="14.25" hidden="false" customHeight="true" outlineLevel="0" collapsed="false">
      <c r="A26" s="8" t="s">
        <v>37</v>
      </c>
      <c r="B26" s="9" t="n">
        <f aca="false">IFERROR(__xludf.DUMMYFUNCTION("""COMPUTED_VALUE"""),2)</f>
        <v>2</v>
      </c>
      <c r="C26" s="9" t="n">
        <f aca="false">IFERROR(__xludf.DUMMYFUNCTION("""COMPUTED_VALUE"""),4.16)</f>
        <v>4.16</v>
      </c>
      <c r="D26" s="9" t="n">
        <f aca="false">IFERROR(__xludf.DUMMYFUNCTION("""COMPUTED_VALUE"""),8.48)</f>
        <v>8.48</v>
      </c>
      <c r="E26" s="9" t="n">
        <f aca="false">IFERROR(__xludf.DUMMYFUNCTION("""COMPUTED_VALUE"""),13.12)</f>
        <v>13.12</v>
      </c>
      <c r="F26" s="9" t="n">
        <f aca="false">IFERROR(__xludf.DUMMYFUNCTION("""COMPUTED_VALUE"""),13.08)</f>
        <v>13.08</v>
      </c>
      <c r="G26" s="9" t="n">
        <f aca="false">IFERROR(__xludf.DUMMYFUNCTION("""COMPUTED_VALUE"""),15.96)</f>
        <v>15.96</v>
      </c>
      <c r="H26" s="9" t="n">
        <f aca="false">IFERROR(__xludf.DUMMYFUNCTION("""COMPUTED_VALUE"""),11)</f>
        <v>11</v>
      </c>
      <c r="I26" s="9" t="n">
        <f aca="false">IFERROR(__xludf.DUMMYFUNCTION("""COMPUTED_VALUE"""),10.56)</f>
        <v>10.56</v>
      </c>
      <c r="J26" s="9" t="n">
        <f aca="false">IFERROR(__xludf.DUMMYFUNCTION("""COMPUTED_VALUE"""),10.04)</f>
        <v>10.04</v>
      </c>
      <c r="K26" s="9" t="n">
        <f aca="false">IFERROR(__xludf.DUMMYFUNCTION("""COMPUTED_VALUE"""),10.44)</f>
        <v>10.44</v>
      </c>
    </row>
    <row r="27" customFormat="false" ht="14.25" hidden="false" customHeight="true" outlineLevel="0" collapsed="false">
      <c r="A27" s="10" t="s">
        <v>38</v>
      </c>
      <c r="B27" s="11" t="n">
        <f aca="false">SUM(B23:B26)</f>
        <v>26</v>
      </c>
      <c r="C27" s="11" t="n">
        <f aca="false">SUM(C23:C26)</f>
        <v>75.08</v>
      </c>
      <c r="D27" s="11" t="n">
        <f aca="false">SUM(D23:D26)</f>
        <v>131.92</v>
      </c>
      <c r="E27" s="11" t="n">
        <f aca="false">SUM(E23:E26)</f>
        <v>213.84</v>
      </c>
      <c r="F27" s="11" t="n">
        <f aca="false">SUM(F23:F26)</f>
        <v>218.52</v>
      </c>
      <c r="G27" s="11" t="n">
        <f aca="false">SUM(G23:G26)</f>
        <v>247.32</v>
      </c>
      <c r="H27" s="11" t="n">
        <f aca="false">SUM(H23:H26)</f>
        <v>214.24</v>
      </c>
      <c r="I27" s="11" t="n">
        <f aca="false">SUM(I23:I26)</f>
        <v>179.24</v>
      </c>
      <c r="J27" s="11" t="n">
        <f aca="false">SUM(J23:J26)</f>
        <v>168.48</v>
      </c>
      <c r="K27" s="11" t="n">
        <f aca="false">SUM(K23:K26)</f>
        <v>176.2</v>
      </c>
    </row>
    <row r="28" customFormat="false" ht="14.25" hidden="false" customHeight="true" outlineLevel="0" collapsed="false">
      <c r="A28" s="12" t="s">
        <v>39</v>
      </c>
    </row>
    <row r="29" customFormat="false" ht="14.25" hidden="false" customHeight="true" outlineLevel="0" collapsed="false"/>
    <row r="30" customFormat="false" ht="14.25" hidden="false" customHeight="true" outlineLevel="0" collapsed="false"/>
    <row r="31" customFormat="false" ht="14.25" hidden="false" customHeight="true" outlineLevel="0" collapsed="false"/>
    <row r="32" customFormat="false" ht="14.25" hidden="false" customHeight="true" outlineLevel="0" collapsed="false"/>
    <row r="33" customFormat="false" ht="14.25" hidden="false" customHeight="true" outlineLevel="0" collapsed="false"/>
    <row r="34" customFormat="false" ht="14.25" hidden="false" customHeight="true" outlineLevel="0" collapsed="false"/>
    <row r="35" customFormat="false" ht="14.25" hidden="false" customHeight="true" outlineLevel="0" collapsed="false"/>
    <row r="36" customFormat="false" ht="14.25" hidden="false" customHeight="true" outlineLevel="0" collapsed="false"/>
    <row r="37" customFormat="false" ht="14.25" hidden="false" customHeight="true" outlineLevel="0" collapsed="false"/>
    <row r="38" customFormat="false" ht="14.25" hidden="false" customHeight="true" outlineLevel="0" collapsed="false"/>
    <row r="39" customFormat="false" ht="14.25" hidden="false" customHeight="true" outlineLevel="0" collapsed="false"/>
    <row r="40" customFormat="false" ht="14.25" hidden="false" customHeight="true" outlineLevel="0" collapsed="false"/>
    <row r="41" customFormat="false" ht="14.25" hidden="false" customHeight="true" outlineLevel="0" collapsed="false"/>
    <row r="42" customFormat="false" ht="14.25" hidden="false" customHeight="true" outlineLevel="0" collapsed="false"/>
    <row r="43" customFormat="false" ht="14.25" hidden="false" customHeight="true" outlineLevel="0" collapsed="false"/>
    <row r="44" customFormat="false" ht="14.25" hidden="false" customHeight="true" outlineLevel="0" collapsed="false"/>
    <row r="45" customFormat="false" ht="14.25" hidden="false" customHeight="true" outlineLevel="0" collapsed="false"/>
    <row r="46" customFormat="false" ht="14.25" hidden="false" customHeight="true" outlineLevel="0" collapsed="false"/>
    <row r="47" customFormat="false" ht="14.25" hidden="false" customHeight="true" outlineLevel="0" collapsed="false"/>
    <row r="48" customFormat="false" ht="14.25" hidden="false" customHeight="true" outlineLevel="0" collapsed="false"/>
    <row r="49" customFormat="false" ht="14.25" hidden="false" customHeight="true" outlineLevel="0" collapsed="false"/>
    <row r="50" customFormat="false" ht="14.25" hidden="false" customHeight="true" outlineLevel="0" collapsed="false"/>
    <row r="51" customFormat="false" ht="14.25" hidden="false" customHeight="true" outlineLevel="0" collapsed="false"/>
    <row r="52" customFormat="false" ht="14.25" hidden="false" customHeight="true" outlineLevel="0" collapsed="false"/>
    <row r="53" customFormat="false" ht="14.25" hidden="false" customHeight="true" outlineLevel="0" collapsed="false"/>
    <row r="54" customFormat="false" ht="14.25" hidden="false" customHeight="true" outlineLevel="0" collapsed="false"/>
    <row r="55" customFormat="false" ht="14.25" hidden="false" customHeight="true" outlineLevel="0" collapsed="false"/>
    <row r="56" customFormat="false" ht="14.25" hidden="false" customHeight="true" outlineLevel="0" collapsed="false"/>
    <row r="57" customFormat="false" ht="14.25" hidden="false" customHeight="true" outlineLevel="0" collapsed="false"/>
    <row r="58" customFormat="false" ht="14.25" hidden="false" customHeight="true" outlineLevel="0" collapsed="false"/>
    <row r="59" customFormat="false" ht="14.25" hidden="false" customHeight="true" outlineLevel="0" collapsed="false"/>
    <row r="60" customFormat="false" ht="14.25" hidden="false" customHeight="true" outlineLevel="0" collapsed="false"/>
    <row r="61" customFormat="false" ht="14.25" hidden="false" customHeight="true" outlineLevel="0" collapsed="false"/>
    <row r="62" customFormat="false" ht="14.25" hidden="false" customHeight="true" outlineLevel="0" collapsed="false"/>
    <row r="63" customFormat="false" ht="14.25" hidden="false" customHeight="true" outlineLevel="0" collapsed="false"/>
    <row r="64" customFormat="false" ht="14.25" hidden="false" customHeight="true" outlineLevel="0" collapsed="false"/>
    <row r="65" customFormat="false" ht="14.25" hidden="false" customHeight="true" outlineLevel="0" collapsed="false"/>
    <row r="66" customFormat="false" ht="14.25" hidden="false" customHeight="true" outlineLevel="0" collapsed="false"/>
    <row r="67" customFormat="false" ht="14.25" hidden="false" customHeight="true" outlineLevel="0" collapsed="false"/>
    <row r="68" customFormat="false" ht="14.25" hidden="false" customHeight="true" outlineLevel="0" collapsed="false"/>
    <row r="69" customFormat="false" ht="14.25" hidden="false" customHeight="true" outlineLevel="0" collapsed="false"/>
    <row r="70" customFormat="false" ht="14.25" hidden="false" customHeight="true" outlineLevel="0" collapsed="false"/>
    <row r="71" customFormat="false" ht="14.25" hidden="false" customHeight="true" outlineLevel="0" collapsed="false"/>
    <row r="72" customFormat="false" ht="14.25" hidden="false" customHeight="true" outlineLevel="0" collapsed="false"/>
    <row r="73" customFormat="false" ht="14.25" hidden="false" customHeight="true" outlineLevel="0" collapsed="false"/>
    <row r="74" customFormat="false" ht="14.25" hidden="false" customHeight="true" outlineLevel="0" collapsed="false"/>
    <row r="75" customFormat="false" ht="14.25" hidden="false" customHeight="true" outlineLevel="0" collapsed="false"/>
    <row r="76" customFormat="false" ht="14.25" hidden="false" customHeight="true" outlineLevel="0" collapsed="false"/>
    <row r="77" customFormat="false" ht="14.25" hidden="false" customHeight="true" outlineLevel="0" collapsed="false"/>
    <row r="78" customFormat="false" ht="14.25" hidden="false" customHeight="true" outlineLevel="0" collapsed="false"/>
    <row r="79" customFormat="false" ht="14.25" hidden="false" customHeight="true" outlineLevel="0" collapsed="false"/>
    <row r="80" customFormat="false" ht="14.25" hidden="false" customHeight="true" outlineLevel="0" collapsed="false"/>
    <row r="81" customFormat="false" ht="14.25" hidden="false" customHeight="true" outlineLevel="0" collapsed="false"/>
    <row r="82" customFormat="false" ht="14.25" hidden="false" customHeight="true" outlineLevel="0" collapsed="false"/>
    <row r="83" customFormat="false" ht="14.25" hidden="false" customHeight="true" outlineLevel="0" collapsed="false"/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21.14"/>
    <col collapsed="false" customWidth="true" hidden="false" outlineLevel="0" max="2" min="2" style="1" width="19.43"/>
    <col collapsed="false" customWidth="true" hidden="false" outlineLevel="0" max="3" min="3" style="1" width="40"/>
    <col collapsed="false" customWidth="true" hidden="false" outlineLevel="0" max="6" min="4" style="1" width="18"/>
    <col collapsed="false" customWidth="true" hidden="false" outlineLevel="0" max="7" min="7" style="1" width="16.71"/>
    <col collapsed="false" customWidth="true" hidden="false" outlineLevel="0" max="14" min="8" style="1" width="11"/>
    <col collapsed="false" customWidth="true" hidden="false" outlineLevel="0" max="15" min="15" style="1" width="54.86"/>
    <col collapsed="false" customWidth="true" hidden="false" outlineLevel="0" max="26" min="16" style="1" width="8.57"/>
  </cols>
  <sheetData>
    <row r="1" customFormat="false" ht="14.25" hidden="false" customHeight="true" outlineLevel="0" collapsed="false">
      <c r="A1" s="7" t="s">
        <v>40</v>
      </c>
      <c r="B1" s="7" t="s">
        <v>41</v>
      </c>
      <c r="C1" s="7" t="s">
        <v>42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customFormat="false" ht="14.25" hidden="false" customHeight="true" outlineLevel="0" collapsed="false">
      <c r="A2" s="14" t="s">
        <v>43</v>
      </c>
      <c r="B2" s="15" t="n">
        <v>20</v>
      </c>
      <c r="C2" s="14" t="s">
        <v>44</v>
      </c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customFormat="false" ht="14.25" hidden="false" customHeight="true" outlineLevel="0" collapsed="false">
      <c r="A3" s="14" t="s">
        <v>45</v>
      </c>
      <c r="B3" s="16" t="n">
        <v>8</v>
      </c>
      <c r="C3" s="14" t="s">
        <v>46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customFormat="false" ht="14.25" hidden="false" customHeight="true" outlineLevel="0" collapsed="false">
      <c r="A4" s="14" t="s">
        <v>47</v>
      </c>
      <c r="B4" s="15" t="n">
        <v>30</v>
      </c>
      <c r="C4" s="14" t="s">
        <v>48</v>
      </c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customFormat="false" ht="14.25" hidden="false" customHeight="true" outlineLevel="0" collapsed="false">
      <c r="A5" s="14" t="s">
        <v>49</v>
      </c>
      <c r="B5" s="17" t="n">
        <f aca="false">B3-B4/60</f>
        <v>7.5</v>
      </c>
      <c r="C5" s="14" t="s">
        <v>50</v>
      </c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customFormat="false" ht="14.25" hidden="false" customHeight="true" outlineLevel="0" collapsed="false">
      <c r="A6" s="14" t="s">
        <v>51</v>
      </c>
      <c r="B6" s="15" t="n">
        <v>1</v>
      </c>
      <c r="C6" s="14" t="s">
        <v>52</v>
      </c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customFormat="false" ht="14.25" hidden="false" customHeight="true" outlineLevel="0" collapsed="false">
      <c r="A7" s="14" t="s">
        <v>53</v>
      </c>
      <c r="B7" s="16" t="n">
        <f aca="false">B2*B5*B6</f>
        <v>150</v>
      </c>
      <c r="C7" s="14" t="s">
        <v>54</v>
      </c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customFormat="false" ht="14.25" hidden="false" customHeight="true" outlineLevel="0" collapsed="false">
      <c r="A8" s="14" t="s">
        <v>55</v>
      </c>
      <c r="B8" s="18" t="n">
        <v>0.9</v>
      </c>
      <c r="C8" s="14" t="s">
        <v>56</v>
      </c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customFormat="false" ht="14.25" hidden="false" customHeight="true" outlineLevel="0" collapsed="false">
      <c r="A9" s="14" t="s">
        <v>57</v>
      </c>
      <c r="B9" s="15" t="n">
        <v>2032</v>
      </c>
      <c r="C9" s="14" t="s">
        <v>58</v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customFormat="false" ht="14.25" hidden="false" customHeight="true" outlineLevel="0" collapsed="false">
      <c r="A10" s="19" t="s">
        <v>59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customFormat="false" ht="14.25" hidden="false" customHeight="true" outlineLevel="0" collapsed="false">
      <c r="A11" s="7" t="s">
        <v>60</v>
      </c>
      <c r="B11" s="7" t="s">
        <v>61</v>
      </c>
      <c r="C11" s="7" t="s">
        <v>62</v>
      </c>
      <c r="D11" s="7" t="s">
        <v>63</v>
      </c>
      <c r="E11" s="7" t="s">
        <v>64</v>
      </c>
      <c r="F11" s="7" t="s">
        <v>65</v>
      </c>
      <c r="G11" s="7" t="s">
        <v>66</v>
      </c>
      <c r="H11" s="7" t="s">
        <v>67</v>
      </c>
      <c r="I11" s="7" t="s">
        <v>68</v>
      </c>
      <c r="J11" s="7" t="s">
        <v>69</v>
      </c>
      <c r="K11" s="7" t="s">
        <v>70</v>
      </c>
      <c r="L11" s="7" t="s">
        <v>71</v>
      </c>
      <c r="M11" s="7" t="s">
        <v>72</v>
      </c>
      <c r="N11" s="7" t="s">
        <v>73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customFormat="false" ht="14.25" hidden="false" customHeight="true" outlineLevel="0" collapsed="false">
      <c r="A12" s="14" t="s">
        <v>74</v>
      </c>
      <c r="B12" s="20" t="n">
        <f aca="false">IFERROR(__xludf.DUMMYFUNCTION("IMPORTRANGE(Links!$B$7,""ESTACIONALIDAD!C4:N4"")"),0.12)</f>
        <v>0.12</v>
      </c>
      <c r="C12" s="20" t="n">
        <f aca="false">IFERROR(__xludf.DUMMYFUNCTION("""COMPUTED_VALUE"""),0.09)</f>
        <v>0.09</v>
      </c>
      <c r="D12" s="20" t="n">
        <f aca="false">IFERROR(__xludf.DUMMYFUNCTION("""COMPUTED_VALUE"""),0.08)</f>
        <v>0.08</v>
      </c>
      <c r="E12" s="20" t="n">
        <f aca="false">IFERROR(__xludf.DUMMYFUNCTION("""COMPUTED_VALUE"""),0.075)</f>
        <v>0.075</v>
      </c>
      <c r="F12" s="20" t="n">
        <f aca="false">IFERROR(__xludf.DUMMYFUNCTION("""COMPUTED_VALUE"""),0.07)</f>
        <v>0.07</v>
      </c>
      <c r="G12" s="20" t="n">
        <f aca="false">IFERROR(__xludf.DUMMYFUNCTION("""COMPUTED_VALUE"""),0.07)</f>
        <v>0.07</v>
      </c>
      <c r="H12" s="20" t="n">
        <f aca="false">IFERROR(__xludf.DUMMYFUNCTION("""COMPUTED_VALUE"""),0.075)</f>
        <v>0.075</v>
      </c>
      <c r="I12" s="20" t="n">
        <f aca="false">IFERROR(__xludf.DUMMYFUNCTION("""COMPUTED_VALUE"""),0.075)</f>
        <v>0.075</v>
      </c>
      <c r="J12" s="20" t="n">
        <f aca="false">IFERROR(__xludf.DUMMYFUNCTION("""COMPUTED_VALUE"""),0.075)</f>
        <v>0.075</v>
      </c>
      <c r="K12" s="20" t="n">
        <f aca="false">IFERROR(__xludf.DUMMYFUNCTION("""COMPUTED_VALUE"""),0.075)</f>
        <v>0.075</v>
      </c>
      <c r="L12" s="20" t="n">
        <f aca="false">IFERROR(__xludf.DUMMYFUNCTION("""COMPUTED_VALUE"""),0.075)</f>
        <v>0.075</v>
      </c>
      <c r="M12" s="20" t="n">
        <f aca="false">IFERROR(__xludf.DUMMYFUNCTION("""COMPUTED_VALUE"""),0.12)</f>
        <v>0.12</v>
      </c>
      <c r="N12" s="20" t="n">
        <f aca="false">SUM(B12:M12)</f>
        <v>1</v>
      </c>
      <c r="O12" s="14" t="s">
        <v>75</v>
      </c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customFormat="false" ht="14.25" hidden="false" customHeight="true" outlineLevel="0" collapsed="false">
      <c r="A13" s="14" t="s">
        <v>76</v>
      </c>
      <c r="B13" s="20" t="n">
        <f aca="false">IFERROR(__xludf.DUMMYFUNCTION("IMPORTRANGE(Links!$B$7,""ESTACIONALIDAD!C5:N5"")"),0.1)</f>
        <v>0.1</v>
      </c>
      <c r="C13" s="20" t="n">
        <f aca="false">IFERROR(__xludf.DUMMYFUNCTION("""COMPUTED_VALUE"""),0.08)</f>
        <v>0.08</v>
      </c>
      <c r="D13" s="20" t="n">
        <f aca="false">IFERROR(__xludf.DUMMYFUNCTION("""COMPUTED_VALUE"""),0.085)</f>
        <v>0.085</v>
      </c>
      <c r="E13" s="20" t="n">
        <f aca="false">IFERROR(__xludf.DUMMYFUNCTION("""COMPUTED_VALUE"""),0.085)</f>
        <v>0.085</v>
      </c>
      <c r="F13" s="20" t="n">
        <f aca="false">IFERROR(__xludf.DUMMYFUNCTION("""COMPUTED_VALUE"""),0.08)</f>
        <v>0.08</v>
      </c>
      <c r="G13" s="20" t="n">
        <f aca="false">IFERROR(__xludf.DUMMYFUNCTION("""COMPUTED_VALUE"""),0.075)</f>
        <v>0.075</v>
      </c>
      <c r="H13" s="20" t="n">
        <f aca="false">IFERROR(__xludf.DUMMYFUNCTION("""COMPUTED_VALUE"""),0.08)</f>
        <v>0.08</v>
      </c>
      <c r="I13" s="20" t="n">
        <f aca="false">IFERROR(__xludf.DUMMYFUNCTION("""COMPUTED_VALUE"""),0.08)</f>
        <v>0.08</v>
      </c>
      <c r="J13" s="20" t="n">
        <f aca="false">IFERROR(__xludf.DUMMYFUNCTION("""COMPUTED_VALUE"""),0.08)</f>
        <v>0.08</v>
      </c>
      <c r="K13" s="20" t="n">
        <f aca="false">IFERROR(__xludf.DUMMYFUNCTION("""COMPUTED_VALUE"""),0.075)</f>
        <v>0.075</v>
      </c>
      <c r="L13" s="20" t="n">
        <f aca="false">IFERROR(__xludf.DUMMYFUNCTION("""COMPUTED_VALUE"""),0.07)</f>
        <v>0.07</v>
      </c>
      <c r="M13" s="20" t="n">
        <f aca="false">IFERROR(__xludf.DUMMYFUNCTION("""COMPUTED_VALUE"""),0.11)</f>
        <v>0.11</v>
      </c>
      <c r="N13" s="20" t="n">
        <f aca="false">SUM(B13:M13)</f>
        <v>1</v>
      </c>
      <c r="O13" s="14" t="s">
        <v>77</v>
      </c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customFormat="false" ht="14.25" hidden="false" customHeight="true" outlineLevel="0" collapsed="false">
      <c r="A14" s="14" t="s">
        <v>78</v>
      </c>
      <c r="B14" s="20" t="n">
        <f aca="false">IFERROR(__xludf.DUMMYFUNCTION("IMPORTRANGE(Links!$B$7,""ESTACIONALIDAD!C5:N5"")"),0.1)</f>
        <v>0.1</v>
      </c>
      <c r="C14" s="20" t="n">
        <f aca="false">IFERROR(__xludf.DUMMYFUNCTION("""COMPUTED_VALUE"""),0.08)</f>
        <v>0.08</v>
      </c>
      <c r="D14" s="20" t="n">
        <f aca="false">IFERROR(__xludf.DUMMYFUNCTION("""COMPUTED_VALUE"""),0.085)</f>
        <v>0.085</v>
      </c>
      <c r="E14" s="20" t="n">
        <f aca="false">IFERROR(__xludf.DUMMYFUNCTION("""COMPUTED_VALUE"""),0.085)</f>
        <v>0.085</v>
      </c>
      <c r="F14" s="20" t="n">
        <f aca="false">IFERROR(__xludf.DUMMYFUNCTION("""COMPUTED_VALUE"""),0.08)</f>
        <v>0.08</v>
      </c>
      <c r="G14" s="20" t="n">
        <f aca="false">IFERROR(__xludf.DUMMYFUNCTION("""COMPUTED_VALUE"""),0.075)</f>
        <v>0.075</v>
      </c>
      <c r="H14" s="20" t="n">
        <f aca="false">IFERROR(__xludf.DUMMYFUNCTION("""COMPUTED_VALUE"""),0.08)</f>
        <v>0.08</v>
      </c>
      <c r="I14" s="20" t="n">
        <f aca="false">IFERROR(__xludf.DUMMYFUNCTION("""COMPUTED_VALUE"""),0.08)</f>
        <v>0.08</v>
      </c>
      <c r="J14" s="20" t="n">
        <f aca="false">IFERROR(__xludf.DUMMYFUNCTION("""COMPUTED_VALUE"""),0.08)</f>
        <v>0.08</v>
      </c>
      <c r="K14" s="20" t="n">
        <f aca="false">IFERROR(__xludf.DUMMYFUNCTION("""COMPUTED_VALUE"""),0.075)</f>
        <v>0.075</v>
      </c>
      <c r="L14" s="20" t="n">
        <f aca="false">IFERROR(__xludf.DUMMYFUNCTION("""COMPUTED_VALUE"""),0.07)</f>
        <v>0.07</v>
      </c>
      <c r="M14" s="20" t="n">
        <f aca="false">IFERROR(__xludf.DUMMYFUNCTION("""COMPUTED_VALUE"""),0.11)</f>
        <v>0.11</v>
      </c>
      <c r="N14" s="20" t="n">
        <f aca="false">SUM(B14:M14)</f>
        <v>1</v>
      </c>
      <c r="O14" s="13" t="s">
        <v>77</v>
      </c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customFormat="false" ht="14.25" hidden="false" customHeight="true" outlineLevel="0" collapsed="false">
      <c r="A15" s="14" t="s">
        <v>79</v>
      </c>
      <c r="B15" s="20" t="n">
        <f aca="false">IFERROR(__xludf.DUMMYFUNCTION("IMPORTRANGE(Links!$B$7,""ESTACIONALIDAD!C5:N5"")"),0.1)</f>
        <v>0.1</v>
      </c>
      <c r="C15" s="20" t="n">
        <f aca="false">IFERROR(__xludf.DUMMYFUNCTION("""COMPUTED_VALUE"""),0.08)</f>
        <v>0.08</v>
      </c>
      <c r="D15" s="20" t="n">
        <f aca="false">IFERROR(__xludf.DUMMYFUNCTION("""COMPUTED_VALUE"""),0.085)</f>
        <v>0.085</v>
      </c>
      <c r="E15" s="20" t="n">
        <f aca="false">IFERROR(__xludf.DUMMYFUNCTION("""COMPUTED_VALUE"""),0.085)</f>
        <v>0.085</v>
      </c>
      <c r="F15" s="20" t="n">
        <f aca="false">IFERROR(__xludf.DUMMYFUNCTION("""COMPUTED_VALUE"""),0.08)</f>
        <v>0.08</v>
      </c>
      <c r="G15" s="20" t="n">
        <f aca="false">IFERROR(__xludf.DUMMYFUNCTION("""COMPUTED_VALUE"""),0.075)</f>
        <v>0.075</v>
      </c>
      <c r="H15" s="20" t="n">
        <f aca="false">IFERROR(__xludf.DUMMYFUNCTION("""COMPUTED_VALUE"""),0.08)</f>
        <v>0.08</v>
      </c>
      <c r="I15" s="20" t="n">
        <f aca="false">IFERROR(__xludf.DUMMYFUNCTION("""COMPUTED_VALUE"""),0.08)</f>
        <v>0.08</v>
      </c>
      <c r="J15" s="20" t="n">
        <f aca="false">IFERROR(__xludf.DUMMYFUNCTION("""COMPUTED_VALUE"""),0.08)</f>
        <v>0.08</v>
      </c>
      <c r="K15" s="20" t="n">
        <f aca="false">IFERROR(__xludf.DUMMYFUNCTION("""COMPUTED_VALUE"""),0.075)</f>
        <v>0.075</v>
      </c>
      <c r="L15" s="20" t="n">
        <f aca="false">IFERROR(__xludf.DUMMYFUNCTION("""COMPUTED_VALUE"""),0.07)</f>
        <v>0.07</v>
      </c>
      <c r="M15" s="20" t="n">
        <f aca="false">IFERROR(__xludf.DUMMYFUNCTION("""COMPUTED_VALUE"""),0.11)</f>
        <v>0.11</v>
      </c>
      <c r="N15" s="20" t="n">
        <f aca="false">SUM(B15:M15)</f>
        <v>1</v>
      </c>
      <c r="O15" s="13" t="s">
        <v>77</v>
      </c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customFormat="false" ht="14.2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customFormat="false" ht="14.25" hidden="false" customHeight="true" outlineLevel="0" collapsed="false">
      <c r="A17" s="19" t="s">
        <v>80</v>
      </c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customFormat="false" ht="45" hidden="false" customHeight="true" outlineLevel="0" collapsed="false">
      <c r="A18" s="21" t="s">
        <v>81</v>
      </c>
      <c r="B18" s="21" t="s">
        <v>82</v>
      </c>
      <c r="C18" s="21" t="s">
        <v>83</v>
      </c>
      <c r="D18" s="21" t="s">
        <v>74</v>
      </c>
      <c r="E18" s="21" t="s">
        <v>76</v>
      </c>
      <c r="F18" s="21" t="s">
        <v>78</v>
      </c>
      <c r="G18" s="21" t="s">
        <v>79</v>
      </c>
      <c r="H18" s="21" t="s">
        <v>84</v>
      </c>
      <c r="I18" s="21" t="s">
        <v>85</v>
      </c>
      <c r="J18" s="21" t="s">
        <v>86</v>
      </c>
      <c r="K18" s="21" t="s">
        <v>87</v>
      </c>
      <c r="L18" s="21" t="s">
        <v>88</v>
      </c>
      <c r="M18" s="21" t="s">
        <v>89</v>
      </c>
      <c r="N18" s="21" t="s">
        <v>90</v>
      </c>
      <c r="O18" s="21" t="s">
        <v>91</v>
      </c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customFormat="false" ht="14.25" hidden="false" customHeight="true" outlineLevel="0" collapsed="false">
      <c r="A19" s="22" t="n">
        <v>1</v>
      </c>
      <c r="B19" s="23" t="s">
        <v>92</v>
      </c>
      <c r="C19" s="22" t="s">
        <v>93</v>
      </c>
      <c r="D19" s="22" t="n">
        <v>1</v>
      </c>
      <c r="E19" s="22" t="n">
        <v>1</v>
      </c>
      <c r="F19" s="22" t="n">
        <v>1</v>
      </c>
      <c r="G19" s="22" t="n">
        <v>1</v>
      </c>
      <c r="H19" s="22" t="s">
        <v>94</v>
      </c>
      <c r="I19" s="22" t="n">
        <v>1</v>
      </c>
      <c r="J19" s="24" t="n">
        <v>1</v>
      </c>
      <c r="K19" s="25" t="n">
        <v>60</v>
      </c>
      <c r="L19" s="26" t="n">
        <f aca="false">F51</f>
        <v>1</v>
      </c>
      <c r="M19" s="27" t="n">
        <f aca="false">IF(K19&gt;0,3600/K19*L19,0)</f>
        <v>60</v>
      </c>
      <c r="N19" s="28" t="n">
        <f aca="false">M19*$B$7</f>
        <v>9000</v>
      </c>
      <c r="O19" s="29" t="s">
        <v>95</v>
      </c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customFormat="false" ht="14.25" hidden="false" customHeight="true" outlineLevel="0" collapsed="false">
      <c r="A20" s="22" t="n">
        <v>2</v>
      </c>
      <c r="B20" s="23" t="s">
        <v>96</v>
      </c>
      <c r="C20" s="22" t="s">
        <v>97</v>
      </c>
      <c r="D20" s="22" t="n">
        <v>0</v>
      </c>
      <c r="E20" s="22" t="n">
        <v>1</v>
      </c>
      <c r="F20" s="22" t="n">
        <v>1</v>
      </c>
      <c r="G20" s="22" t="n">
        <v>1</v>
      </c>
      <c r="H20" s="22" t="s">
        <v>94</v>
      </c>
      <c r="I20" s="22" t="n">
        <v>1</v>
      </c>
      <c r="J20" s="24" t="n">
        <v>1</v>
      </c>
      <c r="K20" s="25" t="n">
        <v>90</v>
      </c>
      <c r="L20" s="26" t="n">
        <f aca="false">F52</f>
        <v>0.993333333333333</v>
      </c>
      <c r="M20" s="27" t="n">
        <f aca="false">IF(K20&gt;0,3600/K20*L20,0)</f>
        <v>39.7333333333333</v>
      </c>
      <c r="N20" s="28" t="n">
        <f aca="false">M20*$B$7</f>
        <v>5960</v>
      </c>
      <c r="O20" s="29" t="s">
        <v>98</v>
      </c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customFormat="false" ht="14.25" hidden="false" customHeight="true" outlineLevel="0" collapsed="false">
      <c r="A21" s="22" t="n">
        <v>3</v>
      </c>
      <c r="B21" s="23" t="s">
        <v>99</v>
      </c>
      <c r="C21" s="22" t="s">
        <v>100</v>
      </c>
      <c r="D21" s="22" t="n">
        <v>1</v>
      </c>
      <c r="E21" s="22" t="n">
        <v>0</v>
      </c>
      <c r="F21" s="22" t="n">
        <v>0</v>
      </c>
      <c r="G21" s="22" t="n">
        <v>0</v>
      </c>
      <c r="H21" s="22" t="s">
        <v>94</v>
      </c>
      <c r="I21" s="22" t="n">
        <v>1</v>
      </c>
      <c r="J21" s="24" t="n">
        <v>1</v>
      </c>
      <c r="K21" s="25" t="n">
        <v>30</v>
      </c>
      <c r="L21" s="26" t="n">
        <f aca="false">F53</f>
        <v>1</v>
      </c>
      <c r="M21" s="27" t="n">
        <f aca="false">IF(K21&gt;0,3600/K21*L21,0)</f>
        <v>120</v>
      </c>
      <c r="N21" s="28" t="n">
        <f aca="false">M21*$B$7</f>
        <v>18000</v>
      </c>
      <c r="O21" s="29" t="s">
        <v>101</v>
      </c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customFormat="false" ht="14.25" hidden="false" customHeight="true" outlineLevel="0" collapsed="false">
      <c r="A22" s="22" t="n">
        <v>4</v>
      </c>
      <c r="B22" s="23" t="s">
        <v>102</v>
      </c>
      <c r="C22" s="22" t="s">
        <v>103</v>
      </c>
      <c r="D22" s="22" t="n">
        <v>1</v>
      </c>
      <c r="E22" s="22" t="n">
        <v>1</v>
      </c>
      <c r="F22" s="22" t="n">
        <v>1</v>
      </c>
      <c r="G22" s="22" t="n">
        <v>1</v>
      </c>
      <c r="H22" s="22" t="s">
        <v>94</v>
      </c>
      <c r="I22" s="22" t="n">
        <v>2</v>
      </c>
      <c r="J22" s="24" t="n">
        <v>1</v>
      </c>
      <c r="K22" s="25" t="n">
        <v>8</v>
      </c>
      <c r="L22" s="26" t="n">
        <f aca="false">F54</f>
        <v>0.68</v>
      </c>
      <c r="M22" s="27" t="n">
        <f aca="false">IF(K22&gt;0,3600/K22*L22,0)</f>
        <v>306</v>
      </c>
      <c r="N22" s="28" t="n">
        <f aca="false">M22*$B$7</f>
        <v>45900</v>
      </c>
      <c r="O22" s="29" t="s">
        <v>104</v>
      </c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customFormat="false" ht="14.25" hidden="false" customHeight="true" outlineLevel="0" collapsed="false">
      <c r="A23" s="22" t="n">
        <v>5</v>
      </c>
      <c r="B23" s="23" t="s">
        <v>105</v>
      </c>
      <c r="C23" s="22" t="s">
        <v>106</v>
      </c>
      <c r="D23" s="22" t="n">
        <v>1</v>
      </c>
      <c r="E23" s="22" t="n">
        <v>1</v>
      </c>
      <c r="F23" s="22" t="n">
        <v>1</v>
      </c>
      <c r="G23" s="22" t="n">
        <v>1</v>
      </c>
      <c r="H23" s="22" t="s">
        <v>94</v>
      </c>
      <c r="I23" s="22" t="n">
        <v>1</v>
      </c>
      <c r="J23" s="24" t="n">
        <v>1</v>
      </c>
      <c r="K23" s="25" t="n">
        <v>60</v>
      </c>
      <c r="L23" s="26" t="n">
        <f aca="false">F55</f>
        <v>1</v>
      </c>
      <c r="M23" s="27" t="n">
        <f aca="false">IF(K23&gt;0,3600/K23*L23,0)</f>
        <v>60</v>
      </c>
      <c r="N23" s="28" t="n">
        <f aca="false">M23*$B$7</f>
        <v>9000</v>
      </c>
      <c r="O23" s="29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customFormat="false" ht="14.25" hidden="false" customHeight="true" outlineLevel="0" collapsed="false">
      <c r="A24" s="22" t="n">
        <v>6</v>
      </c>
      <c r="B24" s="23" t="s">
        <v>107</v>
      </c>
      <c r="C24" s="22" t="s">
        <v>108</v>
      </c>
      <c r="D24" s="22" t="n">
        <v>1</v>
      </c>
      <c r="E24" s="22" t="n">
        <v>1</v>
      </c>
      <c r="F24" s="22" t="n">
        <v>1</v>
      </c>
      <c r="G24" s="22" t="n">
        <v>1</v>
      </c>
      <c r="H24" s="22" t="s">
        <v>94</v>
      </c>
      <c r="I24" s="22" t="n">
        <v>1</v>
      </c>
      <c r="J24" s="24" t="n">
        <v>1</v>
      </c>
      <c r="K24" s="25" t="n">
        <v>20</v>
      </c>
      <c r="L24" s="26" t="n">
        <f aca="false">F56</f>
        <v>1</v>
      </c>
      <c r="M24" s="27" t="n">
        <f aca="false">IF(K24&gt;0,3600/K24*L24,0)</f>
        <v>180</v>
      </c>
      <c r="N24" s="28" t="n">
        <f aca="false">M24*$B$7</f>
        <v>27000</v>
      </c>
      <c r="O24" s="29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customFormat="false" ht="14.25" hidden="false" customHeight="true" outlineLevel="0" collapsed="false">
      <c r="A25" s="22" t="n">
        <v>7</v>
      </c>
      <c r="B25" s="23" t="s">
        <v>109</v>
      </c>
      <c r="C25" s="22" t="s">
        <v>110</v>
      </c>
      <c r="D25" s="22" t="n">
        <v>1</v>
      </c>
      <c r="E25" s="22" t="n">
        <v>1</v>
      </c>
      <c r="F25" s="22" t="n">
        <v>1</v>
      </c>
      <c r="G25" s="22" t="n">
        <v>1</v>
      </c>
      <c r="H25" s="22" t="s">
        <v>94</v>
      </c>
      <c r="I25" s="22" t="n">
        <v>1</v>
      </c>
      <c r="J25" s="24" t="n">
        <v>1</v>
      </c>
      <c r="K25" s="25" t="n">
        <v>25</v>
      </c>
      <c r="L25" s="26" t="n">
        <f aca="false">F57</f>
        <v>0.973333333333333</v>
      </c>
      <c r="M25" s="27" t="n">
        <f aca="false">IF(K25&gt;0,3600/K25*L25,0)</f>
        <v>140.16</v>
      </c>
      <c r="N25" s="28" t="n">
        <f aca="false">M25*$B$7</f>
        <v>21024</v>
      </c>
      <c r="O25" s="29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customFormat="false" ht="14.25" hidden="false" customHeight="true" outlineLevel="0" collapsed="false">
      <c r="A26" s="22" t="n">
        <v>8</v>
      </c>
      <c r="B26" s="23" t="s">
        <v>111</v>
      </c>
      <c r="C26" s="22" t="s">
        <v>112</v>
      </c>
      <c r="D26" s="22" t="n">
        <v>0</v>
      </c>
      <c r="E26" s="22" t="n">
        <v>1</v>
      </c>
      <c r="F26" s="22" t="n">
        <v>1</v>
      </c>
      <c r="G26" s="22" t="n">
        <v>1</v>
      </c>
      <c r="H26" s="22" t="s">
        <v>94</v>
      </c>
      <c r="I26" s="22" t="n">
        <v>1</v>
      </c>
      <c r="J26" s="24" t="n">
        <v>1</v>
      </c>
      <c r="K26" s="25" t="n">
        <v>80</v>
      </c>
      <c r="L26" s="26" t="n">
        <f aca="false">F58</f>
        <v>0.986666666666667</v>
      </c>
      <c r="M26" s="27" t="n">
        <f aca="false">IF(K26&gt;0,3600/K26*L26,0)</f>
        <v>44.4</v>
      </c>
      <c r="N26" s="28" t="n">
        <f aca="false">M26*$B$7</f>
        <v>6660</v>
      </c>
      <c r="O26" s="29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customFormat="false" ht="14.25" hidden="false" customHeight="true" outlineLevel="0" collapsed="false">
      <c r="A27" s="22" t="n">
        <v>9</v>
      </c>
      <c r="B27" s="23" t="s">
        <v>113</v>
      </c>
      <c r="C27" s="22" t="s">
        <v>114</v>
      </c>
      <c r="D27" s="22" t="n">
        <v>0</v>
      </c>
      <c r="E27" s="22" t="n">
        <v>1</v>
      </c>
      <c r="F27" s="22" t="n">
        <v>1</v>
      </c>
      <c r="G27" s="22" t="n">
        <v>1</v>
      </c>
      <c r="H27" s="22" t="s">
        <v>94</v>
      </c>
      <c r="I27" s="22" t="n">
        <v>1</v>
      </c>
      <c r="J27" s="24" t="n">
        <v>1</v>
      </c>
      <c r="K27" s="25" t="n">
        <v>115</v>
      </c>
      <c r="L27" s="26" t="n">
        <f aca="false">F59</f>
        <v>0.986666666666667</v>
      </c>
      <c r="M27" s="27" t="n">
        <f aca="false">IF(K27&gt;0,3600/K27*L27,0)</f>
        <v>30.8869565217391</v>
      </c>
      <c r="N27" s="28" t="n">
        <f aca="false">M27*$B$7</f>
        <v>4633.04347826087</v>
      </c>
      <c r="O27" s="29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customFormat="false" ht="14.25" hidden="false" customHeight="true" outlineLevel="0" collapsed="false">
      <c r="A28" s="22" t="n">
        <v>10</v>
      </c>
      <c r="B28" s="23" t="s">
        <v>115</v>
      </c>
      <c r="C28" s="22" t="s">
        <v>116</v>
      </c>
      <c r="D28" s="22" t="n">
        <v>1</v>
      </c>
      <c r="E28" s="22" t="n">
        <v>1</v>
      </c>
      <c r="F28" s="22" t="n">
        <v>1</v>
      </c>
      <c r="G28" s="22" t="n">
        <v>1</v>
      </c>
      <c r="H28" s="22" t="s">
        <v>94</v>
      </c>
      <c r="I28" s="22" t="n">
        <v>1</v>
      </c>
      <c r="J28" s="24" t="n">
        <v>1</v>
      </c>
      <c r="K28" s="25" t="n">
        <v>30</v>
      </c>
      <c r="L28" s="26" t="n">
        <f aca="false">F60</f>
        <v>0.982222222222222</v>
      </c>
      <c r="M28" s="27" t="n">
        <f aca="false">IF(K28&gt;0,3600/K28*L28,0)</f>
        <v>117.866666666667</v>
      </c>
      <c r="N28" s="28" t="n">
        <f aca="false">M28*$B$7</f>
        <v>17680</v>
      </c>
      <c r="O28" s="29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customFormat="false" ht="14.25" hidden="false" customHeight="true" outlineLevel="0" collapsed="false">
      <c r="A29" s="22" t="n">
        <v>11</v>
      </c>
      <c r="B29" s="23" t="s">
        <v>117</v>
      </c>
      <c r="C29" s="22" t="s">
        <v>118</v>
      </c>
      <c r="D29" s="22" t="n">
        <v>1</v>
      </c>
      <c r="E29" s="22" t="n">
        <v>1</v>
      </c>
      <c r="F29" s="22" t="n">
        <v>1</v>
      </c>
      <c r="G29" s="22" t="n">
        <v>1</v>
      </c>
      <c r="H29" s="22" t="s">
        <v>94</v>
      </c>
      <c r="I29" s="22" t="n">
        <v>1</v>
      </c>
      <c r="J29" s="24" t="n">
        <v>1</v>
      </c>
      <c r="K29" s="25" t="n">
        <v>20</v>
      </c>
      <c r="L29" s="26" t="n">
        <f aca="false">F61</f>
        <v>0.982222222222222</v>
      </c>
      <c r="M29" s="27" t="n">
        <f aca="false">IF(K29&gt;0,3600/K29*L29,0)</f>
        <v>176.8</v>
      </c>
      <c r="N29" s="28" t="n">
        <f aca="false">M29*$B$7</f>
        <v>26520</v>
      </c>
      <c r="O29" s="29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customFormat="false" ht="14.25" hidden="false" customHeight="true" outlineLevel="0" collapsed="false">
      <c r="A30" s="22" t="n">
        <v>12</v>
      </c>
      <c r="B30" s="23" t="s">
        <v>119</v>
      </c>
      <c r="C30" s="22" t="s">
        <v>120</v>
      </c>
      <c r="D30" s="22" t="n">
        <v>1</v>
      </c>
      <c r="E30" s="22" t="n">
        <v>1</v>
      </c>
      <c r="F30" s="22" t="n">
        <v>1</v>
      </c>
      <c r="G30" s="22" t="n">
        <v>1</v>
      </c>
      <c r="H30" s="22" t="s">
        <v>94</v>
      </c>
      <c r="I30" s="22" t="n">
        <v>1</v>
      </c>
      <c r="J30" s="24" t="n">
        <v>1</v>
      </c>
      <c r="K30" s="25" t="n">
        <v>60</v>
      </c>
      <c r="L30" s="26" t="n">
        <f aca="false">F62</f>
        <v>0.982222222222222</v>
      </c>
      <c r="M30" s="27" t="n">
        <f aca="false">IF(K30&gt;0,3600/K30*L30,0)</f>
        <v>58.9333333333333</v>
      </c>
      <c r="N30" s="28" t="n">
        <f aca="false">M30*$B$7</f>
        <v>8840</v>
      </c>
      <c r="O30" s="29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customFormat="false" ht="14.25" hidden="false" customHeight="true" outlineLevel="0" collapsed="false">
      <c r="A31" s="22" t="n">
        <v>13</v>
      </c>
      <c r="B31" s="23" t="s">
        <v>121</v>
      </c>
      <c r="C31" s="22" t="s">
        <v>122</v>
      </c>
      <c r="D31" s="22" t="n">
        <v>1</v>
      </c>
      <c r="E31" s="22" t="n">
        <v>1</v>
      </c>
      <c r="F31" s="22" t="n">
        <v>1</v>
      </c>
      <c r="G31" s="22" t="n">
        <v>1</v>
      </c>
      <c r="H31" s="22" t="s">
        <v>94</v>
      </c>
      <c r="I31" s="22" t="n">
        <v>1</v>
      </c>
      <c r="J31" s="24" t="n">
        <v>0.02</v>
      </c>
      <c r="K31" s="25" t="n">
        <v>120</v>
      </c>
      <c r="L31" s="26" t="n">
        <f aca="false">F63</f>
        <v>1</v>
      </c>
      <c r="M31" s="27" t="n">
        <f aca="false">IF(K31&gt;0,3600/K31*L31,0)</f>
        <v>30</v>
      </c>
      <c r="N31" s="28" t="n">
        <f aca="false">M31*$B$7</f>
        <v>4500</v>
      </c>
      <c r="O31" s="29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customFormat="false" ht="14.25" hidden="false" customHeight="true" outlineLevel="0" collapsed="false">
      <c r="A32" s="22" t="n">
        <v>14</v>
      </c>
      <c r="B32" s="23" t="s">
        <v>123</v>
      </c>
      <c r="C32" s="22" t="s">
        <v>124</v>
      </c>
      <c r="D32" s="22" t="n">
        <v>1</v>
      </c>
      <c r="E32" s="22" t="n">
        <v>1</v>
      </c>
      <c r="F32" s="22" t="n">
        <v>1</v>
      </c>
      <c r="G32" s="22" t="n">
        <v>1</v>
      </c>
      <c r="H32" s="22" t="s">
        <v>94</v>
      </c>
      <c r="I32" s="22" t="n">
        <v>1</v>
      </c>
      <c r="J32" s="24" t="n">
        <v>1</v>
      </c>
      <c r="K32" s="25" t="n">
        <v>60</v>
      </c>
      <c r="L32" s="26" t="n">
        <f aca="false">F64</f>
        <v>0.982222222222222</v>
      </c>
      <c r="M32" s="27" t="n">
        <f aca="false">IF(K32&gt;0,3600/K32*L32,0)</f>
        <v>58.9333333333333</v>
      </c>
      <c r="N32" s="28" t="n">
        <f aca="false">M32*$B$7</f>
        <v>8840</v>
      </c>
      <c r="O32" s="29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customFormat="false" ht="14.25" hidden="false" customHeight="true" outlineLevel="0" collapsed="false">
      <c r="A33" s="22" t="n">
        <v>15</v>
      </c>
      <c r="B33" s="23" t="s">
        <v>125</v>
      </c>
      <c r="C33" s="22" t="s">
        <v>126</v>
      </c>
      <c r="D33" s="22" t="n">
        <v>1</v>
      </c>
      <c r="E33" s="22" t="n">
        <v>1</v>
      </c>
      <c r="F33" s="22" t="n">
        <v>1</v>
      </c>
      <c r="G33" s="22" t="n">
        <v>1</v>
      </c>
      <c r="H33" s="22" t="s">
        <v>94</v>
      </c>
      <c r="I33" s="22" t="n">
        <v>1</v>
      </c>
      <c r="J33" s="24" t="n">
        <v>1</v>
      </c>
      <c r="K33" s="25" t="n">
        <v>120</v>
      </c>
      <c r="L33" s="26" t="n">
        <f aca="false">F65</f>
        <v>1</v>
      </c>
      <c r="M33" s="27" t="n">
        <f aca="false">IF(K33&gt;0,3600/K33*L33,0)</f>
        <v>30</v>
      </c>
      <c r="N33" s="28" t="n">
        <f aca="false">M33*$B$7</f>
        <v>4500</v>
      </c>
      <c r="O33" s="29" t="s">
        <v>127</v>
      </c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customFormat="false" ht="14.25" hidden="false" customHeight="true" outlineLevel="0" collapsed="false">
      <c r="A34" s="22" t="n">
        <v>16</v>
      </c>
      <c r="B34" s="23" t="s">
        <v>128</v>
      </c>
      <c r="C34" s="22" t="s">
        <v>129</v>
      </c>
      <c r="D34" s="22" t="n">
        <v>1</v>
      </c>
      <c r="E34" s="22" t="n">
        <v>1</v>
      </c>
      <c r="F34" s="22" t="n">
        <v>1</v>
      </c>
      <c r="G34" s="22" t="n">
        <v>1</v>
      </c>
      <c r="H34" s="22" t="s">
        <v>94</v>
      </c>
      <c r="I34" s="22" t="n">
        <v>1</v>
      </c>
      <c r="J34" s="24" t="n">
        <v>1</v>
      </c>
      <c r="K34" s="25" t="n">
        <v>30</v>
      </c>
      <c r="L34" s="26" t="n">
        <f aca="false">F66</f>
        <v>1</v>
      </c>
      <c r="M34" s="27" t="n">
        <f aca="false">IF(K34&gt;0,3600/K34*L34,0)</f>
        <v>120</v>
      </c>
      <c r="N34" s="28" t="n">
        <f aca="false">M34*$B$7</f>
        <v>18000</v>
      </c>
      <c r="O34" s="29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customFormat="false" ht="14.25" hidden="false" customHeight="true" outlineLevel="0" collapsed="false">
      <c r="A35" s="22" t="n">
        <v>17</v>
      </c>
      <c r="B35" s="23" t="s">
        <v>130</v>
      </c>
      <c r="C35" s="22" t="s">
        <v>131</v>
      </c>
      <c r="D35" s="22" t="n">
        <v>1</v>
      </c>
      <c r="E35" s="22" t="n">
        <v>1</v>
      </c>
      <c r="F35" s="22" t="n">
        <v>1</v>
      </c>
      <c r="G35" s="22" t="n">
        <v>1</v>
      </c>
      <c r="H35" s="22" t="s">
        <v>94</v>
      </c>
      <c r="I35" s="22" t="n">
        <v>1</v>
      </c>
      <c r="J35" s="24" t="n">
        <v>1</v>
      </c>
      <c r="K35" s="25" t="n">
        <v>20</v>
      </c>
      <c r="L35" s="26" t="n">
        <f aca="false">F67</f>
        <v>1</v>
      </c>
      <c r="M35" s="27" t="n">
        <f aca="false">IF(K35&gt;0,3600/K35*L35,0)</f>
        <v>180</v>
      </c>
      <c r="N35" s="28" t="n">
        <f aca="false">M35*$B$7</f>
        <v>27000</v>
      </c>
      <c r="O35" s="29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customFormat="false" ht="14.25" hidden="false" customHeight="true" outlineLevel="0" collapsed="false">
      <c r="A36" s="22" t="n">
        <v>18</v>
      </c>
      <c r="B36" s="23" t="s">
        <v>132</v>
      </c>
      <c r="C36" s="22" t="s">
        <v>133</v>
      </c>
      <c r="D36" s="22" t="n">
        <v>1</v>
      </c>
      <c r="E36" s="22" t="n">
        <v>1</v>
      </c>
      <c r="F36" s="22" t="n">
        <v>1</v>
      </c>
      <c r="G36" s="22" t="n">
        <v>1</v>
      </c>
      <c r="H36" s="22" t="s">
        <v>94</v>
      </c>
      <c r="I36" s="22" t="n">
        <v>1</v>
      </c>
      <c r="J36" s="24" t="n">
        <v>0.05</v>
      </c>
      <c r="K36" s="25" t="n">
        <v>180</v>
      </c>
      <c r="L36" s="26" t="n">
        <f aca="false">F68</f>
        <v>1</v>
      </c>
      <c r="M36" s="27" t="n">
        <f aca="false">IF(K36&gt;0,3600/K36*L36,0)</f>
        <v>20</v>
      </c>
      <c r="N36" s="28" t="n">
        <f aca="false">M36*$B$7</f>
        <v>3000</v>
      </c>
      <c r="O36" s="29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customFormat="false" ht="14.25" hidden="false" customHeight="true" outlineLevel="0" collapsed="false">
      <c r="A37" s="22" t="n">
        <v>19</v>
      </c>
      <c r="B37" s="23" t="s">
        <v>134</v>
      </c>
      <c r="C37" s="22" t="s">
        <v>135</v>
      </c>
      <c r="D37" s="22" t="n">
        <v>1</v>
      </c>
      <c r="E37" s="22" t="n">
        <v>1</v>
      </c>
      <c r="F37" s="22" t="n">
        <v>1</v>
      </c>
      <c r="G37" s="22" t="n">
        <v>1</v>
      </c>
      <c r="H37" s="22" t="s">
        <v>94</v>
      </c>
      <c r="I37" s="22" t="n">
        <v>1</v>
      </c>
      <c r="J37" s="24" t="n">
        <v>1</v>
      </c>
      <c r="K37" s="25" t="n">
        <v>25</v>
      </c>
      <c r="L37" s="26" t="n">
        <f aca="false">F69</f>
        <v>0.946666666666667</v>
      </c>
      <c r="M37" s="27" t="n">
        <f aca="false">IF(K37&gt;0,3600/K37*L37,0)</f>
        <v>136.32</v>
      </c>
      <c r="N37" s="28" t="n">
        <f aca="false">M37*$B$7</f>
        <v>20448</v>
      </c>
      <c r="O37" s="29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customFormat="false" ht="14.25" hidden="false" customHeight="true" outlineLevel="0" collapsed="false">
      <c r="A38" s="22" t="n">
        <v>20</v>
      </c>
      <c r="B38" s="23" t="s">
        <v>136</v>
      </c>
      <c r="C38" s="22" t="s">
        <v>137</v>
      </c>
      <c r="D38" s="22" t="n">
        <v>1</v>
      </c>
      <c r="E38" s="22" t="n">
        <v>1</v>
      </c>
      <c r="F38" s="22" t="n">
        <v>1</v>
      </c>
      <c r="G38" s="22" t="n">
        <v>1</v>
      </c>
      <c r="H38" s="22" t="s">
        <v>138</v>
      </c>
      <c r="I38" s="22" t="n">
        <v>1</v>
      </c>
      <c r="J38" s="24" t="n">
        <v>1</v>
      </c>
      <c r="K38" s="25" t="n">
        <v>45</v>
      </c>
      <c r="L38" s="26" t="n">
        <f aca="false">F70</f>
        <v>1</v>
      </c>
      <c r="M38" s="27" t="n">
        <f aca="false">IF(K38&gt;0,3600/K38*L38,0)</f>
        <v>80</v>
      </c>
      <c r="N38" s="28" t="n">
        <f aca="false">M38*$B$7</f>
        <v>12000</v>
      </c>
      <c r="O38" s="29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customFormat="false" ht="14.25" hidden="false" customHeight="true" outlineLevel="0" collapsed="false">
      <c r="A39" s="22" t="n">
        <v>21</v>
      </c>
      <c r="B39" s="23" t="s">
        <v>139</v>
      </c>
      <c r="C39" s="22" t="s">
        <v>140</v>
      </c>
      <c r="D39" s="22" t="n">
        <v>1</v>
      </c>
      <c r="E39" s="22" t="n">
        <v>1</v>
      </c>
      <c r="F39" s="22" t="n">
        <v>1</v>
      </c>
      <c r="G39" s="22" t="n">
        <v>1</v>
      </c>
      <c r="H39" s="22" t="s">
        <v>138</v>
      </c>
      <c r="I39" s="22" t="n">
        <v>1</v>
      </c>
      <c r="J39" s="24" t="n">
        <v>1</v>
      </c>
      <c r="K39" s="25" t="n">
        <v>100</v>
      </c>
      <c r="L39" s="26" t="n">
        <f aca="false">F71</f>
        <v>0.982222222222222</v>
      </c>
      <c r="M39" s="27" t="n">
        <f aca="false">IF(K39&gt;0,3600/K39*L39,0)</f>
        <v>35.36</v>
      </c>
      <c r="N39" s="28" t="n">
        <f aca="false">M39*$B$7</f>
        <v>5304</v>
      </c>
      <c r="O39" s="29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customFormat="false" ht="14.25" hidden="false" customHeight="true" outlineLevel="0" collapsed="false">
      <c r="A40" s="22" t="n">
        <v>22</v>
      </c>
      <c r="B40" s="23" t="s">
        <v>141</v>
      </c>
      <c r="C40" s="22" t="s">
        <v>142</v>
      </c>
      <c r="D40" s="22" t="n">
        <v>1</v>
      </c>
      <c r="E40" s="22" t="n">
        <v>1</v>
      </c>
      <c r="F40" s="22" t="n">
        <v>1</v>
      </c>
      <c r="G40" s="22" t="n">
        <v>1</v>
      </c>
      <c r="H40" s="22" t="s">
        <v>138</v>
      </c>
      <c r="I40" s="22" t="n">
        <v>1</v>
      </c>
      <c r="J40" s="24" t="n">
        <v>1</v>
      </c>
      <c r="K40" s="25" t="n">
        <v>30</v>
      </c>
      <c r="L40" s="26" t="n">
        <f aca="false">F72</f>
        <v>1</v>
      </c>
      <c r="M40" s="27" t="n">
        <f aca="false">IF(K40&gt;0,3600/K40*L40,0)</f>
        <v>120</v>
      </c>
      <c r="N40" s="28" t="n">
        <f aca="false">M40*$B$7</f>
        <v>18000</v>
      </c>
      <c r="O40" s="29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customFormat="false" ht="14.25" hidden="false" customHeight="true" outlineLevel="0" collapsed="false">
      <c r="A41" s="22" t="n">
        <v>23</v>
      </c>
      <c r="B41" s="23" t="s">
        <v>143</v>
      </c>
      <c r="C41" s="22" t="s">
        <v>144</v>
      </c>
      <c r="D41" s="22" t="n">
        <v>1</v>
      </c>
      <c r="E41" s="22" t="n">
        <v>1</v>
      </c>
      <c r="F41" s="22" t="n">
        <v>1</v>
      </c>
      <c r="G41" s="22" t="n">
        <v>1</v>
      </c>
      <c r="H41" s="22" t="s">
        <v>138</v>
      </c>
      <c r="I41" s="22" t="n">
        <v>1</v>
      </c>
      <c r="J41" s="24" t="n">
        <v>1</v>
      </c>
      <c r="K41" s="25" t="n">
        <v>55</v>
      </c>
      <c r="L41" s="26" t="n">
        <f aca="false">F73</f>
        <v>1</v>
      </c>
      <c r="M41" s="27" t="n">
        <f aca="false">IF(K41&gt;0,3600/K41*L41,0)</f>
        <v>65.4545454545455</v>
      </c>
      <c r="N41" s="28" t="n">
        <f aca="false">M41*$B$7</f>
        <v>9818.18181818182</v>
      </c>
      <c r="O41" s="29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customFormat="false" ht="14.25" hidden="false" customHeight="true" outlineLevel="0" collapsed="false">
      <c r="A42" s="22" t="n">
        <v>24</v>
      </c>
      <c r="B42" s="23" t="s">
        <v>145</v>
      </c>
      <c r="C42" s="22" t="s">
        <v>146</v>
      </c>
      <c r="D42" s="22" t="n">
        <v>1</v>
      </c>
      <c r="E42" s="22" t="n">
        <v>1</v>
      </c>
      <c r="F42" s="22" t="n">
        <v>1</v>
      </c>
      <c r="G42" s="22" t="n">
        <v>1</v>
      </c>
      <c r="H42" s="22" t="s">
        <v>138</v>
      </c>
      <c r="I42" s="22" t="n">
        <v>1</v>
      </c>
      <c r="J42" s="24" t="n">
        <v>1</v>
      </c>
      <c r="K42" s="25" t="n">
        <v>60</v>
      </c>
      <c r="L42" s="26" t="n">
        <f aca="false">F74</f>
        <v>1</v>
      </c>
      <c r="M42" s="27" t="n">
        <f aca="false">IF(K42&gt;0,3600/K42*L42,0)</f>
        <v>60</v>
      </c>
      <c r="N42" s="28" t="n">
        <f aca="false">M42*$B$7</f>
        <v>9000</v>
      </c>
      <c r="O42" s="29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customFormat="false" ht="14.25" hidden="false" customHeight="true" outlineLevel="0" collapsed="false">
      <c r="A43" s="22" t="n">
        <v>25</v>
      </c>
      <c r="B43" s="23" t="s">
        <v>147</v>
      </c>
      <c r="C43" s="22" t="s">
        <v>148</v>
      </c>
      <c r="D43" s="22" t="n">
        <v>1</v>
      </c>
      <c r="E43" s="22" t="n">
        <v>1</v>
      </c>
      <c r="F43" s="22" t="n">
        <v>1</v>
      </c>
      <c r="G43" s="22" t="n">
        <v>1</v>
      </c>
      <c r="H43" s="22" t="s">
        <v>94</v>
      </c>
      <c r="I43" s="22" t="n">
        <v>1</v>
      </c>
      <c r="J43" s="24" t="n">
        <v>1</v>
      </c>
      <c r="K43" s="25" t="n">
        <v>45</v>
      </c>
      <c r="L43" s="26" t="n">
        <f aca="false">F75</f>
        <v>0.991111111111111</v>
      </c>
      <c r="M43" s="27" t="n">
        <f aca="false">IF(K43&gt;0,3600/K43*L43,0)</f>
        <v>79.2888888888889</v>
      </c>
      <c r="N43" s="28" t="n">
        <f aca="false">M43*$B$7</f>
        <v>11893.3333333333</v>
      </c>
      <c r="O43" s="29" t="s">
        <v>149</v>
      </c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customFormat="false" ht="14.25" hidden="false" customHeight="true" outlineLevel="0" collapsed="false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customFormat="false" ht="14.25" hidden="false" customHeight="true" outlineLevel="0" collapsed="false">
      <c r="A45" s="30" t="s">
        <v>150</v>
      </c>
      <c r="B45" s="30"/>
      <c r="C45" s="30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customFormat="false" ht="14.25" hidden="false" customHeight="true" outlineLevel="0" collapsed="false">
      <c r="A46" s="30" t="s">
        <v>151</v>
      </c>
      <c r="B46" s="30"/>
      <c r="C46" s="30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customFormat="false" ht="14.25" hidden="false" customHeight="true" outlineLevel="0" collapsed="false">
      <c r="A47" s="30" t="s">
        <v>152</v>
      </c>
      <c r="B47" s="30"/>
      <c r="C47" s="30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customFormat="false" ht="14.25" hidden="false" customHeight="true" outlineLevel="0" collapsed="false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customFormat="false" ht="14.25" hidden="false" customHeight="true" outlineLevel="0" collapsed="false">
      <c r="A49" s="7" t="s">
        <v>153</v>
      </c>
      <c r="B49" s="7"/>
      <c r="C49" s="7"/>
      <c r="D49" s="7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customFormat="false" ht="14.25" hidden="false" customHeight="true" outlineLevel="0" collapsed="false">
      <c r="A50" s="21" t="s">
        <v>81</v>
      </c>
      <c r="B50" s="21" t="s">
        <v>82</v>
      </c>
      <c r="C50" s="31" t="s">
        <v>154</v>
      </c>
      <c r="D50" s="31" t="s">
        <v>155</v>
      </c>
      <c r="E50" s="31" t="s">
        <v>156</v>
      </c>
      <c r="F50" s="31" t="s">
        <v>157</v>
      </c>
      <c r="G50" s="31" t="s">
        <v>91</v>
      </c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customFormat="false" ht="14.25" hidden="false" customHeight="true" outlineLevel="0" collapsed="false">
      <c r="A51" s="22" t="n">
        <v>1</v>
      </c>
      <c r="B51" s="23" t="s">
        <v>92</v>
      </c>
      <c r="C51" s="22" t="n">
        <v>0</v>
      </c>
      <c r="D51" s="22" t="n">
        <v>0</v>
      </c>
      <c r="E51" s="22" t="n">
        <f aca="false">C51*D51/60</f>
        <v>0</v>
      </c>
      <c r="F51" s="32" t="n">
        <f aca="false">MAX(0,1-E51/150)</f>
        <v>1</v>
      </c>
      <c r="G51" s="29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customFormat="false" ht="14.25" hidden="false" customHeight="true" outlineLevel="0" collapsed="false">
      <c r="A52" s="22" t="n">
        <v>2</v>
      </c>
      <c r="B52" s="23" t="s">
        <v>96</v>
      </c>
      <c r="C52" s="29" t="n">
        <v>5</v>
      </c>
      <c r="D52" s="29" t="n">
        <v>12</v>
      </c>
      <c r="E52" s="22" t="n">
        <f aca="false">C52*D52/60</f>
        <v>1</v>
      </c>
      <c r="F52" s="32" t="n">
        <f aca="false">MAX(0,1-E52/150)</f>
        <v>0.993333333333333</v>
      </c>
      <c r="G52" s="29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customFormat="false" ht="14.25" hidden="false" customHeight="true" outlineLevel="0" collapsed="false">
      <c r="A53" s="22" t="n">
        <v>3</v>
      </c>
      <c r="B53" s="23" t="s">
        <v>99</v>
      </c>
      <c r="C53" s="29" t="n">
        <v>0</v>
      </c>
      <c r="D53" s="29" t="n">
        <v>0</v>
      </c>
      <c r="E53" s="22" t="n">
        <f aca="false">C53*D53/60</f>
        <v>0</v>
      </c>
      <c r="F53" s="32" t="n">
        <f aca="false">MAX(0,1-E53/150)</f>
        <v>1</v>
      </c>
      <c r="G53" s="29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customFormat="false" ht="14.25" hidden="false" customHeight="true" outlineLevel="0" collapsed="false">
      <c r="A54" s="22" t="n">
        <v>4</v>
      </c>
      <c r="B54" s="23" t="s">
        <v>102</v>
      </c>
      <c r="C54" s="29" t="n">
        <v>90</v>
      </c>
      <c r="D54" s="29" t="n">
        <v>32</v>
      </c>
      <c r="E54" s="22" t="n">
        <f aca="false">C54*D54/60</f>
        <v>48</v>
      </c>
      <c r="F54" s="32" t="n">
        <f aca="false">MAX(0,1-E54/150)</f>
        <v>0.68</v>
      </c>
      <c r="G54" s="29" t="s">
        <v>158</v>
      </c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customFormat="false" ht="14.25" hidden="false" customHeight="true" outlineLevel="0" collapsed="false">
      <c r="A55" s="22" t="n">
        <v>5</v>
      </c>
      <c r="B55" s="23" t="s">
        <v>105</v>
      </c>
      <c r="C55" s="29" t="n">
        <v>0</v>
      </c>
      <c r="D55" s="29" t="n">
        <v>0</v>
      </c>
      <c r="E55" s="22" t="n">
        <f aca="false">C55*D55/60</f>
        <v>0</v>
      </c>
      <c r="F55" s="32" t="n">
        <f aca="false">MAX(0,1-E55/150)</f>
        <v>1</v>
      </c>
      <c r="G55" s="29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customFormat="false" ht="14.25" hidden="false" customHeight="true" outlineLevel="0" collapsed="false">
      <c r="A56" s="22" t="n">
        <v>6</v>
      </c>
      <c r="B56" s="23" t="s">
        <v>107</v>
      </c>
      <c r="C56" s="29"/>
      <c r="D56" s="29"/>
      <c r="E56" s="22" t="n">
        <f aca="false">C56*D56/60</f>
        <v>0</v>
      </c>
      <c r="F56" s="32" t="n">
        <f aca="false">MAX(0,1-E56/150)</f>
        <v>1</v>
      </c>
      <c r="G56" s="29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customFormat="false" ht="14.25" hidden="false" customHeight="true" outlineLevel="0" collapsed="false">
      <c r="A57" s="22" t="n">
        <v>7</v>
      </c>
      <c r="B57" s="23" t="s">
        <v>109</v>
      </c>
      <c r="C57" s="29" t="n">
        <v>15</v>
      </c>
      <c r="D57" s="29" t="n">
        <v>16</v>
      </c>
      <c r="E57" s="22" t="n">
        <f aca="false">C57*D57/60</f>
        <v>4</v>
      </c>
      <c r="F57" s="32" t="n">
        <f aca="false">MAX(0,1-E57/150)</f>
        <v>0.973333333333333</v>
      </c>
      <c r="G57" s="29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customFormat="false" ht="14.25" hidden="false" customHeight="true" outlineLevel="0" collapsed="false">
      <c r="A58" s="22" t="n">
        <v>8</v>
      </c>
      <c r="B58" s="23" t="s">
        <v>111</v>
      </c>
      <c r="C58" s="29" t="n">
        <v>10</v>
      </c>
      <c r="D58" s="29" t="n">
        <v>12</v>
      </c>
      <c r="E58" s="22" t="n">
        <f aca="false">C58*D58/60</f>
        <v>2</v>
      </c>
      <c r="F58" s="32" t="n">
        <f aca="false">MAX(0,1-E58/150)</f>
        <v>0.986666666666667</v>
      </c>
      <c r="G58" s="29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customFormat="false" ht="14.25" hidden="false" customHeight="true" outlineLevel="0" collapsed="false">
      <c r="A59" s="22" t="n">
        <v>9</v>
      </c>
      <c r="B59" s="23" t="s">
        <v>113</v>
      </c>
      <c r="C59" s="29" t="n">
        <v>10</v>
      </c>
      <c r="D59" s="29" t="n">
        <v>12</v>
      </c>
      <c r="E59" s="22" t="n">
        <f aca="false">C59*D59/60</f>
        <v>2</v>
      </c>
      <c r="F59" s="32" t="n">
        <f aca="false">MAX(0,1-E59/150)</f>
        <v>0.986666666666667</v>
      </c>
      <c r="G59" s="29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customFormat="false" ht="14.25" hidden="false" customHeight="true" outlineLevel="0" collapsed="false">
      <c r="A60" s="22" t="n">
        <v>10</v>
      </c>
      <c r="B60" s="23" t="s">
        <v>115</v>
      </c>
      <c r="C60" s="29" t="n">
        <v>10</v>
      </c>
      <c r="D60" s="29" t="n">
        <v>16</v>
      </c>
      <c r="E60" s="22" t="n">
        <f aca="false">C60*D60/60</f>
        <v>2.66666666666667</v>
      </c>
      <c r="F60" s="32" t="n">
        <f aca="false">MAX(0,1-E60/150)</f>
        <v>0.982222222222222</v>
      </c>
      <c r="G60" s="29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customFormat="false" ht="14.25" hidden="false" customHeight="true" outlineLevel="0" collapsed="false">
      <c r="A61" s="22" t="n">
        <v>11</v>
      </c>
      <c r="B61" s="23" t="s">
        <v>117</v>
      </c>
      <c r="C61" s="29" t="n">
        <v>10</v>
      </c>
      <c r="D61" s="29" t="n">
        <v>16</v>
      </c>
      <c r="E61" s="22" t="n">
        <f aca="false">C61*D61/60</f>
        <v>2.66666666666667</v>
      </c>
      <c r="F61" s="32" t="n">
        <f aca="false">MAX(0,1-E61/150)</f>
        <v>0.982222222222222</v>
      </c>
      <c r="G61" s="29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customFormat="false" ht="14.25" hidden="false" customHeight="true" outlineLevel="0" collapsed="false">
      <c r="A62" s="22" t="n">
        <v>12</v>
      </c>
      <c r="B62" s="23" t="s">
        <v>119</v>
      </c>
      <c r="C62" s="29" t="n">
        <v>10</v>
      </c>
      <c r="D62" s="29" t="n">
        <v>16</v>
      </c>
      <c r="E62" s="22" t="n">
        <f aca="false">C62*D62/60</f>
        <v>2.66666666666667</v>
      </c>
      <c r="F62" s="32" t="n">
        <f aca="false">MAX(0,1-E62/150)</f>
        <v>0.982222222222222</v>
      </c>
      <c r="G62" s="29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customFormat="false" ht="14.25" hidden="false" customHeight="true" outlineLevel="0" collapsed="false">
      <c r="A63" s="22" t="n">
        <v>13</v>
      </c>
      <c r="B63" s="23" t="s">
        <v>121</v>
      </c>
      <c r="C63" s="29" t="n">
        <v>0</v>
      </c>
      <c r="D63" s="29" t="n">
        <v>0</v>
      </c>
      <c r="E63" s="22" t="n">
        <f aca="false">C63*D63/60</f>
        <v>0</v>
      </c>
      <c r="F63" s="32" t="n">
        <f aca="false">MAX(0,1-E63/150)</f>
        <v>1</v>
      </c>
      <c r="G63" s="29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customFormat="false" ht="14.25" hidden="false" customHeight="true" outlineLevel="0" collapsed="false">
      <c r="A64" s="22" t="n">
        <v>14</v>
      </c>
      <c r="B64" s="23" t="s">
        <v>123</v>
      </c>
      <c r="C64" s="29" t="n">
        <v>10</v>
      </c>
      <c r="D64" s="29" t="n">
        <v>16</v>
      </c>
      <c r="E64" s="22" t="n">
        <f aca="false">C64*D64/60</f>
        <v>2.66666666666667</v>
      </c>
      <c r="F64" s="32" t="n">
        <f aca="false">MAX(0,1-E64/150)</f>
        <v>0.982222222222222</v>
      </c>
      <c r="G64" s="29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customFormat="false" ht="14.25" hidden="false" customHeight="true" outlineLevel="0" collapsed="false">
      <c r="A65" s="22" t="n">
        <v>15</v>
      </c>
      <c r="B65" s="23" t="s">
        <v>125</v>
      </c>
      <c r="C65" s="29" t="n">
        <v>0</v>
      </c>
      <c r="D65" s="29" t="n">
        <v>0</v>
      </c>
      <c r="E65" s="22" t="n">
        <f aca="false">C65*D65/60</f>
        <v>0</v>
      </c>
      <c r="F65" s="32" t="n">
        <f aca="false">MAX(0,1-E65/150)</f>
        <v>1</v>
      </c>
      <c r="G65" s="29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customFormat="false" ht="14.25" hidden="false" customHeight="true" outlineLevel="0" collapsed="false">
      <c r="A66" s="22" t="n">
        <v>16</v>
      </c>
      <c r="B66" s="23" t="s">
        <v>128</v>
      </c>
      <c r="C66" s="29" t="n">
        <v>10</v>
      </c>
      <c r="D66" s="29" t="n">
        <v>0</v>
      </c>
      <c r="E66" s="22" t="n">
        <f aca="false">C66*D66/60</f>
        <v>0</v>
      </c>
      <c r="F66" s="32" t="n">
        <f aca="false">MAX(0,1-E66/150)</f>
        <v>1</v>
      </c>
      <c r="G66" s="29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customFormat="false" ht="14.25" hidden="false" customHeight="true" outlineLevel="0" collapsed="false">
      <c r="A67" s="22" t="n">
        <v>17</v>
      </c>
      <c r="B67" s="23" t="s">
        <v>130</v>
      </c>
      <c r="C67" s="29" t="n">
        <v>0</v>
      </c>
      <c r="D67" s="29" t="n">
        <v>0</v>
      </c>
      <c r="E67" s="22" t="n">
        <f aca="false">C67*D67/60</f>
        <v>0</v>
      </c>
      <c r="F67" s="32" t="n">
        <f aca="false">MAX(0,1-E67/150)</f>
        <v>1</v>
      </c>
      <c r="G67" s="29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customFormat="false" ht="14.25" hidden="false" customHeight="true" outlineLevel="0" collapsed="false">
      <c r="A68" s="22" t="n">
        <v>18</v>
      </c>
      <c r="B68" s="23" t="s">
        <v>132</v>
      </c>
      <c r="C68" s="29" t="n">
        <v>0</v>
      </c>
      <c r="D68" s="29" t="n">
        <v>0</v>
      </c>
      <c r="E68" s="22" t="n">
        <f aca="false">C68*D68/60</f>
        <v>0</v>
      </c>
      <c r="F68" s="32" t="n">
        <f aca="false">MAX(0,1-E68/150)</f>
        <v>1</v>
      </c>
      <c r="G68" s="29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customFormat="false" ht="14.25" hidden="false" customHeight="true" outlineLevel="0" collapsed="false">
      <c r="A69" s="22" t="n">
        <v>19</v>
      </c>
      <c r="B69" s="23" t="s">
        <v>134</v>
      </c>
      <c r="C69" s="29" t="n">
        <v>30</v>
      </c>
      <c r="D69" s="29" t="n">
        <v>16</v>
      </c>
      <c r="E69" s="22" t="n">
        <f aca="false">C69*D69/60</f>
        <v>8</v>
      </c>
      <c r="F69" s="32" t="n">
        <f aca="false">MAX(0,1-E69/150)</f>
        <v>0.946666666666667</v>
      </c>
      <c r="G69" s="29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customFormat="false" ht="14.25" hidden="false" customHeight="true" outlineLevel="0" collapsed="false">
      <c r="A70" s="22" t="n">
        <v>20</v>
      </c>
      <c r="B70" s="23" t="s">
        <v>136</v>
      </c>
      <c r="C70" s="29" t="n">
        <v>0</v>
      </c>
      <c r="D70" s="29" t="n">
        <v>0</v>
      </c>
      <c r="E70" s="22" t="n">
        <f aca="false">C70*D70/60</f>
        <v>0</v>
      </c>
      <c r="F70" s="32" t="n">
        <f aca="false">MAX(0,1-E70/150)</f>
        <v>1</v>
      </c>
      <c r="G70" s="29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customFormat="false" ht="14.25" hidden="false" customHeight="true" outlineLevel="0" collapsed="false">
      <c r="A71" s="22" t="n">
        <v>21</v>
      </c>
      <c r="B71" s="23" t="s">
        <v>139</v>
      </c>
      <c r="C71" s="29" t="n">
        <v>10</v>
      </c>
      <c r="D71" s="29" t="n">
        <v>16</v>
      </c>
      <c r="E71" s="22" t="n">
        <f aca="false">C71*D71/60</f>
        <v>2.66666666666667</v>
      </c>
      <c r="F71" s="32" t="n">
        <f aca="false">MAX(0,1-E71/150)</f>
        <v>0.982222222222222</v>
      </c>
      <c r="G71" s="29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customFormat="false" ht="14.25" hidden="false" customHeight="true" outlineLevel="0" collapsed="false">
      <c r="A72" s="22" t="n">
        <v>22</v>
      </c>
      <c r="B72" s="23" t="s">
        <v>141</v>
      </c>
      <c r="C72" s="29" t="n">
        <v>0</v>
      </c>
      <c r="D72" s="29" t="n">
        <v>0</v>
      </c>
      <c r="E72" s="22" t="n">
        <f aca="false">C72*D72/60</f>
        <v>0</v>
      </c>
      <c r="F72" s="32" t="n">
        <f aca="false">MAX(0,1-E72/150)</f>
        <v>1</v>
      </c>
      <c r="G72" s="29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customFormat="false" ht="14.25" hidden="false" customHeight="true" outlineLevel="0" collapsed="false">
      <c r="A73" s="22" t="n">
        <v>23</v>
      </c>
      <c r="B73" s="23" t="s">
        <v>143</v>
      </c>
      <c r="C73" s="29" t="n">
        <v>0</v>
      </c>
      <c r="D73" s="29" t="n">
        <v>0</v>
      </c>
      <c r="E73" s="22" t="n">
        <f aca="false">C73*D73/60</f>
        <v>0</v>
      </c>
      <c r="F73" s="32" t="n">
        <f aca="false">MAX(0,1-E73/150)</f>
        <v>1</v>
      </c>
      <c r="G73" s="29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customFormat="false" ht="14.25" hidden="false" customHeight="true" outlineLevel="0" collapsed="false">
      <c r="A74" s="22" t="n">
        <v>24</v>
      </c>
      <c r="B74" s="23" t="s">
        <v>145</v>
      </c>
      <c r="C74" s="29" t="n">
        <v>0</v>
      </c>
      <c r="D74" s="29" t="n">
        <v>0</v>
      </c>
      <c r="E74" s="22" t="n">
        <f aca="false">C74*D74/60</f>
        <v>0</v>
      </c>
      <c r="F74" s="32" t="n">
        <f aca="false">MAX(0,1-E74/150)</f>
        <v>1</v>
      </c>
      <c r="G74" s="29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customFormat="false" ht="14.25" hidden="false" customHeight="true" outlineLevel="0" collapsed="false">
      <c r="A75" s="22" t="n">
        <v>25</v>
      </c>
      <c r="B75" s="23" t="s">
        <v>147</v>
      </c>
      <c r="C75" s="29" t="n">
        <v>5</v>
      </c>
      <c r="D75" s="29" t="n">
        <v>16</v>
      </c>
      <c r="E75" s="22" t="n">
        <f aca="false">C75*D75/60</f>
        <v>1.33333333333333</v>
      </c>
      <c r="F75" s="32" t="n">
        <f aca="false">MAX(0,1-E75/150)</f>
        <v>0.991111111111111</v>
      </c>
      <c r="G75" s="29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customFormat="false" ht="14.25" hidden="false" customHeight="true" outlineLevel="0" collapsed="false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customFormat="false" ht="14.25" hidden="false" customHeight="true" outlineLevel="0" collapsed="false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customFormat="false" ht="14.25" hidden="false" customHeight="true" outlineLevel="0" collapsed="false">
      <c r="A78" s="19" t="s">
        <v>159</v>
      </c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customFormat="false" ht="14.25" hidden="false" customHeight="true" outlineLevel="0" collapsed="false">
      <c r="A79" s="33" t="s">
        <v>160</v>
      </c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customFormat="false" ht="14.25" hidden="false" customHeight="true" outlineLevel="0" collapsed="false">
      <c r="A80" s="33" t="s">
        <v>161</v>
      </c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customFormat="false" ht="14.25" hidden="false" customHeight="true" outlineLevel="0" collapsed="false">
      <c r="A81" s="33" t="s">
        <v>162</v>
      </c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customFormat="false" ht="14.25" hidden="false" customHeight="true" outlineLevel="0" collapsed="false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customFormat="false" ht="14.25" hidden="false" customHeight="true" outlineLevel="0" collapsed="false">
      <c r="A83" s="34" t="s">
        <v>163</v>
      </c>
      <c r="B83" s="35" t="n">
        <f aca="false">MAX(B86:B89)</f>
        <v>0.09</v>
      </c>
      <c r="C83" s="36" t="s">
        <v>164</v>
      </c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customFormat="false" ht="14.25" hidden="false" customHeight="true" outlineLevel="0" collapsed="false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customFormat="false" ht="45" hidden="false" customHeight="true" outlineLevel="0" collapsed="false">
      <c r="A85" s="37" t="s">
        <v>60</v>
      </c>
      <c r="B85" s="37" t="s">
        <v>165</v>
      </c>
      <c r="C85" s="37" t="s">
        <v>166</v>
      </c>
      <c r="D85" s="37" t="s">
        <v>167</v>
      </c>
      <c r="E85" s="37" t="s">
        <v>168</v>
      </c>
      <c r="F85" s="37" t="s">
        <v>169</v>
      </c>
      <c r="G85" s="37" t="s">
        <v>170</v>
      </c>
      <c r="H85" s="37" t="s">
        <v>171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customFormat="false" ht="14.25" hidden="false" customHeight="true" outlineLevel="0" collapsed="false">
      <c r="A86" s="34" t="s">
        <v>74</v>
      </c>
      <c r="B86" s="38" t="n">
        <f aca="false">(B12+K12+L12)/3</f>
        <v>0.09</v>
      </c>
      <c r="C86" s="38" t="n">
        <f aca="false">MAX(0,M12-$B$83)</f>
        <v>0.03</v>
      </c>
      <c r="D86" s="38" t="n">
        <f aca="false">MAX(0,B12-$B$83)</f>
        <v>0.03</v>
      </c>
      <c r="E86" s="38" t="n">
        <f aca="false">C86+D86</f>
        <v>0.06</v>
      </c>
      <c r="F86" s="39" t="n">
        <f aca="false">COUNTIF(C94:L94,"&gt;0.000001")</f>
        <v>4</v>
      </c>
      <c r="G86" s="14" t="str">
        <f aca="false">IF(K94+L94&gt;=D86-0.000001,"OK","No alcanza: subir L")</f>
        <v>OK</v>
      </c>
      <c r="H86" s="38" t="n">
        <f aca="false">SUM(B94:L94)</f>
        <v>0.06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customFormat="false" ht="14.25" hidden="false" customHeight="true" outlineLevel="0" collapsed="false">
      <c r="A87" s="34" t="s">
        <v>76</v>
      </c>
      <c r="B87" s="38" t="n">
        <f aca="false">(B13+K13+L13)/3</f>
        <v>0.0816666666666667</v>
      </c>
      <c r="C87" s="38" t="n">
        <f aca="false">MAX(0,M13-$B$83)</f>
        <v>0.02</v>
      </c>
      <c r="D87" s="38" t="n">
        <f aca="false">MAX(0,B13-$B$83)</f>
        <v>0.01</v>
      </c>
      <c r="E87" s="38" t="n">
        <f aca="false">C87+D87</f>
        <v>0.03</v>
      </c>
      <c r="F87" s="39" t="n">
        <f aca="false">COUNTIF(C99:L99,"&gt;0.000001")</f>
        <v>2</v>
      </c>
      <c r="G87" s="14" t="str">
        <f aca="false">IF(K99+L99&gt;=D87-0.000001,"OK","No alcanza: subir L")</f>
        <v>OK</v>
      </c>
      <c r="H87" s="38" t="n">
        <f aca="false">SUM(B99:L99)</f>
        <v>0.03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customFormat="false" ht="14.25" hidden="false" customHeight="true" outlineLevel="0" collapsed="false">
      <c r="A88" s="34" t="s">
        <v>78</v>
      </c>
      <c r="B88" s="38" t="n">
        <f aca="false">(B14+K14+L14)/3</f>
        <v>0.0816666666666667</v>
      </c>
      <c r="C88" s="38" t="n">
        <f aca="false">MAX(0,M14-$B$83)</f>
        <v>0.02</v>
      </c>
      <c r="D88" s="38" t="n">
        <f aca="false">MAX(0,B14-$B$83)</f>
        <v>0.01</v>
      </c>
      <c r="E88" s="38" t="n">
        <f aca="false">C88+D88</f>
        <v>0.03</v>
      </c>
      <c r="F88" s="39" t="n">
        <f aca="false">COUNTIF(C104:L104,"&gt;0.000001")</f>
        <v>2</v>
      </c>
      <c r="G88" s="14" t="str">
        <f aca="false">IF(K104+L104&gt;=D88-0.000001,"OK","No alcanza: subir L")</f>
        <v>OK</v>
      </c>
      <c r="H88" s="38" t="n">
        <f aca="false">SUM(B104:L104)</f>
        <v>0.03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customFormat="false" ht="14.25" hidden="false" customHeight="true" outlineLevel="0" collapsed="false">
      <c r="A89" s="34" t="s">
        <v>79</v>
      </c>
      <c r="B89" s="38" t="n">
        <f aca="false">(B15+K15+L15)/3</f>
        <v>0.0816666666666667</v>
      </c>
      <c r="C89" s="38" t="n">
        <f aca="false">MAX(0,M15-$B$83)</f>
        <v>0.02</v>
      </c>
      <c r="D89" s="38" t="n">
        <f aca="false">MAX(0,B15-$B$83)</f>
        <v>0.01</v>
      </c>
      <c r="E89" s="38" t="n">
        <f aca="false">C89+D89</f>
        <v>0.03</v>
      </c>
      <c r="F89" s="39" t="n">
        <f aca="false">COUNTIF(C109:L109,"&gt;0.000001")</f>
        <v>2</v>
      </c>
      <c r="G89" s="14" t="str">
        <f aca="false">IF(K109+L109&gt;=D89-0.000001,"OK","No alcanza: subir L")</f>
        <v>OK</v>
      </c>
      <c r="H89" s="38" t="n">
        <f aca="false">SUM(B109:L109)</f>
        <v>0.03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customFormat="false" ht="14.25" hidden="false" customHeight="true" outlineLevel="0" collapsed="false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customFormat="false" ht="14.25" hidden="false" customHeight="true" outlineLevel="0" collapsed="false">
      <c r="A91" s="37" t="s">
        <v>172</v>
      </c>
      <c r="B91" s="37" t="s">
        <v>61</v>
      </c>
      <c r="C91" s="37" t="s">
        <v>62</v>
      </c>
      <c r="D91" s="37" t="s">
        <v>63</v>
      </c>
      <c r="E91" s="37" t="s">
        <v>64</v>
      </c>
      <c r="F91" s="37" t="s">
        <v>65</v>
      </c>
      <c r="G91" s="37" t="s">
        <v>66</v>
      </c>
      <c r="H91" s="37" t="s">
        <v>67</v>
      </c>
      <c r="I91" s="37" t="s">
        <v>68</v>
      </c>
      <c r="J91" s="37" t="s">
        <v>69</v>
      </c>
      <c r="K91" s="37" t="s">
        <v>70</v>
      </c>
      <c r="L91" s="37" t="s">
        <v>71</v>
      </c>
      <c r="M91" s="37" t="s">
        <v>72</v>
      </c>
      <c r="N91" s="37" t="s">
        <v>73</v>
      </c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customFormat="false" ht="14.25" hidden="false" customHeight="true" outlineLevel="0" collapsed="false">
      <c r="A92" s="14" t="s">
        <v>173</v>
      </c>
      <c r="B92" s="38" t="n">
        <f aca="false">B12</f>
        <v>0.12</v>
      </c>
      <c r="C92" s="38" t="n">
        <f aca="false">C12</f>
        <v>0.09</v>
      </c>
      <c r="D92" s="38" t="n">
        <f aca="false">D12</f>
        <v>0.08</v>
      </c>
      <c r="E92" s="38" t="n">
        <f aca="false">E12</f>
        <v>0.075</v>
      </c>
      <c r="F92" s="38" t="n">
        <f aca="false">F12</f>
        <v>0.07</v>
      </c>
      <c r="G92" s="38" t="n">
        <f aca="false">G12</f>
        <v>0.07</v>
      </c>
      <c r="H92" s="38" t="n">
        <f aca="false">H12</f>
        <v>0.075</v>
      </c>
      <c r="I92" s="38" t="n">
        <f aca="false">I12</f>
        <v>0.075</v>
      </c>
      <c r="J92" s="38" t="n">
        <f aca="false">J12</f>
        <v>0.075</v>
      </c>
      <c r="K92" s="38" t="n">
        <f aca="false">K12</f>
        <v>0.075</v>
      </c>
      <c r="L92" s="38" t="n">
        <f aca="false">L12</f>
        <v>0.075</v>
      </c>
      <c r="M92" s="38" t="n">
        <f aca="false">M12</f>
        <v>0.12</v>
      </c>
      <c r="N92" s="38" t="n">
        <f aca="false">SUM(B92:M92)</f>
        <v>1</v>
      </c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customFormat="false" ht="14.25" hidden="false" customHeight="true" outlineLevel="0" collapsed="false">
      <c r="A93" s="14" t="s">
        <v>174</v>
      </c>
      <c r="B93" s="38" t="n">
        <v>0</v>
      </c>
      <c r="C93" s="38" t="n">
        <f aca="false">MAX(0,$B$83-C92)</f>
        <v>0</v>
      </c>
      <c r="D93" s="38" t="n">
        <f aca="false">MAX(0,$B$83-D92)</f>
        <v>0.01</v>
      </c>
      <c r="E93" s="38" t="n">
        <f aca="false">MAX(0,$B$83-E92)</f>
        <v>0.015</v>
      </c>
      <c r="F93" s="38" t="n">
        <f aca="false">MAX(0,$B$83-F92)</f>
        <v>0.02</v>
      </c>
      <c r="G93" s="38" t="n">
        <f aca="false">MAX(0,$B$83-G92)</f>
        <v>0.02</v>
      </c>
      <c r="H93" s="38" t="n">
        <f aca="false">MAX(0,$B$83-H92)</f>
        <v>0.015</v>
      </c>
      <c r="I93" s="38" t="n">
        <f aca="false">MAX(0,$B$83-I92)</f>
        <v>0.015</v>
      </c>
      <c r="J93" s="38" t="n">
        <f aca="false">MAX(0,$B$83-J92)</f>
        <v>0.015</v>
      </c>
      <c r="K93" s="38" t="n">
        <f aca="false">MAX(0,$B$83-K92)</f>
        <v>0.015</v>
      </c>
      <c r="L93" s="38" t="n">
        <f aca="false">MAX(0,$B$83-L92)</f>
        <v>0.015</v>
      </c>
      <c r="M93" s="38" t="n">
        <v>0</v>
      </c>
      <c r="N93" s="38" t="n">
        <f aca="false">SUM(B93:M93)</f>
        <v>0.14</v>
      </c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customFormat="false" ht="14.25" hidden="false" customHeight="true" outlineLevel="0" collapsed="false">
      <c r="A94" s="14" t="s">
        <v>175</v>
      </c>
      <c r="B94" s="38" t="n">
        <v>0</v>
      </c>
      <c r="C94" s="38" t="n">
        <f aca="false">MIN(C93,MAX(0,$E$86-SUM(D93:L93)))</f>
        <v>0</v>
      </c>
      <c r="D94" s="38" t="n">
        <f aca="false">MIN(D93,MAX(0,$E$86-SUM(E93:L93)))</f>
        <v>0</v>
      </c>
      <c r="E94" s="38" t="n">
        <f aca="false">MIN(E93,MAX(0,$E$86-SUM(F93:L93)))</f>
        <v>0</v>
      </c>
      <c r="F94" s="38" t="n">
        <f aca="false">MIN(F93,MAX(0,$E$86-SUM(G93:L93)))</f>
        <v>0</v>
      </c>
      <c r="G94" s="38" t="n">
        <f aca="false">MIN(G93,MAX(0,$E$86-SUM(H93:L93)))</f>
        <v>0</v>
      </c>
      <c r="H94" s="38" t="n">
        <f aca="false">MIN(H93,MAX(0,$E$86-SUM(I93:L93)))</f>
        <v>0</v>
      </c>
      <c r="I94" s="38" t="n">
        <f aca="false">MIN(I93,MAX(0,$E$86-SUM(J93:L93)))</f>
        <v>0.0149999999999999</v>
      </c>
      <c r="J94" s="38" t="n">
        <f aca="false">MIN(J93,MAX(0,$E$86-SUM(K93:L93)))</f>
        <v>0.015</v>
      </c>
      <c r="K94" s="38" t="n">
        <f aca="false">MIN(K93,MAX(0,$E$86-SUM(L93)))</f>
        <v>0.015</v>
      </c>
      <c r="L94" s="38" t="n">
        <f aca="false">MIN(L93,MAX(0,$E$86-0))</f>
        <v>0.015</v>
      </c>
      <c r="M94" s="38" t="n">
        <v>0</v>
      </c>
      <c r="N94" s="38" t="n">
        <f aca="false">SUM(B94:M94)</f>
        <v>0.06</v>
      </c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customFormat="false" ht="14.25" hidden="false" customHeight="true" outlineLevel="0" collapsed="false">
      <c r="A95" s="34" t="s">
        <v>176</v>
      </c>
      <c r="B95" s="35" t="n">
        <f aca="false">MIN(B92,$B$83)</f>
        <v>0.09</v>
      </c>
      <c r="C95" s="35" t="n">
        <f aca="false">C92+C94</f>
        <v>0.09</v>
      </c>
      <c r="D95" s="35" t="n">
        <f aca="false">D92+D94</f>
        <v>0.08</v>
      </c>
      <c r="E95" s="35" t="n">
        <f aca="false">E92+E94</f>
        <v>0.075</v>
      </c>
      <c r="F95" s="35" t="n">
        <f aca="false">F92+F94</f>
        <v>0.07</v>
      </c>
      <c r="G95" s="35" t="n">
        <f aca="false">G92+G94</f>
        <v>0.07</v>
      </c>
      <c r="H95" s="35" t="n">
        <f aca="false">H92+H94</f>
        <v>0.075</v>
      </c>
      <c r="I95" s="35" t="n">
        <f aca="false">I92+I94</f>
        <v>0.0899999999999999</v>
      </c>
      <c r="J95" s="35" t="n">
        <f aca="false">J92+J94</f>
        <v>0.09</v>
      </c>
      <c r="K95" s="35" t="n">
        <f aca="false">K92+K94</f>
        <v>0.09</v>
      </c>
      <c r="L95" s="35" t="n">
        <f aca="false">L92+L94</f>
        <v>0.09</v>
      </c>
      <c r="M95" s="35" t="n">
        <f aca="false">MIN(M92,$B$83)</f>
        <v>0.09</v>
      </c>
      <c r="N95" s="40" t="n">
        <f aca="false">SUM(B95:M95)</f>
        <v>1</v>
      </c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customFormat="false" ht="14.25" hidden="false" customHeight="true" outlineLevel="0" collapsed="false">
      <c r="A96" s="37" t="s">
        <v>177</v>
      </c>
      <c r="B96" s="37" t="s">
        <v>61</v>
      </c>
      <c r="C96" s="37" t="s">
        <v>62</v>
      </c>
      <c r="D96" s="37" t="s">
        <v>63</v>
      </c>
      <c r="E96" s="37" t="s">
        <v>64</v>
      </c>
      <c r="F96" s="37" t="s">
        <v>65</v>
      </c>
      <c r="G96" s="37" t="s">
        <v>66</v>
      </c>
      <c r="H96" s="37" t="s">
        <v>67</v>
      </c>
      <c r="I96" s="37" t="s">
        <v>68</v>
      </c>
      <c r="J96" s="37" t="s">
        <v>69</v>
      </c>
      <c r="K96" s="37" t="s">
        <v>70</v>
      </c>
      <c r="L96" s="37" t="s">
        <v>71</v>
      </c>
      <c r="M96" s="37" t="s">
        <v>72</v>
      </c>
      <c r="N96" s="37" t="s">
        <v>73</v>
      </c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customFormat="false" ht="14.25" hidden="false" customHeight="true" outlineLevel="0" collapsed="false">
      <c r="A97" s="14" t="s">
        <v>173</v>
      </c>
      <c r="B97" s="38" t="n">
        <f aca="false">B13</f>
        <v>0.1</v>
      </c>
      <c r="C97" s="38" t="n">
        <f aca="false">C13</f>
        <v>0.08</v>
      </c>
      <c r="D97" s="38" t="n">
        <f aca="false">D13</f>
        <v>0.085</v>
      </c>
      <c r="E97" s="38" t="n">
        <f aca="false">E13</f>
        <v>0.085</v>
      </c>
      <c r="F97" s="38" t="n">
        <f aca="false">F13</f>
        <v>0.08</v>
      </c>
      <c r="G97" s="38" t="n">
        <f aca="false">G13</f>
        <v>0.075</v>
      </c>
      <c r="H97" s="38" t="n">
        <f aca="false">H13</f>
        <v>0.08</v>
      </c>
      <c r="I97" s="38" t="n">
        <f aca="false">I13</f>
        <v>0.08</v>
      </c>
      <c r="J97" s="38" t="n">
        <f aca="false">J13</f>
        <v>0.08</v>
      </c>
      <c r="K97" s="38" t="n">
        <f aca="false">K13</f>
        <v>0.075</v>
      </c>
      <c r="L97" s="38" t="n">
        <f aca="false">L13</f>
        <v>0.07</v>
      </c>
      <c r="M97" s="38" t="n">
        <f aca="false">M13</f>
        <v>0.11</v>
      </c>
      <c r="N97" s="38" t="n">
        <f aca="false">SUM(B97:M97)</f>
        <v>1</v>
      </c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customFormat="false" ht="14.25" hidden="false" customHeight="true" outlineLevel="0" collapsed="false">
      <c r="A98" s="14" t="s">
        <v>174</v>
      </c>
      <c r="B98" s="38" t="n">
        <v>0</v>
      </c>
      <c r="C98" s="38" t="n">
        <f aca="false">MAX(0,$B$83-C97)</f>
        <v>0.01</v>
      </c>
      <c r="D98" s="38" t="n">
        <f aca="false">MAX(0,$B$83-D97)</f>
        <v>0.005</v>
      </c>
      <c r="E98" s="38" t="n">
        <f aca="false">MAX(0,$B$83-E97)</f>
        <v>0.005</v>
      </c>
      <c r="F98" s="38" t="n">
        <f aca="false">MAX(0,$B$83-F97)</f>
        <v>0.01</v>
      </c>
      <c r="G98" s="38" t="n">
        <f aca="false">MAX(0,$B$83-G97)</f>
        <v>0.015</v>
      </c>
      <c r="H98" s="38" t="n">
        <f aca="false">MAX(0,$B$83-H97)</f>
        <v>0.01</v>
      </c>
      <c r="I98" s="38" t="n">
        <f aca="false">MAX(0,$B$83-I97)</f>
        <v>0.01</v>
      </c>
      <c r="J98" s="38" t="n">
        <f aca="false">MAX(0,$B$83-J97)</f>
        <v>0.01</v>
      </c>
      <c r="K98" s="38" t="n">
        <f aca="false">MAX(0,$B$83-K97)</f>
        <v>0.015</v>
      </c>
      <c r="L98" s="38" t="n">
        <f aca="false">MAX(0,$B$83-L97)</f>
        <v>0.02</v>
      </c>
      <c r="M98" s="38" t="n">
        <v>0</v>
      </c>
      <c r="N98" s="38" t="n">
        <f aca="false">SUM(B98:M98)</f>
        <v>0.11</v>
      </c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customFormat="false" ht="14.25" hidden="false" customHeight="true" outlineLevel="0" collapsed="false">
      <c r="A99" s="14" t="s">
        <v>175</v>
      </c>
      <c r="B99" s="38" t="n">
        <v>0</v>
      </c>
      <c r="C99" s="38" t="n">
        <f aca="false">MIN(C98,MAX(0,$E$87-SUM(D98:L98)))</f>
        <v>0</v>
      </c>
      <c r="D99" s="38" t="n">
        <f aca="false">MIN(D98,MAX(0,$E$87-SUM(E98:L98)))</f>
        <v>0</v>
      </c>
      <c r="E99" s="38" t="n">
        <f aca="false">MIN(E98,MAX(0,$E$87-SUM(F98:L98)))</f>
        <v>0</v>
      </c>
      <c r="F99" s="38" t="n">
        <f aca="false">MIN(F98,MAX(0,$E$87-SUM(G98:L98)))</f>
        <v>0</v>
      </c>
      <c r="G99" s="38" t="n">
        <f aca="false">MIN(G98,MAX(0,$E$87-SUM(H98:L98)))</f>
        <v>0</v>
      </c>
      <c r="H99" s="38" t="n">
        <f aca="false">MIN(H98,MAX(0,$E$87-SUM(I98:L98)))</f>
        <v>0</v>
      </c>
      <c r="I99" s="38" t="n">
        <f aca="false">MIN(I98,MAX(0,$E$87-SUM(J98:L98)))</f>
        <v>0</v>
      </c>
      <c r="J99" s="38" t="n">
        <f aca="false">MIN(J98,MAX(0,$E$87-SUM(K98:L98)))</f>
        <v>0</v>
      </c>
      <c r="K99" s="38" t="n">
        <f aca="false">MIN(K98,MAX(0,$E$87-SUM(L98)))</f>
        <v>0.00999999999999998</v>
      </c>
      <c r="L99" s="38" t="n">
        <f aca="false">MIN(L98,MAX(0,$E$87-0))</f>
        <v>0.02</v>
      </c>
      <c r="M99" s="38" t="n">
        <v>0</v>
      </c>
      <c r="N99" s="38" t="n">
        <f aca="false">SUM(B99:M99)</f>
        <v>0.03</v>
      </c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customFormat="false" ht="14.25" hidden="false" customHeight="true" outlineLevel="0" collapsed="false">
      <c r="A100" s="34" t="s">
        <v>176</v>
      </c>
      <c r="B100" s="35" t="n">
        <f aca="false">MIN(B97,$B$83)</f>
        <v>0.09</v>
      </c>
      <c r="C100" s="35" t="n">
        <f aca="false">C97+C99</f>
        <v>0.08</v>
      </c>
      <c r="D100" s="35" t="n">
        <f aca="false">D97+D99</f>
        <v>0.085</v>
      </c>
      <c r="E100" s="35" t="n">
        <f aca="false">E97+E99</f>
        <v>0.085</v>
      </c>
      <c r="F100" s="35" t="n">
        <f aca="false">F97+F99</f>
        <v>0.08</v>
      </c>
      <c r="G100" s="35" t="n">
        <f aca="false">G97+G99</f>
        <v>0.075</v>
      </c>
      <c r="H100" s="35" t="n">
        <f aca="false">H97+H99</f>
        <v>0.08</v>
      </c>
      <c r="I100" s="35" t="n">
        <f aca="false">I97+I99</f>
        <v>0.08</v>
      </c>
      <c r="J100" s="35" t="n">
        <f aca="false">J97+J99</f>
        <v>0.08</v>
      </c>
      <c r="K100" s="35" t="n">
        <f aca="false">K97+K99</f>
        <v>0.085</v>
      </c>
      <c r="L100" s="35" t="n">
        <f aca="false">L97+L99</f>
        <v>0.09</v>
      </c>
      <c r="M100" s="35" t="n">
        <f aca="false">MIN(M97,$B$83)</f>
        <v>0.09</v>
      </c>
      <c r="N100" s="40" t="n">
        <f aca="false">SUM(B100:M100)</f>
        <v>1</v>
      </c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customFormat="false" ht="14.25" hidden="false" customHeight="true" outlineLevel="0" collapsed="false">
      <c r="A101" s="37" t="s">
        <v>178</v>
      </c>
      <c r="B101" s="37" t="s">
        <v>61</v>
      </c>
      <c r="C101" s="37" t="s">
        <v>62</v>
      </c>
      <c r="D101" s="37" t="s">
        <v>63</v>
      </c>
      <c r="E101" s="37" t="s">
        <v>64</v>
      </c>
      <c r="F101" s="37" t="s">
        <v>65</v>
      </c>
      <c r="G101" s="37" t="s">
        <v>66</v>
      </c>
      <c r="H101" s="37" t="s">
        <v>67</v>
      </c>
      <c r="I101" s="37" t="s">
        <v>68</v>
      </c>
      <c r="J101" s="37" t="s">
        <v>69</v>
      </c>
      <c r="K101" s="37" t="s">
        <v>70</v>
      </c>
      <c r="L101" s="37" t="s">
        <v>71</v>
      </c>
      <c r="M101" s="37" t="s">
        <v>72</v>
      </c>
      <c r="N101" s="37" t="s">
        <v>73</v>
      </c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customFormat="false" ht="14.25" hidden="false" customHeight="true" outlineLevel="0" collapsed="false">
      <c r="A102" s="14" t="s">
        <v>173</v>
      </c>
      <c r="B102" s="38" t="n">
        <f aca="false">B14</f>
        <v>0.1</v>
      </c>
      <c r="C102" s="38" t="n">
        <f aca="false">C14</f>
        <v>0.08</v>
      </c>
      <c r="D102" s="38" t="n">
        <f aca="false">D14</f>
        <v>0.085</v>
      </c>
      <c r="E102" s="38" t="n">
        <f aca="false">E14</f>
        <v>0.085</v>
      </c>
      <c r="F102" s="38" t="n">
        <f aca="false">F14</f>
        <v>0.08</v>
      </c>
      <c r="G102" s="38" t="n">
        <f aca="false">G14</f>
        <v>0.075</v>
      </c>
      <c r="H102" s="38" t="n">
        <f aca="false">H14</f>
        <v>0.08</v>
      </c>
      <c r="I102" s="38" t="n">
        <f aca="false">I14</f>
        <v>0.08</v>
      </c>
      <c r="J102" s="38" t="n">
        <f aca="false">J14</f>
        <v>0.08</v>
      </c>
      <c r="K102" s="38" t="n">
        <f aca="false">K14</f>
        <v>0.075</v>
      </c>
      <c r="L102" s="38" t="n">
        <f aca="false">L14</f>
        <v>0.07</v>
      </c>
      <c r="M102" s="38" t="n">
        <f aca="false">M14</f>
        <v>0.11</v>
      </c>
      <c r="N102" s="38" t="n">
        <f aca="false">SUM(B102:M102)</f>
        <v>1</v>
      </c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customFormat="false" ht="14.25" hidden="false" customHeight="true" outlineLevel="0" collapsed="false">
      <c r="A103" s="14" t="s">
        <v>174</v>
      </c>
      <c r="B103" s="38" t="n">
        <v>0</v>
      </c>
      <c r="C103" s="38" t="n">
        <f aca="false">MAX(0,$B$83-C102)</f>
        <v>0.01</v>
      </c>
      <c r="D103" s="38" t="n">
        <f aca="false">MAX(0,$B$83-D102)</f>
        <v>0.005</v>
      </c>
      <c r="E103" s="38" t="n">
        <f aca="false">MAX(0,$B$83-E102)</f>
        <v>0.005</v>
      </c>
      <c r="F103" s="38" t="n">
        <f aca="false">MAX(0,$B$83-F102)</f>
        <v>0.01</v>
      </c>
      <c r="G103" s="38" t="n">
        <f aca="false">MAX(0,$B$83-G102)</f>
        <v>0.015</v>
      </c>
      <c r="H103" s="38" t="n">
        <f aca="false">MAX(0,$B$83-H102)</f>
        <v>0.01</v>
      </c>
      <c r="I103" s="38" t="n">
        <f aca="false">MAX(0,$B$83-I102)</f>
        <v>0.01</v>
      </c>
      <c r="J103" s="38" t="n">
        <f aca="false">MAX(0,$B$83-J102)</f>
        <v>0.01</v>
      </c>
      <c r="K103" s="38" t="n">
        <f aca="false">MAX(0,$B$83-K102)</f>
        <v>0.015</v>
      </c>
      <c r="L103" s="38" t="n">
        <f aca="false">MAX(0,$B$83-L102)</f>
        <v>0.02</v>
      </c>
      <c r="M103" s="38" t="n">
        <v>0</v>
      </c>
      <c r="N103" s="38" t="n">
        <f aca="false">SUM(B103:M103)</f>
        <v>0.11</v>
      </c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customFormat="false" ht="14.25" hidden="false" customHeight="true" outlineLevel="0" collapsed="false">
      <c r="A104" s="14" t="s">
        <v>175</v>
      </c>
      <c r="B104" s="38" t="n">
        <v>0</v>
      </c>
      <c r="C104" s="38" t="n">
        <f aca="false">MIN(C103,MAX(0,$E$88-SUM(D103:L103)))</f>
        <v>0</v>
      </c>
      <c r="D104" s="38" t="n">
        <f aca="false">MIN(D103,MAX(0,$E$88-SUM(E103:L103)))</f>
        <v>0</v>
      </c>
      <c r="E104" s="38" t="n">
        <f aca="false">MIN(E103,MAX(0,$E$88-SUM(F103:L103)))</f>
        <v>0</v>
      </c>
      <c r="F104" s="38" t="n">
        <f aca="false">MIN(F103,MAX(0,$E$88-SUM(G103:L103)))</f>
        <v>0</v>
      </c>
      <c r="G104" s="38" t="n">
        <f aca="false">MIN(G103,MAX(0,$E$88-SUM(H103:L103)))</f>
        <v>0</v>
      </c>
      <c r="H104" s="38" t="n">
        <f aca="false">MIN(H103,MAX(0,$E$88-SUM(I103:L103)))</f>
        <v>0</v>
      </c>
      <c r="I104" s="38" t="n">
        <f aca="false">MIN(I103,MAX(0,$E$88-SUM(J103:L103)))</f>
        <v>0</v>
      </c>
      <c r="J104" s="38" t="n">
        <f aca="false">MIN(J103,MAX(0,$E$88-SUM(K103:L103)))</f>
        <v>0</v>
      </c>
      <c r="K104" s="38" t="n">
        <f aca="false">MIN(K103,MAX(0,$E$88-SUM(L103)))</f>
        <v>0.00999999999999998</v>
      </c>
      <c r="L104" s="38" t="n">
        <f aca="false">MIN(L103,MAX(0,$E$88-0))</f>
        <v>0.02</v>
      </c>
      <c r="M104" s="38" t="n">
        <v>0</v>
      </c>
      <c r="N104" s="38" t="n">
        <f aca="false">SUM(B104:M104)</f>
        <v>0.03</v>
      </c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customFormat="false" ht="14.25" hidden="false" customHeight="true" outlineLevel="0" collapsed="false">
      <c r="A105" s="34" t="s">
        <v>176</v>
      </c>
      <c r="B105" s="35" t="n">
        <f aca="false">MIN(B102,$B$83)</f>
        <v>0.09</v>
      </c>
      <c r="C105" s="35" t="n">
        <f aca="false">C102+C104</f>
        <v>0.08</v>
      </c>
      <c r="D105" s="35" t="n">
        <f aca="false">D102+D104</f>
        <v>0.085</v>
      </c>
      <c r="E105" s="35" t="n">
        <f aca="false">E102+E104</f>
        <v>0.085</v>
      </c>
      <c r="F105" s="35" t="n">
        <f aca="false">F102+F104</f>
        <v>0.08</v>
      </c>
      <c r="G105" s="35" t="n">
        <f aca="false">G102+G104</f>
        <v>0.075</v>
      </c>
      <c r="H105" s="35" t="n">
        <f aca="false">H102+H104</f>
        <v>0.08</v>
      </c>
      <c r="I105" s="35" t="n">
        <f aca="false">I102+I104</f>
        <v>0.08</v>
      </c>
      <c r="J105" s="35" t="n">
        <f aca="false">J102+J104</f>
        <v>0.08</v>
      </c>
      <c r="K105" s="35" t="n">
        <f aca="false">K102+K104</f>
        <v>0.085</v>
      </c>
      <c r="L105" s="35" t="n">
        <f aca="false">L102+L104</f>
        <v>0.09</v>
      </c>
      <c r="M105" s="35" t="n">
        <f aca="false">MIN(M102,$B$83)</f>
        <v>0.09</v>
      </c>
      <c r="N105" s="40" t="n">
        <f aca="false">SUM(B105:M105)</f>
        <v>1</v>
      </c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customFormat="false" ht="14.25" hidden="false" customHeight="true" outlineLevel="0" collapsed="false">
      <c r="A106" s="37" t="s">
        <v>179</v>
      </c>
      <c r="B106" s="37" t="s">
        <v>61</v>
      </c>
      <c r="C106" s="37" t="s">
        <v>62</v>
      </c>
      <c r="D106" s="37" t="s">
        <v>63</v>
      </c>
      <c r="E106" s="37" t="s">
        <v>64</v>
      </c>
      <c r="F106" s="37" t="s">
        <v>65</v>
      </c>
      <c r="G106" s="37" t="s">
        <v>66</v>
      </c>
      <c r="H106" s="37" t="s">
        <v>67</v>
      </c>
      <c r="I106" s="37" t="s">
        <v>68</v>
      </c>
      <c r="J106" s="37" t="s">
        <v>69</v>
      </c>
      <c r="K106" s="37" t="s">
        <v>70</v>
      </c>
      <c r="L106" s="37" t="s">
        <v>71</v>
      </c>
      <c r="M106" s="37" t="s">
        <v>72</v>
      </c>
      <c r="N106" s="37" t="s">
        <v>73</v>
      </c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customFormat="false" ht="14.25" hidden="false" customHeight="true" outlineLevel="0" collapsed="false">
      <c r="A107" s="14" t="s">
        <v>173</v>
      </c>
      <c r="B107" s="38" t="n">
        <f aca="false">B15</f>
        <v>0.1</v>
      </c>
      <c r="C107" s="38" t="n">
        <f aca="false">C15</f>
        <v>0.08</v>
      </c>
      <c r="D107" s="38" t="n">
        <f aca="false">D15</f>
        <v>0.085</v>
      </c>
      <c r="E107" s="38" t="n">
        <f aca="false">E15</f>
        <v>0.085</v>
      </c>
      <c r="F107" s="38" t="n">
        <f aca="false">F15</f>
        <v>0.08</v>
      </c>
      <c r="G107" s="38" t="n">
        <f aca="false">G15</f>
        <v>0.075</v>
      </c>
      <c r="H107" s="38" t="n">
        <f aca="false">H15</f>
        <v>0.08</v>
      </c>
      <c r="I107" s="38" t="n">
        <f aca="false">I15</f>
        <v>0.08</v>
      </c>
      <c r="J107" s="38" t="n">
        <f aca="false">J15</f>
        <v>0.08</v>
      </c>
      <c r="K107" s="38" t="n">
        <f aca="false">K15</f>
        <v>0.075</v>
      </c>
      <c r="L107" s="38" t="n">
        <f aca="false">L15</f>
        <v>0.07</v>
      </c>
      <c r="M107" s="38" t="n">
        <f aca="false">M15</f>
        <v>0.11</v>
      </c>
      <c r="N107" s="38" t="n">
        <f aca="false">SUM(B107:M107)</f>
        <v>1</v>
      </c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customFormat="false" ht="14.25" hidden="false" customHeight="true" outlineLevel="0" collapsed="false">
      <c r="A108" s="14" t="s">
        <v>174</v>
      </c>
      <c r="B108" s="38" t="n">
        <v>0</v>
      </c>
      <c r="C108" s="38" t="n">
        <f aca="false">MAX(0,$B$83-C107)</f>
        <v>0.01</v>
      </c>
      <c r="D108" s="38" t="n">
        <f aca="false">MAX(0,$B$83-D107)</f>
        <v>0.005</v>
      </c>
      <c r="E108" s="38" t="n">
        <f aca="false">MAX(0,$B$83-E107)</f>
        <v>0.005</v>
      </c>
      <c r="F108" s="38" t="n">
        <f aca="false">MAX(0,$B$83-F107)</f>
        <v>0.01</v>
      </c>
      <c r="G108" s="38" t="n">
        <f aca="false">MAX(0,$B$83-G107)</f>
        <v>0.015</v>
      </c>
      <c r="H108" s="38" t="n">
        <f aca="false">MAX(0,$B$83-H107)</f>
        <v>0.01</v>
      </c>
      <c r="I108" s="38" t="n">
        <f aca="false">MAX(0,$B$83-I107)</f>
        <v>0.01</v>
      </c>
      <c r="J108" s="38" t="n">
        <f aca="false">MAX(0,$B$83-J107)</f>
        <v>0.01</v>
      </c>
      <c r="K108" s="38" t="n">
        <f aca="false">MAX(0,$B$83-K107)</f>
        <v>0.015</v>
      </c>
      <c r="L108" s="38" t="n">
        <f aca="false">MAX(0,$B$83-L107)</f>
        <v>0.02</v>
      </c>
      <c r="M108" s="38" t="n">
        <v>0</v>
      </c>
      <c r="N108" s="38" t="n">
        <f aca="false">SUM(B108:M108)</f>
        <v>0.11</v>
      </c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customFormat="false" ht="14.25" hidden="false" customHeight="true" outlineLevel="0" collapsed="false">
      <c r="A109" s="14" t="s">
        <v>175</v>
      </c>
      <c r="B109" s="38" t="n">
        <v>0</v>
      </c>
      <c r="C109" s="38" t="n">
        <f aca="false">MIN(C108,MAX(0,$E$89-SUM(D108:L108)))</f>
        <v>0</v>
      </c>
      <c r="D109" s="38" t="n">
        <f aca="false">MIN(D108,MAX(0,$E$89-SUM(E108:L108)))</f>
        <v>0</v>
      </c>
      <c r="E109" s="38" t="n">
        <f aca="false">MIN(E108,MAX(0,$E$89-SUM(F108:L108)))</f>
        <v>0</v>
      </c>
      <c r="F109" s="38" t="n">
        <f aca="false">MIN(F108,MAX(0,$E$89-SUM(G108:L108)))</f>
        <v>0</v>
      </c>
      <c r="G109" s="38" t="n">
        <f aca="false">MIN(G108,MAX(0,$E$89-SUM(H108:L108)))</f>
        <v>0</v>
      </c>
      <c r="H109" s="38" t="n">
        <f aca="false">MIN(H108,MAX(0,$E$89-SUM(I108:L108)))</f>
        <v>0</v>
      </c>
      <c r="I109" s="38" t="n">
        <f aca="false">MIN(I108,MAX(0,$E$89-SUM(J108:L108)))</f>
        <v>0</v>
      </c>
      <c r="J109" s="38" t="n">
        <f aca="false">MIN(J108,MAX(0,$E$89-SUM(K108:L108)))</f>
        <v>0</v>
      </c>
      <c r="K109" s="38" t="n">
        <f aca="false">MIN(K108,MAX(0,$E$89-SUM(L108)))</f>
        <v>0.00999999999999998</v>
      </c>
      <c r="L109" s="38" t="n">
        <f aca="false">MIN(L108,MAX(0,$E$89-0))</f>
        <v>0.02</v>
      </c>
      <c r="M109" s="38" t="n">
        <v>0</v>
      </c>
      <c r="N109" s="38" t="n">
        <f aca="false">SUM(B109:M109)</f>
        <v>0.03</v>
      </c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customFormat="false" ht="14.25" hidden="false" customHeight="true" outlineLevel="0" collapsed="false">
      <c r="A110" s="34" t="s">
        <v>176</v>
      </c>
      <c r="B110" s="35" t="n">
        <f aca="false">MIN(B107,$B$83)</f>
        <v>0.09</v>
      </c>
      <c r="C110" s="35" t="n">
        <f aca="false">C107+C109</f>
        <v>0.08</v>
      </c>
      <c r="D110" s="35" t="n">
        <f aca="false">D107+D109</f>
        <v>0.085</v>
      </c>
      <c r="E110" s="35" t="n">
        <f aca="false">E107+E109</f>
        <v>0.085</v>
      </c>
      <c r="F110" s="35" t="n">
        <f aca="false">F107+F109</f>
        <v>0.08</v>
      </c>
      <c r="G110" s="35" t="n">
        <f aca="false">G107+G109</f>
        <v>0.075</v>
      </c>
      <c r="H110" s="35" t="n">
        <f aca="false">H107+H109</f>
        <v>0.08</v>
      </c>
      <c r="I110" s="35" t="n">
        <f aca="false">I107+I109</f>
        <v>0.08</v>
      </c>
      <c r="J110" s="35" t="n">
        <f aca="false">J107+J109</f>
        <v>0.08</v>
      </c>
      <c r="K110" s="35" t="n">
        <f aca="false">K107+K109</f>
        <v>0.085</v>
      </c>
      <c r="L110" s="35" t="n">
        <f aca="false">L107+L109</f>
        <v>0.09</v>
      </c>
      <c r="M110" s="35" t="n">
        <f aca="false">MIN(M107,$B$83)</f>
        <v>0.09</v>
      </c>
      <c r="N110" s="40" t="n">
        <f aca="false">SUM(B110:M110)</f>
        <v>1</v>
      </c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customFormat="false" ht="14.25" hidden="false" customHeight="true" outlineLevel="0" collapsed="false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customFormat="false" ht="14.25" hidden="false" customHeight="true" outlineLevel="0" collapsed="false">
      <c r="A112" s="33" t="s">
        <v>180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customFormat="false" ht="14.25" hidden="false" customHeight="true" outlineLevel="0" collapsed="false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customFormat="false" ht="14.25" hidden="false" customHeight="true" outlineLevel="0" collapsed="false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customFormat="false" ht="14.25" hidden="false" customHeight="true" outlineLevel="0" collapsed="false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customFormat="false" ht="14.25" hidden="false" customHeight="true" outlineLevel="0" collapsed="false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customFormat="false" ht="14.25" hidden="false" customHeight="true" outlineLevel="0" collapsed="false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customFormat="false" ht="14.25" hidden="false" customHeight="true" outlineLevel="0" collapsed="false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customFormat="false" ht="14.25" hidden="false" customHeight="true" outlineLevel="0" collapsed="false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customFormat="false" ht="14.25" hidden="false" customHeight="true" outlineLevel="0" collapsed="false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customFormat="false" ht="14.25" hidden="false" customHeight="true" outlineLevel="0" collapsed="false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customFormat="false" ht="14.25" hidden="false" customHeight="true" outlineLevel="0" collapsed="false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customFormat="false" ht="14.25" hidden="false" customHeight="true" outlineLevel="0" collapsed="false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customFormat="false" ht="14.25" hidden="false" customHeight="true" outlineLevel="0" collapsed="false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customFormat="false" ht="14.25" hidden="false" customHeight="true" outlineLevel="0" collapsed="false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customFormat="false" ht="14.25" hidden="false" customHeight="true" outlineLevel="0" collapsed="false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customFormat="false" ht="14.25" hidden="false" customHeight="true" outlineLevel="0" collapsed="false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customFormat="false" ht="14.25" hidden="false" customHeight="true" outlineLevel="0" collapsed="false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customFormat="false" ht="14.25" hidden="false" customHeight="true" outlineLevel="0" collapsed="false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customFormat="false" ht="14.25" hidden="false" customHeight="true" outlineLevel="0" collapsed="false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customFormat="false" ht="14.25" hidden="false" customHeight="true" outlineLevel="0" collapsed="false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customFormat="false" ht="14.25" hidden="false" customHeight="true" outlineLevel="0" collapsed="false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customFormat="false" ht="14.25" hidden="false" customHeight="true" outlineLevel="0" collapsed="false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customFormat="false" ht="14.25" hidden="false" customHeight="true" outlineLevel="0" collapsed="false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customFormat="false" ht="14.25" hidden="false" customHeight="true" outlineLevel="0" collapsed="false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customFormat="false" ht="14.25" hidden="false" customHeight="true" outlineLevel="0" collapsed="false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customFormat="false" ht="14.25" hidden="false" customHeight="true" outlineLevel="0" collapsed="false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customFormat="false" ht="14.25" hidden="false" customHeight="true" outlineLevel="0" collapsed="false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customFormat="false" ht="14.25" hidden="false" customHeight="true" outlineLevel="0" collapsed="false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customFormat="false" ht="14.25" hidden="false" customHeight="true" outlineLevel="0" collapsed="false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customFormat="false" ht="14.25" hidden="false" customHeight="true" outlineLevel="0" collapsed="false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customFormat="false" ht="14.25" hidden="false" customHeight="true" outlineLevel="0" collapsed="false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customFormat="false" ht="14.25" hidden="false" customHeight="true" outlineLevel="0" collapsed="false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customFormat="false" ht="14.25" hidden="false" customHeight="true" outlineLevel="0" collapsed="false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customFormat="false" ht="14.25" hidden="false" customHeight="true" outlineLevel="0" collapsed="false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customFormat="false" ht="14.25" hidden="false" customHeight="true" outlineLevel="0" collapsed="false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customFormat="false" ht="14.25" hidden="false" customHeight="true" outlineLevel="0" collapsed="false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customFormat="false" ht="14.25" hidden="false" customHeight="true" outlineLevel="0" collapsed="false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customFormat="false" ht="14.25" hidden="false" customHeight="true" outlineLevel="0" collapsed="false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customFormat="false" ht="14.25" hidden="false" customHeight="true" outlineLevel="0" collapsed="false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customFormat="false" ht="14.25" hidden="false" customHeight="true" outlineLevel="0" collapsed="false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customFormat="false" ht="14.25" hidden="false" customHeight="true" outlineLevel="0" collapsed="false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customFormat="false" ht="14.25" hidden="false" customHeight="true" outlineLevel="0" collapsed="false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customFormat="false" ht="14.25" hidden="false" customHeight="true" outlineLevel="0" collapsed="false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customFormat="false" ht="14.25" hidden="false" customHeight="true" outlineLevel="0" collapsed="false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customFormat="false" ht="14.25" hidden="false" customHeight="true" outlineLevel="0" collapsed="false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customFormat="false" ht="14.25" hidden="false" customHeight="true" outlineLevel="0" collapsed="false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customFormat="false" ht="14.25" hidden="false" customHeight="true" outlineLevel="0" collapsed="false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customFormat="false" ht="14.25" hidden="false" customHeight="true" outlineLevel="0" collapsed="false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customFormat="false" ht="14.25" hidden="false" customHeight="true" outlineLevel="0" collapsed="false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customFormat="false" ht="14.25" hidden="false" customHeight="true" outlineLevel="0" collapsed="false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customFormat="false" ht="14.25" hidden="false" customHeight="true" outlineLevel="0" collapsed="false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customFormat="false" ht="14.25" hidden="false" customHeight="true" outlineLevel="0" collapsed="false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customFormat="false" ht="14.25" hidden="false" customHeight="true" outlineLevel="0" collapsed="false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customFormat="false" ht="14.25" hidden="false" customHeight="true" outlineLevel="0" collapsed="false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customFormat="false" ht="14.25" hidden="false" customHeight="true" outlineLevel="0" collapsed="false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customFormat="false" ht="14.25" hidden="false" customHeight="true" outlineLevel="0" collapsed="false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customFormat="false" ht="14.25" hidden="false" customHeight="true" outlineLevel="0" collapsed="false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customFormat="false" ht="14.25" hidden="false" customHeight="true" outlineLevel="0" collapsed="false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customFormat="false" ht="14.25" hidden="false" customHeight="true" outlineLevel="0" collapsed="false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customFormat="false" ht="14.25" hidden="false" customHeight="true" outlineLevel="0" collapsed="false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customFormat="false" ht="14.25" hidden="false" customHeight="true" outlineLevel="0" collapsed="false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customFormat="false" ht="14.25" hidden="false" customHeight="true" outlineLevel="0" collapsed="false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customFormat="false" ht="14.25" hidden="false" customHeight="true" outlineLevel="0" collapsed="false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customFormat="false" ht="14.25" hidden="false" customHeight="true" outlineLevel="0" collapsed="false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customFormat="false" ht="14.25" hidden="false" customHeight="true" outlineLevel="0" collapsed="false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customFormat="false" ht="14.25" hidden="false" customHeight="true" outlineLevel="0" collapsed="false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customFormat="false" ht="14.25" hidden="false" customHeight="true" outlineLevel="0" collapsed="false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customFormat="false" ht="14.25" hidden="false" customHeight="true" outlineLevel="0" collapsed="false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customFormat="false" ht="14.25" hidden="false" customHeight="true" outlineLevel="0" collapsed="false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customFormat="false" ht="14.25" hidden="false" customHeight="true" outlineLevel="0" collapsed="false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customFormat="false" ht="14.25" hidden="false" customHeight="true" outlineLevel="0" collapsed="false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customFormat="false" ht="14.25" hidden="false" customHeight="true" outlineLevel="0" collapsed="false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customFormat="false" ht="14.25" hidden="false" customHeight="true" outlineLevel="0" collapsed="false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customFormat="false" ht="14.25" hidden="false" customHeight="true" outlineLevel="0" collapsed="false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customFormat="false" ht="14.25" hidden="false" customHeight="true" outlineLevel="0" collapsed="false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customFormat="false" ht="14.25" hidden="false" customHeight="true" outlineLevel="0" collapsed="false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customFormat="false" ht="14.25" hidden="false" customHeight="true" outlineLevel="0" collapsed="false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customFormat="false" ht="14.25" hidden="false" customHeight="true" outlineLevel="0" collapsed="false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customFormat="false" ht="14.25" hidden="false" customHeight="true" outlineLevel="0" collapsed="false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customFormat="false" ht="14.25" hidden="false" customHeight="true" outlineLevel="0" collapsed="false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customFormat="false" ht="14.25" hidden="false" customHeight="true" outlineLevel="0" collapsed="false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customFormat="false" ht="14.25" hidden="false" customHeight="true" outlineLevel="0" collapsed="false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customFormat="false" ht="14.25" hidden="false" customHeight="true" outlineLevel="0" collapsed="false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customFormat="false" ht="14.25" hidden="false" customHeight="true" outlineLevel="0" collapsed="false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customFormat="false" ht="14.25" hidden="false" customHeight="true" outlineLevel="0" collapsed="false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customFormat="false" ht="14.25" hidden="false" customHeight="true" outlineLevel="0" collapsed="false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customFormat="false" ht="14.25" hidden="false" customHeight="true" outlineLevel="0" collapsed="false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customFormat="false" ht="14.25" hidden="false" customHeight="true" outlineLevel="0" collapsed="false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customFormat="false" ht="14.25" hidden="false" customHeight="true" outlineLevel="0" collapsed="false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customFormat="false" ht="14.25" hidden="false" customHeight="true" outlineLevel="0" collapsed="false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customFormat="false" ht="14.25" hidden="false" customHeight="true" outlineLevel="0" collapsed="false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customFormat="false" ht="14.25" hidden="false" customHeight="true" outlineLevel="0" collapsed="false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customFormat="false" ht="14.25" hidden="false" customHeight="true" outlineLevel="0" collapsed="false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customFormat="false" ht="14.25" hidden="false" customHeight="true" outlineLevel="0" collapsed="false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customFormat="false" ht="14.25" hidden="false" customHeight="true" outlineLevel="0" collapsed="false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customFormat="false" ht="14.25" hidden="false" customHeight="true" outlineLevel="0" collapsed="false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customFormat="false" ht="14.25" hidden="false" customHeight="true" outlineLevel="0" collapsed="false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customFormat="false" ht="14.25" hidden="false" customHeight="true" outlineLevel="0" collapsed="false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customFormat="false" ht="14.25" hidden="false" customHeight="true" outlineLevel="0" collapsed="false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customFormat="false" ht="14.25" hidden="false" customHeight="true" outlineLevel="0" collapsed="false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customFormat="false" ht="14.25" hidden="false" customHeight="true" outlineLevel="0" collapsed="false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customFormat="false" ht="14.25" hidden="false" customHeight="true" outlineLevel="0" collapsed="false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customFormat="false" ht="14.25" hidden="false" customHeight="true" outlineLevel="0" collapsed="false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customFormat="false" ht="14.25" hidden="false" customHeight="true" outlineLevel="0" collapsed="false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customFormat="false" ht="14.25" hidden="false" customHeight="true" outlineLevel="0" collapsed="false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customFormat="false" ht="14.25" hidden="false" customHeight="true" outlineLevel="0" collapsed="false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customFormat="false" ht="14.25" hidden="false" customHeight="true" outlineLevel="0" collapsed="false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customFormat="false" ht="14.25" hidden="false" customHeight="true" outlineLevel="0" collapsed="false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customFormat="false" ht="14.25" hidden="false" customHeight="true" outlineLevel="0" collapsed="false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customFormat="false" ht="14.25" hidden="false" customHeight="true" outlineLevel="0" collapsed="false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customFormat="false" ht="14.25" hidden="false" customHeight="true" outlineLevel="0" collapsed="false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customFormat="false" ht="14.25" hidden="false" customHeight="true" outlineLevel="0" collapsed="false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customFormat="false" ht="14.25" hidden="false" customHeight="true" outlineLevel="0" collapsed="false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customFormat="false" ht="14.25" hidden="false" customHeight="true" outlineLevel="0" collapsed="false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customFormat="false" ht="14.25" hidden="false" customHeight="true" outlineLevel="0" collapsed="false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customFormat="false" ht="14.25" hidden="false" customHeight="true" outlineLevel="0" collapsed="false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customFormat="false" ht="14.25" hidden="false" customHeight="true" outlineLevel="0" collapsed="false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customFormat="false" ht="14.25" hidden="false" customHeight="true" outlineLevel="0" collapsed="false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customFormat="false" ht="14.25" hidden="false" customHeight="true" outlineLevel="0" collapsed="false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customFormat="false" ht="14.25" hidden="false" customHeight="true" outlineLevel="0" collapsed="false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customFormat="false" ht="14.25" hidden="false" customHeight="true" outlineLevel="0" collapsed="false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customFormat="false" ht="14.25" hidden="false" customHeight="true" outlineLevel="0" collapsed="false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customFormat="false" ht="14.25" hidden="false" customHeight="true" outlineLevel="0" collapsed="false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customFormat="false" ht="14.25" hidden="false" customHeight="true" outlineLevel="0" collapsed="false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customFormat="false" ht="14.25" hidden="false" customHeight="true" outlineLevel="0" collapsed="false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customFormat="false" ht="14.25" hidden="false" customHeight="true" outlineLevel="0" collapsed="false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customFormat="false" ht="14.25" hidden="false" customHeight="true" outlineLevel="0" collapsed="false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customFormat="false" ht="14.25" hidden="false" customHeight="true" outlineLevel="0" collapsed="false">
      <c r="A239" s="13"/>
      <c r="B239" s="13"/>
      <c r="C239" s="13"/>
      <c r="D239" s="13"/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</row>
    <row r="240" customFormat="false" ht="14.25" hidden="false" customHeight="true" outlineLevel="0" collapsed="false">
      <c r="A240" s="13"/>
      <c r="B240" s="13"/>
      <c r="C240" s="13"/>
      <c r="D240" s="13"/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</row>
    <row r="241" customFormat="false" ht="14.25" hidden="false" customHeight="true" outlineLevel="0" collapsed="false">
      <c r="A241" s="13"/>
      <c r="B241" s="13"/>
      <c r="C241" s="13"/>
      <c r="D241" s="13"/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</row>
    <row r="242" customFormat="false" ht="14.25" hidden="false" customHeight="true" outlineLevel="0" collapsed="false">
      <c r="A242" s="13"/>
      <c r="B242" s="13"/>
      <c r="C242" s="13"/>
      <c r="D242" s="13"/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</row>
    <row r="243" customFormat="false" ht="14.25" hidden="false" customHeight="true" outlineLevel="0" collapsed="false">
      <c r="A243" s="13"/>
      <c r="B243" s="13"/>
      <c r="C243" s="13"/>
      <c r="D243" s="13"/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</row>
    <row r="244" customFormat="false" ht="14.25" hidden="false" customHeight="true" outlineLevel="0" collapsed="false">
      <c r="A244" s="13"/>
      <c r="B244" s="13"/>
      <c r="C244" s="13"/>
      <c r="D244" s="13"/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</row>
    <row r="245" customFormat="false" ht="14.25" hidden="false" customHeight="true" outlineLevel="0" collapsed="false">
      <c r="A245" s="13"/>
      <c r="B245" s="13"/>
      <c r="C245" s="13"/>
      <c r="D245" s="13"/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</row>
    <row r="246" customFormat="false" ht="14.25" hidden="false" customHeight="true" outlineLevel="0" collapsed="false">
      <c r="A246" s="13"/>
      <c r="B246" s="13"/>
      <c r="C246" s="13"/>
      <c r="D246" s="13"/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</row>
    <row r="247" customFormat="false" ht="14.25" hidden="false" customHeight="true" outlineLevel="0" collapsed="false">
      <c r="A247" s="13"/>
      <c r="B247" s="13"/>
      <c r="C247" s="13"/>
      <c r="D247" s="13"/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</row>
    <row r="248" customFormat="false" ht="14.25" hidden="false" customHeight="true" outlineLevel="0" collapsed="false">
      <c r="A248" s="13"/>
      <c r="B248" s="13"/>
      <c r="C248" s="13"/>
      <c r="D248" s="13"/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</row>
    <row r="249" customFormat="false" ht="14.25" hidden="false" customHeight="true" outlineLevel="0" collapsed="false">
      <c r="A249" s="13"/>
      <c r="B249" s="13"/>
      <c r="C249" s="13"/>
      <c r="D249" s="13"/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</row>
    <row r="250" customFormat="false" ht="14.25" hidden="false" customHeight="true" outlineLevel="0" collapsed="false">
      <c r="A250" s="13"/>
      <c r="B250" s="13"/>
      <c r="C250" s="13"/>
      <c r="D250" s="13"/>
      <c r="E250" s="13"/>
      <c r="F250" s="13"/>
      <c r="G250" s="13"/>
      <c r="H250" s="13"/>
      <c r="I250" s="13"/>
      <c r="J250" s="13"/>
      <c r="K250" s="13"/>
      <c r="L250" s="13"/>
      <c r="M250" s="13"/>
      <c r="N250" s="13"/>
      <c r="O250" s="13"/>
      <c r="P250" s="13"/>
      <c r="Q250" s="13"/>
      <c r="R250" s="13"/>
      <c r="S250" s="13"/>
      <c r="T250" s="13"/>
      <c r="U250" s="13"/>
      <c r="V250" s="13"/>
      <c r="W250" s="13"/>
      <c r="X250" s="13"/>
      <c r="Y250" s="13"/>
      <c r="Z250" s="13"/>
    </row>
    <row r="251" customFormat="false" ht="14.25" hidden="false" customHeight="true" outlineLevel="0" collapsed="false">
      <c r="A251" s="13"/>
      <c r="B251" s="13"/>
      <c r="C251" s="13"/>
      <c r="D251" s="13"/>
      <c r="E251" s="13"/>
      <c r="F251" s="13"/>
      <c r="G251" s="13"/>
      <c r="H251" s="13"/>
      <c r="I251" s="13"/>
      <c r="J251" s="13"/>
      <c r="K251" s="13"/>
      <c r="L251" s="13"/>
      <c r="M251" s="13"/>
      <c r="N251" s="13"/>
      <c r="O251" s="13"/>
      <c r="P251" s="13"/>
      <c r="Q251" s="13"/>
      <c r="R251" s="13"/>
      <c r="S251" s="13"/>
      <c r="T251" s="13"/>
      <c r="U251" s="13"/>
      <c r="V251" s="13"/>
      <c r="W251" s="13"/>
      <c r="X251" s="13"/>
      <c r="Y251" s="13"/>
      <c r="Z251" s="13"/>
    </row>
    <row r="252" customFormat="false" ht="14.25" hidden="false" customHeight="true" outlineLevel="0" collapsed="false">
      <c r="A252" s="13"/>
      <c r="B252" s="13"/>
      <c r="C252" s="13"/>
      <c r="D252" s="13"/>
      <c r="E252" s="13"/>
      <c r="F252" s="13"/>
      <c r="G252" s="13"/>
      <c r="H252" s="13"/>
      <c r="I252" s="13"/>
      <c r="J252" s="13"/>
      <c r="K252" s="13"/>
      <c r="L252" s="13"/>
      <c r="M252" s="13"/>
      <c r="N252" s="13"/>
      <c r="O252" s="13"/>
      <c r="P252" s="13"/>
      <c r="Q252" s="13"/>
      <c r="R252" s="13"/>
      <c r="S252" s="13"/>
      <c r="T252" s="13"/>
      <c r="U252" s="13"/>
      <c r="V252" s="13"/>
      <c r="W252" s="13"/>
      <c r="X252" s="13"/>
      <c r="Y252" s="13"/>
      <c r="Z252" s="13"/>
    </row>
    <row r="253" customFormat="false" ht="14.25" hidden="false" customHeight="true" outlineLevel="0" collapsed="false">
      <c r="A253" s="13"/>
      <c r="B253" s="13"/>
      <c r="C253" s="13"/>
      <c r="D253" s="13"/>
      <c r="E253" s="13"/>
      <c r="F253" s="13"/>
      <c r="G253" s="13"/>
      <c r="H253" s="13"/>
      <c r="I253" s="13"/>
      <c r="J253" s="13"/>
      <c r="K253" s="13"/>
      <c r="L253" s="13"/>
      <c r="M253" s="13"/>
      <c r="N253" s="13"/>
      <c r="O253" s="13"/>
      <c r="P253" s="13"/>
      <c r="Q253" s="13"/>
      <c r="R253" s="13"/>
      <c r="S253" s="13"/>
      <c r="T253" s="13"/>
      <c r="U253" s="13"/>
      <c r="V253" s="13"/>
      <c r="W253" s="13"/>
      <c r="X253" s="13"/>
      <c r="Y253" s="13"/>
      <c r="Z253" s="13"/>
    </row>
    <row r="254" customFormat="false" ht="14.25" hidden="false" customHeight="true" outlineLevel="0" collapsed="false">
      <c r="A254" s="13"/>
      <c r="B254" s="13"/>
      <c r="C254" s="13"/>
      <c r="D254" s="13"/>
      <c r="E254" s="13"/>
      <c r="F254" s="13"/>
      <c r="G254" s="13"/>
      <c r="H254" s="13"/>
      <c r="I254" s="13"/>
      <c r="J254" s="13"/>
      <c r="K254" s="13"/>
      <c r="L254" s="13"/>
      <c r="M254" s="13"/>
      <c r="N254" s="13"/>
      <c r="O254" s="13"/>
      <c r="P254" s="13"/>
      <c r="Q254" s="13"/>
      <c r="R254" s="13"/>
      <c r="S254" s="13"/>
      <c r="T254" s="13"/>
      <c r="U254" s="13"/>
      <c r="V254" s="13"/>
      <c r="W254" s="13"/>
      <c r="X254" s="13"/>
      <c r="Y254" s="13"/>
      <c r="Z254" s="13"/>
    </row>
    <row r="255" customFormat="false" ht="14.25" hidden="false" customHeight="true" outlineLevel="0" collapsed="false">
      <c r="A255" s="13"/>
      <c r="B255" s="13"/>
      <c r="C255" s="13"/>
      <c r="D255" s="13"/>
      <c r="E255" s="13"/>
      <c r="F255" s="13"/>
      <c r="G255" s="13"/>
      <c r="H255" s="13"/>
      <c r="I255" s="13"/>
      <c r="J255" s="13"/>
      <c r="K255" s="13"/>
      <c r="L255" s="13"/>
      <c r="M255" s="13"/>
      <c r="N255" s="13"/>
      <c r="O255" s="13"/>
      <c r="P255" s="13"/>
      <c r="Q255" s="13"/>
      <c r="R255" s="13"/>
      <c r="S255" s="13"/>
      <c r="T255" s="13"/>
      <c r="U255" s="13"/>
      <c r="V255" s="13"/>
      <c r="W255" s="13"/>
      <c r="X255" s="13"/>
      <c r="Y255" s="13"/>
      <c r="Z255" s="13"/>
    </row>
    <row r="256" customFormat="false" ht="14.25" hidden="false" customHeight="true" outlineLevel="0" collapsed="false">
      <c r="A256" s="13"/>
      <c r="B256" s="13"/>
      <c r="C256" s="13"/>
      <c r="D256" s="13"/>
      <c r="E256" s="13"/>
      <c r="F256" s="13"/>
      <c r="G256" s="13"/>
      <c r="H256" s="13"/>
      <c r="I256" s="13"/>
      <c r="J256" s="13"/>
      <c r="K256" s="13"/>
      <c r="L256" s="13"/>
      <c r="M256" s="13"/>
      <c r="N256" s="13"/>
      <c r="O256" s="13"/>
      <c r="P256" s="13"/>
      <c r="Q256" s="13"/>
      <c r="R256" s="13"/>
      <c r="S256" s="13"/>
      <c r="T256" s="13"/>
      <c r="U256" s="13"/>
      <c r="V256" s="13"/>
      <c r="W256" s="13"/>
      <c r="X256" s="13"/>
      <c r="Y256" s="13"/>
      <c r="Z256" s="13"/>
    </row>
    <row r="257" customFormat="false" ht="14.25" hidden="false" customHeight="true" outlineLevel="0" collapsed="false">
      <c r="A257" s="13"/>
      <c r="B257" s="13"/>
      <c r="C257" s="13"/>
      <c r="D257" s="13"/>
      <c r="E257" s="13"/>
      <c r="F257" s="13"/>
      <c r="G257" s="13"/>
      <c r="H257" s="13"/>
      <c r="I257" s="13"/>
      <c r="J257" s="13"/>
      <c r="K257" s="13"/>
      <c r="L257" s="13"/>
      <c r="M257" s="13"/>
      <c r="N257" s="13"/>
      <c r="O257" s="13"/>
      <c r="P257" s="13"/>
      <c r="Q257" s="13"/>
      <c r="R257" s="13"/>
      <c r="S257" s="13"/>
      <c r="T257" s="13"/>
      <c r="U257" s="13"/>
      <c r="V257" s="13"/>
      <c r="W257" s="13"/>
      <c r="X257" s="13"/>
      <c r="Y257" s="13"/>
      <c r="Z257" s="13"/>
    </row>
    <row r="258" customFormat="false" ht="14.25" hidden="false" customHeight="true" outlineLevel="0" collapsed="false">
      <c r="A258" s="13"/>
      <c r="B258" s="13"/>
      <c r="C258" s="13"/>
      <c r="D258" s="13"/>
      <c r="E258" s="13"/>
      <c r="F258" s="13"/>
      <c r="G258" s="13"/>
      <c r="H258" s="13"/>
      <c r="I258" s="13"/>
      <c r="J258" s="13"/>
      <c r="K258" s="13"/>
      <c r="L258" s="13"/>
      <c r="M258" s="13"/>
      <c r="N258" s="13"/>
      <c r="O258" s="13"/>
      <c r="P258" s="13"/>
      <c r="Q258" s="13"/>
      <c r="R258" s="13"/>
      <c r="S258" s="13"/>
      <c r="T258" s="13"/>
      <c r="U258" s="13"/>
      <c r="V258" s="13"/>
      <c r="W258" s="13"/>
      <c r="X258" s="13"/>
      <c r="Y258" s="13"/>
      <c r="Z258" s="13"/>
    </row>
    <row r="259" customFormat="false" ht="14.25" hidden="false" customHeight="true" outlineLevel="0" collapsed="false">
      <c r="A259" s="13"/>
      <c r="B259" s="13"/>
      <c r="C259" s="13"/>
      <c r="D259" s="13"/>
      <c r="E259" s="13"/>
      <c r="F259" s="13"/>
      <c r="G259" s="13"/>
      <c r="H259" s="13"/>
      <c r="I259" s="13"/>
      <c r="J259" s="13"/>
      <c r="K259" s="13"/>
      <c r="L259" s="13"/>
      <c r="M259" s="13"/>
      <c r="N259" s="13"/>
      <c r="O259" s="13"/>
      <c r="P259" s="13"/>
      <c r="Q259" s="13"/>
      <c r="R259" s="13"/>
      <c r="S259" s="13"/>
      <c r="T259" s="13"/>
      <c r="U259" s="13"/>
      <c r="V259" s="13"/>
      <c r="W259" s="13"/>
      <c r="X259" s="13"/>
      <c r="Y259" s="13"/>
      <c r="Z259" s="13"/>
    </row>
    <row r="260" customFormat="false" ht="14.25" hidden="false" customHeight="true" outlineLevel="0" collapsed="false">
      <c r="A260" s="13"/>
      <c r="B260" s="13"/>
      <c r="C260" s="13"/>
      <c r="D260" s="13"/>
      <c r="E260" s="13"/>
      <c r="F260" s="13"/>
      <c r="G260" s="13"/>
      <c r="H260" s="13"/>
      <c r="I260" s="13"/>
      <c r="J260" s="13"/>
      <c r="K260" s="13"/>
      <c r="L260" s="13"/>
      <c r="M260" s="13"/>
      <c r="N260" s="13"/>
      <c r="O260" s="13"/>
      <c r="P260" s="13"/>
      <c r="Q260" s="13"/>
      <c r="R260" s="13"/>
      <c r="S260" s="13"/>
      <c r="T260" s="13"/>
      <c r="U260" s="13"/>
      <c r="V260" s="13"/>
      <c r="W260" s="13"/>
      <c r="X260" s="13"/>
      <c r="Y260" s="13"/>
      <c r="Z260" s="13"/>
    </row>
    <row r="261" customFormat="false" ht="14.25" hidden="false" customHeight="true" outlineLevel="0" collapsed="false">
      <c r="A261" s="13"/>
      <c r="B261" s="13"/>
      <c r="C261" s="13"/>
      <c r="D261" s="13"/>
      <c r="E261" s="13"/>
      <c r="F261" s="13"/>
      <c r="G261" s="13"/>
      <c r="H261" s="13"/>
      <c r="I261" s="13"/>
      <c r="J261" s="13"/>
      <c r="K261" s="13"/>
      <c r="L261" s="13"/>
      <c r="M261" s="13"/>
      <c r="N261" s="13"/>
      <c r="O261" s="13"/>
      <c r="P261" s="13"/>
      <c r="Q261" s="13"/>
      <c r="R261" s="13"/>
      <c r="S261" s="13"/>
      <c r="T261" s="13"/>
      <c r="U261" s="13"/>
      <c r="V261" s="13"/>
      <c r="W261" s="13"/>
      <c r="X261" s="13"/>
      <c r="Y261" s="13"/>
      <c r="Z261" s="13"/>
    </row>
    <row r="262" customFormat="false" ht="14.25" hidden="false" customHeight="true" outlineLevel="0" collapsed="false">
      <c r="A262" s="13"/>
      <c r="B262" s="13"/>
      <c r="C262" s="13"/>
      <c r="D262" s="13"/>
      <c r="E262" s="13"/>
      <c r="F262" s="13"/>
      <c r="G262" s="13"/>
      <c r="H262" s="13"/>
      <c r="I262" s="13"/>
      <c r="J262" s="13"/>
      <c r="K262" s="13"/>
      <c r="L262" s="13"/>
      <c r="M262" s="13"/>
      <c r="N262" s="13"/>
      <c r="O262" s="13"/>
      <c r="P262" s="13"/>
      <c r="Q262" s="13"/>
      <c r="R262" s="13"/>
      <c r="S262" s="13"/>
      <c r="T262" s="13"/>
      <c r="U262" s="13"/>
      <c r="V262" s="13"/>
      <c r="W262" s="13"/>
      <c r="X262" s="13"/>
      <c r="Y262" s="13"/>
      <c r="Z262" s="13"/>
    </row>
    <row r="263" customFormat="false" ht="14.25" hidden="false" customHeight="true" outlineLevel="0" collapsed="false">
      <c r="A263" s="13"/>
      <c r="B263" s="13"/>
      <c r="C263" s="13"/>
      <c r="D263" s="13"/>
      <c r="E263" s="13"/>
      <c r="F263" s="13"/>
      <c r="G263" s="13"/>
      <c r="H263" s="13"/>
      <c r="I263" s="13"/>
      <c r="J263" s="13"/>
      <c r="K263" s="13"/>
      <c r="L263" s="13"/>
      <c r="M263" s="13"/>
      <c r="N263" s="13"/>
      <c r="O263" s="13"/>
      <c r="P263" s="13"/>
      <c r="Q263" s="13"/>
      <c r="R263" s="13"/>
      <c r="S263" s="13"/>
      <c r="T263" s="13"/>
      <c r="U263" s="13"/>
      <c r="V263" s="13"/>
      <c r="W263" s="13"/>
      <c r="X263" s="13"/>
      <c r="Y263" s="13"/>
      <c r="Z263" s="13"/>
    </row>
    <row r="264" customFormat="false" ht="14.25" hidden="false" customHeight="true" outlineLevel="0" collapsed="false">
      <c r="A264" s="13"/>
      <c r="B264" s="13"/>
      <c r="C264" s="13"/>
      <c r="D264" s="13"/>
      <c r="E264" s="13"/>
      <c r="F264" s="13"/>
      <c r="G264" s="13"/>
      <c r="H264" s="13"/>
      <c r="I264" s="13"/>
      <c r="J264" s="13"/>
      <c r="K264" s="13"/>
      <c r="L264" s="13"/>
      <c r="M264" s="13"/>
      <c r="N264" s="13"/>
      <c r="O264" s="13"/>
      <c r="P264" s="13"/>
      <c r="Q264" s="13"/>
      <c r="R264" s="13"/>
      <c r="S264" s="13"/>
      <c r="T264" s="13"/>
      <c r="U264" s="13"/>
      <c r="V264" s="13"/>
      <c r="W264" s="13"/>
      <c r="X264" s="13"/>
      <c r="Y264" s="13"/>
      <c r="Z264" s="13"/>
    </row>
    <row r="265" customFormat="false" ht="14.25" hidden="false" customHeight="true" outlineLevel="0" collapsed="false">
      <c r="A265" s="13"/>
      <c r="B265" s="13"/>
      <c r="C265" s="13"/>
      <c r="D265" s="13"/>
      <c r="E265" s="13"/>
      <c r="F265" s="13"/>
      <c r="G265" s="13"/>
      <c r="H265" s="13"/>
      <c r="I265" s="13"/>
      <c r="J265" s="13"/>
      <c r="K265" s="13"/>
      <c r="L265" s="13"/>
      <c r="M265" s="13"/>
      <c r="N265" s="13"/>
      <c r="O265" s="13"/>
      <c r="P265" s="13"/>
      <c r="Q265" s="13"/>
      <c r="R265" s="13"/>
      <c r="S265" s="13"/>
      <c r="T265" s="13"/>
      <c r="U265" s="13"/>
      <c r="V265" s="13"/>
      <c r="W265" s="13"/>
      <c r="X265" s="13"/>
      <c r="Y265" s="13"/>
      <c r="Z265" s="13"/>
    </row>
    <row r="266" customFormat="false" ht="14.25" hidden="false" customHeight="true" outlineLevel="0" collapsed="false">
      <c r="A266" s="13"/>
      <c r="B266" s="13"/>
      <c r="C266" s="13"/>
      <c r="D266" s="13"/>
      <c r="E266" s="13"/>
      <c r="F266" s="13"/>
      <c r="G266" s="13"/>
      <c r="H266" s="13"/>
      <c r="I266" s="13"/>
      <c r="J266" s="13"/>
      <c r="K266" s="13"/>
      <c r="L266" s="13"/>
      <c r="M266" s="13"/>
      <c r="N266" s="13"/>
      <c r="O266" s="13"/>
      <c r="P266" s="13"/>
      <c r="Q266" s="13"/>
      <c r="R266" s="13"/>
      <c r="S266" s="13"/>
      <c r="T266" s="13"/>
      <c r="U266" s="13"/>
      <c r="V266" s="13"/>
      <c r="W266" s="13"/>
      <c r="X266" s="13"/>
      <c r="Y266" s="13"/>
      <c r="Z266" s="13"/>
    </row>
    <row r="267" customFormat="false" ht="14.25" hidden="false" customHeight="true" outlineLevel="0" collapsed="false">
      <c r="A267" s="13"/>
      <c r="B267" s="13"/>
      <c r="C267" s="13"/>
      <c r="D267" s="13"/>
      <c r="E267" s="13"/>
      <c r="F267" s="13"/>
      <c r="G267" s="13"/>
      <c r="H267" s="13"/>
      <c r="I267" s="13"/>
      <c r="J267" s="13"/>
      <c r="K267" s="13"/>
      <c r="L267" s="13"/>
      <c r="M267" s="13"/>
      <c r="N267" s="13"/>
      <c r="O267" s="13"/>
      <c r="P267" s="13"/>
      <c r="Q267" s="13"/>
      <c r="R267" s="13"/>
      <c r="S267" s="13"/>
      <c r="T267" s="13"/>
      <c r="U267" s="13"/>
      <c r="V267" s="13"/>
      <c r="W267" s="13"/>
      <c r="X267" s="13"/>
      <c r="Y267" s="13"/>
      <c r="Z267" s="13"/>
    </row>
    <row r="268" customFormat="false" ht="14.25" hidden="false" customHeight="true" outlineLevel="0" collapsed="false">
      <c r="A268" s="13"/>
      <c r="B268" s="13"/>
      <c r="C268" s="13"/>
      <c r="D268" s="13"/>
      <c r="E268" s="13"/>
      <c r="F268" s="13"/>
      <c r="G268" s="13"/>
      <c r="H268" s="13"/>
      <c r="I268" s="13"/>
      <c r="J268" s="13"/>
      <c r="K268" s="13"/>
      <c r="L268" s="13"/>
      <c r="M268" s="13"/>
      <c r="N268" s="13"/>
      <c r="O268" s="13"/>
      <c r="P268" s="13"/>
      <c r="Q268" s="13"/>
      <c r="R268" s="13"/>
      <c r="S268" s="13"/>
      <c r="T268" s="13"/>
      <c r="U268" s="13"/>
      <c r="V268" s="13"/>
      <c r="W268" s="13"/>
      <c r="X268" s="13"/>
      <c r="Y268" s="13"/>
      <c r="Z268" s="13"/>
    </row>
    <row r="269" customFormat="false" ht="14.25" hidden="false" customHeight="true" outlineLevel="0" collapsed="false">
      <c r="A269" s="13"/>
      <c r="B269" s="13"/>
      <c r="C269" s="13"/>
      <c r="D269" s="13"/>
      <c r="E269" s="13"/>
      <c r="F269" s="13"/>
      <c r="G269" s="13"/>
      <c r="H269" s="13"/>
      <c r="I269" s="13"/>
      <c r="J269" s="13"/>
      <c r="K269" s="13"/>
      <c r="L269" s="13"/>
      <c r="M269" s="13"/>
      <c r="N269" s="13"/>
      <c r="O269" s="13"/>
      <c r="P269" s="13"/>
      <c r="Q269" s="13"/>
      <c r="R269" s="13"/>
      <c r="S269" s="13"/>
      <c r="T269" s="13"/>
      <c r="U269" s="13"/>
      <c r="V269" s="13"/>
      <c r="W269" s="13"/>
      <c r="X269" s="13"/>
      <c r="Y269" s="13"/>
      <c r="Z269" s="13"/>
    </row>
    <row r="270" customFormat="false" ht="14.25" hidden="false" customHeight="true" outlineLevel="0" collapsed="false">
      <c r="A270" s="13"/>
      <c r="B270" s="13"/>
      <c r="C270" s="13"/>
      <c r="D270" s="13"/>
      <c r="E270" s="13"/>
      <c r="F270" s="13"/>
      <c r="G270" s="13"/>
      <c r="H270" s="13"/>
      <c r="I270" s="13"/>
      <c r="J270" s="13"/>
      <c r="K270" s="13"/>
      <c r="L270" s="13"/>
      <c r="M270" s="13"/>
      <c r="N270" s="13"/>
      <c r="O270" s="13"/>
      <c r="P270" s="13"/>
      <c r="Q270" s="13"/>
      <c r="R270" s="13"/>
      <c r="S270" s="13"/>
      <c r="T270" s="13"/>
      <c r="U270" s="13"/>
      <c r="V270" s="13"/>
      <c r="W270" s="13"/>
      <c r="X270" s="13"/>
      <c r="Y270" s="13"/>
      <c r="Z270" s="13"/>
    </row>
    <row r="271" customFormat="false" ht="14.25" hidden="false" customHeight="true" outlineLevel="0" collapsed="false">
      <c r="A271" s="13"/>
      <c r="B271" s="13"/>
      <c r="C271" s="13"/>
      <c r="D271" s="13"/>
      <c r="E271" s="13"/>
      <c r="F271" s="13"/>
      <c r="G271" s="13"/>
      <c r="H271" s="13"/>
      <c r="I271" s="13"/>
      <c r="J271" s="13"/>
      <c r="K271" s="13"/>
      <c r="L271" s="13"/>
      <c r="M271" s="13"/>
      <c r="N271" s="13"/>
      <c r="O271" s="13"/>
      <c r="P271" s="13"/>
      <c r="Q271" s="13"/>
      <c r="R271" s="13"/>
      <c r="S271" s="13"/>
      <c r="T271" s="13"/>
      <c r="U271" s="13"/>
      <c r="V271" s="13"/>
      <c r="W271" s="13"/>
      <c r="X271" s="13"/>
      <c r="Y271" s="13"/>
      <c r="Z271" s="13"/>
    </row>
    <row r="272" customFormat="false" ht="14.25" hidden="false" customHeight="true" outlineLevel="0" collapsed="false">
      <c r="A272" s="13"/>
      <c r="B272" s="13"/>
      <c r="C272" s="13"/>
      <c r="D272" s="13"/>
      <c r="E272" s="13"/>
      <c r="F272" s="13"/>
      <c r="G272" s="13"/>
      <c r="H272" s="13"/>
      <c r="I272" s="13"/>
      <c r="J272" s="13"/>
      <c r="K272" s="13"/>
      <c r="L272" s="13"/>
      <c r="M272" s="13"/>
      <c r="N272" s="13"/>
      <c r="O272" s="13"/>
      <c r="P272" s="13"/>
      <c r="Q272" s="13"/>
      <c r="R272" s="13"/>
      <c r="S272" s="13"/>
      <c r="T272" s="13"/>
      <c r="U272" s="13"/>
      <c r="V272" s="13"/>
      <c r="W272" s="13"/>
      <c r="X272" s="13"/>
      <c r="Y272" s="13"/>
      <c r="Z272" s="13"/>
    </row>
    <row r="273" customFormat="false" ht="14.25" hidden="false" customHeight="true" outlineLevel="0" collapsed="false">
      <c r="A273" s="13"/>
      <c r="B273" s="13"/>
      <c r="C273" s="13"/>
      <c r="D273" s="13"/>
      <c r="E273" s="13"/>
      <c r="F273" s="13"/>
      <c r="G273" s="13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13"/>
      <c r="U273" s="13"/>
      <c r="V273" s="13"/>
      <c r="W273" s="13"/>
      <c r="X273" s="13"/>
      <c r="Y273" s="13"/>
      <c r="Z273" s="13"/>
    </row>
    <row r="274" customFormat="false" ht="14.25" hidden="false" customHeight="true" outlineLevel="0" collapsed="false">
      <c r="A274" s="13"/>
      <c r="B274" s="13"/>
      <c r="C274" s="13"/>
      <c r="D274" s="13"/>
      <c r="E274" s="13"/>
      <c r="F274" s="13"/>
      <c r="G274" s="13"/>
      <c r="H274" s="13"/>
      <c r="I274" s="13"/>
      <c r="J274" s="13"/>
      <c r="K274" s="13"/>
      <c r="L274" s="13"/>
      <c r="M274" s="13"/>
      <c r="N274" s="13"/>
      <c r="O274" s="13"/>
      <c r="P274" s="13"/>
      <c r="Q274" s="13"/>
      <c r="R274" s="13"/>
      <c r="S274" s="13"/>
      <c r="T274" s="13"/>
      <c r="U274" s="13"/>
      <c r="V274" s="13"/>
      <c r="W274" s="13"/>
      <c r="X274" s="13"/>
      <c r="Y274" s="13"/>
      <c r="Z274" s="13"/>
    </row>
    <row r="275" customFormat="false" ht="14.25" hidden="false" customHeight="true" outlineLevel="0" collapsed="false">
      <c r="A275" s="13"/>
      <c r="B275" s="13"/>
      <c r="C275" s="13"/>
      <c r="D275" s="13"/>
      <c r="E275" s="13"/>
      <c r="F275" s="13"/>
      <c r="G275" s="13"/>
      <c r="H275" s="13"/>
      <c r="I275" s="13"/>
      <c r="J275" s="13"/>
      <c r="K275" s="13"/>
      <c r="L275" s="13"/>
      <c r="M275" s="13"/>
      <c r="N275" s="13"/>
      <c r="O275" s="13"/>
      <c r="P275" s="13"/>
      <c r="Q275" s="13"/>
      <c r="R275" s="13"/>
      <c r="S275" s="13"/>
      <c r="T275" s="13"/>
      <c r="U275" s="13"/>
      <c r="V275" s="13"/>
      <c r="W275" s="13"/>
      <c r="X275" s="13"/>
      <c r="Y275" s="13"/>
      <c r="Z275" s="13"/>
    </row>
    <row r="276" customFormat="false" ht="14.25" hidden="false" customHeight="true" outlineLevel="0" collapsed="false">
      <c r="A276" s="13"/>
      <c r="B276" s="13"/>
      <c r="C276" s="13"/>
      <c r="D276" s="13"/>
      <c r="E276" s="13"/>
      <c r="F276" s="13"/>
      <c r="G276" s="13"/>
      <c r="H276" s="13"/>
      <c r="I276" s="13"/>
      <c r="J276" s="13"/>
      <c r="K276" s="13"/>
      <c r="L276" s="13"/>
      <c r="M276" s="13"/>
      <c r="N276" s="13"/>
      <c r="O276" s="13"/>
      <c r="P276" s="13"/>
      <c r="Q276" s="13"/>
      <c r="R276" s="13"/>
      <c r="S276" s="13"/>
      <c r="T276" s="13"/>
      <c r="U276" s="13"/>
      <c r="V276" s="13"/>
      <c r="W276" s="13"/>
      <c r="X276" s="13"/>
      <c r="Y276" s="13"/>
      <c r="Z276" s="13"/>
    </row>
    <row r="277" customFormat="false" ht="14.25" hidden="false" customHeight="true" outlineLevel="0" collapsed="false">
      <c r="A277" s="13"/>
      <c r="B277" s="13"/>
      <c r="C277" s="13"/>
      <c r="D277" s="13"/>
      <c r="E277" s="13"/>
      <c r="F277" s="13"/>
      <c r="G277" s="13"/>
      <c r="H277" s="13"/>
      <c r="I277" s="13"/>
      <c r="J277" s="13"/>
      <c r="K277" s="13"/>
      <c r="L277" s="13"/>
      <c r="M277" s="13"/>
      <c r="N277" s="13"/>
      <c r="O277" s="13"/>
      <c r="P277" s="13"/>
      <c r="Q277" s="13"/>
      <c r="R277" s="13"/>
      <c r="S277" s="13"/>
      <c r="T277" s="13"/>
      <c r="U277" s="13"/>
      <c r="V277" s="13"/>
      <c r="W277" s="13"/>
      <c r="X277" s="13"/>
      <c r="Y277" s="13"/>
      <c r="Z277" s="13"/>
    </row>
    <row r="278" customFormat="false" ht="14.25" hidden="false" customHeight="true" outlineLevel="0" collapsed="false">
      <c r="A278" s="13"/>
      <c r="B278" s="13"/>
      <c r="C278" s="13"/>
      <c r="D278" s="13"/>
      <c r="E278" s="13"/>
      <c r="F278" s="13"/>
      <c r="G278" s="13"/>
      <c r="H278" s="13"/>
      <c r="I278" s="13"/>
      <c r="J278" s="13"/>
      <c r="K278" s="13"/>
      <c r="L278" s="13"/>
      <c r="M278" s="13"/>
      <c r="N278" s="13"/>
      <c r="O278" s="13"/>
      <c r="P278" s="13"/>
      <c r="Q278" s="13"/>
      <c r="R278" s="13"/>
      <c r="S278" s="13"/>
      <c r="T278" s="13"/>
      <c r="U278" s="13"/>
      <c r="V278" s="13"/>
      <c r="W278" s="13"/>
      <c r="X278" s="13"/>
      <c r="Y278" s="13"/>
      <c r="Z278" s="13"/>
    </row>
    <row r="279" customFormat="false" ht="14.25" hidden="false" customHeight="true" outlineLevel="0" collapsed="false">
      <c r="A279" s="13"/>
      <c r="B279" s="13"/>
      <c r="C279" s="13"/>
      <c r="D279" s="13"/>
      <c r="E279" s="13"/>
      <c r="F279" s="13"/>
      <c r="G279" s="13"/>
      <c r="H279" s="13"/>
      <c r="I279" s="13"/>
      <c r="J279" s="13"/>
      <c r="K279" s="13"/>
      <c r="L279" s="13"/>
      <c r="M279" s="13"/>
      <c r="N279" s="13"/>
      <c r="O279" s="13"/>
      <c r="P279" s="13"/>
      <c r="Q279" s="13"/>
      <c r="R279" s="13"/>
      <c r="S279" s="13"/>
      <c r="T279" s="13"/>
      <c r="U279" s="13"/>
      <c r="V279" s="13"/>
      <c r="W279" s="13"/>
      <c r="X279" s="13"/>
      <c r="Y279" s="13"/>
      <c r="Z279" s="13"/>
    </row>
    <row r="280" customFormat="false" ht="14.25" hidden="false" customHeight="true" outlineLevel="0" collapsed="false">
      <c r="A280" s="13"/>
      <c r="B280" s="13"/>
      <c r="C280" s="13"/>
      <c r="D280" s="13"/>
      <c r="E280" s="13"/>
      <c r="F280" s="13"/>
      <c r="G280" s="13"/>
      <c r="H280" s="13"/>
      <c r="I280" s="13"/>
      <c r="J280" s="13"/>
      <c r="K280" s="13"/>
      <c r="L280" s="13"/>
      <c r="M280" s="13"/>
      <c r="N280" s="13"/>
      <c r="O280" s="13"/>
      <c r="P280" s="13"/>
      <c r="Q280" s="13"/>
      <c r="R280" s="13"/>
      <c r="S280" s="13"/>
      <c r="T280" s="13"/>
      <c r="U280" s="13"/>
      <c r="V280" s="13"/>
      <c r="W280" s="13"/>
      <c r="X280" s="13"/>
      <c r="Y280" s="13"/>
      <c r="Z280" s="13"/>
    </row>
    <row r="281" customFormat="false" ht="14.25" hidden="false" customHeight="true" outlineLevel="0" collapsed="false">
      <c r="A281" s="13"/>
      <c r="B281" s="13"/>
      <c r="C281" s="13"/>
      <c r="D281" s="13"/>
      <c r="E281" s="13"/>
      <c r="F281" s="13"/>
      <c r="G281" s="13"/>
      <c r="H281" s="13"/>
      <c r="I281" s="13"/>
      <c r="J281" s="13"/>
      <c r="K281" s="13"/>
      <c r="L281" s="13"/>
      <c r="M281" s="13"/>
      <c r="N281" s="13"/>
      <c r="O281" s="13"/>
      <c r="P281" s="13"/>
      <c r="Q281" s="13"/>
      <c r="R281" s="13"/>
      <c r="S281" s="13"/>
      <c r="T281" s="13"/>
      <c r="U281" s="13"/>
      <c r="V281" s="13"/>
      <c r="W281" s="13"/>
      <c r="X281" s="13"/>
      <c r="Y281" s="13"/>
      <c r="Z281" s="13"/>
    </row>
    <row r="282" customFormat="false" ht="14.25" hidden="false" customHeight="true" outlineLevel="0" collapsed="false">
      <c r="A282" s="13"/>
      <c r="B282" s="13"/>
      <c r="C282" s="13"/>
      <c r="D282" s="13"/>
      <c r="E282" s="13"/>
      <c r="F282" s="13"/>
      <c r="G282" s="13"/>
      <c r="H282" s="13"/>
      <c r="I282" s="13"/>
      <c r="J282" s="13"/>
      <c r="K282" s="13"/>
      <c r="L282" s="13"/>
      <c r="M282" s="13"/>
      <c r="N282" s="13"/>
      <c r="O282" s="13"/>
      <c r="P282" s="13"/>
      <c r="Q282" s="13"/>
      <c r="R282" s="13"/>
      <c r="S282" s="13"/>
      <c r="T282" s="13"/>
      <c r="U282" s="13"/>
      <c r="V282" s="13"/>
      <c r="W282" s="13"/>
      <c r="X282" s="13"/>
      <c r="Y282" s="13"/>
      <c r="Z282" s="13"/>
    </row>
    <row r="283" customFormat="false" ht="14.25" hidden="false" customHeight="true" outlineLevel="0" collapsed="false">
      <c r="A283" s="13"/>
      <c r="B283" s="13"/>
      <c r="C283" s="13"/>
      <c r="D283" s="13"/>
      <c r="E283" s="13"/>
      <c r="F283" s="13"/>
      <c r="G283" s="13"/>
      <c r="H283" s="13"/>
      <c r="I283" s="13"/>
      <c r="J283" s="13"/>
      <c r="K283" s="13"/>
      <c r="L283" s="13"/>
      <c r="M283" s="13"/>
      <c r="N283" s="13"/>
      <c r="O283" s="13"/>
      <c r="P283" s="13"/>
      <c r="Q283" s="13"/>
      <c r="R283" s="13"/>
      <c r="S283" s="13"/>
      <c r="T283" s="13"/>
      <c r="U283" s="13"/>
      <c r="V283" s="13"/>
      <c r="W283" s="13"/>
      <c r="X283" s="13"/>
      <c r="Y283" s="13"/>
      <c r="Z283" s="13"/>
    </row>
    <row r="284" customFormat="false" ht="14.25" hidden="false" customHeight="true" outlineLevel="0" collapsed="false">
      <c r="A284" s="13"/>
      <c r="B284" s="13"/>
      <c r="C284" s="13"/>
      <c r="D284" s="13"/>
      <c r="E284" s="13"/>
      <c r="F284" s="13"/>
      <c r="G284" s="13"/>
      <c r="H284" s="13"/>
      <c r="I284" s="13"/>
      <c r="J284" s="13"/>
      <c r="K284" s="13"/>
      <c r="L284" s="13"/>
      <c r="M284" s="13"/>
      <c r="N284" s="13"/>
      <c r="O284" s="13"/>
      <c r="P284" s="13"/>
      <c r="Q284" s="13"/>
      <c r="R284" s="13"/>
      <c r="S284" s="13"/>
      <c r="T284" s="13"/>
      <c r="U284" s="13"/>
      <c r="V284" s="13"/>
      <c r="W284" s="13"/>
      <c r="X284" s="13"/>
      <c r="Y284" s="13"/>
      <c r="Z284" s="13"/>
    </row>
    <row r="285" customFormat="false" ht="14.25" hidden="false" customHeight="true" outlineLevel="0" collapsed="false">
      <c r="A285" s="13"/>
      <c r="B285" s="13"/>
      <c r="C285" s="13"/>
      <c r="D285" s="13"/>
      <c r="E285" s="13"/>
      <c r="F285" s="13"/>
      <c r="G285" s="13"/>
      <c r="H285" s="13"/>
      <c r="I285" s="13"/>
      <c r="J285" s="13"/>
      <c r="K285" s="13"/>
      <c r="L285" s="13"/>
      <c r="M285" s="13"/>
      <c r="N285" s="13"/>
      <c r="O285" s="13"/>
      <c r="P285" s="13"/>
      <c r="Q285" s="13"/>
      <c r="R285" s="13"/>
      <c r="S285" s="13"/>
      <c r="T285" s="13"/>
      <c r="U285" s="13"/>
      <c r="V285" s="13"/>
      <c r="W285" s="13"/>
      <c r="X285" s="13"/>
      <c r="Y285" s="13"/>
      <c r="Z285" s="13"/>
    </row>
    <row r="286" customFormat="false" ht="14.25" hidden="false" customHeight="true" outlineLevel="0" collapsed="false">
      <c r="A286" s="13"/>
      <c r="B286" s="13"/>
      <c r="C286" s="13"/>
      <c r="D286" s="13"/>
      <c r="E286" s="13"/>
      <c r="F286" s="13"/>
      <c r="G286" s="13"/>
      <c r="H286" s="13"/>
      <c r="I286" s="13"/>
      <c r="J286" s="13"/>
      <c r="K286" s="13"/>
      <c r="L286" s="13"/>
      <c r="M286" s="13"/>
      <c r="N286" s="13"/>
      <c r="O286" s="13"/>
      <c r="P286" s="13"/>
      <c r="Q286" s="13"/>
      <c r="R286" s="13"/>
      <c r="S286" s="13"/>
      <c r="T286" s="13"/>
      <c r="U286" s="13"/>
      <c r="V286" s="13"/>
      <c r="W286" s="13"/>
      <c r="X286" s="13"/>
      <c r="Y286" s="13"/>
      <c r="Z286" s="13"/>
    </row>
    <row r="287" customFormat="false" ht="14.25" hidden="false" customHeight="true" outlineLevel="0" collapsed="false">
      <c r="A287" s="13"/>
      <c r="B287" s="13"/>
      <c r="C287" s="13"/>
      <c r="D287" s="13"/>
      <c r="E287" s="13"/>
      <c r="F287" s="13"/>
      <c r="G287" s="13"/>
      <c r="H287" s="13"/>
      <c r="I287" s="13"/>
      <c r="J287" s="13"/>
      <c r="K287" s="13"/>
      <c r="L287" s="13"/>
      <c r="M287" s="13"/>
      <c r="N287" s="13"/>
      <c r="O287" s="13"/>
      <c r="P287" s="13"/>
      <c r="Q287" s="13"/>
      <c r="R287" s="13"/>
      <c r="S287" s="13"/>
      <c r="T287" s="13"/>
      <c r="U287" s="13"/>
      <c r="V287" s="13"/>
      <c r="W287" s="13"/>
      <c r="X287" s="13"/>
      <c r="Y287" s="13"/>
      <c r="Z287" s="13"/>
    </row>
    <row r="288" customFormat="false" ht="14.25" hidden="false" customHeight="true" outlineLevel="0" collapsed="false">
      <c r="A288" s="13"/>
      <c r="B288" s="13"/>
      <c r="C288" s="13"/>
      <c r="D288" s="13"/>
      <c r="E288" s="13"/>
      <c r="F288" s="13"/>
      <c r="G288" s="13"/>
      <c r="H288" s="13"/>
      <c r="I288" s="13"/>
      <c r="J288" s="13"/>
      <c r="K288" s="13"/>
      <c r="L288" s="13"/>
      <c r="M288" s="13"/>
      <c r="N288" s="13"/>
      <c r="O288" s="13"/>
      <c r="P288" s="13"/>
      <c r="Q288" s="13"/>
      <c r="R288" s="13"/>
      <c r="S288" s="13"/>
      <c r="T288" s="13"/>
      <c r="U288" s="13"/>
      <c r="V288" s="13"/>
      <c r="W288" s="13"/>
      <c r="X288" s="13"/>
      <c r="Y288" s="13"/>
      <c r="Z288" s="13"/>
    </row>
    <row r="289" customFormat="false" ht="14.25" hidden="false" customHeight="true" outlineLevel="0" collapsed="false">
      <c r="A289" s="13"/>
      <c r="B289" s="13"/>
      <c r="C289" s="13"/>
      <c r="D289" s="13"/>
      <c r="E289" s="13"/>
      <c r="F289" s="13"/>
      <c r="G289" s="13"/>
      <c r="H289" s="13"/>
      <c r="I289" s="13"/>
      <c r="J289" s="13"/>
      <c r="K289" s="13"/>
      <c r="L289" s="13"/>
      <c r="M289" s="13"/>
      <c r="N289" s="13"/>
      <c r="O289" s="13"/>
      <c r="P289" s="13"/>
      <c r="Q289" s="13"/>
      <c r="R289" s="13"/>
      <c r="S289" s="13"/>
      <c r="T289" s="13"/>
      <c r="U289" s="13"/>
      <c r="V289" s="13"/>
      <c r="W289" s="13"/>
      <c r="X289" s="13"/>
      <c r="Y289" s="13"/>
      <c r="Z289" s="13"/>
    </row>
    <row r="290" customFormat="false" ht="14.25" hidden="false" customHeight="true" outlineLevel="0" collapsed="false">
      <c r="A290" s="13"/>
      <c r="B290" s="13"/>
      <c r="C290" s="13"/>
      <c r="D290" s="13"/>
      <c r="E290" s="13"/>
      <c r="F290" s="13"/>
      <c r="G290" s="13"/>
      <c r="H290" s="13"/>
      <c r="I290" s="13"/>
      <c r="J290" s="13"/>
      <c r="K290" s="13"/>
      <c r="L290" s="13"/>
      <c r="M290" s="13"/>
      <c r="N290" s="13"/>
      <c r="O290" s="13"/>
      <c r="P290" s="13"/>
      <c r="Q290" s="13"/>
      <c r="R290" s="13"/>
      <c r="S290" s="13"/>
      <c r="T290" s="13"/>
      <c r="U290" s="13"/>
      <c r="V290" s="13"/>
      <c r="W290" s="13"/>
      <c r="X290" s="13"/>
      <c r="Y290" s="13"/>
      <c r="Z290" s="13"/>
    </row>
    <row r="291" customFormat="false" ht="14.25" hidden="false" customHeight="true" outlineLevel="0" collapsed="false">
      <c r="A291" s="13"/>
      <c r="B291" s="13"/>
      <c r="C291" s="13"/>
      <c r="D291" s="13"/>
      <c r="E291" s="13"/>
      <c r="F291" s="13"/>
      <c r="G291" s="13"/>
      <c r="H291" s="13"/>
      <c r="I291" s="13"/>
      <c r="J291" s="13"/>
      <c r="K291" s="13"/>
      <c r="L291" s="13"/>
      <c r="M291" s="13"/>
      <c r="N291" s="13"/>
      <c r="O291" s="13"/>
      <c r="P291" s="13"/>
      <c r="Q291" s="13"/>
      <c r="R291" s="13"/>
      <c r="S291" s="13"/>
      <c r="T291" s="13"/>
      <c r="U291" s="13"/>
      <c r="V291" s="13"/>
      <c r="W291" s="13"/>
      <c r="X291" s="13"/>
      <c r="Y291" s="13"/>
      <c r="Z291" s="13"/>
    </row>
    <row r="292" customFormat="false" ht="14.25" hidden="false" customHeight="true" outlineLevel="0" collapsed="false">
      <c r="A292" s="13"/>
      <c r="B292" s="13"/>
      <c r="C292" s="13"/>
      <c r="D292" s="13"/>
      <c r="E292" s="13"/>
      <c r="F292" s="13"/>
      <c r="G292" s="13"/>
      <c r="H292" s="13"/>
      <c r="I292" s="13"/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</row>
    <row r="293" customFormat="false" ht="14.25" hidden="false" customHeight="true" outlineLevel="0" collapsed="false">
      <c r="A293" s="13"/>
      <c r="B293" s="13"/>
      <c r="C293" s="13"/>
      <c r="D293" s="13"/>
      <c r="E293" s="13"/>
      <c r="F293" s="13"/>
      <c r="G293" s="13"/>
      <c r="H293" s="13"/>
      <c r="I293" s="13"/>
      <c r="J293" s="13"/>
      <c r="K293" s="13"/>
      <c r="L293" s="13"/>
      <c r="M293" s="13"/>
      <c r="N293" s="13"/>
      <c r="O293" s="13"/>
      <c r="P293" s="13"/>
      <c r="Q293" s="13"/>
      <c r="R293" s="13"/>
      <c r="S293" s="13"/>
      <c r="T293" s="13"/>
      <c r="U293" s="13"/>
      <c r="V293" s="13"/>
      <c r="W293" s="13"/>
      <c r="X293" s="13"/>
      <c r="Y293" s="13"/>
      <c r="Z293" s="13"/>
    </row>
    <row r="294" customFormat="false" ht="14.25" hidden="false" customHeight="true" outlineLevel="0" collapsed="false">
      <c r="A294" s="13"/>
      <c r="B294" s="13"/>
      <c r="C294" s="13"/>
      <c r="D294" s="13"/>
      <c r="E294" s="13"/>
      <c r="F294" s="13"/>
      <c r="G294" s="13"/>
      <c r="H294" s="13"/>
      <c r="I294" s="13"/>
      <c r="J294" s="13"/>
      <c r="K294" s="13"/>
      <c r="L294" s="13"/>
      <c r="M294" s="13"/>
      <c r="N294" s="13"/>
      <c r="O294" s="13"/>
      <c r="P294" s="13"/>
      <c r="Q294" s="13"/>
      <c r="R294" s="13"/>
      <c r="S294" s="13"/>
      <c r="T294" s="13"/>
      <c r="U294" s="13"/>
      <c r="V294" s="13"/>
      <c r="W294" s="13"/>
      <c r="X294" s="13"/>
      <c r="Y294" s="13"/>
      <c r="Z294" s="13"/>
    </row>
    <row r="295" customFormat="false" ht="14.25" hidden="false" customHeight="true" outlineLevel="0" collapsed="false">
      <c r="A295" s="13"/>
      <c r="B295" s="13"/>
      <c r="C295" s="13"/>
      <c r="D295" s="13"/>
      <c r="E295" s="13"/>
      <c r="F295" s="13"/>
      <c r="G295" s="13"/>
      <c r="H295" s="13"/>
      <c r="I295" s="13"/>
      <c r="J295" s="13"/>
      <c r="K295" s="13"/>
      <c r="L295" s="13"/>
      <c r="M295" s="13"/>
      <c r="N295" s="13"/>
      <c r="O295" s="13"/>
      <c r="P295" s="13"/>
      <c r="Q295" s="13"/>
      <c r="R295" s="13"/>
      <c r="S295" s="13"/>
      <c r="T295" s="13"/>
      <c r="U295" s="13"/>
      <c r="V295" s="13"/>
      <c r="W295" s="13"/>
      <c r="X295" s="13"/>
      <c r="Y295" s="13"/>
      <c r="Z295" s="13"/>
    </row>
    <row r="296" customFormat="false" ht="14.25" hidden="false" customHeight="true" outlineLevel="0" collapsed="false">
      <c r="A296" s="13"/>
      <c r="B296" s="13"/>
      <c r="C296" s="13"/>
      <c r="D296" s="13"/>
      <c r="E296" s="13"/>
      <c r="F296" s="13"/>
      <c r="G296" s="13"/>
      <c r="H296" s="13"/>
      <c r="I296" s="13"/>
      <c r="J296" s="13"/>
      <c r="K296" s="13"/>
      <c r="L296" s="13"/>
      <c r="M296" s="13"/>
      <c r="N296" s="13"/>
      <c r="O296" s="13"/>
      <c r="P296" s="13"/>
      <c r="Q296" s="13"/>
      <c r="R296" s="13"/>
      <c r="S296" s="13"/>
      <c r="T296" s="13"/>
      <c r="U296" s="13"/>
      <c r="V296" s="13"/>
      <c r="W296" s="13"/>
      <c r="X296" s="13"/>
      <c r="Y296" s="13"/>
      <c r="Z296" s="13"/>
    </row>
    <row r="297" customFormat="false" ht="14.25" hidden="false" customHeight="true" outlineLevel="0" collapsed="false">
      <c r="A297" s="13"/>
      <c r="B297" s="13"/>
      <c r="C297" s="13"/>
      <c r="D297" s="13"/>
      <c r="E297" s="13"/>
      <c r="F297" s="13"/>
      <c r="G297" s="13"/>
      <c r="H297" s="13"/>
      <c r="I297" s="13"/>
      <c r="J297" s="13"/>
      <c r="K297" s="13"/>
      <c r="L297" s="13"/>
      <c r="M297" s="13"/>
      <c r="N297" s="13"/>
      <c r="O297" s="13"/>
      <c r="P297" s="13"/>
      <c r="Q297" s="13"/>
      <c r="R297" s="13"/>
      <c r="S297" s="13"/>
      <c r="T297" s="13"/>
      <c r="U297" s="13"/>
      <c r="V297" s="13"/>
      <c r="W297" s="13"/>
      <c r="X297" s="13"/>
      <c r="Y297" s="13"/>
      <c r="Z297" s="13"/>
    </row>
    <row r="298" customFormat="false" ht="14.25" hidden="false" customHeight="true" outlineLevel="0" collapsed="false">
      <c r="A298" s="13"/>
      <c r="B298" s="13"/>
      <c r="C298" s="13"/>
      <c r="D298" s="13"/>
      <c r="E298" s="13"/>
      <c r="F298" s="13"/>
      <c r="G298" s="13"/>
      <c r="H298" s="13"/>
      <c r="I298" s="13"/>
      <c r="J298" s="13"/>
      <c r="K298" s="13"/>
      <c r="L298" s="13"/>
      <c r="M298" s="13"/>
      <c r="N298" s="13"/>
      <c r="O298" s="13"/>
      <c r="P298" s="13"/>
      <c r="Q298" s="13"/>
      <c r="R298" s="13"/>
      <c r="S298" s="13"/>
      <c r="T298" s="13"/>
      <c r="U298" s="13"/>
      <c r="V298" s="13"/>
      <c r="W298" s="13"/>
      <c r="X298" s="13"/>
      <c r="Y298" s="13"/>
      <c r="Z298" s="13"/>
    </row>
    <row r="299" customFormat="false" ht="14.25" hidden="false" customHeight="true" outlineLevel="0" collapsed="false">
      <c r="A299" s="13"/>
      <c r="B299" s="13"/>
      <c r="C299" s="13"/>
      <c r="D299" s="13"/>
      <c r="E299" s="13"/>
      <c r="F299" s="13"/>
      <c r="G299" s="13"/>
      <c r="H299" s="13"/>
      <c r="I299" s="13"/>
      <c r="J299" s="13"/>
      <c r="K299" s="13"/>
      <c r="L299" s="13"/>
      <c r="M299" s="13"/>
      <c r="N299" s="13"/>
      <c r="O299" s="13"/>
      <c r="P299" s="13"/>
      <c r="Q299" s="13"/>
      <c r="R299" s="13"/>
      <c r="S299" s="13"/>
      <c r="T299" s="13"/>
      <c r="U299" s="13"/>
      <c r="V299" s="13"/>
      <c r="W299" s="13"/>
      <c r="X299" s="13"/>
      <c r="Y299" s="13"/>
      <c r="Z299" s="13"/>
    </row>
    <row r="300" customFormat="false" ht="14.25" hidden="false" customHeight="true" outlineLevel="0" collapsed="false">
      <c r="A300" s="13"/>
      <c r="B300" s="13"/>
      <c r="C300" s="13"/>
      <c r="D300" s="13"/>
      <c r="E300" s="13"/>
      <c r="F300" s="13"/>
      <c r="G300" s="13"/>
      <c r="H300" s="13"/>
      <c r="I300" s="13"/>
      <c r="J300" s="13"/>
      <c r="K300" s="13"/>
      <c r="L300" s="13"/>
      <c r="M300" s="13"/>
      <c r="N300" s="13"/>
      <c r="O300" s="13"/>
      <c r="P300" s="13"/>
      <c r="Q300" s="13"/>
      <c r="R300" s="13"/>
      <c r="S300" s="13"/>
      <c r="T300" s="13"/>
      <c r="U300" s="13"/>
      <c r="V300" s="13"/>
      <c r="W300" s="13"/>
      <c r="X300" s="13"/>
      <c r="Y300" s="13"/>
      <c r="Z300" s="13"/>
    </row>
    <row r="301" customFormat="false" ht="14.25" hidden="false" customHeight="true" outlineLevel="0" collapsed="false">
      <c r="A301" s="13"/>
      <c r="B301" s="13"/>
      <c r="C301" s="13"/>
      <c r="D301" s="13"/>
      <c r="E301" s="13"/>
      <c r="F301" s="13"/>
      <c r="G301" s="13"/>
      <c r="H301" s="13"/>
      <c r="I301" s="13"/>
      <c r="J301" s="13"/>
      <c r="K301" s="13"/>
      <c r="L301" s="13"/>
      <c r="M301" s="13"/>
      <c r="N301" s="13"/>
      <c r="O301" s="13"/>
      <c r="P301" s="13"/>
      <c r="Q301" s="13"/>
      <c r="R301" s="13"/>
      <c r="S301" s="13"/>
      <c r="T301" s="13"/>
      <c r="U301" s="13"/>
      <c r="V301" s="13"/>
      <c r="W301" s="13"/>
      <c r="X301" s="13"/>
      <c r="Y301" s="13"/>
      <c r="Z301" s="13"/>
    </row>
    <row r="302" customFormat="false" ht="14.25" hidden="false" customHeight="true" outlineLevel="0" collapsed="false">
      <c r="A302" s="13"/>
      <c r="B302" s="13"/>
      <c r="C302" s="13"/>
      <c r="D302" s="13"/>
      <c r="E302" s="13"/>
      <c r="F302" s="13"/>
      <c r="G302" s="13"/>
      <c r="H302" s="13"/>
      <c r="I302" s="13"/>
      <c r="J302" s="13"/>
      <c r="K302" s="13"/>
      <c r="L302" s="13"/>
      <c r="M302" s="13"/>
      <c r="N302" s="13"/>
      <c r="O302" s="13"/>
      <c r="P302" s="13"/>
      <c r="Q302" s="13"/>
      <c r="R302" s="13"/>
      <c r="S302" s="13"/>
      <c r="T302" s="13"/>
      <c r="U302" s="13"/>
      <c r="V302" s="13"/>
      <c r="W302" s="13"/>
      <c r="X302" s="13"/>
      <c r="Y302" s="13"/>
      <c r="Z302" s="13"/>
    </row>
    <row r="303" customFormat="false" ht="14.25" hidden="false" customHeight="true" outlineLevel="0" collapsed="false">
      <c r="A303" s="13"/>
      <c r="B303" s="13"/>
      <c r="C303" s="13"/>
      <c r="D303" s="13"/>
      <c r="E303" s="13"/>
      <c r="F303" s="13"/>
      <c r="G303" s="13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13"/>
      <c r="U303" s="13"/>
      <c r="V303" s="13"/>
      <c r="W303" s="13"/>
      <c r="X303" s="13"/>
      <c r="Y303" s="13"/>
      <c r="Z303" s="13"/>
    </row>
    <row r="304" customFormat="false" ht="14.25" hidden="false" customHeight="true" outlineLevel="0" collapsed="false">
      <c r="A304" s="13"/>
      <c r="B304" s="13"/>
      <c r="C304" s="13"/>
      <c r="D304" s="13"/>
      <c r="E304" s="13"/>
      <c r="F304" s="13"/>
      <c r="G304" s="13"/>
      <c r="H304" s="13"/>
      <c r="I304" s="13"/>
      <c r="J304" s="13"/>
      <c r="K304" s="13"/>
      <c r="L304" s="13"/>
      <c r="M304" s="13"/>
      <c r="N304" s="13"/>
      <c r="O304" s="13"/>
      <c r="P304" s="13"/>
      <c r="Q304" s="13"/>
      <c r="R304" s="13"/>
      <c r="S304" s="13"/>
      <c r="T304" s="13"/>
      <c r="U304" s="13"/>
      <c r="V304" s="13"/>
      <c r="W304" s="13"/>
      <c r="X304" s="13"/>
      <c r="Y304" s="13"/>
      <c r="Z304" s="13"/>
    </row>
    <row r="305" customFormat="false" ht="14.25" hidden="false" customHeight="true" outlineLevel="0" collapsed="false">
      <c r="A305" s="13"/>
      <c r="B305" s="13"/>
      <c r="C305" s="13"/>
      <c r="D305" s="13"/>
      <c r="E305" s="13"/>
      <c r="F305" s="13"/>
      <c r="G305" s="13"/>
      <c r="H305" s="13"/>
      <c r="I305" s="13"/>
      <c r="J305" s="13"/>
      <c r="K305" s="13"/>
      <c r="L305" s="13"/>
      <c r="M305" s="13"/>
      <c r="N305" s="13"/>
      <c r="O305" s="13"/>
      <c r="P305" s="13"/>
      <c r="Q305" s="13"/>
      <c r="R305" s="13"/>
      <c r="S305" s="13"/>
      <c r="T305" s="13"/>
      <c r="U305" s="13"/>
      <c r="V305" s="13"/>
      <c r="W305" s="13"/>
      <c r="X305" s="13"/>
      <c r="Y305" s="13"/>
      <c r="Z305" s="13"/>
    </row>
    <row r="306" customFormat="false" ht="14.25" hidden="false" customHeight="true" outlineLevel="0" collapsed="false">
      <c r="A306" s="13"/>
      <c r="B306" s="13"/>
      <c r="C306" s="13"/>
      <c r="D306" s="13"/>
      <c r="E306" s="13"/>
      <c r="F306" s="13"/>
      <c r="G306" s="13"/>
      <c r="H306" s="13"/>
      <c r="I306" s="13"/>
      <c r="J306" s="13"/>
      <c r="K306" s="13"/>
      <c r="L306" s="13"/>
      <c r="M306" s="13"/>
      <c r="N306" s="13"/>
      <c r="O306" s="13"/>
      <c r="P306" s="13"/>
      <c r="Q306" s="13"/>
      <c r="R306" s="13"/>
      <c r="S306" s="13"/>
      <c r="T306" s="13"/>
      <c r="U306" s="13"/>
      <c r="V306" s="13"/>
      <c r="W306" s="13"/>
      <c r="X306" s="13"/>
      <c r="Y306" s="13"/>
      <c r="Z306" s="13"/>
    </row>
    <row r="307" customFormat="false" ht="14.25" hidden="false" customHeight="true" outlineLevel="0" collapsed="false">
      <c r="A307" s="13"/>
      <c r="B307" s="13"/>
      <c r="C307" s="13"/>
      <c r="D307" s="13"/>
      <c r="E307" s="13"/>
      <c r="F307" s="13"/>
      <c r="G307" s="13"/>
      <c r="H307" s="13"/>
      <c r="I307" s="13"/>
      <c r="J307" s="13"/>
      <c r="K307" s="13"/>
      <c r="L307" s="13"/>
      <c r="M307" s="13"/>
      <c r="N307" s="13"/>
      <c r="O307" s="13"/>
      <c r="P307" s="13"/>
      <c r="Q307" s="13"/>
      <c r="R307" s="13"/>
      <c r="S307" s="13"/>
      <c r="T307" s="13"/>
      <c r="U307" s="13"/>
      <c r="V307" s="13"/>
      <c r="W307" s="13"/>
      <c r="X307" s="13"/>
      <c r="Y307" s="13"/>
      <c r="Z307" s="13"/>
    </row>
    <row r="308" customFormat="false" ht="14.25" hidden="false" customHeight="true" outlineLevel="0" collapsed="false">
      <c r="A308" s="13"/>
      <c r="B308" s="13"/>
      <c r="C308" s="13"/>
      <c r="D308" s="13"/>
      <c r="E308" s="13"/>
      <c r="F308" s="13"/>
      <c r="G308" s="13"/>
      <c r="H308" s="13"/>
      <c r="I308" s="13"/>
      <c r="J308" s="13"/>
      <c r="K308" s="13"/>
      <c r="L308" s="13"/>
      <c r="M308" s="13"/>
      <c r="N308" s="13"/>
      <c r="O308" s="13"/>
      <c r="P308" s="13"/>
      <c r="Q308" s="13"/>
      <c r="R308" s="13"/>
      <c r="S308" s="13"/>
      <c r="T308" s="13"/>
      <c r="U308" s="13"/>
      <c r="V308" s="13"/>
      <c r="W308" s="13"/>
      <c r="X308" s="13"/>
      <c r="Y308" s="13"/>
      <c r="Z308" s="13"/>
    </row>
    <row r="309" customFormat="false" ht="14.25" hidden="false" customHeight="true" outlineLevel="0" collapsed="false">
      <c r="A309" s="13"/>
      <c r="B309" s="13"/>
      <c r="C309" s="13"/>
      <c r="D309" s="13"/>
      <c r="E309" s="13"/>
      <c r="F309" s="13"/>
      <c r="G309" s="13"/>
      <c r="H309" s="13"/>
      <c r="I309" s="13"/>
      <c r="J309" s="13"/>
      <c r="K309" s="13"/>
      <c r="L309" s="13"/>
      <c r="M309" s="13"/>
      <c r="N309" s="13"/>
      <c r="O309" s="13"/>
      <c r="P309" s="13"/>
      <c r="Q309" s="13"/>
      <c r="R309" s="13"/>
      <c r="S309" s="13"/>
      <c r="T309" s="13"/>
      <c r="U309" s="13"/>
      <c r="V309" s="13"/>
      <c r="W309" s="13"/>
      <c r="X309" s="13"/>
      <c r="Y309" s="13"/>
      <c r="Z309" s="13"/>
    </row>
    <row r="310" customFormat="false" ht="14.25" hidden="false" customHeight="true" outlineLevel="0" collapsed="false">
      <c r="A310" s="13"/>
      <c r="B310" s="13"/>
      <c r="C310" s="13"/>
      <c r="D310" s="13"/>
      <c r="E310" s="13"/>
      <c r="F310" s="13"/>
      <c r="G310" s="13"/>
      <c r="H310" s="13"/>
      <c r="I310" s="13"/>
      <c r="J310" s="13"/>
      <c r="K310" s="13"/>
      <c r="L310" s="13"/>
      <c r="M310" s="13"/>
      <c r="N310" s="13"/>
      <c r="O310" s="13"/>
      <c r="P310" s="13"/>
      <c r="Q310" s="13"/>
      <c r="R310" s="13"/>
      <c r="S310" s="13"/>
      <c r="T310" s="13"/>
      <c r="U310" s="13"/>
      <c r="V310" s="13"/>
      <c r="W310" s="13"/>
      <c r="X310" s="13"/>
      <c r="Y310" s="13"/>
      <c r="Z310" s="13"/>
    </row>
    <row r="311" customFormat="false" ht="14.25" hidden="false" customHeight="true" outlineLevel="0" collapsed="false">
      <c r="A311" s="13"/>
      <c r="B311" s="13"/>
      <c r="C311" s="13"/>
      <c r="D311" s="13"/>
      <c r="E311" s="13"/>
      <c r="F311" s="13"/>
      <c r="G311" s="13"/>
      <c r="H311" s="13"/>
      <c r="I311" s="13"/>
      <c r="J311" s="13"/>
      <c r="K311" s="13"/>
      <c r="L311" s="13"/>
      <c r="M311" s="13"/>
      <c r="N311" s="13"/>
      <c r="O311" s="13"/>
      <c r="P311" s="13"/>
      <c r="Q311" s="13"/>
      <c r="R311" s="13"/>
      <c r="S311" s="13"/>
      <c r="T311" s="13"/>
      <c r="U311" s="13"/>
      <c r="V311" s="13"/>
      <c r="W311" s="13"/>
      <c r="X311" s="13"/>
      <c r="Y311" s="13"/>
      <c r="Z311" s="13"/>
    </row>
    <row r="312" customFormat="false" ht="14.25" hidden="false" customHeight="true" outlineLevel="0" collapsed="false">
      <c r="A312" s="13"/>
      <c r="B312" s="13"/>
      <c r="C312" s="13"/>
      <c r="D312" s="13"/>
      <c r="E312" s="13"/>
      <c r="F312" s="13"/>
      <c r="G312" s="13"/>
      <c r="H312" s="13"/>
      <c r="I312" s="13"/>
      <c r="J312" s="13"/>
      <c r="K312" s="13"/>
      <c r="L312" s="13"/>
      <c r="M312" s="13"/>
      <c r="N312" s="13"/>
      <c r="O312" s="13"/>
      <c r="P312" s="13"/>
      <c r="Q312" s="13"/>
      <c r="R312" s="13"/>
      <c r="S312" s="13"/>
      <c r="T312" s="13"/>
      <c r="U312" s="13"/>
      <c r="V312" s="13"/>
      <c r="W312" s="13"/>
      <c r="X312" s="13"/>
      <c r="Y312" s="13"/>
      <c r="Z312" s="13"/>
    </row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mergeCells count="4">
    <mergeCell ref="A45:C45"/>
    <mergeCell ref="A46:C46"/>
    <mergeCell ref="A47:C47"/>
    <mergeCell ref="A49:D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D2" activeCellId="0" sqref="D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8.57"/>
    <col collapsed="false" customWidth="true" hidden="false" outlineLevel="0" max="2" min="2" style="1" width="24"/>
    <col collapsed="false" customWidth="true" hidden="false" outlineLevel="0" max="3" min="3" style="1" width="11"/>
    <col collapsed="false" customWidth="true" hidden="false" outlineLevel="0" max="16" min="4" style="1" width="9"/>
  </cols>
  <sheetData>
    <row r="1" customFormat="false" ht="14.25" hidden="false" customHeight="true" outlineLevel="0" collapsed="false">
      <c r="A1" s="7" t="n">
        <v>2026</v>
      </c>
      <c r="B1" s="7" t="s">
        <v>181</v>
      </c>
      <c r="C1" s="7" t="s">
        <v>182</v>
      </c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183</v>
      </c>
    </row>
    <row r="2" customFormat="false" ht="14.25" hidden="false" customHeight="true" outlineLevel="0" collapsed="false">
      <c r="A2" s="41" t="n">
        <v>2026</v>
      </c>
      <c r="B2" s="8" t="s">
        <v>16</v>
      </c>
      <c r="C2" s="8" t="s">
        <v>184</v>
      </c>
      <c r="D2" s="42" t="n">
        <f aca="false">(datos_base!$B$2+datos_base!$B$18)*parametros_manuales!B$12</f>
        <v>501.44838516</v>
      </c>
      <c r="E2" s="42" t="n">
        <f aca="false">(datos_base!$B$2+datos_base!$B$18)*parametros_manuales!C$12</f>
        <v>376.08628887</v>
      </c>
      <c r="F2" s="42" t="n">
        <f aca="false">(datos_base!$B$2+datos_base!$B$18)*parametros_manuales!D$12</f>
        <v>334.29892344</v>
      </c>
      <c r="G2" s="42" t="n">
        <f aca="false">(datos_base!$B$2+datos_base!$B$18)*parametros_manuales!E$12</f>
        <v>313.405240725</v>
      </c>
      <c r="H2" s="42" t="n">
        <f aca="false">(datos_base!$B$2+datos_base!$B$18)*parametros_manuales!F$12</f>
        <v>292.51155801</v>
      </c>
      <c r="I2" s="42" t="n">
        <f aca="false">(datos_base!$B$2+datos_base!$B$18)*parametros_manuales!G$12</f>
        <v>292.51155801</v>
      </c>
      <c r="J2" s="42" t="n">
        <f aca="false">(datos_base!$B$2+datos_base!$B$18)*parametros_manuales!H$12</f>
        <v>313.405240725</v>
      </c>
      <c r="K2" s="42" t="n">
        <f aca="false">(datos_base!$B$2+datos_base!$B$18)*parametros_manuales!I$12</f>
        <v>313.405240725</v>
      </c>
      <c r="L2" s="42" t="n">
        <f aca="false">(datos_base!$B$2+datos_base!$B$18)*parametros_manuales!J$12</f>
        <v>313.405240725</v>
      </c>
      <c r="M2" s="42" t="n">
        <f aca="false">(datos_base!$B$2+datos_base!$B$18)*parametros_manuales!K$12</f>
        <v>313.405240725</v>
      </c>
      <c r="N2" s="42" t="n">
        <f aca="false">(datos_base!$B$2+datos_base!$B$18)*parametros_manuales!L$12</f>
        <v>313.405240725</v>
      </c>
      <c r="O2" s="42" t="n">
        <f aca="false">(datos_base!$B$2+datos_base!$B$18)*parametros_manuales!M$12</f>
        <v>501.44838516</v>
      </c>
      <c r="P2" s="9" t="n">
        <f aca="false">SUM(D2:O2)</f>
        <v>4178.736543</v>
      </c>
    </row>
    <row r="3" customFormat="false" ht="14.25" hidden="false" customHeight="true" outlineLevel="0" collapsed="false">
      <c r="A3" s="41" t="n">
        <v>2026</v>
      </c>
      <c r="B3" s="8" t="s">
        <v>17</v>
      </c>
      <c r="C3" s="8" t="s">
        <v>184</v>
      </c>
      <c r="D3" s="42" t="n">
        <f aca="false">(datos_base!$B$3+datos_base!$B$19)*parametros_manuales!B$13</f>
        <v>29.80303572</v>
      </c>
      <c r="E3" s="42" t="n">
        <f aca="false">(datos_base!$B$3+datos_base!$B$19)*parametros_manuales!C$13</f>
        <v>23.842428576</v>
      </c>
      <c r="F3" s="42" t="n">
        <f aca="false">(datos_base!$B$3+datos_base!$B$19)*parametros_manuales!D$13</f>
        <v>25.332580362</v>
      </c>
      <c r="G3" s="42" t="n">
        <f aca="false">(datos_base!$B$3+datos_base!$B$19)*parametros_manuales!E$13</f>
        <v>25.332580362</v>
      </c>
      <c r="H3" s="42" t="n">
        <f aca="false">(datos_base!$B$3+datos_base!$B$19)*parametros_manuales!F$13</f>
        <v>23.842428576</v>
      </c>
      <c r="I3" s="42" t="n">
        <f aca="false">(datos_base!$B$3+datos_base!$B$19)*parametros_manuales!G$13</f>
        <v>22.35227679</v>
      </c>
      <c r="J3" s="42" t="n">
        <f aca="false">(datos_base!$B$3+datos_base!$B$19)*parametros_manuales!H$13</f>
        <v>23.842428576</v>
      </c>
      <c r="K3" s="42" t="n">
        <f aca="false">(datos_base!$B$3+datos_base!$B$19)*parametros_manuales!I$13</f>
        <v>23.842428576</v>
      </c>
      <c r="L3" s="42" t="n">
        <f aca="false">(datos_base!$B$3+datos_base!$B$19)*parametros_manuales!J$13</f>
        <v>23.842428576</v>
      </c>
      <c r="M3" s="42" t="n">
        <f aca="false">(datos_base!$B$3+datos_base!$B$19)*parametros_manuales!K$13</f>
        <v>22.35227679</v>
      </c>
      <c r="N3" s="42" t="n">
        <f aca="false">(datos_base!$B$3+datos_base!$B$19)*parametros_manuales!L$13</f>
        <v>20.862125004</v>
      </c>
      <c r="O3" s="42" t="n">
        <f aca="false">(datos_base!$B$3+datos_base!$B$19)*parametros_manuales!M$13</f>
        <v>32.783339292</v>
      </c>
      <c r="P3" s="9" t="n">
        <f aca="false">SUM(D3:O3)</f>
        <v>298.0303572</v>
      </c>
    </row>
    <row r="4" customFormat="false" ht="14.25" hidden="false" customHeight="true" outlineLevel="0" collapsed="false">
      <c r="A4" s="41" t="n">
        <v>2026</v>
      </c>
      <c r="B4" s="8" t="s">
        <v>18</v>
      </c>
      <c r="C4" s="8" t="s">
        <v>184</v>
      </c>
      <c r="D4" s="42" t="n">
        <f aca="false">(datos_base!$B$4+datos_base!$B$20)*parametros_manuales!B$14</f>
        <v>226.6773025</v>
      </c>
      <c r="E4" s="42" t="n">
        <f aca="false">(datos_base!$B$4+datos_base!$B$20)*parametros_manuales!C$14</f>
        <v>181.341842</v>
      </c>
      <c r="F4" s="42" t="n">
        <f aca="false">(datos_base!$B$4+datos_base!$B$20)*parametros_manuales!D$14</f>
        <v>192.675707125</v>
      </c>
      <c r="G4" s="42" t="n">
        <f aca="false">(datos_base!$B$4+datos_base!$B$20)*parametros_manuales!E$14</f>
        <v>192.675707125</v>
      </c>
      <c r="H4" s="42" t="n">
        <f aca="false">(datos_base!$B$4+datos_base!$B$20)*parametros_manuales!F$14</f>
        <v>181.341842</v>
      </c>
      <c r="I4" s="42" t="n">
        <f aca="false">(datos_base!$B$4+datos_base!$B$20)*parametros_manuales!G$14</f>
        <v>170.007976875</v>
      </c>
      <c r="J4" s="42" t="n">
        <f aca="false">(datos_base!$B$4+datos_base!$B$20)*parametros_manuales!H$14</f>
        <v>181.341842</v>
      </c>
      <c r="K4" s="42" t="n">
        <f aca="false">(datos_base!$B$4+datos_base!$B$20)*parametros_manuales!I$14</f>
        <v>181.341842</v>
      </c>
      <c r="L4" s="42" t="n">
        <f aca="false">(datos_base!$B$4+datos_base!$B$20)*parametros_manuales!J$14</f>
        <v>181.341842</v>
      </c>
      <c r="M4" s="42" t="n">
        <f aca="false">(datos_base!$B$4+datos_base!$B$20)*parametros_manuales!K$14</f>
        <v>170.007976875</v>
      </c>
      <c r="N4" s="42" t="n">
        <f aca="false">(datos_base!$B$4+datos_base!$B$20)*parametros_manuales!L$14</f>
        <v>158.67411175</v>
      </c>
      <c r="O4" s="42" t="n">
        <f aca="false">(datos_base!$B$4+datos_base!$B$20)*parametros_manuales!M$14</f>
        <v>249.34503275</v>
      </c>
      <c r="P4" s="9" t="n">
        <f aca="false">SUM(D4:O4)</f>
        <v>2266.773025</v>
      </c>
    </row>
    <row r="5" customFormat="false" ht="14.25" hidden="false" customHeight="true" outlineLevel="0" collapsed="false">
      <c r="A5" s="41" t="n">
        <v>2026</v>
      </c>
      <c r="B5" s="8" t="s">
        <v>19</v>
      </c>
      <c r="C5" s="8" t="s">
        <v>184</v>
      </c>
      <c r="D5" s="42" t="n">
        <f aca="false">(datos_base!$B$5+datos_base!$B$21)*parametros_manuales!B$15</f>
        <v>9.283318153</v>
      </c>
      <c r="E5" s="42" t="n">
        <f aca="false">(datos_base!$B$5+datos_base!$B$21)*parametros_manuales!C$15</f>
        <v>7.4266545224</v>
      </c>
      <c r="F5" s="42" t="n">
        <f aca="false">(datos_base!$B$5+datos_base!$B$21)*parametros_manuales!D$15</f>
        <v>7.89082043005</v>
      </c>
      <c r="G5" s="42" t="n">
        <f aca="false">(datos_base!$B$5+datos_base!$B$21)*parametros_manuales!E$15</f>
        <v>7.89082043005</v>
      </c>
      <c r="H5" s="42" t="n">
        <f aca="false">(datos_base!$B$5+datos_base!$B$21)*parametros_manuales!F$15</f>
        <v>7.4266545224</v>
      </c>
      <c r="I5" s="42" t="n">
        <f aca="false">(datos_base!$B$5+datos_base!$B$21)*parametros_manuales!G$15</f>
        <v>6.96248861475</v>
      </c>
      <c r="J5" s="42" t="n">
        <f aca="false">(datos_base!$B$5+datos_base!$B$21)*parametros_manuales!H$15</f>
        <v>7.4266545224</v>
      </c>
      <c r="K5" s="42" t="n">
        <f aca="false">(datos_base!$B$5+datos_base!$B$21)*parametros_manuales!I$15</f>
        <v>7.4266545224</v>
      </c>
      <c r="L5" s="42" t="n">
        <f aca="false">(datos_base!$B$5+datos_base!$B$21)*parametros_manuales!J$15</f>
        <v>7.4266545224</v>
      </c>
      <c r="M5" s="42" t="n">
        <f aca="false">(datos_base!$B$5+datos_base!$B$21)*parametros_manuales!K$15</f>
        <v>6.96248861475</v>
      </c>
      <c r="N5" s="42" t="n">
        <f aca="false">(datos_base!$B$5+datos_base!$B$21)*parametros_manuales!L$15</f>
        <v>6.4983227071</v>
      </c>
      <c r="O5" s="42" t="n">
        <f aca="false">(datos_base!$B$5+datos_base!$B$21)*parametros_manuales!M$15</f>
        <v>10.2116499683</v>
      </c>
      <c r="P5" s="9" t="n">
        <f aca="false">SUM(D5:O5)</f>
        <v>92.83318153</v>
      </c>
    </row>
    <row r="6" customFormat="false" ht="14.25" hidden="false" customHeight="true" outlineLevel="0" collapsed="false">
      <c r="A6" s="41" t="n">
        <v>2026</v>
      </c>
      <c r="B6" s="8" t="s">
        <v>22</v>
      </c>
      <c r="C6" s="8" t="s">
        <v>185</v>
      </c>
      <c r="D6" s="42" t="n">
        <f aca="false">(datos_base!$B$9+datos_base!$B$23)*parametros_manuales!B$12</f>
        <v>0</v>
      </c>
      <c r="E6" s="42" t="n">
        <f aca="false">(datos_base!$B$9+datos_base!$B$23)*parametros_manuales!C$12</f>
        <v>0</v>
      </c>
      <c r="F6" s="42" t="n">
        <f aca="false">(datos_base!$B$9+datos_base!$B$23)*parametros_manuales!D$12</f>
        <v>0</v>
      </c>
      <c r="G6" s="42" t="n">
        <f aca="false">(datos_base!$B$9+datos_base!$B$23)*parametros_manuales!E$12</f>
        <v>0</v>
      </c>
      <c r="H6" s="42" t="n">
        <f aca="false">(datos_base!$B$9+datos_base!$B$23)*parametros_manuales!F$12</f>
        <v>0</v>
      </c>
      <c r="I6" s="42" t="n">
        <f aca="false">(datos_base!$B$9+datos_base!$B$23)*parametros_manuales!G$12</f>
        <v>0</v>
      </c>
      <c r="J6" s="42" t="n">
        <f aca="false">(datos_base!$B$9+datos_base!$B$23)*parametros_manuales!H$12</f>
        <v>0</v>
      </c>
      <c r="K6" s="42" t="n">
        <f aca="false">(datos_base!$B$9+datos_base!$B$23)*parametros_manuales!I$12</f>
        <v>0</v>
      </c>
      <c r="L6" s="42" t="n">
        <f aca="false">(datos_base!$B$9+datos_base!$B$23)*parametros_manuales!J$12</f>
        <v>0</v>
      </c>
      <c r="M6" s="42" t="n">
        <f aca="false">(datos_base!$B$9+datos_base!$B$23)*parametros_manuales!K$12</f>
        <v>0</v>
      </c>
      <c r="N6" s="42" t="n">
        <f aca="false">(datos_base!$B$9+datos_base!$B$23)*parametros_manuales!L$12</f>
        <v>0</v>
      </c>
      <c r="O6" s="42" t="n">
        <f aca="false">(datos_base!$B$9+datos_base!$B$23)*parametros_manuales!M$12</f>
        <v>0</v>
      </c>
      <c r="P6" s="9" t="n">
        <f aca="false">SUM(D6:O6)</f>
        <v>0</v>
      </c>
    </row>
    <row r="7" customFormat="false" ht="14.25" hidden="false" customHeight="true" outlineLevel="0" collapsed="false">
      <c r="A7" s="41" t="n">
        <v>2026</v>
      </c>
      <c r="B7" s="8" t="s">
        <v>23</v>
      </c>
      <c r="C7" s="8" t="s">
        <v>185</v>
      </c>
      <c r="D7" s="42" t="n">
        <f aca="false">(datos_base!$B$10+datos_base!$B$24)*parametros_manuales!B$13</f>
        <v>0.4</v>
      </c>
      <c r="E7" s="42" t="n">
        <f aca="false">(datos_base!$B$10+datos_base!$B$24)*parametros_manuales!C$13</f>
        <v>0.32</v>
      </c>
      <c r="F7" s="42" t="n">
        <f aca="false">(datos_base!$B$10+datos_base!$B$24)*parametros_manuales!D$13</f>
        <v>0.34</v>
      </c>
      <c r="G7" s="42" t="n">
        <f aca="false">(datos_base!$B$10+datos_base!$B$24)*parametros_manuales!E$13</f>
        <v>0.34</v>
      </c>
      <c r="H7" s="42" t="n">
        <f aca="false">(datos_base!$B$10+datos_base!$B$24)*parametros_manuales!F$13</f>
        <v>0.32</v>
      </c>
      <c r="I7" s="42" t="n">
        <f aca="false">(datos_base!$B$10+datos_base!$B$24)*parametros_manuales!G$13</f>
        <v>0.3</v>
      </c>
      <c r="J7" s="42" t="n">
        <f aca="false">(datos_base!$B$10+datos_base!$B$24)*parametros_manuales!H$13</f>
        <v>0.32</v>
      </c>
      <c r="K7" s="42" t="n">
        <f aca="false">(datos_base!$B$10+datos_base!$B$24)*parametros_manuales!I$13</f>
        <v>0.32</v>
      </c>
      <c r="L7" s="42" t="n">
        <f aca="false">(datos_base!$B$10+datos_base!$B$24)*parametros_manuales!J$13</f>
        <v>0.32</v>
      </c>
      <c r="M7" s="42" t="n">
        <f aca="false">(datos_base!$B$10+datos_base!$B$24)*parametros_manuales!K$13</f>
        <v>0.3</v>
      </c>
      <c r="N7" s="42" t="n">
        <f aca="false">(datos_base!$B$10+datos_base!$B$24)*parametros_manuales!L$13</f>
        <v>0.28</v>
      </c>
      <c r="O7" s="42" t="n">
        <f aca="false">(datos_base!$B$10+datos_base!$B$24)*parametros_manuales!M$13</f>
        <v>0.44</v>
      </c>
      <c r="P7" s="9" t="n">
        <f aca="false">SUM(D7:O7)</f>
        <v>4</v>
      </c>
    </row>
    <row r="8" customFormat="false" ht="14.25" hidden="false" customHeight="true" outlineLevel="0" collapsed="false">
      <c r="A8" s="41" t="n">
        <v>2026</v>
      </c>
      <c r="B8" s="8" t="s">
        <v>24</v>
      </c>
      <c r="C8" s="8" t="s">
        <v>185</v>
      </c>
      <c r="D8" s="42" t="n">
        <f aca="false">(datos_base!$B$11+datos_base!$B$25)*parametros_manuales!B$14</f>
        <v>2</v>
      </c>
      <c r="E8" s="42" t="n">
        <f aca="false">(datos_base!$B$11+datos_base!$B$25)*parametros_manuales!C$14</f>
        <v>1.6</v>
      </c>
      <c r="F8" s="42" t="n">
        <f aca="false">(datos_base!$B$11+datos_base!$B$25)*parametros_manuales!D$14</f>
        <v>1.7</v>
      </c>
      <c r="G8" s="42" t="n">
        <f aca="false">(datos_base!$B$11+datos_base!$B$25)*parametros_manuales!E$14</f>
        <v>1.7</v>
      </c>
      <c r="H8" s="42" t="n">
        <f aca="false">(datos_base!$B$11+datos_base!$B$25)*parametros_manuales!F$14</f>
        <v>1.6</v>
      </c>
      <c r="I8" s="42" t="n">
        <f aca="false">(datos_base!$B$11+datos_base!$B$25)*parametros_manuales!G$14</f>
        <v>1.5</v>
      </c>
      <c r="J8" s="42" t="n">
        <f aca="false">(datos_base!$B$11+datos_base!$B$25)*parametros_manuales!H$14</f>
        <v>1.6</v>
      </c>
      <c r="K8" s="42" t="n">
        <f aca="false">(datos_base!$B$11+datos_base!$B$25)*parametros_manuales!I$14</f>
        <v>1.6</v>
      </c>
      <c r="L8" s="42" t="n">
        <f aca="false">(datos_base!$B$11+datos_base!$B$25)*parametros_manuales!J$14</f>
        <v>1.6</v>
      </c>
      <c r="M8" s="42" t="n">
        <f aca="false">(datos_base!$B$11+datos_base!$B$25)*parametros_manuales!K$14</f>
        <v>1.5</v>
      </c>
      <c r="N8" s="42" t="n">
        <f aca="false">(datos_base!$B$11+datos_base!$B$25)*parametros_manuales!L$14</f>
        <v>1.4</v>
      </c>
      <c r="O8" s="42" t="n">
        <f aca="false">(datos_base!$B$11+datos_base!$B$25)*parametros_manuales!M$14</f>
        <v>2.2</v>
      </c>
      <c r="P8" s="9" t="n">
        <f aca="false">SUM(D8:O8)</f>
        <v>20</v>
      </c>
    </row>
    <row r="9" customFormat="false" ht="14.25" hidden="false" customHeight="true" outlineLevel="0" collapsed="false">
      <c r="A9" s="41" t="n">
        <v>2026</v>
      </c>
      <c r="B9" s="8" t="s">
        <v>25</v>
      </c>
      <c r="C9" s="8" t="s">
        <v>185</v>
      </c>
      <c r="D9" s="42" t="n">
        <f aca="false">(datos_base!$B$12+datos_base!$B$26)*parametros_manuales!B$15</f>
        <v>0.2</v>
      </c>
      <c r="E9" s="42" t="n">
        <f aca="false">(datos_base!$B$12+datos_base!$B$26)*parametros_manuales!C$15</f>
        <v>0.16</v>
      </c>
      <c r="F9" s="42" t="n">
        <f aca="false">(datos_base!$B$12+datos_base!$B$26)*parametros_manuales!D$15</f>
        <v>0.17</v>
      </c>
      <c r="G9" s="42" t="n">
        <f aca="false">(datos_base!$B$12+datos_base!$B$26)*parametros_manuales!E$15</f>
        <v>0.17</v>
      </c>
      <c r="H9" s="42" t="n">
        <f aca="false">(datos_base!$B$12+datos_base!$B$26)*parametros_manuales!F$15</f>
        <v>0.16</v>
      </c>
      <c r="I9" s="42" t="n">
        <f aca="false">(datos_base!$B$12+datos_base!$B$26)*parametros_manuales!G$15</f>
        <v>0.15</v>
      </c>
      <c r="J9" s="42" t="n">
        <f aca="false">(datos_base!$B$12+datos_base!$B$26)*parametros_manuales!H$15</f>
        <v>0.16</v>
      </c>
      <c r="K9" s="42" t="n">
        <f aca="false">(datos_base!$B$12+datos_base!$B$26)*parametros_manuales!I$15</f>
        <v>0.16</v>
      </c>
      <c r="L9" s="42" t="n">
        <f aca="false">(datos_base!$B$12+datos_base!$B$26)*parametros_manuales!J$15</f>
        <v>0.16</v>
      </c>
      <c r="M9" s="42" t="n">
        <f aca="false">(datos_base!$B$12+datos_base!$B$26)*parametros_manuales!K$15</f>
        <v>0.15</v>
      </c>
      <c r="N9" s="42" t="n">
        <f aca="false">(datos_base!$B$12+datos_base!$B$26)*parametros_manuales!L$15</f>
        <v>0.14</v>
      </c>
      <c r="O9" s="42" t="n">
        <f aca="false">(datos_base!$B$12+datos_base!$B$26)*parametros_manuales!M$15</f>
        <v>0.22</v>
      </c>
      <c r="P9" s="9" t="n">
        <f aca="false">SUM(D9:O9)</f>
        <v>2</v>
      </c>
    </row>
    <row r="10" customFormat="false" ht="14.25" hidden="false" customHeight="true" outlineLevel="0" collapsed="false">
      <c r="B10" s="10" t="s">
        <v>186</v>
      </c>
      <c r="D10" s="11" t="n">
        <f aca="false">SUM(D2:D9)</f>
        <v>769.812041533</v>
      </c>
      <c r="E10" s="11" t="n">
        <f aca="false">SUM(E2:E9)</f>
        <v>590.7772139684</v>
      </c>
      <c r="F10" s="11" t="n">
        <f aca="false">SUM(F2:F9)</f>
        <v>562.40803135705</v>
      </c>
      <c r="G10" s="11" t="n">
        <f aca="false">SUM(G2:G9)</f>
        <v>541.51434864205</v>
      </c>
      <c r="H10" s="11" t="n">
        <f aca="false">SUM(H2:H9)</f>
        <v>507.2024831084</v>
      </c>
      <c r="I10" s="11" t="n">
        <f aca="false">SUM(I2:I9)</f>
        <v>493.78430028975</v>
      </c>
      <c r="J10" s="11" t="n">
        <f aca="false">SUM(J2:J9)</f>
        <v>528.0961658234</v>
      </c>
      <c r="K10" s="11" t="n">
        <f aca="false">SUM(K2:K9)</f>
        <v>528.0961658234</v>
      </c>
      <c r="L10" s="11" t="n">
        <f aca="false">SUM(L2:L9)</f>
        <v>528.0961658234</v>
      </c>
      <c r="M10" s="11" t="n">
        <f aca="false">SUM(M2:M9)</f>
        <v>514.67798300475</v>
      </c>
      <c r="N10" s="11" t="n">
        <f aca="false">SUM(N2:N9)</f>
        <v>501.2598001861</v>
      </c>
      <c r="O10" s="11" t="n">
        <f aca="false">SUM(O2:O9)</f>
        <v>796.6484071703</v>
      </c>
      <c r="P10" s="11" t="n">
        <f aca="false">SUM(P2:P9)</f>
        <v>6862.37310673</v>
      </c>
    </row>
    <row r="11" customFormat="false" ht="14.25" hidden="false" customHeight="true" outlineLevel="0" collapsed="false"/>
    <row r="12" customFormat="false" ht="14.25" hidden="false" customHeight="true" outlineLevel="0" collapsed="false">
      <c r="A12" s="7" t="n">
        <v>2027</v>
      </c>
      <c r="B12" s="7" t="s">
        <v>181</v>
      </c>
      <c r="C12" s="7" t="s">
        <v>182</v>
      </c>
      <c r="D12" s="7" t="s">
        <v>61</v>
      </c>
      <c r="E12" s="7" t="s">
        <v>62</v>
      </c>
      <c r="F12" s="7" t="s">
        <v>63</v>
      </c>
      <c r="G12" s="7" t="s">
        <v>64</v>
      </c>
      <c r="H12" s="7" t="s">
        <v>65</v>
      </c>
      <c r="I12" s="7" t="s">
        <v>66</v>
      </c>
      <c r="J12" s="7" t="s">
        <v>67</v>
      </c>
      <c r="K12" s="7" t="s">
        <v>68</v>
      </c>
      <c r="L12" s="7" t="s">
        <v>69</v>
      </c>
      <c r="M12" s="7" t="s">
        <v>70</v>
      </c>
      <c r="N12" s="7" t="s">
        <v>71</v>
      </c>
      <c r="O12" s="7" t="s">
        <v>72</v>
      </c>
      <c r="P12" s="7" t="s">
        <v>183</v>
      </c>
    </row>
    <row r="13" customFormat="false" ht="14.25" hidden="false" customHeight="true" outlineLevel="0" collapsed="false">
      <c r="A13" s="41" t="n">
        <v>2027</v>
      </c>
      <c r="B13" s="8" t="s">
        <v>16</v>
      </c>
      <c r="C13" s="8" t="s">
        <v>184</v>
      </c>
      <c r="D13" s="42" t="n">
        <f aca="false">(datos_base!$C$2+datos_base!$C$18)*parametros_manuales!B$12</f>
        <v>719.67647724</v>
      </c>
      <c r="E13" s="42" t="n">
        <f aca="false">(datos_base!$C$2+datos_base!$C$18)*parametros_manuales!C$12</f>
        <v>539.75735793</v>
      </c>
      <c r="F13" s="42" t="n">
        <f aca="false">(datos_base!$C$2+datos_base!$C$18)*parametros_manuales!D$12</f>
        <v>479.78431816</v>
      </c>
      <c r="G13" s="42" t="n">
        <f aca="false">(datos_base!$C$2+datos_base!$C$18)*parametros_manuales!E$12</f>
        <v>449.797798275</v>
      </c>
      <c r="H13" s="42" t="n">
        <f aca="false">(datos_base!$C$2+datos_base!$C$18)*parametros_manuales!F$12</f>
        <v>419.81127839</v>
      </c>
      <c r="I13" s="42" t="n">
        <f aca="false">(datos_base!$C$2+datos_base!$C$18)*parametros_manuales!G$12</f>
        <v>419.81127839</v>
      </c>
      <c r="J13" s="42" t="n">
        <f aca="false">(datos_base!$C$2+datos_base!$C$18)*parametros_manuales!H$12</f>
        <v>449.797798275</v>
      </c>
      <c r="K13" s="42" t="n">
        <f aca="false">(datos_base!$C$2+datos_base!$C$18)*parametros_manuales!I$12</f>
        <v>449.797798275</v>
      </c>
      <c r="L13" s="42" t="n">
        <f aca="false">(datos_base!$C$2+datos_base!$C$18)*parametros_manuales!J$12</f>
        <v>449.797798275</v>
      </c>
      <c r="M13" s="42" t="n">
        <f aca="false">(datos_base!$C$2+datos_base!$C$18)*parametros_manuales!K$12</f>
        <v>449.797798275</v>
      </c>
      <c r="N13" s="42" t="n">
        <f aca="false">(datos_base!$C$2+datos_base!$C$18)*parametros_manuales!L$12</f>
        <v>449.797798275</v>
      </c>
      <c r="O13" s="42" t="n">
        <f aca="false">(datos_base!$C$2+datos_base!$C$18)*parametros_manuales!M$12</f>
        <v>719.67647724</v>
      </c>
      <c r="P13" s="9" t="n">
        <f aca="false">SUM(D13:O13)</f>
        <v>5997.303977</v>
      </c>
    </row>
    <row r="14" customFormat="false" ht="14.25" hidden="false" customHeight="true" outlineLevel="0" collapsed="false">
      <c r="A14" s="41" t="n">
        <v>2027</v>
      </c>
      <c r="B14" s="8" t="s">
        <v>17</v>
      </c>
      <c r="C14" s="8" t="s">
        <v>184</v>
      </c>
      <c r="D14" s="42" t="n">
        <f aca="false">(datos_base!$C$3+datos_base!$C$19)*parametros_manuales!B$13</f>
        <v>71.59674503</v>
      </c>
      <c r="E14" s="42" t="n">
        <f aca="false">(datos_base!$C$3+datos_base!$C$19)*parametros_manuales!C$13</f>
        <v>57.277396024</v>
      </c>
      <c r="F14" s="42" t="n">
        <f aca="false">(datos_base!$C$3+datos_base!$C$19)*parametros_manuales!D$13</f>
        <v>60.8572332755</v>
      </c>
      <c r="G14" s="42" t="n">
        <f aca="false">(datos_base!$C$3+datos_base!$C$19)*parametros_manuales!E$13</f>
        <v>60.8572332755</v>
      </c>
      <c r="H14" s="42" t="n">
        <f aca="false">(datos_base!$C$3+datos_base!$C$19)*parametros_manuales!F$13</f>
        <v>57.277396024</v>
      </c>
      <c r="I14" s="42" t="n">
        <f aca="false">(datos_base!$C$3+datos_base!$C$19)*parametros_manuales!G$13</f>
        <v>53.6975587725</v>
      </c>
      <c r="J14" s="42" t="n">
        <f aca="false">(datos_base!$C$3+datos_base!$C$19)*parametros_manuales!H$13</f>
        <v>57.277396024</v>
      </c>
      <c r="K14" s="42" t="n">
        <f aca="false">(datos_base!$C$3+datos_base!$C$19)*parametros_manuales!I$13</f>
        <v>57.277396024</v>
      </c>
      <c r="L14" s="42" t="n">
        <f aca="false">(datos_base!$C$3+datos_base!$C$19)*parametros_manuales!J$13</f>
        <v>57.277396024</v>
      </c>
      <c r="M14" s="42" t="n">
        <f aca="false">(datos_base!$C$3+datos_base!$C$19)*parametros_manuales!K$13</f>
        <v>53.6975587725</v>
      </c>
      <c r="N14" s="42" t="n">
        <f aca="false">(datos_base!$C$3+datos_base!$C$19)*parametros_manuales!L$13</f>
        <v>50.117721521</v>
      </c>
      <c r="O14" s="42" t="n">
        <f aca="false">(datos_base!$C$3+datos_base!$C$19)*parametros_manuales!M$13</f>
        <v>78.756419533</v>
      </c>
      <c r="P14" s="9" t="n">
        <f aca="false">SUM(D14:O14)</f>
        <v>715.9674503</v>
      </c>
    </row>
    <row r="15" customFormat="false" ht="14.25" hidden="false" customHeight="true" outlineLevel="0" collapsed="false">
      <c r="A15" s="41" t="n">
        <v>2027</v>
      </c>
      <c r="B15" s="8" t="s">
        <v>18</v>
      </c>
      <c r="C15" s="8" t="s">
        <v>184</v>
      </c>
      <c r="D15" s="42" t="n">
        <f aca="false">(datos_base!$C$4+datos_base!$C$20)*parametros_manuales!B$14</f>
        <v>388.0858881</v>
      </c>
      <c r="E15" s="42" t="n">
        <f aca="false">(datos_base!$C$4+datos_base!$C$20)*parametros_manuales!C$14</f>
        <v>310.46871048</v>
      </c>
      <c r="F15" s="42" t="n">
        <f aca="false">(datos_base!$C$4+datos_base!$C$20)*parametros_manuales!D$14</f>
        <v>329.873004885</v>
      </c>
      <c r="G15" s="42" t="n">
        <f aca="false">(datos_base!$C$4+datos_base!$C$20)*parametros_manuales!E$14</f>
        <v>329.873004885</v>
      </c>
      <c r="H15" s="42" t="n">
        <f aca="false">(datos_base!$C$4+datos_base!$C$20)*parametros_manuales!F$14</f>
        <v>310.46871048</v>
      </c>
      <c r="I15" s="42" t="n">
        <f aca="false">(datos_base!$C$4+datos_base!$C$20)*parametros_manuales!G$14</f>
        <v>291.064416075</v>
      </c>
      <c r="J15" s="42" t="n">
        <f aca="false">(datos_base!$C$4+datos_base!$C$20)*parametros_manuales!H$14</f>
        <v>310.46871048</v>
      </c>
      <c r="K15" s="42" t="n">
        <f aca="false">(datos_base!$C$4+datos_base!$C$20)*parametros_manuales!I$14</f>
        <v>310.46871048</v>
      </c>
      <c r="L15" s="42" t="n">
        <f aca="false">(datos_base!$C$4+datos_base!$C$20)*parametros_manuales!J$14</f>
        <v>310.46871048</v>
      </c>
      <c r="M15" s="42" t="n">
        <f aca="false">(datos_base!$C$4+datos_base!$C$20)*parametros_manuales!K$14</f>
        <v>291.064416075</v>
      </c>
      <c r="N15" s="42" t="n">
        <f aca="false">(datos_base!$C$4+datos_base!$C$20)*parametros_manuales!L$14</f>
        <v>271.66012167</v>
      </c>
      <c r="O15" s="42" t="n">
        <f aca="false">(datos_base!$C$4+datos_base!$C$20)*parametros_manuales!M$14</f>
        <v>426.89447691</v>
      </c>
      <c r="P15" s="9" t="n">
        <f aca="false">SUM(D15:O15)</f>
        <v>3880.858881</v>
      </c>
    </row>
    <row r="16" customFormat="false" ht="14.25" hidden="false" customHeight="true" outlineLevel="0" collapsed="false">
      <c r="A16" s="41" t="n">
        <v>2027</v>
      </c>
      <c r="B16" s="8" t="s">
        <v>19</v>
      </c>
      <c r="C16" s="8" t="s">
        <v>184</v>
      </c>
      <c r="D16" s="42" t="n">
        <f aca="false">(datos_base!$C$5+datos_base!$C$21)*parametros_manuales!B$15</f>
        <v>18.03272967</v>
      </c>
      <c r="E16" s="42" t="n">
        <f aca="false">(datos_base!$C$5+datos_base!$C$21)*parametros_manuales!C$15</f>
        <v>14.426183736</v>
      </c>
      <c r="F16" s="42" t="n">
        <f aca="false">(datos_base!$C$5+datos_base!$C$21)*parametros_manuales!D$15</f>
        <v>15.3278202195</v>
      </c>
      <c r="G16" s="42" t="n">
        <f aca="false">(datos_base!$C$5+datos_base!$C$21)*parametros_manuales!E$15</f>
        <v>15.3278202195</v>
      </c>
      <c r="H16" s="42" t="n">
        <f aca="false">(datos_base!$C$5+datos_base!$C$21)*parametros_manuales!F$15</f>
        <v>14.426183736</v>
      </c>
      <c r="I16" s="42" t="n">
        <f aca="false">(datos_base!$C$5+datos_base!$C$21)*parametros_manuales!G$15</f>
        <v>13.5245472525</v>
      </c>
      <c r="J16" s="42" t="n">
        <f aca="false">(datos_base!$C$5+datos_base!$C$21)*parametros_manuales!H$15</f>
        <v>14.426183736</v>
      </c>
      <c r="K16" s="42" t="n">
        <f aca="false">(datos_base!$C$5+datos_base!$C$21)*parametros_manuales!I$15</f>
        <v>14.426183736</v>
      </c>
      <c r="L16" s="42" t="n">
        <f aca="false">(datos_base!$C$5+datos_base!$C$21)*parametros_manuales!J$15</f>
        <v>14.426183736</v>
      </c>
      <c r="M16" s="42" t="n">
        <f aca="false">(datos_base!$C$5+datos_base!$C$21)*parametros_manuales!K$15</f>
        <v>13.5245472525</v>
      </c>
      <c r="N16" s="42" t="n">
        <f aca="false">(datos_base!$C$5+datos_base!$C$21)*parametros_manuales!L$15</f>
        <v>12.622910769</v>
      </c>
      <c r="O16" s="42" t="n">
        <f aca="false">(datos_base!$C$5+datos_base!$C$21)*parametros_manuales!M$15</f>
        <v>19.836002637</v>
      </c>
      <c r="P16" s="9" t="n">
        <f aca="false">SUM(D16:O16)</f>
        <v>180.3272967</v>
      </c>
    </row>
    <row r="17" customFormat="false" ht="14.25" hidden="false" customHeight="true" outlineLevel="0" collapsed="false">
      <c r="A17" s="41" t="n">
        <v>2027</v>
      </c>
      <c r="B17" s="8" t="s">
        <v>22</v>
      </c>
      <c r="C17" s="8" t="s">
        <v>185</v>
      </c>
      <c r="D17" s="42" t="n">
        <f aca="false">(datos_base!$C$9+datos_base!$C$23)*parametros_manuales!B$12</f>
        <v>0</v>
      </c>
      <c r="E17" s="42" t="n">
        <f aca="false">(datos_base!$C$9+datos_base!$C$23)*parametros_manuales!C$12</f>
        <v>0</v>
      </c>
      <c r="F17" s="42" t="n">
        <f aca="false">(datos_base!$C$9+datos_base!$C$23)*parametros_manuales!D$12</f>
        <v>0</v>
      </c>
      <c r="G17" s="42" t="n">
        <f aca="false">(datos_base!$C$9+datos_base!$C$23)*parametros_manuales!E$12</f>
        <v>0</v>
      </c>
      <c r="H17" s="42" t="n">
        <f aca="false">(datos_base!$C$9+datos_base!$C$23)*parametros_manuales!F$12</f>
        <v>0</v>
      </c>
      <c r="I17" s="42" t="n">
        <f aca="false">(datos_base!$C$9+datos_base!$C$23)*parametros_manuales!G$12</f>
        <v>0</v>
      </c>
      <c r="J17" s="42" t="n">
        <f aca="false">(datos_base!$C$9+datos_base!$C$23)*parametros_manuales!H$12</f>
        <v>0</v>
      </c>
      <c r="K17" s="42" t="n">
        <f aca="false">(datos_base!$C$9+datos_base!$C$23)*parametros_manuales!I$12</f>
        <v>0</v>
      </c>
      <c r="L17" s="42" t="n">
        <f aca="false">(datos_base!$C$9+datos_base!$C$23)*parametros_manuales!J$12</f>
        <v>0</v>
      </c>
      <c r="M17" s="42" t="n">
        <f aca="false">(datos_base!$C$9+datos_base!$C$23)*parametros_manuales!K$12</f>
        <v>0</v>
      </c>
      <c r="N17" s="42" t="n">
        <f aca="false">(datos_base!$C$9+datos_base!$C$23)*parametros_manuales!L$12</f>
        <v>0</v>
      </c>
      <c r="O17" s="42" t="n">
        <f aca="false">(datos_base!$C$9+datos_base!$C$23)*parametros_manuales!M$12</f>
        <v>0</v>
      </c>
      <c r="P17" s="9" t="n">
        <f aca="false">SUM(D17:O17)</f>
        <v>0</v>
      </c>
    </row>
    <row r="18" customFormat="false" ht="14.25" hidden="false" customHeight="true" outlineLevel="0" collapsed="false">
      <c r="A18" s="41" t="n">
        <v>2027</v>
      </c>
      <c r="B18" s="8" t="s">
        <v>23</v>
      </c>
      <c r="C18" s="8" t="s">
        <v>185</v>
      </c>
      <c r="D18" s="42" t="n">
        <f aca="false">(datos_base!$C$10+datos_base!$C$24)*parametros_manuales!B$13</f>
        <v>1.132</v>
      </c>
      <c r="E18" s="42" t="n">
        <f aca="false">(datos_base!$C$10+datos_base!$C$24)*parametros_manuales!C$13</f>
        <v>0.9056</v>
      </c>
      <c r="F18" s="42" t="n">
        <f aca="false">(datos_base!$C$10+datos_base!$C$24)*parametros_manuales!D$13</f>
        <v>0.9622</v>
      </c>
      <c r="G18" s="42" t="n">
        <f aca="false">(datos_base!$C$10+datos_base!$C$24)*parametros_manuales!E$13</f>
        <v>0.9622</v>
      </c>
      <c r="H18" s="42" t="n">
        <f aca="false">(datos_base!$C$10+datos_base!$C$24)*parametros_manuales!F$13</f>
        <v>0.9056</v>
      </c>
      <c r="I18" s="42" t="n">
        <f aca="false">(datos_base!$C$10+datos_base!$C$24)*parametros_manuales!G$13</f>
        <v>0.849</v>
      </c>
      <c r="J18" s="42" t="n">
        <f aca="false">(datos_base!$C$10+datos_base!$C$24)*parametros_manuales!H$13</f>
        <v>0.9056</v>
      </c>
      <c r="K18" s="42" t="n">
        <f aca="false">(datos_base!$C$10+datos_base!$C$24)*parametros_manuales!I$13</f>
        <v>0.9056</v>
      </c>
      <c r="L18" s="42" t="n">
        <f aca="false">(datos_base!$C$10+datos_base!$C$24)*parametros_manuales!J$13</f>
        <v>0.9056</v>
      </c>
      <c r="M18" s="42" t="n">
        <f aca="false">(datos_base!$C$10+datos_base!$C$24)*parametros_manuales!K$13</f>
        <v>0.849</v>
      </c>
      <c r="N18" s="42" t="n">
        <f aca="false">(datos_base!$C$10+datos_base!$C$24)*parametros_manuales!L$13</f>
        <v>0.7924</v>
      </c>
      <c r="O18" s="42" t="n">
        <f aca="false">(datos_base!$C$10+datos_base!$C$24)*parametros_manuales!M$13</f>
        <v>1.2452</v>
      </c>
      <c r="P18" s="9" t="n">
        <f aca="false">SUM(D18:O18)</f>
        <v>11.32</v>
      </c>
    </row>
    <row r="19" customFormat="false" ht="14.25" hidden="false" customHeight="true" outlineLevel="0" collapsed="false">
      <c r="A19" s="41" t="n">
        <v>2027</v>
      </c>
      <c r="B19" s="8" t="s">
        <v>24</v>
      </c>
      <c r="C19" s="8" t="s">
        <v>185</v>
      </c>
      <c r="D19" s="42" t="n">
        <f aca="false">(datos_base!$C$11+datos_base!$C$25)*parametros_manuales!B$14</f>
        <v>5.96</v>
      </c>
      <c r="E19" s="42" t="n">
        <f aca="false">(datos_base!$C$11+datos_base!$C$25)*parametros_manuales!C$14</f>
        <v>4.768</v>
      </c>
      <c r="F19" s="42" t="n">
        <f aca="false">(datos_base!$C$11+datos_base!$C$25)*parametros_manuales!D$14</f>
        <v>5.066</v>
      </c>
      <c r="G19" s="42" t="n">
        <f aca="false">(datos_base!$C$11+datos_base!$C$25)*parametros_manuales!E$14</f>
        <v>5.066</v>
      </c>
      <c r="H19" s="42" t="n">
        <f aca="false">(datos_base!$C$11+datos_base!$C$25)*parametros_manuales!F$14</f>
        <v>4.768</v>
      </c>
      <c r="I19" s="42" t="n">
        <f aca="false">(datos_base!$C$11+datos_base!$C$25)*parametros_manuales!G$14</f>
        <v>4.47</v>
      </c>
      <c r="J19" s="42" t="n">
        <f aca="false">(datos_base!$C$11+datos_base!$C$25)*parametros_manuales!H$14</f>
        <v>4.768</v>
      </c>
      <c r="K19" s="42" t="n">
        <f aca="false">(datos_base!$C$11+datos_base!$C$25)*parametros_manuales!I$14</f>
        <v>4.768</v>
      </c>
      <c r="L19" s="42" t="n">
        <f aca="false">(datos_base!$C$11+datos_base!$C$25)*parametros_manuales!J$14</f>
        <v>4.768</v>
      </c>
      <c r="M19" s="42" t="n">
        <f aca="false">(datos_base!$C$11+datos_base!$C$25)*parametros_manuales!K$14</f>
        <v>4.47</v>
      </c>
      <c r="N19" s="42" t="n">
        <f aca="false">(datos_base!$C$11+datos_base!$C$25)*parametros_manuales!L$14</f>
        <v>4.172</v>
      </c>
      <c r="O19" s="42" t="n">
        <f aca="false">(datos_base!$C$11+datos_base!$C$25)*parametros_manuales!M$14</f>
        <v>6.556</v>
      </c>
      <c r="P19" s="9" t="n">
        <f aca="false">SUM(D19:O19)</f>
        <v>59.6</v>
      </c>
    </row>
    <row r="20" customFormat="false" ht="14.25" hidden="false" customHeight="true" outlineLevel="0" collapsed="false">
      <c r="A20" s="41" t="n">
        <v>2027</v>
      </c>
      <c r="B20" s="8" t="s">
        <v>25</v>
      </c>
      <c r="C20" s="8" t="s">
        <v>185</v>
      </c>
      <c r="D20" s="42" t="n">
        <f aca="false">(datos_base!$C$12+datos_base!$C$26)*parametros_manuales!B$15</f>
        <v>0.416</v>
      </c>
      <c r="E20" s="42" t="n">
        <f aca="false">(datos_base!$C$12+datos_base!$C$26)*parametros_manuales!C$15</f>
        <v>0.3328</v>
      </c>
      <c r="F20" s="42" t="n">
        <f aca="false">(datos_base!$C$12+datos_base!$C$26)*parametros_manuales!D$15</f>
        <v>0.3536</v>
      </c>
      <c r="G20" s="42" t="n">
        <f aca="false">(datos_base!$C$12+datos_base!$C$26)*parametros_manuales!E$15</f>
        <v>0.3536</v>
      </c>
      <c r="H20" s="42" t="n">
        <f aca="false">(datos_base!$C$12+datos_base!$C$26)*parametros_manuales!F$15</f>
        <v>0.3328</v>
      </c>
      <c r="I20" s="42" t="n">
        <f aca="false">(datos_base!$C$12+datos_base!$C$26)*parametros_manuales!G$15</f>
        <v>0.312</v>
      </c>
      <c r="J20" s="42" t="n">
        <f aca="false">(datos_base!$C$12+datos_base!$C$26)*parametros_manuales!H$15</f>
        <v>0.3328</v>
      </c>
      <c r="K20" s="42" t="n">
        <f aca="false">(datos_base!$C$12+datos_base!$C$26)*parametros_manuales!I$15</f>
        <v>0.3328</v>
      </c>
      <c r="L20" s="42" t="n">
        <f aca="false">(datos_base!$C$12+datos_base!$C$26)*parametros_manuales!J$15</f>
        <v>0.3328</v>
      </c>
      <c r="M20" s="42" t="n">
        <f aca="false">(datos_base!$C$12+datos_base!$C$26)*parametros_manuales!K$15</f>
        <v>0.312</v>
      </c>
      <c r="N20" s="42" t="n">
        <f aca="false">(datos_base!$C$12+datos_base!$C$26)*parametros_manuales!L$15</f>
        <v>0.2912</v>
      </c>
      <c r="O20" s="42" t="n">
        <f aca="false">(datos_base!$C$12+datos_base!$C$26)*parametros_manuales!M$15</f>
        <v>0.4576</v>
      </c>
      <c r="P20" s="9" t="n">
        <f aca="false">SUM(D20:O20)</f>
        <v>4.16</v>
      </c>
    </row>
    <row r="21" customFormat="false" ht="14.25" hidden="false" customHeight="true" outlineLevel="0" collapsed="false">
      <c r="B21" s="10" t="s">
        <v>186</v>
      </c>
      <c r="D21" s="11" t="n">
        <f aca="false">SUM(D13:D20)</f>
        <v>1204.89984004</v>
      </c>
      <c r="E21" s="11" t="n">
        <f aca="false">SUM(E13:E20)</f>
        <v>927.93604817</v>
      </c>
      <c r="F21" s="11" t="n">
        <f aca="false">SUM(F13:F20)</f>
        <v>892.22417654</v>
      </c>
      <c r="G21" s="11" t="n">
        <f aca="false">SUM(G13:G20)</f>
        <v>862.237656655</v>
      </c>
      <c r="H21" s="11" t="n">
        <f aca="false">SUM(H13:H20)</f>
        <v>807.98996863</v>
      </c>
      <c r="I21" s="11" t="n">
        <f aca="false">SUM(I13:I20)</f>
        <v>783.72880049</v>
      </c>
      <c r="J21" s="11" t="n">
        <f aca="false">SUM(J13:J20)</f>
        <v>837.976488515</v>
      </c>
      <c r="K21" s="11" t="n">
        <f aca="false">SUM(K13:K20)</f>
        <v>837.976488515</v>
      </c>
      <c r="L21" s="11" t="n">
        <f aca="false">SUM(L13:L20)</f>
        <v>837.976488515</v>
      </c>
      <c r="M21" s="11" t="n">
        <f aca="false">SUM(M13:M20)</f>
        <v>813.715320375</v>
      </c>
      <c r="N21" s="11" t="n">
        <f aca="false">SUM(N13:N20)</f>
        <v>789.454152235</v>
      </c>
      <c r="O21" s="11" t="n">
        <f aca="false">SUM(O13:O20)</f>
        <v>1253.42217632</v>
      </c>
      <c r="P21" s="11" t="n">
        <f aca="false">SUM(P13:P20)</f>
        <v>10849.537605</v>
      </c>
    </row>
    <row r="22" customFormat="false" ht="14.25" hidden="false" customHeight="true" outlineLevel="0" collapsed="false"/>
    <row r="23" customFormat="false" ht="14.25" hidden="false" customHeight="true" outlineLevel="0" collapsed="false">
      <c r="A23" s="7" t="n">
        <v>2028</v>
      </c>
      <c r="B23" s="7" t="s">
        <v>181</v>
      </c>
      <c r="C23" s="7" t="s">
        <v>182</v>
      </c>
      <c r="D23" s="7" t="s">
        <v>61</v>
      </c>
      <c r="E23" s="7" t="s">
        <v>62</v>
      </c>
      <c r="F23" s="7" t="s">
        <v>63</v>
      </c>
      <c r="G23" s="7" t="s">
        <v>64</v>
      </c>
      <c r="H23" s="7" t="s">
        <v>65</v>
      </c>
      <c r="I23" s="7" t="s">
        <v>66</v>
      </c>
      <c r="J23" s="7" t="s">
        <v>67</v>
      </c>
      <c r="K23" s="7" t="s">
        <v>68</v>
      </c>
      <c r="L23" s="7" t="s">
        <v>69</v>
      </c>
      <c r="M23" s="7" t="s">
        <v>70</v>
      </c>
      <c r="N23" s="7" t="s">
        <v>71</v>
      </c>
      <c r="O23" s="7" t="s">
        <v>72</v>
      </c>
      <c r="P23" s="7" t="s">
        <v>183</v>
      </c>
    </row>
    <row r="24" customFormat="false" ht="14.25" hidden="false" customHeight="true" outlineLevel="0" collapsed="false">
      <c r="A24" s="41" t="n">
        <v>2028</v>
      </c>
      <c r="B24" s="8" t="s">
        <v>16</v>
      </c>
      <c r="C24" s="8" t="s">
        <v>184</v>
      </c>
      <c r="D24" s="42" t="n">
        <f aca="false">(datos_base!$D$2+datos_base!$D$18)*parametros_manuales!B$12</f>
        <v>822.20973096</v>
      </c>
      <c r="E24" s="42" t="n">
        <f aca="false">(datos_base!$D$2+datos_base!$D$18)*parametros_manuales!C$12</f>
        <v>616.65729822</v>
      </c>
      <c r="F24" s="42" t="n">
        <f aca="false">(datos_base!$D$2+datos_base!$D$18)*parametros_manuales!D$12</f>
        <v>548.13982064</v>
      </c>
      <c r="G24" s="42" t="n">
        <f aca="false">(datos_base!$D$2+datos_base!$D$18)*parametros_manuales!E$12</f>
        <v>513.88108185</v>
      </c>
      <c r="H24" s="42" t="n">
        <f aca="false">(datos_base!$D$2+datos_base!$D$18)*parametros_manuales!F$12</f>
        <v>479.62234306</v>
      </c>
      <c r="I24" s="42" t="n">
        <f aca="false">(datos_base!$D$2+datos_base!$D$18)*parametros_manuales!G$12</f>
        <v>479.62234306</v>
      </c>
      <c r="J24" s="42" t="n">
        <f aca="false">(datos_base!$D$2+datos_base!$D$18)*parametros_manuales!H$12</f>
        <v>513.88108185</v>
      </c>
      <c r="K24" s="42" t="n">
        <f aca="false">(datos_base!$D$2+datos_base!$D$18)*parametros_manuales!I$12</f>
        <v>513.88108185</v>
      </c>
      <c r="L24" s="42" t="n">
        <f aca="false">(datos_base!$D$2+datos_base!$D$18)*parametros_manuales!J$12</f>
        <v>513.88108185</v>
      </c>
      <c r="M24" s="42" t="n">
        <f aca="false">(datos_base!$D$2+datos_base!$D$18)*parametros_manuales!K$12</f>
        <v>513.88108185</v>
      </c>
      <c r="N24" s="42" t="n">
        <f aca="false">(datos_base!$D$2+datos_base!$D$18)*parametros_manuales!L$12</f>
        <v>513.88108185</v>
      </c>
      <c r="O24" s="42" t="n">
        <f aca="false">(datos_base!$D$2+datos_base!$D$18)*parametros_manuales!M$12</f>
        <v>822.20973096</v>
      </c>
      <c r="P24" s="9" t="n">
        <f aca="false">SUM(D24:O24)</f>
        <v>6851.747758</v>
      </c>
    </row>
    <row r="25" customFormat="false" ht="14.25" hidden="false" customHeight="true" outlineLevel="0" collapsed="false">
      <c r="A25" s="41" t="n">
        <v>2028</v>
      </c>
      <c r="B25" s="8" t="s">
        <v>17</v>
      </c>
      <c r="C25" s="8" t="s">
        <v>184</v>
      </c>
      <c r="D25" s="42" t="n">
        <f aca="false">(datos_base!$D$3+datos_base!$D$19)*parametros_manuales!B$13</f>
        <v>99.75880576</v>
      </c>
      <c r="E25" s="42" t="n">
        <f aca="false">(datos_base!$D$3+datos_base!$D$19)*parametros_manuales!C$13</f>
        <v>79.807044608</v>
      </c>
      <c r="F25" s="42" t="n">
        <f aca="false">(datos_base!$D$3+datos_base!$D$19)*parametros_manuales!D$13</f>
        <v>84.794984896</v>
      </c>
      <c r="G25" s="42" t="n">
        <f aca="false">(datos_base!$D$3+datos_base!$D$19)*parametros_manuales!E$13</f>
        <v>84.794984896</v>
      </c>
      <c r="H25" s="42" t="n">
        <f aca="false">(datos_base!$D$3+datos_base!$D$19)*parametros_manuales!F$13</f>
        <v>79.807044608</v>
      </c>
      <c r="I25" s="42" t="n">
        <f aca="false">(datos_base!$D$3+datos_base!$D$19)*parametros_manuales!G$13</f>
        <v>74.81910432</v>
      </c>
      <c r="J25" s="42" t="n">
        <f aca="false">(datos_base!$D$3+datos_base!$D$19)*parametros_manuales!H$13</f>
        <v>79.807044608</v>
      </c>
      <c r="K25" s="42" t="n">
        <f aca="false">(datos_base!$D$3+datos_base!$D$19)*parametros_manuales!I$13</f>
        <v>79.807044608</v>
      </c>
      <c r="L25" s="42" t="n">
        <f aca="false">(datos_base!$D$3+datos_base!$D$19)*parametros_manuales!J$13</f>
        <v>79.807044608</v>
      </c>
      <c r="M25" s="42" t="n">
        <f aca="false">(datos_base!$D$3+datos_base!$D$19)*parametros_manuales!K$13</f>
        <v>74.81910432</v>
      </c>
      <c r="N25" s="42" t="n">
        <f aca="false">(datos_base!$D$3+datos_base!$D$19)*parametros_manuales!L$13</f>
        <v>69.831164032</v>
      </c>
      <c r="O25" s="42" t="n">
        <f aca="false">(datos_base!$D$3+datos_base!$D$19)*parametros_manuales!M$13</f>
        <v>109.734686336</v>
      </c>
      <c r="P25" s="9" t="n">
        <f aca="false">SUM(D25:O25)</f>
        <v>997.5880576</v>
      </c>
    </row>
    <row r="26" customFormat="false" ht="14.25" hidden="false" customHeight="true" outlineLevel="0" collapsed="false">
      <c r="A26" s="41" t="n">
        <v>2028</v>
      </c>
      <c r="B26" s="8" t="s">
        <v>18</v>
      </c>
      <c r="C26" s="8" t="s">
        <v>184</v>
      </c>
      <c r="D26" s="42" t="n">
        <f aca="false">(datos_base!$D$4+datos_base!$D$20)*parametros_manuales!B$14</f>
        <v>515.1057591</v>
      </c>
      <c r="E26" s="42" t="n">
        <f aca="false">(datos_base!$D$4+datos_base!$D$20)*parametros_manuales!C$14</f>
        <v>412.08460728</v>
      </c>
      <c r="F26" s="42" t="n">
        <f aca="false">(datos_base!$D$4+datos_base!$D$20)*parametros_manuales!D$14</f>
        <v>437.839895235</v>
      </c>
      <c r="G26" s="42" t="n">
        <f aca="false">(datos_base!$D$4+datos_base!$D$20)*parametros_manuales!E$14</f>
        <v>437.839895235</v>
      </c>
      <c r="H26" s="42" t="n">
        <f aca="false">(datos_base!$D$4+datos_base!$D$20)*parametros_manuales!F$14</f>
        <v>412.08460728</v>
      </c>
      <c r="I26" s="42" t="n">
        <f aca="false">(datos_base!$D$4+datos_base!$D$20)*parametros_manuales!G$14</f>
        <v>386.329319325</v>
      </c>
      <c r="J26" s="42" t="n">
        <f aca="false">(datos_base!$D$4+datos_base!$D$20)*parametros_manuales!H$14</f>
        <v>412.08460728</v>
      </c>
      <c r="K26" s="42" t="n">
        <f aca="false">(datos_base!$D$4+datos_base!$D$20)*parametros_manuales!I$14</f>
        <v>412.08460728</v>
      </c>
      <c r="L26" s="42" t="n">
        <f aca="false">(datos_base!$D$4+datos_base!$D$20)*parametros_manuales!J$14</f>
        <v>412.08460728</v>
      </c>
      <c r="M26" s="42" t="n">
        <f aca="false">(datos_base!$D$4+datos_base!$D$20)*parametros_manuales!K$14</f>
        <v>386.329319325</v>
      </c>
      <c r="N26" s="42" t="n">
        <f aca="false">(datos_base!$D$4+datos_base!$D$20)*parametros_manuales!L$14</f>
        <v>360.57403137</v>
      </c>
      <c r="O26" s="42" t="n">
        <f aca="false">(datos_base!$D$4+datos_base!$D$20)*parametros_manuales!M$14</f>
        <v>566.61633501</v>
      </c>
      <c r="P26" s="9" t="n">
        <f aca="false">SUM(D26:O26)</f>
        <v>5151.057591</v>
      </c>
    </row>
    <row r="27" customFormat="false" ht="14.25" hidden="false" customHeight="true" outlineLevel="0" collapsed="false">
      <c r="A27" s="41" t="n">
        <v>2028</v>
      </c>
      <c r="B27" s="8" t="s">
        <v>19</v>
      </c>
      <c r="C27" s="8" t="s">
        <v>184</v>
      </c>
      <c r="D27" s="42" t="n">
        <f aca="false">(datos_base!$D$5+datos_base!$D$21)*parametros_manuales!B$15</f>
        <v>25.72987798</v>
      </c>
      <c r="E27" s="42" t="n">
        <f aca="false">(datos_base!$D$5+datos_base!$D$21)*parametros_manuales!C$15</f>
        <v>20.583902384</v>
      </c>
      <c r="F27" s="42" t="n">
        <f aca="false">(datos_base!$D$5+datos_base!$D$21)*parametros_manuales!D$15</f>
        <v>21.870396283</v>
      </c>
      <c r="G27" s="42" t="n">
        <f aca="false">(datos_base!$D$5+datos_base!$D$21)*parametros_manuales!E$15</f>
        <v>21.870396283</v>
      </c>
      <c r="H27" s="42" t="n">
        <f aca="false">(datos_base!$D$5+datos_base!$D$21)*parametros_manuales!F$15</f>
        <v>20.583902384</v>
      </c>
      <c r="I27" s="42" t="n">
        <f aca="false">(datos_base!$D$5+datos_base!$D$21)*parametros_manuales!G$15</f>
        <v>19.297408485</v>
      </c>
      <c r="J27" s="42" t="n">
        <f aca="false">(datos_base!$D$5+datos_base!$D$21)*parametros_manuales!H$15</f>
        <v>20.583902384</v>
      </c>
      <c r="K27" s="42" t="n">
        <f aca="false">(datos_base!$D$5+datos_base!$D$21)*parametros_manuales!I$15</f>
        <v>20.583902384</v>
      </c>
      <c r="L27" s="42" t="n">
        <f aca="false">(datos_base!$D$5+datos_base!$D$21)*parametros_manuales!J$15</f>
        <v>20.583902384</v>
      </c>
      <c r="M27" s="42" t="n">
        <f aca="false">(datos_base!$D$5+datos_base!$D$21)*parametros_manuales!K$15</f>
        <v>19.297408485</v>
      </c>
      <c r="N27" s="42" t="n">
        <f aca="false">(datos_base!$D$5+datos_base!$D$21)*parametros_manuales!L$15</f>
        <v>18.010914586</v>
      </c>
      <c r="O27" s="42" t="n">
        <f aca="false">(datos_base!$D$5+datos_base!$D$21)*parametros_manuales!M$15</f>
        <v>28.302865778</v>
      </c>
      <c r="P27" s="9" t="n">
        <f aca="false">SUM(D27:O27)</f>
        <v>257.2987798</v>
      </c>
    </row>
    <row r="28" customFormat="false" ht="14.25" hidden="false" customHeight="true" outlineLevel="0" collapsed="false">
      <c r="A28" s="41" t="n">
        <v>2028</v>
      </c>
      <c r="B28" s="8" t="s">
        <v>22</v>
      </c>
      <c r="C28" s="8" t="s">
        <v>185</v>
      </c>
      <c r="D28" s="42" t="n">
        <f aca="false">(datos_base!$D$9+datos_base!$D$23)*parametros_manuales!B$12</f>
        <v>919.488</v>
      </c>
      <c r="E28" s="42" t="n">
        <f aca="false">(datos_base!$D$9+datos_base!$D$23)*parametros_manuales!C$12</f>
        <v>689.616</v>
      </c>
      <c r="F28" s="42" t="n">
        <f aca="false">(datos_base!$D$9+datos_base!$D$23)*parametros_manuales!D$12</f>
        <v>612.992</v>
      </c>
      <c r="G28" s="42" t="n">
        <f aca="false">(datos_base!$D$9+datos_base!$D$23)*parametros_manuales!E$12</f>
        <v>574.68</v>
      </c>
      <c r="H28" s="42" t="n">
        <f aca="false">(datos_base!$D$9+datos_base!$D$23)*parametros_manuales!F$12</f>
        <v>536.368</v>
      </c>
      <c r="I28" s="42" t="n">
        <f aca="false">(datos_base!$D$9+datos_base!$D$23)*parametros_manuales!G$12</f>
        <v>536.368</v>
      </c>
      <c r="J28" s="42" t="n">
        <f aca="false">(datos_base!$D$9+datos_base!$D$23)*parametros_manuales!H$12</f>
        <v>574.68</v>
      </c>
      <c r="K28" s="42" t="n">
        <f aca="false">(datos_base!$D$9+datos_base!$D$23)*parametros_manuales!I$12</f>
        <v>574.68</v>
      </c>
      <c r="L28" s="42" t="n">
        <f aca="false">(datos_base!$D$9+datos_base!$D$23)*parametros_manuales!J$12</f>
        <v>574.68</v>
      </c>
      <c r="M28" s="42" t="n">
        <f aca="false">(datos_base!$D$9+datos_base!$D$23)*parametros_manuales!K$12</f>
        <v>574.68</v>
      </c>
      <c r="N28" s="42" t="n">
        <f aca="false">(datos_base!$D$9+datos_base!$D$23)*parametros_manuales!L$12</f>
        <v>574.68</v>
      </c>
      <c r="O28" s="42" t="n">
        <f aca="false">(datos_base!$D$9+datos_base!$D$23)*parametros_manuales!M$12</f>
        <v>919.488</v>
      </c>
      <c r="P28" s="9" t="n">
        <f aca="false">SUM(D28:O28)</f>
        <v>7662.4</v>
      </c>
    </row>
    <row r="29" customFormat="false" ht="14.25" hidden="false" customHeight="true" outlineLevel="0" collapsed="false">
      <c r="A29" s="41" t="n">
        <v>2028</v>
      </c>
      <c r="B29" s="8" t="s">
        <v>23</v>
      </c>
      <c r="C29" s="8" t="s">
        <v>185</v>
      </c>
      <c r="D29" s="42" t="n">
        <f aca="false">(datos_base!$D$10+datos_base!$D$24)*parametros_manuales!B$13</f>
        <v>31.98</v>
      </c>
      <c r="E29" s="42" t="n">
        <f aca="false">(datos_base!$D$10+datos_base!$D$24)*parametros_manuales!C$13</f>
        <v>25.584</v>
      </c>
      <c r="F29" s="42" t="n">
        <f aca="false">(datos_base!$D$10+datos_base!$D$24)*parametros_manuales!D$13</f>
        <v>27.183</v>
      </c>
      <c r="G29" s="42" t="n">
        <f aca="false">(datos_base!$D$10+datos_base!$D$24)*parametros_manuales!E$13</f>
        <v>27.183</v>
      </c>
      <c r="H29" s="42" t="n">
        <f aca="false">(datos_base!$D$10+datos_base!$D$24)*parametros_manuales!F$13</f>
        <v>25.584</v>
      </c>
      <c r="I29" s="42" t="n">
        <f aca="false">(datos_base!$D$10+datos_base!$D$24)*parametros_manuales!G$13</f>
        <v>23.985</v>
      </c>
      <c r="J29" s="42" t="n">
        <f aca="false">(datos_base!$D$10+datos_base!$D$24)*parametros_manuales!H$13</f>
        <v>25.584</v>
      </c>
      <c r="K29" s="42" t="n">
        <f aca="false">(datos_base!$D$10+datos_base!$D$24)*parametros_manuales!I$13</f>
        <v>25.584</v>
      </c>
      <c r="L29" s="42" t="n">
        <f aca="false">(datos_base!$D$10+datos_base!$D$24)*parametros_manuales!J$13</f>
        <v>25.584</v>
      </c>
      <c r="M29" s="42" t="n">
        <f aca="false">(datos_base!$D$10+datos_base!$D$24)*parametros_manuales!K$13</f>
        <v>23.985</v>
      </c>
      <c r="N29" s="42" t="n">
        <f aca="false">(datos_base!$D$10+datos_base!$D$24)*parametros_manuales!L$13</f>
        <v>22.386</v>
      </c>
      <c r="O29" s="42" t="n">
        <f aca="false">(datos_base!$D$10+datos_base!$D$24)*parametros_manuales!M$13</f>
        <v>35.178</v>
      </c>
      <c r="P29" s="9" t="n">
        <f aca="false">SUM(D29:O29)</f>
        <v>319.8</v>
      </c>
    </row>
    <row r="30" customFormat="false" ht="14.25" hidden="false" customHeight="true" outlineLevel="0" collapsed="false">
      <c r="A30" s="41" t="n">
        <v>2028</v>
      </c>
      <c r="B30" s="8" t="s">
        <v>24</v>
      </c>
      <c r="C30" s="8" t="s">
        <v>185</v>
      </c>
      <c r="D30" s="42" t="n">
        <f aca="false">(datos_base!$D$11+datos_base!$D$25)*parametros_manuales!B$14</f>
        <v>158.204</v>
      </c>
      <c r="E30" s="42" t="n">
        <f aca="false">(datos_base!$D$11+datos_base!$D$25)*parametros_manuales!C$14</f>
        <v>126.5632</v>
      </c>
      <c r="F30" s="42" t="n">
        <f aca="false">(datos_base!$D$11+datos_base!$D$25)*parametros_manuales!D$14</f>
        <v>134.4734</v>
      </c>
      <c r="G30" s="42" t="n">
        <f aca="false">(datos_base!$D$11+datos_base!$D$25)*parametros_manuales!E$14</f>
        <v>134.4734</v>
      </c>
      <c r="H30" s="42" t="n">
        <f aca="false">(datos_base!$D$11+datos_base!$D$25)*parametros_manuales!F$14</f>
        <v>126.5632</v>
      </c>
      <c r="I30" s="42" t="n">
        <f aca="false">(datos_base!$D$11+datos_base!$D$25)*parametros_manuales!G$14</f>
        <v>118.653</v>
      </c>
      <c r="J30" s="42" t="n">
        <f aca="false">(datos_base!$D$11+datos_base!$D$25)*parametros_manuales!H$14</f>
        <v>126.5632</v>
      </c>
      <c r="K30" s="42" t="n">
        <f aca="false">(datos_base!$D$11+datos_base!$D$25)*parametros_manuales!I$14</f>
        <v>126.5632</v>
      </c>
      <c r="L30" s="42" t="n">
        <f aca="false">(datos_base!$D$11+datos_base!$D$25)*parametros_manuales!J$14</f>
        <v>126.5632</v>
      </c>
      <c r="M30" s="42" t="n">
        <f aca="false">(datos_base!$D$11+datos_base!$D$25)*parametros_manuales!K$14</f>
        <v>118.653</v>
      </c>
      <c r="N30" s="42" t="n">
        <f aca="false">(datos_base!$D$11+datos_base!$D$25)*parametros_manuales!L$14</f>
        <v>110.7428</v>
      </c>
      <c r="O30" s="42" t="n">
        <f aca="false">(datos_base!$D$11+datos_base!$D$25)*parametros_manuales!M$14</f>
        <v>174.0244</v>
      </c>
      <c r="P30" s="9" t="n">
        <f aca="false">SUM(D30:O30)</f>
        <v>1582.04</v>
      </c>
    </row>
    <row r="31" customFormat="false" ht="14.25" hidden="false" customHeight="true" outlineLevel="0" collapsed="false">
      <c r="A31" s="41" t="n">
        <v>2028</v>
      </c>
      <c r="B31" s="8" t="s">
        <v>25</v>
      </c>
      <c r="C31" s="8" t="s">
        <v>185</v>
      </c>
      <c r="D31" s="42" t="n">
        <f aca="false">(datos_base!$D$12+datos_base!$D$26)*parametros_manuales!B$15</f>
        <v>9.888</v>
      </c>
      <c r="E31" s="42" t="n">
        <f aca="false">(datos_base!$D$12+datos_base!$D$26)*parametros_manuales!C$15</f>
        <v>7.9104</v>
      </c>
      <c r="F31" s="42" t="n">
        <f aca="false">(datos_base!$D$12+datos_base!$D$26)*parametros_manuales!D$15</f>
        <v>8.4048</v>
      </c>
      <c r="G31" s="42" t="n">
        <f aca="false">(datos_base!$D$12+datos_base!$D$26)*parametros_manuales!E$15</f>
        <v>8.4048</v>
      </c>
      <c r="H31" s="42" t="n">
        <f aca="false">(datos_base!$D$12+datos_base!$D$26)*parametros_manuales!F$15</f>
        <v>7.9104</v>
      </c>
      <c r="I31" s="42" t="n">
        <f aca="false">(datos_base!$D$12+datos_base!$D$26)*parametros_manuales!G$15</f>
        <v>7.416</v>
      </c>
      <c r="J31" s="42" t="n">
        <f aca="false">(datos_base!$D$12+datos_base!$D$26)*parametros_manuales!H$15</f>
        <v>7.9104</v>
      </c>
      <c r="K31" s="42" t="n">
        <f aca="false">(datos_base!$D$12+datos_base!$D$26)*parametros_manuales!I$15</f>
        <v>7.9104</v>
      </c>
      <c r="L31" s="42" t="n">
        <f aca="false">(datos_base!$D$12+datos_base!$D$26)*parametros_manuales!J$15</f>
        <v>7.9104</v>
      </c>
      <c r="M31" s="42" t="n">
        <f aca="false">(datos_base!$D$12+datos_base!$D$26)*parametros_manuales!K$15</f>
        <v>7.416</v>
      </c>
      <c r="N31" s="42" t="n">
        <f aca="false">(datos_base!$D$12+datos_base!$D$26)*parametros_manuales!L$15</f>
        <v>6.9216</v>
      </c>
      <c r="O31" s="42" t="n">
        <f aca="false">(datos_base!$D$12+datos_base!$D$26)*parametros_manuales!M$15</f>
        <v>10.8768</v>
      </c>
      <c r="P31" s="9" t="n">
        <f aca="false">SUM(D31:O31)</f>
        <v>98.88</v>
      </c>
    </row>
    <row r="32" customFormat="false" ht="14.25" hidden="false" customHeight="true" outlineLevel="0" collapsed="false">
      <c r="B32" s="10" t="s">
        <v>186</v>
      </c>
      <c r="D32" s="11" t="n">
        <f aca="false">SUM(D24:D31)</f>
        <v>2582.3641738</v>
      </c>
      <c r="E32" s="11" t="n">
        <f aca="false">SUM(E24:E31)</f>
        <v>1978.806452492</v>
      </c>
      <c r="F32" s="11" t="n">
        <f aca="false">SUM(F24:F31)</f>
        <v>1875.698297054</v>
      </c>
      <c r="G32" s="11" t="n">
        <f aca="false">SUM(G24:G31)</f>
        <v>1803.127558264</v>
      </c>
      <c r="H32" s="11" t="n">
        <f aca="false">SUM(H24:H31)</f>
        <v>1688.523497332</v>
      </c>
      <c r="I32" s="11" t="n">
        <f aca="false">SUM(I24:I31)</f>
        <v>1646.49017519</v>
      </c>
      <c r="J32" s="11" t="n">
        <f aca="false">SUM(J24:J31)</f>
        <v>1761.094236122</v>
      </c>
      <c r="K32" s="11" t="n">
        <f aca="false">SUM(K24:K31)</f>
        <v>1761.094236122</v>
      </c>
      <c r="L32" s="11" t="n">
        <f aca="false">SUM(L24:L31)</f>
        <v>1761.094236122</v>
      </c>
      <c r="M32" s="11" t="n">
        <f aca="false">SUM(M24:M31)</f>
        <v>1719.06091398</v>
      </c>
      <c r="N32" s="11" t="n">
        <f aca="false">SUM(N24:N31)</f>
        <v>1677.027591838</v>
      </c>
      <c r="O32" s="11" t="n">
        <f aca="false">SUM(O24:O31)</f>
        <v>2666.430818084</v>
      </c>
      <c r="P32" s="11" t="n">
        <f aca="false">SUM(P24:P31)</f>
        <v>22920.8121864</v>
      </c>
    </row>
    <row r="33" customFormat="false" ht="14.25" hidden="false" customHeight="true" outlineLevel="0" collapsed="false"/>
    <row r="34" customFormat="false" ht="14.25" hidden="false" customHeight="true" outlineLevel="0" collapsed="false">
      <c r="A34" s="7" t="n">
        <v>2029</v>
      </c>
      <c r="B34" s="7" t="s">
        <v>181</v>
      </c>
      <c r="C34" s="7" t="s">
        <v>182</v>
      </c>
      <c r="D34" s="7" t="s">
        <v>61</v>
      </c>
      <c r="E34" s="7" t="s">
        <v>62</v>
      </c>
      <c r="F34" s="7" t="s">
        <v>63</v>
      </c>
      <c r="G34" s="7" t="s">
        <v>64</v>
      </c>
      <c r="H34" s="7" t="s">
        <v>65</v>
      </c>
      <c r="I34" s="7" t="s">
        <v>66</v>
      </c>
      <c r="J34" s="7" t="s">
        <v>67</v>
      </c>
      <c r="K34" s="7" t="s">
        <v>68</v>
      </c>
      <c r="L34" s="7" t="s">
        <v>69</v>
      </c>
      <c r="M34" s="7" t="s">
        <v>70</v>
      </c>
      <c r="N34" s="7" t="s">
        <v>71</v>
      </c>
      <c r="O34" s="7" t="s">
        <v>72</v>
      </c>
      <c r="P34" s="7" t="s">
        <v>183</v>
      </c>
    </row>
    <row r="35" customFormat="false" ht="14.25" hidden="false" customHeight="true" outlineLevel="0" collapsed="false">
      <c r="A35" s="41" t="n">
        <v>2029</v>
      </c>
      <c r="B35" s="8" t="s">
        <v>16</v>
      </c>
      <c r="C35" s="8" t="s">
        <v>184</v>
      </c>
      <c r="D35" s="42" t="n">
        <f aca="false">(datos_base!$E$2+datos_base!$E$18)*parametros_manuales!B$12</f>
        <v>1016.05626588</v>
      </c>
      <c r="E35" s="42" t="n">
        <f aca="false">(datos_base!$E$2+datos_base!$E$18)*parametros_manuales!C$12</f>
        <v>762.04219941</v>
      </c>
      <c r="F35" s="42" t="n">
        <f aca="false">(datos_base!$E$2+datos_base!$E$18)*parametros_manuales!D$12</f>
        <v>677.37084392</v>
      </c>
      <c r="G35" s="42" t="n">
        <f aca="false">(datos_base!$E$2+datos_base!$E$18)*parametros_manuales!E$12</f>
        <v>635.035166175</v>
      </c>
      <c r="H35" s="42" t="n">
        <f aca="false">(datos_base!$E$2+datos_base!$E$18)*parametros_manuales!F$12</f>
        <v>592.69948843</v>
      </c>
      <c r="I35" s="42" t="n">
        <f aca="false">(datos_base!$E$2+datos_base!$E$18)*parametros_manuales!G$12</f>
        <v>592.69948843</v>
      </c>
      <c r="J35" s="42" t="n">
        <f aca="false">(datos_base!$E$2+datos_base!$E$18)*parametros_manuales!H$12</f>
        <v>635.035166175</v>
      </c>
      <c r="K35" s="42" t="n">
        <f aca="false">(datos_base!$E$2+datos_base!$E$18)*parametros_manuales!I$12</f>
        <v>635.035166175</v>
      </c>
      <c r="L35" s="42" t="n">
        <f aca="false">(datos_base!$E$2+datos_base!$E$18)*parametros_manuales!J$12</f>
        <v>635.035166175</v>
      </c>
      <c r="M35" s="42" t="n">
        <f aca="false">(datos_base!$E$2+datos_base!$E$18)*parametros_manuales!K$12</f>
        <v>635.035166175</v>
      </c>
      <c r="N35" s="42" t="n">
        <f aca="false">(datos_base!$E$2+datos_base!$E$18)*parametros_manuales!L$12</f>
        <v>635.035166175</v>
      </c>
      <c r="O35" s="42" t="n">
        <f aca="false">(datos_base!$E$2+datos_base!$E$18)*parametros_manuales!M$12</f>
        <v>1016.05626588</v>
      </c>
      <c r="P35" s="9" t="n">
        <f aca="false">SUM(D35:O35)</f>
        <v>8467.135549</v>
      </c>
    </row>
    <row r="36" customFormat="false" ht="14.25" hidden="false" customHeight="true" outlineLevel="0" collapsed="false">
      <c r="A36" s="41" t="n">
        <v>2029</v>
      </c>
      <c r="B36" s="8" t="s">
        <v>17</v>
      </c>
      <c r="C36" s="8" t="s">
        <v>184</v>
      </c>
      <c r="D36" s="42" t="n">
        <f aca="false">(datos_base!$E$3+datos_base!$E$19)*parametros_manuales!B$13</f>
        <v>151.8158174</v>
      </c>
      <c r="E36" s="42" t="n">
        <f aca="false">(datos_base!$E$3+datos_base!$E$19)*parametros_manuales!C$13</f>
        <v>121.45265392</v>
      </c>
      <c r="F36" s="42" t="n">
        <f aca="false">(datos_base!$E$3+datos_base!$E$19)*parametros_manuales!D$13</f>
        <v>129.04344479</v>
      </c>
      <c r="G36" s="42" t="n">
        <f aca="false">(datos_base!$E$3+datos_base!$E$19)*parametros_manuales!E$13</f>
        <v>129.04344479</v>
      </c>
      <c r="H36" s="42" t="n">
        <f aca="false">(datos_base!$E$3+datos_base!$E$19)*parametros_manuales!F$13</f>
        <v>121.45265392</v>
      </c>
      <c r="I36" s="42" t="n">
        <f aca="false">(datos_base!$E$3+datos_base!$E$19)*parametros_manuales!G$13</f>
        <v>113.86186305</v>
      </c>
      <c r="J36" s="42" t="n">
        <f aca="false">(datos_base!$E$3+datos_base!$E$19)*parametros_manuales!H$13</f>
        <v>121.45265392</v>
      </c>
      <c r="K36" s="42" t="n">
        <f aca="false">(datos_base!$E$3+datos_base!$E$19)*parametros_manuales!I$13</f>
        <v>121.45265392</v>
      </c>
      <c r="L36" s="42" t="n">
        <f aca="false">(datos_base!$E$3+datos_base!$E$19)*parametros_manuales!J$13</f>
        <v>121.45265392</v>
      </c>
      <c r="M36" s="42" t="n">
        <f aca="false">(datos_base!$E$3+datos_base!$E$19)*parametros_manuales!K$13</f>
        <v>113.86186305</v>
      </c>
      <c r="N36" s="42" t="n">
        <f aca="false">(datos_base!$E$3+datos_base!$E$19)*parametros_manuales!L$13</f>
        <v>106.27107218</v>
      </c>
      <c r="O36" s="42" t="n">
        <f aca="false">(datos_base!$E$3+datos_base!$E$19)*parametros_manuales!M$13</f>
        <v>166.99739914</v>
      </c>
      <c r="P36" s="9" t="n">
        <f aca="false">SUM(D36:O36)</f>
        <v>1518.158174</v>
      </c>
    </row>
    <row r="37" customFormat="false" ht="14.25" hidden="false" customHeight="true" outlineLevel="0" collapsed="false">
      <c r="A37" s="41" t="n">
        <v>2029</v>
      </c>
      <c r="B37" s="8" t="s">
        <v>18</v>
      </c>
      <c r="C37" s="8" t="s">
        <v>184</v>
      </c>
      <c r="D37" s="42" t="n">
        <f aca="false">(datos_base!$E$4+datos_base!$E$20)*parametros_manuales!B$14</f>
        <v>691.8955313</v>
      </c>
      <c r="E37" s="42" t="n">
        <f aca="false">(datos_base!$E$4+datos_base!$E$20)*parametros_manuales!C$14</f>
        <v>553.51642504</v>
      </c>
      <c r="F37" s="42" t="n">
        <f aca="false">(datos_base!$E$4+datos_base!$E$20)*parametros_manuales!D$14</f>
        <v>588.111201605</v>
      </c>
      <c r="G37" s="42" t="n">
        <f aca="false">(datos_base!$E$4+datos_base!$E$20)*parametros_manuales!E$14</f>
        <v>588.111201605</v>
      </c>
      <c r="H37" s="42" t="n">
        <f aca="false">(datos_base!$E$4+datos_base!$E$20)*parametros_manuales!F$14</f>
        <v>553.51642504</v>
      </c>
      <c r="I37" s="42" t="n">
        <f aca="false">(datos_base!$E$4+datos_base!$E$20)*parametros_manuales!G$14</f>
        <v>518.921648475</v>
      </c>
      <c r="J37" s="42" t="n">
        <f aca="false">(datos_base!$E$4+datos_base!$E$20)*parametros_manuales!H$14</f>
        <v>553.51642504</v>
      </c>
      <c r="K37" s="42" t="n">
        <f aca="false">(datos_base!$E$4+datos_base!$E$20)*parametros_manuales!I$14</f>
        <v>553.51642504</v>
      </c>
      <c r="L37" s="42" t="n">
        <f aca="false">(datos_base!$E$4+datos_base!$E$20)*parametros_manuales!J$14</f>
        <v>553.51642504</v>
      </c>
      <c r="M37" s="42" t="n">
        <f aca="false">(datos_base!$E$4+datos_base!$E$20)*parametros_manuales!K$14</f>
        <v>518.921648475</v>
      </c>
      <c r="N37" s="42" t="n">
        <f aca="false">(datos_base!$E$4+datos_base!$E$20)*parametros_manuales!L$14</f>
        <v>484.32687191</v>
      </c>
      <c r="O37" s="42" t="n">
        <f aca="false">(datos_base!$E$4+datos_base!$E$20)*parametros_manuales!M$14</f>
        <v>761.08508443</v>
      </c>
      <c r="P37" s="9" t="n">
        <f aca="false">SUM(D37:O37)</f>
        <v>6918.955313</v>
      </c>
    </row>
    <row r="38" customFormat="false" ht="14.25" hidden="false" customHeight="true" outlineLevel="0" collapsed="false">
      <c r="A38" s="41" t="n">
        <v>2029</v>
      </c>
      <c r="B38" s="8" t="s">
        <v>19</v>
      </c>
      <c r="C38" s="8" t="s">
        <v>184</v>
      </c>
      <c r="D38" s="42" t="n">
        <f aca="false">(datos_base!$E$5+datos_base!$E$21)*parametros_manuales!B$15</f>
        <v>36.56604941</v>
      </c>
      <c r="E38" s="42" t="n">
        <f aca="false">(datos_base!$E$5+datos_base!$E$21)*parametros_manuales!C$15</f>
        <v>29.252839528</v>
      </c>
      <c r="F38" s="42" t="n">
        <f aca="false">(datos_base!$E$5+datos_base!$E$21)*parametros_manuales!D$15</f>
        <v>31.0811419985</v>
      </c>
      <c r="G38" s="42" t="n">
        <f aca="false">(datos_base!$E$5+datos_base!$E$21)*parametros_manuales!E$15</f>
        <v>31.0811419985</v>
      </c>
      <c r="H38" s="42" t="n">
        <f aca="false">(datos_base!$E$5+datos_base!$E$21)*parametros_manuales!F$15</f>
        <v>29.252839528</v>
      </c>
      <c r="I38" s="42" t="n">
        <f aca="false">(datos_base!$E$5+datos_base!$E$21)*parametros_manuales!G$15</f>
        <v>27.4245370575</v>
      </c>
      <c r="J38" s="42" t="n">
        <f aca="false">(datos_base!$E$5+datos_base!$E$21)*parametros_manuales!H$15</f>
        <v>29.252839528</v>
      </c>
      <c r="K38" s="42" t="n">
        <f aca="false">(datos_base!$E$5+datos_base!$E$21)*parametros_manuales!I$15</f>
        <v>29.252839528</v>
      </c>
      <c r="L38" s="42" t="n">
        <f aca="false">(datos_base!$E$5+datos_base!$E$21)*parametros_manuales!J$15</f>
        <v>29.252839528</v>
      </c>
      <c r="M38" s="42" t="n">
        <f aca="false">(datos_base!$E$5+datos_base!$E$21)*parametros_manuales!K$15</f>
        <v>27.4245370575</v>
      </c>
      <c r="N38" s="42" t="n">
        <f aca="false">(datos_base!$E$5+datos_base!$E$21)*parametros_manuales!L$15</f>
        <v>25.596234587</v>
      </c>
      <c r="O38" s="42" t="n">
        <f aca="false">(datos_base!$E$5+datos_base!$E$21)*parametros_manuales!M$15</f>
        <v>40.222654351</v>
      </c>
      <c r="P38" s="9" t="n">
        <f aca="false">SUM(D38:O38)</f>
        <v>365.6604941</v>
      </c>
    </row>
    <row r="39" customFormat="false" ht="14.25" hidden="false" customHeight="true" outlineLevel="0" collapsed="false">
      <c r="A39" s="41" t="n">
        <v>2029</v>
      </c>
      <c r="B39" s="8" t="s">
        <v>22</v>
      </c>
      <c r="C39" s="8" t="s">
        <v>185</v>
      </c>
      <c r="D39" s="42" t="n">
        <f aca="false">(datos_base!$E$9+datos_base!$E$23)*parametros_manuales!B$12</f>
        <v>3203.376</v>
      </c>
      <c r="E39" s="42" t="n">
        <f aca="false">(datos_base!$E$9+datos_base!$E$23)*parametros_manuales!C$12</f>
        <v>2402.532</v>
      </c>
      <c r="F39" s="42" t="n">
        <f aca="false">(datos_base!$E$9+datos_base!$E$23)*parametros_manuales!D$12</f>
        <v>2135.584</v>
      </c>
      <c r="G39" s="42" t="n">
        <f aca="false">(datos_base!$E$9+datos_base!$E$23)*parametros_manuales!E$12</f>
        <v>2002.11</v>
      </c>
      <c r="H39" s="42" t="n">
        <f aca="false">(datos_base!$E$9+datos_base!$E$23)*parametros_manuales!F$12</f>
        <v>1868.636</v>
      </c>
      <c r="I39" s="42" t="n">
        <f aca="false">(datos_base!$E$9+datos_base!$E$23)*parametros_manuales!G$12</f>
        <v>1868.636</v>
      </c>
      <c r="J39" s="42" t="n">
        <f aca="false">(datos_base!$E$9+datos_base!$E$23)*parametros_manuales!H$12</f>
        <v>2002.11</v>
      </c>
      <c r="K39" s="42" t="n">
        <f aca="false">(datos_base!$E$9+datos_base!$E$23)*parametros_manuales!I$12</f>
        <v>2002.11</v>
      </c>
      <c r="L39" s="42" t="n">
        <f aca="false">(datos_base!$E$9+datos_base!$E$23)*parametros_manuales!J$12</f>
        <v>2002.11</v>
      </c>
      <c r="M39" s="42" t="n">
        <f aca="false">(datos_base!$E$9+datos_base!$E$23)*parametros_manuales!K$12</f>
        <v>2002.11</v>
      </c>
      <c r="N39" s="42" t="n">
        <f aca="false">(datos_base!$E$9+datos_base!$E$23)*parametros_manuales!L$12</f>
        <v>2002.11</v>
      </c>
      <c r="O39" s="42" t="n">
        <f aca="false">(datos_base!$E$9+datos_base!$E$23)*parametros_manuales!M$12</f>
        <v>3203.376</v>
      </c>
      <c r="P39" s="9" t="n">
        <f aca="false">SUM(D39:O39)</f>
        <v>26694.8</v>
      </c>
    </row>
    <row r="40" customFormat="false" ht="14.25" hidden="false" customHeight="true" outlineLevel="0" collapsed="false">
      <c r="A40" s="41" t="n">
        <v>2029</v>
      </c>
      <c r="B40" s="8" t="s">
        <v>23</v>
      </c>
      <c r="C40" s="8" t="s">
        <v>185</v>
      </c>
      <c r="D40" s="42" t="n">
        <f aca="false">(datos_base!$E$10+datos_base!$E$24)*parametros_manuales!B$13</f>
        <v>107.452</v>
      </c>
      <c r="E40" s="42" t="n">
        <f aca="false">(datos_base!$E$10+datos_base!$E$24)*parametros_manuales!C$13</f>
        <v>85.9616</v>
      </c>
      <c r="F40" s="42" t="n">
        <f aca="false">(datos_base!$E$10+datos_base!$E$24)*parametros_manuales!D$13</f>
        <v>91.3342</v>
      </c>
      <c r="G40" s="42" t="n">
        <f aca="false">(datos_base!$E$10+datos_base!$E$24)*parametros_manuales!E$13</f>
        <v>91.3342</v>
      </c>
      <c r="H40" s="42" t="n">
        <f aca="false">(datos_base!$E$10+datos_base!$E$24)*parametros_manuales!F$13</f>
        <v>85.9616</v>
      </c>
      <c r="I40" s="42" t="n">
        <f aca="false">(datos_base!$E$10+datos_base!$E$24)*parametros_manuales!G$13</f>
        <v>80.589</v>
      </c>
      <c r="J40" s="42" t="n">
        <f aca="false">(datos_base!$E$10+datos_base!$E$24)*parametros_manuales!H$13</f>
        <v>85.9616</v>
      </c>
      <c r="K40" s="42" t="n">
        <f aca="false">(datos_base!$E$10+datos_base!$E$24)*parametros_manuales!I$13</f>
        <v>85.9616</v>
      </c>
      <c r="L40" s="42" t="n">
        <f aca="false">(datos_base!$E$10+datos_base!$E$24)*parametros_manuales!J$13</f>
        <v>85.9616</v>
      </c>
      <c r="M40" s="42" t="n">
        <f aca="false">(datos_base!$E$10+datos_base!$E$24)*parametros_manuales!K$13</f>
        <v>80.589</v>
      </c>
      <c r="N40" s="42" t="n">
        <f aca="false">(datos_base!$E$10+datos_base!$E$24)*parametros_manuales!L$13</f>
        <v>75.2164</v>
      </c>
      <c r="O40" s="42" t="n">
        <f aca="false">(datos_base!$E$10+datos_base!$E$24)*parametros_manuales!M$13</f>
        <v>118.1972</v>
      </c>
      <c r="P40" s="9" t="n">
        <f aca="false">SUM(D40:O40)</f>
        <v>1074.52</v>
      </c>
    </row>
    <row r="41" customFormat="false" ht="14.25" hidden="false" customHeight="true" outlineLevel="0" collapsed="false">
      <c r="A41" s="41" t="n">
        <v>2029</v>
      </c>
      <c r="B41" s="8" t="s">
        <v>24</v>
      </c>
      <c r="C41" s="8" t="s">
        <v>185</v>
      </c>
      <c r="D41" s="42" t="n">
        <f aca="false">(datos_base!$E$11+datos_base!$E$25)*parametros_manuales!B$14</f>
        <v>532.2</v>
      </c>
      <c r="E41" s="42" t="n">
        <f aca="false">(datos_base!$E$11+datos_base!$E$25)*parametros_manuales!C$14</f>
        <v>425.76</v>
      </c>
      <c r="F41" s="42" t="n">
        <f aca="false">(datos_base!$E$11+datos_base!$E$25)*parametros_manuales!D$14</f>
        <v>452.37</v>
      </c>
      <c r="G41" s="42" t="n">
        <f aca="false">(datos_base!$E$11+datos_base!$E$25)*parametros_manuales!E$14</f>
        <v>452.37</v>
      </c>
      <c r="H41" s="42" t="n">
        <f aca="false">(datos_base!$E$11+datos_base!$E$25)*parametros_manuales!F$14</f>
        <v>425.76</v>
      </c>
      <c r="I41" s="42" t="n">
        <f aca="false">(datos_base!$E$11+datos_base!$E$25)*parametros_manuales!G$14</f>
        <v>399.15</v>
      </c>
      <c r="J41" s="42" t="n">
        <f aca="false">(datos_base!$E$11+datos_base!$E$25)*parametros_manuales!H$14</f>
        <v>425.76</v>
      </c>
      <c r="K41" s="42" t="n">
        <f aca="false">(datos_base!$E$11+datos_base!$E$25)*parametros_manuales!I$14</f>
        <v>425.76</v>
      </c>
      <c r="L41" s="42" t="n">
        <f aca="false">(datos_base!$E$11+datos_base!$E$25)*parametros_manuales!J$14</f>
        <v>425.76</v>
      </c>
      <c r="M41" s="42" t="n">
        <f aca="false">(datos_base!$E$11+datos_base!$E$25)*parametros_manuales!K$14</f>
        <v>399.15</v>
      </c>
      <c r="N41" s="42" t="n">
        <f aca="false">(datos_base!$E$11+datos_base!$E$25)*parametros_manuales!L$14</f>
        <v>372.54</v>
      </c>
      <c r="O41" s="42" t="n">
        <f aca="false">(datos_base!$E$11+datos_base!$E$25)*parametros_manuales!M$14</f>
        <v>585.42</v>
      </c>
      <c r="P41" s="9" t="n">
        <f aca="false">SUM(D41:O41)</f>
        <v>5322</v>
      </c>
    </row>
    <row r="42" customFormat="false" ht="14.25" hidden="false" customHeight="true" outlineLevel="0" collapsed="false">
      <c r="A42" s="41" t="n">
        <v>2029</v>
      </c>
      <c r="B42" s="8" t="s">
        <v>25</v>
      </c>
      <c r="C42" s="8" t="s">
        <v>185</v>
      </c>
      <c r="D42" s="42" t="n">
        <f aca="false">(datos_base!$E$12+datos_base!$E$26)*parametros_manuales!B$15</f>
        <v>32.812</v>
      </c>
      <c r="E42" s="42" t="n">
        <f aca="false">(datos_base!$E$12+datos_base!$E$26)*parametros_manuales!C$15</f>
        <v>26.2496</v>
      </c>
      <c r="F42" s="42" t="n">
        <f aca="false">(datos_base!$E$12+datos_base!$E$26)*parametros_manuales!D$15</f>
        <v>27.8902</v>
      </c>
      <c r="G42" s="42" t="n">
        <f aca="false">(datos_base!$E$12+datos_base!$E$26)*parametros_manuales!E$15</f>
        <v>27.8902</v>
      </c>
      <c r="H42" s="42" t="n">
        <f aca="false">(datos_base!$E$12+datos_base!$E$26)*parametros_manuales!F$15</f>
        <v>26.2496</v>
      </c>
      <c r="I42" s="42" t="n">
        <f aca="false">(datos_base!$E$12+datos_base!$E$26)*parametros_manuales!G$15</f>
        <v>24.609</v>
      </c>
      <c r="J42" s="42" t="n">
        <f aca="false">(datos_base!$E$12+datos_base!$E$26)*parametros_manuales!H$15</f>
        <v>26.2496</v>
      </c>
      <c r="K42" s="42" t="n">
        <f aca="false">(datos_base!$E$12+datos_base!$E$26)*parametros_manuales!I$15</f>
        <v>26.2496</v>
      </c>
      <c r="L42" s="42" t="n">
        <f aca="false">(datos_base!$E$12+datos_base!$E$26)*parametros_manuales!J$15</f>
        <v>26.2496</v>
      </c>
      <c r="M42" s="42" t="n">
        <f aca="false">(datos_base!$E$12+datos_base!$E$26)*parametros_manuales!K$15</f>
        <v>24.609</v>
      </c>
      <c r="N42" s="42" t="n">
        <f aca="false">(datos_base!$E$12+datos_base!$E$26)*parametros_manuales!L$15</f>
        <v>22.9684</v>
      </c>
      <c r="O42" s="42" t="n">
        <f aca="false">(datos_base!$E$12+datos_base!$E$26)*parametros_manuales!M$15</f>
        <v>36.0932</v>
      </c>
      <c r="P42" s="9" t="n">
        <f aca="false">SUM(D42:O42)</f>
        <v>328.12</v>
      </c>
    </row>
    <row r="43" customFormat="false" ht="14.25" hidden="false" customHeight="true" outlineLevel="0" collapsed="false">
      <c r="B43" s="10" t="s">
        <v>186</v>
      </c>
      <c r="D43" s="11" t="n">
        <f aca="false">SUM(D35:D42)</f>
        <v>5772.17366399</v>
      </c>
      <c r="E43" s="11" t="n">
        <f aca="false">SUM(E35:E42)</f>
        <v>4406.767317898</v>
      </c>
      <c r="F43" s="11" t="n">
        <f aca="false">SUM(F35:F42)</f>
        <v>4132.7850323135</v>
      </c>
      <c r="G43" s="11" t="n">
        <f aca="false">SUM(G35:G42)</f>
        <v>3956.9753545685</v>
      </c>
      <c r="H43" s="11" t="n">
        <f aca="false">SUM(H35:H42)</f>
        <v>3703.528606918</v>
      </c>
      <c r="I43" s="11" t="n">
        <f aca="false">SUM(I35:I42)</f>
        <v>3625.8915370125</v>
      </c>
      <c r="J43" s="11" t="n">
        <f aca="false">SUM(J35:J42)</f>
        <v>3879.338284663</v>
      </c>
      <c r="K43" s="11" t="n">
        <f aca="false">SUM(K35:K42)</f>
        <v>3879.338284663</v>
      </c>
      <c r="L43" s="11" t="n">
        <f aca="false">SUM(L35:L42)</f>
        <v>3879.338284663</v>
      </c>
      <c r="M43" s="11" t="n">
        <f aca="false">SUM(M35:M42)</f>
        <v>3801.7012147575</v>
      </c>
      <c r="N43" s="11" t="n">
        <f aca="false">SUM(N35:N42)</f>
        <v>3724.064144852</v>
      </c>
      <c r="O43" s="11" t="n">
        <f aca="false">SUM(O35:O42)</f>
        <v>5927.447803801</v>
      </c>
      <c r="P43" s="11" t="n">
        <f aca="false">SUM(P35:P42)</f>
        <v>50689.3495301</v>
      </c>
    </row>
    <row r="44" customFormat="false" ht="14.25" hidden="false" customHeight="true" outlineLevel="0" collapsed="false"/>
    <row r="45" customFormat="false" ht="14.25" hidden="false" customHeight="true" outlineLevel="0" collapsed="false">
      <c r="A45" s="7" t="n">
        <v>2030</v>
      </c>
      <c r="B45" s="7" t="s">
        <v>181</v>
      </c>
      <c r="C45" s="7" t="s">
        <v>182</v>
      </c>
      <c r="D45" s="7" t="s">
        <v>61</v>
      </c>
      <c r="E45" s="7" t="s">
        <v>62</v>
      </c>
      <c r="F45" s="7" t="s">
        <v>63</v>
      </c>
      <c r="G45" s="7" t="s">
        <v>64</v>
      </c>
      <c r="H45" s="7" t="s">
        <v>65</v>
      </c>
      <c r="I45" s="7" t="s">
        <v>66</v>
      </c>
      <c r="J45" s="7" t="s">
        <v>67</v>
      </c>
      <c r="K45" s="7" t="s">
        <v>68</v>
      </c>
      <c r="L45" s="7" t="s">
        <v>69</v>
      </c>
      <c r="M45" s="7" t="s">
        <v>70</v>
      </c>
      <c r="N45" s="7" t="s">
        <v>71</v>
      </c>
      <c r="O45" s="7" t="s">
        <v>72</v>
      </c>
      <c r="P45" s="7" t="s">
        <v>183</v>
      </c>
    </row>
    <row r="46" customFormat="false" ht="14.25" hidden="false" customHeight="true" outlineLevel="0" collapsed="false">
      <c r="A46" s="41" t="n">
        <v>2030</v>
      </c>
      <c r="B46" s="8" t="s">
        <v>16</v>
      </c>
      <c r="C46" s="8" t="s">
        <v>184</v>
      </c>
      <c r="D46" s="42" t="n">
        <f aca="false">(datos_base!$F$2+datos_base!$F$18)*parametros_manuales!B$12</f>
        <v>1521.6759252</v>
      </c>
      <c r="E46" s="42" t="n">
        <f aca="false">(datos_base!$F$2+datos_base!$F$18)*parametros_manuales!C$12</f>
        <v>1141.2569439</v>
      </c>
      <c r="F46" s="42" t="n">
        <f aca="false">(datos_base!$F$2+datos_base!$F$18)*parametros_manuales!D$12</f>
        <v>1014.4506168</v>
      </c>
      <c r="G46" s="42" t="n">
        <f aca="false">(datos_base!$F$2+datos_base!$F$18)*parametros_manuales!E$12</f>
        <v>951.04745325</v>
      </c>
      <c r="H46" s="42" t="n">
        <f aca="false">(datos_base!$F$2+datos_base!$F$18)*parametros_manuales!F$12</f>
        <v>887.6442897</v>
      </c>
      <c r="I46" s="42" t="n">
        <f aca="false">(datos_base!$F$2+datos_base!$F$18)*parametros_manuales!G$12</f>
        <v>887.6442897</v>
      </c>
      <c r="J46" s="42" t="n">
        <f aca="false">(datos_base!$F$2+datos_base!$F$18)*parametros_manuales!H$12</f>
        <v>951.04745325</v>
      </c>
      <c r="K46" s="42" t="n">
        <f aca="false">(datos_base!$F$2+datos_base!$F$18)*parametros_manuales!I$12</f>
        <v>951.04745325</v>
      </c>
      <c r="L46" s="42" t="n">
        <f aca="false">(datos_base!$F$2+datos_base!$F$18)*parametros_manuales!J$12</f>
        <v>951.04745325</v>
      </c>
      <c r="M46" s="42" t="n">
        <f aca="false">(datos_base!$F$2+datos_base!$F$18)*parametros_manuales!K$12</f>
        <v>951.04745325</v>
      </c>
      <c r="N46" s="42" t="n">
        <f aca="false">(datos_base!$F$2+datos_base!$F$18)*parametros_manuales!L$12</f>
        <v>951.04745325</v>
      </c>
      <c r="O46" s="42" t="n">
        <f aca="false">(datos_base!$F$2+datos_base!$F$18)*parametros_manuales!M$12</f>
        <v>1521.6759252</v>
      </c>
      <c r="P46" s="9" t="n">
        <f aca="false">SUM(D46:O46)</f>
        <v>12680.63271</v>
      </c>
    </row>
    <row r="47" customFormat="false" ht="14.25" hidden="false" customHeight="true" outlineLevel="0" collapsed="false">
      <c r="A47" s="41" t="n">
        <v>2030</v>
      </c>
      <c r="B47" s="8" t="s">
        <v>17</v>
      </c>
      <c r="C47" s="8" t="s">
        <v>184</v>
      </c>
      <c r="D47" s="42" t="n">
        <f aca="false">(datos_base!$F$3+datos_base!$F$19)*parametros_manuales!B$13</f>
        <v>233.1427726</v>
      </c>
      <c r="E47" s="42" t="n">
        <f aca="false">(datos_base!$F$3+datos_base!$F$19)*parametros_manuales!C$13</f>
        <v>186.51421808</v>
      </c>
      <c r="F47" s="42" t="n">
        <f aca="false">(datos_base!$F$3+datos_base!$F$19)*parametros_manuales!D$13</f>
        <v>198.17135671</v>
      </c>
      <c r="G47" s="42" t="n">
        <f aca="false">(datos_base!$F$3+datos_base!$F$19)*parametros_manuales!E$13</f>
        <v>198.17135671</v>
      </c>
      <c r="H47" s="42" t="n">
        <f aca="false">(datos_base!$F$3+datos_base!$F$19)*parametros_manuales!F$13</f>
        <v>186.51421808</v>
      </c>
      <c r="I47" s="42" t="n">
        <f aca="false">(datos_base!$F$3+datos_base!$F$19)*parametros_manuales!G$13</f>
        <v>174.85707945</v>
      </c>
      <c r="J47" s="42" t="n">
        <f aca="false">(datos_base!$F$3+datos_base!$F$19)*parametros_manuales!H$13</f>
        <v>186.51421808</v>
      </c>
      <c r="K47" s="42" t="n">
        <f aca="false">(datos_base!$F$3+datos_base!$F$19)*parametros_manuales!I$13</f>
        <v>186.51421808</v>
      </c>
      <c r="L47" s="42" t="n">
        <f aca="false">(datos_base!$F$3+datos_base!$F$19)*parametros_manuales!J$13</f>
        <v>186.51421808</v>
      </c>
      <c r="M47" s="42" t="n">
        <f aca="false">(datos_base!$F$3+datos_base!$F$19)*parametros_manuales!K$13</f>
        <v>174.85707945</v>
      </c>
      <c r="N47" s="42" t="n">
        <f aca="false">(datos_base!$F$3+datos_base!$F$19)*parametros_manuales!L$13</f>
        <v>163.19994082</v>
      </c>
      <c r="O47" s="42" t="n">
        <f aca="false">(datos_base!$F$3+datos_base!$F$19)*parametros_manuales!M$13</f>
        <v>256.45704986</v>
      </c>
      <c r="P47" s="9" t="n">
        <f aca="false">SUM(D47:O47)</f>
        <v>2331.427726</v>
      </c>
    </row>
    <row r="48" customFormat="false" ht="14.25" hidden="false" customHeight="true" outlineLevel="0" collapsed="false">
      <c r="A48" s="41" t="n">
        <v>2030</v>
      </c>
      <c r="B48" s="8" t="s">
        <v>18</v>
      </c>
      <c r="C48" s="8" t="s">
        <v>184</v>
      </c>
      <c r="D48" s="42" t="n">
        <f aca="false">(datos_base!$F$4+datos_base!$F$20)*parametros_manuales!B$14</f>
        <v>1091.518694</v>
      </c>
      <c r="E48" s="42" t="n">
        <f aca="false">(datos_base!$F$4+datos_base!$F$20)*parametros_manuales!C$14</f>
        <v>873.2149552</v>
      </c>
      <c r="F48" s="42" t="n">
        <f aca="false">(datos_base!$F$4+datos_base!$F$20)*parametros_manuales!D$14</f>
        <v>927.7908899</v>
      </c>
      <c r="G48" s="42" t="n">
        <f aca="false">(datos_base!$F$4+datos_base!$F$20)*parametros_manuales!E$14</f>
        <v>927.7908899</v>
      </c>
      <c r="H48" s="42" t="n">
        <f aca="false">(datos_base!$F$4+datos_base!$F$20)*parametros_manuales!F$14</f>
        <v>873.2149552</v>
      </c>
      <c r="I48" s="42" t="n">
        <f aca="false">(datos_base!$F$4+datos_base!$F$20)*parametros_manuales!G$14</f>
        <v>818.6390205</v>
      </c>
      <c r="J48" s="42" t="n">
        <f aca="false">(datos_base!$F$4+datos_base!$F$20)*parametros_manuales!H$14</f>
        <v>873.2149552</v>
      </c>
      <c r="K48" s="42" t="n">
        <f aca="false">(datos_base!$F$4+datos_base!$F$20)*parametros_manuales!I$14</f>
        <v>873.2149552</v>
      </c>
      <c r="L48" s="42" t="n">
        <f aca="false">(datos_base!$F$4+datos_base!$F$20)*parametros_manuales!J$14</f>
        <v>873.2149552</v>
      </c>
      <c r="M48" s="42" t="n">
        <f aca="false">(datos_base!$F$4+datos_base!$F$20)*parametros_manuales!K$14</f>
        <v>818.6390205</v>
      </c>
      <c r="N48" s="42" t="n">
        <f aca="false">(datos_base!$F$4+datos_base!$F$20)*parametros_manuales!L$14</f>
        <v>764.0630858</v>
      </c>
      <c r="O48" s="42" t="n">
        <f aca="false">(datos_base!$F$4+datos_base!$F$20)*parametros_manuales!M$14</f>
        <v>1200.6705634</v>
      </c>
      <c r="P48" s="9" t="n">
        <f aca="false">SUM(D48:O48)</f>
        <v>10915.18694</v>
      </c>
    </row>
    <row r="49" customFormat="false" ht="14.25" hidden="false" customHeight="true" outlineLevel="0" collapsed="false">
      <c r="A49" s="41" t="n">
        <v>2030</v>
      </c>
      <c r="B49" s="8" t="s">
        <v>19</v>
      </c>
      <c r="C49" s="8" t="s">
        <v>184</v>
      </c>
      <c r="D49" s="42" t="n">
        <f aca="false">(datos_base!$F$5+datos_base!$F$21)*parametros_manuales!B$15</f>
        <v>60.99181519</v>
      </c>
      <c r="E49" s="42" t="n">
        <f aca="false">(datos_base!$F$5+datos_base!$F$21)*parametros_manuales!C$15</f>
        <v>48.793452152</v>
      </c>
      <c r="F49" s="42" t="n">
        <f aca="false">(datos_base!$F$5+datos_base!$F$21)*parametros_manuales!D$15</f>
        <v>51.8430429115</v>
      </c>
      <c r="G49" s="42" t="n">
        <f aca="false">(datos_base!$F$5+datos_base!$F$21)*parametros_manuales!E$15</f>
        <v>51.8430429115</v>
      </c>
      <c r="H49" s="42" t="n">
        <f aca="false">(datos_base!$F$5+datos_base!$F$21)*parametros_manuales!F$15</f>
        <v>48.793452152</v>
      </c>
      <c r="I49" s="42" t="n">
        <f aca="false">(datos_base!$F$5+datos_base!$F$21)*parametros_manuales!G$15</f>
        <v>45.7438613925</v>
      </c>
      <c r="J49" s="42" t="n">
        <f aca="false">(datos_base!$F$5+datos_base!$F$21)*parametros_manuales!H$15</f>
        <v>48.793452152</v>
      </c>
      <c r="K49" s="42" t="n">
        <f aca="false">(datos_base!$F$5+datos_base!$F$21)*parametros_manuales!I$15</f>
        <v>48.793452152</v>
      </c>
      <c r="L49" s="42" t="n">
        <f aca="false">(datos_base!$F$5+datos_base!$F$21)*parametros_manuales!J$15</f>
        <v>48.793452152</v>
      </c>
      <c r="M49" s="42" t="n">
        <f aca="false">(datos_base!$F$5+datos_base!$F$21)*parametros_manuales!K$15</f>
        <v>45.7438613925</v>
      </c>
      <c r="N49" s="42" t="n">
        <f aca="false">(datos_base!$F$5+datos_base!$F$21)*parametros_manuales!L$15</f>
        <v>42.694270633</v>
      </c>
      <c r="O49" s="42" t="n">
        <f aca="false">(datos_base!$F$5+datos_base!$F$21)*parametros_manuales!M$15</f>
        <v>67.090996709</v>
      </c>
      <c r="P49" s="9" t="n">
        <f aca="false">SUM(D49:O49)</f>
        <v>609.9181519</v>
      </c>
    </row>
    <row r="50" customFormat="false" ht="14.25" hidden="false" customHeight="true" outlineLevel="0" collapsed="false">
      <c r="A50" s="41" t="n">
        <v>2030</v>
      </c>
      <c r="B50" s="8" t="s">
        <v>22</v>
      </c>
      <c r="C50" s="8" t="s">
        <v>185</v>
      </c>
      <c r="D50" s="42" t="n">
        <f aca="false">(datos_base!$F$9+datos_base!$F$23)*parametros_manuales!B$12</f>
        <v>5932.176</v>
      </c>
      <c r="E50" s="42" t="n">
        <f aca="false">(datos_base!$F$9+datos_base!$F$23)*parametros_manuales!C$12</f>
        <v>4449.132</v>
      </c>
      <c r="F50" s="42" t="n">
        <f aca="false">(datos_base!$F$9+datos_base!$F$23)*parametros_manuales!D$12</f>
        <v>3954.784</v>
      </c>
      <c r="G50" s="42" t="n">
        <f aca="false">(datos_base!$F$9+datos_base!$F$23)*parametros_manuales!E$12</f>
        <v>3707.61</v>
      </c>
      <c r="H50" s="42" t="n">
        <f aca="false">(datos_base!$F$9+datos_base!$F$23)*parametros_manuales!F$12</f>
        <v>3460.436</v>
      </c>
      <c r="I50" s="42" t="n">
        <f aca="false">(datos_base!$F$9+datos_base!$F$23)*parametros_manuales!G$12</f>
        <v>3460.436</v>
      </c>
      <c r="J50" s="42" t="n">
        <f aca="false">(datos_base!$F$9+datos_base!$F$23)*parametros_manuales!H$12</f>
        <v>3707.61</v>
      </c>
      <c r="K50" s="42" t="n">
        <f aca="false">(datos_base!$F$9+datos_base!$F$23)*parametros_manuales!I$12</f>
        <v>3707.61</v>
      </c>
      <c r="L50" s="42" t="n">
        <f aca="false">(datos_base!$F$9+datos_base!$F$23)*parametros_manuales!J$12</f>
        <v>3707.61</v>
      </c>
      <c r="M50" s="42" t="n">
        <f aca="false">(datos_base!$F$9+datos_base!$F$23)*parametros_manuales!K$12</f>
        <v>3707.61</v>
      </c>
      <c r="N50" s="42" t="n">
        <f aca="false">(datos_base!$F$9+datos_base!$F$23)*parametros_manuales!L$12</f>
        <v>3707.61</v>
      </c>
      <c r="O50" s="42" t="n">
        <f aca="false">(datos_base!$F$9+datos_base!$F$23)*parametros_manuales!M$12</f>
        <v>5932.176</v>
      </c>
      <c r="P50" s="9" t="n">
        <f aca="false">SUM(D50:O50)</f>
        <v>49434.8</v>
      </c>
    </row>
    <row r="51" customFormat="false" ht="14.25" hidden="false" customHeight="true" outlineLevel="0" collapsed="false">
      <c r="A51" s="41" t="n">
        <v>2030</v>
      </c>
      <c r="B51" s="8" t="s">
        <v>23</v>
      </c>
      <c r="C51" s="8" t="s">
        <v>185</v>
      </c>
      <c r="D51" s="42" t="n">
        <f aca="false">(datos_base!$F$10+datos_base!$F$24)*parametros_manuales!B$13</f>
        <v>196.596</v>
      </c>
      <c r="E51" s="42" t="n">
        <f aca="false">(datos_base!$F$10+datos_base!$F$24)*parametros_manuales!C$13</f>
        <v>157.2768</v>
      </c>
      <c r="F51" s="42" t="n">
        <f aca="false">(datos_base!$F$10+datos_base!$F$24)*parametros_manuales!D$13</f>
        <v>167.1066</v>
      </c>
      <c r="G51" s="42" t="n">
        <f aca="false">(datos_base!$F$10+datos_base!$F$24)*parametros_manuales!E$13</f>
        <v>167.1066</v>
      </c>
      <c r="H51" s="42" t="n">
        <f aca="false">(datos_base!$F$10+datos_base!$F$24)*parametros_manuales!F$13</f>
        <v>157.2768</v>
      </c>
      <c r="I51" s="42" t="n">
        <f aca="false">(datos_base!$F$10+datos_base!$F$24)*parametros_manuales!G$13</f>
        <v>147.447</v>
      </c>
      <c r="J51" s="42" t="n">
        <f aca="false">(datos_base!$F$10+datos_base!$F$24)*parametros_manuales!H$13</f>
        <v>157.2768</v>
      </c>
      <c r="K51" s="42" t="n">
        <f aca="false">(datos_base!$F$10+datos_base!$F$24)*parametros_manuales!I$13</f>
        <v>157.2768</v>
      </c>
      <c r="L51" s="42" t="n">
        <f aca="false">(datos_base!$F$10+datos_base!$F$24)*parametros_manuales!J$13</f>
        <v>157.2768</v>
      </c>
      <c r="M51" s="42" t="n">
        <f aca="false">(datos_base!$F$10+datos_base!$F$24)*parametros_manuales!K$13</f>
        <v>147.447</v>
      </c>
      <c r="N51" s="42" t="n">
        <f aca="false">(datos_base!$F$10+datos_base!$F$24)*parametros_manuales!L$13</f>
        <v>137.6172</v>
      </c>
      <c r="O51" s="42" t="n">
        <f aca="false">(datos_base!$F$10+datos_base!$F$24)*parametros_manuales!M$13</f>
        <v>216.2556</v>
      </c>
      <c r="P51" s="9" t="n">
        <f aca="false">SUM(D51:O51)</f>
        <v>1965.96</v>
      </c>
    </row>
    <row r="52" customFormat="false" ht="14.25" hidden="false" customHeight="true" outlineLevel="0" collapsed="false">
      <c r="A52" s="41" t="n">
        <v>2030</v>
      </c>
      <c r="B52" s="8" t="s">
        <v>24</v>
      </c>
      <c r="C52" s="8" t="s">
        <v>185</v>
      </c>
      <c r="D52" s="42" t="n">
        <f aca="false">(datos_base!$F$11+datos_base!$F$25)*parametros_manuales!B$14</f>
        <v>971.328</v>
      </c>
      <c r="E52" s="42" t="n">
        <f aca="false">(datos_base!$F$11+datos_base!$F$25)*parametros_manuales!C$14</f>
        <v>777.0624</v>
      </c>
      <c r="F52" s="42" t="n">
        <f aca="false">(datos_base!$F$11+datos_base!$F$25)*parametros_manuales!D$14</f>
        <v>825.6288</v>
      </c>
      <c r="G52" s="42" t="n">
        <f aca="false">(datos_base!$F$11+datos_base!$F$25)*parametros_manuales!E$14</f>
        <v>825.6288</v>
      </c>
      <c r="H52" s="42" t="n">
        <f aca="false">(datos_base!$F$11+datos_base!$F$25)*parametros_manuales!F$14</f>
        <v>777.0624</v>
      </c>
      <c r="I52" s="42" t="n">
        <f aca="false">(datos_base!$F$11+datos_base!$F$25)*parametros_manuales!G$14</f>
        <v>728.496</v>
      </c>
      <c r="J52" s="42" t="n">
        <f aca="false">(datos_base!$F$11+datos_base!$F$25)*parametros_manuales!H$14</f>
        <v>777.0624</v>
      </c>
      <c r="K52" s="42" t="n">
        <f aca="false">(datos_base!$F$11+datos_base!$F$25)*parametros_manuales!I$14</f>
        <v>777.0624</v>
      </c>
      <c r="L52" s="42" t="n">
        <f aca="false">(datos_base!$F$11+datos_base!$F$25)*parametros_manuales!J$14</f>
        <v>777.0624</v>
      </c>
      <c r="M52" s="42" t="n">
        <f aca="false">(datos_base!$F$11+datos_base!$F$25)*parametros_manuales!K$14</f>
        <v>728.496</v>
      </c>
      <c r="N52" s="42" t="n">
        <f aca="false">(datos_base!$F$11+datos_base!$F$25)*parametros_manuales!L$14</f>
        <v>679.9296</v>
      </c>
      <c r="O52" s="42" t="n">
        <f aca="false">(datos_base!$F$11+datos_base!$F$25)*parametros_manuales!M$14</f>
        <v>1068.4608</v>
      </c>
      <c r="P52" s="9" t="n">
        <f aca="false">SUM(D52:O52)</f>
        <v>9713.28</v>
      </c>
    </row>
    <row r="53" customFormat="false" ht="14.25" hidden="false" customHeight="true" outlineLevel="0" collapsed="false">
      <c r="A53" s="41" t="n">
        <v>2030</v>
      </c>
      <c r="B53" s="8" t="s">
        <v>25</v>
      </c>
      <c r="C53" s="8" t="s">
        <v>185</v>
      </c>
      <c r="D53" s="42" t="n">
        <f aca="false">(datos_base!$F$12+datos_base!$F$26)*parametros_manuales!B$15</f>
        <v>59.648</v>
      </c>
      <c r="E53" s="42" t="n">
        <f aca="false">(datos_base!$F$12+datos_base!$F$26)*parametros_manuales!C$15</f>
        <v>47.7184</v>
      </c>
      <c r="F53" s="42" t="n">
        <f aca="false">(datos_base!$F$12+datos_base!$F$26)*parametros_manuales!D$15</f>
        <v>50.7008</v>
      </c>
      <c r="G53" s="42" t="n">
        <f aca="false">(datos_base!$F$12+datos_base!$F$26)*parametros_manuales!E$15</f>
        <v>50.7008</v>
      </c>
      <c r="H53" s="42" t="n">
        <f aca="false">(datos_base!$F$12+datos_base!$F$26)*parametros_manuales!F$15</f>
        <v>47.7184</v>
      </c>
      <c r="I53" s="42" t="n">
        <f aca="false">(datos_base!$F$12+datos_base!$F$26)*parametros_manuales!G$15</f>
        <v>44.736</v>
      </c>
      <c r="J53" s="42" t="n">
        <f aca="false">(datos_base!$F$12+datos_base!$F$26)*parametros_manuales!H$15</f>
        <v>47.7184</v>
      </c>
      <c r="K53" s="42" t="n">
        <f aca="false">(datos_base!$F$12+datos_base!$F$26)*parametros_manuales!I$15</f>
        <v>47.7184</v>
      </c>
      <c r="L53" s="42" t="n">
        <f aca="false">(datos_base!$F$12+datos_base!$F$26)*parametros_manuales!J$15</f>
        <v>47.7184</v>
      </c>
      <c r="M53" s="42" t="n">
        <f aca="false">(datos_base!$F$12+datos_base!$F$26)*parametros_manuales!K$15</f>
        <v>44.736</v>
      </c>
      <c r="N53" s="42" t="n">
        <f aca="false">(datos_base!$F$12+datos_base!$F$26)*parametros_manuales!L$15</f>
        <v>41.7536</v>
      </c>
      <c r="O53" s="42" t="n">
        <f aca="false">(datos_base!$F$12+datos_base!$F$26)*parametros_manuales!M$15</f>
        <v>65.6128</v>
      </c>
      <c r="P53" s="9" t="n">
        <f aca="false">SUM(D53:O53)</f>
        <v>596.48</v>
      </c>
    </row>
    <row r="54" customFormat="false" ht="14.25" hidden="false" customHeight="true" outlineLevel="0" collapsed="false">
      <c r="B54" s="10" t="s">
        <v>186</v>
      </c>
      <c r="D54" s="11" t="n">
        <f aca="false">SUM(D46:D53)</f>
        <v>10067.07720699</v>
      </c>
      <c r="E54" s="11" t="n">
        <f aca="false">SUM(E46:E53)</f>
        <v>7680.969169332</v>
      </c>
      <c r="F54" s="11" t="n">
        <f aca="false">SUM(F46:F53)</f>
        <v>7190.4761063215</v>
      </c>
      <c r="G54" s="11" t="n">
        <f aca="false">SUM(G46:G53)</f>
        <v>6879.8989427715</v>
      </c>
      <c r="H54" s="11" t="n">
        <f aca="false">SUM(H46:H53)</f>
        <v>6438.660515132</v>
      </c>
      <c r="I54" s="11" t="n">
        <f aca="false">SUM(I46:I53)</f>
        <v>6307.9992510425</v>
      </c>
      <c r="J54" s="11" t="n">
        <f aca="false">SUM(J46:J53)</f>
        <v>6749.237678682</v>
      </c>
      <c r="K54" s="11" t="n">
        <f aca="false">SUM(K46:K53)</f>
        <v>6749.237678682</v>
      </c>
      <c r="L54" s="11" t="n">
        <f aca="false">SUM(L46:L53)</f>
        <v>6749.237678682</v>
      </c>
      <c r="M54" s="11" t="n">
        <f aca="false">SUM(M46:M53)</f>
        <v>6618.5764145925</v>
      </c>
      <c r="N54" s="11" t="n">
        <f aca="false">SUM(N46:N53)</f>
        <v>6487.915150503</v>
      </c>
      <c r="O54" s="11" t="n">
        <f aca="false">SUM(O46:O53)</f>
        <v>10328.399735169</v>
      </c>
      <c r="P54" s="11" t="n">
        <f aca="false">SUM(P46:P53)</f>
        <v>88247.6855279</v>
      </c>
    </row>
    <row r="55" customFormat="false" ht="14.25" hidden="false" customHeight="true" outlineLevel="0" collapsed="false"/>
    <row r="56" customFormat="false" ht="14.25" hidden="false" customHeight="true" outlineLevel="0" collapsed="false">
      <c r="A56" s="7" t="n">
        <v>2031</v>
      </c>
      <c r="B56" s="7" t="s">
        <v>181</v>
      </c>
      <c r="C56" s="7" t="s">
        <v>182</v>
      </c>
      <c r="D56" s="7" t="s">
        <v>61</v>
      </c>
      <c r="E56" s="7" t="s">
        <v>62</v>
      </c>
      <c r="F56" s="7" t="s">
        <v>63</v>
      </c>
      <c r="G56" s="7" t="s">
        <v>64</v>
      </c>
      <c r="H56" s="7" t="s">
        <v>65</v>
      </c>
      <c r="I56" s="7" t="s">
        <v>66</v>
      </c>
      <c r="J56" s="7" t="s">
        <v>67</v>
      </c>
      <c r="K56" s="7" t="s">
        <v>68</v>
      </c>
      <c r="L56" s="7" t="s">
        <v>69</v>
      </c>
      <c r="M56" s="7" t="s">
        <v>70</v>
      </c>
      <c r="N56" s="7" t="s">
        <v>71</v>
      </c>
      <c r="O56" s="7" t="s">
        <v>72</v>
      </c>
      <c r="P56" s="7" t="s">
        <v>183</v>
      </c>
    </row>
    <row r="57" customFormat="false" ht="14.25" hidden="false" customHeight="true" outlineLevel="0" collapsed="false">
      <c r="A57" s="41" t="n">
        <v>2031</v>
      </c>
      <c r="B57" s="8" t="s">
        <v>16</v>
      </c>
      <c r="C57" s="8" t="s">
        <v>184</v>
      </c>
      <c r="D57" s="42" t="n">
        <f aca="false">(datos_base!$G$2+datos_base!$G$18)*parametros_manuales!B$12</f>
        <v>1874.4303684</v>
      </c>
      <c r="E57" s="42" t="n">
        <f aca="false">(datos_base!$G$2+datos_base!$G$18)*parametros_manuales!C$12</f>
        <v>1405.8227763</v>
      </c>
      <c r="F57" s="42" t="n">
        <f aca="false">(datos_base!$G$2+datos_base!$G$18)*parametros_manuales!D$12</f>
        <v>1249.6202456</v>
      </c>
      <c r="G57" s="42" t="n">
        <f aca="false">(datos_base!$G$2+datos_base!$G$18)*parametros_manuales!E$12</f>
        <v>1171.51898025</v>
      </c>
      <c r="H57" s="42" t="n">
        <f aca="false">(datos_base!$G$2+datos_base!$G$18)*parametros_manuales!F$12</f>
        <v>1093.4177149</v>
      </c>
      <c r="I57" s="42" t="n">
        <f aca="false">(datos_base!$G$2+datos_base!$G$18)*parametros_manuales!G$12</f>
        <v>1093.4177149</v>
      </c>
      <c r="J57" s="42" t="n">
        <f aca="false">(datos_base!$G$2+datos_base!$G$18)*parametros_manuales!H$12</f>
        <v>1171.51898025</v>
      </c>
      <c r="K57" s="42" t="n">
        <f aca="false">(datos_base!$G$2+datos_base!$G$18)*parametros_manuales!I$12</f>
        <v>1171.51898025</v>
      </c>
      <c r="L57" s="42" t="n">
        <f aca="false">(datos_base!$G$2+datos_base!$G$18)*parametros_manuales!J$12</f>
        <v>1171.51898025</v>
      </c>
      <c r="M57" s="42" t="n">
        <f aca="false">(datos_base!$G$2+datos_base!$G$18)*parametros_manuales!K$12</f>
        <v>1171.51898025</v>
      </c>
      <c r="N57" s="42" t="n">
        <f aca="false">(datos_base!$G$2+datos_base!$G$18)*parametros_manuales!L$12</f>
        <v>1171.51898025</v>
      </c>
      <c r="O57" s="42" t="n">
        <f aca="false">(datos_base!$G$2+datos_base!$G$18)*parametros_manuales!M$12</f>
        <v>1874.4303684</v>
      </c>
      <c r="P57" s="9" t="n">
        <f aca="false">SUM(D57:O57)</f>
        <v>15620.25307</v>
      </c>
    </row>
    <row r="58" customFormat="false" ht="14.25" hidden="false" customHeight="true" outlineLevel="0" collapsed="false">
      <c r="A58" s="41" t="n">
        <v>2031</v>
      </c>
      <c r="B58" s="8" t="s">
        <v>17</v>
      </c>
      <c r="C58" s="8" t="s">
        <v>184</v>
      </c>
      <c r="D58" s="42" t="n">
        <f aca="false">(datos_base!$G$3+datos_base!$G$19)*parametros_manuales!B$13</f>
        <v>327.3949887</v>
      </c>
      <c r="E58" s="42" t="n">
        <f aca="false">(datos_base!$G$3+datos_base!$G$19)*parametros_manuales!C$13</f>
        <v>261.91599096</v>
      </c>
      <c r="F58" s="42" t="n">
        <f aca="false">(datos_base!$G$3+datos_base!$G$19)*parametros_manuales!D$13</f>
        <v>278.285740395</v>
      </c>
      <c r="G58" s="42" t="n">
        <f aca="false">(datos_base!$G$3+datos_base!$G$19)*parametros_manuales!E$13</f>
        <v>278.285740395</v>
      </c>
      <c r="H58" s="42" t="n">
        <f aca="false">(datos_base!$G$3+datos_base!$G$19)*parametros_manuales!F$13</f>
        <v>261.91599096</v>
      </c>
      <c r="I58" s="42" t="n">
        <f aca="false">(datos_base!$G$3+datos_base!$G$19)*parametros_manuales!G$13</f>
        <v>245.546241525</v>
      </c>
      <c r="J58" s="42" t="n">
        <f aca="false">(datos_base!$G$3+datos_base!$G$19)*parametros_manuales!H$13</f>
        <v>261.91599096</v>
      </c>
      <c r="K58" s="42" t="n">
        <f aca="false">(datos_base!$G$3+datos_base!$G$19)*parametros_manuales!I$13</f>
        <v>261.91599096</v>
      </c>
      <c r="L58" s="42" t="n">
        <f aca="false">(datos_base!$G$3+datos_base!$G$19)*parametros_manuales!J$13</f>
        <v>261.91599096</v>
      </c>
      <c r="M58" s="42" t="n">
        <f aca="false">(datos_base!$G$3+datos_base!$G$19)*parametros_manuales!K$13</f>
        <v>245.546241525</v>
      </c>
      <c r="N58" s="42" t="n">
        <f aca="false">(datos_base!$G$3+datos_base!$G$19)*parametros_manuales!L$13</f>
        <v>229.17649209</v>
      </c>
      <c r="O58" s="42" t="n">
        <f aca="false">(datos_base!$G$3+datos_base!$G$19)*parametros_manuales!M$13</f>
        <v>360.13448757</v>
      </c>
      <c r="P58" s="9" t="n">
        <f aca="false">SUM(D58:O58)</f>
        <v>3273.949887</v>
      </c>
    </row>
    <row r="59" customFormat="false" ht="14.25" hidden="false" customHeight="true" outlineLevel="0" collapsed="false">
      <c r="A59" s="41" t="n">
        <v>2031</v>
      </c>
      <c r="B59" s="8" t="s">
        <v>18</v>
      </c>
      <c r="C59" s="8" t="s">
        <v>184</v>
      </c>
      <c r="D59" s="42" t="n">
        <f aca="false">(datos_base!$G$4+datos_base!$G$20)*parametros_manuales!B$14</f>
        <v>1471.532411</v>
      </c>
      <c r="E59" s="42" t="n">
        <f aca="false">(datos_base!$G$4+datos_base!$G$20)*parametros_manuales!C$14</f>
        <v>1177.2259288</v>
      </c>
      <c r="F59" s="42" t="n">
        <f aca="false">(datos_base!$G$4+datos_base!$G$20)*parametros_manuales!D$14</f>
        <v>1250.80254935</v>
      </c>
      <c r="G59" s="42" t="n">
        <f aca="false">(datos_base!$G$4+datos_base!$G$20)*parametros_manuales!E$14</f>
        <v>1250.80254935</v>
      </c>
      <c r="H59" s="42" t="n">
        <f aca="false">(datos_base!$G$4+datos_base!$G$20)*parametros_manuales!F$14</f>
        <v>1177.2259288</v>
      </c>
      <c r="I59" s="42" t="n">
        <f aca="false">(datos_base!$G$4+datos_base!$G$20)*parametros_manuales!G$14</f>
        <v>1103.64930825</v>
      </c>
      <c r="J59" s="42" t="n">
        <f aca="false">(datos_base!$G$4+datos_base!$G$20)*parametros_manuales!H$14</f>
        <v>1177.2259288</v>
      </c>
      <c r="K59" s="42" t="n">
        <f aca="false">(datos_base!$G$4+datos_base!$G$20)*parametros_manuales!I$14</f>
        <v>1177.2259288</v>
      </c>
      <c r="L59" s="42" t="n">
        <f aca="false">(datos_base!$G$4+datos_base!$G$20)*parametros_manuales!J$14</f>
        <v>1177.2259288</v>
      </c>
      <c r="M59" s="42" t="n">
        <f aca="false">(datos_base!$G$4+datos_base!$G$20)*parametros_manuales!K$14</f>
        <v>1103.64930825</v>
      </c>
      <c r="N59" s="42" t="n">
        <f aca="false">(datos_base!$G$4+datos_base!$G$20)*parametros_manuales!L$14</f>
        <v>1030.0726877</v>
      </c>
      <c r="O59" s="42" t="n">
        <f aca="false">(datos_base!$G$4+datos_base!$G$20)*parametros_manuales!M$14</f>
        <v>1618.6856521</v>
      </c>
      <c r="P59" s="9" t="n">
        <f aca="false">SUM(D59:O59)</f>
        <v>14715.32411</v>
      </c>
    </row>
    <row r="60" customFormat="false" ht="14.25" hidden="false" customHeight="true" outlineLevel="0" collapsed="false">
      <c r="A60" s="41" t="n">
        <v>2031</v>
      </c>
      <c r="B60" s="8" t="s">
        <v>19</v>
      </c>
      <c r="C60" s="8" t="s">
        <v>184</v>
      </c>
      <c r="D60" s="42" t="n">
        <f aca="false">(datos_base!$G$5+datos_base!$G$21)*parametros_manuales!B$15</f>
        <v>88.1285032</v>
      </c>
      <c r="E60" s="42" t="n">
        <f aca="false">(datos_base!$G$5+datos_base!$G$21)*parametros_manuales!C$15</f>
        <v>70.50280256</v>
      </c>
      <c r="F60" s="42" t="n">
        <f aca="false">(datos_base!$G$5+datos_base!$G$21)*parametros_manuales!D$15</f>
        <v>74.90922772</v>
      </c>
      <c r="G60" s="42" t="n">
        <f aca="false">(datos_base!$G$5+datos_base!$G$21)*parametros_manuales!E$15</f>
        <v>74.90922772</v>
      </c>
      <c r="H60" s="42" t="n">
        <f aca="false">(datos_base!$G$5+datos_base!$G$21)*parametros_manuales!F$15</f>
        <v>70.50280256</v>
      </c>
      <c r="I60" s="42" t="n">
        <f aca="false">(datos_base!$G$5+datos_base!$G$21)*parametros_manuales!G$15</f>
        <v>66.0963774</v>
      </c>
      <c r="J60" s="42" t="n">
        <f aca="false">(datos_base!$G$5+datos_base!$G$21)*parametros_manuales!H$15</f>
        <v>70.50280256</v>
      </c>
      <c r="K60" s="42" t="n">
        <f aca="false">(datos_base!$G$5+datos_base!$G$21)*parametros_manuales!I$15</f>
        <v>70.50280256</v>
      </c>
      <c r="L60" s="42" t="n">
        <f aca="false">(datos_base!$G$5+datos_base!$G$21)*parametros_manuales!J$15</f>
        <v>70.50280256</v>
      </c>
      <c r="M60" s="42" t="n">
        <f aca="false">(datos_base!$G$5+datos_base!$G$21)*parametros_manuales!K$15</f>
        <v>66.0963774</v>
      </c>
      <c r="N60" s="42" t="n">
        <f aca="false">(datos_base!$G$5+datos_base!$G$21)*parametros_manuales!L$15</f>
        <v>61.68995224</v>
      </c>
      <c r="O60" s="42" t="n">
        <f aca="false">(datos_base!$G$5+datos_base!$G$21)*parametros_manuales!M$15</f>
        <v>96.94135352</v>
      </c>
      <c r="P60" s="9" t="n">
        <f aca="false">SUM(D60:O60)</f>
        <v>881.285032</v>
      </c>
    </row>
    <row r="61" customFormat="false" ht="14.25" hidden="false" customHeight="true" outlineLevel="0" collapsed="false">
      <c r="A61" s="41" t="n">
        <v>2031</v>
      </c>
      <c r="B61" s="8" t="s">
        <v>22</v>
      </c>
      <c r="C61" s="8" t="s">
        <v>185</v>
      </c>
      <c r="D61" s="42" t="n">
        <f aca="false">(datos_base!$G$9+datos_base!$G$23)*parametros_manuales!B$12</f>
        <v>8601.624</v>
      </c>
      <c r="E61" s="42" t="n">
        <f aca="false">(datos_base!$G$9+datos_base!$G$23)*parametros_manuales!C$12</f>
        <v>6451.218</v>
      </c>
      <c r="F61" s="42" t="n">
        <f aca="false">(datos_base!$G$9+datos_base!$G$23)*parametros_manuales!D$12</f>
        <v>5734.416</v>
      </c>
      <c r="G61" s="42" t="n">
        <f aca="false">(datos_base!$G$9+datos_base!$G$23)*parametros_manuales!E$12</f>
        <v>5376.015</v>
      </c>
      <c r="H61" s="42" t="n">
        <f aca="false">(datos_base!$G$9+datos_base!$G$23)*parametros_manuales!F$12</f>
        <v>5017.614</v>
      </c>
      <c r="I61" s="42" t="n">
        <f aca="false">(datos_base!$G$9+datos_base!$G$23)*parametros_manuales!G$12</f>
        <v>5017.614</v>
      </c>
      <c r="J61" s="42" t="n">
        <f aca="false">(datos_base!$G$9+datos_base!$G$23)*parametros_manuales!H$12</f>
        <v>5376.015</v>
      </c>
      <c r="K61" s="42" t="n">
        <f aca="false">(datos_base!$G$9+datos_base!$G$23)*parametros_manuales!I$12</f>
        <v>5376.015</v>
      </c>
      <c r="L61" s="42" t="n">
        <f aca="false">(datos_base!$G$9+datos_base!$G$23)*parametros_manuales!J$12</f>
        <v>5376.015</v>
      </c>
      <c r="M61" s="42" t="n">
        <f aca="false">(datos_base!$G$9+datos_base!$G$23)*parametros_manuales!K$12</f>
        <v>5376.015</v>
      </c>
      <c r="N61" s="42" t="n">
        <f aca="false">(datos_base!$G$9+datos_base!$G$23)*parametros_manuales!L$12</f>
        <v>5376.015</v>
      </c>
      <c r="O61" s="42" t="n">
        <f aca="false">(datos_base!$G$9+datos_base!$G$23)*parametros_manuales!M$12</f>
        <v>8601.624</v>
      </c>
      <c r="P61" s="9" t="n">
        <f aca="false">SUM(D61:O61)</f>
        <v>71680.2</v>
      </c>
    </row>
    <row r="62" customFormat="false" ht="14.25" hidden="false" customHeight="true" outlineLevel="0" collapsed="false">
      <c r="A62" s="41" t="n">
        <v>2031</v>
      </c>
      <c r="B62" s="8" t="s">
        <v>23</v>
      </c>
      <c r="C62" s="8" t="s">
        <v>185</v>
      </c>
      <c r="D62" s="42" t="n">
        <f aca="false">(datos_base!$G$10+datos_base!$G$24)*parametros_manuales!B$13</f>
        <v>283.92</v>
      </c>
      <c r="E62" s="42" t="n">
        <f aca="false">(datos_base!$G$10+datos_base!$G$24)*parametros_manuales!C$13</f>
        <v>227.136</v>
      </c>
      <c r="F62" s="42" t="n">
        <f aca="false">(datos_base!$G$10+datos_base!$G$24)*parametros_manuales!D$13</f>
        <v>241.332</v>
      </c>
      <c r="G62" s="42" t="n">
        <f aca="false">(datos_base!$G$10+datos_base!$G$24)*parametros_manuales!E$13</f>
        <v>241.332</v>
      </c>
      <c r="H62" s="42" t="n">
        <f aca="false">(datos_base!$G$10+datos_base!$G$24)*parametros_manuales!F$13</f>
        <v>227.136</v>
      </c>
      <c r="I62" s="42" t="n">
        <f aca="false">(datos_base!$G$10+datos_base!$G$24)*parametros_manuales!G$13</f>
        <v>212.94</v>
      </c>
      <c r="J62" s="42" t="n">
        <f aca="false">(datos_base!$G$10+datos_base!$G$24)*parametros_manuales!H$13</f>
        <v>227.136</v>
      </c>
      <c r="K62" s="42" t="n">
        <f aca="false">(datos_base!$G$10+datos_base!$G$24)*parametros_manuales!I$13</f>
        <v>227.136</v>
      </c>
      <c r="L62" s="42" t="n">
        <f aca="false">(datos_base!$G$10+datos_base!$G$24)*parametros_manuales!J$13</f>
        <v>227.136</v>
      </c>
      <c r="M62" s="42" t="n">
        <f aca="false">(datos_base!$G$10+datos_base!$G$24)*parametros_manuales!K$13</f>
        <v>212.94</v>
      </c>
      <c r="N62" s="42" t="n">
        <f aca="false">(datos_base!$G$10+datos_base!$G$24)*parametros_manuales!L$13</f>
        <v>198.744</v>
      </c>
      <c r="O62" s="42" t="n">
        <f aca="false">(datos_base!$G$10+datos_base!$G$24)*parametros_manuales!M$13</f>
        <v>312.312</v>
      </c>
      <c r="P62" s="9" t="n">
        <f aca="false">SUM(D62:O62)</f>
        <v>2839.2</v>
      </c>
    </row>
    <row r="63" customFormat="false" ht="14.25" hidden="false" customHeight="true" outlineLevel="0" collapsed="false">
      <c r="A63" s="41" t="n">
        <v>2031</v>
      </c>
      <c r="B63" s="8" t="s">
        <v>24</v>
      </c>
      <c r="C63" s="8" t="s">
        <v>185</v>
      </c>
      <c r="D63" s="42" t="n">
        <f aca="false">(datos_base!$G$11+datos_base!$G$25)*parametros_manuales!B$14</f>
        <v>1402.936</v>
      </c>
      <c r="E63" s="42" t="n">
        <f aca="false">(datos_base!$G$11+datos_base!$G$25)*parametros_manuales!C$14</f>
        <v>1122.3488</v>
      </c>
      <c r="F63" s="42" t="n">
        <f aca="false">(datos_base!$G$11+datos_base!$G$25)*parametros_manuales!D$14</f>
        <v>1192.4956</v>
      </c>
      <c r="G63" s="42" t="n">
        <f aca="false">(datos_base!$G$11+datos_base!$G$25)*parametros_manuales!E$14</f>
        <v>1192.4956</v>
      </c>
      <c r="H63" s="42" t="n">
        <f aca="false">(datos_base!$G$11+datos_base!$G$25)*parametros_manuales!F$14</f>
        <v>1122.3488</v>
      </c>
      <c r="I63" s="42" t="n">
        <f aca="false">(datos_base!$G$11+datos_base!$G$25)*parametros_manuales!G$14</f>
        <v>1052.202</v>
      </c>
      <c r="J63" s="42" t="n">
        <f aca="false">(datos_base!$G$11+datos_base!$G$25)*parametros_manuales!H$14</f>
        <v>1122.3488</v>
      </c>
      <c r="K63" s="42" t="n">
        <f aca="false">(datos_base!$G$11+datos_base!$G$25)*parametros_manuales!I$14</f>
        <v>1122.3488</v>
      </c>
      <c r="L63" s="42" t="n">
        <f aca="false">(datos_base!$G$11+datos_base!$G$25)*parametros_manuales!J$14</f>
        <v>1122.3488</v>
      </c>
      <c r="M63" s="42" t="n">
        <f aca="false">(datos_base!$G$11+datos_base!$G$25)*parametros_manuales!K$14</f>
        <v>1052.202</v>
      </c>
      <c r="N63" s="42" t="n">
        <f aca="false">(datos_base!$G$11+datos_base!$G$25)*parametros_manuales!L$14</f>
        <v>982.0552</v>
      </c>
      <c r="O63" s="42" t="n">
        <f aca="false">(datos_base!$G$11+datos_base!$G$25)*parametros_manuales!M$14</f>
        <v>1543.2296</v>
      </c>
      <c r="P63" s="9" t="n">
        <f aca="false">SUM(D63:O63)</f>
        <v>14029.36</v>
      </c>
    </row>
    <row r="64" customFormat="false" ht="14.25" hidden="false" customHeight="true" outlineLevel="0" collapsed="false">
      <c r="A64" s="41" t="n">
        <v>2031</v>
      </c>
      <c r="B64" s="8" t="s">
        <v>25</v>
      </c>
      <c r="C64" s="8" t="s">
        <v>185</v>
      </c>
      <c r="D64" s="42" t="n">
        <f aca="false">(datos_base!$G$12+datos_base!$G$26)*parametros_manuales!B$15</f>
        <v>86.176</v>
      </c>
      <c r="E64" s="42" t="n">
        <f aca="false">(datos_base!$G$12+datos_base!$G$26)*parametros_manuales!C$15</f>
        <v>68.9408</v>
      </c>
      <c r="F64" s="42" t="n">
        <f aca="false">(datos_base!$G$12+datos_base!$G$26)*parametros_manuales!D$15</f>
        <v>73.2496</v>
      </c>
      <c r="G64" s="42" t="n">
        <f aca="false">(datos_base!$G$12+datos_base!$G$26)*parametros_manuales!E$15</f>
        <v>73.2496</v>
      </c>
      <c r="H64" s="42" t="n">
        <f aca="false">(datos_base!$G$12+datos_base!$G$26)*parametros_manuales!F$15</f>
        <v>68.9408</v>
      </c>
      <c r="I64" s="42" t="n">
        <f aca="false">(datos_base!$G$12+datos_base!$G$26)*parametros_manuales!G$15</f>
        <v>64.632</v>
      </c>
      <c r="J64" s="42" t="n">
        <f aca="false">(datos_base!$G$12+datos_base!$G$26)*parametros_manuales!H$15</f>
        <v>68.9408</v>
      </c>
      <c r="K64" s="42" t="n">
        <f aca="false">(datos_base!$G$12+datos_base!$G$26)*parametros_manuales!I$15</f>
        <v>68.9408</v>
      </c>
      <c r="L64" s="42" t="n">
        <f aca="false">(datos_base!$G$12+datos_base!$G$26)*parametros_manuales!J$15</f>
        <v>68.9408</v>
      </c>
      <c r="M64" s="42" t="n">
        <f aca="false">(datos_base!$G$12+datos_base!$G$26)*parametros_manuales!K$15</f>
        <v>64.632</v>
      </c>
      <c r="N64" s="42" t="n">
        <f aca="false">(datos_base!$G$12+datos_base!$G$26)*parametros_manuales!L$15</f>
        <v>60.3232</v>
      </c>
      <c r="O64" s="42" t="n">
        <f aca="false">(datos_base!$G$12+datos_base!$G$26)*parametros_manuales!M$15</f>
        <v>94.7936</v>
      </c>
      <c r="P64" s="9" t="n">
        <f aca="false">SUM(D64:O64)</f>
        <v>861.76</v>
      </c>
    </row>
    <row r="65" customFormat="false" ht="14.25" hidden="false" customHeight="true" outlineLevel="0" collapsed="false">
      <c r="B65" s="10" t="s">
        <v>186</v>
      </c>
      <c r="D65" s="11" t="n">
        <f aca="false">SUM(D57:D64)</f>
        <v>14136.1422713</v>
      </c>
      <c r="E65" s="11" t="n">
        <f aca="false">SUM(E57:E64)</f>
        <v>10785.11109862</v>
      </c>
      <c r="F65" s="11" t="n">
        <f aca="false">SUM(F57:F64)</f>
        <v>10095.110963065</v>
      </c>
      <c r="G65" s="11" t="n">
        <f aca="false">SUM(G57:G64)</f>
        <v>9658.608697715</v>
      </c>
      <c r="H65" s="11" t="n">
        <f aca="false">SUM(H57:H64)</f>
        <v>9039.10203722</v>
      </c>
      <c r="I65" s="11" t="n">
        <f aca="false">SUM(I57:I64)</f>
        <v>8856.097642075</v>
      </c>
      <c r="J65" s="11" t="n">
        <f aca="false">SUM(J57:J64)</f>
        <v>9475.60430257</v>
      </c>
      <c r="K65" s="11" t="n">
        <f aca="false">SUM(K57:K64)</f>
        <v>9475.60430257</v>
      </c>
      <c r="L65" s="11" t="n">
        <f aca="false">SUM(L57:L64)</f>
        <v>9475.60430257</v>
      </c>
      <c r="M65" s="11" t="n">
        <f aca="false">SUM(M57:M64)</f>
        <v>9292.599907425</v>
      </c>
      <c r="N65" s="11" t="n">
        <f aca="false">SUM(N57:N64)</f>
        <v>9109.59551228</v>
      </c>
      <c r="O65" s="11" t="n">
        <f aca="false">SUM(O57:O64)</f>
        <v>14502.15106159</v>
      </c>
      <c r="P65" s="11" t="n">
        <f aca="false">SUM(P57:P64)</f>
        <v>123901.332099</v>
      </c>
    </row>
    <row r="66" customFormat="false" ht="14.25" hidden="false" customHeight="true" outlineLevel="0" collapsed="false"/>
    <row r="67" customFormat="false" ht="14.25" hidden="false" customHeight="true" outlineLevel="0" collapsed="false">
      <c r="A67" s="7" t="n">
        <v>2032</v>
      </c>
      <c r="B67" s="7" t="s">
        <v>181</v>
      </c>
      <c r="C67" s="7" t="s">
        <v>182</v>
      </c>
      <c r="D67" s="7" t="s">
        <v>61</v>
      </c>
      <c r="E67" s="7" t="s">
        <v>62</v>
      </c>
      <c r="F67" s="7" t="s">
        <v>63</v>
      </c>
      <c r="G67" s="7" t="s">
        <v>64</v>
      </c>
      <c r="H67" s="7" t="s">
        <v>65</v>
      </c>
      <c r="I67" s="7" t="s">
        <v>66</v>
      </c>
      <c r="J67" s="7" t="s">
        <v>67</v>
      </c>
      <c r="K67" s="7" t="s">
        <v>68</v>
      </c>
      <c r="L67" s="7" t="s">
        <v>69</v>
      </c>
      <c r="M67" s="7" t="s">
        <v>70</v>
      </c>
      <c r="N67" s="7" t="s">
        <v>71</v>
      </c>
      <c r="O67" s="7" t="s">
        <v>72</v>
      </c>
      <c r="P67" s="7" t="s">
        <v>183</v>
      </c>
    </row>
    <row r="68" customFormat="false" ht="14.25" hidden="false" customHeight="true" outlineLevel="0" collapsed="false">
      <c r="A68" s="41" t="n">
        <v>2032</v>
      </c>
      <c r="B68" s="8" t="s">
        <v>16</v>
      </c>
      <c r="C68" s="8" t="s">
        <v>184</v>
      </c>
      <c r="D68" s="42" t="n">
        <f aca="false">(datos_base!$H$2+datos_base!$H$18)*parametros_manuales!B$12</f>
        <v>2439.9063912</v>
      </c>
      <c r="E68" s="42" t="n">
        <f aca="false">(datos_base!$H$2+datos_base!$H$18)*parametros_manuales!C$12</f>
        <v>1829.9297934</v>
      </c>
      <c r="F68" s="42" t="n">
        <f aca="false">(datos_base!$H$2+datos_base!$H$18)*parametros_manuales!D$12</f>
        <v>1626.6042608</v>
      </c>
      <c r="G68" s="42" t="n">
        <f aca="false">(datos_base!$H$2+datos_base!$H$18)*parametros_manuales!E$12</f>
        <v>1524.9414945</v>
      </c>
      <c r="H68" s="42" t="n">
        <f aca="false">(datos_base!$H$2+datos_base!$H$18)*parametros_manuales!F$12</f>
        <v>1423.2787282</v>
      </c>
      <c r="I68" s="42" t="n">
        <f aca="false">(datos_base!$H$2+datos_base!$H$18)*parametros_manuales!G$12</f>
        <v>1423.2787282</v>
      </c>
      <c r="J68" s="42" t="n">
        <f aca="false">(datos_base!$H$2+datos_base!$H$18)*parametros_manuales!H$12</f>
        <v>1524.9414945</v>
      </c>
      <c r="K68" s="42" t="n">
        <f aca="false">(datos_base!$H$2+datos_base!$H$18)*parametros_manuales!I$12</f>
        <v>1524.9414945</v>
      </c>
      <c r="L68" s="42" t="n">
        <f aca="false">(datos_base!$H$2+datos_base!$H$18)*parametros_manuales!J$12</f>
        <v>1524.9414945</v>
      </c>
      <c r="M68" s="42" t="n">
        <f aca="false">(datos_base!$H$2+datos_base!$H$18)*parametros_manuales!K$12</f>
        <v>1524.9414945</v>
      </c>
      <c r="N68" s="42" t="n">
        <f aca="false">(datos_base!$H$2+datos_base!$H$18)*parametros_manuales!L$12</f>
        <v>1524.9414945</v>
      </c>
      <c r="O68" s="42" t="n">
        <f aca="false">(datos_base!$H$2+datos_base!$H$18)*parametros_manuales!M$12</f>
        <v>2439.9063912</v>
      </c>
      <c r="P68" s="9" t="n">
        <f aca="false">SUM(D68:O68)</f>
        <v>20332.55326</v>
      </c>
    </row>
    <row r="69" customFormat="false" ht="14.25" hidden="false" customHeight="true" outlineLevel="0" collapsed="false">
      <c r="A69" s="41" t="n">
        <v>2032</v>
      </c>
      <c r="B69" s="8" t="s">
        <v>17</v>
      </c>
      <c r="C69" s="8" t="s">
        <v>184</v>
      </c>
      <c r="D69" s="42" t="n">
        <f aca="false">(datos_base!$H$3+datos_base!$H$19)*parametros_manuales!B$13</f>
        <v>412.0755524</v>
      </c>
      <c r="E69" s="42" t="n">
        <f aca="false">(datos_base!$H$3+datos_base!$H$19)*parametros_manuales!C$13</f>
        <v>329.66044192</v>
      </c>
      <c r="F69" s="42" t="n">
        <f aca="false">(datos_base!$H$3+datos_base!$H$19)*parametros_manuales!D$13</f>
        <v>350.26421954</v>
      </c>
      <c r="G69" s="42" t="n">
        <f aca="false">(datos_base!$H$3+datos_base!$H$19)*parametros_manuales!E$13</f>
        <v>350.26421954</v>
      </c>
      <c r="H69" s="42" t="n">
        <f aca="false">(datos_base!$H$3+datos_base!$H$19)*parametros_manuales!F$13</f>
        <v>329.66044192</v>
      </c>
      <c r="I69" s="42" t="n">
        <f aca="false">(datos_base!$H$3+datos_base!$H$19)*parametros_manuales!G$13</f>
        <v>309.0566643</v>
      </c>
      <c r="J69" s="42" t="n">
        <f aca="false">(datos_base!$H$3+datos_base!$H$19)*parametros_manuales!H$13</f>
        <v>329.66044192</v>
      </c>
      <c r="K69" s="42" t="n">
        <f aca="false">(datos_base!$H$3+datos_base!$H$19)*parametros_manuales!I$13</f>
        <v>329.66044192</v>
      </c>
      <c r="L69" s="42" t="n">
        <f aca="false">(datos_base!$H$3+datos_base!$H$19)*parametros_manuales!J$13</f>
        <v>329.66044192</v>
      </c>
      <c r="M69" s="42" t="n">
        <f aca="false">(datos_base!$H$3+datos_base!$H$19)*parametros_manuales!K$13</f>
        <v>309.0566643</v>
      </c>
      <c r="N69" s="42" t="n">
        <f aca="false">(datos_base!$H$3+datos_base!$H$19)*parametros_manuales!L$13</f>
        <v>288.45288668</v>
      </c>
      <c r="O69" s="42" t="n">
        <f aca="false">(datos_base!$H$3+datos_base!$H$19)*parametros_manuales!M$13</f>
        <v>453.28310764</v>
      </c>
      <c r="P69" s="9" t="n">
        <f aca="false">SUM(D69:O69)</f>
        <v>4120.755524</v>
      </c>
    </row>
    <row r="70" customFormat="false" ht="14.25" hidden="false" customHeight="true" outlineLevel="0" collapsed="false">
      <c r="A70" s="41" t="n">
        <v>2032</v>
      </c>
      <c r="B70" s="8" t="s">
        <v>18</v>
      </c>
      <c r="C70" s="8" t="s">
        <v>184</v>
      </c>
      <c r="D70" s="42" t="n">
        <f aca="false">(datos_base!$H$4+datos_base!$H$20)*parametros_manuales!B$14</f>
        <v>1897.115984</v>
      </c>
      <c r="E70" s="42" t="n">
        <f aca="false">(datos_base!$H$4+datos_base!$H$20)*parametros_manuales!C$14</f>
        <v>1517.6927872</v>
      </c>
      <c r="F70" s="42" t="n">
        <f aca="false">(datos_base!$H$4+datos_base!$H$20)*parametros_manuales!D$14</f>
        <v>1612.5485864</v>
      </c>
      <c r="G70" s="42" t="n">
        <f aca="false">(datos_base!$H$4+datos_base!$H$20)*parametros_manuales!E$14</f>
        <v>1612.5485864</v>
      </c>
      <c r="H70" s="42" t="n">
        <f aca="false">(datos_base!$H$4+datos_base!$H$20)*parametros_manuales!F$14</f>
        <v>1517.6927872</v>
      </c>
      <c r="I70" s="42" t="n">
        <f aca="false">(datos_base!$H$4+datos_base!$H$20)*parametros_manuales!G$14</f>
        <v>1422.836988</v>
      </c>
      <c r="J70" s="42" t="n">
        <f aca="false">(datos_base!$H$4+datos_base!$H$20)*parametros_manuales!H$14</f>
        <v>1517.6927872</v>
      </c>
      <c r="K70" s="42" t="n">
        <f aca="false">(datos_base!$H$4+datos_base!$H$20)*parametros_manuales!I$14</f>
        <v>1517.6927872</v>
      </c>
      <c r="L70" s="42" t="n">
        <f aca="false">(datos_base!$H$4+datos_base!$H$20)*parametros_manuales!J$14</f>
        <v>1517.6927872</v>
      </c>
      <c r="M70" s="42" t="n">
        <f aca="false">(datos_base!$H$4+datos_base!$H$20)*parametros_manuales!K$14</f>
        <v>1422.836988</v>
      </c>
      <c r="N70" s="42" t="n">
        <f aca="false">(datos_base!$H$4+datos_base!$H$20)*parametros_manuales!L$14</f>
        <v>1327.9811888</v>
      </c>
      <c r="O70" s="42" t="n">
        <f aca="false">(datos_base!$H$4+datos_base!$H$20)*parametros_manuales!M$14</f>
        <v>2086.8275824</v>
      </c>
      <c r="P70" s="9" t="n">
        <f aca="false">SUM(D70:O70)</f>
        <v>18971.15984</v>
      </c>
    </row>
    <row r="71" customFormat="false" ht="14.25" hidden="false" customHeight="true" outlineLevel="0" collapsed="false">
      <c r="A71" s="41" t="n">
        <v>2032</v>
      </c>
      <c r="B71" s="8" t="s">
        <v>19</v>
      </c>
      <c r="C71" s="8" t="s">
        <v>184</v>
      </c>
      <c r="D71" s="42" t="n">
        <f aca="false">(datos_base!$H$5+datos_base!$H$21)*parametros_manuales!B$15</f>
        <v>113.3400545</v>
      </c>
      <c r="E71" s="42" t="n">
        <f aca="false">(datos_base!$H$5+datos_base!$H$21)*parametros_manuales!C$15</f>
        <v>90.6720436</v>
      </c>
      <c r="F71" s="42" t="n">
        <f aca="false">(datos_base!$H$5+datos_base!$H$21)*parametros_manuales!D$15</f>
        <v>96.339046325</v>
      </c>
      <c r="G71" s="42" t="n">
        <f aca="false">(datos_base!$H$5+datos_base!$H$21)*parametros_manuales!E$15</f>
        <v>96.339046325</v>
      </c>
      <c r="H71" s="42" t="n">
        <f aca="false">(datos_base!$H$5+datos_base!$H$21)*parametros_manuales!F$15</f>
        <v>90.6720436</v>
      </c>
      <c r="I71" s="42" t="n">
        <f aca="false">(datos_base!$H$5+datos_base!$H$21)*parametros_manuales!G$15</f>
        <v>85.005040875</v>
      </c>
      <c r="J71" s="42" t="n">
        <f aca="false">(datos_base!$H$5+datos_base!$H$21)*parametros_manuales!H$15</f>
        <v>90.6720436</v>
      </c>
      <c r="K71" s="42" t="n">
        <f aca="false">(datos_base!$H$5+datos_base!$H$21)*parametros_manuales!I$15</f>
        <v>90.6720436</v>
      </c>
      <c r="L71" s="42" t="n">
        <f aca="false">(datos_base!$H$5+datos_base!$H$21)*parametros_manuales!J$15</f>
        <v>90.6720436</v>
      </c>
      <c r="M71" s="42" t="n">
        <f aca="false">(datos_base!$H$5+datos_base!$H$21)*parametros_manuales!K$15</f>
        <v>85.005040875</v>
      </c>
      <c r="N71" s="42" t="n">
        <f aca="false">(datos_base!$H$5+datos_base!$H$21)*parametros_manuales!L$15</f>
        <v>79.33803815</v>
      </c>
      <c r="O71" s="42" t="n">
        <f aca="false">(datos_base!$H$5+datos_base!$H$21)*parametros_manuales!M$15</f>
        <v>124.67405995</v>
      </c>
      <c r="P71" s="9" t="n">
        <f aca="false">SUM(D71:O71)</f>
        <v>1133.400545</v>
      </c>
    </row>
    <row r="72" customFormat="false" ht="14.25" hidden="false" customHeight="true" outlineLevel="0" collapsed="false">
      <c r="A72" s="41" t="n">
        <v>2032</v>
      </c>
      <c r="B72" s="8" t="s">
        <v>22</v>
      </c>
      <c r="C72" s="8" t="s">
        <v>185</v>
      </c>
      <c r="D72" s="42" t="n">
        <f aca="false">(datos_base!$H$9+datos_base!$H$23)*parametros_manuales!B$12</f>
        <v>12160.872</v>
      </c>
      <c r="E72" s="42" t="n">
        <f aca="false">(datos_base!$H$9+datos_base!$H$23)*parametros_manuales!C$12</f>
        <v>9120.654</v>
      </c>
      <c r="F72" s="42" t="n">
        <f aca="false">(datos_base!$H$9+datos_base!$H$23)*parametros_manuales!D$12</f>
        <v>8107.248</v>
      </c>
      <c r="G72" s="42" t="n">
        <f aca="false">(datos_base!$H$9+datos_base!$H$23)*parametros_manuales!E$12</f>
        <v>7600.545</v>
      </c>
      <c r="H72" s="42" t="n">
        <f aca="false">(datos_base!$H$9+datos_base!$H$23)*parametros_manuales!F$12</f>
        <v>7093.842</v>
      </c>
      <c r="I72" s="42" t="n">
        <f aca="false">(datos_base!$H$9+datos_base!$H$23)*parametros_manuales!G$12</f>
        <v>7093.842</v>
      </c>
      <c r="J72" s="42" t="n">
        <f aca="false">(datos_base!$H$9+datos_base!$H$23)*parametros_manuales!H$12</f>
        <v>7600.545</v>
      </c>
      <c r="K72" s="42" t="n">
        <f aca="false">(datos_base!$H$9+datos_base!$H$23)*parametros_manuales!I$12</f>
        <v>7600.545</v>
      </c>
      <c r="L72" s="42" t="n">
        <f aca="false">(datos_base!$H$9+datos_base!$H$23)*parametros_manuales!J$12</f>
        <v>7600.545</v>
      </c>
      <c r="M72" s="42" t="n">
        <f aca="false">(datos_base!$H$9+datos_base!$H$23)*parametros_manuales!K$12</f>
        <v>7600.545</v>
      </c>
      <c r="N72" s="42" t="n">
        <f aca="false">(datos_base!$H$9+datos_base!$H$23)*parametros_manuales!L$12</f>
        <v>7600.545</v>
      </c>
      <c r="O72" s="42" t="n">
        <f aca="false">(datos_base!$H$9+datos_base!$H$23)*parametros_manuales!M$12</f>
        <v>12160.872</v>
      </c>
      <c r="P72" s="9" t="n">
        <f aca="false">SUM(D72:O72)</f>
        <v>101340.6</v>
      </c>
    </row>
    <row r="73" customFormat="false" ht="14.25" hidden="false" customHeight="true" outlineLevel="0" collapsed="false">
      <c r="A73" s="41" t="n">
        <v>2032</v>
      </c>
      <c r="B73" s="8" t="s">
        <v>23</v>
      </c>
      <c r="C73" s="8" t="s">
        <v>185</v>
      </c>
      <c r="D73" s="42" t="n">
        <f aca="false">(datos_base!$H$10+datos_base!$H$24)*parametros_manuales!B$13</f>
        <v>399.652</v>
      </c>
      <c r="E73" s="42" t="n">
        <f aca="false">(datos_base!$H$10+datos_base!$H$24)*parametros_manuales!C$13</f>
        <v>319.7216</v>
      </c>
      <c r="F73" s="42" t="n">
        <f aca="false">(datos_base!$H$10+datos_base!$H$24)*parametros_manuales!D$13</f>
        <v>339.7042</v>
      </c>
      <c r="G73" s="42" t="n">
        <f aca="false">(datos_base!$H$10+datos_base!$H$24)*parametros_manuales!E$13</f>
        <v>339.7042</v>
      </c>
      <c r="H73" s="42" t="n">
        <f aca="false">(datos_base!$H$10+datos_base!$H$24)*parametros_manuales!F$13</f>
        <v>319.7216</v>
      </c>
      <c r="I73" s="42" t="n">
        <f aca="false">(datos_base!$H$10+datos_base!$H$24)*parametros_manuales!G$13</f>
        <v>299.739</v>
      </c>
      <c r="J73" s="42" t="n">
        <f aca="false">(datos_base!$H$10+datos_base!$H$24)*parametros_manuales!H$13</f>
        <v>319.7216</v>
      </c>
      <c r="K73" s="42" t="n">
        <f aca="false">(datos_base!$H$10+datos_base!$H$24)*parametros_manuales!I$13</f>
        <v>319.7216</v>
      </c>
      <c r="L73" s="42" t="n">
        <f aca="false">(datos_base!$H$10+datos_base!$H$24)*parametros_manuales!J$13</f>
        <v>319.7216</v>
      </c>
      <c r="M73" s="42" t="n">
        <f aca="false">(datos_base!$H$10+datos_base!$H$24)*parametros_manuales!K$13</f>
        <v>299.739</v>
      </c>
      <c r="N73" s="42" t="n">
        <f aca="false">(datos_base!$H$10+datos_base!$H$24)*parametros_manuales!L$13</f>
        <v>279.7564</v>
      </c>
      <c r="O73" s="42" t="n">
        <f aca="false">(datos_base!$H$10+datos_base!$H$24)*parametros_manuales!M$13</f>
        <v>439.6172</v>
      </c>
      <c r="P73" s="9" t="n">
        <f aca="false">SUM(D73:O73)</f>
        <v>3996.52</v>
      </c>
    </row>
    <row r="74" customFormat="false" ht="14.25" hidden="false" customHeight="true" outlineLevel="0" collapsed="false">
      <c r="A74" s="41" t="n">
        <v>2032</v>
      </c>
      <c r="B74" s="8" t="s">
        <v>24</v>
      </c>
      <c r="C74" s="8" t="s">
        <v>185</v>
      </c>
      <c r="D74" s="42" t="n">
        <f aca="false">(datos_base!$H$11+datos_base!$H$25)*parametros_manuales!B$14</f>
        <v>1972.832</v>
      </c>
      <c r="E74" s="42" t="n">
        <f aca="false">(datos_base!$H$11+datos_base!$H$25)*parametros_manuales!C$14</f>
        <v>1578.2656</v>
      </c>
      <c r="F74" s="42" t="n">
        <f aca="false">(datos_base!$H$11+datos_base!$H$25)*parametros_manuales!D$14</f>
        <v>1676.9072</v>
      </c>
      <c r="G74" s="42" t="n">
        <f aca="false">(datos_base!$H$11+datos_base!$H$25)*parametros_manuales!E$14</f>
        <v>1676.9072</v>
      </c>
      <c r="H74" s="42" t="n">
        <f aca="false">(datos_base!$H$11+datos_base!$H$25)*parametros_manuales!F$14</f>
        <v>1578.2656</v>
      </c>
      <c r="I74" s="42" t="n">
        <f aca="false">(datos_base!$H$11+datos_base!$H$25)*parametros_manuales!G$14</f>
        <v>1479.624</v>
      </c>
      <c r="J74" s="42" t="n">
        <f aca="false">(datos_base!$H$11+datos_base!$H$25)*parametros_manuales!H$14</f>
        <v>1578.2656</v>
      </c>
      <c r="K74" s="42" t="n">
        <f aca="false">(datos_base!$H$11+datos_base!$H$25)*parametros_manuales!I$14</f>
        <v>1578.2656</v>
      </c>
      <c r="L74" s="42" t="n">
        <f aca="false">(datos_base!$H$11+datos_base!$H$25)*parametros_manuales!J$14</f>
        <v>1578.2656</v>
      </c>
      <c r="M74" s="42" t="n">
        <f aca="false">(datos_base!$H$11+datos_base!$H$25)*parametros_manuales!K$14</f>
        <v>1479.624</v>
      </c>
      <c r="N74" s="42" t="n">
        <f aca="false">(datos_base!$H$11+datos_base!$H$25)*parametros_manuales!L$14</f>
        <v>1380.9824</v>
      </c>
      <c r="O74" s="42" t="n">
        <f aca="false">(datos_base!$H$11+datos_base!$H$25)*parametros_manuales!M$14</f>
        <v>2170.1152</v>
      </c>
      <c r="P74" s="9" t="n">
        <f aca="false">SUM(D74:O74)</f>
        <v>19728.32</v>
      </c>
    </row>
    <row r="75" customFormat="false" ht="14.25" hidden="false" customHeight="true" outlineLevel="0" collapsed="false">
      <c r="A75" s="41" t="n">
        <v>2032</v>
      </c>
      <c r="B75" s="8" t="s">
        <v>25</v>
      </c>
      <c r="C75" s="8" t="s">
        <v>185</v>
      </c>
      <c r="D75" s="42" t="n">
        <f aca="false">(datos_base!$H$12+datos_base!$H$26)*parametros_manuales!B$15</f>
        <v>120.64</v>
      </c>
      <c r="E75" s="42" t="n">
        <f aca="false">(datos_base!$H$12+datos_base!$H$26)*parametros_manuales!C$15</f>
        <v>96.512</v>
      </c>
      <c r="F75" s="42" t="n">
        <f aca="false">(datos_base!$H$12+datos_base!$H$26)*parametros_manuales!D$15</f>
        <v>102.544</v>
      </c>
      <c r="G75" s="42" t="n">
        <f aca="false">(datos_base!$H$12+datos_base!$H$26)*parametros_manuales!E$15</f>
        <v>102.544</v>
      </c>
      <c r="H75" s="42" t="n">
        <f aca="false">(datos_base!$H$12+datos_base!$H$26)*parametros_manuales!F$15</f>
        <v>96.512</v>
      </c>
      <c r="I75" s="42" t="n">
        <f aca="false">(datos_base!$H$12+datos_base!$H$26)*parametros_manuales!G$15</f>
        <v>90.48</v>
      </c>
      <c r="J75" s="42" t="n">
        <f aca="false">(datos_base!$H$12+datos_base!$H$26)*parametros_manuales!H$15</f>
        <v>96.512</v>
      </c>
      <c r="K75" s="42" t="n">
        <f aca="false">(datos_base!$H$12+datos_base!$H$26)*parametros_manuales!I$15</f>
        <v>96.512</v>
      </c>
      <c r="L75" s="42" t="n">
        <f aca="false">(datos_base!$H$12+datos_base!$H$26)*parametros_manuales!J$15</f>
        <v>96.512</v>
      </c>
      <c r="M75" s="42" t="n">
        <f aca="false">(datos_base!$H$12+datos_base!$H$26)*parametros_manuales!K$15</f>
        <v>90.48</v>
      </c>
      <c r="N75" s="42" t="n">
        <f aca="false">(datos_base!$H$12+datos_base!$H$26)*parametros_manuales!L$15</f>
        <v>84.448</v>
      </c>
      <c r="O75" s="42" t="n">
        <f aca="false">(datos_base!$H$12+datos_base!$H$26)*parametros_manuales!M$15</f>
        <v>132.704</v>
      </c>
      <c r="P75" s="9" t="n">
        <f aca="false">SUM(D75:O75)</f>
        <v>1206.4</v>
      </c>
    </row>
    <row r="76" customFormat="false" ht="14.25" hidden="false" customHeight="true" outlineLevel="0" collapsed="false">
      <c r="B76" s="10" t="s">
        <v>186</v>
      </c>
      <c r="D76" s="11" t="n">
        <f aca="false">SUM(D68:D75)</f>
        <v>19516.4339821</v>
      </c>
      <c r="E76" s="11" t="n">
        <f aca="false">SUM(E68:E75)</f>
        <v>14883.10826612</v>
      </c>
      <c r="F76" s="11" t="n">
        <f aca="false">SUM(F68:F75)</f>
        <v>13912.159513065</v>
      </c>
      <c r="G76" s="11" t="n">
        <f aca="false">SUM(G68:G75)</f>
        <v>13303.793746765</v>
      </c>
      <c r="H76" s="11" t="n">
        <f aca="false">SUM(H68:H75)</f>
        <v>12449.64520092</v>
      </c>
      <c r="I76" s="11" t="n">
        <f aca="false">SUM(I68:I75)</f>
        <v>12203.862421375</v>
      </c>
      <c r="J76" s="11" t="n">
        <f aca="false">SUM(J68:J75)</f>
        <v>13058.01096722</v>
      </c>
      <c r="K76" s="11" t="n">
        <f aca="false">SUM(K68:K75)</f>
        <v>13058.01096722</v>
      </c>
      <c r="L76" s="11" t="n">
        <f aca="false">SUM(L68:L75)</f>
        <v>13058.01096722</v>
      </c>
      <c r="M76" s="11" t="n">
        <f aca="false">SUM(M68:M75)</f>
        <v>12812.228187675</v>
      </c>
      <c r="N76" s="11" t="n">
        <f aca="false">SUM(N68:N75)</f>
        <v>12566.44540813</v>
      </c>
      <c r="O76" s="11" t="n">
        <f aca="false">SUM(O68:O75)</f>
        <v>20007.99954119</v>
      </c>
      <c r="P76" s="11" t="n">
        <f aca="false">SUM(P68:P75)</f>
        <v>170829.709169</v>
      </c>
    </row>
    <row r="77" customFormat="false" ht="14.25" hidden="false" customHeight="true" outlineLevel="0" collapsed="false"/>
    <row r="78" customFormat="false" ht="14.25" hidden="false" customHeight="true" outlineLevel="0" collapsed="false">
      <c r="A78" s="7" t="n">
        <v>2033</v>
      </c>
      <c r="B78" s="7" t="s">
        <v>181</v>
      </c>
      <c r="C78" s="7" t="s">
        <v>182</v>
      </c>
      <c r="D78" s="7" t="s">
        <v>61</v>
      </c>
      <c r="E78" s="7" t="s">
        <v>62</v>
      </c>
      <c r="F78" s="7" t="s">
        <v>63</v>
      </c>
      <c r="G78" s="7" t="s">
        <v>64</v>
      </c>
      <c r="H78" s="7" t="s">
        <v>65</v>
      </c>
      <c r="I78" s="7" t="s">
        <v>66</v>
      </c>
      <c r="J78" s="7" t="s">
        <v>67</v>
      </c>
      <c r="K78" s="7" t="s">
        <v>68</v>
      </c>
      <c r="L78" s="7" t="s">
        <v>69</v>
      </c>
      <c r="M78" s="7" t="s">
        <v>70</v>
      </c>
      <c r="N78" s="7" t="s">
        <v>71</v>
      </c>
      <c r="O78" s="7" t="s">
        <v>72</v>
      </c>
      <c r="P78" s="7" t="s">
        <v>183</v>
      </c>
    </row>
    <row r="79" customFormat="false" ht="14.25" hidden="false" customHeight="true" outlineLevel="0" collapsed="false">
      <c r="A79" s="41" t="n">
        <v>2033</v>
      </c>
      <c r="B79" s="8" t="s">
        <v>16</v>
      </c>
      <c r="C79" s="8" t="s">
        <v>184</v>
      </c>
      <c r="D79" s="42" t="n">
        <f aca="false">(datos_base!$I$2+datos_base!$I$18)*parametros_manuales!B$12</f>
        <v>3015.8494176</v>
      </c>
      <c r="E79" s="42" t="n">
        <f aca="false">(datos_base!$I$2+datos_base!$I$18)*parametros_manuales!C$12</f>
        <v>2261.8870632</v>
      </c>
      <c r="F79" s="42" t="n">
        <f aca="false">(datos_base!$I$2+datos_base!$I$18)*parametros_manuales!D$12</f>
        <v>2010.5662784</v>
      </c>
      <c r="G79" s="42" t="n">
        <f aca="false">(datos_base!$I$2+datos_base!$I$18)*parametros_manuales!E$12</f>
        <v>1884.905886</v>
      </c>
      <c r="H79" s="42" t="n">
        <f aca="false">(datos_base!$I$2+datos_base!$I$18)*parametros_manuales!F$12</f>
        <v>1759.2454936</v>
      </c>
      <c r="I79" s="42" t="n">
        <f aca="false">(datos_base!$I$2+datos_base!$I$18)*parametros_manuales!G$12</f>
        <v>1759.2454936</v>
      </c>
      <c r="J79" s="42" t="n">
        <f aca="false">(datos_base!$I$2+datos_base!$I$18)*parametros_manuales!H$12</f>
        <v>1884.905886</v>
      </c>
      <c r="K79" s="42" t="n">
        <f aca="false">(datos_base!$I$2+datos_base!$I$18)*parametros_manuales!I$12</f>
        <v>1884.905886</v>
      </c>
      <c r="L79" s="42" t="n">
        <f aca="false">(datos_base!$I$2+datos_base!$I$18)*parametros_manuales!J$12</f>
        <v>1884.905886</v>
      </c>
      <c r="M79" s="42" t="n">
        <f aca="false">(datos_base!$I$2+datos_base!$I$18)*parametros_manuales!K$12</f>
        <v>1884.905886</v>
      </c>
      <c r="N79" s="42" t="n">
        <f aca="false">(datos_base!$I$2+datos_base!$I$18)*parametros_manuales!L$12</f>
        <v>1884.905886</v>
      </c>
      <c r="O79" s="42" t="n">
        <f aca="false">(datos_base!$I$2+datos_base!$I$18)*parametros_manuales!M$12</f>
        <v>3015.8494176</v>
      </c>
      <c r="P79" s="9" t="n">
        <f aca="false">SUM(D79:O79)</f>
        <v>25132.07848</v>
      </c>
    </row>
    <row r="80" customFormat="false" ht="14.25" hidden="false" customHeight="true" outlineLevel="0" collapsed="false">
      <c r="A80" s="41" t="n">
        <v>2033</v>
      </c>
      <c r="B80" s="8" t="s">
        <v>17</v>
      </c>
      <c r="C80" s="8" t="s">
        <v>184</v>
      </c>
      <c r="D80" s="42" t="n">
        <f aca="false">(datos_base!$I$3+datos_base!$I$19)*parametros_manuales!B$13</f>
        <v>511.9786587</v>
      </c>
      <c r="E80" s="42" t="n">
        <f aca="false">(datos_base!$I$3+datos_base!$I$19)*parametros_manuales!C$13</f>
        <v>409.58292696</v>
      </c>
      <c r="F80" s="42" t="n">
        <f aca="false">(datos_base!$I$3+datos_base!$I$19)*parametros_manuales!D$13</f>
        <v>435.181859895</v>
      </c>
      <c r="G80" s="42" t="n">
        <f aca="false">(datos_base!$I$3+datos_base!$I$19)*parametros_manuales!E$13</f>
        <v>435.181859895</v>
      </c>
      <c r="H80" s="42" t="n">
        <f aca="false">(datos_base!$I$3+datos_base!$I$19)*parametros_manuales!F$13</f>
        <v>409.58292696</v>
      </c>
      <c r="I80" s="42" t="n">
        <f aca="false">(datos_base!$I$3+datos_base!$I$19)*parametros_manuales!G$13</f>
        <v>383.983994025</v>
      </c>
      <c r="J80" s="42" t="n">
        <f aca="false">(datos_base!$I$3+datos_base!$I$19)*parametros_manuales!H$13</f>
        <v>409.58292696</v>
      </c>
      <c r="K80" s="42" t="n">
        <f aca="false">(datos_base!$I$3+datos_base!$I$19)*parametros_manuales!I$13</f>
        <v>409.58292696</v>
      </c>
      <c r="L80" s="42" t="n">
        <f aca="false">(datos_base!$I$3+datos_base!$I$19)*parametros_manuales!J$13</f>
        <v>409.58292696</v>
      </c>
      <c r="M80" s="42" t="n">
        <f aca="false">(datos_base!$I$3+datos_base!$I$19)*parametros_manuales!K$13</f>
        <v>383.983994025</v>
      </c>
      <c r="N80" s="42" t="n">
        <f aca="false">(datos_base!$I$3+datos_base!$I$19)*parametros_manuales!L$13</f>
        <v>358.38506109</v>
      </c>
      <c r="O80" s="42" t="n">
        <f aca="false">(datos_base!$I$3+datos_base!$I$19)*parametros_manuales!M$13</f>
        <v>563.17652457</v>
      </c>
      <c r="P80" s="9" t="n">
        <f aca="false">SUM(D80:O80)</f>
        <v>5119.786587</v>
      </c>
    </row>
    <row r="81" customFormat="false" ht="14.25" hidden="false" customHeight="true" outlineLevel="0" collapsed="false">
      <c r="A81" s="41" t="n">
        <v>2033</v>
      </c>
      <c r="B81" s="8" t="s">
        <v>18</v>
      </c>
      <c r="C81" s="8" t="s">
        <v>184</v>
      </c>
      <c r="D81" s="42" t="n">
        <f aca="false">(datos_base!$I$4+datos_base!$I$20)*parametros_manuales!B$14</f>
        <v>2344.778637</v>
      </c>
      <c r="E81" s="42" t="n">
        <f aca="false">(datos_base!$I$4+datos_base!$I$20)*parametros_manuales!C$14</f>
        <v>1875.8229096</v>
      </c>
      <c r="F81" s="42" t="n">
        <f aca="false">(datos_base!$I$4+datos_base!$I$20)*parametros_manuales!D$14</f>
        <v>1993.06184145</v>
      </c>
      <c r="G81" s="42" t="n">
        <f aca="false">(datos_base!$I$4+datos_base!$I$20)*parametros_manuales!E$14</f>
        <v>1993.06184145</v>
      </c>
      <c r="H81" s="42" t="n">
        <f aca="false">(datos_base!$I$4+datos_base!$I$20)*parametros_manuales!F$14</f>
        <v>1875.8229096</v>
      </c>
      <c r="I81" s="42" t="n">
        <f aca="false">(datos_base!$I$4+datos_base!$I$20)*parametros_manuales!G$14</f>
        <v>1758.58397775</v>
      </c>
      <c r="J81" s="42" t="n">
        <f aca="false">(datos_base!$I$4+datos_base!$I$20)*parametros_manuales!H$14</f>
        <v>1875.8229096</v>
      </c>
      <c r="K81" s="42" t="n">
        <f aca="false">(datos_base!$I$4+datos_base!$I$20)*parametros_manuales!I$14</f>
        <v>1875.8229096</v>
      </c>
      <c r="L81" s="42" t="n">
        <f aca="false">(datos_base!$I$4+datos_base!$I$20)*parametros_manuales!J$14</f>
        <v>1875.8229096</v>
      </c>
      <c r="M81" s="42" t="n">
        <f aca="false">(datos_base!$I$4+datos_base!$I$20)*parametros_manuales!K$14</f>
        <v>1758.58397775</v>
      </c>
      <c r="N81" s="42" t="n">
        <f aca="false">(datos_base!$I$4+datos_base!$I$20)*parametros_manuales!L$14</f>
        <v>1641.3450459</v>
      </c>
      <c r="O81" s="42" t="n">
        <f aca="false">(datos_base!$I$4+datos_base!$I$20)*parametros_manuales!M$14</f>
        <v>2579.2565007</v>
      </c>
      <c r="P81" s="9" t="n">
        <f aca="false">SUM(D81:O81)</f>
        <v>23447.78637</v>
      </c>
    </row>
    <row r="82" customFormat="false" ht="14.25" hidden="false" customHeight="true" outlineLevel="0" collapsed="false">
      <c r="A82" s="41" t="n">
        <v>2033</v>
      </c>
      <c r="B82" s="8" t="s">
        <v>19</v>
      </c>
      <c r="C82" s="8" t="s">
        <v>184</v>
      </c>
      <c r="D82" s="42" t="n">
        <f aca="false">(datos_base!$I$5+datos_base!$I$21)*parametros_manuales!B$15</f>
        <v>140.2004812</v>
      </c>
      <c r="E82" s="42" t="n">
        <f aca="false">(datos_base!$I$5+datos_base!$I$21)*parametros_manuales!C$15</f>
        <v>112.16038496</v>
      </c>
      <c r="F82" s="42" t="n">
        <f aca="false">(datos_base!$I$5+datos_base!$I$21)*parametros_manuales!D$15</f>
        <v>119.17040902</v>
      </c>
      <c r="G82" s="42" t="n">
        <f aca="false">(datos_base!$I$5+datos_base!$I$21)*parametros_manuales!E$15</f>
        <v>119.17040902</v>
      </c>
      <c r="H82" s="42" t="n">
        <f aca="false">(datos_base!$I$5+datos_base!$I$21)*parametros_manuales!F$15</f>
        <v>112.16038496</v>
      </c>
      <c r="I82" s="42" t="n">
        <f aca="false">(datos_base!$I$5+datos_base!$I$21)*parametros_manuales!G$15</f>
        <v>105.1503609</v>
      </c>
      <c r="J82" s="42" t="n">
        <f aca="false">(datos_base!$I$5+datos_base!$I$21)*parametros_manuales!H$15</f>
        <v>112.16038496</v>
      </c>
      <c r="K82" s="42" t="n">
        <f aca="false">(datos_base!$I$5+datos_base!$I$21)*parametros_manuales!I$15</f>
        <v>112.16038496</v>
      </c>
      <c r="L82" s="42" t="n">
        <f aca="false">(datos_base!$I$5+datos_base!$I$21)*parametros_manuales!J$15</f>
        <v>112.16038496</v>
      </c>
      <c r="M82" s="42" t="n">
        <f aca="false">(datos_base!$I$5+datos_base!$I$21)*parametros_manuales!K$15</f>
        <v>105.1503609</v>
      </c>
      <c r="N82" s="42" t="n">
        <f aca="false">(datos_base!$I$5+datos_base!$I$21)*parametros_manuales!L$15</f>
        <v>98.14033684</v>
      </c>
      <c r="O82" s="42" t="n">
        <f aca="false">(datos_base!$I$5+datos_base!$I$21)*parametros_manuales!M$15</f>
        <v>154.22052932</v>
      </c>
      <c r="P82" s="9" t="n">
        <f aca="false">SUM(D82:O82)</f>
        <v>1402.004812</v>
      </c>
    </row>
    <row r="83" customFormat="false" ht="14.25" hidden="false" customHeight="true" outlineLevel="0" collapsed="false">
      <c r="A83" s="41" t="n">
        <v>2033</v>
      </c>
      <c r="B83" s="8" t="s">
        <v>22</v>
      </c>
      <c r="C83" s="8" t="s">
        <v>185</v>
      </c>
      <c r="D83" s="42" t="n">
        <f aca="false">(datos_base!$I$9+datos_base!$I$23)*parametros_manuales!B$12</f>
        <v>15720.12</v>
      </c>
      <c r="E83" s="42" t="n">
        <f aca="false">(datos_base!$I$9+datos_base!$I$23)*parametros_manuales!C$12</f>
        <v>11790.09</v>
      </c>
      <c r="F83" s="42" t="n">
        <f aca="false">(datos_base!$I$9+datos_base!$I$23)*parametros_manuales!D$12</f>
        <v>10480.08</v>
      </c>
      <c r="G83" s="42" t="n">
        <f aca="false">(datos_base!$I$9+datos_base!$I$23)*parametros_manuales!E$12</f>
        <v>9825.075</v>
      </c>
      <c r="H83" s="42" t="n">
        <f aca="false">(datos_base!$I$9+datos_base!$I$23)*parametros_manuales!F$12</f>
        <v>9170.07</v>
      </c>
      <c r="I83" s="42" t="n">
        <f aca="false">(datos_base!$I$9+datos_base!$I$23)*parametros_manuales!G$12</f>
        <v>9170.07</v>
      </c>
      <c r="J83" s="42" t="n">
        <f aca="false">(datos_base!$I$9+datos_base!$I$23)*parametros_manuales!H$12</f>
        <v>9825.075</v>
      </c>
      <c r="K83" s="42" t="n">
        <f aca="false">(datos_base!$I$9+datos_base!$I$23)*parametros_manuales!I$12</f>
        <v>9825.075</v>
      </c>
      <c r="L83" s="42" t="n">
        <f aca="false">(datos_base!$I$9+datos_base!$I$23)*parametros_manuales!J$12</f>
        <v>9825.075</v>
      </c>
      <c r="M83" s="42" t="n">
        <f aca="false">(datos_base!$I$9+datos_base!$I$23)*parametros_manuales!K$12</f>
        <v>9825.075</v>
      </c>
      <c r="N83" s="42" t="n">
        <f aca="false">(datos_base!$I$9+datos_base!$I$23)*parametros_manuales!L$12</f>
        <v>9825.075</v>
      </c>
      <c r="O83" s="42" t="n">
        <f aca="false">(datos_base!$I$9+datos_base!$I$23)*parametros_manuales!M$12</f>
        <v>15720.12</v>
      </c>
      <c r="P83" s="9" t="n">
        <f aca="false">SUM(D83:O83)</f>
        <v>131001</v>
      </c>
    </row>
    <row r="84" customFormat="false" ht="14.25" hidden="false" customHeight="true" outlineLevel="0" collapsed="false">
      <c r="A84" s="41" t="n">
        <v>2033</v>
      </c>
      <c r="B84" s="8" t="s">
        <v>23</v>
      </c>
      <c r="C84" s="8" t="s">
        <v>185</v>
      </c>
      <c r="D84" s="42" t="n">
        <f aca="false">(datos_base!$I$10+datos_base!$I$24)*parametros_manuales!B$13</f>
        <v>515.044</v>
      </c>
      <c r="E84" s="42" t="n">
        <f aca="false">(datos_base!$I$10+datos_base!$I$24)*parametros_manuales!C$13</f>
        <v>412.0352</v>
      </c>
      <c r="F84" s="42" t="n">
        <f aca="false">(datos_base!$I$10+datos_base!$I$24)*parametros_manuales!D$13</f>
        <v>437.7874</v>
      </c>
      <c r="G84" s="42" t="n">
        <f aca="false">(datos_base!$I$10+datos_base!$I$24)*parametros_manuales!E$13</f>
        <v>437.7874</v>
      </c>
      <c r="H84" s="42" t="n">
        <f aca="false">(datos_base!$I$10+datos_base!$I$24)*parametros_manuales!F$13</f>
        <v>412.0352</v>
      </c>
      <c r="I84" s="42" t="n">
        <f aca="false">(datos_base!$I$10+datos_base!$I$24)*parametros_manuales!G$13</f>
        <v>386.283</v>
      </c>
      <c r="J84" s="42" t="n">
        <f aca="false">(datos_base!$I$10+datos_base!$I$24)*parametros_manuales!H$13</f>
        <v>412.0352</v>
      </c>
      <c r="K84" s="42" t="n">
        <f aca="false">(datos_base!$I$10+datos_base!$I$24)*parametros_manuales!I$13</f>
        <v>412.0352</v>
      </c>
      <c r="L84" s="42" t="n">
        <f aca="false">(datos_base!$I$10+datos_base!$I$24)*parametros_manuales!J$13</f>
        <v>412.0352</v>
      </c>
      <c r="M84" s="42" t="n">
        <f aca="false">(datos_base!$I$10+datos_base!$I$24)*parametros_manuales!K$13</f>
        <v>386.283</v>
      </c>
      <c r="N84" s="42" t="n">
        <f aca="false">(datos_base!$I$10+datos_base!$I$24)*parametros_manuales!L$13</f>
        <v>360.5308</v>
      </c>
      <c r="O84" s="42" t="n">
        <f aca="false">(datos_base!$I$10+datos_base!$I$24)*parametros_manuales!M$13</f>
        <v>566.5484</v>
      </c>
      <c r="P84" s="9" t="n">
        <f aca="false">SUM(D84:O84)</f>
        <v>5150.44</v>
      </c>
    </row>
    <row r="85" customFormat="false" ht="14.25" hidden="false" customHeight="true" outlineLevel="0" collapsed="false">
      <c r="A85" s="41" t="n">
        <v>2033</v>
      </c>
      <c r="B85" s="8" t="s">
        <v>24</v>
      </c>
      <c r="C85" s="8" t="s">
        <v>185</v>
      </c>
      <c r="D85" s="42" t="n">
        <f aca="false">(datos_base!$I$11+datos_base!$I$25)*parametros_manuales!B$14</f>
        <v>2542.424</v>
      </c>
      <c r="E85" s="42" t="n">
        <f aca="false">(datos_base!$I$11+datos_base!$I$25)*parametros_manuales!C$14</f>
        <v>2033.9392</v>
      </c>
      <c r="F85" s="42" t="n">
        <f aca="false">(datos_base!$I$11+datos_base!$I$25)*parametros_manuales!D$14</f>
        <v>2161.0604</v>
      </c>
      <c r="G85" s="42" t="n">
        <f aca="false">(datos_base!$I$11+datos_base!$I$25)*parametros_manuales!E$14</f>
        <v>2161.0604</v>
      </c>
      <c r="H85" s="42" t="n">
        <f aca="false">(datos_base!$I$11+datos_base!$I$25)*parametros_manuales!F$14</f>
        <v>2033.9392</v>
      </c>
      <c r="I85" s="42" t="n">
        <f aca="false">(datos_base!$I$11+datos_base!$I$25)*parametros_manuales!G$14</f>
        <v>1906.818</v>
      </c>
      <c r="J85" s="42" t="n">
        <f aca="false">(datos_base!$I$11+datos_base!$I$25)*parametros_manuales!H$14</f>
        <v>2033.9392</v>
      </c>
      <c r="K85" s="42" t="n">
        <f aca="false">(datos_base!$I$11+datos_base!$I$25)*parametros_manuales!I$14</f>
        <v>2033.9392</v>
      </c>
      <c r="L85" s="42" t="n">
        <f aca="false">(datos_base!$I$11+datos_base!$I$25)*parametros_manuales!J$14</f>
        <v>2033.9392</v>
      </c>
      <c r="M85" s="42" t="n">
        <f aca="false">(datos_base!$I$11+datos_base!$I$25)*parametros_manuales!K$14</f>
        <v>1906.818</v>
      </c>
      <c r="N85" s="42" t="n">
        <f aca="false">(datos_base!$I$11+datos_base!$I$25)*parametros_manuales!L$14</f>
        <v>1779.6968</v>
      </c>
      <c r="O85" s="42" t="n">
        <f aca="false">(datos_base!$I$11+datos_base!$I$25)*parametros_manuales!M$14</f>
        <v>2796.6664</v>
      </c>
      <c r="P85" s="9" t="n">
        <f aca="false">SUM(D85:O85)</f>
        <v>25424.24</v>
      </c>
    </row>
    <row r="86" customFormat="false" ht="14.25" hidden="false" customHeight="true" outlineLevel="0" collapsed="false">
      <c r="A86" s="41" t="n">
        <v>2033</v>
      </c>
      <c r="B86" s="8" t="s">
        <v>25</v>
      </c>
      <c r="C86" s="8" t="s">
        <v>185</v>
      </c>
      <c r="D86" s="42" t="n">
        <f aca="false">(datos_base!$I$12+datos_base!$I$26)*parametros_manuales!B$15</f>
        <v>155.556</v>
      </c>
      <c r="E86" s="42" t="n">
        <f aca="false">(datos_base!$I$12+datos_base!$I$26)*parametros_manuales!C$15</f>
        <v>124.4448</v>
      </c>
      <c r="F86" s="42" t="n">
        <f aca="false">(datos_base!$I$12+datos_base!$I$26)*parametros_manuales!D$15</f>
        <v>132.2226</v>
      </c>
      <c r="G86" s="42" t="n">
        <f aca="false">(datos_base!$I$12+datos_base!$I$26)*parametros_manuales!E$15</f>
        <v>132.2226</v>
      </c>
      <c r="H86" s="42" t="n">
        <f aca="false">(datos_base!$I$12+datos_base!$I$26)*parametros_manuales!F$15</f>
        <v>124.4448</v>
      </c>
      <c r="I86" s="42" t="n">
        <f aca="false">(datos_base!$I$12+datos_base!$I$26)*parametros_manuales!G$15</f>
        <v>116.667</v>
      </c>
      <c r="J86" s="42" t="n">
        <f aca="false">(datos_base!$I$12+datos_base!$I$26)*parametros_manuales!H$15</f>
        <v>124.4448</v>
      </c>
      <c r="K86" s="42" t="n">
        <f aca="false">(datos_base!$I$12+datos_base!$I$26)*parametros_manuales!I$15</f>
        <v>124.4448</v>
      </c>
      <c r="L86" s="42" t="n">
        <f aca="false">(datos_base!$I$12+datos_base!$I$26)*parametros_manuales!J$15</f>
        <v>124.4448</v>
      </c>
      <c r="M86" s="42" t="n">
        <f aca="false">(datos_base!$I$12+datos_base!$I$26)*parametros_manuales!K$15</f>
        <v>116.667</v>
      </c>
      <c r="N86" s="42" t="n">
        <f aca="false">(datos_base!$I$12+datos_base!$I$26)*parametros_manuales!L$15</f>
        <v>108.8892</v>
      </c>
      <c r="O86" s="42" t="n">
        <f aca="false">(datos_base!$I$12+datos_base!$I$26)*parametros_manuales!M$15</f>
        <v>171.1116</v>
      </c>
      <c r="P86" s="9" t="n">
        <f aca="false">SUM(D86:O86)</f>
        <v>1555.56</v>
      </c>
    </row>
    <row r="87" customFormat="false" ht="14.25" hidden="false" customHeight="true" outlineLevel="0" collapsed="false">
      <c r="B87" s="10" t="s">
        <v>186</v>
      </c>
      <c r="D87" s="11" t="n">
        <f aca="false">SUM(D79:D86)</f>
        <v>24945.9511945</v>
      </c>
      <c r="E87" s="11" t="n">
        <f aca="false">SUM(E79:E86)</f>
        <v>19019.96248472</v>
      </c>
      <c r="F87" s="11" t="n">
        <f aca="false">SUM(F79:F86)</f>
        <v>17769.130788765</v>
      </c>
      <c r="G87" s="11" t="n">
        <f aca="false">SUM(G79:G86)</f>
        <v>16988.465396365</v>
      </c>
      <c r="H87" s="11" t="n">
        <f aca="false">SUM(H79:H86)</f>
        <v>15897.30091512</v>
      </c>
      <c r="I87" s="11" t="n">
        <f aca="false">SUM(I79:I86)</f>
        <v>15586.801826275</v>
      </c>
      <c r="J87" s="11" t="n">
        <f aca="false">SUM(J79:J86)</f>
        <v>16677.96630752</v>
      </c>
      <c r="K87" s="11" t="n">
        <f aca="false">SUM(K79:K86)</f>
        <v>16677.96630752</v>
      </c>
      <c r="L87" s="11" t="n">
        <f aca="false">SUM(L79:L86)</f>
        <v>16677.96630752</v>
      </c>
      <c r="M87" s="11" t="n">
        <f aca="false">SUM(M79:M86)</f>
        <v>16367.467218675</v>
      </c>
      <c r="N87" s="11" t="n">
        <f aca="false">SUM(N79:N86)</f>
        <v>16056.96812983</v>
      </c>
      <c r="O87" s="11" t="n">
        <f aca="false">SUM(O79:O86)</f>
        <v>25566.94937219</v>
      </c>
      <c r="P87" s="11" t="n">
        <f aca="false">SUM(P79:P86)</f>
        <v>218232.896249</v>
      </c>
    </row>
    <row r="88" customFormat="false" ht="14.25" hidden="false" customHeight="true" outlineLevel="0" collapsed="false"/>
    <row r="89" customFormat="false" ht="14.25" hidden="false" customHeight="true" outlineLevel="0" collapsed="false">
      <c r="A89" s="7" t="n">
        <v>2034</v>
      </c>
      <c r="B89" s="7" t="s">
        <v>181</v>
      </c>
      <c r="C89" s="7" t="s">
        <v>182</v>
      </c>
      <c r="D89" s="7" t="s">
        <v>61</v>
      </c>
      <c r="E89" s="7" t="s">
        <v>62</v>
      </c>
      <c r="F89" s="7" t="s">
        <v>63</v>
      </c>
      <c r="G89" s="7" t="s">
        <v>64</v>
      </c>
      <c r="H89" s="7" t="s">
        <v>65</v>
      </c>
      <c r="I89" s="7" t="s">
        <v>66</v>
      </c>
      <c r="J89" s="7" t="s">
        <v>67</v>
      </c>
      <c r="K89" s="7" t="s">
        <v>68</v>
      </c>
      <c r="L89" s="7" t="s">
        <v>69</v>
      </c>
      <c r="M89" s="7" t="s">
        <v>70</v>
      </c>
      <c r="N89" s="7" t="s">
        <v>71</v>
      </c>
      <c r="O89" s="7" t="s">
        <v>72</v>
      </c>
      <c r="P89" s="7" t="s">
        <v>183</v>
      </c>
    </row>
    <row r="90" customFormat="false" ht="14.25" hidden="false" customHeight="true" outlineLevel="0" collapsed="false">
      <c r="A90" s="41" t="n">
        <v>2034</v>
      </c>
      <c r="B90" s="8" t="s">
        <v>16</v>
      </c>
      <c r="C90" s="8" t="s">
        <v>184</v>
      </c>
      <c r="D90" s="42" t="n">
        <f aca="false">(datos_base!$J$2+datos_base!$J$18)*parametros_manuales!B$12</f>
        <v>3428.8003368</v>
      </c>
      <c r="E90" s="42" t="n">
        <f aca="false">(datos_base!$J$2+datos_base!$J$18)*parametros_manuales!C$12</f>
        <v>2571.6002526</v>
      </c>
      <c r="F90" s="42" t="n">
        <f aca="false">(datos_base!$J$2+datos_base!$J$18)*parametros_manuales!D$12</f>
        <v>2285.8668912</v>
      </c>
      <c r="G90" s="42" t="n">
        <f aca="false">(datos_base!$J$2+datos_base!$J$18)*parametros_manuales!E$12</f>
        <v>2143.0002105</v>
      </c>
      <c r="H90" s="42" t="n">
        <f aca="false">(datos_base!$J$2+datos_base!$J$18)*parametros_manuales!F$12</f>
        <v>2000.1335298</v>
      </c>
      <c r="I90" s="42" t="n">
        <f aca="false">(datos_base!$J$2+datos_base!$J$18)*parametros_manuales!G$12</f>
        <v>2000.1335298</v>
      </c>
      <c r="J90" s="42" t="n">
        <f aca="false">(datos_base!$J$2+datos_base!$J$18)*parametros_manuales!H$12</f>
        <v>2143.0002105</v>
      </c>
      <c r="K90" s="42" t="n">
        <f aca="false">(datos_base!$J$2+datos_base!$J$18)*parametros_manuales!I$12</f>
        <v>2143.0002105</v>
      </c>
      <c r="L90" s="42" t="n">
        <f aca="false">(datos_base!$J$2+datos_base!$J$18)*parametros_manuales!J$12</f>
        <v>2143.0002105</v>
      </c>
      <c r="M90" s="42" t="n">
        <f aca="false">(datos_base!$J$2+datos_base!$J$18)*parametros_manuales!K$12</f>
        <v>2143.0002105</v>
      </c>
      <c r="N90" s="42" t="n">
        <f aca="false">(datos_base!$J$2+datos_base!$J$18)*parametros_manuales!L$12</f>
        <v>2143.0002105</v>
      </c>
      <c r="O90" s="42" t="n">
        <f aca="false">(datos_base!$J$2+datos_base!$J$18)*parametros_manuales!M$12</f>
        <v>3428.8003368</v>
      </c>
      <c r="P90" s="9" t="n">
        <f aca="false">SUM(D90:O90)</f>
        <v>28573.33614</v>
      </c>
    </row>
    <row r="91" customFormat="false" ht="14.25" hidden="false" customHeight="true" outlineLevel="0" collapsed="false">
      <c r="A91" s="41" t="n">
        <v>2034</v>
      </c>
      <c r="B91" s="8" t="s">
        <v>17</v>
      </c>
      <c r="C91" s="8" t="s">
        <v>184</v>
      </c>
      <c r="D91" s="42" t="n">
        <f aca="false">(datos_base!$J$3+datos_base!$J$19)*parametros_manuales!B$13</f>
        <v>620.9386243</v>
      </c>
      <c r="E91" s="42" t="n">
        <f aca="false">(datos_base!$J$3+datos_base!$J$19)*parametros_manuales!C$13</f>
        <v>496.75089944</v>
      </c>
      <c r="F91" s="42" t="n">
        <f aca="false">(datos_base!$J$3+datos_base!$J$19)*parametros_manuales!D$13</f>
        <v>527.797830655</v>
      </c>
      <c r="G91" s="42" t="n">
        <f aca="false">(datos_base!$J$3+datos_base!$J$19)*parametros_manuales!E$13</f>
        <v>527.797830655</v>
      </c>
      <c r="H91" s="42" t="n">
        <f aca="false">(datos_base!$J$3+datos_base!$J$19)*parametros_manuales!F$13</f>
        <v>496.75089944</v>
      </c>
      <c r="I91" s="42" t="n">
        <f aca="false">(datos_base!$J$3+datos_base!$J$19)*parametros_manuales!G$13</f>
        <v>465.703968225</v>
      </c>
      <c r="J91" s="42" t="n">
        <f aca="false">(datos_base!$J$3+datos_base!$J$19)*parametros_manuales!H$13</f>
        <v>496.75089944</v>
      </c>
      <c r="K91" s="42" t="n">
        <f aca="false">(datos_base!$J$3+datos_base!$J$19)*parametros_manuales!I$13</f>
        <v>496.75089944</v>
      </c>
      <c r="L91" s="42" t="n">
        <f aca="false">(datos_base!$J$3+datos_base!$J$19)*parametros_manuales!J$13</f>
        <v>496.75089944</v>
      </c>
      <c r="M91" s="42" t="n">
        <f aca="false">(datos_base!$J$3+datos_base!$J$19)*parametros_manuales!K$13</f>
        <v>465.703968225</v>
      </c>
      <c r="N91" s="42" t="n">
        <f aca="false">(datos_base!$J$3+datos_base!$J$19)*parametros_manuales!L$13</f>
        <v>434.65703701</v>
      </c>
      <c r="O91" s="42" t="n">
        <f aca="false">(datos_base!$J$3+datos_base!$J$19)*parametros_manuales!M$13</f>
        <v>683.03248673</v>
      </c>
      <c r="P91" s="9" t="n">
        <f aca="false">SUM(D91:O91)</f>
        <v>6209.386243</v>
      </c>
    </row>
    <row r="92" customFormat="false" ht="14.25" hidden="false" customHeight="true" outlineLevel="0" collapsed="false">
      <c r="A92" s="41" t="n">
        <v>2034</v>
      </c>
      <c r="B92" s="8" t="s">
        <v>18</v>
      </c>
      <c r="C92" s="8" t="s">
        <v>184</v>
      </c>
      <c r="D92" s="42" t="n">
        <f aca="false">(datos_base!$J$4+datos_base!$J$20)*parametros_manuales!B$14</f>
        <v>2704.100455</v>
      </c>
      <c r="E92" s="42" t="n">
        <f aca="false">(datos_base!$J$4+datos_base!$J$20)*parametros_manuales!C$14</f>
        <v>2163.280364</v>
      </c>
      <c r="F92" s="42" t="n">
        <f aca="false">(datos_base!$J$4+datos_base!$J$20)*parametros_manuales!D$14</f>
        <v>2298.48538675</v>
      </c>
      <c r="G92" s="42" t="n">
        <f aca="false">(datos_base!$J$4+datos_base!$J$20)*parametros_manuales!E$14</f>
        <v>2298.48538675</v>
      </c>
      <c r="H92" s="42" t="n">
        <f aca="false">(datos_base!$J$4+datos_base!$J$20)*parametros_manuales!F$14</f>
        <v>2163.280364</v>
      </c>
      <c r="I92" s="42" t="n">
        <f aca="false">(datos_base!$J$4+datos_base!$J$20)*parametros_manuales!G$14</f>
        <v>2028.07534125</v>
      </c>
      <c r="J92" s="42" t="n">
        <f aca="false">(datos_base!$J$4+datos_base!$J$20)*parametros_manuales!H$14</f>
        <v>2163.280364</v>
      </c>
      <c r="K92" s="42" t="n">
        <f aca="false">(datos_base!$J$4+datos_base!$J$20)*parametros_manuales!I$14</f>
        <v>2163.280364</v>
      </c>
      <c r="L92" s="42" t="n">
        <f aca="false">(datos_base!$J$4+datos_base!$J$20)*parametros_manuales!J$14</f>
        <v>2163.280364</v>
      </c>
      <c r="M92" s="42" t="n">
        <f aca="false">(datos_base!$J$4+datos_base!$J$20)*parametros_manuales!K$14</f>
        <v>2028.07534125</v>
      </c>
      <c r="N92" s="42" t="n">
        <f aca="false">(datos_base!$J$4+datos_base!$J$20)*parametros_manuales!L$14</f>
        <v>1892.8703185</v>
      </c>
      <c r="O92" s="42" t="n">
        <f aca="false">(datos_base!$J$4+datos_base!$J$20)*parametros_manuales!M$14</f>
        <v>2974.5105005</v>
      </c>
      <c r="P92" s="9" t="n">
        <f aca="false">SUM(D92:O92)</f>
        <v>27041.00455</v>
      </c>
    </row>
    <row r="93" customFormat="false" ht="14.25" hidden="false" customHeight="true" outlineLevel="0" collapsed="false">
      <c r="A93" s="41" t="n">
        <v>2034</v>
      </c>
      <c r="B93" s="8" t="s">
        <v>19</v>
      </c>
      <c r="C93" s="8" t="s">
        <v>184</v>
      </c>
      <c r="D93" s="42" t="n">
        <f aca="false">(datos_base!$J$5+datos_base!$J$21)*parametros_manuales!B$15</f>
        <v>161.7230054</v>
      </c>
      <c r="E93" s="42" t="n">
        <f aca="false">(datos_base!$J$5+datos_base!$J$21)*parametros_manuales!C$15</f>
        <v>129.37840432</v>
      </c>
      <c r="F93" s="42" t="n">
        <f aca="false">(datos_base!$J$5+datos_base!$J$21)*parametros_manuales!D$15</f>
        <v>137.46455459</v>
      </c>
      <c r="G93" s="42" t="n">
        <f aca="false">(datos_base!$J$5+datos_base!$J$21)*parametros_manuales!E$15</f>
        <v>137.46455459</v>
      </c>
      <c r="H93" s="42" t="n">
        <f aca="false">(datos_base!$J$5+datos_base!$J$21)*parametros_manuales!F$15</f>
        <v>129.37840432</v>
      </c>
      <c r="I93" s="42" t="n">
        <f aca="false">(datos_base!$J$5+datos_base!$J$21)*parametros_manuales!G$15</f>
        <v>121.29225405</v>
      </c>
      <c r="J93" s="42" t="n">
        <f aca="false">(datos_base!$J$5+datos_base!$J$21)*parametros_manuales!H$15</f>
        <v>129.37840432</v>
      </c>
      <c r="K93" s="42" t="n">
        <f aca="false">(datos_base!$J$5+datos_base!$J$21)*parametros_manuales!I$15</f>
        <v>129.37840432</v>
      </c>
      <c r="L93" s="42" t="n">
        <f aca="false">(datos_base!$J$5+datos_base!$J$21)*parametros_manuales!J$15</f>
        <v>129.37840432</v>
      </c>
      <c r="M93" s="42" t="n">
        <f aca="false">(datos_base!$J$5+datos_base!$J$21)*parametros_manuales!K$15</f>
        <v>121.29225405</v>
      </c>
      <c r="N93" s="42" t="n">
        <f aca="false">(datos_base!$J$5+datos_base!$J$21)*parametros_manuales!L$15</f>
        <v>113.20610378</v>
      </c>
      <c r="O93" s="42" t="n">
        <f aca="false">(datos_base!$J$5+datos_base!$J$21)*parametros_manuales!M$15</f>
        <v>177.89530594</v>
      </c>
      <c r="P93" s="9" t="n">
        <f aca="false">SUM(D93:O93)</f>
        <v>1617.230054</v>
      </c>
    </row>
    <row r="94" customFormat="false" ht="14.25" hidden="false" customHeight="true" outlineLevel="0" collapsed="false">
      <c r="A94" s="41" t="n">
        <v>2034</v>
      </c>
      <c r="B94" s="8" t="s">
        <v>22</v>
      </c>
      <c r="C94" s="8" t="s">
        <v>185</v>
      </c>
      <c r="D94" s="42" t="n">
        <f aca="false">(datos_base!$J$9+datos_base!$J$23)*parametros_manuales!B$12</f>
        <v>17618.376</v>
      </c>
      <c r="E94" s="42" t="n">
        <f aca="false">(datos_base!$J$9+datos_base!$J$23)*parametros_manuales!C$12</f>
        <v>13213.782</v>
      </c>
      <c r="F94" s="42" t="n">
        <f aca="false">(datos_base!$J$9+datos_base!$J$23)*parametros_manuales!D$12</f>
        <v>11745.584</v>
      </c>
      <c r="G94" s="42" t="n">
        <f aca="false">(datos_base!$J$9+datos_base!$J$23)*parametros_manuales!E$12</f>
        <v>11011.485</v>
      </c>
      <c r="H94" s="42" t="n">
        <f aca="false">(datos_base!$J$9+datos_base!$J$23)*parametros_manuales!F$12</f>
        <v>10277.386</v>
      </c>
      <c r="I94" s="42" t="n">
        <f aca="false">(datos_base!$J$9+datos_base!$J$23)*parametros_manuales!G$12</f>
        <v>10277.386</v>
      </c>
      <c r="J94" s="42" t="n">
        <f aca="false">(datos_base!$J$9+datos_base!$J$23)*parametros_manuales!H$12</f>
        <v>11011.485</v>
      </c>
      <c r="K94" s="42" t="n">
        <f aca="false">(datos_base!$J$9+datos_base!$J$23)*parametros_manuales!I$12</f>
        <v>11011.485</v>
      </c>
      <c r="L94" s="42" t="n">
        <f aca="false">(datos_base!$J$9+datos_base!$J$23)*parametros_manuales!J$12</f>
        <v>11011.485</v>
      </c>
      <c r="M94" s="42" t="n">
        <f aca="false">(datos_base!$J$9+datos_base!$J$23)*parametros_manuales!K$12</f>
        <v>11011.485</v>
      </c>
      <c r="N94" s="42" t="n">
        <f aca="false">(datos_base!$J$9+datos_base!$J$23)*parametros_manuales!L$12</f>
        <v>11011.485</v>
      </c>
      <c r="O94" s="42" t="n">
        <f aca="false">(datos_base!$J$9+datos_base!$J$23)*parametros_manuales!M$12</f>
        <v>17618.376</v>
      </c>
      <c r="P94" s="9" t="n">
        <f aca="false">SUM(D94:O94)</f>
        <v>146819.8</v>
      </c>
    </row>
    <row r="95" customFormat="false" ht="14.25" hidden="false" customHeight="true" outlineLevel="0" collapsed="false">
      <c r="A95" s="41" t="n">
        <v>2034</v>
      </c>
      <c r="B95" s="8" t="s">
        <v>23</v>
      </c>
      <c r="C95" s="8" t="s">
        <v>185</v>
      </c>
      <c r="D95" s="42" t="n">
        <f aca="false">(datos_base!$J$10+datos_base!$J$24)*parametros_manuales!B$13</f>
        <v>576.712</v>
      </c>
      <c r="E95" s="42" t="n">
        <f aca="false">(datos_base!$J$10+datos_base!$J$24)*parametros_manuales!C$13</f>
        <v>461.3696</v>
      </c>
      <c r="F95" s="42" t="n">
        <f aca="false">(datos_base!$J$10+datos_base!$J$24)*parametros_manuales!D$13</f>
        <v>490.2052</v>
      </c>
      <c r="G95" s="42" t="n">
        <f aca="false">(datos_base!$J$10+datos_base!$J$24)*parametros_manuales!E$13</f>
        <v>490.2052</v>
      </c>
      <c r="H95" s="42" t="n">
        <f aca="false">(datos_base!$J$10+datos_base!$J$24)*parametros_manuales!F$13</f>
        <v>461.3696</v>
      </c>
      <c r="I95" s="42" t="n">
        <f aca="false">(datos_base!$J$10+datos_base!$J$24)*parametros_manuales!G$13</f>
        <v>432.534</v>
      </c>
      <c r="J95" s="42" t="n">
        <f aca="false">(datos_base!$J$10+datos_base!$J$24)*parametros_manuales!H$13</f>
        <v>461.3696</v>
      </c>
      <c r="K95" s="42" t="n">
        <f aca="false">(datos_base!$J$10+datos_base!$J$24)*parametros_manuales!I$13</f>
        <v>461.3696</v>
      </c>
      <c r="L95" s="42" t="n">
        <f aca="false">(datos_base!$J$10+datos_base!$J$24)*parametros_manuales!J$13</f>
        <v>461.3696</v>
      </c>
      <c r="M95" s="42" t="n">
        <f aca="false">(datos_base!$J$10+datos_base!$J$24)*parametros_manuales!K$13</f>
        <v>432.534</v>
      </c>
      <c r="N95" s="42" t="n">
        <f aca="false">(datos_base!$J$10+datos_base!$J$24)*parametros_manuales!L$13</f>
        <v>403.6984</v>
      </c>
      <c r="O95" s="42" t="n">
        <f aca="false">(datos_base!$J$10+datos_base!$J$24)*parametros_manuales!M$13</f>
        <v>634.3832</v>
      </c>
      <c r="P95" s="9" t="n">
        <f aca="false">SUM(D95:O95)</f>
        <v>5767.12</v>
      </c>
    </row>
    <row r="96" customFormat="false" ht="14.25" hidden="false" customHeight="true" outlineLevel="0" collapsed="false">
      <c r="A96" s="41" t="n">
        <v>2034</v>
      </c>
      <c r="B96" s="8" t="s">
        <v>24</v>
      </c>
      <c r="C96" s="8" t="s">
        <v>185</v>
      </c>
      <c r="D96" s="42" t="n">
        <f aca="false">(datos_base!$J$11+datos_base!$J$25)*parametros_manuales!B$14</f>
        <v>2846.852</v>
      </c>
      <c r="E96" s="42" t="n">
        <f aca="false">(datos_base!$J$11+datos_base!$J$25)*parametros_manuales!C$14</f>
        <v>2277.4816</v>
      </c>
      <c r="F96" s="42" t="n">
        <f aca="false">(datos_base!$J$11+datos_base!$J$25)*parametros_manuales!D$14</f>
        <v>2419.8242</v>
      </c>
      <c r="G96" s="42" t="n">
        <f aca="false">(datos_base!$J$11+datos_base!$J$25)*parametros_manuales!E$14</f>
        <v>2419.8242</v>
      </c>
      <c r="H96" s="42" t="n">
        <f aca="false">(datos_base!$J$11+datos_base!$J$25)*parametros_manuales!F$14</f>
        <v>2277.4816</v>
      </c>
      <c r="I96" s="42" t="n">
        <f aca="false">(datos_base!$J$11+datos_base!$J$25)*parametros_manuales!G$14</f>
        <v>2135.139</v>
      </c>
      <c r="J96" s="42" t="n">
        <f aca="false">(datos_base!$J$11+datos_base!$J$25)*parametros_manuales!H$14</f>
        <v>2277.4816</v>
      </c>
      <c r="K96" s="42" t="n">
        <f aca="false">(datos_base!$J$11+datos_base!$J$25)*parametros_manuales!I$14</f>
        <v>2277.4816</v>
      </c>
      <c r="L96" s="42" t="n">
        <f aca="false">(datos_base!$J$11+datos_base!$J$25)*parametros_manuales!J$14</f>
        <v>2277.4816</v>
      </c>
      <c r="M96" s="42" t="n">
        <f aca="false">(datos_base!$J$11+datos_base!$J$25)*parametros_manuales!K$14</f>
        <v>2135.139</v>
      </c>
      <c r="N96" s="42" t="n">
        <f aca="false">(datos_base!$J$11+datos_base!$J$25)*parametros_manuales!L$14</f>
        <v>1992.7964</v>
      </c>
      <c r="O96" s="42" t="n">
        <f aca="false">(datos_base!$J$11+datos_base!$J$25)*parametros_manuales!M$14</f>
        <v>3131.5372</v>
      </c>
      <c r="P96" s="9" t="n">
        <f aca="false">SUM(D96:O96)</f>
        <v>28468.52</v>
      </c>
    </row>
    <row r="97" customFormat="false" ht="14.25" hidden="false" customHeight="true" outlineLevel="0" collapsed="false">
      <c r="A97" s="41" t="n">
        <v>2034</v>
      </c>
      <c r="B97" s="8" t="s">
        <v>25</v>
      </c>
      <c r="C97" s="8" t="s">
        <v>185</v>
      </c>
      <c r="D97" s="42" t="n">
        <f aca="false">(datos_base!$J$12+datos_base!$J$26)*parametros_manuales!B$15</f>
        <v>174.144</v>
      </c>
      <c r="E97" s="42" t="n">
        <f aca="false">(datos_base!$J$12+datos_base!$J$26)*parametros_manuales!C$15</f>
        <v>139.3152</v>
      </c>
      <c r="F97" s="42" t="n">
        <f aca="false">(datos_base!$J$12+datos_base!$J$26)*parametros_manuales!D$15</f>
        <v>148.0224</v>
      </c>
      <c r="G97" s="42" t="n">
        <f aca="false">(datos_base!$J$12+datos_base!$J$26)*parametros_manuales!E$15</f>
        <v>148.0224</v>
      </c>
      <c r="H97" s="42" t="n">
        <f aca="false">(datos_base!$J$12+datos_base!$J$26)*parametros_manuales!F$15</f>
        <v>139.3152</v>
      </c>
      <c r="I97" s="42" t="n">
        <f aca="false">(datos_base!$J$12+datos_base!$J$26)*parametros_manuales!G$15</f>
        <v>130.608</v>
      </c>
      <c r="J97" s="42" t="n">
        <f aca="false">(datos_base!$J$12+datos_base!$J$26)*parametros_manuales!H$15</f>
        <v>139.3152</v>
      </c>
      <c r="K97" s="42" t="n">
        <f aca="false">(datos_base!$J$12+datos_base!$J$26)*parametros_manuales!I$15</f>
        <v>139.3152</v>
      </c>
      <c r="L97" s="42" t="n">
        <f aca="false">(datos_base!$J$12+datos_base!$J$26)*parametros_manuales!J$15</f>
        <v>139.3152</v>
      </c>
      <c r="M97" s="42" t="n">
        <f aca="false">(datos_base!$J$12+datos_base!$J$26)*parametros_manuales!K$15</f>
        <v>130.608</v>
      </c>
      <c r="N97" s="42" t="n">
        <f aca="false">(datos_base!$J$12+datos_base!$J$26)*parametros_manuales!L$15</f>
        <v>121.9008</v>
      </c>
      <c r="O97" s="42" t="n">
        <f aca="false">(datos_base!$J$12+datos_base!$J$26)*parametros_manuales!M$15</f>
        <v>191.5584</v>
      </c>
      <c r="P97" s="9" t="n">
        <f aca="false">SUM(D97:O97)</f>
        <v>1741.44</v>
      </c>
    </row>
    <row r="98" customFormat="false" ht="14.25" hidden="false" customHeight="true" outlineLevel="0" collapsed="false">
      <c r="B98" s="10" t="s">
        <v>186</v>
      </c>
      <c r="D98" s="11" t="n">
        <f aca="false">SUM(D90:D97)</f>
        <v>28131.6464215</v>
      </c>
      <c r="E98" s="11" t="n">
        <f aca="false">SUM(E90:E97)</f>
        <v>21452.95832036</v>
      </c>
      <c r="F98" s="11" t="n">
        <f aca="false">SUM(F90:F97)</f>
        <v>20053.250463195</v>
      </c>
      <c r="G98" s="11" t="n">
        <f aca="false">SUM(G90:G97)</f>
        <v>19176.284782495</v>
      </c>
      <c r="H98" s="11" t="n">
        <f aca="false">SUM(H90:H97)</f>
        <v>17945.09559756</v>
      </c>
      <c r="I98" s="11" t="n">
        <f aca="false">SUM(I90:I97)</f>
        <v>17590.872093325</v>
      </c>
      <c r="J98" s="11" t="n">
        <f aca="false">SUM(J90:J97)</f>
        <v>18822.06127826</v>
      </c>
      <c r="K98" s="11" t="n">
        <f aca="false">SUM(K90:K97)</f>
        <v>18822.06127826</v>
      </c>
      <c r="L98" s="11" t="n">
        <f aca="false">SUM(L90:L97)</f>
        <v>18822.06127826</v>
      </c>
      <c r="M98" s="11" t="n">
        <f aca="false">SUM(M90:M97)</f>
        <v>18467.837774025</v>
      </c>
      <c r="N98" s="11" t="n">
        <f aca="false">SUM(N90:N97)</f>
        <v>18113.61426979</v>
      </c>
      <c r="O98" s="11" t="n">
        <f aca="false">SUM(O90:O97)</f>
        <v>28840.09342997</v>
      </c>
      <c r="P98" s="11" t="n">
        <f aca="false">SUM(P90:P97)</f>
        <v>246237.836987</v>
      </c>
    </row>
    <row r="99" customFormat="false" ht="14.25" hidden="false" customHeight="true" outlineLevel="0" collapsed="false"/>
    <row r="100" customFormat="false" ht="14.25" hidden="false" customHeight="true" outlineLevel="0" collapsed="false">
      <c r="A100" s="7" t="n">
        <v>2035</v>
      </c>
      <c r="B100" s="7" t="s">
        <v>181</v>
      </c>
      <c r="C100" s="7" t="s">
        <v>182</v>
      </c>
      <c r="D100" s="7" t="s">
        <v>61</v>
      </c>
      <c r="E100" s="7" t="s">
        <v>62</v>
      </c>
      <c r="F100" s="7" t="s">
        <v>63</v>
      </c>
      <c r="G100" s="7" t="s">
        <v>64</v>
      </c>
      <c r="H100" s="7" t="s">
        <v>65</v>
      </c>
      <c r="I100" s="7" t="s">
        <v>66</v>
      </c>
      <c r="J100" s="7" t="s">
        <v>67</v>
      </c>
      <c r="K100" s="7" t="s">
        <v>68</v>
      </c>
      <c r="L100" s="7" t="s">
        <v>69</v>
      </c>
      <c r="M100" s="7" t="s">
        <v>70</v>
      </c>
      <c r="N100" s="7" t="s">
        <v>71</v>
      </c>
      <c r="O100" s="7" t="s">
        <v>72</v>
      </c>
      <c r="P100" s="7" t="s">
        <v>183</v>
      </c>
    </row>
    <row r="101" customFormat="false" ht="14.25" hidden="false" customHeight="true" outlineLevel="0" collapsed="false">
      <c r="A101" s="41" t="n">
        <v>2035</v>
      </c>
      <c r="B101" s="8" t="s">
        <v>16</v>
      </c>
      <c r="C101" s="8" t="s">
        <v>184</v>
      </c>
      <c r="D101" s="42" t="n">
        <f aca="false">(datos_base!$K$2+datos_base!$K$18)*parametros_manuales!B$12</f>
        <v>3848.7166956</v>
      </c>
      <c r="E101" s="42" t="n">
        <f aca="false">(datos_base!$K$2+datos_base!$K$18)*parametros_manuales!C$12</f>
        <v>2886.5375217</v>
      </c>
      <c r="F101" s="42" t="n">
        <f aca="false">(datos_base!$K$2+datos_base!$K$18)*parametros_manuales!D$12</f>
        <v>2565.8111304</v>
      </c>
      <c r="G101" s="42" t="n">
        <f aca="false">(datos_base!$K$2+datos_base!$K$18)*parametros_manuales!E$12</f>
        <v>2405.44793475</v>
      </c>
      <c r="H101" s="42" t="n">
        <f aca="false">(datos_base!$K$2+datos_base!$K$18)*parametros_manuales!F$12</f>
        <v>2245.0847391</v>
      </c>
      <c r="I101" s="42" t="n">
        <f aca="false">(datos_base!$K$2+datos_base!$K$18)*parametros_manuales!G$12</f>
        <v>2245.0847391</v>
      </c>
      <c r="J101" s="42" t="n">
        <f aca="false">(datos_base!$K$2+datos_base!$K$18)*parametros_manuales!H$12</f>
        <v>2405.44793475</v>
      </c>
      <c r="K101" s="42" t="n">
        <f aca="false">(datos_base!$K$2+datos_base!$K$18)*parametros_manuales!I$12</f>
        <v>2405.44793475</v>
      </c>
      <c r="L101" s="42" t="n">
        <f aca="false">(datos_base!$K$2+datos_base!$K$18)*parametros_manuales!J$12</f>
        <v>2405.44793475</v>
      </c>
      <c r="M101" s="42" t="n">
        <f aca="false">(datos_base!$K$2+datos_base!$K$18)*parametros_manuales!K$12</f>
        <v>2405.44793475</v>
      </c>
      <c r="N101" s="42" t="n">
        <f aca="false">(datos_base!$K$2+datos_base!$K$18)*parametros_manuales!L$12</f>
        <v>2405.44793475</v>
      </c>
      <c r="O101" s="42" t="n">
        <f aca="false">(datos_base!$K$2+datos_base!$K$18)*parametros_manuales!M$12</f>
        <v>3848.7166956</v>
      </c>
      <c r="P101" s="9" t="n">
        <f aca="false">SUM(D101:O101)</f>
        <v>32072.63913</v>
      </c>
    </row>
    <row r="102" customFormat="false" ht="14.25" hidden="false" customHeight="true" outlineLevel="0" collapsed="false">
      <c r="A102" s="41" t="n">
        <v>2035</v>
      </c>
      <c r="B102" s="8" t="s">
        <v>17</v>
      </c>
      <c r="C102" s="8" t="s">
        <v>184</v>
      </c>
      <c r="D102" s="42" t="n">
        <f aca="false">(datos_base!$K$3+datos_base!$K$19)*parametros_manuales!B$13</f>
        <v>743.9618444</v>
      </c>
      <c r="E102" s="42" t="n">
        <f aca="false">(datos_base!$K$3+datos_base!$K$19)*parametros_manuales!C$13</f>
        <v>595.16947552</v>
      </c>
      <c r="F102" s="42" t="n">
        <f aca="false">(datos_base!$K$3+datos_base!$K$19)*parametros_manuales!D$13</f>
        <v>632.36756774</v>
      </c>
      <c r="G102" s="42" t="n">
        <f aca="false">(datos_base!$K$3+datos_base!$K$19)*parametros_manuales!E$13</f>
        <v>632.36756774</v>
      </c>
      <c r="H102" s="42" t="n">
        <f aca="false">(datos_base!$K$3+datos_base!$K$19)*parametros_manuales!F$13</f>
        <v>595.16947552</v>
      </c>
      <c r="I102" s="42" t="n">
        <f aca="false">(datos_base!$K$3+datos_base!$K$19)*parametros_manuales!G$13</f>
        <v>557.9713833</v>
      </c>
      <c r="J102" s="42" t="n">
        <f aca="false">(datos_base!$K$3+datos_base!$K$19)*parametros_manuales!H$13</f>
        <v>595.16947552</v>
      </c>
      <c r="K102" s="42" t="n">
        <f aca="false">(datos_base!$K$3+datos_base!$K$19)*parametros_manuales!I$13</f>
        <v>595.16947552</v>
      </c>
      <c r="L102" s="42" t="n">
        <f aca="false">(datos_base!$K$3+datos_base!$K$19)*parametros_manuales!J$13</f>
        <v>595.16947552</v>
      </c>
      <c r="M102" s="42" t="n">
        <f aca="false">(datos_base!$K$3+datos_base!$K$19)*parametros_manuales!K$13</f>
        <v>557.9713833</v>
      </c>
      <c r="N102" s="42" t="n">
        <f aca="false">(datos_base!$K$3+datos_base!$K$19)*parametros_manuales!L$13</f>
        <v>520.77329108</v>
      </c>
      <c r="O102" s="42" t="n">
        <f aca="false">(datos_base!$K$3+datos_base!$K$19)*parametros_manuales!M$13</f>
        <v>818.35802884</v>
      </c>
      <c r="P102" s="9" t="n">
        <f aca="false">SUM(D102:O102)</f>
        <v>7439.618444</v>
      </c>
    </row>
    <row r="103" customFormat="false" ht="14.25" hidden="false" customHeight="true" outlineLevel="0" collapsed="false">
      <c r="A103" s="41" t="n">
        <v>2035</v>
      </c>
      <c r="B103" s="8" t="s">
        <v>18</v>
      </c>
      <c r="C103" s="8" t="s">
        <v>184</v>
      </c>
      <c r="D103" s="42" t="n">
        <f aca="false">(datos_base!$K$4+datos_base!$K$20)*parametros_manuales!B$14</f>
        <v>3082.893872</v>
      </c>
      <c r="E103" s="42" t="n">
        <f aca="false">(datos_base!$K$4+datos_base!$K$20)*parametros_manuales!C$14</f>
        <v>2466.3150976</v>
      </c>
      <c r="F103" s="42" t="n">
        <f aca="false">(datos_base!$K$4+datos_base!$K$20)*parametros_manuales!D$14</f>
        <v>2620.4597912</v>
      </c>
      <c r="G103" s="42" t="n">
        <f aca="false">(datos_base!$K$4+datos_base!$K$20)*parametros_manuales!E$14</f>
        <v>2620.4597912</v>
      </c>
      <c r="H103" s="42" t="n">
        <f aca="false">(datos_base!$K$4+datos_base!$K$20)*parametros_manuales!F$14</f>
        <v>2466.3150976</v>
      </c>
      <c r="I103" s="42" t="n">
        <f aca="false">(datos_base!$K$4+datos_base!$K$20)*parametros_manuales!G$14</f>
        <v>2312.170404</v>
      </c>
      <c r="J103" s="42" t="n">
        <f aca="false">(datos_base!$K$4+datos_base!$K$20)*parametros_manuales!H$14</f>
        <v>2466.3150976</v>
      </c>
      <c r="K103" s="42" t="n">
        <f aca="false">(datos_base!$K$4+datos_base!$K$20)*parametros_manuales!I$14</f>
        <v>2466.3150976</v>
      </c>
      <c r="L103" s="42" t="n">
        <f aca="false">(datos_base!$K$4+datos_base!$K$20)*parametros_manuales!J$14</f>
        <v>2466.3150976</v>
      </c>
      <c r="M103" s="42" t="n">
        <f aca="false">(datos_base!$K$4+datos_base!$K$20)*parametros_manuales!K$14</f>
        <v>2312.170404</v>
      </c>
      <c r="N103" s="42" t="n">
        <f aca="false">(datos_base!$K$4+datos_base!$K$20)*parametros_manuales!L$14</f>
        <v>2158.0257104</v>
      </c>
      <c r="O103" s="42" t="n">
        <f aca="false">(datos_base!$K$4+datos_base!$K$20)*parametros_manuales!M$14</f>
        <v>3391.1832592</v>
      </c>
      <c r="P103" s="9" t="n">
        <f aca="false">SUM(D103:O103)</f>
        <v>30828.93872</v>
      </c>
    </row>
    <row r="104" customFormat="false" ht="14.25" hidden="false" customHeight="true" outlineLevel="0" collapsed="false">
      <c r="A104" s="41" t="n">
        <v>2035</v>
      </c>
      <c r="B104" s="8" t="s">
        <v>19</v>
      </c>
      <c r="C104" s="8" t="s">
        <v>184</v>
      </c>
      <c r="D104" s="42" t="n">
        <f aca="false">(datos_base!$K$5+datos_base!$K$21)*parametros_manuales!B$15</f>
        <v>184.6888079</v>
      </c>
      <c r="E104" s="42" t="n">
        <f aca="false">(datos_base!$K$5+datos_base!$K$21)*parametros_manuales!C$15</f>
        <v>147.75104632</v>
      </c>
      <c r="F104" s="42" t="n">
        <f aca="false">(datos_base!$K$5+datos_base!$K$21)*parametros_manuales!D$15</f>
        <v>156.985486715</v>
      </c>
      <c r="G104" s="42" t="n">
        <f aca="false">(datos_base!$K$5+datos_base!$K$21)*parametros_manuales!E$15</f>
        <v>156.985486715</v>
      </c>
      <c r="H104" s="42" t="n">
        <f aca="false">(datos_base!$K$5+datos_base!$K$21)*parametros_manuales!F$15</f>
        <v>147.75104632</v>
      </c>
      <c r="I104" s="42" t="n">
        <f aca="false">(datos_base!$K$5+datos_base!$K$21)*parametros_manuales!G$15</f>
        <v>138.516605925</v>
      </c>
      <c r="J104" s="42" t="n">
        <f aca="false">(datos_base!$K$5+datos_base!$K$21)*parametros_manuales!H$15</f>
        <v>147.75104632</v>
      </c>
      <c r="K104" s="42" t="n">
        <f aca="false">(datos_base!$K$5+datos_base!$K$21)*parametros_manuales!I$15</f>
        <v>147.75104632</v>
      </c>
      <c r="L104" s="42" t="n">
        <f aca="false">(datos_base!$K$5+datos_base!$K$21)*parametros_manuales!J$15</f>
        <v>147.75104632</v>
      </c>
      <c r="M104" s="42" t="n">
        <f aca="false">(datos_base!$K$5+datos_base!$K$21)*parametros_manuales!K$15</f>
        <v>138.516605925</v>
      </c>
      <c r="N104" s="42" t="n">
        <f aca="false">(datos_base!$K$5+datos_base!$K$21)*parametros_manuales!L$15</f>
        <v>129.28216553</v>
      </c>
      <c r="O104" s="42" t="n">
        <f aca="false">(datos_base!$K$5+datos_base!$K$21)*parametros_manuales!M$15</f>
        <v>203.15768869</v>
      </c>
      <c r="P104" s="9" t="n">
        <f aca="false">SUM(D104:O104)</f>
        <v>1846.888079</v>
      </c>
    </row>
    <row r="105" customFormat="false" ht="14.25" hidden="false" customHeight="true" outlineLevel="0" collapsed="false">
      <c r="A105" s="41" t="n">
        <v>2035</v>
      </c>
      <c r="B105" s="8" t="s">
        <v>22</v>
      </c>
      <c r="C105" s="8" t="s">
        <v>185</v>
      </c>
      <c r="D105" s="42" t="n">
        <f aca="false">(datos_base!$K$9+datos_base!$K$23)*parametros_manuales!B$12</f>
        <v>20465.76</v>
      </c>
      <c r="E105" s="42" t="n">
        <f aca="false">(datos_base!$K$9+datos_base!$K$23)*parametros_manuales!C$12</f>
        <v>15349.32</v>
      </c>
      <c r="F105" s="42" t="n">
        <f aca="false">(datos_base!$K$9+datos_base!$K$23)*parametros_manuales!D$12</f>
        <v>13643.84</v>
      </c>
      <c r="G105" s="42" t="n">
        <f aca="false">(datos_base!$K$9+datos_base!$K$23)*parametros_manuales!E$12</f>
        <v>12791.1</v>
      </c>
      <c r="H105" s="42" t="n">
        <f aca="false">(datos_base!$K$9+datos_base!$K$23)*parametros_manuales!F$12</f>
        <v>11938.36</v>
      </c>
      <c r="I105" s="42" t="n">
        <f aca="false">(datos_base!$K$9+datos_base!$K$23)*parametros_manuales!G$12</f>
        <v>11938.36</v>
      </c>
      <c r="J105" s="42" t="n">
        <f aca="false">(datos_base!$K$9+datos_base!$K$23)*parametros_manuales!H$12</f>
        <v>12791.1</v>
      </c>
      <c r="K105" s="42" t="n">
        <f aca="false">(datos_base!$K$9+datos_base!$K$23)*parametros_manuales!I$12</f>
        <v>12791.1</v>
      </c>
      <c r="L105" s="42" t="n">
        <f aca="false">(datos_base!$K$9+datos_base!$K$23)*parametros_manuales!J$12</f>
        <v>12791.1</v>
      </c>
      <c r="M105" s="42" t="n">
        <f aca="false">(datos_base!$K$9+datos_base!$K$23)*parametros_manuales!K$12</f>
        <v>12791.1</v>
      </c>
      <c r="N105" s="42" t="n">
        <f aca="false">(datos_base!$K$9+datos_base!$K$23)*parametros_manuales!L$12</f>
        <v>12791.1</v>
      </c>
      <c r="O105" s="42" t="n">
        <f aca="false">(datos_base!$K$9+datos_base!$K$23)*parametros_manuales!M$12</f>
        <v>20465.76</v>
      </c>
      <c r="P105" s="9" t="n">
        <f aca="false">SUM(D105:O105)</f>
        <v>170548</v>
      </c>
    </row>
    <row r="106" customFormat="false" ht="14.25" hidden="false" customHeight="true" outlineLevel="0" collapsed="false">
      <c r="A106" s="41" t="n">
        <v>2035</v>
      </c>
      <c r="B106" s="8" t="s">
        <v>23</v>
      </c>
      <c r="C106" s="8" t="s">
        <v>185</v>
      </c>
      <c r="D106" s="42" t="n">
        <f aca="false">(datos_base!$K$10+datos_base!$K$24)*parametros_manuales!B$13</f>
        <v>669.576</v>
      </c>
      <c r="E106" s="42" t="n">
        <f aca="false">(datos_base!$K$10+datos_base!$K$24)*parametros_manuales!C$13</f>
        <v>535.6608</v>
      </c>
      <c r="F106" s="42" t="n">
        <f aca="false">(datos_base!$K$10+datos_base!$K$24)*parametros_manuales!D$13</f>
        <v>569.1396</v>
      </c>
      <c r="G106" s="42" t="n">
        <f aca="false">(datos_base!$K$10+datos_base!$K$24)*parametros_manuales!E$13</f>
        <v>569.1396</v>
      </c>
      <c r="H106" s="42" t="n">
        <f aca="false">(datos_base!$K$10+datos_base!$K$24)*parametros_manuales!F$13</f>
        <v>535.6608</v>
      </c>
      <c r="I106" s="42" t="n">
        <f aca="false">(datos_base!$K$10+datos_base!$K$24)*parametros_manuales!G$13</f>
        <v>502.182</v>
      </c>
      <c r="J106" s="42" t="n">
        <f aca="false">(datos_base!$K$10+datos_base!$K$24)*parametros_manuales!H$13</f>
        <v>535.6608</v>
      </c>
      <c r="K106" s="42" t="n">
        <f aca="false">(datos_base!$K$10+datos_base!$K$24)*parametros_manuales!I$13</f>
        <v>535.6608</v>
      </c>
      <c r="L106" s="42" t="n">
        <f aca="false">(datos_base!$K$10+datos_base!$K$24)*parametros_manuales!J$13</f>
        <v>535.6608</v>
      </c>
      <c r="M106" s="42" t="n">
        <f aca="false">(datos_base!$K$10+datos_base!$K$24)*parametros_manuales!K$13</f>
        <v>502.182</v>
      </c>
      <c r="N106" s="42" t="n">
        <f aca="false">(datos_base!$K$10+datos_base!$K$24)*parametros_manuales!L$13</f>
        <v>468.7032</v>
      </c>
      <c r="O106" s="42" t="n">
        <f aca="false">(datos_base!$K$10+datos_base!$K$24)*parametros_manuales!M$13</f>
        <v>736.5336</v>
      </c>
      <c r="P106" s="9" t="n">
        <f aca="false">SUM(D106:O106)</f>
        <v>6695.76</v>
      </c>
    </row>
    <row r="107" customFormat="false" ht="14.25" hidden="false" customHeight="true" outlineLevel="0" collapsed="false">
      <c r="A107" s="41" t="n">
        <v>2035</v>
      </c>
      <c r="B107" s="8" t="s">
        <v>24</v>
      </c>
      <c r="C107" s="8" t="s">
        <v>185</v>
      </c>
      <c r="D107" s="42" t="n">
        <f aca="false">(datos_base!$K$11+datos_base!$K$25)*parametros_manuales!B$14</f>
        <v>3305.4</v>
      </c>
      <c r="E107" s="42" t="n">
        <f aca="false">(datos_base!$K$11+datos_base!$K$25)*parametros_manuales!C$14</f>
        <v>2644.32</v>
      </c>
      <c r="F107" s="42" t="n">
        <f aca="false">(datos_base!$K$11+datos_base!$K$25)*parametros_manuales!D$14</f>
        <v>2809.59</v>
      </c>
      <c r="G107" s="42" t="n">
        <f aca="false">(datos_base!$K$11+datos_base!$K$25)*parametros_manuales!E$14</f>
        <v>2809.59</v>
      </c>
      <c r="H107" s="42" t="n">
        <f aca="false">(datos_base!$K$11+datos_base!$K$25)*parametros_manuales!F$14</f>
        <v>2644.32</v>
      </c>
      <c r="I107" s="42" t="n">
        <f aca="false">(datos_base!$K$11+datos_base!$K$25)*parametros_manuales!G$14</f>
        <v>2479.05</v>
      </c>
      <c r="J107" s="42" t="n">
        <f aca="false">(datos_base!$K$11+datos_base!$K$25)*parametros_manuales!H$14</f>
        <v>2644.32</v>
      </c>
      <c r="K107" s="42" t="n">
        <f aca="false">(datos_base!$K$11+datos_base!$K$25)*parametros_manuales!I$14</f>
        <v>2644.32</v>
      </c>
      <c r="L107" s="42" t="n">
        <f aca="false">(datos_base!$K$11+datos_base!$K$25)*parametros_manuales!J$14</f>
        <v>2644.32</v>
      </c>
      <c r="M107" s="42" t="n">
        <f aca="false">(datos_base!$K$11+datos_base!$K$25)*parametros_manuales!K$14</f>
        <v>2479.05</v>
      </c>
      <c r="N107" s="42" t="n">
        <f aca="false">(datos_base!$K$11+datos_base!$K$25)*parametros_manuales!L$14</f>
        <v>2313.78</v>
      </c>
      <c r="O107" s="42" t="n">
        <f aca="false">(datos_base!$K$11+datos_base!$K$25)*parametros_manuales!M$14</f>
        <v>3635.94</v>
      </c>
      <c r="P107" s="9" t="n">
        <f aca="false">SUM(D107:O107)</f>
        <v>33054</v>
      </c>
    </row>
    <row r="108" customFormat="false" ht="14.25" hidden="false" customHeight="true" outlineLevel="0" collapsed="false">
      <c r="A108" s="41" t="n">
        <v>2035</v>
      </c>
      <c r="B108" s="8" t="s">
        <v>25</v>
      </c>
      <c r="C108" s="8" t="s">
        <v>185</v>
      </c>
      <c r="D108" s="42" t="n">
        <f aca="false">(datos_base!$K$12+datos_base!$K$26)*parametros_manuales!B$15</f>
        <v>202.144</v>
      </c>
      <c r="E108" s="42" t="n">
        <f aca="false">(datos_base!$K$12+datos_base!$K$26)*parametros_manuales!C$15</f>
        <v>161.7152</v>
      </c>
      <c r="F108" s="42" t="n">
        <f aca="false">(datos_base!$K$12+datos_base!$K$26)*parametros_manuales!D$15</f>
        <v>171.8224</v>
      </c>
      <c r="G108" s="42" t="n">
        <f aca="false">(datos_base!$K$12+datos_base!$K$26)*parametros_manuales!E$15</f>
        <v>171.8224</v>
      </c>
      <c r="H108" s="42" t="n">
        <f aca="false">(datos_base!$K$12+datos_base!$K$26)*parametros_manuales!F$15</f>
        <v>161.7152</v>
      </c>
      <c r="I108" s="42" t="n">
        <f aca="false">(datos_base!$K$12+datos_base!$K$26)*parametros_manuales!G$15</f>
        <v>151.608</v>
      </c>
      <c r="J108" s="42" t="n">
        <f aca="false">(datos_base!$K$12+datos_base!$K$26)*parametros_manuales!H$15</f>
        <v>161.7152</v>
      </c>
      <c r="K108" s="42" t="n">
        <f aca="false">(datos_base!$K$12+datos_base!$K$26)*parametros_manuales!I$15</f>
        <v>161.7152</v>
      </c>
      <c r="L108" s="42" t="n">
        <f aca="false">(datos_base!$K$12+datos_base!$K$26)*parametros_manuales!J$15</f>
        <v>161.7152</v>
      </c>
      <c r="M108" s="42" t="n">
        <f aca="false">(datos_base!$K$12+datos_base!$K$26)*parametros_manuales!K$15</f>
        <v>151.608</v>
      </c>
      <c r="N108" s="42" t="n">
        <f aca="false">(datos_base!$K$12+datos_base!$K$26)*parametros_manuales!L$15</f>
        <v>141.5008</v>
      </c>
      <c r="O108" s="42" t="n">
        <f aca="false">(datos_base!$K$12+datos_base!$K$26)*parametros_manuales!M$15</f>
        <v>222.3584</v>
      </c>
      <c r="P108" s="9" t="n">
        <f aca="false">SUM(D108:O108)</f>
        <v>2021.44</v>
      </c>
    </row>
    <row r="109" customFormat="false" ht="14.25" hidden="false" customHeight="true" outlineLevel="0" collapsed="false">
      <c r="B109" s="10" t="s">
        <v>186</v>
      </c>
      <c r="D109" s="11" t="n">
        <f aca="false">SUM(D101:D108)</f>
        <v>32503.1412199</v>
      </c>
      <c r="E109" s="11" t="n">
        <f aca="false">SUM(E101:E108)</f>
        <v>24786.78914114</v>
      </c>
      <c r="F109" s="11" t="n">
        <f aca="false">SUM(F101:F108)</f>
        <v>23170.015976055</v>
      </c>
      <c r="G109" s="11" t="n">
        <f aca="false">SUM(G101:G108)</f>
        <v>22156.912780405</v>
      </c>
      <c r="H109" s="11" t="n">
        <f aca="false">SUM(H101:H108)</f>
        <v>20734.37635854</v>
      </c>
      <c r="I109" s="11" t="n">
        <f aca="false">SUM(I101:I108)</f>
        <v>20324.943132325</v>
      </c>
      <c r="J109" s="11" t="n">
        <f aca="false">SUM(J101:J108)</f>
        <v>21747.47955419</v>
      </c>
      <c r="K109" s="11" t="n">
        <f aca="false">SUM(K101:K108)</f>
        <v>21747.47955419</v>
      </c>
      <c r="L109" s="11" t="n">
        <f aca="false">SUM(L101:L108)</f>
        <v>21747.47955419</v>
      </c>
      <c r="M109" s="11" t="n">
        <f aca="false">SUM(M101:M108)</f>
        <v>21338.046327975</v>
      </c>
      <c r="N109" s="11" t="n">
        <f aca="false">SUM(N101:N108)</f>
        <v>20928.61310176</v>
      </c>
      <c r="O109" s="11" t="n">
        <f aca="false">SUM(O101:O108)</f>
        <v>33322.00767233</v>
      </c>
      <c r="P109" s="11" t="n">
        <f aca="false">SUM(P101:P108)</f>
        <v>284507.284373</v>
      </c>
    </row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4" min="2" style="1" width="9"/>
    <col collapsed="false" customWidth="true" hidden="false" outlineLevel="0" max="16" min="15" style="1" width="12"/>
    <col collapsed="false" customWidth="true" hidden="false" outlineLevel="0" max="17" min="17" style="1" width="9"/>
  </cols>
  <sheetData>
    <row r="1" customFormat="false" ht="14.25" hidden="false" customHeight="true" outlineLevel="0" collapsed="false">
      <c r="A1" s="7" t="s">
        <v>187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  <c r="J1" s="7" t="s">
        <v>69</v>
      </c>
      <c r="K1" s="7" t="s">
        <v>70</v>
      </c>
      <c r="L1" s="7" t="s">
        <v>71</v>
      </c>
      <c r="M1" s="7" t="s">
        <v>72</v>
      </c>
      <c r="N1" s="7" t="s">
        <v>183</v>
      </c>
      <c r="O1" s="7" t="s">
        <v>188</v>
      </c>
      <c r="P1" s="7" t="s">
        <v>189</v>
      </c>
      <c r="Q1" s="7" t="s">
        <v>190</v>
      </c>
    </row>
    <row r="2" customFormat="false" ht="14.25" hidden="false" customHeight="true" outlineLevel="0" collapsed="false">
      <c r="A2" s="8" t="str">
        <f aca="false">parametros_manuales!$B$19</f>
        <v>Recepción de materia prima</v>
      </c>
      <c r="B2" s="9" t="n">
        <f aca="false">(parametros_manuales!$D$19*('Plan mensual'!D2+IF(parametros_manuales!$H$19="Todos",'Plan mensual'!D6,0))+parametros_manuales!$E$19*('Plan mensual'!D3+IF(parametros_manuales!$H$19="Todos",'Plan mensual'!D7,0))+parametros_manuales!$F$19*('Plan mensual'!D4+IF(parametros_manuales!$H$19="Todos",'Plan mensual'!D8,0))+parametros_manuales!$G$19*('Plan mensual'!D5+IF(parametros_manuales!$H$19="Todos",'Plan mensual'!D9,0)))*parametros_manuales!$I$19*parametros_manuales!$J$19</f>
        <v>769.812041533</v>
      </c>
      <c r="C2" s="9" t="n">
        <f aca="false">(parametros_manuales!$D$19*('Plan mensual'!E2+IF(parametros_manuales!$H$19="Todos",'Plan mensual'!E6,0))+parametros_manuales!$E$19*('Plan mensual'!E3+IF(parametros_manuales!$H$19="Todos",'Plan mensual'!E7,0))+parametros_manuales!$F$19*('Plan mensual'!E4+IF(parametros_manuales!$H$19="Todos",'Plan mensual'!E8,0))+parametros_manuales!$G$19*('Plan mensual'!E5+IF(parametros_manuales!$H$19="Todos",'Plan mensual'!E9,0)))*parametros_manuales!$I$19*parametros_manuales!$J$19</f>
        <v>590.7772139684</v>
      </c>
      <c r="D2" s="9" t="n">
        <f aca="false">(parametros_manuales!$D$19*('Plan mensual'!F2+IF(parametros_manuales!$H$19="Todos",'Plan mensual'!F6,0))+parametros_manuales!$E$19*('Plan mensual'!F3+IF(parametros_manuales!$H$19="Todos",'Plan mensual'!F7,0))+parametros_manuales!$F$19*('Plan mensual'!F4+IF(parametros_manuales!$H$19="Todos",'Plan mensual'!F8,0))+parametros_manuales!$G$19*('Plan mensual'!F5+IF(parametros_manuales!$H$19="Todos",'Plan mensual'!F9,0)))*parametros_manuales!$I$19*parametros_manuales!$J$19</f>
        <v>562.40803135705</v>
      </c>
      <c r="E2" s="9" t="n">
        <f aca="false">(parametros_manuales!$D$19*('Plan mensual'!G2+IF(parametros_manuales!$H$19="Todos",'Plan mensual'!G6,0))+parametros_manuales!$E$19*('Plan mensual'!G3+IF(parametros_manuales!$H$19="Todos",'Plan mensual'!G7,0))+parametros_manuales!$F$19*('Plan mensual'!G4+IF(parametros_manuales!$H$19="Todos",'Plan mensual'!G8,0))+parametros_manuales!$G$19*('Plan mensual'!G5+IF(parametros_manuales!$H$19="Todos",'Plan mensual'!G9,0)))*parametros_manuales!$I$19*parametros_manuales!$J$19</f>
        <v>541.51434864205</v>
      </c>
      <c r="F2" s="9" t="n">
        <f aca="false">(parametros_manuales!$D$19*('Plan mensual'!H2+IF(parametros_manuales!$H$19="Todos",'Plan mensual'!H6,0))+parametros_manuales!$E$19*('Plan mensual'!H3+IF(parametros_manuales!$H$19="Todos",'Plan mensual'!H7,0))+parametros_manuales!$F$19*('Plan mensual'!H4+IF(parametros_manuales!$H$19="Todos",'Plan mensual'!H8,0))+parametros_manuales!$G$19*('Plan mensual'!H5+IF(parametros_manuales!$H$19="Todos",'Plan mensual'!H9,0)))*parametros_manuales!$I$19*parametros_manuales!$J$19</f>
        <v>507.2024831084</v>
      </c>
      <c r="G2" s="9" t="n">
        <f aca="false">(parametros_manuales!$D$19*('Plan mensual'!I2+IF(parametros_manuales!$H$19="Todos",'Plan mensual'!I6,0))+parametros_manuales!$E$19*('Plan mensual'!I3+IF(parametros_manuales!$H$19="Todos",'Plan mensual'!I7,0))+parametros_manuales!$F$19*('Plan mensual'!I4+IF(parametros_manuales!$H$19="Todos",'Plan mensual'!I8,0))+parametros_manuales!$G$19*('Plan mensual'!I5+IF(parametros_manuales!$H$19="Todos",'Plan mensual'!I9,0)))*parametros_manuales!$I$19*parametros_manuales!$J$19</f>
        <v>493.78430028975</v>
      </c>
      <c r="H2" s="9" t="n">
        <f aca="false">(parametros_manuales!$D$19*('Plan mensual'!J2+IF(parametros_manuales!$H$19="Todos",'Plan mensual'!J6,0))+parametros_manuales!$E$19*('Plan mensual'!J3+IF(parametros_manuales!$H$19="Todos",'Plan mensual'!J7,0))+parametros_manuales!$F$19*('Plan mensual'!J4+IF(parametros_manuales!$H$19="Todos",'Plan mensual'!J8,0))+parametros_manuales!$G$19*('Plan mensual'!J5+IF(parametros_manuales!$H$19="Todos",'Plan mensual'!J9,0)))*parametros_manuales!$I$19*parametros_manuales!$J$19</f>
        <v>528.0961658234</v>
      </c>
      <c r="I2" s="9" t="n">
        <f aca="false">(parametros_manuales!$D$19*('Plan mensual'!K2+IF(parametros_manuales!$H$19="Todos",'Plan mensual'!K6,0))+parametros_manuales!$E$19*('Plan mensual'!K3+IF(parametros_manuales!$H$19="Todos",'Plan mensual'!K7,0))+parametros_manuales!$F$19*('Plan mensual'!K4+IF(parametros_manuales!$H$19="Todos",'Plan mensual'!K8,0))+parametros_manuales!$G$19*('Plan mensual'!K5+IF(parametros_manuales!$H$19="Todos",'Plan mensual'!K9,0)))*parametros_manuales!$I$19*parametros_manuales!$J$19</f>
        <v>528.0961658234</v>
      </c>
      <c r="J2" s="9" t="n">
        <f aca="false">(parametros_manuales!$D$19*('Plan mensual'!L2+IF(parametros_manuales!$H$19="Todos",'Plan mensual'!L6,0))+parametros_manuales!$E$19*('Plan mensual'!L3+IF(parametros_manuales!$H$19="Todos",'Plan mensual'!L7,0))+parametros_manuales!$F$19*('Plan mensual'!L4+IF(parametros_manuales!$H$19="Todos",'Plan mensual'!L8,0))+parametros_manuales!$G$19*('Plan mensual'!L5+IF(parametros_manuales!$H$19="Todos",'Plan mensual'!L9,0)))*parametros_manuales!$I$19*parametros_manuales!$J$19</f>
        <v>528.0961658234</v>
      </c>
      <c r="K2" s="9" t="n">
        <f aca="false">(parametros_manuales!$D$19*('Plan mensual'!M2+IF(parametros_manuales!$H$19="Todos",'Plan mensual'!M6,0))+parametros_manuales!$E$19*('Plan mensual'!M3+IF(parametros_manuales!$H$19="Todos",'Plan mensual'!M7,0))+parametros_manuales!$F$19*('Plan mensual'!M4+IF(parametros_manuales!$H$19="Todos",'Plan mensual'!M8,0))+parametros_manuales!$G$19*('Plan mensual'!M5+IF(parametros_manuales!$H$19="Todos",'Plan mensual'!M9,0)))*parametros_manuales!$I$19*parametros_manuales!$J$19</f>
        <v>514.67798300475</v>
      </c>
      <c r="L2" s="9" t="n">
        <f aca="false">(parametros_manuales!$D$19*('Plan mensual'!N2+IF(parametros_manuales!$H$19="Todos",'Plan mensual'!N6,0))+parametros_manuales!$E$19*('Plan mensual'!N3+IF(parametros_manuales!$H$19="Todos",'Plan mensual'!N7,0))+parametros_manuales!$F$19*('Plan mensual'!N4+IF(parametros_manuales!$H$19="Todos",'Plan mensual'!N8,0))+parametros_manuales!$G$19*('Plan mensual'!N5+IF(parametros_manuales!$H$19="Todos",'Plan mensual'!N9,0)))*parametros_manuales!$I$19*parametros_manuales!$J$19</f>
        <v>501.2598001861</v>
      </c>
      <c r="M2" s="9" t="n">
        <f aca="false">(parametros_manuales!$D$19*('Plan mensual'!O2+IF(parametros_manuales!$H$19="Todos",'Plan mensual'!O6,0))+parametros_manuales!$E$19*('Plan mensual'!O3+IF(parametros_manuales!$H$19="Todos",'Plan mensual'!O7,0))+parametros_manuales!$F$19*('Plan mensual'!O4+IF(parametros_manuales!$H$19="Todos",'Plan mensual'!O8,0))+parametros_manuales!$G$19*('Plan mensual'!O5+IF(parametros_manuales!$H$19="Todos",'Plan mensual'!O9,0)))*parametros_manuales!$I$19*parametros_manuales!$J$19</f>
        <v>796.6484071703</v>
      </c>
      <c r="N2" s="9" t="n">
        <f aca="false">SUM(B2:M2)</f>
        <v>6862.37310673</v>
      </c>
      <c r="O2" s="9" t="n">
        <f aca="false">MAX(B2:M2)</f>
        <v>796.6484071703</v>
      </c>
      <c r="P2" s="43" t="n">
        <f aca="false">O2/(parametros_manuales!$B$7)</f>
        <v>5.31098938113533</v>
      </c>
      <c r="Q2" s="8" t="str">
        <f aca="false">IF(O2=0,"-",INDEX($B$1:$M$1,MATCH(O2,B2:M2,0)))</f>
        <v>Dic</v>
      </c>
    </row>
    <row r="3" customFormat="false" ht="14.25" hidden="false" customHeight="true" outlineLevel="0" collapsed="false">
      <c r="A3" s="8" t="str">
        <f aca="false">parametros_manuales!$B$20</f>
        <v>Corte de chapa (guillotina) — 2,5 a 10 kg</v>
      </c>
      <c r="B3" s="9" t="n">
        <f aca="false">(parametros_manuales!$D$20*('Plan mensual'!D2+IF(parametros_manuales!$H$20="Todos",'Plan mensual'!D6,0))+parametros_manuales!$E$20*('Plan mensual'!D3+IF(parametros_manuales!$H$20="Todos",'Plan mensual'!D7,0))+parametros_manuales!$F$20*('Plan mensual'!D4+IF(parametros_manuales!$H$20="Todos",'Plan mensual'!D8,0))+parametros_manuales!$G$20*('Plan mensual'!D5+IF(parametros_manuales!$H$20="Todos",'Plan mensual'!D9,0)))*parametros_manuales!$I$20*parametros_manuales!$J$20</f>
        <v>268.363656373</v>
      </c>
      <c r="C3" s="9" t="n">
        <f aca="false">(parametros_manuales!$D$20*('Plan mensual'!E2+IF(parametros_manuales!$H$20="Todos",'Plan mensual'!E6,0))+parametros_manuales!$E$20*('Plan mensual'!E3+IF(parametros_manuales!$H$20="Todos",'Plan mensual'!E7,0))+parametros_manuales!$F$20*('Plan mensual'!E4+IF(parametros_manuales!$H$20="Todos",'Plan mensual'!E8,0))+parametros_manuales!$G$20*('Plan mensual'!E5+IF(parametros_manuales!$H$20="Todos",'Plan mensual'!E9,0)))*parametros_manuales!$I$20*parametros_manuales!$J$20</f>
        <v>214.6909250984</v>
      </c>
      <c r="D3" s="9" t="n">
        <f aca="false">(parametros_manuales!$D$20*('Plan mensual'!F2+IF(parametros_manuales!$H$20="Todos",'Plan mensual'!F6,0))+parametros_manuales!$E$20*('Plan mensual'!F3+IF(parametros_manuales!$H$20="Todos",'Plan mensual'!F7,0))+parametros_manuales!$F$20*('Plan mensual'!F4+IF(parametros_manuales!$H$20="Todos",'Plan mensual'!F8,0))+parametros_manuales!$G$20*('Plan mensual'!F5+IF(parametros_manuales!$H$20="Todos",'Plan mensual'!F9,0)))*parametros_manuales!$I$20*parametros_manuales!$J$20</f>
        <v>228.10910791705</v>
      </c>
      <c r="E3" s="9" t="n">
        <f aca="false">(parametros_manuales!$D$20*('Plan mensual'!G2+IF(parametros_manuales!$H$20="Todos",'Plan mensual'!G6,0))+parametros_manuales!$E$20*('Plan mensual'!G3+IF(parametros_manuales!$H$20="Todos",'Plan mensual'!G7,0))+parametros_manuales!$F$20*('Plan mensual'!G4+IF(parametros_manuales!$H$20="Todos",'Plan mensual'!G8,0))+parametros_manuales!$G$20*('Plan mensual'!G5+IF(parametros_manuales!$H$20="Todos",'Plan mensual'!G9,0)))*parametros_manuales!$I$20*parametros_manuales!$J$20</f>
        <v>228.10910791705</v>
      </c>
      <c r="F3" s="9" t="n">
        <f aca="false">(parametros_manuales!$D$20*('Plan mensual'!H2+IF(parametros_manuales!$H$20="Todos",'Plan mensual'!H6,0))+parametros_manuales!$E$20*('Plan mensual'!H3+IF(parametros_manuales!$H$20="Todos",'Plan mensual'!H7,0))+parametros_manuales!$F$20*('Plan mensual'!H4+IF(parametros_manuales!$H$20="Todos",'Plan mensual'!H8,0))+parametros_manuales!$G$20*('Plan mensual'!H5+IF(parametros_manuales!$H$20="Todos",'Plan mensual'!H9,0)))*parametros_manuales!$I$20*parametros_manuales!$J$20</f>
        <v>214.6909250984</v>
      </c>
      <c r="G3" s="9" t="n">
        <f aca="false">(parametros_manuales!$D$20*('Plan mensual'!I2+IF(parametros_manuales!$H$20="Todos",'Plan mensual'!I6,0))+parametros_manuales!$E$20*('Plan mensual'!I3+IF(parametros_manuales!$H$20="Todos",'Plan mensual'!I7,0))+parametros_manuales!$F$20*('Plan mensual'!I4+IF(parametros_manuales!$H$20="Todos",'Plan mensual'!I8,0))+parametros_manuales!$G$20*('Plan mensual'!I5+IF(parametros_manuales!$H$20="Todos",'Plan mensual'!I9,0)))*parametros_manuales!$I$20*parametros_manuales!$J$20</f>
        <v>201.27274227975</v>
      </c>
      <c r="H3" s="9" t="n">
        <f aca="false">(parametros_manuales!$D$20*('Plan mensual'!J2+IF(parametros_manuales!$H$20="Todos",'Plan mensual'!J6,0))+parametros_manuales!$E$20*('Plan mensual'!J3+IF(parametros_manuales!$H$20="Todos",'Plan mensual'!J7,0))+parametros_manuales!$F$20*('Plan mensual'!J4+IF(parametros_manuales!$H$20="Todos",'Plan mensual'!J8,0))+parametros_manuales!$G$20*('Plan mensual'!J5+IF(parametros_manuales!$H$20="Todos",'Plan mensual'!J9,0)))*parametros_manuales!$I$20*parametros_manuales!$J$20</f>
        <v>214.6909250984</v>
      </c>
      <c r="I3" s="9" t="n">
        <f aca="false">(parametros_manuales!$D$20*('Plan mensual'!K2+IF(parametros_manuales!$H$20="Todos",'Plan mensual'!K6,0))+parametros_manuales!$E$20*('Plan mensual'!K3+IF(parametros_manuales!$H$20="Todos",'Plan mensual'!K7,0))+parametros_manuales!$F$20*('Plan mensual'!K4+IF(parametros_manuales!$H$20="Todos",'Plan mensual'!K8,0))+parametros_manuales!$G$20*('Plan mensual'!K5+IF(parametros_manuales!$H$20="Todos",'Plan mensual'!K9,0)))*parametros_manuales!$I$20*parametros_manuales!$J$20</f>
        <v>214.6909250984</v>
      </c>
      <c r="J3" s="9" t="n">
        <f aca="false">(parametros_manuales!$D$20*('Plan mensual'!L2+IF(parametros_manuales!$H$20="Todos",'Plan mensual'!L6,0))+parametros_manuales!$E$20*('Plan mensual'!L3+IF(parametros_manuales!$H$20="Todos",'Plan mensual'!L7,0))+parametros_manuales!$F$20*('Plan mensual'!L4+IF(parametros_manuales!$H$20="Todos",'Plan mensual'!L8,0))+parametros_manuales!$G$20*('Plan mensual'!L5+IF(parametros_manuales!$H$20="Todos",'Plan mensual'!L9,0)))*parametros_manuales!$I$20*parametros_manuales!$J$20</f>
        <v>214.6909250984</v>
      </c>
      <c r="K3" s="9" t="n">
        <f aca="false">(parametros_manuales!$D$20*('Plan mensual'!M2+IF(parametros_manuales!$H$20="Todos",'Plan mensual'!M6,0))+parametros_manuales!$E$20*('Plan mensual'!M3+IF(parametros_manuales!$H$20="Todos",'Plan mensual'!M7,0))+parametros_manuales!$F$20*('Plan mensual'!M4+IF(parametros_manuales!$H$20="Todos",'Plan mensual'!M8,0))+parametros_manuales!$G$20*('Plan mensual'!M5+IF(parametros_manuales!$H$20="Todos",'Plan mensual'!M9,0)))*parametros_manuales!$I$20*parametros_manuales!$J$20</f>
        <v>201.27274227975</v>
      </c>
      <c r="L3" s="9" t="n">
        <f aca="false">(parametros_manuales!$D$20*('Plan mensual'!N2+IF(parametros_manuales!$H$20="Todos",'Plan mensual'!N6,0))+parametros_manuales!$E$20*('Plan mensual'!N3+IF(parametros_manuales!$H$20="Todos",'Plan mensual'!N7,0))+parametros_manuales!$F$20*('Plan mensual'!N4+IF(parametros_manuales!$H$20="Todos",'Plan mensual'!N8,0))+parametros_manuales!$G$20*('Plan mensual'!N5+IF(parametros_manuales!$H$20="Todos",'Plan mensual'!N9,0)))*parametros_manuales!$I$20*parametros_manuales!$J$20</f>
        <v>187.8545594611</v>
      </c>
      <c r="M3" s="9" t="n">
        <f aca="false">(parametros_manuales!$D$20*('Plan mensual'!O2+IF(parametros_manuales!$H$20="Todos",'Plan mensual'!O6,0))+parametros_manuales!$E$20*('Plan mensual'!O3+IF(parametros_manuales!$H$20="Todos",'Plan mensual'!O7,0))+parametros_manuales!$F$20*('Plan mensual'!O4+IF(parametros_manuales!$H$20="Todos",'Plan mensual'!O8,0))+parametros_manuales!$G$20*('Plan mensual'!O5+IF(parametros_manuales!$H$20="Todos",'Plan mensual'!O9,0)))*parametros_manuales!$I$20*parametros_manuales!$J$20</f>
        <v>295.2000220103</v>
      </c>
      <c r="N3" s="9" t="n">
        <f aca="false">SUM(B3:M3)</f>
        <v>2683.63656373</v>
      </c>
      <c r="O3" s="9" t="n">
        <f aca="false">MAX(B3:M3)</f>
        <v>295.2000220103</v>
      </c>
      <c r="P3" s="43" t="n">
        <f aca="false">O3/(parametros_manuales!$B$7)</f>
        <v>1.96800014673533</v>
      </c>
      <c r="Q3" s="8" t="str">
        <f aca="false">IF(O3=0,"-",INDEX($B$1:$M$1,MATCH(O3,B3:M3,0)))</f>
        <v>Dic</v>
      </c>
    </row>
    <row r="4" customFormat="false" ht="14.25" hidden="false" customHeight="true" outlineLevel="0" collapsed="false">
      <c r="A4" s="8" t="str">
        <f aca="false">parametros_manuales!$B$21</f>
        <v>Corte de tubo — 1 kg</v>
      </c>
      <c r="B4" s="9" t="n">
        <f aca="false">(parametros_manuales!$D$21*('Plan mensual'!D2+IF(parametros_manuales!$H$21="Todos",'Plan mensual'!D6,0))+parametros_manuales!$E$21*('Plan mensual'!D3+IF(parametros_manuales!$H$21="Todos",'Plan mensual'!D7,0))+parametros_manuales!$F$21*('Plan mensual'!D4+IF(parametros_manuales!$H$21="Todos",'Plan mensual'!D8,0))+parametros_manuales!$G$21*('Plan mensual'!D5+IF(parametros_manuales!$H$21="Todos",'Plan mensual'!D9,0)))*parametros_manuales!$I$21*parametros_manuales!$J$21</f>
        <v>501.44838516</v>
      </c>
      <c r="C4" s="9" t="n">
        <f aca="false">(parametros_manuales!$D$21*('Plan mensual'!E2+IF(parametros_manuales!$H$21="Todos",'Plan mensual'!E6,0))+parametros_manuales!$E$21*('Plan mensual'!E3+IF(parametros_manuales!$H$21="Todos",'Plan mensual'!E7,0))+parametros_manuales!$F$21*('Plan mensual'!E4+IF(parametros_manuales!$H$21="Todos",'Plan mensual'!E8,0))+parametros_manuales!$G$21*('Plan mensual'!E5+IF(parametros_manuales!$H$21="Todos",'Plan mensual'!E9,0)))*parametros_manuales!$I$21*parametros_manuales!$J$21</f>
        <v>376.08628887</v>
      </c>
      <c r="D4" s="9" t="n">
        <f aca="false">(parametros_manuales!$D$21*('Plan mensual'!F2+IF(parametros_manuales!$H$21="Todos",'Plan mensual'!F6,0))+parametros_manuales!$E$21*('Plan mensual'!F3+IF(parametros_manuales!$H$21="Todos",'Plan mensual'!F7,0))+parametros_manuales!$F$21*('Plan mensual'!F4+IF(parametros_manuales!$H$21="Todos",'Plan mensual'!F8,0))+parametros_manuales!$G$21*('Plan mensual'!F5+IF(parametros_manuales!$H$21="Todos",'Plan mensual'!F9,0)))*parametros_manuales!$I$21*parametros_manuales!$J$21</f>
        <v>334.29892344</v>
      </c>
      <c r="E4" s="9" t="n">
        <f aca="false">(parametros_manuales!$D$21*('Plan mensual'!G2+IF(parametros_manuales!$H$21="Todos",'Plan mensual'!G6,0))+parametros_manuales!$E$21*('Plan mensual'!G3+IF(parametros_manuales!$H$21="Todos",'Plan mensual'!G7,0))+parametros_manuales!$F$21*('Plan mensual'!G4+IF(parametros_manuales!$H$21="Todos",'Plan mensual'!G8,0))+parametros_manuales!$G$21*('Plan mensual'!G5+IF(parametros_manuales!$H$21="Todos",'Plan mensual'!G9,0)))*parametros_manuales!$I$21*parametros_manuales!$J$21</f>
        <v>313.405240725</v>
      </c>
      <c r="F4" s="9" t="n">
        <f aca="false">(parametros_manuales!$D$21*('Plan mensual'!H2+IF(parametros_manuales!$H$21="Todos",'Plan mensual'!H6,0))+parametros_manuales!$E$21*('Plan mensual'!H3+IF(parametros_manuales!$H$21="Todos",'Plan mensual'!H7,0))+parametros_manuales!$F$21*('Plan mensual'!H4+IF(parametros_manuales!$H$21="Todos",'Plan mensual'!H8,0))+parametros_manuales!$G$21*('Plan mensual'!H5+IF(parametros_manuales!$H$21="Todos",'Plan mensual'!H9,0)))*parametros_manuales!$I$21*parametros_manuales!$J$21</f>
        <v>292.51155801</v>
      </c>
      <c r="G4" s="9" t="n">
        <f aca="false">(parametros_manuales!$D$21*('Plan mensual'!I2+IF(parametros_manuales!$H$21="Todos",'Plan mensual'!I6,0))+parametros_manuales!$E$21*('Plan mensual'!I3+IF(parametros_manuales!$H$21="Todos",'Plan mensual'!I7,0))+parametros_manuales!$F$21*('Plan mensual'!I4+IF(parametros_manuales!$H$21="Todos",'Plan mensual'!I8,0))+parametros_manuales!$G$21*('Plan mensual'!I5+IF(parametros_manuales!$H$21="Todos",'Plan mensual'!I9,0)))*parametros_manuales!$I$21*parametros_manuales!$J$21</f>
        <v>292.51155801</v>
      </c>
      <c r="H4" s="9" t="n">
        <f aca="false">(parametros_manuales!$D$21*('Plan mensual'!J2+IF(parametros_manuales!$H$21="Todos",'Plan mensual'!J6,0))+parametros_manuales!$E$21*('Plan mensual'!J3+IF(parametros_manuales!$H$21="Todos",'Plan mensual'!J7,0))+parametros_manuales!$F$21*('Plan mensual'!J4+IF(parametros_manuales!$H$21="Todos",'Plan mensual'!J8,0))+parametros_manuales!$G$21*('Plan mensual'!J5+IF(parametros_manuales!$H$21="Todos",'Plan mensual'!J9,0)))*parametros_manuales!$I$21*parametros_manuales!$J$21</f>
        <v>313.405240725</v>
      </c>
      <c r="I4" s="9" t="n">
        <f aca="false">(parametros_manuales!$D$21*('Plan mensual'!K2+IF(parametros_manuales!$H$21="Todos",'Plan mensual'!K6,0))+parametros_manuales!$E$21*('Plan mensual'!K3+IF(parametros_manuales!$H$21="Todos",'Plan mensual'!K7,0))+parametros_manuales!$F$21*('Plan mensual'!K4+IF(parametros_manuales!$H$21="Todos",'Plan mensual'!K8,0))+parametros_manuales!$G$21*('Plan mensual'!K5+IF(parametros_manuales!$H$21="Todos",'Plan mensual'!K9,0)))*parametros_manuales!$I$21*parametros_manuales!$J$21</f>
        <v>313.405240725</v>
      </c>
      <c r="J4" s="9" t="n">
        <f aca="false">(parametros_manuales!$D$21*('Plan mensual'!L2+IF(parametros_manuales!$H$21="Todos",'Plan mensual'!L6,0))+parametros_manuales!$E$21*('Plan mensual'!L3+IF(parametros_manuales!$H$21="Todos",'Plan mensual'!L7,0))+parametros_manuales!$F$21*('Plan mensual'!L4+IF(parametros_manuales!$H$21="Todos",'Plan mensual'!L8,0))+parametros_manuales!$G$21*('Plan mensual'!L5+IF(parametros_manuales!$H$21="Todos",'Plan mensual'!L9,0)))*parametros_manuales!$I$21*parametros_manuales!$J$21</f>
        <v>313.405240725</v>
      </c>
      <c r="K4" s="9" t="n">
        <f aca="false">(parametros_manuales!$D$21*('Plan mensual'!M2+IF(parametros_manuales!$H$21="Todos",'Plan mensual'!M6,0))+parametros_manuales!$E$21*('Plan mensual'!M3+IF(parametros_manuales!$H$21="Todos",'Plan mensual'!M7,0))+parametros_manuales!$F$21*('Plan mensual'!M4+IF(parametros_manuales!$H$21="Todos",'Plan mensual'!M8,0))+parametros_manuales!$G$21*('Plan mensual'!M5+IF(parametros_manuales!$H$21="Todos",'Plan mensual'!M9,0)))*parametros_manuales!$I$21*parametros_manuales!$J$21</f>
        <v>313.405240725</v>
      </c>
      <c r="L4" s="9" t="n">
        <f aca="false">(parametros_manuales!$D$21*('Plan mensual'!N2+IF(parametros_manuales!$H$21="Todos",'Plan mensual'!N6,0))+parametros_manuales!$E$21*('Plan mensual'!N3+IF(parametros_manuales!$H$21="Todos",'Plan mensual'!N7,0))+parametros_manuales!$F$21*('Plan mensual'!N4+IF(parametros_manuales!$H$21="Todos",'Plan mensual'!N8,0))+parametros_manuales!$G$21*('Plan mensual'!N5+IF(parametros_manuales!$H$21="Todos",'Plan mensual'!N9,0)))*parametros_manuales!$I$21*parametros_manuales!$J$21</f>
        <v>313.405240725</v>
      </c>
      <c r="M4" s="9" t="n">
        <f aca="false">(parametros_manuales!$D$21*('Plan mensual'!O2+IF(parametros_manuales!$H$21="Todos",'Plan mensual'!O6,0))+parametros_manuales!$E$21*('Plan mensual'!O3+IF(parametros_manuales!$H$21="Todos",'Plan mensual'!O7,0))+parametros_manuales!$F$21*('Plan mensual'!O4+IF(parametros_manuales!$H$21="Todos",'Plan mensual'!O8,0))+parametros_manuales!$G$21*('Plan mensual'!O5+IF(parametros_manuales!$H$21="Todos",'Plan mensual'!O9,0)))*parametros_manuales!$I$21*parametros_manuales!$J$21</f>
        <v>501.44838516</v>
      </c>
      <c r="N4" s="9" t="n">
        <f aca="false">SUM(B4:M4)</f>
        <v>4178.736543</v>
      </c>
      <c r="O4" s="9" t="n">
        <f aca="false">MAX(B4:M4)</f>
        <v>501.44838516</v>
      </c>
      <c r="P4" s="43" t="n">
        <f aca="false">O4/(parametros_manuales!$B$7)</f>
        <v>3.3429892344</v>
      </c>
      <c r="Q4" s="8" t="str">
        <f aca="false">IF(O4=0,"-",INDEX($B$1:$M$1,MATCH(O4,B4:M4,0)))</f>
        <v>Ene</v>
      </c>
    </row>
    <row r="5" customFormat="false" ht="14.25" hidden="false" customHeight="true" outlineLevel="0" collapsed="false">
      <c r="A5" s="8" t="str">
        <f aca="false">parametros_manuales!$B$22</f>
        <v>Corte de disco y embutido (cúpula y fondo)</v>
      </c>
      <c r="B5" s="9" t="n">
        <f aca="false">(parametros_manuales!$D$22*('Plan mensual'!D2+IF(parametros_manuales!$H$22="Todos",'Plan mensual'!D6,0))+parametros_manuales!$E$22*('Plan mensual'!D3+IF(parametros_manuales!$H$22="Todos",'Plan mensual'!D7,0))+parametros_manuales!$F$22*('Plan mensual'!D4+IF(parametros_manuales!$H$22="Todos",'Plan mensual'!D8,0))+parametros_manuales!$G$22*('Plan mensual'!D5+IF(parametros_manuales!$H$22="Todos",'Plan mensual'!D9,0)))*parametros_manuales!$I$22*parametros_manuales!$J$22</f>
        <v>1539.624083066</v>
      </c>
      <c r="C5" s="9" t="n">
        <f aca="false">(parametros_manuales!$D$22*('Plan mensual'!E2+IF(parametros_manuales!$H$22="Todos",'Plan mensual'!E6,0))+parametros_manuales!$E$22*('Plan mensual'!E3+IF(parametros_manuales!$H$22="Todos",'Plan mensual'!E7,0))+parametros_manuales!$F$22*('Plan mensual'!E4+IF(parametros_manuales!$H$22="Todos",'Plan mensual'!E8,0))+parametros_manuales!$G$22*('Plan mensual'!E5+IF(parametros_manuales!$H$22="Todos",'Plan mensual'!E9,0)))*parametros_manuales!$I$22*parametros_manuales!$J$22</f>
        <v>1181.5544279368</v>
      </c>
      <c r="D5" s="9" t="n">
        <f aca="false">(parametros_manuales!$D$22*('Plan mensual'!F2+IF(parametros_manuales!$H$22="Todos",'Plan mensual'!F6,0))+parametros_manuales!$E$22*('Plan mensual'!F3+IF(parametros_manuales!$H$22="Todos",'Plan mensual'!F7,0))+parametros_manuales!$F$22*('Plan mensual'!F4+IF(parametros_manuales!$H$22="Todos",'Plan mensual'!F8,0))+parametros_manuales!$G$22*('Plan mensual'!F5+IF(parametros_manuales!$H$22="Todos",'Plan mensual'!F9,0)))*parametros_manuales!$I$22*parametros_manuales!$J$22</f>
        <v>1124.8160627141</v>
      </c>
      <c r="E5" s="9" t="n">
        <f aca="false">(parametros_manuales!$D$22*('Plan mensual'!G2+IF(parametros_manuales!$H$22="Todos",'Plan mensual'!G6,0))+parametros_manuales!$E$22*('Plan mensual'!G3+IF(parametros_manuales!$H$22="Todos",'Plan mensual'!G7,0))+parametros_manuales!$F$22*('Plan mensual'!G4+IF(parametros_manuales!$H$22="Todos",'Plan mensual'!G8,0))+parametros_manuales!$G$22*('Plan mensual'!G5+IF(parametros_manuales!$H$22="Todos",'Plan mensual'!G9,0)))*parametros_manuales!$I$22*parametros_manuales!$J$22</f>
        <v>1083.0286972841</v>
      </c>
      <c r="F5" s="9" t="n">
        <f aca="false">(parametros_manuales!$D$22*('Plan mensual'!H2+IF(parametros_manuales!$H$22="Todos",'Plan mensual'!H6,0))+parametros_manuales!$E$22*('Plan mensual'!H3+IF(parametros_manuales!$H$22="Todos",'Plan mensual'!H7,0))+parametros_manuales!$F$22*('Plan mensual'!H4+IF(parametros_manuales!$H$22="Todos",'Plan mensual'!H8,0))+parametros_manuales!$G$22*('Plan mensual'!H5+IF(parametros_manuales!$H$22="Todos",'Plan mensual'!H9,0)))*parametros_manuales!$I$22*parametros_manuales!$J$22</f>
        <v>1014.4049662168</v>
      </c>
      <c r="G5" s="9" t="n">
        <f aca="false">(parametros_manuales!$D$22*('Plan mensual'!I2+IF(parametros_manuales!$H$22="Todos",'Plan mensual'!I6,0))+parametros_manuales!$E$22*('Plan mensual'!I3+IF(parametros_manuales!$H$22="Todos",'Plan mensual'!I7,0))+parametros_manuales!$F$22*('Plan mensual'!I4+IF(parametros_manuales!$H$22="Todos",'Plan mensual'!I8,0))+parametros_manuales!$G$22*('Plan mensual'!I5+IF(parametros_manuales!$H$22="Todos",'Plan mensual'!I9,0)))*parametros_manuales!$I$22*parametros_manuales!$J$22</f>
        <v>987.5686005795</v>
      </c>
      <c r="H5" s="9" t="n">
        <f aca="false">(parametros_manuales!$D$22*('Plan mensual'!J2+IF(parametros_manuales!$H$22="Todos",'Plan mensual'!J6,0))+parametros_manuales!$E$22*('Plan mensual'!J3+IF(parametros_manuales!$H$22="Todos",'Plan mensual'!J7,0))+parametros_manuales!$F$22*('Plan mensual'!J4+IF(parametros_manuales!$H$22="Todos",'Plan mensual'!J8,0))+parametros_manuales!$G$22*('Plan mensual'!J5+IF(parametros_manuales!$H$22="Todos",'Plan mensual'!J9,0)))*parametros_manuales!$I$22*parametros_manuales!$J$22</f>
        <v>1056.1923316468</v>
      </c>
      <c r="I5" s="9" t="n">
        <f aca="false">(parametros_manuales!$D$22*('Plan mensual'!K2+IF(parametros_manuales!$H$22="Todos",'Plan mensual'!K6,0))+parametros_manuales!$E$22*('Plan mensual'!K3+IF(parametros_manuales!$H$22="Todos",'Plan mensual'!K7,0))+parametros_manuales!$F$22*('Plan mensual'!K4+IF(parametros_manuales!$H$22="Todos",'Plan mensual'!K8,0))+parametros_manuales!$G$22*('Plan mensual'!K5+IF(parametros_manuales!$H$22="Todos",'Plan mensual'!K9,0)))*parametros_manuales!$I$22*parametros_manuales!$J$22</f>
        <v>1056.1923316468</v>
      </c>
      <c r="J5" s="9" t="n">
        <f aca="false">(parametros_manuales!$D$22*('Plan mensual'!L2+IF(parametros_manuales!$H$22="Todos",'Plan mensual'!L6,0))+parametros_manuales!$E$22*('Plan mensual'!L3+IF(parametros_manuales!$H$22="Todos",'Plan mensual'!L7,0))+parametros_manuales!$F$22*('Plan mensual'!L4+IF(parametros_manuales!$H$22="Todos",'Plan mensual'!L8,0))+parametros_manuales!$G$22*('Plan mensual'!L5+IF(parametros_manuales!$H$22="Todos",'Plan mensual'!L9,0)))*parametros_manuales!$I$22*parametros_manuales!$J$22</f>
        <v>1056.1923316468</v>
      </c>
      <c r="K5" s="9" t="n">
        <f aca="false">(parametros_manuales!$D$22*('Plan mensual'!M2+IF(parametros_manuales!$H$22="Todos",'Plan mensual'!M6,0))+parametros_manuales!$E$22*('Plan mensual'!M3+IF(parametros_manuales!$H$22="Todos",'Plan mensual'!M7,0))+parametros_manuales!$F$22*('Plan mensual'!M4+IF(parametros_manuales!$H$22="Todos",'Plan mensual'!M8,0))+parametros_manuales!$G$22*('Plan mensual'!M5+IF(parametros_manuales!$H$22="Todos",'Plan mensual'!M9,0)))*parametros_manuales!$I$22*parametros_manuales!$J$22</f>
        <v>1029.3559660095</v>
      </c>
      <c r="L5" s="9" t="n">
        <f aca="false">(parametros_manuales!$D$22*('Plan mensual'!N2+IF(parametros_manuales!$H$22="Todos",'Plan mensual'!N6,0))+parametros_manuales!$E$22*('Plan mensual'!N3+IF(parametros_manuales!$H$22="Todos",'Plan mensual'!N7,0))+parametros_manuales!$F$22*('Plan mensual'!N4+IF(parametros_manuales!$H$22="Todos",'Plan mensual'!N8,0))+parametros_manuales!$G$22*('Plan mensual'!N5+IF(parametros_manuales!$H$22="Todos",'Plan mensual'!N9,0)))*parametros_manuales!$I$22*parametros_manuales!$J$22</f>
        <v>1002.5196003722</v>
      </c>
      <c r="M5" s="9" t="n">
        <f aca="false">(parametros_manuales!$D$22*('Plan mensual'!O2+IF(parametros_manuales!$H$22="Todos",'Plan mensual'!O6,0))+parametros_manuales!$E$22*('Plan mensual'!O3+IF(parametros_manuales!$H$22="Todos",'Plan mensual'!O7,0))+parametros_manuales!$F$22*('Plan mensual'!O4+IF(parametros_manuales!$H$22="Todos",'Plan mensual'!O8,0))+parametros_manuales!$G$22*('Plan mensual'!O5+IF(parametros_manuales!$H$22="Todos",'Plan mensual'!O9,0)))*parametros_manuales!$I$22*parametros_manuales!$J$22</f>
        <v>1593.2968143406</v>
      </c>
      <c r="N5" s="9" t="n">
        <f aca="false">SUM(B5:M5)</f>
        <v>13724.74621346</v>
      </c>
      <c r="O5" s="9" t="n">
        <f aca="false">MAX(B5:M5)</f>
        <v>1593.2968143406</v>
      </c>
      <c r="P5" s="43" t="n">
        <f aca="false">O5/(parametros_manuales!$B$7)</f>
        <v>10.6219787622707</v>
      </c>
      <c r="Q5" s="8" t="str">
        <f aca="false">IF(O5=0,"-",INDEX($B$1:$M$1,MATCH(O5,B5:M5,0)))</f>
        <v>Dic</v>
      </c>
    </row>
    <row r="6" customFormat="false" ht="14.25" hidden="false" customHeight="true" outlineLevel="0" collapsed="false">
      <c r="A6" s="8" t="str">
        <f aca="false">parametros_manuales!$B$23</f>
        <v>Preparación de cuello</v>
      </c>
      <c r="B6" s="9" t="n">
        <f aca="false">(parametros_manuales!$D$23*('Plan mensual'!D2+IF(parametros_manuales!$H$23="Todos",'Plan mensual'!D6,0))+parametros_manuales!$E$23*('Plan mensual'!D3+IF(parametros_manuales!$H$23="Todos",'Plan mensual'!D7,0))+parametros_manuales!$F$23*('Plan mensual'!D4+IF(parametros_manuales!$H$23="Todos",'Plan mensual'!D8,0))+parametros_manuales!$G$23*('Plan mensual'!D5+IF(parametros_manuales!$H$23="Todos",'Plan mensual'!D9,0)))*parametros_manuales!$I$23*parametros_manuales!$J$23</f>
        <v>769.812041533</v>
      </c>
      <c r="C6" s="9" t="n">
        <f aca="false">(parametros_manuales!$D$23*('Plan mensual'!E2+IF(parametros_manuales!$H$23="Todos",'Plan mensual'!E6,0))+parametros_manuales!$E$23*('Plan mensual'!E3+IF(parametros_manuales!$H$23="Todos",'Plan mensual'!E7,0))+parametros_manuales!$F$23*('Plan mensual'!E4+IF(parametros_manuales!$H$23="Todos",'Plan mensual'!E8,0))+parametros_manuales!$G$23*('Plan mensual'!E5+IF(parametros_manuales!$H$23="Todos",'Plan mensual'!E9,0)))*parametros_manuales!$I$23*parametros_manuales!$J$23</f>
        <v>590.7772139684</v>
      </c>
      <c r="D6" s="9" t="n">
        <f aca="false">(parametros_manuales!$D$23*('Plan mensual'!F2+IF(parametros_manuales!$H$23="Todos",'Plan mensual'!F6,0))+parametros_manuales!$E$23*('Plan mensual'!F3+IF(parametros_manuales!$H$23="Todos",'Plan mensual'!F7,0))+parametros_manuales!$F$23*('Plan mensual'!F4+IF(parametros_manuales!$H$23="Todos",'Plan mensual'!F8,0))+parametros_manuales!$G$23*('Plan mensual'!F5+IF(parametros_manuales!$H$23="Todos",'Plan mensual'!F9,0)))*parametros_manuales!$I$23*parametros_manuales!$J$23</f>
        <v>562.40803135705</v>
      </c>
      <c r="E6" s="9" t="n">
        <f aca="false">(parametros_manuales!$D$23*('Plan mensual'!G2+IF(parametros_manuales!$H$23="Todos",'Plan mensual'!G6,0))+parametros_manuales!$E$23*('Plan mensual'!G3+IF(parametros_manuales!$H$23="Todos",'Plan mensual'!G7,0))+parametros_manuales!$F$23*('Plan mensual'!G4+IF(parametros_manuales!$H$23="Todos",'Plan mensual'!G8,0))+parametros_manuales!$G$23*('Plan mensual'!G5+IF(parametros_manuales!$H$23="Todos",'Plan mensual'!G9,0)))*parametros_manuales!$I$23*parametros_manuales!$J$23</f>
        <v>541.51434864205</v>
      </c>
      <c r="F6" s="9" t="n">
        <f aca="false">(parametros_manuales!$D$23*('Plan mensual'!H2+IF(parametros_manuales!$H$23="Todos",'Plan mensual'!H6,0))+parametros_manuales!$E$23*('Plan mensual'!H3+IF(parametros_manuales!$H$23="Todos",'Plan mensual'!H7,0))+parametros_manuales!$F$23*('Plan mensual'!H4+IF(parametros_manuales!$H$23="Todos",'Plan mensual'!H8,0))+parametros_manuales!$G$23*('Plan mensual'!H5+IF(parametros_manuales!$H$23="Todos",'Plan mensual'!H9,0)))*parametros_manuales!$I$23*parametros_manuales!$J$23</f>
        <v>507.2024831084</v>
      </c>
      <c r="G6" s="9" t="n">
        <f aca="false">(parametros_manuales!$D$23*('Plan mensual'!I2+IF(parametros_manuales!$H$23="Todos",'Plan mensual'!I6,0))+parametros_manuales!$E$23*('Plan mensual'!I3+IF(parametros_manuales!$H$23="Todos",'Plan mensual'!I7,0))+parametros_manuales!$F$23*('Plan mensual'!I4+IF(parametros_manuales!$H$23="Todos",'Plan mensual'!I8,0))+parametros_manuales!$G$23*('Plan mensual'!I5+IF(parametros_manuales!$H$23="Todos",'Plan mensual'!I9,0)))*parametros_manuales!$I$23*parametros_manuales!$J$23</f>
        <v>493.78430028975</v>
      </c>
      <c r="H6" s="9" t="n">
        <f aca="false">(parametros_manuales!$D$23*('Plan mensual'!J2+IF(parametros_manuales!$H$23="Todos",'Plan mensual'!J6,0))+parametros_manuales!$E$23*('Plan mensual'!J3+IF(parametros_manuales!$H$23="Todos",'Plan mensual'!J7,0))+parametros_manuales!$F$23*('Plan mensual'!J4+IF(parametros_manuales!$H$23="Todos",'Plan mensual'!J8,0))+parametros_manuales!$G$23*('Plan mensual'!J5+IF(parametros_manuales!$H$23="Todos",'Plan mensual'!J9,0)))*parametros_manuales!$I$23*parametros_manuales!$J$23</f>
        <v>528.0961658234</v>
      </c>
      <c r="I6" s="9" t="n">
        <f aca="false">(parametros_manuales!$D$23*('Plan mensual'!K2+IF(parametros_manuales!$H$23="Todos",'Plan mensual'!K6,0))+parametros_manuales!$E$23*('Plan mensual'!K3+IF(parametros_manuales!$H$23="Todos",'Plan mensual'!K7,0))+parametros_manuales!$F$23*('Plan mensual'!K4+IF(parametros_manuales!$H$23="Todos",'Plan mensual'!K8,0))+parametros_manuales!$G$23*('Plan mensual'!K5+IF(parametros_manuales!$H$23="Todos",'Plan mensual'!K9,0)))*parametros_manuales!$I$23*parametros_manuales!$J$23</f>
        <v>528.0961658234</v>
      </c>
      <c r="J6" s="9" t="n">
        <f aca="false">(parametros_manuales!$D$23*('Plan mensual'!L2+IF(parametros_manuales!$H$23="Todos",'Plan mensual'!L6,0))+parametros_manuales!$E$23*('Plan mensual'!L3+IF(parametros_manuales!$H$23="Todos",'Plan mensual'!L7,0))+parametros_manuales!$F$23*('Plan mensual'!L4+IF(parametros_manuales!$H$23="Todos",'Plan mensual'!L8,0))+parametros_manuales!$G$23*('Plan mensual'!L5+IF(parametros_manuales!$H$23="Todos",'Plan mensual'!L9,0)))*parametros_manuales!$I$23*parametros_manuales!$J$23</f>
        <v>528.0961658234</v>
      </c>
      <c r="K6" s="9" t="n">
        <f aca="false">(parametros_manuales!$D$23*('Plan mensual'!M2+IF(parametros_manuales!$H$23="Todos",'Plan mensual'!M6,0))+parametros_manuales!$E$23*('Plan mensual'!M3+IF(parametros_manuales!$H$23="Todos",'Plan mensual'!M7,0))+parametros_manuales!$F$23*('Plan mensual'!M4+IF(parametros_manuales!$H$23="Todos",'Plan mensual'!M8,0))+parametros_manuales!$G$23*('Plan mensual'!M5+IF(parametros_manuales!$H$23="Todos",'Plan mensual'!M9,0)))*parametros_manuales!$I$23*parametros_manuales!$J$23</f>
        <v>514.67798300475</v>
      </c>
      <c r="L6" s="9" t="n">
        <f aca="false">(parametros_manuales!$D$23*('Plan mensual'!N2+IF(parametros_manuales!$H$23="Todos",'Plan mensual'!N6,0))+parametros_manuales!$E$23*('Plan mensual'!N3+IF(parametros_manuales!$H$23="Todos",'Plan mensual'!N7,0))+parametros_manuales!$F$23*('Plan mensual'!N4+IF(parametros_manuales!$H$23="Todos",'Plan mensual'!N8,0))+parametros_manuales!$G$23*('Plan mensual'!N5+IF(parametros_manuales!$H$23="Todos",'Plan mensual'!N9,0)))*parametros_manuales!$I$23*parametros_manuales!$J$23</f>
        <v>501.2598001861</v>
      </c>
      <c r="M6" s="9" t="n">
        <f aca="false">(parametros_manuales!$D$23*('Plan mensual'!O2+IF(parametros_manuales!$H$23="Todos",'Plan mensual'!O6,0))+parametros_manuales!$E$23*('Plan mensual'!O3+IF(parametros_manuales!$H$23="Todos",'Plan mensual'!O7,0))+parametros_manuales!$F$23*('Plan mensual'!O4+IF(parametros_manuales!$H$23="Todos",'Plan mensual'!O8,0))+parametros_manuales!$G$23*('Plan mensual'!O5+IF(parametros_manuales!$H$23="Todos",'Plan mensual'!O9,0)))*parametros_manuales!$I$23*parametros_manuales!$J$23</f>
        <v>796.6484071703</v>
      </c>
      <c r="N6" s="9" t="n">
        <f aca="false">SUM(B6:M6)</f>
        <v>6862.37310673</v>
      </c>
      <c r="O6" s="9" t="n">
        <f aca="false">MAX(B6:M6)</f>
        <v>796.6484071703</v>
      </c>
      <c r="P6" s="43" t="n">
        <f aca="false">O6/(parametros_manuales!$B$7)</f>
        <v>5.31098938113533</v>
      </c>
      <c r="Q6" s="8" t="str">
        <f aca="false">IF(O6=0,"-",INDEX($B$1:$M$1,MATCH(O6,B6:M6,0)))</f>
        <v>Dic</v>
      </c>
    </row>
    <row r="7" customFormat="false" ht="14.25" hidden="false" customHeight="true" outlineLevel="0" collapsed="false">
      <c r="A7" s="8" t="str">
        <f aca="false">parametros_manuales!$B$24</f>
        <v>Numerado de cúpula</v>
      </c>
      <c r="B7" s="9" t="n">
        <f aca="false">(parametros_manuales!$D$24*('Plan mensual'!D2+IF(parametros_manuales!$H$24="Todos",'Plan mensual'!D6,0))+parametros_manuales!$E$24*('Plan mensual'!D3+IF(parametros_manuales!$H$24="Todos",'Plan mensual'!D7,0))+parametros_manuales!$F$24*('Plan mensual'!D4+IF(parametros_manuales!$H$24="Todos",'Plan mensual'!D8,0))+parametros_manuales!$G$24*('Plan mensual'!D5+IF(parametros_manuales!$H$24="Todos",'Plan mensual'!D9,0)))*parametros_manuales!$I$24*parametros_manuales!$J$24</f>
        <v>769.812041533</v>
      </c>
      <c r="C7" s="9" t="n">
        <f aca="false">(parametros_manuales!$D$24*('Plan mensual'!E2+IF(parametros_manuales!$H$24="Todos",'Plan mensual'!E6,0))+parametros_manuales!$E$24*('Plan mensual'!E3+IF(parametros_manuales!$H$24="Todos",'Plan mensual'!E7,0))+parametros_manuales!$F$24*('Plan mensual'!E4+IF(parametros_manuales!$H$24="Todos",'Plan mensual'!E8,0))+parametros_manuales!$G$24*('Plan mensual'!E5+IF(parametros_manuales!$H$24="Todos",'Plan mensual'!E9,0)))*parametros_manuales!$I$24*parametros_manuales!$J$24</f>
        <v>590.7772139684</v>
      </c>
      <c r="D7" s="9" t="n">
        <f aca="false">(parametros_manuales!$D$24*('Plan mensual'!F2+IF(parametros_manuales!$H$24="Todos",'Plan mensual'!F6,0))+parametros_manuales!$E$24*('Plan mensual'!F3+IF(parametros_manuales!$H$24="Todos",'Plan mensual'!F7,0))+parametros_manuales!$F$24*('Plan mensual'!F4+IF(parametros_manuales!$H$24="Todos",'Plan mensual'!F8,0))+parametros_manuales!$G$24*('Plan mensual'!F5+IF(parametros_manuales!$H$24="Todos",'Plan mensual'!F9,0)))*parametros_manuales!$I$24*parametros_manuales!$J$24</f>
        <v>562.40803135705</v>
      </c>
      <c r="E7" s="9" t="n">
        <f aca="false">(parametros_manuales!$D$24*('Plan mensual'!G2+IF(parametros_manuales!$H$24="Todos",'Plan mensual'!G6,0))+parametros_manuales!$E$24*('Plan mensual'!G3+IF(parametros_manuales!$H$24="Todos",'Plan mensual'!G7,0))+parametros_manuales!$F$24*('Plan mensual'!G4+IF(parametros_manuales!$H$24="Todos",'Plan mensual'!G8,0))+parametros_manuales!$G$24*('Plan mensual'!G5+IF(parametros_manuales!$H$24="Todos",'Plan mensual'!G9,0)))*parametros_manuales!$I$24*parametros_manuales!$J$24</f>
        <v>541.51434864205</v>
      </c>
      <c r="F7" s="9" t="n">
        <f aca="false">(parametros_manuales!$D$24*('Plan mensual'!H2+IF(parametros_manuales!$H$24="Todos",'Plan mensual'!H6,0))+parametros_manuales!$E$24*('Plan mensual'!H3+IF(parametros_manuales!$H$24="Todos",'Plan mensual'!H7,0))+parametros_manuales!$F$24*('Plan mensual'!H4+IF(parametros_manuales!$H$24="Todos",'Plan mensual'!H8,0))+parametros_manuales!$G$24*('Plan mensual'!H5+IF(parametros_manuales!$H$24="Todos",'Plan mensual'!H9,0)))*parametros_manuales!$I$24*parametros_manuales!$J$24</f>
        <v>507.2024831084</v>
      </c>
      <c r="G7" s="9" t="n">
        <f aca="false">(parametros_manuales!$D$24*('Plan mensual'!I2+IF(parametros_manuales!$H$24="Todos",'Plan mensual'!I6,0))+parametros_manuales!$E$24*('Plan mensual'!I3+IF(parametros_manuales!$H$24="Todos",'Plan mensual'!I7,0))+parametros_manuales!$F$24*('Plan mensual'!I4+IF(parametros_manuales!$H$24="Todos",'Plan mensual'!I8,0))+parametros_manuales!$G$24*('Plan mensual'!I5+IF(parametros_manuales!$H$24="Todos",'Plan mensual'!I9,0)))*parametros_manuales!$I$24*parametros_manuales!$J$24</f>
        <v>493.78430028975</v>
      </c>
      <c r="H7" s="9" t="n">
        <f aca="false">(parametros_manuales!$D$24*('Plan mensual'!J2+IF(parametros_manuales!$H$24="Todos",'Plan mensual'!J6,0))+parametros_manuales!$E$24*('Plan mensual'!J3+IF(parametros_manuales!$H$24="Todos",'Plan mensual'!J7,0))+parametros_manuales!$F$24*('Plan mensual'!J4+IF(parametros_manuales!$H$24="Todos",'Plan mensual'!J8,0))+parametros_manuales!$G$24*('Plan mensual'!J5+IF(parametros_manuales!$H$24="Todos",'Plan mensual'!J9,0)))*parametros_manuales!$I$24*parametros_manuales!$J$24</f>
        <v>528.0961658234</v>
      </c>
      <c r="I7" s="9" t="n">
        <f aca="false">(parametros_manuales!$D$24*('Plan mensual'!K2+IF(parametros_manuales!$H$24="Todos",'Plan mensual'!K6,0))+parametros_manuales!$E$24*('Plan mensual'!K3+IF(parametros_manuales!$H$24="Todos",'Plan mensual'!K7,0))+parametros_manuales!$F$24*('Plan mensual'!K4+IF(parametros_manuales!$H$24="Todos",'Plan mensual'!K8,0))+parametros_manuales!$G$24*('Plan mensual'!K5+IF(parametros_manuales!$H$24="Todos",'Plan mensual'!K9,0)))*parametros_manuales!$I$24*parametros_manuales!$J$24</f>
        <v>528.0961658234</v>
      </c>
      <c r="J7" s="9" t="n">
        <f aca="false">(parametros_manuales!$D$24*('Plan mensual'!L2+IF(parametros_manuales!$H$24="Todos",'Plan mensual'!L6,0))+parametros_manuales!$E$24*('Plan mensual'!L3+IF(parametros_manuales!$H$24="Todos",'Plan mensual'!L7,0))+parametros_manuales!$F$24*('Plan mensual'!L4+IF(parametros_manuales!$H$24="Todos",'Plan mensual'!L8,0))+parametros_manuales!$G$24*('Plan mensual'!L5+IF(parametros_manuales!$H$24="Todos",'Plan mensual'!L9,0)))*parametros_manuales!$I$24*parametros_manuales!$J$24</f>
        <v>528.0961658234</v>
      </c>
      <c r="K7" s="9" t="n">
        <f aca="false">(parametros_manuales!$D$24*('Plan mensual'!M2+IF(parametros_manuales!$H$24="Todos",'Plan mensual'!M6,0))+parametros_manuales!$E$24*('Plan mensual'!M3+IF(parametros_manuales!$H$24="Todos",'Plan mensual'!M7,0))+parametros_manuales!$F$24*('Plan mensual'!M4+IF(parametros_manuales!$H$24="Todos",'Plan mensual'!M8,0))+parametros_manuales!$G$24*('Plan mensual'!M5+IF(parametros_manuales!$H$24="Todos",'Plan mensual'!M9,0)))*parametros_manuales!$I$24*parametros_manuales!$J$24</f>
        <v>514.67798300475</v>
      </c>
      <c r="L7" s="9" t="n">
        <f aca="false">(parametros_manuales!$D$24*('Plan mensual'!N2+IF(parametros_manuales!$H$24="Todos",'Plan mensual'!N6,0))+parametros_manuales!$E$24*('Plan mensual'!N3+IF(parametros_manuales!$H$24="Todos",'Plan mensual'!N7,0))+parametros_manuales!$F$24*('Plan mensual'!N4+IF(parametros_manuales!$H$24="Todos",'Plan mensual'!N8,0))+parametros_manuales!$G$24*('Plan mensual'!N5+IF(parametros_manuales!$H$24="Todos",'Plan mensual'!N9,0)))*parametros_manuales!$I$24*parametros_manuales!$J$24</f>
        <v>501.2598001861</v>
      </c>
      <c r="M7" s="9" t="n">
        <f aca="false">(parametros_manuales!$D$24*('Plan mensual'!O2+IF(parametros_manuales!$H$24="Todos",'Plan mensual'!O6,0))+parametros_manuales!$E$24*('Plan mensual'!O3+IF(parametros_manuales!$H$24="Todos",'Plan mensual'!O7,0))+parametros_manuales!$F$24*('Plan mensual'!O4+IF(parametros_manuales!$H$24="Todos",'Plan mensual'!O8,0))+parametros_manuales!$G$24*('Plan mensual'!O5+IF(parametros_manuales!$H$24="Todos",'Plan mensual'!O9,0)))*parametros_manuales!$I$24*parametros_manuales!$J$24</f>
        <v>796.6484071703</v>
      </c>
      <c r="N7" s="9" t="n">
        <f aca="false">SUM(B7:M7)</f>
        <v>6862.37310673</v>
      </c>
      <c r="O7" s="9" t="n">
        <f aca="false">MAX(B7:M7)</f>
        <v>796.6484071703</v>
      </c>
      <c r="P7" s="43" t="n">
        <f aca="false">O7/(parametros_manuales!$B$7)</f>
        <v>5.31098938113533</v>
      </c>
      <c r="Q7" s="8" t="str">
        <f aca="false">IF(O7=0,"-",INDEX($B$1:$M$1,MATCH(O7,B7:M7,0)))</f>
        <v>Dic</v>
      </c>
    </row>
    <row r="8" customFormat="false" ht="14.25" hidden="false" customHeight="true" outlineLevel="0" collapsed="false">
      <c r="A8" s="8" t="str">
        <f aca="false">parametros_manuales!$B$25</f>
        <v>Soldadura del cuello a la cúpula</v>
      </c>
      <c r="B8" s="9" t="n">
        <f aca="false">(parametros_manuales!$D$25*('Plan mensual'!D2+IF(parametros_manuales!$H$25="Todos",'Plan mensual'!D6,0))+parametros_manuales!$E$25*('Plan mensual'!D3+IF(parametros_manuales!$H$25="Todos",'Plan mensual'!D7,0))+parametros_manuales!$F$25*('Plan mensual'!D4+IF(parametros_manuales!$H$25="Todos",'Plan mensual'!D8,0))+parametros_manuales!$G$25*('Plan mensual'!D5+IF(parametros_manuales!$H$25="Todos",'Plan mensual'!D9,0)))*parametros_manuales!$I$25*parametros_manuales!$J$25</f>
        <v>769.812041533</v>
      </c>
      <c r="C8" s="9" t="n">
        <f aca="false">(parametros_manuales!$D$25*('Plan mensual'!E2+IF(parametros_manuales!$H$25="Todos",'Plan mensual'!E6,0))+parametros_manuales!$E$25*('Plan mensual'!E3+IF(parametros_manuales!$H$25="Todos",'Plan mensual'!E7,0))+parametros_manuales!$F$25*('Plan mensual'!E4+IF(parametros_manuales!$H$25="Todos",'Plan mensual'!E8,0))+parametros_manuales!$G$25*('Plan mensual'!E5+IF(parametros_manuales!$H$25="Todos",'Plan mensual'!E9,0)))*parametros_manuales!$I$25*parametros_manuales!$J$25</f>
        <v>590.7772139684</v>
      </c>
      <c r="D8" s="9" t="n">
        <f aca="false">(parametros_manuales!$D$25*('Plan mensual'!F2+IF(parametros_manuales!$H$25="Todos",'Plan mensual'!F6,0))+parametros_manuales!$E$25*('Plan mensual'!F3+IF(parametros_manuales!$H$25="Todos",'Plan mensual'!F7,0))+parametros_manuales!$F$25*('Plan mensual'!F4+IF(parametros_manuales!$H$25="Todos",'Plan mensual'!F8,0))+parametros_manuales!$G$25*('Plan mensual'!F5+IF(parametros_manuales!$H$25="Todos",'Plan mensual'!F9,0)))*parametros_manuales!$I$25*parametros_manuales!$J$25</f>
        <v>562.40803135705</v>
      </c>
      <c r="E8" s="9" t="n">
        <f aca="false">(parametros_manuales!$D$25*('Plan mensual'!G2+IF(parametros_manuales!$H$25="Todos",'Plan mensual'!G6,0))+parametros_manuales!$E$25*('Plan mensual'!G3+IF(parametros_manuales!$H$25="Todos",'Plan mensual'!G7,0))+parametros_manuales!$F$25*('Plan mensual'!G4+IF(parametros_manuales!$H$25="Todos",'Plan mensual'!G8,0))+parametros_manuales!$G$25*('Plan mensual'!G5+IF(parametros_manuales!$H$25="Todos",'Plan mensual'!G9,0)))*parametros_manuales!$I$25*parametros_manuales!$J$25</f>
        <v>541.51434864205</v>
      </c>
      <c r="F8" s="9" t="n">
        <f aca="false">(parametros_manuales!$D$25*('Plan mensual'!H2+IF(parametros_manuales!$H$25="Todos",'Plan mensual'!H6,0))+parametros_manuales!$E$25*('Plan mensual'!H3+IF(parametros_manuales!$H$25="Todos",'Plan mensual'!H7,0))+parametros_manuales!$F$25*('Plan mensual'!H4+IF(parametros_manuales!$H$25="Todos",'Plan mensual'!H8,0))+parametros_manuales!$G$25*('Plan mensual'!H5+IF(parametros_manuales!$H$25="Todos",'Plan mensual'!H9,0)))*parametros_manuales!$I$25*parametros_manuales!$J$25</f>
        <v>507.2024831084</v>
      </c>
      <c r="G8" s="9" t="n">
        <f aca="false">(parametros_manuales!$D$25*('Plan mensual'!I2+IF(parametros_manuales!$H$25="Todos",'Plan mensual'!I6,0))+parametros_manuales!$E$25*('Plan mensual'!I3+IF(parametros_manuales!$H$25="Todos",'Plan mensual'!I7,0))+parametros_manuales!$F$25*('Plan mensual'!I4+IF(parametros_manuales!$H$25="Todos",'Plan mensual'!I8,0))+parametros_manuales!$G$25*('Plan mensual'!I5+IF(parametros_manuales!$H$25="Todos",'Plan mensual'!I9,0)))*parametros_manuales!$I$25*parametros_manuales!$J$25</f>
        <v>493.78430028975</v>
      </c>
      <c r="H8" s="9" t="n">
        <f aca="false">(parametros_manuales!$D$25*('Plan mensual'!J2+IF(parametros_manuales!$H$25="Todos",'Plan mensual'!J6,0))+parametros_manuales!$E$25*('Plan mensual'!J3+IF(parametros_manuales!$H$25="Todos",'Plan mensual'!J7,0))+parametros_manuales!$F$25*('Plan mensual'!J4+IF(parametros_manuales!$H$25="Todos",'Plan mensual'!J8,0))+parametros_manuales!$G$25*('Plan mensual'!J5+IF(parametros_manuales!$H$25="Todos",'Plan mensual'!J9,0)))*parametros_manuales!$I$25*parametros_manuales!$J$25</f>
        <v>528.0961658234</v>
      </c>
      <c r="I8" s="9" t="n">
        <f aca="false">(parametros_manuales!$D$25*('Plan mensual'!K2+IF(parametros_manuales!$H$25="Todos",'Plan mensual'!K6,0))+parametros_manuales!$E$25*('Plan mensual'!K3+IF(parametros_manuales!$H$25="Todos",'Plan mensual'!K7,0))+parametros_manuales!$F$25*('Plan mensual'!K4+IF(parametros_manuales!$H$25="Todos",'Plan mensual'!K8,0))+parametros_manuales!$G$25*('Plan mensual'!K5+IF(parametros_manuales!$H$25="Todos",'Plan mensual'!K9,0)))*parametros_manuales!$I$25*parametros_manuales!$J$25</f>
        <v>528.0961658234</v>
      </c>
      <c r="J8" s="9" t="n">
        <f aca="false">(parametros_manuales!$D$25*('Plan mensual'!L2+IF(parametros_manuales!$H$25="Todos",'Plan mensual'!L6,0))+parametros_manuales!$E$25*('Plan mensual'!L3+IF(parametros_manuales!$H$25="Todos",'Plan mensual'!L7,0))+parametros_manuales!$F$25*('Plan mensual'!L4+IF(parametros_manuales!$H$25="Todos",'Plan mensual'!L8,0))+parametros_manuales!$G$25*('Plan mensual'!L5+IF(parametros_manuales!$H$25="Todos",'Plan mensual'!L9,0)))*parametros_manuales!$I$25*parametros_manuales!$J$25</f>
        <v>528.0961658234</v>
      </c>
      <c r="K8" s="9" t="n">
        <f aca="false">(parametros_manuales!$D$25*('Plan mensual'!M2+IF(parametros_manuales!$H$25="Todos",'Plan mensual'!M6,0))+parametros_manuales!$E$25*('Plan mensual'!M3+IF(parametros_manuales!$H$25="Todos",'Plan mensual'!M7,0))+parametros_manuales!$F$25*('Plan mensual'!M4+IF(parametros_manuales!$H$25="Todos",'Plan mensual'!M8,0))+parametros_manuales!$G$25*('Plan mensual'!M5+IF(parametros_manuales!$H$25="Todos",'Plan mensual'!M9,0)))*parametros_manuales!$I$25*parametros_manuales!$J$25</f>
        <v>514.67798300475</v>
      </c>
      <c r="L8" s="9" t="n">
        <f aca="false">(parametros_manuales!$D$25*('Plan mensual'!N2+IF(parametros_manuales!$H$25="Todos",'Plan mensual'!N6,0))+parametros_manuales!$E$25*('Plan mensual'!N3+IF(parametros_manuales!$H$25="Todos",'Plan mensual'!N7,0))+parametros_manuales!$F$25*('Plan mensual'!N4+IF(parametros_manuales!$H$25="Todos",'Plan mensual'!N8,0))+parametros_manuales!$G$25*('Plan mensual'!N5+IF(parametros_manuales!$H$25="Todos",'Plan mensual'!N9,0)))*parametros_manuales!$I$25*parametros_manuales!$J$25</f>
        <v>501.2598001861</v>
      </c>
      <c r="M8" s="9" t="n">
        <f aca="false">(parametros_manuales!$D$25*('Plan mensual'!O2+IF(parametros_manuales!$H$25="Todos",'Plan mensual'!O6,0))+parametros_manuales!$E$25*('Plan mensual'!O3+IF(parametros_manuales!$H$25="Todos",'Plan mensual'!O7,0))+parametros_manuales!$F$25*('Plan mensual'!O4+IF(parametros_manuales!$H$25="Todos",'Plan mensual'!O8,0))+parametros_manuales!$G$25*('Plan mensual'!O5+IF(parametros_manuales!$H$25="Todos",'Plan mensual'!O9,0)))*parametros_manuales!$I$25*parametros_manuales!$J$25</f>
        <v>796.6484071703</v>
      </c>
      <c r="N8" s="9" t="n">
        <f aca="false">SUM(B8:M8)</f>
        <v>6862.37310673</v>
      </c>
      <c r="O8" s="9" t="n">
        <f aca="false">MAX(B8:M8)</f>
        <v>796.6484071703</v>
      </c>
      <c r="P8" s="43" t="n">
        <f aca="false">O8/(parametros_manuales!$B$7)</f>
        <v>5.31098938113533</v>
      </c>
      <c r="Q8" s="8" t="str">
        <f aca="false">IF(O8=0,"-",INDEX($B$1:$M$1,MATCH(O8,B8:M8,0)))</f>
        <v>Dic</v>
      </c>
    </row>
    <row r="9" customFormat="false" ht="14.25" hidden="false" customHeight="true" outlineLevel="0" collapsed="false">
      <c r="A9" s="8" t="str">
        <f aca="false">parametros_manuales!$B$26</f>
        <v>Cilindrado</v>
      </c>
      <c r="B9" s="9" t="n">
        <f aca="false">(parametros_manuales!$D$26*('Plan mensual'!D2+IF(parametros_manuales!$H$26="Todos",'Plan mensual'!D6,0))+parametros_manuales!$E$26*('Plan mensual'!D3+IF(parametros_manuales!$H$26="Todos",'Plan mensual'!D7,0))+parametros_manuales!$F$26*('Plan mensual'!D4+IF(parametros_manuales!$H$26="Todos",'Plan mensual'!D8,0))+parametros_manuales!$G$26*('Plan mensual'!D5+IF(parametros_manuales!$H$26="Todos",'Plan mensual'!D9,0)))*parametros_manuales!$I$26*parametros_manuales!$J$26</f>
        <v>268.363656373</v>
      </c>
      <c r="C9" s="9" t="n">
        <f aca="false">(parametros_manuales!$D$26*('Plan mensual'!E2+IF(parametros_manuales!$H$26="Todos",'Plan mensual'!E6,0))+parametros_manuales!$E$26*('Plan mensual'!E3+IF(parametros_manuales!$H$26="Todos",'Plan mensual'!E7,0))+parametros_manuales!$F$26*('Plan mensual'!E4+IF(parametros_manuales!$H$26="Todos",'Plan mensual'!E8,0))+parametros_manuales!$G$26*('Plan mensual'!E5+IF(parametros_manuales!$H$26="Todos",'Plan mensual'!E9,0)))*parametros_manuales!$I$26*parametros_manuales!$J$26</f>
        <v>214.6909250984</v>
      </c>
      <c r="D9" s="9" t="n">
        <f aca="false">(parametros_manuales!$D$26*('Plan mensual'!F2+IF(parametros_manuales!$H$26="Todos",'Plan mensual'!F6,0))+parametros_manuales!$E$26*('Plan mensual'!F3+IF(parametros_manuales!$H$26="Todos",'Plan mensual'!F7,0))+parametros_manuales!$F$26*('Plan mensual'!F4+IF(parametros_manuales!$H$26="Todos",'Plan mensual'!F8,0))+parametros_manuales!$G$26*('Plan mensual'!F5+IF(parametros_manuales!$H$26="Todos",'Plan mensual'!F9,0)))*parametros_manuales!$I$26*parametros_manuales!$J$26</f>
        <v>228.10910791705</v>
      </c>
      <c r="E9" s="9" t="n">
        <f aca="false">(parametros_manuales!$D$26*('Plan mensual'!G2+IF(parametros_manuales!$H$26="Todos",'Plan mensual'!G6,0))+parametros_manuales!$E$26*('Plan mensual'!G3+IF(parametros_manuales!$H$26="Todos",'Plan mensual'!G7,0))+parametros_manuales!$F$26*('Plan mensual'!G4+IF(parametros_manuales!$H$26="Todos",'Plan mensual'!G8,0))+parametros_manuales!$G$26*('Plan mensual'!G5+IF(parametros_manuales!$H$26="Todos",'Plan mensual'!G9,0)))*parametros_manuales!$I$26*parametros_manuales!$J$26</f>
        <v>228.10910791705</v>
      </c>
      <c r="F9" s="9" t="n">
        <f aca="false">(parametros_manuales!$D$26*('Plan mensual'!H2+IF(parametros_manuales!$H$26="Todos",'Plan mensual'!H6,0))+parametros_manuales!$E$26*('Plan mensual'!H3+IF(parametros_manuales!$H$26="Todos",'Plan mensual'!H7,0))+parametros_manuales!$F$26*('Plan mensual'!H4+IF(parametros_manuales!$H$26="Todos",'Plan mensual'!H8,0))+parametros_manuales!$G$26*('Plan mensual'!H5+IF(parametros_manuales!$H$26="Todos",'Plan mensual'!H9,0)))*parametros_manuales!$I$26*parametros_manuales!$J$26</f>
        <v>214.6909250984</v>
      </c>
      <c r="G9" s="9" t="n">
        <f aca="false">(parametros_manuales!$D$26*('Plan mensual'!I2+IF(parametros_manuales!$H$26="Todos",'Plan mensual'!I6,0))+parametros_manuales!$E$26*('Plan mensual'!I3+IF(parametros_manuales!$H$26="Todos",'Plan mensual'!I7,0))+parametros_manuales!$F$26*('Plan mensual'!I4+IF(parametros_manuales!$H$26="Todos",'Plan mensual'!I8,0))+parametros_manuales!$G$26*('Plan mensual'!I5+IF(parametros_manuales!$H$26="Todos",'Plan mensual'!I9,0)))*parametros_manuales!$I$26*parametros_manuales!$J$26</f>
        <v>201.27274227975</v>
      </c>
      <c r="H9" s="9" t="n">
        <f aca="false">(parametros_manuales!$D$26*('Plan mensual'!J2+IF(parametros_manuales!$H$26="Todos",'Plan mensual'!J6,0))+parametros_manuales!$E$26*('Plan mensual'!J3+IF(parametros_manuales!$H$26="Todos",'Plan mensual'!J7,0))+parametros_manuales!$F$26*('Plan mensual'!J4+IF(parametros_manuales!$H$26="Todos",'Plan mensual'!J8,0))+parametros_manuales!$G$26*('Plan mensual'!J5+IF(parametros_manuales!$H$26="Todos",'Plan mensual'!J9,0)))*parametros_manuales!$I$26*parametros_manuales!$J$26</f>
        <v>214.6909250984</v>
      </c>
      <c r="I9" s="9" t="n">
        <f aca="false">(parametros_manuales!$D$26*('Plan mensual'!K2+IF(parametros_manuales!$H$26="Todos",'Plan mensual'!K6,0))+parametros_manuales!$E$26*('Plan mensual'!K3+IF(parametros_manuales!$H$26="Todos",'Plan mensual'!K7,0))+parametros_manuales!$F$26*('Plan mensual'!K4+IF(parametros_manuales!$H$26="Todos",'Plan mensual'!K8,0))+parametros_manuales!$G$26*('Plan mensual'!K5+IF(parametros_manuales!$H$26="Todos",'Plan mensual'!K9,0)))*parametros_manuales!$I$26*parametros_manuales!$J$26</f>
        <v>214.6909250984</v>
      </c>
      <c r="J9" s="9" t="n">
        <f aca="false">(parametros_manuales!$D$26*('Plan mensual'!L2+IF(parametros_manuales!$H$26="Todos",'Plan mensual'!L6,0))+parametros_manuales!$E$26*('Plan mensual'!L3+IF(parametros_manuales!$H$26="Todos",'Plan mensual'!L7,0))+parametros_manuales!$F$26*('Plan mensual'!L4+IF(parametros_manuales!$H$26="Todos",'Plan mensual'!L8,0))+parametros_manuales!$G$26*('Plan mensual'!L5+IF(parametros_manuales!$H$26="Todos",'Plan mensual'!L9,0)))*parametros_manuales!$I$26*parametros_manuales!$J$26</f>
        <v>214.6909250984</v>
      </c>
      <c r="K9" s="9" t="n">
        <f aca="false">(parametros_manuales!$D$26*('Plan mensual'!M2+IF(parametros_manuales!$H$26="Todos",'Plan mensual'!M6,0))+parametros_manuales!$E$26*('Plan mensual'!M3+IF(parametros_manuales!$H$26="Todos",'Plan mensual'!M7,0))+parametros_manuales!$F$26*('Plan mensual'!M4+IF(parametros_manuales!$H$26="Todos",'Plan mensual'!M8,0))+parametros_manuales!$G$26*('Plan mensual'!M5+IF(parametros_manuales!$H$26="Todos",'Plan mensual'!M9,0)))*parametros_manuales!$I$26*parametros_manuales!$J$26</f>
        <v>201.27274227975</v>
      </c>
      <c r="L9" s="9" t="n">
        <f aca="false">(parametros_manuales!$D$26*('Plan mensual'!N2+IF(parametros_manuales!$H$26="Todos",'Plan mensual'!N6,0))+parametros_manuales!$E$26*('Plan mensual'!N3+IF(parametros_manuales!$H$26="Todos",'Plan mensual'!N7,0))+parametros_manuales!$F$26*('Plan mensual'!N4+IF(parametros_manuales!$H$26="Todos",'Plan mensual'!N8,0))+parametros_manuales!$G$26*('Plan mensual'!N5+IF(parametros_manuales!$H$26="Todos",'Plan mensual'!N9,0)))*parametros_manuales!$I$26*parametros_manuales!$J$26</f>
        <v>187.8545594611</v>
      </c>
      <c r="M9" s="9" t="n">
        <f aca="false">(parametros_manuales!$D$26*('Plan mensual'!O2+IF(parametros_manuales!$H$26="Todos",'Plan mensual'!O6,0))+parametros_manuales!$E$26*('Plan mensual'!O3+IF(parametros_manuales!$H$26="Todos",'Plan mensual'!O7,0))+parametros_manuales!$F$26*('Plan mensual'!O4+IF(parametros_manuales!$H$26="Todos",'Plan mensual'!O8,0))+parametros_manuales!$G$26*('Plan mensual'!O5+IF(parametros_manuales!$H$26="Todos",'Plan mensual'!O9,0)))*parametros_manuales!$I$26*parametros_manuales!$J$26</f>
        <v>295.2000220103</v>
      </c>
      <c r="N9" s="9" t="n">
        <f aca="false">SUM(B9:M9)</f>
        <v>2683.63656373</v>
      </c>
      <c r="O9" s="9" t="n">
        <f aca="false">MAX(B9:M9)</f>
        <v>295.2000220103</v>
      </c>
      <c r="P9" s="43" t="n">
        <f aca="false">O9/(parametros_manuales!$B$7)</f>
        <v>1.96800014673533</v>
      </c>
      <c r="Q9" s="8" t="str">
        <f aca="false">IF(O9=0,"-",INDEX($B$1:$M$1,MATCH(O9,B9:M9,0)))</f>
        <v>Dic</v>
      </c>
    </row>
    <row r="10" customFormat="false" ht="14.25" hidden="false" customHeight="true" outlineLevel="0" collapsed="false">
      <c r="A10" s="8" t="str">
        <f aca="false">parametros_manuales!$B$27</f>
        <v>Soldadura longitudinal</v>
      </c>
      <c r="B10" s="9" t="n">
        <f aca="false">(parametros_manuales!$D$27*('Plan mensual'!D2+IF(parametros_manuales!$H$27="Todos",'Plan mensual'!D6,0))+parametros_manuales!$E$27*('Plan mensual'!D3+IF(parametros_manuales!$H$27="Todos",'Plan mensual'!D7,0))+parametros_manuales!$F$27*('Plan mensual'!D4+IF(parametros_manuales!$H$27="Todos",'Plan mensual'!D8,0))+parametros_manuales!$G$27*('Plan mensual'!D5+IF(parametros_manuales!$H$27="Todos",'Plan mensual'!D9,0)))*parametros_manuales!$I$27*parametros_manuales!$J$27</f>
        <v>268.363656373</v>
      </c>
      <c r="C10" s="9" t="n">
        <f aca="false">(parametros_manuales!$D$27*('Plan mensual'!E2+IF(parametros_manuales!$H$27="Todos",'Plan mensual'!E6,0))+parametros_manuales!$E$27*('Plan mensual'!E3+IF(parametros_manuales!$H$27="Todos",'Plan mensual'!E7,0))+parametros_manuales!$F$27*('Plan mensual'!E4+IF(parametros_manuales!$H$27="Todos",'Plan mensual'!E8,0))+parametros_manuales!$G$27*('Plan mensual'!E5+IF(parametros_manuales!$H$27="Todos",'Plan mensual'!E9,0)))*parametros_manuales!$I$27*parametros_manuales!$J$27</f>
        <v>214.6909250984</v>
      </c>
      <c r="D10" s="9" t="n">
        <f aca="false">(parametros_manuales!$D$27*('Plan mensual'!F2+IF(parametros_manuales!$H$27="Todos",'Plan mensual'!F6,0))+parametros_manuales!$E$27*('Plan mensual'!F3+IF(parametros_manuales!$H$27="Todos",'Plan mensual'!F7,0))+parametros_manuales!$F$27*('Plan mensual'!F4+IF(parametros_manuales!$H$27="Todos",'Plan mensual'!F8,0))+parametros_manuales!$G$27*('Plan mensual'!F5+IF(parametros_manuales!$H$27="Todos",'Plan mensual'!F9,0)))*parametros_manuales!$I$27*parametros_manuales!$J$27</f>
        <v>228.10910791705</v>
      </c>
      <c r="E10" s="9" t="n">
        <f aca="false">(parametros_manuales!$D$27*('Plan mensual'!G2+IF(parametros_manuales!$H$27="Todos",'Plan mensual'!G6,0))+parametros_manuales!$E$27*('Plan mensual'!G3+IF(parametros_manuales!$H$27="Todos",'Plan mensual'!G7,0))+parametros_manuales!$F$27*('Plan mensual'!G4+IF(parametros_manuales!$H$27="Todos",'Plan mensual'!G8,0))+parametros_manuales!$G$27*('Plan mensual'!G5+IF(parametros_manuales!$H$27="Todos",'Plan mensual'!G9,0)))*parametros_manuales!$I$27*parametros_manuales!$J$27</f>
        <v>228.10910791705</v>
      </c>
      <c r="F10" s="9" t="n">
        <f aca="false">(parametros_manuales!$D$27*('Plan mensual'!H2+IF(parametros_manuales!$H$27="Todos",'Plan mensual'!H6,0))+parametros_manuales!$E$27*('Plan mensual'!H3+IF(parametros_manuales!$H$27="Todos",'Plan mensual'!H7,0))+parametros_manuales!$F$27*('Plan mensual'!H4+IF(parametros_manuales!$H$27="Todos",'Plan mensual'!H8,0))+parametros_manuales!$G$27*('Plan mensual'!H5+IF(parametros_manuales!$H$27="Todos",'Plan mensual'!H9,0)))*parametros_manuales!$I$27*parametros_manuales!$J$27</f>
        <v>214.6909250984</v>
      </c>
      <c r="G10" s="9" t="n">
        <f aca="false">(parametros_manuales!$D$27*('Plan mensual'!I2+IF(parametros_manuales!$H$27="Todos",'Plan mensual'!I6,0))+parametros_manuales!$E$27*('Plan mensual'!I3+IF(parametros_manuales!$H$27="Todos",'Plan mensual'!I7,0))+parametros_manuales!$F$27*('Plan mensual'!I4+IF(parametros_manuales!$H$27="Todos",'Plan mensual'!I8,0))+parametros_manuales!$G$27*('Plan mensual'!I5+IF(parametros_manuales!$H$27="Todos",'Plan mensual'!I9,0)))*parametros_manuales!$I$27*parametros_manuales!$J$27</f>
        <v>201.27274227975</v>
      </c>
      <c r="H10" s="9" t="n">
        <f aca="false">(parametros_manuales!$D$27*('Plan mensual'!J2+IF(parametros_manuales!$H$27="Todos",'Plan mensual'!J6,0))+parametros_manuales!$E$27*('Plan mensual'!J3+IF(parametros_manuales!$H$27="Todos",'Plan mensual'!J7,0))+parametros_manuales!$F$27*('Plan mensual'!J4+IF(parametros_manuales!$H$27="Todos",'Plan mensual'!J8,0))+parametros_manuales!$G$27*('Plan mensual'!J5+IF(parametros_manuales!$H$27="Todos",'Plan mensual'!J9,0)))*parametros_manuales!$I$27*parametros_manuales!$J$27</f>
        <v>214.6909250984</v>
      </c>
      <c r="I10" s="9" t="n">
        <f aca="false">(parametros_manuales!$D$27*('Plan mensual'!K2+IF(parametros_manuales!$H$27="Todos",'Plan mensual'!K6,0))+parametros_manuales!$E$27*('Plan mensual'!K3+IF(parametros_manuales!$H$27="Todos",'Plan mensual'!K7,0))+parametros_manuales!$F$27*('Plan mensual'!K4+IF(parametros_manuales!$H$27="Todos",'Plan mensual'!K8,0))+parametros_manuales!$G$27*('Plan mensual'!K5+IF(parametros_manuales!$H$27="Todos",'Plan mensual'!K9,0)))*parametros_manuales!$I$27*parametros_manuales!$J$27</f>
        <v>214.6909250984</v>
      </c>
      <c r="J10" s="9" t="n">
        <f aca="false">(parametros_manuales!$D$27*('Plan mensual'!L2+IF(parametros_manuales!$H$27="Todos",'Plan mensual'!L6,0))+parametros_manuales!$E$27*('Plan mensual'!L3+IF(parametros_manuales!$H$27="Todos",'Plan mensual'!L7,0))+parametros_manuales!$F$27*('Plan mensual'!L4+IF(parametros_manuales!$H$27="Todos",'Plan mensual'!L8,0))+parametros_manuales!$G$27*('Plan mensual'!L5+IF(parametros_manuales!$H$27="Todos",'Plan mensual'!L9,0)))*parametros_manuales!$I$27*parametros_manuales!$J$27</f>
        <v>214.6909250984</v>
      </c>
      <c r="K10" s="9" t="n">
        <f aca="false">(parametros_manuales!$D$27*('Plan mensual'!M2+IF(parametros_manuales!$H$27="Todos",'Plan mensual'!M6,0))+parametros_manuales!$E$27*('Plan mensual'!M3+IF(parametros_manuales!$H$27="Todos",'Plan mensual'!M7,0))+parametros_manuales!$F$27*('Plan mensual'!M4+IF(parametros_manuales!$H$27="Todos",'Plan mensual'!M8,0))+parametros_manuales!$G$27*('Plan mensual'!M5+IF(parametros_manuales!$H$27="Todos",'Plan mensual'!M9,0)))*parametros_manuales!$I$27*parametros_manuales!$J$27</f>
        <v>201.27274227975</v>
      </c>
      <c r="L10" s="9" t="n">
        <f aca="false">(parametros_manuales!$D$27*('Plan mensual'!N2+IF(parametros_manuales!$H$27="Todos",'Plan mensual'!N6,0))+parametros_manuales!$E$27*('Plan mensual'!N3+IF(parametros_manuales!$H$27="Todos",'Plan mensual'!N7,0))+parametros_manuales!$F$27*('Plan mensual'!N4+IF(parametros_manuales!$H$27="Todos",'Plan mensual'!N8,0))+parametros_manuales!$G$27*('Plan mensual'!N5+IF(parametros_manuales!$H$27="Todos",'Plan mensual'!N9,0)))*parametros_manuales!$I$27*parametros_manuales!$J$27</f>
        <v>187.8545594611</v>
      </c>
      <c r="M10" s="9" t="n">
        <f aca="false">(parametros_manuales!$D$27*('Plan mensual'!O2+IF(parametros_manuales!$H$27="Todos",'Plan mensual'!O6,0))+parametros_manuales!$E$27*('Plan mensual'!O3+IF(parametros_manuales!$H$27="Todos",'Plan mensual'!O7,0))+parametros_manuales!$F$27*('Plan mensual'!O4+IF(parametros_manuales!$H$27="Todos",'Plan mensual'!O8,0))+parametros_manuales!$G$27*('Plan mensual'!O5+IF(parametros_manuales!$H$27="Todos",'Plan mensual'!O9,0)))*parametros_manuales!$I$27*parametros_manuales!$J$27</f>
        <v>295.2000220103</v>
      </c>
      <c r="N10" s="9" t="n">
        <f aca="false">SUM(B10:M10)</f>
        <v>2683.63656373</v>
      </c>
      <c r="O10" s="9" t="n">
        <f aca="false">MAX(B10:M10)</f>
        <v>295.2000220103</v>
      </c>
      <c r="P10" s="43" t="n">
        <f aca="false">O10/(parametros_manuales!$B$7)</f>
        <v>1.96800014673533</v>
      </c>
      <c r="Q10" s="8" t="str">
        <f aca="false">IF(O10=0,"-",INDEX($B$1:$M$1,MATCH(O10,B10:M10,0)))</f>
        <v>Dic</v>
      </c>
    </row>
    <row r="11" customFormat="false" ht="14.25" hidden="false" customHeight="true" outlineLevel="0" collapsed="false">
      <c r="A11" s="8" t="str">
        <f aca="false">parametros_manuales!$B$28</f>
        <v>Encastre de fondo</v>
      </c>
      <c r="B11" s="9" t="n">
        <f aca="false">(parametros_manuales!$D$28*('Plan mensual'!D2+IF(parametros_manuales!$H$28="Todos",'Plan mensual'!D6,0))+parametros_manuales!$E$28*('Plan mensual'!D3+IF(parametros_manuales!$H$28="Todos",'Plan mensual'!D7,0))+parametros_manuales!$F$28*('Plan mensual'!D4+IF(parametros_manuales!$H$28="Todos",'Plan mensual'!D8,0))+parametros_manuales!$G$28*('Plan mensual'!D5+IF(parametros_manuales!$H$28="Todos",'Plan mensual'!D9,0)))*parametros_manuales!$I$28*parametros_manuales!$J$28</f>
        <v>769.812041533</v>
      </c>
      <c r="C11" s="9" t="n">
        <f aca="false">(parametros_manuales!$D$28*('Plan mensual'!E2+IF(parametros_manuales!$H$28="Todos",'Plan mensual'!E6,0))+parametros_manuales!$E$28*('Plan mensual'!E3+IF(parametros_manuales!$H$28="Todos",'Plan mensual'!E7,0))+parametros_manuales!$F$28*('Plan mensual'!E4+IF(parametros_manuales!$H$28="Todos",'Plan mensual'!E8,0))+parametros_manuales!$G$28*('Plan mensual'!E5+IF(parametros_manuales!$H$28="Todos",'Plan mensual'!E9,0)))*parametros_manuales!$I$28*parametros_manuales!$J$28</f>
        <v>590.7772139684</v>
      </c>
      <c r="D11" s="9" t="n">
        <f aca="false">(parametros_manuales!$D$28*('Plan mensual'!F2+IF(parametros_manuales!$H$28="Todos",'Plan mensual'!F6,0))+parametros_manuales!$E$28*('Plan mensual'!F3+IF(parametros_manuales!$H$28="Todos",'Plan mensual'!F7,0))+parametros_manuales!$F$28*('Plan mensual'!F4+IF(parametros_manuales!$H$28="Todos",'Plan mensual'!F8,0))+parametros_manuales!$G$28*('Plan mensual'!F5+IF(parametros_manuales!$H$28="Todos",'Plan mensual'!F9,0)))*parametros_manuales!$I$28*parametros_manuales!$J$28</f>
        <v>562.40803135705</v>
      </c>
      <c r="E11" s="9" t="n">
        <f aca="false">(parametros_manuales!$D$28*('Plan mensual'!G2+IF(parametros_manuales!$H$28="Todos",'Plan mensual'!G6,0))+parametros_manuales!$E$28*('Plan mensual'!G3+IF(parametros_manuales!$H$28="Todos",'Plan mensual'!G7,0))+parametros_manuales!$F$28*('Plan mensual'!G4+IF(parametros_manuales!$H$28="Todos",'Plan mensual'!G8,0))+parametros_manuales!$G$28*('Plan mensual'!G5+IF(parametros_manuales!$H$28="Todos",'Plan mensual'!G9,0)))*parametros_manuales!$I$28*parametros_manuales!$J$28</f>
        <v>541.51434864205</v>
      </c>
      <c r="F11" s="9" t="n">
        <f aca="false">(parametros_manuales!$D$28*('Plan mensual'!H2+IF(parametros_manuales!$H$28="Todos",'Plan mensual'!H6,0))+parametros_manuales!$E$28*('Plan mensual'!H3+IF(parametros_manuales!$H$28="Todos",'Plan mensual'!H7,0))+parametros_manuales!$F$28*('Plan mensual'!H4+IF(parametros_manuales!$H$28="Todos",'Plan mensual'!H8,0))+parametros_manuales!$G$28*('Plan mensual'!H5+IF(parametros_manuales!$H$28="Todos",'Plan mensual'!H9,0)))*parametros_manuales!$I$28*parametros_manuales!$J$28</f>
        <v>507.2024831084</v>
      </c>
      <c r="G11" s="9" t="n">
        <f aca="false">(parametros_manuales!$D$28*('Plan mensual'!I2+IF(parametros_manuales!$H$28="Todos",'Plan mensual'!I6,0))+parametros_manuales!$E$28*('Plan mensual'!I3+IF(parametros_manuales!$H$28="Todos",'Plan mensual'!I7,0))+parametros_manuales!$F$28*('Plan mensual'!I4+IF(parametros_manuales!$H$28="Todos",'Plan mensual'!I8,0))+parametros_manuales!$G$28*('Plan mensual'!I5+IF(parametros_manuales!$H$28="Todos",'Plan mensual'!I9,0)))*parametros_manuales!$I$28*parametros_manuales!$J$28</f>
        <v>493.78430028975</v>
      </c>
      <c r="H11" s="9" t="n">
        <f aca="false">(parametros_manuales!$D$28*('Plan mensual'!J2+IF(parametros_manuales!$H$28="Todos",'Plan mensual'!J6,0))+parametros_manuales!$E$28*('Plan mensual'!J3+IF(parametros_manuales!$H$28="Todos",'Plan mensual'!J7,0))+parametros_manuales!$F$28*('Plan mensual'!J4+IF(parametros_manuales!$H$28="Todos",'Plan mensual'!J8,0))+parametros_manuales!$G$28*('Plan mensual'!J5+IF(parametros_manuales!$H$28="Todos",'Plan mensual'!J9,0)))*parametros_manuales!$I$28*parametros_manuales!$J$28</f>
        <v>528.0961658234</v>
      </c>
      <c r="I11" s="9" t="n">
        <f aca="false">(parametros_manuales!$D$28*('Plan mensual'!K2+IF(parametros_manuales!$H$28="Todos",'Plan mensual'!K6,0))+parametros_manuales!$E$28*('Plan mensual'!K3+IF(parametros_manuales!$H$28="Todos",'Plan mensual'!K7,0))+parametros_manuales!$F$28*('Plan mensual'!K4+IF(parametros_manuales!$H$28="Todos",'Plan mensual'!K8,0))+parametros_manuales!$G$28*('Plan mensual'!K5+IF(parametros_manuales!$H$28="Todos",'Plan mensual'!K9,0)))*parametros_manuales!$I$28*parametros_manuales!$J$28</f>
        <v>528.0961658234</v>
      </c>
      <c r="J11" s="9" t="n">
        <f aca="false">(parametros_manuales!$D$28*('Plan mensual'!L2+IF(parametros_manuales!$H$28="Todos",'Plan mensual'!L6,0))+parametros_manuales!$E$28*('Plan mensual'!L3+IF(parametros_manuales!$H$28="Todos",'Plan mensual'!L7,0))+parametros_manuales!$F$28*('Plan mensual'!L4+IF(parametros_manuales!$H$28="Todos",'Plan mensual'!L8,0))+parametros_manuales!$G$28*('Plan mensual'!L5+IF(parametros_manuales!$H$28="Todos",'Plan mensual'!L9,0)))*parametros_manuales!$I$28*parametros_manuales!$J$28</f>
        <v>528.0961658234</v>
      </c>
      <c r="K11" s="9" t="n">
        <f aca="false">(parametros_manuales!$D$28*('Plan mensual'!M2+IF(parametros_manuales!$H$28="Todos",'Plan mensual'!M6,0))+parametros_manuales!$E$28*('Plan mensual'!M3+IF(parametros_manuales!$H$28="Todos",'Plan mensual'!M7,0))+parametros_manuales!$F$28*('Plan mensual'!M4+IF(parametros_manuales!$H$28="Todos",'Plan mensual'!M8,0))+parametros_manuales!$G$28*('Plan mensual'!M5+IF(parametros_manuales!$H$28="Todos",'Plan mensual'!M9,0)))*parametros_manuales!$I$28*parametros_manuales!$J$28</f>
        <v>514.67798300475</v>
      </c>
      <c r="L11" s="9" t="n">
        <f aca="false">(parametros_manuales!$D$28*('Plan mensual'!N2+IF(parametros_manuales!$H$28="Todos",'Plan mensual'!N6,0))+parametros_manuales!$E$28*('Plan mensual'!N3+IF(parametros_manuales!$H$28="Todos",'Plan mensual'!N7,0))+parametros_manuales!$F$28*('Plan mensual'!N4+IF(parametros_manuales!$H$28="Todos",'Plan mensual'!N8,0))+parametros_manuales!$G$28*('Plan mensual'!N5+IF(parametros_manuales!$H$28="Todos",'Plan mensual'!N9,0)))*parametros_manuales!$I$28*parametros_manuales!$J$28</f>
        <v>501.2598001861</v>
      </c>
      <c r="M11" s="9" t="n">
        <f aca="false">(parametros_manuales!$D$28*('Plan mensual'!O2+IF(parametros_manuales!$H$28="Todos",'Plan mensual'!O6,0))+parametros_manuales!$E$28*('Plan mensual'!O3+IF(parametros_manuales!$H$28="Todos",'Plan mensual'!O7,0))+parametros_manuales!$F$28*('Plan mensual'!O4+IF(parametros_manuales!$H$28="Todos",'Plan mensual'!O8,0))+parametros_manuales!$G$28*('Plan mensual'!O5+IF(parametros_manuales!$H$28="Todos",'Plan mensual'!O9,0)))*parametros_manuales!$I$28*parametros_manuales!$J$28</f>
        <v>796.6484071703</v>
      </c>
      <c r="N11" s="9" t="n">
        <f aca="false">SUM(B11:M11)</f>
        <v>6862.37310673</v>
      </c>
      <c r="O11" s="9" t="n">
        <f aca="false">MAX(B11:M11)</f>
        <v>796.6484071703</v>
      </c>
      <c r="P11" s="43" t="n">
        <f aca="false">O11/(parametros_manuales!$B$7)</f>
        <v>5.31098938113533</v>
      </c>
      <c r="Q11" s="8" t="str">
        <f aca="false">IF(O11=0,"-",INDEX($B$1:$M$1,MATCH(O11,B11:M11,0)))</f>
        <v>Dic</v>
      </c>
    </row>
    <row r="12" customFormat="false" ht="14.25" hidden="false" customHeight="true" outlineLevel="0" collapsed="false">
      <c r="A12" s="8" t="str">
        <f aca="false">parametros_manuales!$B$29</f>
        <v>Bordoneado</v>
      </c>
      <c r="B12" s="9" t="n">
        <f aca="false">(parametros_manuales!$D$29*('Plan mensual'!D2+IF(parametros_manuales!$H$29="Todos",'Plan mensual'!D6,0))+parametros_manuales!$E$29*('Plan mensual'!D3+IF(parametros_manuales!$H$29="Todos",'Plan mensual'!D7,0))+parametros_manuales!$F$29*('Plan mensual'!D4+IF(parametros_manuales!$H$29="Todos",'Plan mensual'!D8,0))+parametros_manuales!$G$29*('Plan mensual'!D5+IF(parametros_manuales!$H$29="Todos",'Plan mensual'!D9,0)))*parametros_manuales!$I$29*parametros_manuales!$J$29</f>
        <v>769.812041533</v>
      </c>
      <c r="C12" s="9" t="n">
        <f aca="false">(parametros_manuales!$D$29*('Plan mensual'!E2+IF(parametros_manuales!$H$29="Todos",'Plan mensual'!E6,0))+parametros_manuales!$E$29*('Plan mensual'!E3+IF(parametros_manuales!$H$29="Todos",'Plan mensual'!E7,0))+parametros_manuales!$F$29*('Plan mensual'!E4+IF(parametros_manuales!$H$29="Todos",'Plan mensual'!E8,0))+parametros_manuales!$G$29*('Plan mensual'!E5+IF(parametros_manuales!$H$29="Todos",'Plan mensual'!E9,0)))*parametros_manuales!$I$29*parametros_manuales!$J$29</f>
        <v>590.7772139684</v>
      </c>
      <c r="D12" s="9" t="n">
        <f aca="false">(parametros_manuales!$D$29*('Plan mensual'!F2+IF(parametros_manuales!$H$29="Todos",'Plan mensual'!F6,0))+parametros_manuales!$E$29*('Plan mensual'!F3+IF(parametros_manuales!$H$29="Todos",'Plan mensual'!F7,0))+parametros_manuales!$F$29*('Plan mensual'!F4+IF(parametros_manuales!$H$29="Todos",'Plan mensual'!F8,0))+parametros_manuales!$G$29*('Plan mensual'!F5+IF(parametros_manuales!$H$29="Todos",'Plan mensual'!F9,0)))*parametros_manuales!$I$29*parametros_manuales!$J$29</f>
        <v>562.40803135705</v>
      </c>
      <c r="E12" s="9" t="n">
        <f aca="false">(parametros_manuales!$D$29*('Plan mensual'!G2+IF(parametros_manuales!$H$29="Todos",'Plan mensual'!G6,0))+parametros_manuales!$E$29*('Plan mensual'!G3+IF(parametros_manuales!$H$29="Todos",'Plan mensual'!G7,0))+parametros_manuales!$F$29*('Plan mensual'!G4+IF(parametros_manuales!$H$29="Todos",'Plan mensual'!G8,0))+parametros_manuales!$G$29*('Plan mensual'!G5+IF(parametros_manuales!$H$29="Todos",'Plan mensual'!G9,0)))*parametros_manuales!$I$29*parametros_manuales!$J$29</f>
        <v>541.51434864205</v>
      </c>
      <c r="F12" s="9" t="n">
        <f aca="false">(parametros_manuales!$D$29*('Plan mensual'!H2+IF(parametros_manuales!$H$29="Todos",'Plan mensual'!H6,0))+parametros_manuales!$E$29*('Plan mensual'!H3+IF(parametros_manuales!$H$29="Todos",'Plan mensual'!H7,0))+parametros_manuales!$F$29*('Plan mensual'!H4+IF(parametros_manuales!$H$29="Todos",'Plan mensual'!H8,0))+parametros_manuales!$G$29*('Plan mensual'!H5+IF(parametros_manuales!$H$29="Todos",'Plan mensual'!H9,0)))*parametros_manuales!$I$29*parametros_manuales!$J$29</f>
        <v>507.2024831084</v>
      </c>
      <c r="G12" s="9" t="n">
        <f aca="false">(parametros_manuales!$D$29*('Plan mensual'!I2+IF(parametros_manuales!$H$29="Todos",'Plan mensual'!I6,0))+parametros_manuales!$E$29*('Plan mensual'!I3+IF(parametros_manuales!$H$29="Todos",'Plan mensual'!I7,0))+parametros_manuales!$F$29*('Plan mensual'!I4+IF(parametros_manuales!$H$29="Todos",'Plan mensual'!I8,0))+parametros_manuales!$G$29*('Plan mensual'!I5+IF(parametros_manuales!$H$29="Todos",'Plan mensual'!I9,0)))*parametros_manuales!$I$29*parametros_manuales!$J$29</f>
        <v>493.78430028975</v>
      </c>
      <c r="H12" s="9" t="n">
        <f aca="false">(parametros_manuales!$D$29*('Plan mensual'!J2+IF(parametros_manuales!$H$29="Todos",'Plan mensual'!J6,0))+parametros_manuales!$E$29*('Plan mensual'!J3+IF(parametros_manuales!$H$29="Todos",'Plan mensual'!J7,0))+parametros_manuales!$F$29*('Plan mensual'!J4+IF(parametros_manuales!$H$29="Todos",'Plan mensual'!J8,0))+parametros_manuales!$G$29*('Plan mensual'!J5+IF(parametros_manuales!$H$29="Todos",'Plan mensual'!J9,0)))*parametros_manuales!$I$29*parametros_manuales!$J$29</f>
        <v>528.0961658234</v>
      </c>
      <c r="I12" s="9" t="n">
        <f aca="false">(parametros_manuales!$D$29*('Plan mensual'!K2+IF(parametros_manuales!$H$29="Todos",'Plan mensual'!K6,0))+parametros_manuales!$E$29*('Plan mensual'!K3+IF(parametros_manuales!$H$29="Todos",'Plan mensual'!K7,0))+parametros_manuales!$F$29*('Plan mensual'!K4+IF(parametros_manuales!$H$29="Todos",'Plan mensual'!K8,0))+parametros_manuales!$G$29*('Plan mensual'!K5+IF(parametros_manuales!$H$29="Todos",'Plan mensual'!K9,0)))*parametros_manuales!$I$29*parametros_manuales!$J$29</f>
        <v>528.0961658234</v>
      </c>
      <c r="J12" s="9" t="n">
        <f aca="false">(parametros_manuales!$D$29*('Plan mensual'!L2+IF(parametros_manuales!$H$29="Todos",'Plan mensual'!L6,0))+parametros_manuales!$E$29*('Plan mensual'!L3+IF(parametros_manuales!$H$29="Todos",'Plan mensual'!L7,0))+parametros_manuales!$F$29*('Plan mensual'!L4+IF(parametros_manuales!$H$29="Todos",'Plan mensual'!L8,0))+parametros_manuales!$G$29*('Plan mensual'!L5+IF(parametros_manuales!$H$29="Todos",'Plan mensual'!L9,0)))*parametros_manuales!$I$29*parametros_manuales!$J$29</f>
        <v>528.0961658234</v>
      </c>
      <c r="K12" s="9" t="n">
        <f aca="false">(parametros_manuales!$D$29*('Plan mensual'!M2+IF(parametros_manuales!$H$29="Todos",'Plan mensual'!M6,0))+parametros_manuales!$E$29*('Plan mensual'!M3+IF(parametros_manuales!$H$29="Todos",'Plan mensual'!M7,0))+parametros_manuales!$F$29*('Plan mensual'!M4+IF(parametros_manuales!$H$29="Todos",'Plan mensual'!M8,0))+parametros_manuales!$G$29*('Plan mensual'!M5+IF(parametros_manuales!$H$29="Todos",'Plan mensual'!M9,0)))*parametros_manuales!$I$29*parametros_manuales!$J$29</f>
        <v>514.67798300475</v>
      </c>
      <c r="L12" s="9" t="n">
        <f aca="false">(parametros_manuales!$D$29*('Plan mensual'!N2+IF(parametros_manuales!$H$29="Todos",'Plan mensual'!N6,0))+parametros_manuales!$E$29*('Plan mensual'!N3+IF(parametros_manuales!$H$29="Todos",'Plan mensual'!N7,0))+parametros_manuales!$F$29*('Plan mensual'!N4+IF(parametros_manuales!$H$29="Todos",'Plan mensual'!N8,0))+parametros_manuales!$G$29*('Plan mensual'!N5+IF(parametros_manuales!$H$29="Todos",'Plan mensual'!N9,0)))*parametros_manuales!$I$29*parametros_manuales!$J$29</f>
        <v>501.2598001861</v>
      </c>
      <c r="M12" s="9" t="n">
        <f aca="false">(parametros_manuales!$D$29*('Plan mensual'!O2+IF(parametros_manuales!$H$29="Todos",'Plan mensual'!O6,0))+parametros_manuales!$E$29*('Plan mensual'!O3+IF(parametros_manuales!$H$29="Todos",'Plan mensual'!O7,0))+parametros_manuales!$F$29*('Plan mensual'!O4+IF(parametros_manuales!$H$29="Todos",'Plan mensual'!O8,0))+parametros_manuales!$G$29*('Plan mensual'!O5+IF(parametros_manuales!$H$29="Todos",'Plan mensual'!O9,0)))*parametros_manuales!$I$29*parametros_manuales!$J$29</f>
        <v>796.6484071703</v>
      </c>
      <c r="N12" s="9" t="n">
        <f aca="false">SUM(B12:M12)</f>
        <v>6862.37310673</v>
      </c>
      <c r="O12" s="9" t="n">
        <f aca="false">MAX(B12:M12)</f>
        <v>796.6484071703</v>
      </c>
      <c r="P12" s="43" t="n">
        <f aca="false">O12/(parametros_manuales!$B$7)</f>
        <v>5.31098938113533</v>
      </c>
      <c r="Q12" s="8" t="str">
        <f aca="false">IF(O12=0,"-",INDEX($B$1:$M$1,MATCH(O12,B12:M12,0)))</f>
        <v>Dic</v>
      </c>
    </row>
    <row r="13" customFormat="false" ht="14.25" hidden="false" customHeight="true" outlineLevel="0" collapsed="false">
      <c r="A13" s="8" t="str">
        <f aca="false">parametros_manuales!$B$30</f>
        <v>Soldadura circunferencial de cúpula y fondo</v>
      </c>
      <c r="B13" s="9" t="n">
        <f aca="false">(parametros_manuales!$D$30*('Plan mensual'!D2+IF(parametros_manuales!$H$30="Todos",'Plan mensual'!D6,0))+parametros_manuales!$E$30*('Plan mensual'!D3+IF(parametros_manuales!$H$30="Todos",'Plan mensual'!D7,0))+parametros_manuales!$F$30*('Plan mensual'!D4+IF(parametros_manuales!$H$30="Todos",'Plan mensual'!D8,0))+parametros_manuales!$G$30*('Plan mensual'!D5+IF(parametros_manuales!$H$30="Todos",'Plan mensual'!D9,0)))*parametros_manuales!$I$30*parametros_manuales!$J$30</f>
        <v>769.812041533</v>
      </c>
      <c r="C13" s="9" t="n">
        <f aca="false">(parametros_manuales!$D$30*('Plan mensual'!E2+IF(parametros_manuales!$H$30="Todos",'Plan mensual'!E6,0))+parametros_manuales!$E$30*('Plan mensual'!E3+IF(parametros_manuales!$H$30="Todos",'Plan mensual'!E7,0))+parametros_manuales!$F$30*('Plan mensual'!E4+IF(parametros_manuales!$H$30="Todos",'Plan mensual'!E8,0))+parametros_manuales!$G$30*('Plan mensual'!E5+IF(parametros_manuales!$H$30="Todos",'Plan mensual'!E9,0)))*parametros_manuales!$I$30*parametros_manuales!$J$30</f>
        <v>590.7772139684</v>
      </c>
      <c r="D13" s="9" t="n">
        <f aca="false">(parametros_manuales!$D$30*('Plan mensual'!F2+IF(parametros_manuales!$H$30="Todos",'Plan mensual'!F6,0))+parametros_manuales!$E$30*('Plan mensual'!F3+IF(parametros_manuales!$H$30="Todos",'Plan mensual'!F7,0))+parametros_manuales!$F$30*('Plan mensual'!F4+IF(parametros_manuales!$H$30="Todos",'Plan mensual'!F8,0))+parametros_manuales!$G$30*('Plan mensual'!F5+IF(parametros_manuales!$H$30="Todos",'Plan mensual'!F9,0)))*parametros_manuales!$I$30*parametros_manuales!$J$30</f>
        <v>562.40803135705</v>
      </c>
      <c r="E13" s="9" t="n">
        <f aca="false">(parametros_manuales!$D$30*('Plan mensual'!G2+IF(parametros_manuales!$H$30="Todos",'Plan mensual'!G6,0))+parametros_manuales!$E$30*('Plan mensual'!G3+IF(parametros_manuales!$H$30="Todos",'Plan mensual'!G7,0))+parametros_manuales!$F$30*('Plan mensual'!G4+IF(parametros_manuales!$H$30="Todos",'Plan mensual'!G8,0))+parametros_manuales!$G$30*('Plan mensual'!G5+IF(parametros_manuales!$H$30="Todos",'Plan mensual'!G9,0)))*parametros_manuales!$I$30*parametros_manuales!$J$30</f>
        <v>541.51434864205</v>
      </c>
      <c r="F13" s="9" t="n">
        <f aca="false">(parametros_manuales!$D$30*('Plan mensual'!H2+IF(parametros_manuales!$H$30="Todos",'Plan mensual'!H6,0))+parametros_manuales!$E$30*('Plan mensual'!H3+IF(parametros_manuales!$H$30="Todos",'Plan mensual'!H7,0))+parametros_manuales!$F$30*('Plan mensual'!H4+IF(parametros_manuales!$H$30="Todos",'Plan mensual'!H8,0))+parametros_manuales!$G$30*('Plan mensual'!H5+IF(parametros_manuales!$H$30="Todos",'Plan mensual'!H9,0)))*parametros_manuales!$I$30*parametros_manuales!$J$30</f>
        <v>507.2024831084</v>
      </c>
      <c r="G13" s="9" t="n">
        <f aca="false">(parametros_manuales!$D$30*('Plan mensual'!I2+IF(parametros_manuales!$H$30="Todos",'Plan mensual'!I6,0))+parametros_manuales!$E$30*('Plan mensual'!I3+IF(parametros_manuales!$H$30="Todos",'Plan mensual'!I7,0))+parametros_manuales!$F$30*('Plan mensual'!I4+IF(parametros_manuales!$H$30="Todos",'Plan mensual'!I8,0))+parametros_manuales!$G$30*('Plan mensual'!I5+IF(parametros_manuales!$H$30="Todos",'Plan mensual'!I9,0)))*parametros_manuales!$I$30*parametros_manuales!$J$30</f>
        <v>493.78430028975</v>
      </c>
      <c r="H13" s="9" t="n">
        <f aca="false">(parametros_manuales!$D$30*('Plan mensual'!J2+IF(parametros_manuales!$H$30="Todos",'Plan mensual'!J6,0))+parametros_manuales!$E$30*('Plan mensual'!J3+IF(parametros_manuales!$H$30="Todos",'Plan mensual'!J7,0))+parametros_manuales!$F$30*('Plan mensual'!J4+IF(parametros_manuales!$H$30="Todos",'Plan mensual'!J8,0))+parametros_manuales!$G$30*('Plan mensual'!J5+IF(parametros_manuales!$H$30="Todos",'Plan mensual'!J9,0)))*parametros_manuales!$I$30*parametros_manuales!$J$30</f>
        <v>528.0961658234</v>
      </c>
      <c r="I13" s="9" t="n">
        <f aca="false">(parametros_manuales!$D$30*('Plan mensual'!K2+IF(parametros_manuales!$H$30="Todos",'Plan mensual'!K6,0))+parametros_manuales!$E$30*('Plan mensual'!K3+IF(parametros_manuales!$H$30="Todos",'Plan mensual'!K7,0))+parametros_manuales!$F$30*('Plan mensual'!K4+IF(parametros_manuales!$H$30="Todos",'Plan mensual'!K8,0))+parametros_manuales!$G$30*('Plan mensual'!K5+IF(parametros_manuales!$H$30="Todos",'Plan mensual'!K9,0)))*parametros_manuales!$I$30*parametros_manuales!$J$30</f>
        <v>528.0961658234</v>
      </c>
      <c r="J13" s="9" t="n">
        <f aca="false">(parametros_manuales!$D$30*('Plan mensual'!L2+IF(parametros_manuales!$H$30="Todos",'Plan mensual'!L6,0))+parametros_manuales!$E$30*('Plan mensual'!L3+IF(parametros_manuales!$H$30="Todos",'Plan mensual'!L7,0))+parametros_manuales!$F$30*('Plan mensual'!L4+IF(parametros_manuales!$H$30="Todos",'Plan mensual'!L8,0))+parametros_manuales!$G$30*('Plan mensual'!L5+IF(parametros_manuales!$H$30="Todos",'Plan mensual'!L9,0)))*parametros_manuales!$I$30*parametros_manuales!$J$30</f>
        <v>528.0961658234</v>
      </c>
      <c r="K13" s="9" t="n">
        <f aca="false">(parametros_manuales!$D$30*('Plan mensual'!M2+IF(parametros_manuales!$H$30="Todos",'Plan mensual'!M6,0))+parametros_manuales!$E$30*('Plan mensual'!M3+IF(parametros_manuales!$H$30="Todos",'Plan mensual'!M7,0))+parametros_manuales!$F$30*('Plan mensual'!M4+IF(parametros_manuales!$H$30="Todos",'Plan mensual'!M8,0))+parametros_manuales!$G$30*('Plan mensual'!M5+IF(parametros_manuales!$H$30="Todos",'Plan mensual'!M9,0)))*parametros_manuales!$I$30*parametros_manuales!$J$30</f>
        <v>514.67798300475</v>
      </c>
      <c r="L13" s="9" t="n">
        <f aca="false">(parametros_manuales!$D$30*('Plan mensual'!N2+IF(parametros_manuales!$H$30="Todos",'Plan mensual'!N6,0))+parametros_manuales!$E$30*('Plan mensual'!N3+IF(parametros_manuales!$H$30="Todos",'Plan mensual'!N7,0))+parametros_manuales!$F$30*('Plan mensual'!N4+IF(parametros_manuales!$H$30="Todos",'Plan mensual'!N8,0))+parametros_manuales!$G$30*('Plan mensual'!N5+IF(parametros_manuales!$H$30="Todos",'Plan mensual'!N9,0)))*parametros_manuales!$I$30*parametros_manuales!$J$30</f>
        <v>501.2598001861</v>
      </c>
      <c r="M13" s="9" t="n">
        <f aca="false">(parametros_manuales!$D$30*('Plan mensual'!O2+IF(parametros_manuales!$H$30="Todos",'Plan mensual'!O6,0))+parametros_manuales!$E$30*('Plan mensual'!O3+IF(parametros_manuales!$H$30="Todos",'Plan mensual'!O7,0))+parametros_manuales!$F$30*('Plan mensual'!O4+IF(parametros_manuales!$H$30="Todos",'Plan mensual'!O8,0))+parametros_manuales!$G$30*('Plan mensual'!O5+IF(parametros_manuales!$H$30="Todos",'Plan mensual'!O9,0)))*parametros_manuales!$I$30*parametros_manuales!$J$30</f>
        <v>796.6484071703</v>
      </c>
      <c r="N13" s="9" t="n">
        <f aca="false">SUM(B13:M13)</f>
        <v>6862.37310673</v>
      </c>
      <c r="O13" s="9" t="n">
        <f aca="false">MAX(B13:M13)</f>
        <v>796.6484071703</v>
      </c>
      <c r="P13" s="43" t="n">
        <f aca="false">O13/(parametros_manuales!$B$7)</f>
        <v>5.31098938113533</v>
      </c>
      <c r="Q13" s="8" t="str">
        <f aca="false">IF(O13=0,"-",INDEX($B$1:$M$1,MATCH(O13,B13:M13,0)))</f>
        <v>Dic</v>
      </c>
    </row>
    <row r="14" customFormat="false" ht="14.25" hidden="false" customHeight="true" outlineLevel="0" collapsed="false">
      <c r="A14" s="8" t="str">
        <f aca="false">parametros_manuales!$B$31</f>
        <v>Control de calidad — Espesor</v>
      </c>
      <c r="B14" s="9" t="n">
        <f aca="false">(parametros_manuales!$D$31*('Plan mensual'!D2+IF(parametros_manuales!$H$31="Todos",'Plan mensual'!D6,0))+parametros_manuales!$E$31*('Plan mensual'!D3+IF(parametros_manuales!$H$31="Todos",'Plan mensual'!D7,0))+parametros_manuales!$F$31*('Plan mensual'!D4+IF(parametros_manuales!$H$31="Todos",'Plan mensual'!D8,0))+parametros_manuales!$G$31*('Plan mensual'!D5+IF(parametros_manuales!$H$31="Todos",'Plan mensual'!D9,0)))*parametros_manuales!$I$31*parametros_manuales!$J$31</f>
        <v>15.39624083066</v>
      </c>
      <c r="C14" s="9" t="n">
        <f aca="false">(parametros_manuales!$D$31*('Plan mensual'!E2+IF(parametros_manuales!$H$31="Todos",'Plan mensual'!E6,0))+parametros_manuales!$E$31*('Plan mensual'!E3+IF(parametros_manuales!$H$31="Todos",'Plan mensual'!E7,0))+parametros_manuales!$F$31*('Plan mensual'!E4+IF(parametros_manuales!$H$31="Todos",'Plan mensual'!E8,0))+parametros_manuales!$G$31*('Plan mensual'!E5+IF(parametros_manuales!$H$31="Todos",'Plan mensual'!E9,0)))*parametros_manuales!$I$31*parametros_manuales!$J$31</f>
        <v>11.815544279368</v>
      </c>
      <c r="D14" s="9" t="n">
        <f aca="false">(parametros_manuales!$D$31*('Plan mensual'!F2+IF(parametros_manuales!$H$31="Todos",'Plan mensual'!F6,0))+parametros_manuales!$E$31*('Plan mensual'!F3+IF(parametros_manuales!$H$31="Todos",'Plan mensual'!F7,0))+parametros_manuales!$F$31*('Plan mensual'!F4+IF(parametros_manuales!$H$31="Todos",'Plan mensual'!F8,0))+parametros_manuales!$G$31*('Plan mensual'!F5+IF(parametros_manuales!$H$31="Todos",'Plan mensual'!F9,0)))*parametros_manuales!$I$31*parametros_manuales!$J$31</f>
        <v>11.248160627141</v>
      </c>
      <c r="E14" s="9" t="n">
        <f aca="false">(parametros_manuales!$D$31*('Plan mensual'!G2+IF(parametros_manuales!$H$31="Todos",'Plan mensual'!G6,0))+parametros_manuales!$E$31*('Plan mensual'!G3+IF(parametros_manuales!$H$31="Todos",'Plan mensual'!G7,0))+parametros_manuales!$F$31*('Plan mensual'!G4+IF(parametros_manuales!$H$31="Todos",'Plan mensual'!G8,0))+parametros_manuales!$G$31*('Plan mensual'!G5+IF(parametros_manuales!$H$31="Todos",'Plan mensual'!G9,0)))*parametros_manuales!$I$31*parametros_manuales!$J$31</f>
        <v>10.830286972841</v>
      </c>
      <c r="F14" s="9" t="n">
        <f aca="false">(parametros_manuales!$D$31*('Plan mensual'!H2+IF(parametros_manuales!$H$31="Todos",'Plan mensual'!H6,0))+parametros_manuales!$E$31*('Plan mensual'!H3+IF(parametros_manuales!$H$31="Todos",'Plan mensual'!H7,0))+parametros_manuales!$F$31*('Plan mensual'!H4+IF(parametros_manuales!$H$31="Todos",'Plan mensual'!H8,0))+parametros_manuales!$G$31*('Plan mensual'!H5+IF(parametros_manuales!$H$31="Todos",'Plan mensual'!H9,0)))*parametros_manuales!$I$31*parametros_manuales!$J$31</f>
        <v>10.144049662168</v>
      </c>
      <c r="G14" s="9" t="n">
        <f aca="false">(parametros_manuales!$D$31*('Plan mensual'!I2+IF(parametros_manuales!$H$31="Todos",'Plan mensual'!I6,0))+parametros_manuales!$E$31*('Plan mensual'!I3+IF(parametros_manuales!$H$31="Todos",'Plan mensual'!I7,0))+parametros_manuales!$F$31*('Plan mensual'!I4+IF(parametros_manuales!$H$31="Todos",'Plan mensual'!I8,0))+parametros_manuales!$G$31*('Plan mensual'!I5+IF(parametros_manuales!$H$31="Todos",'Plan mensual'!I9,0)))*parametros_manuales!$I$31*parametros_manuales!$J$31</f>
        <v>9.875686005795</v>
      </c>
      <c r="H14" s="9" t="n">
        <f aca="false">(parametros_manuales!$D$31*('Plan mensual'!J2+IF(parametros_manuales!$H$31="Todos",'Plan mensual'!J6,0))+parametros_manuales!$E$31*('Plan mensual'!J3+IF(parametros_manuales!$H$31="Todos",'Plan mensual'!J7,0))+parametros_manuales!$F$31*('Plan mensual'!J4+IF(parametros_manuales!$H$31="Todos",'Plan mensual'!J8,0))+parametros_manuales!$G$31*('Plan mensual'!J5+IF(parametros_manuales!$H$31="Todos",'Plan mensual'!J9,0)))*parametros_manuales!$I$31*parametros_manuales!$J$31</f>
        <v>10.561923316468</v>
      </c>
      <c r="I14" s="9" t="n">
        <f aca="false">(parametros_manuales!$D$31*('Plan mensual'!K2+IF(parametros_manuales!$H$31="Todos",'Plan mensual'!K6,0))+parametros_manuales!$E$31*('Plan mensual'!K3+IF(parametros_manuales!$H$31="Todos",'Plan mensual'!K7,0))+parametros_manuales!$F$31*('Plan mensual'!K4+IF(parametros_manuales!$H$31="Todos",'Plan mensual'!K8,0))+parametros_manuales!$G$31*('Plan mensual'!K5+IF(parametros_manuales!$H$31="Todos",'Plan mensual'!K9,0)))*parametros_manuales!$I$31*parametros_manuales!$J$31</f>
        <v>10.561923316468</v>
      </c>
      <c r="J14" s="9" t="n">
        <f aca="false">(parametros_manuales!$D$31*('Plan mensual'!L2+IF(parametros_manuales!$H$31="Todos",'Plan mensual'!L6,0))+parametros_manuales!$E$31*('Plan mensual'!L3+IF(parametros_manuales!$H$31="Todos",'Plan mensual'!L7,0))+parametros_manuales!$F$31*('Plan mensual'!L4+IF(parametros_manuales!$H$31="Todos",'Plan mensual'!L8,0))+parametros_manuales!$G$31*('Plan mensual'!L5+IF(parametros_manuales!$H$31="Todos",'Plan mensual'!L9,0)))*parametros_manuales!$I$31*parametros_manuales!$J$31</f>
        <v>10.561923316468</v>
      </c>
      <c r="K14" s="9" t="n">
        <f aca="false">(parametros_manuales!$D$31*('Plan mensual'!M2+IF(parametros_manuales!$H$31="Todos",'Plan mensual'!M6,0))+parametros_manuales!$E$31*('Plan mensual'!M3+IF(parametros_manuales!$H$31="Todos",'Plan mensual'!M7,0))+parametros_manuales!$F$31*('Plan mensual'!M4+IF(parametros_manuales!$H$31="Todos",'Plan mensual'!M8,0))+parametros_manuales!$G$31*('Plan mensual'!M5+IF(parametros_manuales!$H$31="Todos",'Plan mensual'!M9,0)))*parametros_manuales!$I$31*parametros_manuales!$J$31</f>
        <v>10.293559660095</v>
      </c>
      <c r="L14" s="9" t="n">
        <f aca="false">(parametros_manuales!$D$31*('Plan mensual'!N2+IF(parametros_manuales!$H$31="Todos",'Plan mensual'!N6,0))+parametros_manuales!$E$31*('Plan mensual'!N3+IF(parametros_manuales!$H$31="Todos",'Plan mensual'!N7,0))+parametros_manuales!$F$31*('Plan mensual'!N4+IF(parametros_manuales!$H$31="Todos",'Plan mensual'!N8,0))+parametros_manuales!$G$31*('Plan mensual'!N5+IF(parametros_manuales!$H$31="Todos",'Plan mensual'!N9,0)))*parametros_manuales!$I$31*parametros_manuales!$J$31</f>
        <v>10.025196003722</v>
      </c>
      <c r="M14" s="9" t="n">
        <f aca="false">(parametros_manuales!$D$31*('Plan mensual'!O2+IF(parametros_manuales!$H$31="Todos",'Plan mensual'!O6,0))+parametros_manuales!$E$31*('Plan mensual'!O3+IF(parametros_manuales!$H$31="Todos",'Plan mensual'!O7,0))+parametros_manuales!$F$31*('Plan mensual'!O4+IF(parametros_manuales!$H$31="Todos",'Plan mensual'!O8,0))+parametros_manuales!$G$31*('Plan mensual'!O5+IF(parametros_manuales!$H$31="Todos",'Plan mensual'!O9,0)))*parametros_manuales!$I$31*parametros_manuales!$J$31</f>
        <v>15.932968143406</v>
      </c>
      <c r="N14" s="9" t="n">
        <f aca="false">SUM(B14:M14)</f>
        <v>137.2474621346</v>
      </c>
      <c r="O14" s="9" t="n">
        <f aca="false">MAX(B14:M14)</f>
        <v>15.932968143406</v>
      </c>
      <c r="P14" s="43" t="n">
        <f aca="false">O14/(parametros_manuales!$B$7)</f>
        <v>0.106219787622707</v>
      </c>
      <c r="Q14" s="8" t="str">
        <f aca="false">IF(O14=0,"-",INDEX($B$1:$M$1,MATCH(O14,B14:M14,0)))</f>
        <v>Dic</v>
      </c>
    </row>
    <row r="15" customFormat="false" ht="14.25" hidden="false" customHeight="true" outlineLevel="0" collapsed="false">
      <c r="A15" s="8" t="str">
        <f aca="false">parametros_manuales!$B$32</f>
        <v>Prueba hidráulica</v>
      </c>
      <c r="B15" s="9" t="n">
        <f aca="false">(parametros_manuales!$D$32*('Plan mensual'!D2+IF(parametros_manuales!$H$32="Todos",'Plan mensual'!D6,0))+parametros_manuales!$E$32*('Plan mensual'!D3+IF(parametros_manuales!$H$32="Todos",'Plan mensual'!D7,0))+parametros_manuales!$F$32*('Plan mensual'!D4+IF(parametros_manuales!$H$32="Todos",'Plan mensual'!D8,0))+parametros_manuales!$G$32*('Plan mensual'!D5+IF(parametros_manuales!$H$32="Todos",'Plan mensual'!D9,0)))*parametros_manuales!$I$32*parametros_manuales!$J$32</f>
        <v>769.812041533</v>
      </c>
      <c r="C15" s="9" t="n">
        <f aca="false">(parametros_manuales!$D$32*('Plan mensual'!E2+IF(parametros_manuales!$H$32="Todos",'Plan mensual'!E6,0))+parametros_manuales!$E$32*('Plan mensual'!E3+IF(parametros_manuales!$H$32="Todos",'Plan mensual'!E7,0))+parametros_manuales!$F$32*('Plan mensual'!E4+IF(parametros_manuales!$H$32="Todos",'Plan mensual'!E8,0))+parametros_manuales!$G$32*('Plan mensual'!E5+IF(parametros_manuales!$H$32="Todos",'Plan mensual'!E9,0)))*parametros_manuales!$I$32*parametros_manuales!$J$32</f>
        <v>590.7772139684</v>
      </c>
      <c r="D15" s="9" t="n">
        <f aca="false">(parametros_manuales!$D$32*('Plan mensual'!F2+IF(parametros_manuales!$H$32="Todos",'Plan mensual'!F6,0))+parametros_manuales!$E$32*('Plan mensual'!F3+IF(parametros_manuales!$H$32="Todos",'Plan mensual'!F7,0))+parametros_manuales!$F$32*('Plan mensual'!F4+IF(parametros_manuales!$H$32="Todos",'Plan mensual'!F8,0))+parametros_manuales!$G$32*('Plan mensual'!F5+IF(parametros_manuales!$H$32="Todos",'Plan mensual'!F9,0)))*parametros_manuales!$I$32*parametros_manuales!$J$32</f>
        <v>562.40803135705</v>
      </c>
      <c r="E15" s="9" t="n">
        <f aca="false">(parametros_manuales!$D$32*('Plan mensual'!G2+IF(parametros_manuales!$H$32="Todos",'Plan mensual'!G6,0))+parametros_manuales!$E$32*('Plan mensual'!G3+IF(parametros_manuales!$H$32="Todos",'Plan mensual'!G7,0))+parametros_manuales!$F$32*('Plan mensual'!G4+IF(parametros_manuales!$H$32="Todos",'Plan mensual'!G8,0))+parametros_manuales!$G$32*('Plan mensual'!G5+IF(parametros_manuales!$H$32="Todos",'Plan mensual'!G9,0)))*parametros_manuales!$I$32*parametros_manuales!$J$32</f>
        <v>541.51434864205</v>
      </c>
      <c r="F15" s="9" t="n">
        <f aca="false">(parametros_manuales!$D$32*('Plan mensual'!H2+IF(parametros_manuales!$H$32="Todos",'Plan mensual'!H6,0))+parametros_manuales!$E$32*('Plan mensual'!H3+IF(parametros_manuales!$H$32="Todos",'Plan mensual'!H7,0))+parametros_manuales!$F$32*('Plan mensual'!H4+IF(parametros_manuales!$H$32="Todos",'Plan mensual'!H8,0))+parametros_manuales!$G$32*('Plan mensual'!H5+IF(parametros_manuales!$H$32="Todos",'Plan mensual'!H9,0)))*parametros_manuales!$I$32*parametros_manuales!$J$32</f>
        <v>507.2024831084</v>
      </c>
      <c r="G15" s="9" t="n">
        <f aca="false">(parametros_manuales!$D$32*('Plan mensual'!I2+IF(parametros_manuales!$H$32="Todos",'Plan mensual'!I6,0))+parametros_manuales!$E$32*('Plan mensual'!I3+IF(parametros_manuales!$H$32="Todos",'Plan mensual'!I7,0))+parametros_manuales!$F$32*('Plan mensual'!I4+IF(parametros_manuales!$H$32="Todos",'Plan mensual'!I8,0))+parametros_manuales!$G$32*('Plan mensual'!I5+IF(parametros_manuales!$H$32="Todos",'Plan mensual'!I9,0)))*parametros_manuales!$I$32*parametros_manuales!$J$32</f>
        <v>493.78430028975</v>
      </c>
      <c r="H15" s="9" t="n">
        <f aca="false">(parametros_manuales!$D$32*('Plan mensual'!J2+IF(parametros_manuales!$H$32="Todos",'Plan mensual'!J6,0))+parametros_manuales!$E$32*('Plan mensual'!J3+IF(parametros_manuales!$H$32="Todos",'Plan mensual'!J7,0))+parametros_manuales!$F$32*('Plan mensual'!J4+IF(parametros_manuales!$H$32="Todos",'Plan mensual'!J8,0))+parametros_manuales!$G$32*('Plan mensual'!J5+IF(parametros_manuales!$H$32="Todos",'Plan mensual'!J9,0)))*parametros_manuales!$I$32*parametros_manuales!$J$32</f>
        <v>528.0961658234</v>
      </c>
      <c r="I15" s="9" t="n">
        <f aca="false">(parametros_manuales!$D$32*('Plan mensual'!K2+IF(parametros_manuales!$H$32="Todos",'Plan mensual'!K6,0))+parametros_manuales!$E$32*('Plan mensual'!K3+IF(parametros_manuales!$H$32="Todos",'Plan mensual'!K7,0))+parametros_manuales!$F$32*('Plan mensual'!K4+IF(parametros_manuales!$H$32="Todos",'Plan mensual'!K8,0))+parametros_manuales!$G$32*('Plan mensual'!K5+IF(parametros_manuales!$H$32="Todos",'Plan mensual'!K9,0)))*parametros_manuales!$I$32*parametros_manuales!$J$32</f>
        <v>528.0961658234</v>
      </c>
      <c r="J15" s="9" t="n">
        <f aca="false">(parametros_manuales!$D$32*('Plan mensual'!L2+IF(parametros_manuales!$H$32="Todos",'Plan mensual'!L6,0))+parametros_manuales!$E$32*('Plan mensual'!L3+IF(parametros_manuales!$H$32="Todos",'Plan mensual'!L7,0))+parametros_manuales!$F$32*('Plan mensual'!L4+IF(parametros_manuales!$H$32="Todos",'Plan mensual'!L8,0))+parametros_manuales!$G$32*('Plan mensual'!L5+IF(parametros_manuales!$H$32="Todos",'Plan mensual'!L9,0)))*parametros_manuales!$I$32*parametros_manuales!$J$32</f>
        <v>528.0961658234</v>
      </c>
      <c r="K15" s="9" t="n">
        <f aca="false">(parametros_manuales!$D$32*('Plan mensual'!M2+IF(parametros_manuales!$H$32="Todos",'Plan mensual'!M6,0))+parametros_manuales!$E$32*('Plan mensual'!M3+IF(parametros_manuales!$H$32="Todos",'Plan mensual'!M7,0))+parametros_manuales!$F$32*('Plan mensual'!M4+IF(parametros_manuales!$H$32="Todos",'Plan mensual'!M8,0))+parametros_manuales!$G$32*('Plan mensual'!M5+IF(parametros_manuales!$H$32="Todos",'Plan mensual'!M9,0)))*parametros_manuales!$I$32*parametros_manuales!$J$32</f>
        <v>514.67798300475</v>
      </c>
      <c r="L15" s="9" t="n">
        <f aca="false">(parametros_manuales!$D$32*('Plan mensual'!N2+IF(parametros_manuales!$H$32="Todos",'Plan mensual'!N6,0))+parametros_manuales!$E$32*('Plan mensual'!N3+IF(parametros_manuales!$H$32="Todos",'Plan mensual'!N7,0))+parametros_manuales!$F$32*('Plan mensual'!N4+IF(parametros_manuales!$H$32="Todos",'Plan mensual'!N8,0))+parametros_manuales!$G$32*('Plan mensual'!N5+IF(parametros_manuales!$H$32="Todos",'Plan mensual'!N9,0)))*parametros_manuales!$I$32*parametros_manuales!$J$32</f>
        <v>501.2598001861</v>
      </c>
      <c r="M15" s="9" t="n">
        <f aca="false">(parametros_manuales!$D$32*('Plan mensual'!O2+IF(parametros_manuales!$H$32="Todos",'Plan mensual'!O6,0))+parametros_manuales!$E$32*('Plan mensual'!O3+IF(parametros_manuales!$H$32="Todos",'Plan mensual'!O7,0))+parametros_manuales!$F$32*('Plan mensual'!O4+IF(parametros_manuales!$H$32="Todos",'Plan mensual'!O8,0))+parametros_manuales!$G$32*('Plan mensual'!O5+IF(parametros_manuales!$H$32="Todos",'Plan mensual'!O9,0)))*parametros_manuales!$I$32*parametros_manuales!$J$32</f>
        <v>796.6484071703</v>
      </c>
      <c r="N15" s="9" t="n">
        <f aca="false">SUM(B15:M15)</f>
        <v>6862.37310673</v>
      </c>
      <c r="O15" s="9" t="n">
        <f aca="false">MAX(B15:M15)</f>
        <v>796.6484071703</v>
      </c>
      <c r="P15" s="43" t="n">
        <f aca="false">O15/(parametros_manuales!$B$7)</f>
        <v>5.31098938113533</v>
      </c>
      <c r="Q15" s="8" t="str">
        <f aca="false">IF(O15=0,"-",INDEX($B$1:$M$1,MATCH(O15,B15:M15,0)))</f>
        <v>Dic</v>
      </c>
    </row>
    <row r="16" customFormat="false" ht="14.25" hidden="false" customHeight="true" outlineLevel="0" collapsed="false">
      <c r="A16" s="8" t="str">
        <f aca="false">parametros_manuales!$B$33</f>
        <v>Secado</v>
      </c>
      <c r="B16" s="9" t="n">
        <f aca="false">(parametros_manuales!$D$33*('Plan mensual'!D2+IF(parametros_manuales!$H$33="Todos",'Plan mensual'!D6,0))+parametros_manuales!$E$33*('Plan mensual'!D3+IF(parametros_manuales!$H$33="Todos",'Plan mensual'!D7,0))+parametros_manuales!$F$33*('Plan mensual'!D4+IF(parametros_manuales!$H$33="Todos",'Plan mensual'!D8,0))+parametros_manuales!$G$33*('Plan mensual'!D5+IF(parametros_manuales!$H$33="Todos",'Plan mensual'!D9,0)))*parametros_manuales!$I$33*parametros_manuales!$J$33</f>
        <v>769.812041533</v>
      </c>
      <c r="C16" s="9" t="n">
        <f aca="false">(parametros_manuales!$D$33*('Plan mensual'!E2+IF(parametros_manuales!$H$33="Todos",'Plan mensual'!E6,0))+parametros_manuales!$E$33*('Plan mensual'!E3+IF(parametros_manuales!$H$33="Todos",'Plan mensual'!E7,0))+parametros_manuales!$F$33*('Plan mensual'!E4+IF(parametros_manuales!$H$33="Todos",'Plan mensual'!E8,0))+parametros_manuales!$G$33*('Plan mensual'!E5+IF(parametros_manuales!$H$33="Todos",'Plan mensual'!E9,0)))*parametros_manuales!$I$33*parametros_manuales!$J$33</f>
        <v>590.7772139684</v>
      </c>
      <c r="D16" s="9" t="n">
        <f aca="false">(parametros_manuales!$D$33*('Plan mensual'!F2+IF(parametros_manuales!$H$33="Todos",'Plan mensual'!F6,0))+parametros_manuales!$E$33*('Plan mensual'!F3+IF(parametros_manuales!$H$33="Todos",'Plan mensual'!F7,0))+parametros_manuales!$F$33*('Plan mensual'!F4+IF(parametros_manuales!$H$33="Todos",'Plan mensual'!F8,0))+parametros_manuales!$G$33*('Plan mensual'!F5+IF(parametros_manuales!$H$33="Todos",'Plan mensual'!F9,0)))*parametros_manuales!$I$33*parametros_manuales!$J$33</f>
        <v>562.40803135705</v>
      </c>
      <c r="E16" s="9" t="n">
        <f aca="false">(parametros_manuales!$D$33*('Plan mensual'!G2+IF(parametros_manuales!$H$33="Todos",'Plan mensual'!G6,0))+parametros_manuales!$E$33*('Plan mensual'!G3+IF(parametros_manuales!$H$33="Todos",'Plan mensual'!G7,0))+parametros_manuales!$F$33*('Plan mensual'!G4+IF(parametros_manuales!$H$33="Todos",'Plan mensual'!G8,0))+parametros_manuales!$G$33*('Plan mensual'!G5+IF(parametros_manuales!$H$33="Todos",'Plan mensual'!G9,0)))*parametros_manuales!$I$33*parametros_manuales!$J$33</f>
        <v>541.51434864205</v>
      </c>
      <c r="F16" s="9" t="n">
        <f aca="false">(parametros_manuales!$D$33*('Plan mensual'!H2+IF(parametros_manuales!$H$33="Todos",'Plan mensual'!H6,0))+parametros_manuales!$E$33*('Plan mensual'!H3+IF(parametros_manuales!$H$33="Todos",'Plan mensual'!H7,0))+parametros_manuales!$F$33*('Plan mensual'!H4+IF(parametros_manuales!$H$33="Todos",'Plan mensual'!H8,0))+parametros_manuales!$G$33*('Plan mensual'!H5+IF(parametros_manuales!$H$33="Todos",'Plan mensual'!H9,0)))*parametros_manuales!$I$33*parametros_manuales!$J$33</f>
        <v>507.2024831084</v>
      </c>
      <c r="G16" s="9" t="n">
        <f aca="false">(parametros_manuales!$D$33*('Plan mensual'!I2+IF(parametros_manuales!$H$33="Todos",'Plan mensual'!I6,0))+parametros_manuales!$E$33*('Plan mensual'!I3+IF(parametros_manuales!$H$33="Todos",'Plan mensual'!I7,0))+parametros_manuales!$F$33*('Plan mensual'!I4+IF(parametros_manuales!$H$33="Todos",'Plan mensual'!I8,0))+parametros_manuales!$G$33*('Plan mensual'!I5+IF(parametros_manuales!$H$33="Todos",'Plan mensual'!I9,0)))*parametros_manuales!$I$33*parametros_manuales!$J$33</f>
        <v>493.78430028975</v>
      </c>
      <c r="H16" s="9" t="n">
        <f aca="false">(parametros_manuales!$D$33*('Plan mensual'!J2+IF(parametros_manuales!$H$33="Todos",'Plan mensual'!J6,0))+parametros_manuales!$E$33*('Plan mensual'!J3+IF(parametros_manuales!$H$33="Todos",'Plan mensual'!J7,0))+parametros_manuales!$F$33*('Plan mensual'!J4+IF(parametros_manuales!$H$33="Todos",'Plan mensual'!J8,0))+parametros_manuales!$G$33*('Plan mensual'!J5+IF(parametros_manuales!$H$33="Todos",'Plan mensual'!J9,0)))*parametros_manuales!$I$33*parametros_manuales!$J$33</f>
        <v>528.0961658234</v>
      </c>
      <c r="I16" s="9" t="n">
        <f aca="false">(parametros_manuales!$D$33*('Plan mensual'!K2+IF(parametros_manuales!$H$33="Todos",'Plan mensual'!K6,0))+parametros_manuales!$E$33*('Plan mensual'!K3+IF(parametros_manuales!$H$33="Todos",'Plan mensual'!K7,0))+parametros_manuales!$F$33*('Plan mensual'!K4+IF(parametros_manuales!$H$33="Todos",'Plan mensual'!K8,0))+parametros_manuales!$G$33*('Plan mensual'!K5+IF(parametros_manuales!$H$33="Todos",'Plan mensual'!K9,0)))*parametros_manuales!$I$33*parametros_manuales!$J$33</f>
        <v>528.0961658234</v>
      </c>
      <c r="J16" s="9" t="n">
        <f aca="false">(parametros_manuales!$D$33*('Plan mensual'!L2+IF(parametros_manuales!$H$33="Todos",'Plan mensual'!L6,0))+parametros_manuales!$E$33*('Plan mensual'!L3+IF(parametros_manuales!$H$33="Todos",'Plan mensual'!L7,0))+parametros_manuales!$F$33*('Plan mensual'!L4+IF(parametros_manuales!$H$33="Todos",'Plan mensual'!L8,0))+parametros_manuales!$G$33*('Plan mensual'!L5+IF(parametros_manuales!$H$33="Todos",'Plan mensual'!L9,0)))*parametros_manuales!$I$33*parametros_manuales!$J$33</f>
        <v>528.0961658234</v>
      </c>
      <c r="K16" s="9" t="n">
        <f aca="false">(parametros_manuales!$D$33*('Plan mensual'!M2+IF(parametros_manuales!$H$33="Todos",'Plan mensual'!M6,0))+parametros_manuales!$E$33*('Plan mensual'!M3+IF(parametros_manuales!$H$33="Todos",'Plan mensual'!M7,0))+parametros_manuales!$F$33*('Plan mensual'!M4+IF(parametros_manuales!$H$33="Todos",'Plan mensual'!M8,0))+parametros_manuales!$G$33*('Plan mensual'!M5+IF(parametros_manuales!$H$33="Todos",'Plan mensual'!M9,0)))*parametros_manuales!$I$33*parametros_manuales!$J$33</f>
        <v>514.67798300475</v>
      </c>
      <c r="L16" s="9" t="n">
        <f aca="false">(parametros_manuales!$D$33*('Plan mensual'!N2+IF(parametros_manuales!$H$33="Todos",'Plan mensual'!N6,0))+parametros_manuales!$E$33*('Plan mensual'!N3+IF(parametros_manuales!$H$33="Todos",'Plan mensual'!N7,0))+parametros_manuales!$F$33*('Plan mensual'!N4+IF(parametros_manuales!$H$33="Todos",'Plan mensual'!N8,0))+parametros_manuales!$G$33*('Plan mensual'!N5+IF(parametros_manuales!$H$33="Todos",'Plan mensual'!N9,0)))*parametros_manuales!$I$33*parametros_manuales!$J$33</f>
        <v>501.2598001861</v>
      </c>
      <c r="M16" s="9" t="n">
        <f aca="false">(parametros_manuales!$D$33*('Plan mensual'!O2+IF(parametros_manuales!$H$33="Todos",'Plan mensual'!O6,0))+parametros_manuales!$E$33*('Plan mensual'!O3+IF(parametros_manuales!$H$33="Todos",'Plan mensual'!O7,0))+parametros_manuales!$F$33*('Plan mensual'!O4+IF(parametros_manuales!$H$33="Todos",'Plan mensual'!O8,0))+parametros_manuales!$G$33*('Plan mensual'!O5+IF(parametros_manuales!$H$33="Todos",'Plan mensual'!O9,0)))*parametros_manuales!$I$33*parametros_manuales!$J$33</f>
        <v>796.6484071703</v>
      </c>
      <c r="N16" s="9" t="n">
        <f aca="false">SUM(B16:M16)</f>
        <v>6862.37310673</v>
      </c>
      <c r="O16" s="9" t="n">
        <f aca="false">MAX(B16:M16)</f>
        <v>796.6484071703</v>
      </c>
      <c r="P16" s="43" t="n">
        <f aca="false">O16/(parametros_manuales!$B$7)</f>
        <v>5.31098938113533</v>
      </c>
      <c r="Q16" s="8" t="str">
        <f aca="false">IF(O16=0,"-",INDEX($B$1:$M$1,MATCH(O16,B16:M16,0)))</f>
        <v>Dic</v>
      </c>
    </row>
    <row r="17" customFormat="false" ht="14.25" hidden="false" customHeight="true" outlineLevel="0" collapsed="false">
      <c r="A17" s="8" t="str">
        <f aca="false">parametros_manuales!$B$34</f>
        <v>Granallado</v>
      </c>
      <c r="B17" s="9" t="n">
        <f aca="false">(parametros_manuales!$D$34*('Plan mensual'!D2+IF(parametros_manuales!$H$34="Todos",'Plan mensual'!D6,0))+parametros_manuales!$E$34*('Plan mensual'!D3+IF(parametros_manuales!$H$34="Todos",'Plan mensual'!D7,0))+parametros_manuales!$F$34*('Plan mensual'!D4+IF(parametros_manuales!$H$34="Todos",'Plan mensual'!D8,0))+parametros_manuales!$G$34*('Plan mensual'!D5+IF(parametros_manuales!$H$34="Todos",'Plan mensual'!D9,0)))*parametros_manuales!$I$34*parametros_manuales!$J$34</f>
        <v>769.812041533</v>
      </c>
      <c r="C17" s="9" t="n">
        <f aca="false">(parametros_manuales!$D$34*('Plan mensual'!E2+IF(parametros_manuales!$H$34="Todos",'Plan mensual'!E6,0))+parametros_manuales!$E$34*('Plan mensual'!E3+IF(parametros_manuales!$H$34="Todos",'Plan mensual'!E7,0))+parametros_manuales!$F$34*('Plan mensual'!E4+IF(parametros_manuales!$H$34="Todos",'Plan mensual'!E8,0))+parametros_manuales!$G$34*('Plan mensual'!E5+IF(parametros_manuales!$H$34="Todos",'Plan mensual'!E9,0)))*parametros_manuales!$I$34*parametros_manuales!$J$34</f>
        <v>590.7772139684</v>
      </c>
      <c r="D17" s="9" t="n">
        <f aca="false">(parametros_manuales!$D$34*('Plan mensual'!F2+IF(parametros_manuales!$H$34="Todos",'Plan mensual'!F6,0))+parametros_manuales!$E$34*('Plan mensual'!F3+IF(parametros_manuales!$H$34="Todos",'Plan mensual'!F7,0))+parametros_manuales!$F$34*('Plan mensual'!F4+IF(parametros_manuales!$H$34="Todos",'Plan mensual'!F8,0))+parametros_manuales!$G$34*('Plan mensual'!F5+IF(parametros_manuales!$H$34="Todos",'Plan mensual'!F9,0)))*parametros_manuales!$I$34*parametros_manuales!$J$34</f>
        <v>562.40803135705</v>
      </c>
      <c r="E17" s="9" t="n">
        <f aca="false">(parametros_manuales!$D$34*('Plan mensual'!G2+IF(parametros_manuales!$H$34="Todos",'Plan mensual'!G6,0))+parametros_manuales!$E$34*('Plan mensual'!G3+IF(parametros_manuales!$H$34="Todos",'Plan mensual'!G7,0))+parametros_manuales!$F$34*('Plan mensual'!G4+IF(parametros_manuales!$H$34="Todos",'Plan mensual'!G8,0))+parametros_manuales!$G$34*('Plan mensual'!G5+IF(parametros_manuales!$H$34="Todos",'Plan mensual'!G9,0)))*parametros_manuales!$I$34*parametros_manuales!$J$34</f>
        <v>541.51434864205</v>
      </c>
      <c r="F17" s="9" t="n">
        <f aca="false">(parametros_manuales!$D$34*('Plan mensual'!H2+IF(parametros_manuales!$H$34="Todos",'Plan mensual'!H6,0))+parametros_manuales!$E$34*('Plan mensual'!H3+IF(parametros_manuales!$H$34="Todos",'Plan mensual'!H7,0))+parametros_manuales!$F$34*('Plan mensual'!H4+IF(parametros_manuales!$H$34="Todos",'Plan mensual'!H8,0))+parametros_manuales!$G$34*('Plan mensual'!H5+IF(parametros_manuales!$H$34="Todos",'Plan mensual'!H9,0)))*parametros_manuales!$I$34*parametros_manuales!$J$34</f>
        <v>507.2024831084</v>
      </c>
      <c r="G17" s="9" t="n">
        <f aca="false">(parametros_manuales!$D$34*('Plan mensual'!I2+IF(parametros_manuales!$H$34="Todos",'Plan mensual'!I6,0))+parametros_manuales!$E$34*('Plan mensual'!I3+IF(parametros_manuales!$H$34="Todos",'Plan mensual'!I7,0))+parametros_manuales!$F$34*('Plan mensual'!I4+IF(parametros_manuales!$H$34="Todos",'Plan mensual'!I8,0))+parametros_manuales!$G$34*('Plan mensual'!I5+IF(parametros_manuales!$H$34="Todos",'Plan mensual'!I9,0)))*parametros_manuales!$I$34*parametros_manuales!$J$34</f>
        <v>493.78430028975</v>
      </c>
      <c r="H17" s="9" t="n">
        <f aca="false">(parametros_manuales!$D$34*('Plan mensual'!J2+IF(parametros_manuales!$H$34="Todos",'Plan mensual'!J6,0))+parametros_manuales!$E$34*('Plan mensual'!J3+IF(parametros_manuales!$H$34="Todos",'Plan mensual'!J7,0))+parametros_manuales!$F$34*('Plan mensual'!J4+IF(parametros_manuales!$H$34="Todos",'Plan mensual'!J8,0))+parametros_manuales!$G$34*('Plan mensual'!J5+IF(parametros_manuales!$H$34="Todos",'Plan mensual'!J9,0)))*parametros_manuales!$I$34*parametros_manuales!$J$34</f>
        <v>528.0961658234</v>
      </c>
      <c r="I17" s="9" t="n">
        <f aca="false">(parametros_manuales!$D$34*('Plan mensual'!K2+IF(parametros_manuales!$H$34="Todos",'Plan mensual'!K6,0))+parametros_manuales!$E$34*('Plan mensual'!K3+IF(parametros_manuales!$H$34="Todos",'Plan mensual'!K7,0))+parametros_manuales!$F$34*('Plan mensual'!K4+IF(parametros_manuales!$H$34="Todos",'Plan mensual'!K8,0))+parametros_manuales!$G$34*('Plan mensual'!K5+IF(parametros_manuales!$H$34="Todos",'Plan mensual'!K9,0)))*parametros_manuales!$I$34*parametros_manuales!$J$34</f>
        <v>528.0961658234</v>
      </c>
      <c r="J17" s="9" t="n">
        <f aca="false">(parametros_manuales!$D$34*('Plan mensual'!L2+IF(parametros_manuales!$H$34="Todos",'Plan mensual'!L6,0))+parametros_manuales!$E$34*('Plan mensual'!L3+IF(parametros_manuales!$H$34="Todos",'Plan mensual'!L7,0))+parametros_manuales!$F$34*('Plan mensual'!L4+IF(parametros_manuales!$H$34="Todos",'Plan mensual'!L8,0))+parametros_manuales!$G$34*('Plan mensual'!L5+IF(parametros_manuales!$H$34="Todos",'Plan mensual'!L9,0)))*parametros_manuales!$I$34*parametros_manuales!$J$34</f>
        <v>528.0961658234</v>
      </c>
      <c r="K17" s="9" t="n">
        <f aca="false">(parametros_manuales!$D$34*('Plan mensual'!M2+IF(parametros_manuales!$H$34="Todos",'Plan mensual'!M6,0))+parametros_manuales!$E$34*('Plan mensual'!M3+IF(parametros_manuales!$H$34="Todos",'Plan mensual'!M7,0))+parametros_manuales!$F$34*('Plan mensual'!M4+IF(parametros_manuales!$H$34="Todos",'Plan mensual'!M8,0))+parametros_manuales!$G$34*('Plan mensual'!M5+IF(parametros_manuales!$H$34="Todos",'Plan mensual'!M9,0)))*parametros_manuales!$I$34*parametros_manuales!$J$34</f>
        <v>514.67798300475</v>
      </c>
      <c r="L17" s="9" t="n">
        <f aca="false">(parametros_manuales!$D$34*('Plan mensual'!N2+IF(parametros_manuales!$H$34="Todos",'Plan mensual'!N6,0))+parametros_manuales!$E$34*('Plan mensual'!N3+IF(parametros_manuales!$H$34="Todos",'Plan mensual'!N7,0))+parametros_manuales!$F$34*('Plan mensual'!N4+IF(parametros_manuales!$H$34="Todos",'Plan mensual'!N8,0))+parametros_manuales!$G$34*('Plan mensual'!N5+IF(parametros_manuales!$H$34="Todos",'Plan mensual'!N9,0)))*parametros_manuales!$I$34*parametros_manuales!$J$34</f>
        <v>501.2598001861</v>
      </c>
      <c r="M17" s="9" t="n">
        <f aca="false">(parametros_manuales!$D$34*('Plan mensual'!O2+IF(parametros_manuales!$H$34="Todos",'Plan mensual'!O6,0))+parametros_manuales!$E$34*('Plan mensual'!O3+IF(parametros_manuales!$H$34="Todos",'Plan mensual'!O7,0))+parametros_manuales!$F$34*('Plan mensual'!O4+IF(parametros_manuales!$H$34="Todos",'Plan mensual'!O8,0))+parametros_manuales!$G$34*('Plan mensual'!O5+IF(parametros_manuales!$H$34="Todos",'Plan mensual'!O9,0)))*parametros_manuales!$I$34*parametros_manuales!$J$34</f>
        <v>796.6484071703</v>
      </c>
      <c r="N17" s="9" t="n">
        <f aca="false">SUM(B17:M17)</f>
        <v>6862.37310673</v>
      </c>
      <c r="O17" s="9" t="n">
        <f aca="false">MAX(B17:M17)</f>
        <v>796.6484071703</v>
      </c>
      <c r="P17" s="43" t="n">
        <f aca="false">O17/(parametros_manuales!$B$7)</f>
        <v>5.31098938113533</v>
      </c>
      <c r="Q17" s="8" t="str">
        <f aca="false">IF(O17=0,"-",INDEX($B$1:$M$1,MATCH(O17,B17:M17,0)))</f>
        <v>Dic</v>
      </c>
    </row>
    <row r="18" customFormat="false" ht="14.25" hidden="false" customHeight="true" outlineLevel="0" collapsed="false">
      <c r="A18" s="8" t="str">
        <f aca="false">parametros_manuales!$B$35</f>
        <v>Detección de defectos</v>
      </c>
      <c r="B18" s="9" t="n">
        <f aca="false">(parametros_manuales!$D$35*('Plan mensual'!D2+IF(parametros_manuales!$H$35="Todos",'Plan mensual'!D6,0))+parametros_manuales!$E$35*('Plan mensual'!D3+IF(parametros_manuales!$H$35="Todos",'Plan mensual'!D7,0))+parametros_manuales!$F$35*('Plan mensual'!D4+IF(parametros_manuales!$H$35="Todos",'Plan mensual'!D8,0))+parametros_manuales!$G$35*('Plan mensual'!D5+IF(parametros_manuales!$H$35="Todos",'Plan mensual'!D9,0)))*parametros_manuales!$I$35*parametros_manuales!$J$35</f>
        <v>769.812041533</v>
      </c>
      <c r="C18" s="9" t="n">
        <f aca="false">(parametros_manuales!$D$35*('Plan mensual'!E2+IF(parametros_manuales!$H$35="Todos",'Plan mensual'!E6,0))+parametros_manuales!$E$35*('Plan mensual'!E3+IF(parametros_manuales!$H$35="Todos",'Plan mensual'!E7,0))+parametros_manuales!$F$35*('Plan mensual'!E4+IF(parametros_manuales!$H$35="Todos",'Plan mensual'!E8,0))+parametros_manuales!$G$35*('Plan mensual'!E5+IF(parametros_manuales!$H$35="Todos",'Plan mensual'!E9,0)))*parametros_manuales!$I$35*parametros_manuales!$J$35</f>
        <v>590.7772139684</v>
      </c>
      <c r="D18" s="9" t="n">
        <f aca="false">(parametros_manuales!$D$35*('Plan mensual'!F2+IF(parametros_manuales!$H$35="Todos",'Plan mensual'!F6,0))+parametros_manuales!$E$35*('Plan mensual'!F3+IF(parametros_manuales!$H$35="Todos",'Plan mensual'!F7,0))+parametros_manuales!$F$35*('Plan mensual'!F4+IF(parametros_manuales!$H$35="Todos",'Plan mensual'!F8,0))+parametros_manuales!$G$35*('Plan mensual'!F5+IF(parametros_manuales!$H$35="Todos",'Plan mensual'!F9,0)))*parametros_manuales!$I$35*parametros_manuales!$J$35</f>
        <v>562.40803135705</v>
      </c>
      <c r="E18" s="9" t="n">
        <f aca="false">(parametros_manuales!$D$35*('Plan mensual'!G2+IF(parametros_manuales!$H$35="Todos",'Plan mensual'!G6,0))+parametros_manuales!$E$35*('Plan mensual'!G3+IF(parametros_manuales!$H$35="Todos",'Plan mensual'!G7,0))+parametros_manuales!$F$35*('Plan mensual'!G4+IF(parametros_manuales!$H$35="Todos",'Plan mensual'!G8,0))+parametros_manuales!$G$35*('Plan mensual'!G5+IF(parametros_manuales!$H$35="Todos",'Plan mensual'!G9,0)))*parametros_manuales!$I$35*parametros_manuales!$J$35</f>
        <v>541.51434864205</v>
      </c>
      <c r="F18" s="9" t="n">
        <f aca="false">(parametros_manuales!$D$35*('Plan mensual'!H2+IF(parametros_manuales!$H$35="Todos",'Plan mensual'!H6,0))+parametros_manuales!$E$35*('Plan mensual'!H3+IF(parametros_manuales!$H$35="Todos",'Plan mensual'!H7,0))+parametros_manuales!$F$35*('Plan mensual'!H4+IF(parametros_manuales!$H$35="Todos",'Plan mensual'!H8,0))+parametros_manuales!$G$35*('Plan mensual'!H5+IF(parametros_manuales!$H$35="Todos",'Plan mensual'!H9,0)))*parametros_manuales!$I$35*parametros_manuales!$J$35</f>
        <v>507.2024831084</v>
      </c>
      <c r="G18" s="9" t="n">
        <f aca="false">(parametros_manuales!$D$35*('Plan mensual'!I2+IF(parametros_manuales!$H$35="Todos",'Plan mensual'!I6,0))+parametros_manuales!$E$35*('Plan mensual'!I3+IF(parametros_manuales!$H$35="Todos",'Plan mensual'!I7,0))+parametros_manuales!$F$35*('Plan mensual'!I4+IF(parametros_manuales!$H$35="Todos",'Plan mensual'!I8,0))+parametros_manuales!$G$35*('Plan mensual'!I5+IF(parametros_manuales!$H$35="Todos",'Plan mensual'!I9,0)))*parametros_manuales!$I$35*parametros_manuales!$J$35</f>
        <v>493.78430028975</v>
      </c>
      <c r="H18" s="9" t="n">
        <f aca="false">(parametros_manuales!$D$35*('Plan mensual'!J2+IF(parametros_manuales!$H$35="Todos",'Plan mensual'!J6,0))+parametros_manuales!$E$35*('Plan mensual'!J3+IF(parametros_manuales!$H$35="Todos",'Plan mensual'!J7,0))+parametros_manuales!$F$35*('Plan mensual'!J4+IF(parametros_manuales!$H$35="Todos",'Plan mensual'!J8,0))+parametros_manuales!$G$35*('Plan mensual'!J5+IF(parametros_manuales!$H$35="Todos",'Plan mensual'!J9,0)))*parametros_manuales!$I$35*parametros_manuales!$J$35</f>
        <v>528.0961658234</v>
      </c>
      <c r="I18" s="9" t="n">
        <f aca="false">(parametros_manuales!$D$35*('Plan mensual'!K2+IF(parametros_manuales!$H$35="Todos",'Plan mensual'!K6,0))+parametros_manuales!$E$35*('Plan mensual'!K3+IF(parametros_manuales!$H$35="Todos",'Plan mensual'!K7,0))+parametros_manuales!$F$35*('Plan mensual'!K4+IF(parametros_manuales!$H$35="Todos",'Plan mensual'!K8,0))+parametros_manuales!$G$35*('Plan mensual'!K5+IF(parametros_manuales!$H$35="Todos",'Plan mensual'!K9,0)))*parametros_manuales!$I$35*parametros_manuales!$J$35</f>
        <v>528.0961658234</v>
      </c>
      <c r="J18" s="9" t="n">
        <f aca="false">(parametros_manuales!$D$35*('Plan mensual'!L2+IF(parametros_manuales!$H$35="Todos",'Plan mensual'!L6,0))+parametros_manuales!$E$35*('Plan mensual'!L3+IF(parametros_manuales!$H$35="Todos",'Plan mensual'!L7,0))+parametros_manuales!$F$35*('Plan mensual'!L4+IF(parametros_manuales!$H$35="Todos",'Plan mensual'!L8,0))+parametros_manuales!$G$35*('Plan mensual'!L5+IF(parametros_manuales!$H$35="Todos",'Plan mensual'!L9,0)))*parametros_manuales!$I$35*parametros_manuales!$J$35</f>
        <v>528.0961658234</v>
      </c>
      <c r="K18" s="9" t="n">
        <f aca="false">(parametros_manuales!$D$35*('Plan mensual'!M2+IF(parametros_manuales!$H$35="Todos",'Plan mensual'!M6,0))+parametros_manuales!$E$35*('Plan mensual'!M3+IF(parametros_manuales!$H$35="Todos",'Plan mensual'!M7,0))+parametros_manuales!$F$35*('Plan mensual'!M4+IF(parametros_manuales!$H$35="Todos",'Plan mensual'!M8,0))+parametros_manuales!$G$35*('Plan mensual'!M5+IF(parametros_manuales!$H$35="Todos",'Plan mensual'!M9,0)))*parametros_manuales!$I$35*parametros_manuales!$J$35</f>
        <v>514.67798300475</v>
      </c>
      <c r="L18" s="9" t="n">
        <f aca="false">(parametros_manuales!$D$35*('Plan mensual'!N2+IF(parametros_manuales!$H$35="Todos",'Plan mensual'!N6,0))+parametros_manuales!$E$35*('Plan mensual'!N3+IF(parametros_manuales!$H$35="Todos",'Plan mensual'!N7,0))+parametros_manuales!$F$35*('Plan mensual'!N4+IF(parametros_manuales!$H$35="Todos",'Plan mensual'!N8,0))+parametros_manuales!$G$35*('Plan mensual'!N5+IF(parametros_manuales!$H$35="Todos",'Plan mensual'!N9,0)))*parametros_manuales!$I$35*parametros_manuales!$J$35</f>
        <v>501.2598001861</v>
      </c>
      <c r="M18" s="9" t="n">
        <f aca="false">(parametros_manuales!$D$35*('Plan mensual'!O2+IF(parametros_manuales!$H$35="Todos",'Plan mensual'!O6,0))+parametros_manuales!$E$35*('Plan mensual'!O3+IF(parametros_manuales!$H$35="Todos",'Plan mensual'!O7,0))+parametros_manuales!$F$35*('Plan mensual'!O4+IF(parametros_manuales!$H$35="Todos",'Plan mensual'!O8,0))+parametros_manuales!$G$35*('Plan mensual'!O5+IF(parametros_manuales!$H$35="Todos",'Plan mensual'!O9,0)))*parametros_manuales!$I$35*parametros_manuales!$J$35</f>
        <v>796.6484071703</v>
      </c>
      <c r="N18" s="9" t="n">
        <f aca="false">SUM(B18:M18)</f>
        <v>6862.37310673</v>
      </c>
      <c r="O18" s="9" t="n">
        <f aca="false">MAX(B18:M18)</f>
        <v>796.6484071703</v>
      </c>
      <c r="P18" s="43" t="n">
        <f aca="false">O18/(parametros_manuales!$B$7)</f>
        <v>5.31098938113533</v>
      </c>
      <c r="Q18" s="8" t="str">
        <f aca="false">IF(O18=0,"-",INDEX($B$1:$M$1,MATCH(O18,B18:M18,0)))</f>
        <v>Dic</v>
      </c>
    </row>
    <row r="19" customFormat="false" ht="14.25" hidden="false" customHeight="true" outlineLevel="0" collapsed="false">
      <c r="A19" s="8" t="str">
        <f aca="false">parametros_manuales!$B$36</f>
        <v>Corrección de defectos</v>
      </c>
      <c r="B19" s="9" t="n">
        <f aca="false">(parametros_manuales!$D$36*('Plan mensual'!D2+IF(parametros_manuales!$H$36="Todos",'Plan mensual'!D6,0))+parametros_manuales!$E$36*('Plan mensual'!D3+IF(parametros_manuales!$H$36="Todos",'Plan mensual'!D7,0))+parametros_manuales!$F$36*('Plan mensual'!D4+IF(parametros_manuales!$H$36="Todos",'Plan mensual'!D8,0))+parametros_manuales!$G$36*('Plan mensual'!D5+IF(parametros_manuales!$H$36="Todos",'Plan mensual'!D9,0)))*parametros_manuales!$I$36*parametros_manuales!$J$36</f>
        <v>38.49060207665</v>
      </c>
      <c r="C19" s="9" t="n">
        <f aca="false">(parametros_manuales!$D$36*('Plan mensual'!E2+IF(parametros_manuales!$H$36="Todos",'Plan mensual'!E6,0))+parametros_manuales!$E$36*('Plan mensual'!E3+IF(parametros_manuales!$H$36="Todos",'Plan mensual'!E7,0))+parametros_manuales!$F$36*('Plan mensual'!E4+IF(parametros_manuales!$H$36="Todos",'Plan mensual'!E8,0))+parametros_manuales!$G$36*('Plan mensual'!E5+IF(parametros_manuales!$H$36="Todos",'Plan mensual'!E9,0)))*parametros_manuales!$I$36*parametros_manuales!$J$36</f>
        <v>29.53886069842</v>
      </c>
      <c r="D19" s="9" t="n">
        <f aca="false">(parametros_manuales!$D$36*('Plan mensual'!F2+IF(parametros_manuales!$H$36="Todos",'Plan mensual'!F6,0))+parametros_manuales!$E$36*('Plan mensual'!F3+IF(parametros_manuales!$H$36="Todos",'Plan mensual'!F7,0))+parametros_manuales!$F$36*('Plan mensual'!F4+IF(parametros_manuales!$H$36="Todos",'Plan mensual'!F8,0))+parametros_manuales!$G$36*('Plan mensual'!F5+IF(parametros_manuales!$H$36="Todos",'Plan mensual'!F9,0)))*parametros_manuales!$I$36*parametros_manuales!$J$36</f>
        <v>28.1204015678525</v>
      </c>
      <c r="E19" s="9" t="n">
        <f aca="false">(parametros_manuales!$D$36*('Plan mensual'!G2+IF(parametros_manuales!$H$36="Todos",'Plan mensual'!G6,0))+parametros_manuales!$E$36*('Plan mensual'!G3+IF(parametros_manuales!$H$36="Todos",'Plan mensual'!G7,0))+parametros_manuales!$F$36*('Plan mensual'!G4+IF(parametros_manuales!$H$36="Todos",'Plan mensual'!G8,0))+parametros_manuales!$G$36*('Plan mensual'!G5+IF(parametros_manuales!$H$36="Todos",'Plan mensual'!G9,0)))*parametros_manuales!$I$36*parametros_manuales!$J$36</f>
        <v>27.0757174321025</v>
      </c>
      <c r="F19" s="9" t="n">
        <f aca="false">(parametros_manuales!$D$36*('Plan mensual'!H2+IF(parametros_manuales!$H$36="Todos",'Plan mensual'!H6,0))+parametros_manuales!$E$36*('Plan mensual'!H3+IF(parametros_manuales!$H$36="Todos",'Plan mensual'!H7,0))+parametros_manuales!$F$36*('Plan mensual'!H4+IF(parametros_manuales!$H$36="Todos",'Plan mensual'!H8,0))+parametros_manuales!$G$36*('Plan mensual'!H5+IF(parametros_manuales!$H$36="Todos",'Plan mensual'!H9,0)))*parametros_manuales!$I$36*parametros_manuales!$J$36</f>
        <v>25.36012415542</v>
      </c>
      <c r="G19" s="9" t="n">
        <f aca="false">(parametros_manuales!$D$36*('Plan mensual'!I2+IF(parametros_manuales!$H$36="Todos",'Plan mensual'!I6,0))+parametros_manuales!$E$36*('Plan mensual'!I3+IF(parametros_manuales!$H$36="Todos",'Plan mensual'!I7,0))+parametros_manuales!$F$36*('Plan mensual'!I4+IF(parametros_manuales!$H$36="Todos",'Plan mensual'!I8,0))+parametros_manuales!$G$36*('Plan mensual'!I5+IF(parametros_manuales!$H$36="Todos",'Plan mensual'!I9,0)))*parametros_manuales!$I$36*parametros_manuales!$J$36</f>
        <v>24.6892150144875</v>
      </c>
      <c r="H19" s="9" t="n">
        <f aca="false">(parametros_manuales!$D$36*('Plan mensual'!J2+IF(parametros_manuales!$H$36="Todos",'Plan mensual'!J6,0))+parametros_manuales!$E$36*('Plan mensual'!J3+IF(parametros_manuales!$H$36="Todos",'Plan mensual'!J7,0))+parametros_manuales!$F$36*('Plan mensual'!J4+IF(parametros_manuales!$H$36="Todos",'Plan mensual'!J8,0))+parametros_manuales!$G$36*('Plan mensual'!J5+IF(parametros_manuales!$H$36="Todos",'Plan mensual'!J9,0)))*parametros_manuales!$I$36*parametros_manuales!$J$36</f>
        <v>26.40480829117</v>
      </c>
      <c r="I19" s="9" t="n">
        <f aca="false">(parametros_manuales!$D$36*('Plan mensual'!K2+IF(parametros_manuales!$H$36="Todos",'Plan mensual'!K6,0))+parametros_manuales!$E$36*('Plan mensual'!K3+IF(parametros_manuales!$H$36="Todos",'Plan mensual'!K7,0))+parametros_manuales!$F$36*('Plan mensual'!K4+IF(parametros_manuales!$H$36="Todos",'Plan mensual'!K8,0))+parametros_manuales!$G$36*('Plan mensual'!K5+IF(parametros_manuales!$H$36="Todos",'Plan mensual'!K9,0)))*parametros_manuales!$I$36*parametros_manuales!$J$36</f>
        <v>26.40480829117</v>
      </c>
      <c r="J19" s="9" t="n">
        <f aca="false">(parametros_manuales!$D$36*('Plan mensual'!L2+IF(parametros_manuales!$H$36="Todos",'Plan mensual'!L6,0))+parametros_manuales!$E$36*('Plan mensual'!L3+IF(parametros_manuales!$H$36="Todos",'Plan mensual'!L7,0))+parametros_manuales!$F$36*('Plan mensual'!L4+IF(parametros_manuales!$H$36="Todos",'Plan mensual'!L8,0))+parametros_manuales!$G$36*('Plan mensual'!L5+IF(parametros_manuales!$H$36="Todos",'Plan mensual'!L9,0)))*parametros_manuales!$I$36*parametros_manuales!$J$36</f>
        <v>26.40480829117</v>
      </c>
      <c r="K19" s="9" t="n">
        <f aca="false">(parametros_manuales!$D$36*('Plan mensual'!M2+IF(parametros_manuales!$H$36="Todos",'Plan mensual'!M6,0))+parametros_manuales!$E$36*('Plan mensual'!M3+IF(parametros_manuales!$H$36="Todos",'Plan mensual'!M7,0))+parametros_manuales!$F$36*('Plan mensual'!M4+IF(parametros_manuales!$H$36="Todos",'Plan mensual'!M8,0))+parametros_manuales!$G$36*('Plan mensual'!M5+IF(parametros_manuales!$H$36="Todos",'Plan mensual'!M9,0)))*parametros_manuales!$I$36*parametros_manuales!$J$36</f>
        <v>25.7338991502375</v>
      </c>
      <c r="L19" s="9" t="n">
        <f aca="false">(parametros_manuales!$D$36*('Plan mensual'!N2+IF(parametros_manuales!$H$36="Todos",'Plan mensual'!N6,0))+parametros_manuales!$E$36*('Plan mensual'!N3+IF(parametros_manuales!$H$36="Todos",'Plan mensual'!N7,0))+parametros_manuales!$F$36*('Plan mensual'!N4+IF(parametros_manuales!$H$36="Todos",'Plan mensual'!N8,0))+parametros_manuales!$G$36*('Plan mensual'!N5+IF(parametros_manuales!$H$36="Todos",'Plan mensual'!N9,0)))*parametros_manuales!$I$36*parametros_manuales!$J$36</f>
        <v>25.062990009305</v>
      </c>
      <c r="M19" s="9" t="n">
        <f aca="false">(parametros_manuales!$D$36*('Plan mensual'!O2+IF(parametros_manuales!$H$36="Todos",'Plan mensual'!O6,0))+parametros_manuales!$E$36*('Plan mensual'!O3+IF(parametros_manuales!$H$36="Todos",'Plan mensual'!O7,0))+parametros_manuales!$F$36*('Plan mensual'!O4+IF(parametros_manuales!$H$36="Todos",'Plan mensual'!O8,0))+parametros_manuales!$G$36*('Plan mensual'!O5+IF(parametros_manuales!$H$36="Todos",'Plan mensual'!O9,0)))*parametros_manuales!$I$36*parametros_manuales!$J$36</f>
        <v>39.832420358515</v>
      </c>
      <c r="N19" s="9" t="n">
        <f aca="false">SUM(B19:M19)</f>
        <v>343.1186553365</v>
      </c>
      <c r="O19" s="9" t="n">
        <f aca="false">MAX(B19:M19)</f>
        <v>39.832420358515</v>
      </c>
      <c r="P19" s="43" t="n">
        <f aca="false">O19/(parametros_manuales!$B$7)</f>
        <v>0.265549469056767</v>
      </c>
      <c r="Q19" s="8" t="str">
        <f aca="false">IF(O19=0,"-",INDEX($B$1:$M$1,MATCH(O19,B19:M19,0)))</f>
        <v>Dic</v>
      </c>
    </row>
    <row r="20" customFormat="false" ht="14.25" hidden="false" customHeight="true" outlineLevel="0" collapsed="false">
      <c r="A20" s="8" t="str">
        <f aca="false">parametros_manuales!$B$37</f>
        <v>Pintura en polvo + horno</v>
      </c>
      <c r="B20" s="9" t="n">
        <f aca="false">(parametros_manuales!$D$37*('Plan mensual'!D2+IF(parametros_manuales!$H$37="Todos",'Plan mensual'!D6,0))+parametros_manuales!$E$37*('Plan mensual'!D3+IF(parametros_manuales!$H$37="Todos",'Plan mensual'!D7,0))+parametros_manuales!$F$37*('Plan mensual'!D4+IF(parametros_manuales!$H$37="Todos",'Plan mensual'!D8,0))+parametros_manuales!$G$37*('Plan mensual'!D5+IF(parametros_manuales!$H$37="Todos",'Plan mensual'!D9,0)))*parametros_manuales!$I$37*parametros_manuales!$J$37</f>
        <v>769.812041533</v>
      </c>
      <c r="C20" s="9" t="n">
        <f aca="false">(parametros_manuales!$D$37*('Plan mensual'!E2+IF(parametros_manuales!$H$37="Todos",'Plan mensual'!E6,0))+parametros_manuales!$E$37*('Plan mensual'!E3+IF(parametros_manuales!$H$37="Todos",'Plan mensual'!E7,0))+parametros_manuales!$F$37*('Plan mensual'!E4+IF(parametros_manuales!$H$37="Todos",'Plan mensual'!E8,0))+parametros_manuales!$G$37*('Plan mensual'!E5+IF(parametros_manuales!$H$37="Todos",'Plan mensual'!E9,0)))*parametros_manuales!$I$37*parametros_manuales!$J$37</f>
        <v>590.7772139684</v>
      </c>
      <c r="D20" s="9" t="n">
        <f aca="false">(parametros_manuales!$D$37*('Plan mensual'!F2+IF(parametros_manuales!$H$37="Todos",'Plan mensual'!F6,0))+parametros_manuales!$E$37*('Plan mensual'!F3+IF(parametros_manuales!$H$37="Todos",'Plan mensual'!F7,0))+parametros_manuales!$F$37*('Plan mensual'!F4+IF(parametros_manuales!$H$37="Todos",'Plan mensual'!F8,0))+parametros_manuales!$G$37*('Plan mensual'!F5+IF(parametros_manuales!$H$37="Todos",'Plan mensual'!F9,0)))*parametros_manuales!$I$37*parametros_manuales!$J$37</f>
        <v>562.40803135705</v>
      </c>
      <c r="E20" s="9" t="n">
        <f aca="false">(parametros_manuales!$D$37*('Plan mensual'!G2+IF(parametros_manuales!$H$37="Todos",'Plan mensual'!G6,0))+parametros_manuales!$E$37*('Plan mensual'!G3+IF(parametros_manuales!$H$37="Todos",'Plan mensual'!G7,0))+parametros_manuales!$F$37*('Plan mensual'!G4+IF(parametros_manuales!$H$37="Todos",'Plan mensual'!G8,0))+parametros_manuales!$G$37*('Plan mensual'!G5+IF(parametros_manuales!$H$37="Todos",'Plan mensual'!G9,0)))*parametros_manuales!$I$37*parametros_manuales!$J$37</f>
        <v>541.51434864205</v>
      </c>
      <c r="F20" s="9" t="n">
        <f aca="false">(parametros_manuales!$D$37*('Plan mensual'!H2+IF(parametros_manuales!$H$37="Todos",'Plan mensual'!H6,0))+parametros_manuales!$E$37*('Plan mensual'!H3+IF(parametros_manuales!$H$37="Todos",'Plan mensual'!H7,0))+parametros_manuales!$F$37*('Plan mensual'!H4+IF(parametros_manuales!$H$37="Todos",'Plan mensual'!H8,0))+parametros_manuales!$G$37*('Plan mensual'!H5+IF(parametros_manuales!$H$37="Todos",'Plan mensual'!H9,0)))*parametros_manuales!$I$37*parametros_manuales!$J$37</f>
        <v>507.2024831084</v>
      </c>
      <c r="G20" s="9" t="n">
        <f aca="false">(parametros_manuales!$D$37*('Plan mensual'!I2+IF(parametros_manuales!$H$37="Todos",'Plan mensual'!I6,0))+parametros_manuales!$E$37*('Plan mensual'!I3+IF(parametros_manuales!$H$37="Todos",'Plan mensual'!I7,0))+parametros_manuales!$F$37*('Plan mensual'!I4+IF(parametros_manuales!$H$37="Todos",'Plan mensual'!I8,0))+parametros_manuales!$G$37*('Plan mensual'!I5+IF(parametros_manuales!$H$37="Todos",'Plan mensual'!I9,0)))*parametros_manuales!$I$37*parametros_manuales!$J$37</f>
        <v>493.78430028975</v>
      </c>
      <c r="H20" s="9" t="n">
        <f aca="false">(parametros_manuales!$D$37*('Plan mensual'!J2+IF(parametros_manuales!$H$37="Todos",'Plan mensual'!J6,0))+parametros_manuales!$E$37*('Plan mensual'!J3+IF(parametros_manuales!$H$37="Todos",'Plan mensual'!J7,0))+parametros_manuales!$F$37*('Plan mensual'!J4+IF(parametros_manuales!$H$37="Todos",'Plan mensual'!J8,0))+parametros_manuales!$G$37*('Plan mensual'!J5+IF(parametros_manuales!$H$37="Todos",'Plan mensual'!J9,0)))*parametros_manuales!$I$37*parametros_manuales!$J$37</f>
        <v>528.0961658234</v>
      </c>
      <c r="I20" s="9" t="n">
        <f aca="false">(parametros_manuales!$D$37*('Plan mensual'!K2+IF(parametros_manuales!$H$37="Todos",'Plan mensual'!K6,0))+parametros_manuales!$E$37*('Plan mensual'!K3+IF(parametros_manuales!$H$37="Todos",'Plan mensual'!K7,0))+parametros_manuales!$F$37*('Plan mensual'!K4+IF(parametros_manuales!$H$37="Todos",'Plan mensual'!K8,0))+parametros_manuales!$G$37*('Plan mensual'!K5+IF(parametros_manuales!$H$37="Todos",'Plan mensual'!K9,0)))*parametros_manuales!$I$37*parametros_manuales!$J$37</f>
        <v>528.0961658234</v>
      </c>
      <c r="J20" s="9" t="n">
        <f aca="false">(parametros_manuales!$D$37*('Plan mensual'!L2+IF(parametros_manuales!$H$37="Todos",'Plan mensual'!L6,0))+parametros_manuales!$E$37*('Plan mensual'!L3+IF(parametros_manuales!$H$37="Todos",'Plan mensual'!L7,0))+parametros_manuales!$F$37*('Plan mensual'!L4+IF(parametros_manuales!$H$37="Todos",'Plan mensual'!L8,0))+parametros_manuales!$G$37*('Plan mensual'!L5+IF(parametros_manuales!$H$37="Todos",'Plan mensual'!L9,0)))*parametros_manuales!$I$37*parametros_manuales!$J$37</f>
        <v>528.0961658234</v>
      </c>
      <c r="K20" s="9" t="n">
        <f aca="false">(parametros_manuales!$D$37*('Plan mensual'!M2+IF(parametros_manuales!$H$37="Todos",'Plan mensual'!M6,0))+parametros_manuales!$E$37*('Plan mensual'!M3+IF(parametros_manuales!$H$37="Todos",'Plan mensual'!M7,0))+parametros_manuales!$F$37*('Plan mensual'!M4+IF(parametros_manuales!$H$37="Todos",'Plan mensual'!M8,0))+parametros_manuales!$G$37*('Plan mensual'!M5+IF(parametros_manuales!$H$37="Todos",'Plan mensual'!M9,0)))*parametros_manuales!$I$37*parametros_manuales!$J$37</f>
        <v>514.67798300475</v>
      </c>
      <c r="L20" s="9" t="n">
        <f aca="false">(parametros_manuales!$D$37*('Plan mensual'!N2+IF(parametros_manuales!$H$37="Todos",'Plan mensual'!N6,0))+parametros_manuales!$E$37*('Plan mensual'!N3+IF(parametros_manuales!$H$37="Todos",'Plan mensual'!N7,0))+parametros_manuales!$F$37*('Plan mensual'!N4+IF(parametros_manuales!$H$37="Todos",'Plan mensual'!N8,0))+parametros_manuales!$G$37*('Plan mensual'!N5+IF(parametros_manuales!$H$37="Todos",'Plan mensual'!N9,0)))*parametros_manuales!$I$37*parametros_manuales!$J$37</f>
        <v>501.2598001861</v>
      </c>
      <c r="M20" s="9" t="n">
        <f aca="false">(parametros_manuales!$D$37*('Plan mensual'!O2+IF(parametros_manuales!$H$37="Todos",'Plan mensual'!O6,0))+parametros_manuales!$E$37*('Plan mensual'!O3+IF(parametros_manuales!$H$37="Todos",'Plan mensual'!O7,0))+parametros_manuales!$F$37*('Plan mensual'!O4+IF(parametros_manuales!$H$37="Todos",'Plan mensual'!O8,0))+parametros_manuales!$G$37*('Plan mensual'!O5+IF(parametros_manuales!$H$37="Todos",'Plan mensual'!O9,0)))*parametros_manuales!$I$37*parametros_manuales!$J$37</f>
        <v>796.6484071703</v>
      </c>
      <c r="N20" s="9" t="n">
        <f aca="false">SUM(B20:M20)</f>
        <v>6862.37310673</v>
      </c>
      <c r="O20" s="9" t="n">
        <f aca="false">MAX(B20:M20)</f>
        <v>796.6484071703</v>
      </c>
      <c r="P20" s="43" t="n">
        <f aca="false">O20/(parametros_manuales!$B$7)</f>
        <v>5.31098938113533</v>
      </c>
      <c r="Q20" s="8" t="str">
        <f aca="false">IF(O20=0,"-",INDEX($B$1:$M$1,MATCH(O20,B20:M20,0)))</f>
        <v>Dic</v>
      </c>
    </row>
    <row r="21" customFormat="false" ht="14.25" hidden="false" customHeight="true" outlineLevel="0" collapsed="false">
      <c r="A21" s="8" t="str">
        <f aca="false">parametros_manuales!$B$38</f>
        <v>Carga de polvo</v>
      </c>
      <c r="B21" s="9" t="n">
        <f aca="false">(parametros_manuales!$D$38*('Plan mensual'!D2+IF(parametros_manuales!$H$38="Todos",'Plan mensual'!D6,0))+parametros_manuales!$E$38*('Plan mensual'!D3+IF(parametros_manuales!$H$38="Todos",'Plan mensual'!D7,0))+parametros_manuales!$F$38*('Plan mensual'!D4+IF(parametros_manuales!$H$38="Todos",'Plan mensual'!D8,0))+parametros_manuales!$G$38*('Plan mensual'!D5+IF(parametros_manuales!$H$38="Todos",'Plan mensual'!D9,0)))*parametros_manuales!$I$38*parametros_manuales!$J$38</f>
        <v>767.212041533</v>
      </c>
      <c r="C21" s="9" t="n">
        <f aca="false">(parametros_manuales!$D$38*('Plan mensual'!E2+IF(parametros_manuales!$H$38="Todos",'Plan mensual'!E6,0))+parametros_manuales!$E$38*('Plan mensual'!E3+IF(parametros_manuales!$H$38="Todos",'Plan mensual'!E7,0))+parametros_manuales!$F$38*('Plan mensual'!E4+IF(parametros_manuales!$H$38="Todos",'Plan mensual'!E8,0))+parametros_manuales!$G$38*('Plan mensual'!E5+IF(parametros_manuales!$H$38="Todos",'Plan mensual'!E9,0)))*parametros_manuales!$I$38*parametros_manuales!$J$38</f>
        <v>588.6972139684</v>
      </c>
      <c r="D21" s="9" t="n">
        <f aca="false">(parametros_manuales!$D$38*('Plan mensual'!F2+IF(parametros_manuales!$H$38="Todos",'Plan mensual'!F6,0))+parametros_manuales!$E$38*('Plan mensual'!F3+IF(parametros_manuales!$H$38="Todos",'Plan mensual'!F7,0))+parametros_manuales!$F$38*('Plan mensual'!F4+IF(parametros_manuales!$H$38="Todos",'Plan mensual'!F8,0))+parametros_manuales!$G$38*('Plan mensual'!F5+IF(parametros_manuales!$H$38="Todos",'Plan mensual'!F9,0)))*parametros_manuales!$I$38*parametros_manuales!$J$38</f>
        <v>560.19803135705</v>
      </c>
      <c r="E21" s="9" t="n">
        <f aca="false">(parametros_manuales!$D$38*('Plan mensual'!G2+IF(parametros_manuales!$H$38="Todos",'Plan mensual'!G6,0))+parametros_manuales!$E$38*('Plan mensual'!G3+IF(parametros_manuales!$H$38="Todos",'Plan mensual'!G7,0))+parametros_manuales!$F$38*('Plan mensual'!G4+IF(parametros_manuales!$H$38="Todos",'Plan mensual'!G8,0))+parametros_manuales!$G$38*('Plan mensual'!G5+IF(parametros_manuales!$H$38="Todos",'Plan mensual'!G9,0)))*parametros_manuales!$I$38*parametros_manuales!$J$38</f>
        <v>539.30434864205</v>
      </c>
      <c r="F21" s="9" t="n">
        <f aca="false">(parametros_manuales!$D$38*('Plan mensual'!H2+IF(parametros_manuales!$H$38="Todos",'Plan mensual'!H6,0))+parametros_manuales!$E$38*('Plan mensual'!H3+IF(parametros_manuales!$H$38="Todos",'Plan mensual'!H7,0))+parametros_manuales!$F$38*('Plan mensual'!H4+IF(parametros_manuales!$H$38="Todos",'Plan mensual'!H8,0))+parametros_manuales!$G$38*('Plan mensual'!H5+IF(parametros_manuales!$H$38="Todos",'Plan mensual'!H9,0)))*parametros_manuales!$I$38*parametros_manuales!$J$38</f>
        <v>505.1224831084</v>
      </c>
      <c r="G21" s="9" t="n">
        <f aca="false">(parametros_manuales!$D$38*('Plan mensual'!I2+IF(parametros_manuales!$H$38="Todos",'Plan mensual'!I6,0))+parametros_manuales!$E$38*('Plan mensual'!I3+IF(parametros_manuales!$H$38="Todos",'Plan mensual'!I7,0))+parametros_manuales!$F$38*('Plan mensual'!I4+IF(parametros_manuales!$H$38="Todos",'Plan mensual'!I8,0))+parametros_manuales!$G$38*('Plan mensual'!I5+IF(parametros_manuales!$H$38="Todos",'Plan mensual'!I9,0)))*parametros_manuales!$I$38*parametros_manuales!$J$38</f>
        <v>491.83430028975</v>
      </c>
      <c r="H21" s="9" t="n">
        <f aca="false">(parametros_manuales!$D$38*('Plan mensual'!J2+IF(parametros_manuales!$H$38="Todos",'Plan mensual'!J6,0))+parametros_manuales!$E$38*('Plan mensual'!J3+IF(parametros_manuales!$H$38="Todos",'Plan mensual'!J7,0))+parametros_manuales!$F$38*('Plan mensual'!J4+IF(parametros_manuales!$H$38="Todos",'Plan mensual'!J8,0))+parametros_manuales!$G$38*('Plan mensual'!J5+IF(parametros_manuales!$H$38="Todos",'Plan mensual'!J9,0)))*parametros_manuales!$I$38*parametros_manuales!$J$38</f>
        <v>526.0161658234</v>
      </c>
      <c r="I21" s="9" t="n">
        <f aca="false">(parametros_manuales!$D$38*('Plan mensual'!K2+IF(parametros_manuales!$H$38="Todos",'Plan mensual'!K6,0))+parametros_manuales!$E$38*('Plan mensual'!K3+IF(parametros_manuales!$H$38="Todos",'Plan mensual'!K7,0))+parametros_manuales!$F$38*('Plan mensual'!K4+IF(parametros_manuales!$H$38="Todos",'Plan mensual'!K8,0))+parametros_manuales!$G$38*('Plan mensual'!K5+IF(parametros_manuales!$H$38="Todos",'Plan mensual'!K9,0)))*parametros_manuales!$I$38*parametros_manuales!$J$38</f>
        <v>526.0161658234</v>
      </c>
      <c r="J21" s="9" t="n">
        <f aca="false">(parametros_manuales!$D$38*('Plan mensual'!L2+IF(parametros_manuales!$H$38="Todos",'Plan mensual'!L6,0))+parametros_manuales!$E$38*('Plan mensual'!L3+IF(parametros_manuales!$H$38="Todos",'Plan mensual'!L7,0))+parametros_manuales!$F$38*('Plan mensual'!L4+IF(parametros_manuales!$H$38="Todos",'Plan mensual'!L8,0))+parametros_manuales!$G$38*('Plan mensual'!L5+IF(parametros_manuales!$H$38="Todos",'Plan mensual'!L9,0)))*parametros_manuales!$I$38*parametros_manuales!$J$38</f>
        <v>526.0161658234</v>
      </c>
      <c r="K21" s="9" t="n">
        <f aca="false">(parametros_manuales!$D$38*('Plan mensual'!M2+IF(parametros_manuales!$H$38="Todos",'Plan mensual'!M6,0))+parametros_manuales!$E$38*('Plan mensual'!M3+IF(parametros_manuales!$H$38="Todos",'Plan mensual'!M7,0))+parametros_manuales!$F$38*('Plan mensual'!M4+IF(parametros_manuales!$H$38="Todos",'Plan mensual'!M8,0))+parametros_manuales!$G$38*('Plan mensual'!M5+IF(parametros_manuales!$H$38="Todos",'Plan mensual'!M9,0)))*parametros_manuales!$I$38*parametros_manuales!$J$38</f>
        <v>512.72798300475</v>
      </c>
      <c r="L21" s="9" t="n">
        <f aca="false">(parametros_manuales!$D$38*('Plan mensual'!N2+IF(parametros_manuales!$H$38="Todos",'Plan mensual'!N6,0))+parametros_manuales!$E$38*('Plan mensual'!N3+IF(parametros_manuales!$H$38="Todos",'Plan mensual'!N7,0))+parametros_manuales!$F$38*('Plan mensual'!N4+IF(parametros_manuales!$H$38="Todos",'Plan mensual'!N8,0))+parametros_manuales!$G$38*('Plan mensual'!N5+IF(parametros_manuales!$H$38="Todos",'Plan mensual'!N9,0)))*parametros_manuales!$I$38*parametros_manuales!$J$38</f>
        <v>499.4398001861</v>
      </c>
      <c r="M21" s="9" t="n">
        <f aca="false">(parametros_manuales!$D$38*('Plan mensual'!O2+IF(parametros_manuales!$H$38="Todos",'Plan mensual'!O6,0))+parametros_manuales!$E$38*('Plan mensual'!O3+IF(parametros_manuales!$H$38="Todos",'Plan mensual'!O7,0))+parametros_manuales!$F$38*('Plan mensual'!O4+IF(parametros_manuales!$H$38="Todos",'Plan mensual'!O8,0))+parametros_manuales!$G$38*('Plan mensual'!O5+IF(parametros_manuales!$H$38="Todos",'Plan mensual'!O9,0)))*parametros_manuales!$I$38*parametros_manuales!$J$38</f>
        <v>793.7884071703</v>
      </c>
      <c r="N21" s="9" t="n">
        <f aca="false">SUM(B21:M21)</f>
        <v>6836.37310673</v>
      </c>
      <c r="O21" s="9" t="n">
        <f aca="false">MAX(B21:M21)</f>
        <v>793.7884071703</v>
      </c>
      <c r="P21" s="43" t="n">
        <f aca="false">O21/(parametros_manuales!$B$7)</f>
        <v>5.29192271446867</v>
      </c>
      <c r="Q21" s="8" t="str">
        <f aca="false">IF(O21=0,"-",INDEX($B$1:$M$1,MATCH(O21,B21:M21,0)))</f>
        <v>Dic</v>
      </c>
    </row>
    <row r="22" customFormat="false" ht="14.25" hidden="false" customHeight="true" outlineLevel="0" collapsed="false">
      <c r="A22" s="8" t="str">
        <f aca="false">parametros_manuales!$B$39</f>
        <v>Ensamblaje</v>
      </c>
      <c r="B22" s="9" t="n">
        <f aca="false">(parametros_manuales!$D$39*('Plan mensual'!D2+IF(parametros_manuales!$H$39="Todos",'Plan mensual'!D6,0))+parametros_manuales!$E$39*('Plan mensual'!D3+IF(parametros_manuales!$H$39="Todos",'Plan mensual'!D7,0))+parametros_manuales!$F$39*('Plan mensual'!D4+IF(parametros_manuales!$H$39="Todos",'Plan mensual'!D8,0))+parametros_manuales!$G$39*('Plan mensual'!D5+IF(parametros_manuales!$H$39="Todos",'Plan mensual'!D9,0)))*parametros_manuales!$I$39*parametros_manuales!$J$39</f>
        <v>767.212041533</v>
      </c>
      <c r="C22" s="9" t="n">
        <f aca="false">(parametros_manuales!$D$39*('Plan mensual'!E2+IF(parametros_manuales!$H$39="Todos",'Plan mensual'!E6,0))+parametros_manuales!$E$39*('Plan mensual'!E3+IF(parametros_manuales!$H$39="Todos",'Plan mensual'!E7,0))+parametros_manuales!$F$39*('Plan mensual'!E4+IF(parametros_manuales!$H$39="Todos",'Plan mensual'!E8,0))+parametros_manuales!$G$39*('Plan mensual'!E5+IF(parametros_manuales!$H$39="Todos",'Plan mensual'!E9,0)))*parametros_manuales!$I$39*parametros_manuales!$J$39</f>
        <v>588.6972139684</v>
      </c>
      <c r="D22" s="9" t="n">
        <f aca="false">(parametros_manuales!$D$39*('Plan mensual'!F2+IF(parametros_manuales!$H$39="Todos",'Plan mensual'!F6,0))+parametros_manuales!$E$39*('Plan mensual'!F3+IF(parametros_manuales!$H$39="Todos",'Plan mensual'!F7,0))+parametros_manuales!$F$39*('Plan mensual'!F4+IF(parametros_manuales!$H$39="Todos",'Plan mensual'!F8,0))+parametros_manuales!$G$39*('Plan mensual'!F5+IF(parametros_manuales!$H$39="Todos",'Plan mensual'!F9,0)))*parametros_manuales!$I$39*parametros_manuales!$J$39</f>
        <v>560.19803135705</v>
      </c>
      <c r="E22" s="9" t="n">
        <f aca="false">(parametros_manuales!$D$39*('Plan mensual'!G2+IF(parametros_manuales!$H$39="Todos",'Plan mensual'!G6,0))+parametros_manuales!$E$39*('Plan mensual'!G3+IF(parametros_manuales!$H$39="Todos",'Plan mensual'!G7,0))+parametros_manuales!$F$39*('Plan mensual'!G4+IF(parametros_manuales!$H$39="Todos",'Plan mensual'!G8,0))+parametros_manuales!$G$39*('Plan mensual'!G5+IF(parametros_manuales!$H$39="Todos",'Plan mensual'!G9,0)))*parametros_manuales!$I$39*parametros_manuales!$J$39</f>
        <v>539.30434864205</v>
      </c>
      <c r="F22" s="9" t="n">
        <f aca="false">(parametros_manuales!$D$39*('Plan mensual'!H2+IF(parametros_manuales!$H$39="Todos",'Plan mensual'!H6,0))+parametros_manuales!$E$39*('Plan mensual'!H3+IF(parametros_manuales!$H$39="Todos",'Plan mensual'!H7,0))+parametros_manuales!$F$39*('Plan mensual'!H4+IF(parametros_manuales!$H$39="Todos",'Plan mensual'!H8,0))+parametros_manuales!$G$39*('Plan mensual'!H5+IF(parametros_manuales!$H$39="Todos",'Plan mensual'!H9,0)))*parametros_manuales!$I$39*parametros_manuales!$J$39</f>
        <v>505.1224831084</v>
      </c>
      <c r="G22" s="9" t="n">
        <f aca="false">(parametros_manuales!$D$39*('Plan mensual'!I2+IF(parametros_manuales!$H$39="Todos",'Plan mensual'!I6,0))+parametros_manuales!$E$39*('Plan mensual'!I3+IF(parametros_manuales!$H$39="Todos",'Plan mensual'!I7,0))+parametros_manuales!$F$39*('Plan mensual'!I4+IF(parametros_manuales!$H$39="Todos",'Plan mensual'!I8,0))+parametros_manuales!$G$39*('Plan mensual'!I5+IF(parametros_manuales!$H$39="Todos",'Plan mensual'!I9,0)))*parametros_manuales!$I$39*parametros_manuales!$J$39</f>
        <v>491.83430028975</v>
      </c>
      <c r="H22" s="9" t="n">
        <f aca="false">(parametros_manuales!$D$39*('Plan mensual'!J2+IF(parametros_manuales!$H$39="Todos",'Plan mensual'!J6,0))+parametros_manuales!$E$39*('Plan mensual'!J3+IF(parametros_manuales!$H$39="Todos",'Plan mensual'!J7,0))+parametros_manuales!$F$39*('Plan mensual'!J4+IF(parametros_manuales!$H$39="Todos",'Plan mensual'!J8,0))+parametros_manuales!$G$39*('Plan mensual'!J5+IF(parametros_manuales!$H$39="Todos",'Plan mensual'!J9,0)))*parametros_manuales!$I$39*parametros_manuales!$J$39</f>
        <v>526.0161658234</v>
      </c>
      <c r="I22" s="9" t="n">
        <f aca="false">(parametros_manuales!$D$39*('Plan mensual'!K2+IF(parametros_manuales!$H$39="Todos",'Plan mensual'!K6,0))+parametros_manuales!$E$39*('Plan mensual'!K3+IF(parametros_manuales!$H$39="Todos",'Plan mensual'!K7,0))+parametros_manuales!$F$39*('Plan mensual'!K4+IF(parametros_manuales!$H$39="Todos",'Plan mensual'!K8,0))+parametros_manuales!$G$39*('Plan mensual'!K5+IF(parametros_manuales!$H$39="Todos",'Plan mensual'!K9,0)))*parametros_manuales!$I$39*parametros_manuales!$J$39</f>
        <v>526.0161658234</v>
      </c>
      <c r="J22" s="9" t="n">
        <f aca="false">(parametros_manuales!$D$39*('Plan mensual'!L2+IF(parametros_manuales!$H$39="Todos",'Plan mensual'!L6,0))+parametros_manuales!$E$39*('Plan mensual'!L3+IF(parametros_manuales!$H$39="Todos",'Plan mensual'!L7,0))+parametros_manuales!$F$39*('Plan mensual'!L4+IF(parametros_manuales!$H$39="Todos",'Plan mensual'!L8,0))+parametros_manuales!$G$39*('Plan mensual'!L5+IF(parametros_manuales!$H$39="Todos",'Plan mensual'!L9,0)))*parametros_manuales!$I$39*parametros_manuales!$J$39</f>
        <v>526.0161658234</v>
      </c>
      <c r="K22" s="9" t="n">
        <f aca="false">(parametros_manuales!$D$39*('Plan mensual'!M2+IF(parametros_manuales!$H$39="Todos",'Plan mensual'!M6,0))+parametros_manuales!$E$39*('Plan mensual'!M3+IF(parametros_manuales!$H$39="Todos",'Plan mensual'!M7,0))+parametros_manuales!$F$39*('Plan mensual'!M4+IF(parametros_manuales!$H$39="Todos",'Plan mensual'!M8,0))+parametros_manuales!$G$39*('Plan mensual'!M5+IF(parametros_manuales!$H$39="Todos",'Plan mensual'!M9,0)))*parametros_manuales!$I$39*parametros_manuales!$J$39</f>
        <v>512.72798300475</v>
      </c>
      <c r="L22" s="9" t="n">
        <f aca="false">(parametros_manuales!$D$39*('Plan mensual'!N2+IF(parametros_manuales!$H$39="Todos",'Plan mensual'!N6,0))+parametros_manuales!$E$39*('Plan mensual'!N3+IF(parametros_manuales!$H$39="Todos",'Plan mensual'!N7,0))+parametros_manuales!$F$39*('Plan mensual'!N4+IF(parametros_manuales!$H$39="Todos",'Plan mensual'!N8,0))+parametros_manuales!$G$39*('Plan mensual'!N5+IF(parametros_manuales!$H$39="Todos",'Plan mensual'!N9,0)))*parametros_manuales!$I$39*parametros_manuales!$J$39</f>
        <v>499.4398001861</v>
      </c>
      <c r="M22" s="9" t="n">
        <f aca="false">(parametros_manuales!$D$39*('Plan mensual'!O2+IF(parametros_manuales!$H$39="Todos",'Plan mensual'!O6,0))+parametros_manuales!$E$39*('Plan mensual'!O3+IF(parametros_manuales!$H$39="Todos",'Plan mensual'!O7,0))+parametros_manuales!$F$39*('Plan mensual'!O4+IF(parametros_manuales!$H$39="Todos",'Plan mensual'!O8,0))+parametros_manuales!$G$39*('Plan mensual'!O5+IF(parametros_manuales!$H$39="Todos",'Plan mensual'!O9,0)))*parametros_manuales!$I$39*parametros_manuales!$J$39</f>
        <v>793.7884071703</v>
      </c>
      <c r="N22" s="9" t="n">
        <f aca="false">SUM(B22:M22)</f>
        <v>6836.37310673</v>
      </c>
      <c r="O22" s="9" t="n">
        <f aca="false">MAX(B22:M22)</f>
        <v>793.7884071703</v>
      </c>
      <c r="P22" s="43" t="n">
        <f aca="false">O22/(parametros_manuales!$B$7)</f>
        <v>5.29192271446867</v>
      </c>
      <c r="Q22" s="8" t="str">
        <f aca="false">IF(O22=0,"-",INDEX($B$1:$M$1,MATCH(O22,B22:M22,0)))</f>
        <v>Dic</v>
      </c>
    </row>
    <row r="23" customFormat="false" ht="14.25" hidden="false" customHeight="true" outlineLevel="0" collapsed="false">
      <c r="A23" s="8" t="str">
        <f aca="false">parametros_manuales!$B$40</f>
        <v>Presurización</v>
      </c>
      <c r="B23" s="9" t="n">
        <f aca="false">(parametros_manuales!$D$40*('Plan mensual'!D2+IF(parametros_manuales!$H$40="Todos",'Plan mensual'!D6,0))+parametros_manuales!$E$40*('Plan mensual'!D3+IF(parametros_manuales!$H$40="Todos",'Plan mensual'!D7,0))+parametros_manuales!$F$40*('Plan mensual'!D4+IF(parametros_manuales!$H$40="Todos",'Plan mensual'!D8,0))+parametros_manuales!$G$40*('Plan mensual'!D5+IF(parametros_manuales!$H$40="Todos",'Plan mensual'!D9,0)))*parametros_manuales!$I$40*parametros_manuales!$J$40</f>
        <v>767.212041533</v>
      </c>
      <c r="C23" s="9" t="n">
        <f aca="false">(parametros_manuales!$D$40*('Plan mensual'!E2+IF(parametros_manuales!$H$40="Todos",'Plan mensual'!E6,0))+parametros_manuales!$E$40*('Plan mensual'!E3+IF(parametros_manuales!$H$40="Todos",'Plan mensual'!E7,0))+parametros_manuales!$F$40*('Plan mensual'!E4+IF(parametros_manuales!$H$40="Todos",'Plan mensual'!E8,0))+parametros_manuales!$G$40*('Plan mensual'!E5+IF(parametros_manuales!$H$40="Todos",'Plan mensual'!E9,0)))*parametros_manuales!$I$40*parametros_manuales!$J$40</f>
        <v>588.6972139684</v>
      </c>
      <c r="D23" s="9" t="n">
        <f aca="false">(parametros_manuales!$D$40*('Plan mensual'!F2+IF(parametros_manuales!$H$40="Todos",'Plan mensual'!F6,0))+parametros_manuales!$E$40*('Plan mensual'!F3+IF(parametros_manuales!$H$40="Todos",'Plan mensual'!F7,0))+parametros_manuales!$F$40*('Plan mensual'!F4+IF(parametros_manuales!$H$40="Todos",'Plan mensual'!F8,0))+parametros_manuales!$G$40*('Plan mensual'!F5+IF(parametros_manuales!$H$40="Todos",'Plan mensual'!F9,0)))*parametros_manuales!$I$40*parametros_manuales!$J$40</f>
        <v>560.19803135705</v>
      </c>
      <c r="E23" s="9" t="n">
        <f aca="false">(parametros_manuales!$D$40*('Plan mensual'!G2+IF(parametros_manuales!$H$40="Todos",'Plan mensual'!G6,0))+parametros_manuales!$E$40*('Plan mensual'!G3+IF(parametros_manuales!$H$40="Todos",'Plan mensual'!G7,0))+parametros_manuales!$F$40*('Plan mensual'!G4+IF(parametros_manuales!$H$40="Todos",'Plan mensual'!G8,0))+parametros_manuales!$G$40*('Plan mensual'!G5+IF(parametros_manuales!$H$40="Todos",'Plan mensual'!G9,0)))*parametros_manuales!$I$40*parametros_manuales!$J$40</f>
        <v>539.30434864205</v>
      </c>
      <c r="F23" s="9" t="n">
        <f aca="false">(parametros_manuales!$D$40*('Plan mensual'!H2+IF(parametros_manuales!$H$40="Todos",'Plan mensual'!H6,0))+parametros_manuales!$E$40*('Plan mensual'!H3+IF(parametros_manuales!$H$40="Todos",'Plan mensual'!H7,0))+parametros_manuales!$F$40*('Plan mensual'!H4+IF(parametros_manuales!$H$40="Todos",'Plan mensual'!H8,0))+parametros_manuales!$G$40*('Plan mensual'!H5+IF(parametros_manuales!$H$40="Todos",'Plan mensual'!H9,0)))*parametros_manuales!$I$40*parametros_manuales!$J$40</f>
        <v>505.1224831084</v>
      </c>
      <c r="G23" s="9" t="n">
        <f aca="false">(parametros_manuales!$D$40*('Plan mensual'!I2+IF(parametros_manuales!$H$40="Todos",'Plan mensual'!I6,0))+parametros_manuales!$E$40*('Plan mensual'!I3+IF(parametros_manuales!$H$40="Todos",'Plan mensual'!I7,0))+parametros_manuales!$F$40*('Plan mensual'!I4+IF(parametros_manuales!$H$40="Todos",'Plan mensual'!I8,0))+parametros_manuales!$G$40*('Plan mensual'!I5+IF(parametros_manuales!$H$40="Todos",'Plan mensual'!I9,0)))*parametros_manuales!$I$40*parametros_manuales!$J$40</f>
        <v>491.83430028975</v>
      </c>
      <c r="H23" s="9" t="n">
        <f aca="false">(parametros_manuales!$D$40*('Plan mensual'!J2+IF(parametros_manuales!$H$40="Todos",'Plan mensual'!J6,0))+parametros_manuales!$E$40*('Plan mensual'!J3+IF(parametros_manuales!$H$40="Todos",'Plan mensual'!J7,0))+parametros_manuales!$F$40*('Plan mensual'!J4+IF(parametros_manuales!$H$40="Todos",'Plan mensual'!J8,0))+parametros_manuales!$G$40*('Plan mensual'!J5+IF(parametros_manuales!$H$40="Todos",'Plan mensual'!J9,0)))*parametros_manuales!$I$40*parametros_manuales!$J$40</f>
        <v>526.0161658234</v>
      </c>
      <c r="I23" s="9" t="n">
        <f aca="false">(parametros_manuales!$D$40*('Plan mensual'!K2+IF(parametros_manuales!$H$40="Todos",'Plan mensual'!K6,0))+parametros_manuales!$E$40*('Plan mensual'!K3+IF(parametros_manuales!$H$40="Todos",'Plan mensual'!K7,0))+parametros_manuales!$F$40*('Plan mensual'!K4+IF(parametros_manuales!$H$40="Todos",'Plan mensual'!K8,0))+parametros_manuales!$G$40*('Plan mensual'!K5+IF(parametros_manuales!$H$40="Todos",'Plan mensual'!K9,0)))*parametros_manuales!$I$40*parametros_manuales!$J$40</f>
        <v>526.0161658234</v>
      </c>
      <c r="J23" s="9" t="n">
        <f aca="false">(parametros_manuales!$D$40*('Plan mensual'!L2+IF(parametros_manuales!$H$40="Todos",'Plan mensual'!L6,0))+parametros_manuales!$E$40*('Plan mensual'!L3+IF(parametros_manuales!$H$40="Todos",'Plan mensual'!L7,0))+parametros_manuales!$F$40*('Plan mensual'!L4+IF(parametros_manuales!$H$40="Todos",'Plan mensual'!L8,0))+parametros_manuales!$G$40*('Plan mensual'!L5+IF(parametros_manuales!$H$40="Todos",'Plan mensual'!L9,0)))*parametros_manuales!$I$40*parametros_manuales!$J$40</f>
        <v>526.0161658234</v>
      </c>
      <c r="K23" s="9" t="n">
        <f aca="false">(parametros_manuales!$D$40*('Plan mensual'!M2+IF(parametros_manuales!$H$40="Todos",'Plan mensual'!M6,0))+parametros_manuales!$E$40*('Plan mensual'!M3+IF(parametros_manuales!$H$40="Todos",'Plan mensual'!M7,0))+parametros_manuales!$F$40*('Plan mensual'!M4+IF(parametros_manuales!$H$40="Todos",'Plan mensual'!M8,0))+parametros_manuales!$G$40*('Plan mensual'!M5+IF(parametros_manuales!$H$40="Todos",'Plan mensual'!M9,0)))*parametros_manuales!$I$40*parametros_manuales!$J$40</f>
        <v>512.72798300475</v>
      </c>
      <c r="L23" s="9" t="n">
        <f aca="false">(parametros_manuales!$D$40*('Plan mensual'!N2+IF(parametros_manuales!$H$40="Todos",'Plan mensual'!N6,0))+parametros_manuales!$E$40*('Plan mensual'!N3+IF(parametros_manuales!$H$40="Todos",'Plan mensual'!N7,0))+parametros_manuales!$F$40*('Plan mensual'!N4+IF(parametros_manuales!$H$40="Todos",'Plan mensual'!N8,0))+parametros_manuales!$G$40*('Plan mensual'!N5+IF(parametros_manuales!$H$40="Todos",'Plan mensual'!N9,0)))*parametros_manuales!$I$40*parametros_manuales!$J$40</f>
        <v>499.4398001861</v>
      </c>
      <c r="M23" s="9" t="n">
        <f aca="false">(parametros_manuales!$D$40*('Plan mensual'!O2+IF(parametros_manuales!$H$40="Todos",'Plan mensual'!O6,0))+parametros_manuales!$E$40*('Plan mensual'!O3+IF(parametros_manuales!$H$40="Todos",'Plan mensual'!O7,0))+parametros_manuales!$F$40*('Plan mensual'!O4+IF(parametros_manuales!$H$40="Todos",'Plan mensual'!O8,0))+parametros_manuales!$G$40*('Plan mensual'!O5+IF(parametros_manuales!$H$40="Todos",'Plan mensual'!O9,0)))*parametros_manuales!$I$40*parametros_manuales!$J$40</f>
        <v>793.7884071703</v>
      </c>
      <c r="N23" s="9" t="n">
        <f aca="false">SUM(B23:M23)</f>
        <v>6836.37310673</v>
      </c>
      <c r="O23" s="9" t="n">
        <f aca="false">MAX(B23:M23)</f>
        <v>793.7884071703</v>
      </c>
      <c r="P23" s="43" t="n">
        <f aca="false">O23/(parametros_manuales!$B$7)</f>
        <v>5.29192271446867</v>
      </c>
      <c r="Q23" s="8" t="str">
        <f aca="false">IF(O23=0,"-",INDEX($B$1:$M$1,MATCH(O23,B23:M23,0)))</f>
        <v>Dic</v>
      </c>
    </row>
    <row r="24" customFormat="false" ht="14.25" hidden="false" customHeight="true" outlineLevel="0" collapsed="false">
      <c r="A24" s="8" t="str">
        <f aca="false">parametros_manuales!$B$41</f>
        <v>Control de calidad — Ensayo de pérdidas</v>
      </c>
      <c r="B24" s="9" t="n">
        <f aca="false">(parametros_manuales!$D$41*('Plan mensual'!D2+IF(parametros_manuales!$H$41="Todos",'Plan mensual'!D6,0))+parametros_manuales!$E$41*('Plan mensual'!D3+IF(parametros_manuales!$H$41="Todos",'Plan mensual'!D7,0))+parametros_manuales!$F$41*('Plan mensual'!D4+IF(parametros_manuales!$H$41="Todos",'Plan mensual'!D8,0))+parametros_manuales!$G$41*('Plan mensual'!D5+IF(parametros_manuales!$H$41="Todos",'Plan mensual'!D9,0)))*parametros_manuales!$I$41*parametros_manuales!$J$41</f>
        <v>767.212041533</v>
      </c>
      <c r="C24" s="9" t="n">
        <f aca="false">(parametros_manuales!$D$41*('Plan mensual'!E2+IF(parametros_manuales!$H$41="Todos",'Plan mensual'!E6,0))+parametros_manuales!$E$41*('Plan mensual'!E3+IF(parametros_manuales!$H$41="Todos",'Plan mensual'!E7,0))+parametros_manuales!$F$41*('Plan mensual'!E4+IF(parametros_manuales!$H$41="Todos",'Plan mensual'!E8,0))+parametros_manuales!$G$41*('Plan mensual'!E5+IF(parametros_manuales!$H$41="Todos",'Plan mensual'!E9,0)))*parametros_manuales!$I$41*parametros_manuales!$J$41</f>
        <v>588.6972139684</v>
      </c>
      <c r="D24" s="9" t="n">
        <f aca="false">(parametros_manuales!$D$41*('Plan mensual'!F2+IF(parametros_manuales!$H$41="Todos",'Plan mensual'!F6,0))+parametros_manuales!$E$41*('Plan mensual'!F3+IF(parametros_manuales!$H$41="Todos",'Plan mensual'!F7,0))+parametros_manuales!$F$41*('Plan mensual'!F4+IF(parametros_manuales!$H$41="Todos",'Plan mensual'!F8,0))+parametros_manuales!$G$41*('Plan mensual'!F5+IF(parametros_manuales!$H$41="Todos",'Plan mensual'!F9,0)))*parametros_manuales!$I$41*parametros_manuales!$J$41</f>
        <v>560.19803135705</v>
      </c>
      <c r="E24" s="9" t="n">
        <f aca="false">(parametros_manuales!$D$41*('Plan mensual'!G2+IF(parametros_manuales!$H$41="Todos",'Plan mensual'!G6,0))+parametros_manuales!$E$41*('Plan mensual'!G3+IF(parametros_manuales!$H$41="Todos",'Plan mensual'!G7,0))+parametros_manuales!$F$41*('Plan mensual'!G4+IF(parametros_manuales!$H$41="Todos",'Plan mensual'!G8,0))+parametros_manuales!$G$41*('Plan mensual'!G5+IF(parametros_manuales!$H$41="Todos",'Plan mensual'!G9,0)))*parametros_manuales!$I$41*parametros_manuales!$J$41</f>
        <v>539.30434864205</v>
      </c>
      <c r="F24" s="9" t="n">
        <f aca="false">(parametros_manuales!$D$41*('Plan mensual'!H2+IF(parametros_manuales!$H$41="Todos",'Plan mensual'!H6,0))+parametros_manuales!$E$41*('Plan mensual'!H3+IF(parametros_manuales!$H$41="Todos",'Plan mensual'!H7,0))+parametros_manuales!$F$41*('Plan mensual'!H4+IF(parametros_manuales!$H$41="Todos",'Plan mensual'!H8,0))+parametros_manuales!$G$41*('Plan mensual'!H5+IF(parametros_manuales!$H$41="Todos",'Plan mensual'!H9,0)))*parametros_manuales!$I$41*parametros_manuales!$J$41</f>
        <v>505.1224831084</v>
      </c>
      <c r="G24" s="9" t="n">
        <f aca="false">(parametros_manuales!$D$41*('Plan mensual'!I2+IF(parametros_manuales!$H$41="Todos",'Plan mensual'!I6,0))+parametros_manuales!$E$41*('Plan mensual'!I3+IF(parametros_manuales!$H$41="Todos",'Plan mensual'!I7,0))+parametros_manuales!$F$41*('Plan mensual'!I4+IF(parametros_manuales!$H$41="Todos",'Plan mensual'!I8,0))+parametros_manuales!$G$41*('Plan mensual'!I5+IF(parametros_manuales!$H$41="Todos",'Plan mensual'!I9,0)))*parametros_manuales!$I$41*parametros_manuales!$J$41</f>
        <v>491.83430028975</v>
      </c>
      <c r="H24" s="9" t="n">
        <f aca="false">(parametros_manuales!$D$41*('Plan mensual'!J2+IF(parametros_manuales!$H$41="Todos",'Plan mensual'!J6,0))+parametros_manuales!$E$41*('Plan mensual'!J3+IF(parametros_manuales!$H$41="Todos",'Plan mensual'!J7,0))+parametros_manuales!$F$41*('Plan mensual'!J4+IF(parametros_manuales!$H$41="Todos",'Plan mensual'!J8,0))+parametros_manuales!$G$41*('Plan mensual'!J5+IF(parametros_manuales!$H$41="Todos",'Plan mensual'!J9,0)))*parametros_manuales!$I$41*parametros_manuales!$J$41</f>
        <v>526.0161658234</v>
      </c>
      <c r="I24" s="9" t="n">
        <f aca="false">(parametros_manuales!$D$41*('Plan mensual'!K2+IF(parametros_manuales!$H$41="Todos",'Plan mensual'!K6,0))+parametros_manuales!$E$41*('Plan mensual'!K3+IF(parametros_manuales!$H$41="Todos",'Plan mensual'!K7,0))+parametros_manuales!$F$41*('Plan mensual'!K4+IF(parametros_manuales!$H$41="Todos",'Plan mensual'!K8,0))+parametros_manuales!$G$41*('Plan mensual'!K5+IF(parametros_manuales!$H$41="Todos",'Plan mensual'!K9,0)))*parametros_manuales!$I$41*parametros_manuales!$J$41</f>
        <v>526.0161658234</v>
      </c>
      <c r="J24" s="9" t="n">
        <f aca="false">(parametros_manuales!$D$41*('Plan mensual'!L2+IF(parametros_manuales!$H$41="Todos",'Plan mensual'!L6,0))+parametros_manuales!$E$41*('Plan mensual'!L3+IF(parametros_manuales!$H$41="Todos",'Plan mensual'!L7,0))+parametros_manuales!$F$41*('Plan mensual'!L4+IF(parametros_manuales!$H$41="Todos",'Plan mensual'!L8,0))+parametros_manuales!$G$41*('Plan mensual'!L5+IF(parametros_manuales!$H$41="Todos",'Plan mensual'!L9,0)))*parametros_manuales!$I$41*parametros_manuales!$J$41</f>
        <v>526.0161658234</v>
      </c>
      <c r="K24" s="9" t="n">
        <f aca="false">(parametros_manuales!$D$41*('Plan mensual'!M2+IF(parametros_manuales!$H$41="Todos",'Plan mensual'!M6,0))+parametros_manuales!$E$41*('Plan mensual'!M3+IF(parametros_manuales!$H$41="Todos",'Plan mensual'!M7,0))+parametros_manuales!$F$41*('Plan mensual'!M4+IF(parametros_manuales!$H$41="Todos",'Plan mensual'!M8,0))+parametros_manuales!$G$41*('Plan mensual'!M5+IF(parametros_manuales!$H$41="Todos",'Plan mensual'!M9,0)))*parametros_manuales!$I$41*parametros_manuales!$J$41</f>
        <v>512.72798300475</v>
      </c>
      <c r="L24" s="9" t="n">
        <f aca="false">(parametros_manuales!$D$41*('Plan mensual'!N2+IF(parametros_manuales!$H$41="Todos",'Plan mensual'!N6,0))+parametros_manuales!$E$41*('Plan mensual'!N3+IF(parametros_manuales!$H$41="Todos",'Plan mensual'!N7,0))+parametros_manuales!$F$41*('Plan mensual'!N4+IF(parametros_manuales!$H$41="Todos",'Plan mensual'!N8,0))+parametros_manuales!$G$41*('Plan mensual'!N5+IF(parametros_manuales!$H$41="Todos",'Plan mensual'!N9,0)))*parametros_manuales!$I$41*parametros_manuales!$J$41</f>
        <v>499.4398001861</v>
      </c>
      <c r="M24" s="9" t="n">
        <f aca="false">(parametros_manuales!$D$41*('Plan mensual'!O2+IF(parametros_manuales!$H$41="Todos",'Plan mensual'!O6,0))+parametros_manuales!$E$41*('Plan mensual'!O3+IF(parametros_manuales!$H$41="Todos",'Plan mensual'!O7,0))+parametros_manuales!$F$41*('Plan mensual'!O4+IF(parametros_manuales!$H$41="Todos",'Plan mensual'!O8,0))+parametros_manuales!$G$41*('Plan mensual'!O5+IF(parametros_manuales!$H$41="Todos",'Plan mensual'!O9,0)))*parametros_manuales!$I$41*parametros_manuales!$J$41</f>
        <v>793.7884071703</v>
      </c>
      <c r="N24" s="9" t="n">
        <f aca="false">SUM(B24:M24)</f>
        <v>6836.37310673</v>
      </c>
      <c r="O24" s="9" t="n">
        <f aca="false">MAX(B24:M24)</f>
        <v>793.7884071703</v>
      </c>
      <c r="P24" s="43" t="n">
        <f aca="false">O24/(parametros_manuales!$B$7)</f>
        <v>5.29192271446867</v>
      </c>
      <c r="Q24" s="8" t="str">
        <f aca="false">IF(O24=0,"-",INDEX($B$1:$M$1,MATCH(O24,B24:M24,0)))</f>
        <v>Dic</v>
      </c>
    </row>
    <row r="25" customFormat="false" ht="14.25" hidden="false" customHeight="true" outlineLevel="0" collapsed="false">
      <c r="A25" s="8" t="str">
        <f aca="false">parametros_manuales!$B$42</f>
        <v>Etiquetado</v>
      </c>
      <c r="B25" s="9" t="n">
        <f aca="false">(parametros_manuales!$D$42*('Plan mensual'!D2+IF(parametros_manuales!$H$42="Todos",'Plan mensual'!D6,0))+parametros_manuales!$E$42*('Plan mensual'!D3+IF(parametros_manuales!$H$42="Todos",'Plan mensual'!D7,0))+parametros_manuales!$F$42*('Plan mensual'!D4+IF(parametros_manuales!$H$42="Todos",'Plan mensual'!D8,0))+parametros_manuales!$G$42*('Plan mensual'!D5+IF(parametros_manuales!$H$42="Todos",'Plan mensual'!D9,0)))*parametros_manuales!$I$42*parametros_manuales!$J$42</f>
        <v>767.212041533</v>
      </c>
      <c r="C25" s="9" t="n">
        <f aca="false">(parametros_manuales!$D$42*('Plan mensual'!E2+IF(parametros_manuales!$H$42="Todos",'Plan mensual'!E6,0))+parametros_manuales!$E$42*('Plan mensual'!E3+IF(parametros_manuales!$H$42="Todos",'Plan mensual'!E7,0))+parametros_manuales!$F$42*('Plan mensual'!E4+IF(parametros_manuales!$H$42="Todos",'Plan mensual'!E8,0))+parametros_manuales!$G$42*('Plan mensual'!E5+IF(parametros_manuales!$H$42="Todos",'Plan mensual'!E9,0)))*parametros_manuales!$I$42*parametros_manuales!$J$42</f>
        <v>588.6972139684</v>
      </c>
      <c r="D25" s="9" t="n">
        <f aca="false">(parametros_manuales!$D$42*('Plan mensual'!F2+IF(parametros_manuales!$H$42="Todos",'Plan mensual'!F6,0))+parametros_manuales!$E$42*('Plan mensual'!F3+IF(parametros_manuales!$H$42="Todos",'Plan mensual'!F7,0))+parametros_manuales!$F$42*('Plan mensual'!F4+IF(parametros_manuales!$H$42="Todos",'Plan mensual'!F8,0))+parametros_manuales!$G$42*('Plan mensual'!F5+IF(parametros_manuales!$H$42="Todos",'Plan mensual'!F9,0)))*parametros_manuales!$I$42*parametros_manuales!$J$42</f>
        <v>560.19803135705</v>
      </c>
      <c r="E25" s="9" t="n">
        <f aca="false">(parametros_manuales!$D$42*('Plan mensual'!G2+IF(parametros_manuales!$H$42="Todos",'Plan mensual'!G6,0))+parametros_manuales!$E$42*('Plan mensual'!G3+IF(parametros_manuales!$H$42="Todos",'Plan mensual'!G7,0))+parametros_manuales!$F$42*('Plan mensual'!G4+IF(parametros_manuales!$H$42="Todos",'Plan mensual'!G8,0))+parametros_manuales!$G$42*('Plan mensual'!G5+IF(parametros_manuales!$H$42="Todos",'Plan mensual'!G9,0)))*parametros_manuales!$I$42*parametros_manuales!$J$42</f>
        <v>539.30434864205</v>
      </c>
      <c r="F25" s="9" t="n">
        <f aca="false">(parametros_manuales!$D$42*('Plan mensual'!H2+IF(parametros_manuales!$H$42="Todos",'Plan mensual'!H6,0))+parametros_manuales!$E$42*('Plan mensual'!H3+IF(parametros_manuales!$H$42="Todos",'Plan mensual'!H7,0))+parametros_manuales!$F$42*('Plan mensual'!H4+IF(parametros_manuales!$H$42="Todos",'Plan mensual'!H8,0))+parametros_manuales!$G$42*('Plan mensual'!H5+IF(parametros_manuales!$H$42="Todos",'Plan mensual'!H9,0)))*parametros_manuales!$I$42*parametros_manuales!$J$42</f>
        <v>505.1224831084</v>
      </c>
      <c r="G25" s="9" t="n">
        <f aca="false">(parametros_manuales!$D$42*('Plan mensual'!I2+IF(parametros_manuales!$H$42="Todos",'Plan mensual'!I6,0))+parametros_manuales!$E$42*('Plan mensual'!I3+IF(parametros_manuales!$H$42="Todos",'Plan mensual'!I7,0))+parametros_manuales!$F$42*('Plan mensual'!I4+IF(parametros_manuales!$H$42="Todos",'Plan mensual'!I8,0))+parametros_manuales!$G$42*('Plan mensual'!I5+IF(parametros_manuales!$H$42="Todos",'Plan mensual'!I9,0)))*parametros_manuales!$I$42*parametros_manuales!$J$42</f>
        <v>491.83430028975</v>
      </c>
      <c r="H25" s="9" t="n">
        <f aca="false">(parametros_manuales!$D$42*('Plan mensual'!J2+IF(parametros_manuales!$H$42="Todos",'Plan mensual'!J6,0))+parametros_manuales!$E$42*('Plan mensual'!J3+IF(parametros_manuales!$H$42="Todos",'Plan mensual'!J7,0))+parametros_manuales!$F$42*('Plan mensual'!J4+IF(parametros_manuales!$H$42="Todos",'Plan mensual'!J8,0))+parametros_manuales!$G$42*('Plan mensual'!J5+IF(parametros_manuales!$H$42="Todos",'Plan mensual'!J9,0)))*parametros_manuales!$I$42*parametros_manuales!$J$42</f>
        <v>526.0161658234</v>
      </c>
      <c r="I25" s="9" t="n">
        <f aca="false">(parametros_manuales!$D$42*('Plan mensual'!K2+IF(parametros_manuales!$H$42="Todos",'Plan mensual'!K6,0))+parametros_manuales!$E$42*('Plan mensual'!K3+IF(parametros_manuales!$H$42="Todos",'Plan mensual'!K7,0))+parametros_manuales!$F$42*('Plan mensual'!K4+IF(parametros_manuales!$H$42="Todos",'Plan mensual'!K8,0))+parametros_manuales!$G$42*('Plan mensual'!K5+IF(parametros_manuales!$H$42="Todos",'Plan mensual'!K9,0)))*parametros_manuales!$I$42*parametros_manuales!$J$42</f>
        <v>526.0161658234</v>
      </c>
      <c r="J25" s="9" t="n">
        <f aca="false">(parametros_manuales!$D$42*('Plan mensual'!L2+IF(parametros_manuales!$H$42="Todos",'Plan mensual'!L6,0))+parametros_manuales!$E$42*('Plan mensual'!L3+IF(parametros_manuales!$H$42="Todos",'Plan mensual'!L7,0))+parametros_manuales!$F$42*('Plan mensual'!L4+IF(parametros_manuales!$H$42="Todos",'Plan mensual'!L8,0))+parametros_manuales!$G$42*('Plan mensual'!L5+IF(parametros_manuales!$H$42="Todos",'Plan mensual'!L9,0)))*parametros_manuales!$I$42*parametros_manuales!$J$42</f>
        <v>526.0161658234</v>
      </c>
      <c r="K25" s="9" t="n">
        <f aca="false">(parametros_manuales!$D$42*('Plan mensual'!M2+IF(parametros_manuales!$H$42="Todos",'Plan mensual'!M6,0))+parametros_manuales!$E$42*('Plan mensual'!M3+IF(parametros_manuales!$H$42="Todos",'Plan mensual'!M7,0))+parametros_manuales!$F$42*('Plan mensual'!M4+IF(parametros_manuales!$H$42="Todos",'Plan mensual'!M8,0))+parametros_manuales!$G$42*('Plan mensual'!M5+IF(parametros_manuales!$H$42="Todos",'Plan mensual'!M9,0)))*parametros_manuales!$I$42*parametros_manuales!$J$42</f>
        <v>512.72798300475</v>
      </c>
      <c r="L25" s="9" t="n">
        <f aca="false">(parametros_manuales!$D$42*('Plan mensual'!N2+IF(parametros_manuales!$H$42="Todos",'Plan mensual'!N6,0))+parametros_manuales!$E$42*('Plan mensual'!N3+IF(parametros_manuales!$H$42="Todos",'Plan mensual'!N7,0))+parametros_manuales!$F$42*('Plan mensual'!N4+IF(parametros_manuales!$H$42="Todos",'Plan mensual'!N8,0))+parametros_manuales!$G$42*('Plan mensual'!N5+IF(parametros_manuales!$H$42="Todos",'Plan mensual'!N9,0)))*parametros_manuales!$I$42*parametros_manuales!$J$42</f>
        <v>499.4398001861</v>
      </c>
      <c r="M25" s="9" t="n">
        <f aca="false">(parametros_manuales!$D$42*('Plan mensual'!O2+IF(parametros_manuales!$H$42="Todos",'Plan mensual'!O6,0))+parametros_manuales!$E$42*('Plan mensual'!O3+IF(parametros_manuales!$H$42="Todos",'Plan mensual'!O7,0))+parametros_manuales!$F$42*('Plan mensual'!O4+IF(parametros_manuales!$H$42="Todos",'Plan mensual'!O8,0))+parametros_manuales!$G$42*('Plan mensual'!O5+IF(parametros_manuales!$H$42="Todos",'Plan mensual'!O9,0)))*parametros_manuales!$I$42*parametros_manuales!$J$42</f>
        <v>793.7884071703</v>
      </c>
      <c r="N25" s="9" t="n">
        <f aca="false">SUM(B25:M25)</f>
        <v>6836.37310673</v>
      </c>
      <c r="O25" s="9" t="n">
        <f aca="false">MAX(B25:M25)</f>
        <v>793.7884071703</v>
      </c>
      <c r="P25" s="43" t="n">
        <f aca="false">O25/(parametros_manuales!$B$7)</f>
        <v>5.29192271446867</v>
      </c>
      <c r="Q25" s="8" t="str">
        <f aca="false">IF(O25=0,"-",INDEX($B$1:$M$1,MATCH(O25,B25:M25,0)))</f>
        <v>Dic</v>
      </c>
    </row>
    <row r="26" customFormat="false" ht="14.25" hidden="false" customHeight="true" outlineLevel="0" collapsed="false">
      <c r="A26" s="8" t="str">
        <f aca="false">parametros_manuales!$B$43</f>
        <v>Embalaje y paletizado</v>
      </c>
      <c r="B26" s="9" t="n">
        <f aca="false">(parametros_manuales!$D$43*('Plan mensual'!D2+IF(parametros_manuales!$H$43="Todos",'Plan mensual'!D6,0))+parametros_manuales!$E$43*('Plan mensual'!D3+IF(parametros_manuales!$H$43="Todos",'Plan mensual'!D7,0))+parametros_manuales!$F$43*('Plan mensual'!D4+IF(parametros_manuales!$H$43="Todos",'Plan mensual'!D8,0))+parametros_manuales!$G$43*('Plan mensual'!D5+IF(parametros_manuales!$H$43="Todos",'Plan mensual'!D9,0)))*parametros_manuales!$I$43*parametros_manuales!$J$43</f>
        <v>769.812041533</v>
      </c>
      <c r="C26" s="9" t="n">
        <f aca="false">(parametros_manuales!$D$43*('Plan mensual'!E2+IF(parametros_manuales!$H$43="Todos",'Plan mensual'!E6,0))+parametros_manuales!$E$43*('Plan mensual'!E3+IF(parametros_manuales!$H$43="Todos",'Plan mensual'!E7,0))+parametros_manuales!$F$43*('Plan mensual'!E4+IF(parametros_manuales!$H$43="Todos",'Plan mensual'!E8,0))+parametros_manuales!$G$43*('Plan mensual'!E5+IF(parametros_manuales!$H$43="Todos",'Plan mensual'!E9,0)))*parametros_manuales!$I$43*parametros_manuales!$J$43</f>
        <v>590.7772139684</v>
      </c>
      <c r="D26" s="9" t="n">
        <f aca="false">(parametros_manuales!$D$43*('Plan mensual'!F2+IF(parametros_manuales!$H$43="Todos",'Plan mensual'!F6,0))+parametros_manuales!$E$43*('Plan mensual'!F3+IF(parametros_manuales!$H$43="Todos",'Plan mensual'!F7,0))+parametros_manuales!$F$43*('Plan mensual'!F4+IF(parametros_manuales!$H$43="Todos",'Plan mensual'!F8,0))+parametros_manuales!$G$43*('Plan mensual'!F5+IF(parametros_manuales!$H$43="Todos",'Plan mensual'!F9,0)))*parametros_manuales!$I$43*parametros_manuales!$J$43</f>
        <v>562.40803135705</v>
      </c>
      <c r="E26" s="9" t="n">
        <f aca="false">(parametros_manuales!$D$43*('Plan mensual'!G2+IF(parametros_manuales!$H$43="Todos",'Plan mensual'!G6,0))+parametros_manuales!$E$43*('Plan mensual'!G3+IF(parametros_manuales!$H$43="Todos",'Plan mensual'!G7,0))+parametros_manuales!$F$43*('Plan mensual'!G4+IF(parametros_manuales!$H$43="Todos",'Plan mensual'!G8,0))+parametros_manuales!$G$43*('Plan mensual'!G5+IF(parametros_manuales!$H$43="Todos",'Plan mensual'!G9,0)))*parametros_manuales!$I$43*parametros_manuales!$J$43</f>
        <v>541.51434864205</v>
      </c>
      <c r="F26" s="9" t="n">
        <f aca="false">(parametros_manuales!$D$43*('Plan mensual'!H2+IF(parametros_manuales!$H$43="Todos",'Plan mensual'!H6,0))+parametros_manuales!$E$43*('Plan mensual'!H3+IF(parametros_manuales!$H$43="Todos",'Plan mensual'!H7,0))+parametros_manuales!$F$43*('Plan mensual'!H4+IF(parametros_manuales!$H$43="Todos",'Plan mensual'!H8,0))+parametros_manuales!$G$43*('Plan mensual'!H5+IF(parametros_manuales!$H$43="Todos",'Plan mensual'!H9,0)))*parametros_manuales!$I$43*parametros_manuales!$J$43</f>
        <v>507.2024831084</v>
      </c>
      <c r="G26" s="9" t="n">
        <f aca="false">(parametros_manuales!$D$43*('Plan mensual'!I2+IF(parametros_manuales!$H$43="Todos",'Plan mensual'!I6,0))+parametros_manuales!$E$43*('Plan mensual'!I3+IF(parametros_manuales!$H$43="Todos",'Plan mensual'!I7,0))+parametros_manuales!$F$43*('Plan mensual'!I4+IF(parametros_manuales!$H$43="Todos",'Plan mensual'!I8,0))+parametros_manuales!$G$43*('Plan mensual'!I5+IF(parametros_manuales!$H$43="Todos",'Plan mensual'!I9,0)))*parametros_manuales!$I$43*parametros_manuales!$J$43</f>
        <v>493.78430028975</v>
      </c>
      <c r="H26" s="9" t="n">
        <f aca="false">(parametros_manuales!$D$43*('Plan mensual'!J2+IF(parametros_manuales!$H$43="Todos",'Plan mensual'!J6,0))+parametros_manuales!$E$43*('Plan mensual'!J3+IF(parametros_manuales!$H$43="Todos",'Plan mensual'!J7,0))+parametros_manuales!$F$43*('Plan mensual'!J4+IF(parametros_manuales!$H$43="Todos",'Plan mensual'!J8,0))+parametros_manuales!$G$43*('Plan mensual'!J5+IF(parametros_manuales!$H$43="Todos",'Plan mensual'!J9,0)))*parametros_manuales!$I$43*parametros_manuales!$J$43</f>
        <v>528.0961658234</v>
      </c>
      <c r="I26" s="9" t="n">
        <f aca="false">(parametros_manuales!$D$43*('Plan mensual'!K2+IF(parametros_manuales!$H$43="Todos",'Plan mensual'!K6,0))+parametros_manuales!$E$43*('Plan mensual'!K3+IF(parametros_manuales!$H$43="Todos",'Plan mensual'!K7,0))+parametros_manuales!$F$43*('Plan mensual'!K4+IF(parametros_manuales!$H$43="Todos",'Plan mensual'!K8,0))+parametros_manuales!$G$43*('Plan mensual'!K5+IF(parametros_manuales!$H$43="Todos",'Plan mensual'!K9,0)))*parametros_manuales!$I$43*parametros_manuales!$J$43</f>
        <v>528.0961658234</v>
      </c>
      <c r="J26" s="9" t="n">
        <f aca="false">(parametros_manuales!$D$43*('Plan mensual'!L2+IF(parametros_manuales!$H$43="Todos",'Plan mensual'!L6,0))+parametros_manuales!$E$43*('Plan mensual'!L3+IF(parametros_manuales!$H$43="Todos",'Plan mensual'!L7,0))+parametros_manuales!$F$43*('Plan mensual'!L4+IF(parametros_manuales!$H$43="Todos",'Plan mensual'!L8,0))+parametros_manuales!$G$43*('Plan mensual'!L5+IF(parametros_manuales!$H$43="Todos",'Plan mensual'!L9,0)))*parametros_manuales!$I$43*parametros_manuales!$J$43</f>
        <v>528.0961658234</v>
      </c>
      <c r="K26" s="9" t="n">
        <f aca="false">(parametros_manuales!$D$43*('Plan mensual'!M2+IF(parametros_manuales!$H$43="Todos",'Plan mensual'!M6,0))+parametros_manuales!$E$43*('Plan mensual'!M3+IF(parametros_manuales!$H$43="Todos",'Plan mensual'!M7,0))+parametros_manuales!$F$43*('Plan mensual'!M4+IF(parametros_manuales!$H$43="Todos",'Plan mensual'!M8,0))+parametros_manuales!$G$43*('Plan mensual'!M5+IF(parametros_manuales!$H$43="Todos",'Plan mensual'!M9,0)))*parametros_manuales!$I$43*parametros_manuales!$J$43</f>
        <v>514.67798300475</v>
      </c>
      <c r="L26" s="9" t="n">
        <f aca="false">(parametros_manuales!$D$43*('Plan mensual'!N2+IF(parametros_manuales!$H$43="Todos",'Plan mensual'!N6,0))+parametros_manuales!$E$43*('Plan mensual'!N3+IF(parametros_manuales!$H$43="Todos",'Plan mensual'!N7,0))+parametros_manuales!$F$43*('Plan mensual'!N4+IF(parametros_manuales!$H$43="Todos",'Plan mensual'!N8,0))+parametros_manuales!$G$43*('Plan mensual'!N5+IF(parametros_manuales!$H$43="Todos",'Plan mensual'!N9,0)))*parametros_manuales!$I$43*parametros_manuales!$J$43</f>
        <v>501.2598001861</v>
      </c>
      <c r="M26" s="9" t="n">
        <f aca="false">(parametros_manuales!$D$43*('Plan mensual'!O2+IF(parametros_manuales!$H$43="Todos",'Plan mensual'!O6,0))+parametros_manuales!$E$43*('Plan mensual'!O3+IF(parametros_manuales!$H$43="Todos",'Plan mensual'!O7,0))+parametros_manuales!$F$43*('Plan mensual'!O4+IF(parametros_manuales!$H$43="Todos",'Plan mensual'!O8,0))+parametros_manuales!$G$43*('Plan mensual'!O5+IF(parametros_manuales!$H$43="Todos",'Plan mensual'!O9,0)))*parametros_manuales!$I$43*parametros_manuales!$J$43</f>
        <v>796.6484071703</v>
      </c>
      <c r="N26" s="9" t="n">
        <f aca="false">SUM(B26:M26)</f>
        <v>6862.37310673</v>
      </c>
      <c r="O26" s="9" t="n">
        <f aca="false">MAX(B26:M26)</f>
        <v>796.6484071703</v>
      </c>
      <c r="P26" s="43" t="n">
        <f aca="false">O26/(parametros_manuales!$B$7)</f>
        <v>5.31098938113533</v>
      </c>
      <c r="Q26" s="8" t="str">
        <f aca="false">IF(O26=0,"-",INDEX($B$1:$M$1,MATCH(O26,B26:M26,0)))</f>
        <v>Dic</v>
      </c>
    </row>
    <row r="27" customFormat="false" ht="14.25" hidden="false" customHeight="true" outlineLevel="0" collapsed="false"/>
    <row r="28" customFormat="false" ht="14.25" hidden="false" customHeight="true" outlineLevel="0" collapsed="false">
      <c r="A28" s="7" t="s">
        <v>191</v>
      </c>
      <c r="B28" s="7" t="s">
        <v>61</v>
      </c>
      <c r="C28" s="7" t="s">
        <v>62</v>
      </c>
      <c r="D28" s="7" t="s">
        <v>63</v>
      </c>
      <c r="E28" s="7" t="s">
        <v>64</v>
      </c>
      <c r="F28" s="7" t="s">
        <v>65</v>
      </c>
      <c r="G28" s="7" t="s">
        <v>66</v>
      </c>
      <c r="H28" s="7" t="s">
        <v>67</v>
      </c>
      <c r="I28" s="7" t="s">
        <v>68</v>
      </c>
      <c r="J28" s="7" t="s">
        <v>69</v>
      </c>
      <c r="K28" s="7" t="s">
        <v>70</v>
      </c>
      <c r="L28" s="7" t="s">
        <v>71</v>
      </c>
      <c r="M28" s="7" t="s">
        <v>72</v>
      </c>
      <c r="N28" s="7" t="s">
        <v>183</v>
      </c>
      <c r="O28" s="7" t="s">
        <v>188</v>
      </c>
      <c r="P28" s="7" t="s">
        <v>189</v>
      </c>
      <c r="Q28" s="7" t="s">
        <v>190</v>
      </c>
    </row>
    <row r="29" customFormat="false" ht="14.25" hidden="false" customHeight="true" outlineLevel="0" collapsed="false">
      <c r="A29" s="8" t="str">
        <f aca="false">parametros_manuales!$B$19</f>
        <v>Recepción de materia prima</v>
      </c>
      <c r="B29" s="9" t="n">
        <f aca="false">(parametros_manuales!$D$19*('Plan mensual'!D13+IF(parametros_manuales!$H$19="Todos",'Plan mensual'!D17,0))+parametros_manuales!$E$19*('Plan mensual'!D14+IF(parametros_manuales!$H$19="Todos",'Plan mensual'!D18,0))+parametros_manuales!$F$19*('Plan mensual'!D15+IF(parametros_manuales!$H$19="Todos",'Plan mensual'!D19,0))+parametros_manuales!$G$19*('Plan mensual'!D16+IF(parametros_manuales!$H$19="Todos",'Plan mensual'!D20,0)))*parametros_manuales!$I$19*parametros_manuales!$J$19</f>
        <v>1204.89984004</v>
      </c>
      <c r="C29" s="9" t="n">
        <f aca="false">(parametros_manuales!$D$19*('Plan mensual'!E13+IF(parametros_manuales!$H$19="Todos",'Plan mensual'!E17,0))+parametros_manuales!$E$19*('Plan mensual'!E14+IF(parametros_manuales!$H$19="Todos",'Plan mensual'!E18,0))+parametros_manuales!$F$19*('Plan mensual'!E15+IF(parametros_manuales!$H$19="Todos",'Plan mensual'!E19,0))+parametros_manuales!$G$19*('Plan mensual'!E16+IF(parametros_manuales!$H$19="Todos",'Plan mensual'!E20,0)))*parametros_manuales!$I$19*parametros_manuales!$J$19</f>
        <v>927.93604817</v>
      </c>
      <c r="D29" s="9" t="n">
        <f aca="false">(parametros_manuales!$D$19*('Plan mensual'!F13+IF(parametros_manuales!$H$19="Todos",'Plan mensual'!F17,0))+parametros_manuales!$E$19*('Plan mensual'!F14+IF(parametros_manuales!$H$19="Todos",'Plan mensual'!F18,0))+parametros_manuales!$F$19*('Plan mensual'!F15+IF(parametros_manuales!$H$19="Todos",'Plan mensual'!F19,0))+parametros_manuales!$G$19*('Plan mensual'!F16+IF(parametros_manuales!$H$19="Todos",'Plan mensual'!F20,0)))*parametros_manuales!$I$19*parametros_manuales!$J$19</f>
        <v>892.22417654</v>
      </c>
      <c r="E29" s="9" t="n">
        <f aca="false">(parametros_manuales!$D$19*('Plan mensual'!G13+IF(parametros_manuales!$H$19="Todos",'Plan mensual'!G17,0))+parametros_manuales!$E$19*('Plan mensual'!G14+IF(parametros_manuales!$H$19="Todos",'Plan mensual'!G18,0))+parametros_manuales!$F$19*('Plan mensual'!G15+IF(parametros_manuales!$H$19="Todos",'Plan mensual'!G19,0))+parametros_manuales!$G$19*('Plan mensual'!G16+IF(parametros_manuales!$H$19="Todos",'Plan mensual'!G20,0)))*parametros_manuales!$I$19*parametros_manuales!$J$19</f>
        <v>862.237656655</v>
      </c>
      <c r="F29" s="9" t="n">
        <f aca="false">(parametros_manuales!$D$19*('Plan mensual'!H13+IF(parametros_manuales!$H$19="Todos",'Plan mensual'!H17,0))+parametros_manuales!$E$19*('Plan mensual'!H14+IF(parametros_manuales!$H$19="Todos",'Plan mensual'!H18,0))+parametros_manuales!$F$19*('Plan mensual'!H15+IF(parametros_manuales!$H$19="Todos",'Plan mensual'!H19,0))+parametros_manuales!$G$19*('Plan mensual'!H16+IF(parametros_manuales!$H$19="Todos",'Plan mensual'!H20,0)))*parametros_manuales!$I$19*parametros_manuales!$J$19</f>
        <v>807.98996863</v>
      </c>
      <c r="G29" s="9" t="n">
        <f aca="false">(parametros_manuales!$D$19*('Plan mensual'!I13+IF(parametros_manuales!$H$19="Todos",'Plan mensual'!I17,0))+parametros_manuales!$E$19*('Plan mensual'!I14+IF(parametros_manuales!$H$19="Todos",'Plan mensual'!I18,0))+parametros_manuales!$F$19*('Plan mensual'!I15+IF(parametros_manuales!$H$19="Todos",'Plan mensual'!I19,0))+parametros_manuales!$G$19*('Plan mensual'!I16+IF(parametros_manuales!$H$19="Todos",'Plan mensual'!I20,0)))*parametros_manuales!$I$19*parametros_manuales!$J$19</f>
        <v>783.72880049</v>
      </c>
      <c r="H29" s="9" t="n">
        <f aca="false">(parametros_manuales!$D$19*('Plan mensual'!J13+IF(parametros_manuales!$H$19="Todos",'Plan mensual'!J17,0))+parametros_manuales!$E$19*('Plan mensual'!J14+IF(parametros_manuales!$H$19="Todos",'Plan mensual'!J18,0))+parametros_manuales!$F$19*('Plan mensual'!J15+IF(parametros_manuales!$H$19="Todos",'Plan mensual'!J19,0))+parametros_manuales!$G$19*('Plan mensual'!J16+IF(parametros_manuales!$H$19="Todos",'Plan mensual'!J20,0)))*parametros_manuales!$I$19*parametros_manuales!$J$19</f>
        <v>837.976488515</v>
      </c>
      <c r="I29" s="9" t="n">
        <f aca="false">(parametros_manuales!$D$19*('Plan mensual'!K13+IF(parametros_manuales!$H$19="Todos",'Plan mensual'!K17,0))+parametros_manuales!$E$19*('Plan mensual'!K14+IF(parametros_manuales!$H$19="Todos",'Plan mensual'!K18,0))+parametros_manuales!$F$19*('Plan mensual'!K15+IF(parametros_manuales!$H$19="Todos",'Plan mensual'!K19,0))+parametros_manuales!$G$19*('Plan mensual'!K16+IF(parametros_manuales!$H$19="Todos",'Plan mensual'!K20,0)))*parametros_manuales!$I$19*parametros_manuales!$J$19</f>
        <v>837.976488515</v>
      </c>
      <c r="J29" s="9" t="n">
        <f aca="false">(parametros_manuales!$D$19*('Plan mensual'!L13+IF(parametros_manuales!$H$19="Todos",'Plan mensual'!L17,0))+parametros_manuales!$E$19*('Plan mensual'!L14+IF(parametros_manuales!$H$19="Todos",'Plan mensual'!L18,0))+parametros_manuales!$F$19*('Plan mensual'!L15+IF(parametros_manuales!$H$19="Todos",'Plan mensual'!L19,0))+parametros_manuales!$G$19*('Plan mensual'!L16+IF(parametros_manuales!$H$19="Todos",'Plan mensual'!L20,0)))*parametros_manuales!$I$19*parametros_manuales!$J$19</f>
        <v>837.976488515</v>
      </c>
      <c r="K29" s="9" t="n">
        <f aca="false">(parametros_manuales!$D$19*('Plan mensual'!M13+IF(parametros_manuales!$H$19="Todos",'Plan mensual'!M17,0))+parametros_manuales!$E$19*('Plan mensual'!M14+IF(parametros_manuales!$H$19="Todos",'Plan mensual'!M18,0))+parametros_manuales!$F$19*('Plan mensual'!M15+IF(parametros_manuales!$H$19="Todos",'Plan mensual'!M19,0))+parametros_manuales!$G$19*('Plan mensual'!M16+IF(parametros_manuales!$H$19="Todos",'Plan mensual'!M20,0)))*parametros_manuales!$I$19*parametros_manuales!$J$19</f>
        <v>813.715320375</v>
      </c>
      <c r="L29" s="9" t="n">
        <f aca="false">(parametros_manuales!$D$19*('Plan mensual'!N13+IF(parametros_manuales!$H$19="Todos",'Plan mensual'!N17,0))+parametros_manuales!$E$19*('Plan mensual'!N14+IF(parametros_manuales!$H$19="Todos",'Plan mensual'!N18,0))+parametros_manuales!$F$19*('Plan mensual'!N15+IF(parametros_manuales!$H$19="Todos",'Plan mensual'!N19,0))+parametros_manuales!$G$19*('Plan mensual'!N16+IF(parametros_manuales!$H$19="Todos",'Plan mensual'!N20,0)))*parametros_manuales!$I$19*parametros_manuales!$J$19</f>
        <v>789.454152235</v>
      </c>
      <c r="M29" s="9" t="n">
        <f aca="false">(parametros_manuales!$D$19*('Plan mensual'!O13+IF(parametros_manuales!$H$19="Todos",'Plan mensual'!O17,0))+parametros_manuales!$E$19*('Plan mensual'!O14+IF(parametros_manuales!$H$19="Todos",'Plan mensual'!O18,0))+parametros_manuales!$F$19*('Plan mensual'!O15+IF(parametros_manuales!$H$19="Todos",'Plan mensual'!O19,0))+parametros_manuales!$G$19*('Plan mensual'!O16+IF(parametros_manuales!$H$19="Todos",'Plan mensual'!O20,0)))*parametros_manuales!$I$19*parametros_manuales!$J$19</f>
        <v>1253.42217632</v>
      </c>
      <c r="N29" s="9" t="n">
        <f aca="false">SUM(B29:M29)</f>
        <v>10849.537605</v>
      </c>
      <c r="O29" s="9" t="n">
        <f aca="false">MAX(B29:M29)</f>
        <v>1253.42217632</v>
      </c>
      <c r="P29" s="43" t="n">
        <f aca="false">O29/(parametros_manuales!$B$7)</f>
        <v>8.35614784213333</v>
      </c>
      <c r="Q29" s="8" t="str">
        <f aca="false">IF(O29=0,"-",INDEX($B$28:$M$28,MATCH(O29,B29:M29,0)))</f>
        <v>Dic</v>
      </c>
    </row>
    <row r="30" customFormat="false" ht="14.25" hidden="false" customHeight="true" outlineLevel="0" collapsed="false">
      <c r="A30" s="8" t="str">
        <f aca="false">parametros_manuales!$B$20</f>
        <v>Corte de chapa (guillotina) — 2,5 a 10 kg</v>
      </c>
      <c r="B30" s="9" t="n">
        <f aca="false">(parametros_manuales!$D$20*('Plan mensual'!D13+IF(parametros_manuales!$H$20="Todos",'Plan mensual'!D17,0))+parametros_manuales!$E$20*('Plan mensual'!D14+IF(parametros_manuales!$H$20="Todos",'Plan mensual'!D18,0))+parametros_manuales!$F$20*('Plan mensual'!D15+IF(parametros_manuales!$H$20="Todos",'Plan mensual'!D19,0))+parametros_manuales!$G$20*('Plan mensual'!D16+IF(parametros_manuales!$H$20="Todos",'Plan mensual'!D20,0)))*parametros_manuales!$I$20*parametros_manuales!$J$20</f>
        <v>485.2233628</v>
      </c>
      <c r="C30" s="9" t="n">
        <f aca="false">(parametros_manuales!$D$20*('Plan mensual'!E13+IF(parametros_manuales!$H$20="Todos",'Plan mensual'!E17,0))+parametros_manuales!$E$20*('Plan mensual'!E14+IF(parametros_manuales!$H$20="Todos",'Plan mensual'!E18,0))+parametros_manuales!$F$20*('Plan mensual'!E15+IF(parametros_manuales!$H$20="Todos",'Plan mensual'!E19,0))+parametros_manuales!$G$20*('Plan mensual'!E16+IF(parametros_manuales!$H$20="Todos",'Plan mensual'!E20,0)))*parametros_manuales!$I$20*parametros_manuales!$J$20</f>
        <v>388.17869024</v>
      </c>
      <c r="D30" s="9" t="n">
        <f aca="false">(parametros_manuales!$D$20*('Plan mensual'!F13+IF(parametros_manuales!$H$20="Todos",'Plan mensual'!F17,0))+parametros_manuales!$E$20*('Plan mensual'!F14+IF(parametros_manuales!$H$20="Todos",'Plan mensual'!F18,0))+parametros_manuales!$F$20*('Plan mensual'!F15+IF(parametros_manuales!$H$20="Todos",'Plan mensual'!F19,0))+parametros_manuales!$G$20*('Plan mensual'!F16+IF(parametros_manuales!$H$20="Todos",'Plan mensual'!F20,0)))*parametros_manuales!$I$20*parametros_manuales!$J$20</f>
        <v>412.43985838</v>
      </c>
      <c r="E30" s="9" t="n">
        <f aca="false">(parametros_manuales!$D$20*('Plan mensual'!G13+IF(parametros_manuales!$H$20="Todos",'Plan mensual'!G17,0))+parametros_manuales!$E$20*('Plan mensual'!G14+IF(parametros_manuales!$H$20="Todos",'Plan mensual'!G18,0))+parametros_manuales!$F$20*('Plan mensual'!G15+IF(parametros_manuales!$H$20="Todos",'Plan mensual'!G19,0))+parametros_manuales!$G$20*('Plan mensual'!G16+IF(parametros_manuales!$H$20="Todos",'Plan mensual'!G20,0)))*parametros_manuales!$I$20*parametros_manuales!$J$20</f>
        <v>412.43985838</v>
      </c>
      <c r="F30" s="9" t="n">
        <f aca="false">(parametros_manuales!$D$20*('Plan mensual'!H13+IF(parametros_manuales!$H$20="Todos",'Plan mensual'!H17,0))+parametros_manuales!$E$20*('Plan mensual'!H14+IF(parametros_manuales!$H$20="Todos",'Plan mensual'!H18,0))+parametros_manuales!$F$20*('Plan mensual'!H15+IF(parametros_manuales!$H$20="Todos",'Plan mensual'!H19,0))+parametros_manuales!$G$20*('Plan mensual'!H16+IF(parametros_manuales!$H$20="Todos",'Plan mensual'!H20,0)))*parametros_manuales!$I$20*parametros_manuales!$J$20</f>
        <v>388.17869024</v>
      </c>
      <c r="G30" s="9" t="n">
        <f aca="false">(parametros_manuales!$D$20*('Plan mensual'!I13+IF(parametros_manuales!$H$20="Todos",'Plan mensual'!I17,0))+parametros_manuales!$E$20*('Plan mensual'!I14+IF(parametros_manuales!$H$20="Todos",'Plan mensual'!I18,0))+parametros_manuales!$F$20*('Plan mensual'!I15+IF(parametros_manuales!$H$20="Todos",'Plan mensual'!I19,0))+parametros_manuales!$G$20*('Plan mensual'!I16+IF(parametros_manuales!$H$20="Todos",'Plan mensual'!I20,0)))*parametros_manuales!$I$20*parametros_manuales!$J$20</f>
        <v>363.9175221</v>
      </c>
      <c r="H30" s="9" t="n">
        <f aca="false">(parametros_manuales!$D$20*('Plan mensual'!J13+IF(parametros_manuales!$H$20="Todos",'Plan mensual'!J17,0))+parametros_manuales!$E$20*('Plan mensual'!J14+IF(parametros_manuales!$H$20="Todos",'Plan mensual'!J18,0))+parametros_manuales!$F$20*('Plan mensual'!J15+IF(parametros_manuales!$H$20="Todos",'Plan mensual'!J19,0))+parametros_manuales!$G$20*('Plan mensual'!J16+IF(parametros_manuales!$H$20="Todos",'Plan mensual'!J20,0)))*parametros_manuales!$I$20*parametros_manuales!$J$20</f>
        <v>388.17869024</v>
      </c>
      <c r="I30" s="9" t="n">
        <f aca="false">(parametros_manuales!$D$20*('Plan mensual'!K13+IF(parametros_manuales!$H$20="Todos",'Plan mensual'!K17,0))+parametros_manuales!$E$20*('Plan mensual'!K14+IF(parametros_manuales!$H$20="Todos",'Plan mensual'!K18,0))+parametros_manuales!$F$20*('Plan mensual'!K15+IF(parametros_manuales!$H$20="Todos",'Plan mensual'!K19,0))+parametros_manuales!$G$20*('Plan mensual'!K16+IF(parametros_manuales!$H$20="Todos",'Plan mensual'!K20,0)))*parametros_manuales!$I$20*parametros_manuales!$J$20</f>
        <v>388.17869024</v>
      </c>
      <c r="J30" s="9" t="n">
        <f aca="false">(parametros_manuales!$D$20*('Plan mensual'!L13+IF(parametros_manuales!$H$20="Todos",'Plan mensual'!L17,0))+parametros_manuales!$E$20*('Plan mensual'!L14+IF(parametros_manuales!$H$20="Todos",'Plan mensual'!L18,0))+parametros_manuales!$F$20*('Plan mensual'!L15+IF(parametros_manuales!$H$20="Todos",'Plan mensual'!L19,0))+parametros_manuales!$G$20*('Plan mensual'!L16+IF(parametros_manuales!$H$20="Todos",'Plan mensual'!L20,0)))*parametros_manuales!$I$20*parametros_manuales!$J$20</f>
        <v>388.17869024</v>
      </c>
      <c r="K30" s="9" t="n">
        <f aca="false">(parametros_manuales!$D$20*('Plan mensual'!M13+IF(parametros_manuales!$H$20="Todos",'Plan mensual'!M17,0))+parametros_manuales!$E$20*('Plan mensual'!M14+IF(parametros_manuales!$H$20="Todos",'Plan mensual'!M18,0))+parametros_manuales!$F$20*('Plan mensual'!M15+IF(parametros_manuales!$H$20="Todos",'Plan mensual'!M19,0))+parametros_manuales!$G$20*('Plan mensual'!M16+IF(parametros_manuales!$H$20="Todos",'Plan mensual'!M20,0)))*parametros_manuales!$I$20*parametros_manuales!$J$20</f>
        <v>363.9175221</v>
      </c>
      <c r="L30" s="9" t="n">
        <f aca="false">(parametros_manuales!$D$20*('Plan mensual'!N13+IF(parametros_manuales!$H$20="Todos",'Plan mensual'!N17,0))+parametros_manuales!$E$20*('Plan mensual'!N14+IF(parametros_manuales!$H$20="Todos",'Plan mensual'!N18,0))+parametros_manuales!$F$20*('Plan mensual'!N15+IF(parametros_manuales!$H$20="Todos",'Plan mensual'!N19,0))+parametros_manuales!$G$20*('Plan mensual'!N16+IF(parametros_manuales!$H$20="Todos",'Plan mensual'!N20,0)))*parametros_manuales!$I$20*parametros_manuales!$J$20</f>
        <v>339.65635396</v>
      </c>
      <c r="M30" s="9" t="n">
        <f aca="false">(parametros_manuales!$D$20*('Plan mensual'!O13+IF(parametros_manuales!$H$20="Todos",'Plan mensual'!O17,0))+parametros_manuales!$E$20*('Plan mensual'!O14+IF(parametros_manuales!$H$20="Todos",'Plan mensual'!O18,0))+parametros_manuales!$F$20*('Plan mensual'!O15+IF(parametros_manuales!$H$20="Todos",'Plan mensual'!O19,0))+parametros_manuales!$G$20*('Plan mensual'!O16+IF(parametros_manuales!$H$20="Todos",'Plan mensual'!O20,0)))*parametros_manuales!$I$20*parametros_manuales!$J$20</f>
        <v>533.74569908</v>
      </c>
      <c r="N30" s="9" t="n">
        <f aca="false">SUM(B30:M30)</f>
        <v>4852.233628</v>
      </c>
      <c r="O30" s="9" t="n">
        <f aca="false">MAX(B30:M30)</f>
        <v>533.74569908</v>
      </c>
      <c r="P30" s="43" t="n">
        <f aca="false">O30/(parametros_manuales!$B$7)</f>
        <v>3.55830466053333</v>
      </c>
      <c r="Q30" s="8" t="str">
        <f aca="false">IF(O30=0,"-",INDEX($B$28:$M$28,MATCH(O30,B30:M30,0)))</f>
        <v>Dic</v>
      </c>
    </row>
    <row r="31" customFormat="false" ht="14.25" hidden="false" customHeight="true" outlineLevel="0" collapsed="false">
      <c r="A31" s="8" t="str">
        <f aca="false">parametros_manuales!$B$21</f>
        <v>Corte de tubo — 1 kg</v>
      </c>
      <c r="B31" s="9" t="n">
        <f aca="false">(parametros_manuales!$D$21*('Plan mensual'!D13+IF(parametros_manuales!$H$21="Todos",'Plan mensual'!D17,0))+parametros_manuales!$E$21*('Plan mensual'!D14+IF(parametros_manuales!$H$21="Todos",'Plan mensual'!D18,0))+parametros_manuales!$F$21*('Plan mensual'!D15+IF(parametros_manuales!$H$21="Todos",'Plan mensual'!D19,0))+parametros_manuales!$G$21*('Plan mensual'!D16+IF(parametros_manuales!$H$21="Todos",'Plan mensual'!D20,0)))*parametros_manuales!$I$21*parametros_manuales!$J$21</f>
        <v>719.67647724</v>
      </c>
      <c r="C31" s="9" t="n">
        <f aca="false">(parametros_manuales!$D$21*('Plan mensual'!E13+IF(parametros_manuales!$H$21="Todos",'Plan mensual'!E17,0))+parametros_manuales!$E$21*('Plan mensual'!E14+IF(parametros_manuales!$H$21="Todos",'Plan mensual'!E18,0))+parametros_manuales!$F$21*('Plan mensual'!E15+IF(parametros_manuales!$H$21="Todos",'Plan mensual'!E19,0))+parametros_manuales!$G$21*('Plan mensual'!E16+IF(parametros_manuales!$H$21="Todos",'Plan mensual'!E20,0)))*parametros_manuales!$I$21*parametros_manuales!$J$21</f>
        <v>539.75735793</v>
      </c>
      <c r="D31" s="9" t="n">
        <f aca="false">(parametros_manuales!$D$21*('Plan mensual'!F13+IF(parametros_manuales!$H$21="Todos",'Plan mensual'!F17,0))+parametros_manuales!$E$21*('Plan mensual'!F14+IF(parametros_manuales!$H$21="Todos",'Plan mensual'!F18,0))+parametros_manuales!$F$21*('Plan mensual'!F15+IF(parametros_manuales!$H$21="Todos",'Plan mensual'!F19,0))+parametros_manuales!$G$21*('Plan mensual'!F16+IF(parametros_manuales!$H$21="Todos",'Plan mensual'!F20,0)))*parametros_manuales!$I$21*parametros_manuales!$J$21</f>
        <v>479.78431816</v>
      </c>
      <c r="E31" s="9" t="n">
        <f aca="false">(parametros_manuales!$D$21*('Plan mensual'!G13+IF(parametros_manuales!$H$21="Todos",'Plan mensual'!G17,0))+parametros_manuales!$E$21*('Plan mensual'!G14+IF(parametros_manuales!$H$21="Todos",'Plan mensual'!G18,0))+parametros_manuales!$F$21*('Plan mensual'!G15+IF(parametros_manuales!$H$21="Todos",'Plan mensual'!G19,0))+parametros_manuales!$G$21*('Plan mensual'!G16+IF(parametros_manuales!$H$21="Todos",'Plan mensual'!G20,0)))*parametros_manuales!$I$21*parametros_manuales!$J$21</f>
        <v>449.797798275</v>
      </c>
      <c r="F31" s="9" t="n">
        <f aca="false">(parametros_manuales!$D$21*('Plan mensual'!H13+IF(parametros_manuales!$H$21="Todos",'Plan mensual'!H17,0))+parametros_manuales!$E$21*('Plan mensual'!H14+IF(parametros_manuales!$H$21="Todos",'Plan mensual'!H18,0))+parametros_manuales!$F$21*('Plan mensual'!H15+IF(parametros_manuales!$H$21="Todos",'Plan mensual'!H19,0))+parametros_manuales!$G$21*('Plan mensual'!H16+IF(parametros_manuales!$H$21="Todos",'Plan mensual'!H20,0)))*parametros_manuales!$I$21*parametros_manuales!$J$21</f>
        <v>419.81127839</v>
      </c>
      <c r="G31" s="9" t="n">
        <f aca="false">(parametros_manuales!$D$21*('Plan mensual'!I13+IF(parametros_manuales!$H$21="Todos",'Plan mensual'!I17,0))+parametros_manuales!$E$21*('Plan mensual'!I14+IF(parametros_manuales!$H$21="Todos",'Plan mensual'!I18,0))+parametros_manuales!$F$21*('Plan mensual'!I15+IF(parametros_manuales!$H$21="Todos",'Plan mensual'!I19,0))+parametros_manuales!$G$21*('Plan mensual'!I16+IF(parametros_manuales!$H$21="Todos",'Plan mensual'!I20,0)))*parametros_manuales!$I$21*parametros_manuales!$J$21</f>
        <v>419.81127839</v>
      </c>
      <c r="H31" s="9" t="n">
        <f aca="false">(parametros_manuales!$D$21*('Plan mensual'!J13+IF(parametros_manuales!$H$21="Todos",'Plan mensual'!J17,0))+parametros_manuales!$E$21*('Plan mensual'!J14+IF(parametros_manuales!$H$21="Todos",'Plan mensual'!J18,0))+parametros_manuales!$F$21*('Plan mensual'!J15+IF(parametros_manuales!$H$21="Todos",'Plan mensual'!J19,0))+parametros_manuales!$G$21*('Plan mensual'!J16+IF(parametros_manuales!$H$21="Todos",'Plan mensual'!J20,0)))*parametros_manuales!$I$21*parametros_manuales!$J$21</f>
        <v>449.797798275</v>
      </c>
      <c r="I31" s="9" t="n">
        <f aca="false">(parametros_manuales!$D$21*('Plan mensual'!K13+IF(parametros_manuales!$H$21="Todos",'Plan mensual'!K17,0))+parametros_manuales!$E$21*('Plan mensual'!K14+IF(parametros_manuales!$H$21="Todos",'Plan mensual'!K18,0))+parametros_manuales!$F$21*('Plan mensual'!K15+IF(parametros_manuales!$H$21="Todos",'Plan mensual'!K19,0))+parametros_manuales!$G$21*('Plan mensual'!K16+IF(parametros_manuales!$H$21="Todos",'Plan mensual'!K20,0)))*parametros_manuales!$I$21*parametros_manuales!$J$21</f>
        <v>449.797798275</v>
      </c>
      <c r="J31" s="9" t="n">
        <f aca="false">(parametros_manuales!$D$21*('Plan mensual'!L13+IF(parametros_manuales!$H$21="Todos",'Plan mensual'!L17,0))+parametros_manuales!$E$21*('Plan mensual'!L14+IF(parametros_manuales!$H$21="Todos",'Plan mensual'!L18,0))+parametros_manuales!$F$21*('Plan mensual'!L15+IF(parametros_manuales!$H$21="Todos",'Plan mensual'!L19,0))+parametros_manuales!$G$21*('Plan mensual'!L16+IF(parametros_manuales!$H$21="Todos",'Plan mensual'!L20,0)))*parametros_manuales!$I$21*parametros_manuales!$J$21</f>
        <v>449.797798275</v>
      </c>
      <c r="K31" s="9" t="n">
        <f aca="false">(parametros_manuales!$D$21*('Plan mensual'!M13+IF(parametros_manuales!$H$21="Todos",'Plan mensual'!M17,0))+parametros_manuales!$E$21*('Plan mensual'!M14+IF(parametros_manuales!$H$21="Todos",'Plan mensual'!M18,0))+parametros_manuales!$F$21*('Plan mensual'!M15+IF(parametros_manuales!$H$21="Todos",'Plan mensual'!M19,0))+parametros_manuales!$G$21*('Plan mensual'!M16+IF(parametros_manuales!$H$21="Todos",'Plan mensual'!M20,0)))*parametros_manuales!$I$21*parametros_manuales!$J$21</f>
        <v>449.797798275</v>
      </c>
      <c r="L31" s="9" t="n">
        <f aca="false">(parametros_manuales!$D$21*('Plan mensual'!N13+IF(parametros_manuales!$H$21="Todos",'Plan mensual'!N17,0))+parametros_manuales!$E$21*('Plan mensual'!N14+IF(parametros_manuales!$H$21="Todos",'Plan mensual'!N18,0))+parametros_manuales!$F$21*('Plan mensual'!N15+IF(parametros_manuales!$H$21="Todos",'Plan mensual'!N19,0))+parametros_manuales!$G$21*('Plan mensual'!N16+IF(parametros_manuales!$H$21="Todos",'Plan mensual'!N20,0)))*parametros_manuales!$I$21*parametros_manuales!$J$21</f>
        <v>449.797798275</v>
      </c>
      <c r="M31" s="9" t="n">
        <f aca="false">(parametros_manuales!$D$21*('Plan mensual'!O13+IF(parametros_manuales!$H$21="Todos",'Plan mensual'!O17,0))+parametros_manuales!$E$21*('Plan mensual'!O14+IF(parametros_manuales!$H$21="Todos",'Plan mensual'!O18,0))+parametros_manuales!$F$21*('Plan mensual'!O15+IF(parametros_manuales!$H$21="Todos",'Plan mensual'!O19,0))+parametros_manuales!$G$21*('Plan mensual'!O16+IF(parametros_manuales!$H$21="Todos",'Plan mensual'!O20,0)))*parametros_manuales!$I$21*parametros_manuales!$J$21</f>
        <v>719.67647724</v>
      </c>
      <c r="N31" s="9" t="n">
        <f aca="false">SUM(B31:M31)</f>
        <v>5997.303977</v>
      </c>
      <c r="O31" s="9" t="n">
        <f aca="false">MAX(B31:M31)</f>
        <v>719.67647724</v>
      </c>
      <c r="P31" s="43" t="n">
        <f aca="false">O31/(parametros_manuales!$B$7)</f>
        <v>4.7978431816</v>
      </c>
      <c r="Q31" s="8" t="str">
        <f aca="false">IF(O31=0,"-",INDEX($B$28:$M$28,MATCH(O31,B31:M31,0)))</f>
        <v>Ene</v>
      </c>
    </row>
    <row r="32" customFormat="false" ht="14.25" hidden="false" customHeight="true" outlineLevel="0" collapsed="false">
      <c r="A32" s="8" t="str">
        <f aca="false">parametros_manuales!$B$22</f>
        <v>Corte de disco y embutido (cúpula y fondo)</v>
      </c>
      <c r="B32" s="9" t="n">
        <f aca="false">(parametros_manuales!$D$22*('Plan mensual'!D13+IF(parametros_manuales!$H$22="Todos",'Plan mensual'!D17,0))+parametros_manuales!$E$22*('Plan mensual'!D14+IF(parametros_manuales!$H$22="Todos",'Plan mensual'!D18,0))+parametros_manuales!$F$22*('Plan mensual'!D15+IF(parametros_manuales!$H$22="Todos",'Plan mensual'!D19,0))+parametros_manuales!$G$22*('Plan mensual'!D16+IF(parametros_manuales!$H$22="Todos",'Plan mensual'!D20,0)))*parametros_manuales!$I$22*parametros_manuales!$J$22</f>
        <v>2409.79968008</v>
      </c>
      <c r="C32" s="9" t="n">
        <f aca="false">(parametros_manuales!$D$22*('Plan mensual'!E13+IF(parametros_manuales!$H$22="Todos",'Plan mensual'!E17,0))+parametros_manuales!$E$22*('Plan mensual'!E14+IF(parametros_manuales!$H$22="Todos",'Plan mensual'!E18,0))+parametros_manuales!$F$22*('Plan mensual'!E15+IF(parametros_manuales!$H$22="Todos",'Plan mensual'!E19,0))+parametros_manuales!$G$22*('Plan mensual'!E16+IF(parametros_manuales!$H$22="Todos",'Plan mensual'!E20,0)))*parametros_manuales!$I$22*parametros_manuales!$J$22</f>
        <v>1855.87209634</v>
      </c>
      <c r="D32" s="9" t="n">
        <f aca="false">(parametros_manuales!$D$22*('Plan mensual'!F13+IF(parametros_manuales!$H$22="Todos",'Plan mensual'!F17,0))+parametros_manuales!$E$22*('Plan mensual'!F14+IF(parametros_manuales!$H$22="Todos",'Plan mensual'!F18,0))+parametros_manuales!$F$22*('Plan mensual'!F15+IF(parametros_manuales!$H$22="Todos",'Plan mensual'!F19,0))+parametros_manuales!$G$22*('Plan mensual'!F16+IF(parametros_manuales!$H$22="Todos",'Plan mensual'!F20,0)))*parametros_manuales!$I$22*parametros_manuales!$J$22</f>
        <v>1784.44835308</v>
      </c>
      <c r="E32" s="9" t="n">
        <f aca="false">(parametros_manuales!$D$22*('Plan mensual'!G13+IF(parametros_manuales!$H$22="Todos",'Plan mensual'!G17,0))+parametros_manuales!$E$22*('Plan mensual'!G14+IF(parametros_manuales!$H$22="Todos",'Plan mensual'!G18,0))+parametros_manuales!$F$22*('Plan mensual'!G15+IF(parametros_manuales!$H$22="Todos",'Plan mensual'!G19,0))+parametros_manuales!$G$22*('Plan mensual'!G16+IF(parametros_manuales!$H$22="Todos",'Plan mensual'!G20,0)))*parametros_manuales!$I$22*parametros_manuales!$J$22</f>
        <v>1724.47531331</v>
      </c>
      <c r="F32" s="9" t="n">
        <f aca="false">(parametros_manuales!$D$22*('Plan mensual'!H13+IF(parametros_manuales!$H$22="Todos",'Plan mensual'!H17,0))+parametros_manuales!$E$22*('Plan mensual'!H14+IF(parametros_manuales!$H$22="Todos",'Plan mensual'!H18,0))+parametros_manuales!$F$22*('Plan mensual'!H15+IF(parametros_manuales!$H$22="Todos",'Plan mensual'!H19,0))+parametros_manuales!$G$22*('Plan mensual'!H16+IF(parametros_manuales!$H$22="Todos",'Plan mensual'!H20,0)))*parametros_manuales!$I$22*parametros_manuales!$J$22</f>
        <v>1615.97993726</v>
      </c>
      <c r="G32" s="9" t="n">
        <f aca="false">(parametros_manuales!$D$22*('Plan mensual'!I13+IF(parametros_manuales!$H$22="Todos",'Plan mensual'!I17,0))+parametros_manuales!$E$22*('Plan mensual'!I14+IF(parametros_manuales!$H$22="Todos",'Plan mensual'!I18,0))+parametros_manuales!$F$22*('Plan mensual'!I15+IF(parametros_manuales!$H$22="Todos",'Plan mensual'!I19,0))+parametros_manuales!$G$22*('Plan mensual'!I16+IF(parametros_manuales!$H$22="Todos",'Plan mensual'!I20,0)))*parametros_manuales!$I$22*parametros_manuales!$J$22</f>
        <v>1567.45760098</v>
      </c>
      <c r="H32" s="9" t="n">
        <f aca="false">(parametros_manuales!$D$22*('Plan mensual'!J13+IF(parametros_manuales!$H$22="Todos",'Plan mensual'!J17,0))+parametros_manuales!$E$22*('Plan mensual'!J14+IF(parametros_manuales!$H$22="Todos",'Plan mensual'!J18,0))+parametros_manuales!$F$22*('Plan mensual'!J15+IF(parametros_manuales!$H$22="Todos",'Plan mensual'!J19,0))+parametros_manuales!$G$22*('Plan mensual'!J16+IF(parametros_manuales!$H$22="Todos",'Plan mensual'!J20,0)))*parametros_manuales!$I$22*parametros_manuales!$J$22</f>
        <v>1675.95297703</v>
      </c>
      <c r="I32" s="9" t="n">
        <f aca="false">(parametros_manuales!$D$22*('Plan mensual'!K13+IF(parametros_manuales!$H$22="Todos",'Plan mensual'!K17,0))+parametros_manuales!$E$22*('Plan mensual'!K14+IF(parametros_manuales!$H$22="Todos",'Plan mensual'!K18,0))+parametros_manuales!$F$22*('Plan mensual'!K15+IF(parametros_manuales!$H$22="Todos",'Plan mensual'!K19,0))+parametros_manuales!$G$22*('Plan mensual'!K16+IF(parametros_manuales!$H$22="Todos",'Plan mensual'!K20,0)))*parametros_manuales!$I$22*parametros_manuales!$J$22</f>
        <v>1675.95297703</v>
      </c>
      <c r="J32" s="9" t="n">
        <f aca="false">(parametros_manuales!$D$22*('Plan mensual'!L13+IF(parametros_manuales!$H$22="Todos",'Plan mensual'!L17,0))+parametros_manuales!$E$22*('Plan mensual'!L14+IF(parametros_manuales!$H$22="Todos",'Plan mensual'!L18,0))+parametros_manuales!$F$22*('Plan mensual'!L15+IF(parametros_manuales!$H$22="Todos",'Plan mensual'!L19,0))+parametros_manuales!$G$22*('Plan mensual'!L16+IF(parametros_manuales!$H$22="Todos",'Plan mensual'!L20,0)))*parametros_manuales!$I$22*parametros_manuales!$J$22</f>
        <v>1675.95297703</v>
      </c>
      <c r="K32" s="9" t="n">
        <f aca="false">(parametros_manuales!$D$22*('Plan mensual'!M13+IF(parametros_manuales!$H$22="Todos",'Plan mensual'!M17,0))+parametros_manuales!$E$22*('Plan mensual'!M14+IF(parametros_manuales!$H$22="Todos",'Plan mensual'!M18,0))+parametros_manuales!$F$22*('Plan mensual'!M15+IF(parametros_manuales!$H$22="Todos",'Plan mensual'!M19,0))+parametros_manuales!$G$22*('Plan mensual'!M16+IF(parametros_manuales!$H$22="Todos",'Plan mensual'!M20,0)))*parametros_manuales!$I$22*parametros_manuales!$J$22</f>
        <v>1627.43064075</v>
      </c>
      <c r="L32" s="9" t="n">
        <f aca="false">(parametros_manuales!$D$22*('Plan mensual'!N13+IF(parametros_manuales!$H$22="Todos",'Plan mensual'!N17,0))+parametros_manuales!$E$22*('Plan mensual'!N14+IF(parametros_manuales!$H$22="Todos",'Plan mensual'!N18,0))+parametros_manuales!$F$22*('Plan mensual'!N15+IF(parametros_manuales!$H$22="Todos",'Plan mensual'!N19,0))+parametros_manuales!$G$22*('Plan mensual'!N16+IF(parametros_manuales!$H$22="Todos",'Plan mensual'!N20,0)))*parametros_manuales!$I$22*parametros_manuales!$J$22</f>
        <v>1578.90830447</v>
      </c>
      <c r="M32" s="9" t="n">
        <f aca="false">(parametros_manuales!$D$22*('Plan mensual'!O13+IF(parametros_manuales!$H$22="Todos",'Plan mensual'!O17,0))+parametros_manuales!$E$22*('Plan mensual'!O14+IF(parametros_manuales!$H$22="Todos",'Plan mensual'!O18,0))+parametros_manuales!$F$22*('Plan mensual'!O15+IF(parametros_manuales!$H$22="Todos",'Plan mensual'!O19,0))+parametros_manuales!$G$22*('Plan mensual'!O16+IF(parametros_manuales!$H$22="Todos",'Plan mensual'!O20,0)))*parametros_manuales!$I$22*parametros_manuales!$J$22</f>
        <v>2506.84435264</v>
      </c>
      <c r="N32" s="9" t="n">
        <f aca="false">SUM(B32:M32)</f>
        <v>21699.07521</v>
      </c>
      <c r="O32" s="9" t="n">
        <f aca="false">MAX(B32:M32)</f>
        <v>2506.84435264</v>
      </c>
      <c r="P32" s="43" t="n">
        <f aca="false">O32/(parametros_manuales!$B$7)</f>
        <v>16.7122956842667</v>
      </c>
      <c r="Q32" s="8" t="str">
        <f aca="false">IF(O32=0,"-",INDEX($B$28:$M$28,MATCH(O32,B32:M32,0)))</f>
        <v>Dic</v>
      </c>
    </row>
    <row r="33" customFormat="false" ht="14.25" hidden="false" customHeight="true" outlineLevel="0" collapsed="false">
      <c r="A33" s="8" t="str">
        <f aca="false">parametros_manuales!$B$23</f>
        <v>Preparación de cuello</v>
      </c>
      <c r="B33" s="9" t="n">
        <f aca="false">(parametros_manuales!$D$23*('Plan mensual'!D13+IF(parametros_manuales!$H$23="Todos",'Plan mensual'!D17,0))+parametros_manuales!$E$23*('Plan mensual'!D14+IF(parametros_manuales!$H$23="Todos",'Plan mensual'!D18,0))+parametros_manuales!$F$23*('Plan mensual'!D15+IF(parametros_manuales!$H$23="Todos",'Plan mensual'!D19,0))+parametros_manuales!$G$23*('Plan mensual'!D16+IF(parametros_manuales!$H$23="Todos",'Plan mensual'!D20,0)))*parametros_manuales!$I$23*parametros_manuales!$J$23</f>
        <v>1204.89984004</v>
      </c>
      <c r="C33" s="9" t="n">
        <f aca="false">(parametros_manuales!$D$23*('Plan mensual'!E13+IF(parametros_manuales!$H$23="Todos",'Plan mensual'!E17,0))+parametros_manuales!$E$23*('Plan mensual'!E14+IF(parametros_manuales!$H$23="Todos",'Plan mensual'!E18,0))+parametros_manuales!$F$23*('Plan mensual'!E15+IF(parametros_manuales!$H$23="Todos",'Plan mensual'!E19,0))+parametros_manuales!$G$23*('Plan mensual'!E16+IF(parametros_manuales!$H$23="Todos",'Plan mensual'!E20,0)))*parametros_manuales!$I$23*parametros_manuales!$J$23</f>
        <v>927.93604817</v>
      </c>
      <c r="D33" s="9" t="n">
        <f aca="false">(parametros_manuales!$D$23*('Plan mensual'!F13+IF(parametros_manuales!$H$23="Todos",'Plan mensual'!F17,0))+parametros_manuales!$E$23*('Plan mensual'!F14+IF(parametros_manuales!$H$23="Todos",'Plan mensual'!F18,0))+parametros_manuales!$F$23*('Plan mensual'!F15+IF(parametros_manuales!$H$23="Todos",'Plan mensual'!F19,0))+parametros_manuales!$G$23*('Plan mensual'!F16+IF(parametros_manuales!$H$23="Todos",'Plan mensual'!F20,0)))*parametros_manuales!$I$23*parametros_manuales!$J$23</f>
        <v>892.22417654</v>
      </c>
      <c r="E33" s="9" t="n">
        <f aca="false">(parametros_manuales!$D$23*('Plan mensual'!G13+IF(parametros_manuales!$H$23="Todos",'Plan mensual'!G17,0))+parametros_manuales!$E$23*('Plan mensual'!G14+IF(parametros_manuales!$H$23="Todos",'Plan mensual'!G18,0))+parametros_manuales!$F$23*('Plan mensual'!G15+IF(parametros_manuales!$H$23="Todos",'Plan mensual'!G19,0))+parametros_manuales!$G$23*('Plan mensual'!G16+IF(parametros_manuales!$H$23="Todos",'Plan mensual'!G20,0)))*parametros_manuales!$I$23*parametros_manuales!$J$23</f>
        <v>862.237656655</v>
      </c>
      <c r="F33" s="9" t="n">
        <f aca="false">(parametros_manuales!$D$23*('Plan mensual'!H13+IF(parametros_manuales!$H$23="Todos",'Plan mensual'!H17,0))+parametros_manuales!$E$23*('Plan mensual'!H14+IF(parametros_manuales!$H$23="Todos",'Plan mensual'!H18,0))+parametros_manuales!$F$23*('Plan mensual'!H15+IF(parametros_manuales!$H$23="Todos",'Plan mensual'!H19,0))+parametros_manuales!$G$23*('Plan mensual'!H16+IF(parametros_manuales!$H$23="Todos",'Plan mensual'!H20,0)))*parametros_manuales!$I$23*parametros_manuales!$J$23</f>
        <v>807.98996863</v>
      </c>
      <c r="G33" s="9" t="n">
        <f aca="false">(parametros_manuales!$D$23*('Plan mensual'!I13+IF(parametros_manuales!$H$23="Todos",'Plan mensual'!I17,0))+parametros_manuales!$E$23*('Plan mensual'!I14+IF(parametros_manuales!$H$23="Todos",'Plan mensual'!I18,0))+parametros_manuales!$F$23*('Plan mensual'!I15+IF(parametros_manuales!$H$23="Todos",'Plan mensual'!I19,0))+parametros_manuales!$G$23*('Plan mensual'!I16+IF(parametros_manuales!$H$23="Todos",'Plan mensual'!I20,0)))*parametros_manuales!$I$23*parametros_manuales!$J$23</f>
        <v>783.72880049</v>
      </c>
      <c r="H33" s="9" t="n">
        <f aca="false">(parametros_manuales!$D$23*('Plan mensual'!J13+IF(parametros_manuales!$H$23="Todos",'Plan mensual'!J17,0))+parametros_manuales!$E$23*('Plan mensual'!J14+IF(parametros_manuales!$H$23="Todos",'Plan mensual'!J18,0))+parametros_manuales!$F$23*('Plan mensual'!J15+IF(parametros_manuales!$H$23="Todos",'Plan mensual'!J19,0))+parametros_manuales!$G$23*('Plan mensual'!J16+IF(parametros_manuales!$H$23="Todos",'Plan mensual'!J20,0)))*parametros_manuales!$I$23*parametros_manuales!$J$23</f>
        <v>837.976488515</v>
      </c>
      <c r="I33" s="9" t="n">
        <f aca="false">(parametros_manuales!$D$23*('Plan mensual'!K13+IF(parametros_manuales!$H$23="Todos",'Plan mensual'!K17,0))+parametros_manuales!$E$23*('Plan mensual'!K14+IF(parametros_manuales!$H$23="Todos",'Plan mensual'!K18,0))+parametros_manuales!$F$23*('Plan mensual'!K15+IF(parametros_manuales!$H$23="Todos",'Plan mensual'!K19,0))+parametros_manuales!$G$23*('Plan mensual'!K16+IF(parametros_manuales!$H$23="Todos",'Plan mensual'!K20,0)))*parametros_manuales!$I$23*parametros_manuales!$J$23</f>
        <v>837.976488515</v>
      </c>
      <c r="J33" s="9" t="n">
        <f aca="false">(parametros_manuales!$D$23*('Plan mensual'!L13+IF(parametros_manuales!$H$23="Todos",'Plan mensual'!L17,0))+parametros_manuales!$E$23*('Plan mensual'!L14+IF(parametros_manuales!$H$23="Todos",'Plan mensual'!L18,0))+parametros_manuales!$F$23*('Plan mensual'!L15+IF(parametros_manuales!$H$23="Todos",'Plan mensual'!L19,0))+parametros_manuales!$G$23*('Plan mensual'!L16+IF(parametros_manuales!$H$23="Todos",'Plan mensual'!L20,0)))*parametros_manuales!$I$23*parametros_manuales!$J$23</f>
        <v>837.976488515</v>
      </c>
      <c r="K33" s="9" t="n">
        <f aca="false">(parametros_manuales!$D$23*('Plan mensual'!M13+IF(parametros_manuales!$H$23="Todos",'Plan mensual'!M17,0))+parametros_manuales!$E$23*('Plan mensual'!M14+IF(parametros_manuales!$H$23="Todos",'Plan mensual'!M18,0))+parametros_manuales!$F$23*('Plan mensual'!M15+IF(parametros_manuales!$H$23="Todos",'Plan mensual'!M19,0))+parametros_manuales!$G$23*('Plan mensual'!M16+IF(parametros_manuales!$H$23="Todos",'Plan mensual'!M20,0)))*parametros_manuales!$I$23*parametros_manuales!$J$23</f>
        <v>813.715320375</v>
      </c>
      <c r="L33" s="9" t="n">
        <f aca="false">(parametros_manuales!$D$23*('Plan mensual'!N13+IF(parametros_manuales!$H$23="Todos",'Plan mensual'!N17,0))+parametros_manuales!$E$23*('Plan mensual'!N14+IF(parametros_manuales!$H$23="Todos",'Plan mensual'!N18,0))+parametros_manuales!$F$23*('Plan mensual'!N15+IF(parametros_manuales!$H$23="Todos",'Plan mensual'!N19,0))+parametros_manuales!$G$23*('Plan mensual'!N16+IF(parametros_manuales!$H$23="Todos",'Plan mensual'!N20,0)))*parametros_manuales!$I$23*parametros_manuales!$J$23</f>
        <v>789.454152235</v>
      </c>
      <c r="M33" s="9" t="n">
        <f aca="false">(parametros_manuales!$D$23*('Plan mensual'!O13+IF(parametros_manuales!$H$23="Todos",'Plan mensual'!O17,0))+parametros_manuales!$E$23*('Plan mensual'!O14+IF(parametros_manuales!$H$23="Todos",'Plan mensual'!O18,0))+parametros_manuales!$F$23*('Plan mensual'!O15+IF(parametros_manuales!$H$23="Todos",'Plan mensual'!O19,0))+parametros_manuales!$G$23*('Plan mensual'!O16+IF(parametros_manuales!$H$23="Todos",'Plan mensual'!O20,0)))*parametros_manuales!$I$23*parametros_manuales!$J$23</f>
        <v>1253.42217632</v>
      </c>
      <c r="N33" s="9" t="n">
        <f aca="false">SUM(B33:M33)</f>
        <v>10849.537605</v>
      </c>
      <c r="O33" s="9" t="n">
        <f aca="false">MAX(B33:M33)</f>
        <v>1253.42217632</v>
      </c>
      <c r="P33" s="43" t="n">
        <f aca="false">O33/(parametros_manuales!$B$7)</f>
        <v>8.35614784213333</v>
      </c>
      <c r="Q33" s="8" t="str">
        <f aca="false">IF(O33=0,"-",INDEX($B$28:$M$28,MATCH(O33,B33:M33,0)))</f>
        <v>Dic</v>
      </c>
    </row>
    <row r="34" customFormat="false" ht="14.25" hidden="false" customHeight="true" outlineLevel="0" collapsed="false">
      <c r="A34" s="8" t="str">
        <f aca="false">parametros_manuales!$B$24</f>
        <v>Numerado de cúpula</v>
      </c>
      <c r="B34" s="9" t="n">
        <f aca="false">(parametros_manuales!$D$24*('Plan mensual'!D13+IF(parametros_manuales!$H$24="Todos",'Plan mensual'!D17,0))+parametros_manuales!$E$24*('Plan mensual'!D14+IF(parametros_manuales!$H$24="Todos",'Plan mensual'!D18,0))+parametros_manuales!$F$24*('Plan mensual'!D15+IF(parametros_manuales!$H$24="Todos",'Plan mensual'!D19,0))+parametros_manuales!$G$24*('Plan mensual'!D16+IF(parametros_manuales!$H$24="Todos",'Plan mensual'!D20,0)))*parametros_manuales!$I$24*parametros_manuales!$J$24</f>
        <v>1204.89984004</v>
      </c>
      <c r="C34" s="9" t="n">
        <f aca="false">(parametros_manuales!$D$24*('Plan mensual'!E13+IF(parametros_manuales!$H$24="Todos",'Plan mensual'!E17,0))+parametros_manuales!$E$24*('Plan mensual'!E14+IF(parametros_manuales!$H$24="Todos",'Plan mensual'!E18,0))+parametros_manuales!$F$24*('Plan mensual'!E15+IF(parametros_manuales!$H$24="Todos",'Plan mensual'!E19,0))+parametros_manuales!$G$24*('Plan mensual'!E16+IF(parametros_manuales!$H$24="Todos",'Plan mensual'!E20,0)))*parametros_manuales!$I$24*parametros_manuales!$J$24</f>
        <v>927.93604817</v>
      </c>
      <c r="D34" s="9" t="n">
        <f aca="false">(parametros_manuales!$D$24*('Plan mensual'!F13+IF(parametros_manuales!$H$24="Todos",'Plan mensual'!F17,0))+parametros_manuales!$E$24*('Plan mensual'!F14+IF(parametros_manuales!$H$24="Todos",'Plan mensual'!F18,0))+parametros_manuales!$F$24*('Plan mensual'!F15+IF(parametros_manuales!$H$24="Todos",'Plan mensual'!F19,0))+parametros_manuales!$G$24*('Plan mensual'!F16+IF(parametros_manuales!$H$24="Todos",'Plan mensual'!F20,0)))*parametros_manuales!$I$24*parametros_manuales!$J$24</f>
        <v>892.22417654</v>
      </c>
      <c r="E34" s="9" t="n">
        <f aca="false">(parametros_manuales!$D$24*('Plan mensual'!G13+IF(parametros_manuales!$H$24="Todos",'Plan mensual'!G17,0))+parametros_manuales!$E$24*('Plan mensual'!G14+IF(parametros_manuales!$H$24="Todos",'Plan mensual'!G18,0))+parametros_manuales!$F$24*('Plan mensual'!G15+IF(parametros_manuales!$H$24="Todos",'Plan mensual'!G19,0))+parametros_manuales!$G$24*('Plan mensual'!G16+IF(parametros_manuales!$H$24="Todos",'Plan mensual'!G20,0)))*parametros_manuales!$I$24*parametros_manuales!$J$24</f>
        <v>862.237656655</v>
      </c>
      <c r="F34" s="9" t="n">
        <f aca="false">(parametros_manuales!$D$24*('Plan mensual'!H13+IF(parametros_manuales!$H$24="Todos",'Plan mensual'!H17,0))+parametros_manuales!$E$24*('Plan mensual'!H14+IF(parametros_manuales!$H$24="Todos",'Plan mensual'!H18,0))+parametros_manuales!$F$24*('Plan mensual'!H15+IF(parametros_manuales!$H$24="Todos",'Plan mensual'!H19,0))+parametros_manuales!$G$24*('Plan mensual'!H16+IF(parametros_manuales!$H$24="Todos",'Plan mensual'!H20,0)))*parametros_manuales!$I$24*parametros_manuales!$J$24</f>
        <v>807.98996863</v>
      </c>
      <c r="G34" s="9" t="n">
        <f aca="false">(parametros_manuales!$D$24*('Plan mensual'!I13+IF(parametros_manuales!$H$24="Todos",'Plan mensual'!I17,0))+parametros_manuales!$E$24*('Plan mensual'!I14+IF(parametros_manuales!$H$24="Todos",'Plan mensual'!I18,0))+parametros_manuales!$F$24*('Plan mensual'!I15+IF(parametros_manuales!$H$24="Todos",'Plan mensual'!I19,0))+parametros_manuales!$G$24*('Plan mensual'!I16+IF(parametros_manuales!$H$24="Todos",'Plan mensual'!I20,0)))*parametros_manuales!$I$24*parametros_manuales!$J$24</f>
        <v>783.72880049</v>
      </c>
      <c r="H34" s="9" t="n">
        <f aca="false">(parametros_manuales!$D$24*('Plan mensual'!J13+IF(parametros_manuales!$H$24="Todos",'Plan mensual'!J17,0))+parametros_manuales!$E$24*('Plan mensual'!J14+IF(parametros_manuales!$H$24="Todos",'Plan mensual'!J18,0))+parametros_manuales!$F$24*('Plan mensual'!J15+IF(parametros_manuales!$H$24="Todos",'Plan mensual'!J19,0))+parametros_manuales!$G$24*('Plan mensual'!J16+IF(parametros_manuales!$H$24="Todos",'Plan mensual'!J20,0)))*parametros_manuales!$I$24*parametros_manuales!$J$24</f>
        <v>837.976488515</v>
      </c>
      <c r="I34" s="9" t="n">
        <f aca="false">(parametros_manuales!$D$24*('Plan mensual'!K13+IF(parametros_manuales!$H$24="Todos",'Plan mensual'!K17,0))+parametros_manuales!$E$24*('Plan mensual'!K14+IF(parametros_manuales!$H$24="Todos",'Plan mensual'!K18,0))+parametros_manuales!$F$24*('Plan mensual'!K15+IF(parametros_manuales!$H$24="Todos",'Plan mensual'!K19,0))+parametros_manuales!$G$24*('Plan mensual'!K16+IF(parametros_manuales!$H$24="Todos",'Plan mensual'!K20,0)))*parametros_manuales!$I$24*parametros_manuales!$J$24</f>
        <v>837.976488515</v>
      </c>
      <c r="J34" s="9" t="n">
        <f aca="false">(parametros_manuales!$D$24*('Plan mensual'!L13+IF(parametros_manuales!$H$24="Todos",'Plan mensual'!L17,0))+parametros_manuales!$E$24*('Plan mensual'!L14+IF(parametros_manuales!$H$24="Todos",'Plan mensual'!L18,0))+parametros_manuales!$F$24*('Plan mensual'!L15+IF(parametros_manuales!$H$24="Todos",'Plan mensual'!L19,0))+parametros_manuales!$G$24*('Plan mensual'!L16+IF(parametros_manuales!$H$24="Todos",'Plan mensual'!L20,0)))*parametros_manuales!$I$24*parametros_manuales!$J$24</f>
        <v>837.976488515</v>
      </c>
      <c r="K34" s="9" t="n">
        <f aca="false">(parametros_manuales!$D$24*('Plan mensual'!M13+IF(parametros_manuales!$H$24="Todos",'Plan mensual'!M17,0))+parametros_manuales!$E$24*('Plan mensual'!M14+IF(parametros_manuales!$H$24="Todos",'Plan mensual'!M18,0))+parametros_manuales!$F$24*('Plan mensual'!M15+IF(parametros_manuales!$H$24="Todos",'Plan mensual'!M19,0))+parametros_manuales!$G$24*('Plan mensual'!M16+IF(parametros_manuales!$H$24="Todos",'Plan mensual'!M20,0)))*parametros_manuales!$I$24*parametros_manuales!$J$24</f>
        <v>813.715320375</v>
      </c>
      <c r="L34" s="9" t="n">
        <f aca="false">(parametros_manuales!$D$24*('Plan mensual'!N13+IF(parametros_manuales!$H$24="Todos",'Plan mensual'!N17,0))+parametros_manuales!$E$24*('Plan mensual'!N14+IF(parametros_manuales!$H$24="Todos",'Plan mensual'!N18,0))+parametros_manuales!$F$24*('Plan mensual'!N15+IF(parametros_manuales!$H$24="Todos",'Plan mensual'!N19,0))+parametros_manuales!$G$24*('Plan mensual'!N16+IF(parametros_manuales!$H$24="Todos",'Plan mensual'!N20,0)))*parametros_manuales!$I$24*parametros_manuales!$J$24</f>
        <v>789.454152235</v>
      </c>
      <c r="M34" s="9" t="n">
        <f aca="false">(parametros_manuales!$D$24*('Plan mensual'!O13+IF(parametros_manuales!$H$24="Todos",'Plan mensual'!O17,0))+parametros_manuales!$E$24*('Plan mensual'!O14+IF(parametros_manuales!$H$24="Todos",'Plan mensual'!O18,0))+parametros_manuales!$F$24*('Plan mensual'!O15+IF(parametros_manuales!$H$24="Todos",'Plan mensual'!O19,0))+parametros_manuales!$G$24*('Plan mensual'!O16+IF(parametros_manuales!$H$24="Todos",'Plan mensual'!O20,0)))*parametros_manuales!$I$24*parametros_manuales!$J$24</f>
        <v>1253.42217632</v>
      </c>
      <c r="N34" s="9" t="n">
        <f aca="false">SUM(B34:M34)</f>
        <v>10849.537605</v>
      </c>
      <c r="O34" s="9" t="n">
        <f aca="false">MAX(B34:M34)</f>
        <v>1253.42217632</v>
      </c>
      <c r="P34" s="43" t="n">
        <f aca="false">O34/(parametros_manuales!$B$7)</f>
        <v>8.35614784213333</v>
      </c>
      <c r="Q34" s="8" t="str">
        <f aca="false">IF(O34=0,"-",INDEX($B$28:$M$28,MATCH(O34,B34:M34,0)))</f>
        <v>Dic</v>
      </c>
    </row>
    <row r="35" customFormat="false" ht="14.25" hidden="false" customHeight="true" outlineLevel="0" collapsed="false">
      <c r="A35" s="8" t="str">
        <f aca="false">parametros_manuales!$B$25</f>
        <v>Soldadura del cuello a la cúpula</v>
      </c>
      <c r="B35" s="9" t="n">
        <f aca="false">(parametros_manuales!$D$25*('Plan mensual'!D13+IF(parametros_manuales!$H$25="Todos",'Plan mensual'!D17,0))+parametros_manuales!$E$25*('Plan mensual'!D14+IF(parametros_manuales!$H$25="Todos",'Plan mensual'!D18,0))+parametros_manuales!$F$25*('Plan mensual'!D15+IF(parametros_manuales!$H$25="Todos",'Plan mensual'!D19,0))+parametros_manuales!$G$25*('Plan mensual'!D16+IF(parametros_manuales!$H$25="Todos",'Plan mensual'!D20,0)))*parametros_manuales!$I$25*parametros_manuales!$J$25</f>
        <v>1204.89984004</v>
      </c>
      <c r="C35" s="9" t="n">
        <f aca="false">(parametros_manuales!$D$25*('Plan mensual'!E13+IF(parametros_manuales!$H$25="Todos",'Plan mensual'!E17,0))+parametros_manuales!$E$25*('Plan mensual'!E14+IF(parametros_manuales!$H$25="Todos",'Plan mensual'!E18,0))+parametros_manuales!$F$25*('Plan mensual'!E15+IF(parametros_manuales!$H$25="Todos",'Plan mensual'!E19,0))+parametros_manuales!$G$25*('Plan mensual'!E16+IF(parametros_manuales!$H$25="Todos",'Plan mensual'!E20,0)))*parametros_manuales!$I$25*parametros_manuales!$J$25</f>
        <v>927.93604817</v>
      </c>
      <c r="D35" s="9" t="n">
        <f aca="false">(parametros_manuales!$D$25*('Plan mensual'!F13+IF(parametros_manuales!$H$25="Todos",'Plan mensual'!F17,0))+parametros_manuales!$E$25*('Plan mensual'!F14+IF(parametros_manuales!$H$25="Todos",'Plan mensual'!F18,0))+parametros_manuales!$F$25*('Plan mensual'!F15+IF(parametros_manuales!$H$25="Todos",'Plan mensual'!F19,0))+parametros_manuales!$G$25*('Plan mensual'!F16+IF(parametros_manuales!$H$25="Todos",'Plan mensual'!F20,0)))*parametros_manuales!$I$25*parametros_manuales!$J$25</f>
        <v>892.22417654</v>
      </c>
      <c r="E35" s="9" t="n">
        <f aca="false">(parametros_manuales!$D$25*('Plan mensual'!G13+IF(parametros_manuales!$H$25="Todos",'Plan mensual'!G17,0))+parametros_manuales!$E$25*('Plan mensual'!G14+IF(parametros_manuales!$H$25="Todos",'Plan mensual'!G18,0))+parametros_manuales!$F$25*('Plan mensual'!G15+IF(parametros_manuales!$H$25="Todos",'Plan mensual'!G19,0))+parametros_manuales!$G$25*('Plan mensual'!G16+IF(parametros_manuales!$H$25="Todos",'Plan mensual'!G20,0)))*parametros_manuales!$I$25*parametros_manuales!$J$25</f>
        <v>862.237656655</v>
      </c>
      <c r="F35" s="9" t="n">
        <f aca="false">(parametros_manuales!$D$25*('Plan mensual'!H13+IF(parametros_manuales!$H$25="Todos",'Plan mensual'!H17,0))+parametros_manuales!$E$25*('Plan mensual'!H14+IF(parametros_manuales!$H$25="Todos",'Plan mensual'!H18,0))+parametros_manuales!$F$25*('Plan mensual'!H15+IF(parametros_manuales!$H$25="Todos",'Plan mensual'!H19,0))+parametros_manuales!$G$25*('Plan mensual'!H16+IF(parametros_manuales!$H$25="Todos",'Plan mensual'!H20,0)))*parametros_manuales!$I$25*parametros_manuales!$J$25</f>
        <v>807.98996863</v>
      </c>
      <c r="G35" s="9" t="n">
        <f aca="false">(parametros_manuales!$D$25*('Plan mensual'!I13+IF(parametros_manuales!$H$25="Todos",'Plan mensual'!I17,0))+parametros_manuales!$E$25*('Plan mensual'!I14+IF(parametros_manuales!$H$25="Todos",'Plan mensual'!I18,0))+parametros_manuales!$F$25*('Plan mensual'!I15+IF(parametros_manuales!$H$25="Todos",'Plan mensual'!I19,0))+parametros_manuales!$G$25*('Plan mensual'!I16+IF(parametros_manuales!$H$25="Todos",'Plan mensual'!I20,0)))*parametros_manuales!$I$25*parametros_manuales!$J$25</f>
        <v>783.72880049</v>
      </c>
      <c r="H35" s="9" t="n">
        <f aca="false">(parametros_manuales!$D$25*('Plan mensual'!J13+IF(parametros_manuales!$H$25="Todos",'Plan mensual'!J17,0))+parametros_manuales!$E$25*('Plan mensual'!J14+IF(parametros_manuales!$H$25="Todos",'Plan mensual'!J18,0))+parametros_manuales!$F$25*('Plan mensual'!J15+IF(parametros_manuales!$H$25="Todos",'Plan mensual'!J19,0))+parametros_manuales!$G$25*('Plan mensual'!J16+IF(parametros_manuales!$H$25="Todos",'Plan mensual'!J20,0)))*parametros_manuales!$I$25*parametros_manuales!$J$25</f>
        <v>837.976488515</v>
      </c>
      <c r="I35" s="9" t="n">
        <f aca="false">(parametros_manuales!$D$25*('Plan mensual'!K13+IF(parametros_manuales!$H$25="Todos",'Plan mensual'!K17,0))+parametros_manuales!$E$25*('Plan mensual'!K14+IF(parametros_manuales!$H$25="Todos",'Plan mensual'!K18,0))+parametros_manuales!$F$25*('Plan mensual'!K15+IF(parametros_manuales!$H$25="Todos",'Plan mensual'!K19,0))+parametros_manuales!$G$25*('Plan mensual'!K16+IF(parametros_manuales!$H$25="Todos",'Plan mensual'!K20,0)))*parametros_manuales!$I$25*parametros_manuales!$J$25</f>
        <v>837.976488515</v>
      </c>
      <c r="J35" s="9" t="n">
        <f aca="false">(parametros_manuales!$D$25*('Plan mensual'!L13+IF(parametros_manuales!$H$25="Todos",'Plan mensual'!L17,0))+parametros_manuales!$E$25*('Plan mensual'!L14+IF(parametros_manuales!$H$25="Todos",'Plan mensual'!L18,0))+parametros_manuales!$F$25*('Plan mensual'!L15+IF(parametros_manuales!$H$25="Todos",'Plan mensual'!L19,0))+parametros_manuales!$G$25*('Plan mensual'!L16+IF(parametros_manuales!$H$25="Todos",'Plan mensual'!L20,0)))*parametros_manuales!$I$25*parametros_manuales!$J$25</f>
        <v>837.976488515</v>
      </c>
      <c r="K35" s="9" t="n">
        <f aca="false">(parametros_manuales!$D$25*('Plan mensual'!M13+IF(parametros_manuales!$H$25="Todos",'Plan mensual'!M17,0))+parametros_manuales!$E$25*('Plan mensual'!M14+IF(parametros_manuales!$H$25="Todos",'Plan mensual'!M18,0))+parametros_manuales!$F$25*('Plan mensual'!M15+IF(parametros_manuales!$H$25="Todos",'Plan mensual'!M19,0))+parametros_manuales!$G$25*('Plan mensual'!M16+IF(parametros_manuales!$H$25="Todos",'Plan mensual'!M20,0)))*parametros_manuales!$I$25*parametros_manuales!$J$25</f>
        <v>813.715320375</v>
      </c>
      <c r="L35" s="9" t="n">
        <f aca="false">(parametros_manuales!$D$25*('Plan mensual'!N13+IF(parametros_manuales!$H$25="Todos",'Plan mensual'!N17,0))+parametros_manuales!$E$25*('Plan mensual'!N14+IF(parametros_manuales!$H$25="Todos",'Plan mensual'!N18,0))+parametros_manuales!$F$25*('Plan mensual'!N15+IF(parametros_manuales!$H$25="Todos",'Plan mensual'!N19,0))+parametros_manuales!$G$25*('Plan mensual'!N16+IF(parametros_manuales!$H$25="Todos",'Plan mensual'!N20,0)))*parametros_manuales!$I$25*parametros_manuales!$J$25</f>
        <v>789.454152235</v>
      </c>
      <c r="M35" s="9" t="n">
        <f aca="false">(parametros_manuales!$D$25*('Plan mensual'!O13+IF(parametros_manuales!$H$25="Todos",'Plan mensual'!O17,0))+parametros_manuales!$E$25*('Plan mensual'!O14+IF(parametros_manuales!$H$25="Todos",'Plan mensual'!O18,0))+parametros_manuales!$F$25*('Plan mensual'!O15+IF(parametros_manuales!$H$25="Todos",'Plan mensual'!O19,0))+parametros_manuales!$G$25*('Plan mensual'!O16+IF(parametros_manuales!$H$25="Todos",'Plan mensual'!O20,0)))*parametros_manuales!$I$25*parametros_manuales!$J$25</f>
        <v>1253.42217632</v>
      </c>
      <c r="N35" s="9" t="n">
        <f aca="false">SUM(B35:M35)</f>
        <v>10849.537605</v>
      </c>
      <c r="O35" s="9" t="n">
        <f aca="false">MAX(B35:M35)</f>
        <v>1253.42217632</v>
      </c>
      <c r="P35" s="43" t="n">
        <f aca="false">O35/(parametros_manuales!$B$7)</f>
        <v>8.35614784213333</v>
      </c>
      <c r="Q35" s="8" t="str">
        <f aca="false">IF(O35=0,"-",INDEX($B$28:$M$28,MATCH(O35,B35:M35,0)))</f>
        <v>Dic</v>
      </c>
    </row>
    <row r="36" customFormat="false" ht="14.25" hidden="false" customHeight="true" outlineLevel="0" collapsed="false">
      <c r="A36" s="8" t="str">
        <f aca="false">parametros_manuales!$B$26</f>
        <v>Cilindrado</v>
      </c>
      <c r="B36" s="9" t="n">
        <f aca="false">(parametros_manuales!$D$26*('Plan mensual'!D13+IF(parametros_manuales!$H$26="Todos",'Plan mensual'!D17,0))+parametros_manuales!$E$26*('Plan mensual'!D14+IF(parametros_manuales!$H$26="Todos",'Plan mensual'!D18,0))+parametros_manuales!$F$26*('Plan mensual'!D15+IF(parametros_manuales!$H$26="Todos",'Plan mensual'!D19,0))+parametros_manuales!$G$26*('Plan mensual'!D16+IF(parametros_manuales!$H$26="Todos",'Plan mensual'!D20,0)))*parametros_manuales!$I$26*parametros_manuales!$J$26</f>
        <v>485.2233628</v>
      </c>
      <c r="C36" s="9" t="n">
        <f aca="false">(parametros_manuales!$D$26*('Plan mensual'!E13+IF(parametros_manuales!$H$26="Todos",'Plan mensual'!E17,0))+parametros_manuales!$E$26*('Plan mensual'!E14+IF(parametros_manuales!$H$26="Todos",'Plan mensual'!E18,0))+parametros_manuales!$F$26*('Plan mensual'!E15+IF(parametros_manuales!$H$26="Todos",'Plan mensual'!E19,0))+parametros_manuales!$G$26*('Plan mensual'!E16+IF(parametros_manuales!$H$26="Todos",'Plan mensual'!E20,0)))*parametros_manuales!$I$26*parametros_manuales!$J$26</f>
        <v>388.17869024</v>
      </c>
      <c r="D36" s="9" t="n">
        <f aca="false">(parametros_manuales!$D$26*('Plan mensual'!F13+IF(parametros_manuales!$H$26="Todos",'Plan mensual'!F17,0))+parametros_manuales!$E$26*('Plan mensual'!F14+IF(parametros_manuales!$H$26="Todos",'Plan mensual'!F18,0))+parametros_manuales!$F$26*('Plan mensual'!F15+IF(parametros_manuales!$H$26="Todos",'Plan mensual'!F19,0))+parametros_manuales!$G$26*('Plan mensual'!F16+IF(parametros_manuales!$H$26="Todos",'Plan mensual'!F20,0)))*parametros_manuales!$I$26*parametros_manuales!$J$26</f>
        <v>412.43985838</v>
      </c>
      <c r="E36" s="9" t="n">
        <f aca="false">(parametros_manuales!$D$26*('Plan mensual'!G13+IF(parametros_manuales!$H$26="Todos",'Plan mensual'!G17,0))+parametros_manuales!$E$26*('Plan mensual'!G14+IF(parametros_manuales!$H$26="Todos",'Plan mensual'!G18,0))+parametros_manuales!$F$26*('Plan mensual'!G15+IF(parametros_manuales!$H$26="Todos",'Plan mensual'!G19,0))+parametros_manuales!$G$26*('Plan mensual'!G16+IF(parametros_manuales!$H$26="Todos",'Plan mensual'!G20,0)))*parametros_manuales!$I$26*parametros_manuales!$J$26</f>
        <v>412.43985838</v>
      </c>
      <c r="F36" s="9" t="n">
        <f aca="false">(parametros_manuales!$D$26*('Plan mensual'!H13+IF(parametros_manuales!$H$26="Todos",'Plan mensual'!H17,0))+parametros_manuales!$E$26*('Plan mensual'!H14+IF(parametros_manuales!$H$26="Todos",'Plan mensual'!H18,0))+parametros_manuales!$F$26*('Plan mensual'!H15+IF(parametros_manuales!$H$26="Todos",'Plan mensual'!H19,0))+parametros_manuales!$G$26*('Plan mensual'!H16+IF(parametros_manuales!$H$26="Todos",'Plan mensual'!H20,0)))*parametros_manuales!$I$26*parametros_manuales!$J$26</f>
        <v>388.17869024</v>
      </c>
      <c r="G36" s="9" t="n">
        <f aca="false">(parametros_manuales!$D$26*('Plan mensual'!I13+IF(parametros_manuales!$H$26="Todos",'Plan mensual'!I17,0))+parametros_manuales!$E$26*('Plan mensual'!I14+IF(parametros_manuales!$H$26="Todos",'Plan mensual'!I18,0))+parametros_manuales!$F$26*('Plan mensual'!I15+IF(parametros_manuales!$H$26="Todos",'Plan mensual'!I19,0))+parametros_manuales!$G$26*('Plan mensual'!I16+IF(parametros_manuales!$H$26="Todos",'Plan mensual'!I20,0)))*parametros_manuales!$I$26*parametros_manuales!$J$26</f>
        <v>363.9175221</v>
      </c>
      <c r="H36" s="9" t="n">
        <f aca="false">(parametros_manuales!$D$26*('Plan mensual'!J13+IF(parametros_manuales!$H$26="Todos",'Plan mensual'!J17,0))+parametros_manuales!$E$26*('Plan mensual'!J14+IF(parametros_manuales!$H$26="Todos",'Plan mensual'!J18,0))+parametros_manuales!$F$26*('Plan mensual'!J15+IF(parametros_manuales!$H$26="Todos",'Plan mensual'!J19,0))+parametros_manuales!$G$26*('Plan mensual'!J16+IF(parametros_manuales!$H$26="Todos",'Plan mensual'!J20,0)))*parametros_manuales!$I$26*parametros_manuales!$J$26</f>
        <v>388.17869024</v>
      </c>
      <c r="I36" s="9" t="n">
        <f aca="false">(parametros_manuales!$D$26*('Plan mensual'!K13+IF(parametros_manuales!$H$26="Todos",'Plan mensual'!K17,0))+parametros_manuales!$E$26*('Plan mensual'!K14+IF(parametros_manuales!$H$26="Todos",'Plan mensual'!K18,0))+parametros_manuales!$F$26*('Plan mensual'!K15+IF(parametros_manuales!$H$26="Todos",'Plan mensual'!K19,0))+parametros_manuales!$G$26*('Plan mensual'!K16+IF(parametros_manuales!$H$26="Todos",'Plan mensual'!K20,0)))*parametros_manuales!$I$26*parametros_manuales!$J$26</f>
        <v>388.17869024</v>
      </c>
      <c r="J36" s="9" t="n">
        <f aca="false">(parametros_manuales!$D$26*('Plan mensual'!L13+IF(parametros_manuales!$H$26="Todos",'Plan mensual'!L17,0))+parametros_manuales!$E$26*('Plan mensual'!L14+IF(parametros_manuales!$H$26="Todos",'Plan mensual'!L18,0))+parametros_manuales!$F$26*('Plan mensual'!L15+IF(parametros_manuales!$H$26="Todos",'Plan mensual'!L19,0))+parametros_manuales!$G$26*('Plan mensual'!L16+IF(parametros_manuales!$H$26="Todos",'Plan mensual'!L20,0)))*parametros_manuales!$I$26*parametros_manuales!$J$26</f>
        <v>388.17869024</v>
      </c>
      <c r="K36" s="9" t="n">
        <f aca="false">(parametros_manuales!$D$26*('Plan mensual'!M13+IF(parametros_manuales!$H$26="Todos",'Plan mensual'!M17,0))+parametros_manuales!$E$26*('Plan mensual'!M14+IF(parametros_manuales!$H$26="Todos",'Plan mensual'!M18,0))+parametros_manuales!$F$26*('Plan mensual'!M15+IF(parametros_manuales!$H$26="Todos",'Plan mensual'!M19,0))+parametros_manuales!$G$26*('Plan mensual'!M16+IF(parametros_manuales!$H$26="Todos",'Plan mensual'!M20,0)))*parametros_manuales!$I$26*parametros_manuales!$J$26</f>
        <v>363.9175221</v>
      </c>
      <c r="L36" s="9" t="n">
        <f aca="false">(parametros_manuales!$D$26*('Plan mensual'!N13+IF(parametros_manuales!$H$26="Todos",'Plan mensual'!N17,0))+parametros_manuales!$E$26*('Plan mensual'!N14+IF(parametros_manuales!$H$26="Todos",'Plan mensual'!N18,0))+parametros_manuales!$F$26*('Plan mensual'!N15+IF(parametros_manuales!$H$26="Todos",'Plan mensual'!N19,0))+parametros_manuales!$G$26*('Plan mensual'!N16+IF(parametros_manuales!$H$26="Todos",'Plan mensual'!N20,0)))*parametros_manuales!$I$26*parametros_manuales!$J$26</f>
        <v>339.65635396</v>
      </c>
      <c r="M36" s="9" t="n">
        <f aca="false">(parametros_manuales!$D$26*('Plan mensual'!O13+IF(parametros_manuales!$H$26="Todos",'Plan mensual'!O17,0))+parametros_manuales!$E$26*('Plan mensual'!O14+IF(parametros_manuales!$H$26="Todos",'Plan mensual'!O18,0))+parametros_manuales!$F$26*('Plan mensual'!O15+IF(parametros_manuales!$H$26="Todos",'Plan mensual'!O19,0))+parametros_manuales!$G$26*('Plan mensual'!O16+IF(parametros_manuales!$H$26="Todos",'Plan mensual'!O20,0)))*parametros_manuales!$I$26*parametros_manuales!$J$26</f>
        <v>533.74569908</v>
      </c>
      <c r="N36" s="9" t="n">
        <f aca="false">SUM(B36:M36)</f>
        <v>4852.233628</v>
      </c>
      <c r="O36" s="9" t="n">
        <f aca="false">MAX(B36:M36)</f>
        <v>533.74569908</v>
      </c>
      <c r="P36" s="43" t="n">
        <f aca="false">O36/(parametros_manuales!$B$7)</f>
        <v>3.55830466053333</v>
      </c>
      <c r="Q36" s="8" t="str">
        <f aca="false">IF(O36=0,"-",INDEX($B$28:$M$28,MATCH(O36,B36:M36,0)))</f>
        <v>Dic</v>
      </c>
    </row>
    <row r="37" customFormat="false" ht="14.25" hidden="false" customHeight="true" outlineLevel="0" collapsed="false">
      <c r="A37" s="8" t="str">
        <f aca="false">parametros_manuales!$B$27</f>
        <v>Soldadura longitudinal</v>
      </c>
      <c r="B37" s="9" t="n">
        <f aca="false">(parametros_manuales!$D$27*('Plan mensual'!D13+IF(parametros_manuales!$H$27="Todos",'Plan mensual'!D17,0))+parametros_manuales!$E$27*('Plan mensual'!D14+IF(parametros_manuales!$H$27="Todos",'Plan mensual'!D18,0))+parametros_manuales!$F$27*('Plan mensual'!D15+IF(parametros_manuales!$H$27="Todos",'Plan mensual'!D19,0))+parametros_manuales!$G$27*('Plan mensual'!D16+IF(parametros_manuales!$H$27="Todos",'Plan mensual'!D20,0)))*parametros_manuales!$I$27*parametros_manuales!$J$27</f>
        <v>485.2233628</v>
      </c>
      <c r="C37" s="9" t="n">
        <f aca="false">(parametros_manuales!$D$27*('Plan mensual'!E13+IF(parametros_manuales!$H$27="Todos",'Plan mensual'!E17,0))+parametros_manuales!$E$27*('Plan mensual'!E14+IF(parametros_manuales!$H$27="Todos",'Plan mensual'!E18,0))+parametros_manuales!$F$27*('Plan mensual'!E15+IF(parametros_manuales!$H$27="Todos",'Plan mensual'!E19,0))+parametros_manuales!$G$27*('Plan mensual'!E16+IF(parametros_manuales!$H$27="Todos",'Plan mensual'!E20,0)))*parametros_manuales!$I$27*parametros_manuales!$J$27</f>
        <v>388.17869024</v>
      </c>
      <c r="D37" s="9" t="n">
        <f aca="false">(parametros_manuales!$D$27*('Plan mensual'!F13+IF(parametros_manuales!$H$27="Todos",'Plan mensual'!F17,0))+parametros_manuales!$E$27*('Plan mensual'!F14+IF(parametros_manuales!$H$27="Todos",'Plan mensual'!F18,0))+parametros_manuales!$F$27*('Plan mensual'!F15+IF(parametros_manuales!$H$27="Todos",'Plan mensual'!F19,0))+parametros_manuales!$G$27*('Plan mensual'!F16+IF(parametros_manuales!$H$27="Todos",'Plan mensual'!F20,0)))*parametros_manuales!$I$27*parametros_manuales!$J$27</f>
        <v>412.43985838</v>
      </c>
      <c r="E37" s="9" t="n">
        <f aca="false">(parametros_manuales!$D$27*('Plan mensual'!G13+IF(parametros_manuales!$H$27="Todos",'Plan mensual'!G17,0))+parametros_manuales!$E$27*('Plan mensual'!G14+IF(parametros_manuales!$H$27="Todos",'Plan mensual'!G18,0))+parametros_manuales!$F$27*('Plan mensual'!G15+IF(parametros_manuales!$H$27="Todos",'Plan mensual'!G19,0))+parametros_manuales!$G$27*('Plan mensual'!G16+IF(parametros_manuales!$H$27="Todos",'Plan mensual'!G20,0)))*parametros_manuales!$I$27*parametros_manuales!$J$27</f>
        <v>412.43985838</v>
      </c>
      <c r="F37" s="9" t="n">
        <f aca="false">(parametros_manuales!$D$27*('Plan mensual'!H13+IF(parametros_manuales!$H$27="Todos",'Plan mensual'!H17,0))+parametros_manuales!$E$27*('Plan mensual'!H14+IF(parametros_manuales!$H$27="Todos",'Plan mensual'!H18,0))+parametros_manuales!$F$27*('Plan mensual'!H15+IF(parametros_manuales!$H$27="Todos",'Plan mensual'!H19,0))+parametros_manuales!$G$27*('Plan mensual'!H16+IF(parametros_manuales!$H$27="Todos",'Plan mensual'!H20,0)))*parametros_manuales!$I$27*parametros_manuales!$J$27</f>
        <v>388.17869024</v>
      </c>
      <c r="G37" s="9" t="n">
        <f aca="false">(parametros_manuales!$D$27*('Plan mensual'!I13+IF(parametros_manuales!$H$27="Todos",'Plan mensual'!I17,0))+parametros_manuales!$E$27*('Plan mensual'!I14+IF(parametros_manuales!$H$27="Todos",'Plan mensual'!I18,0))+parametros_manuales!$F$27*('Plan mensual'!I15+IF(parametros_manuales!$H$27="Todos",'Plan mensual'!I19,0))+parametros_manuales!$G$27*('Plan mensual'!I16+IF(parametros_manuales!$H$27="Todos",'Plan mensual'!I20,0)))*parametros_manuales!$I$27*parametros_manuales!$J$27</f>
        <v>363.9175221</v>
      </c>
      <c r="H37" s="9" t="n">
        <f aca="false">(parametros_manuales!$D$27*('Plan mensual'!J13+IF(parametros_manuales!$H$27="Todos",'Plan mensual'!J17,0))+parametros_manuales!$E$27*('Plan mensual'!J14+IF(parametros_manuales!$H$27="Todos",'Plan mensual'!J18,0))+parametros_manuales!$F$27*('Plan mensual'!J15+IF(parametros_manuales!$H$27="Todos",'Plan mensual'!J19,0))+parametros_manuales!$G$27*('Plan mensual'!J16+IF(parametros_manuales!$H$27="Todos",'Plan mensual'!J20,0)))*parametros_manuales!$I$27*parametros_manuales!$J$27</f>
        <v>388.17869024</v>
      </c>
      <c r="I37" s="9" t="n">
        <f aca="false">(parametros_manuales!$D$27*('Plan mensual'!K13+IF(parametros_manuales!$H$27="Todos",'Plan mensual'!K17,0))+parametros_manuales!$E$27*('Plan mensual'!K14+IF(parametros_manuales!$H$27="Todos",'Plan mensual'!K18,0))+parametros_manuales!$F$27*('Plan mensual'!K15+IF(parametros_manuales!$H$27="Todos",'Plan mensual'!K19,0))+parametros_manuales!$G$27*('Plan mensual'!K16+IF(parametros_manuales!$H$27="Todos",'Plan mensual'!K20,0)))*parametros_manuales!$I$27*parametros_manuales!$J$27</f>
        <v>388.17869024</v>
      </c>
      <c r="J37" s="9" t="n">
        <f aca="false">(parametros_manuales!$D$27*('Plan mensual'!L13+IF(parametros_manuales!$H$27="Todos",'Plan mensual'!L17,0))+parametros_manuales!$E$27*('Plan mensual'!L14+IF(parametros_manuales!$H$27="Todos",'Plan mensual'!L18,0))+parametros_manuales!$F$27*('Plan mensual'!L15+IF(parametros_manuales!$H$27="Todos",'Plan mensual'!L19,0))+parametros_manuales!$G$27*('Plan mensual'!L16+IF(parametros_manuales!$H$27="Todos",'Plan mensual'!L20,0)))*parametros_manuales!$I$27*parametros_manuales!$J$27</f>
        <v>388.17869024</v>
      </c>
      <c r="K37" s="9" t="n">
        <f aca="false">(parametros_manuales!$D$27*('Plan mensual'!M13+IF(parametros_manuales!$H$27="Todos",'Plan mensual'!M17,0))+parametros_manuales!$E$27*('Plan mensual'!M14+IF(parametros_manuales!$H$27="Todos",'Plan mensual'!M18,0))+parametros_manuales!$F$27*('Plan mensual'!M15+IF(parametros_manuales!$H$27="Todos",'Plan mensual'!M19,0))+parametros_manuales!$G$27*('Plan mensual'!M16+IF(parametros_manuales!$H$27="Todos",'Plan mensual'!M20,0)))*parametros_manuales!$I$27*parametros_manuales!$J$27</f>
        <v>363.9175221</v>
      </c>
      <c r="L37" s="9" t="n">
        <f aca="false">(parametros_manuales!$D$27*('Plan mensual'!N13+IF(parametros_manuales!$H$27="Todos",'Plan mensual'!N17,0))+parametros_manuales!$E$27*('Plan mensual'!N14+IF(parametros_manuales!$H$27="Todos",'Plan mensual'!N18,0))+parametros_manuales!$F$27*('Plan mensual'!N15+IF(parametros_manuales!$H$27="Todos",'Plan mensual'!N19,0))+parametros_manuales!$G$27*('Plan mensual'!N16+IF(parametros_manuales!$H$27="Todos",'Plan mensual'!N20,0)))*parametros_manuales!$I$27*parametros_manuales!$J$27</f>
        <v>339.65635396</v>
      </c>
      <c r="M37" s="9" t="n">
        <f aca="false">(parametros_manuales!$D$27*('Plan mensual'!O13+IF(parametros_manuales!$H$27="Todos",'Plan mensual'!O17,0))+parametros_manuales!$E$27*('Plan mensual'!O14+IF(parametros_manuales!$H$27="Todos",'Plan mensual'!O18,0))+parametros_manuales!$F$27*('Plan mensual'!O15+IF(parametros_manuales!$H$27="Todos",'Plan mensual'!O19,0))+parametros_manuales!$G$27*('Plan mensual'!O16+IF(parametros_manuales!$H$27="Todos",'Plan mensual'!O20,0)))*parametros_manuales!$I$27*parametros_manuales!$J$27</f>
        <v>533.74569908</v>
      </c>
      <c r="N37" s="9" t="n">
        <f aca="false">SUM(B37:M37)</f>
        <v>4852.233628</v>
      </c>
      <c r="O37" s="9" t="n">
        <f aca="false">MAX(B37:M37)</f>
        <v>533.74569908</v>
      </c>
      <c r="P37" s="43" t="n">
        <f aca="false">O37/(parametros_manuales!$B$7)</f>
        <v>3.55830466053333</v>
      </c>
      <c r="Q37" s="8" t="str">
        <f aca="false">IF(O37=0,"-",INDEX($B$28:$M$28,MATCH(O37,B37:M37,0)))</f>
        <v>Dic</v>
      </c>
    </row>
    <row r="38" customFormat="false" ht="14.25" hidden="false" customHeight="true" outlineLevel="0" collapsed="false">
      <c r="A38" s="8" t="str">
        <f aca="false">parametros_manuales!$B$28</f>
        <v>Encastre de fondo</v>
      </c>
      <c r="B38" s="9" t="n">
        <f aca="false">(parametros_manuales!$D$28*('Plan mensual'!D13+IF(parametros_manuales!$H$28="Todos",'Plan mensual'!D17,0))+parametros_manuales!$E$28*('Plan mensual'!D14+IF(parametros_manuales!$H$28="Todos",'Plan mensual'!D18,0))+parametros_manuales!$F$28*('Plan mensual'!D15+IF(parametros_manuales!$H$28="Todos",'Plan mensual'!D19,0))+parametros_manuales!$G$28*('Plan mensual'!D16+IF(parametros_manuales!$H$28="Todos",'Plan mensual'!D20,0)))*parametros_manuales!$I$28*parametros_manuales!$J$28</f>
        <v>1204.89984004</v>
      </c>
      <c r="C38" s="9" t="n">
        <f aca="false">(parametros_manuales!$D$28*('Plan mensual'!E13+IF(parametros_manuales!$H$28="Todos",'Plan mensual'!E17,0))+parametros_manuales!$E$28*('Plan mensual'!E14+IF(parametros_manuales!$H$28="Todos",'Plan mensual'!E18,0))+parametros_manuales!$F$28*('Plan mensual'!E15+IF(parametros_manuales!$H$28="Todos",'Plan mensual'!E19,0))+parametros_manuales!$G$28*('Plan mensual'!E16+IF(parametros_manuales!$H$28="Todos",'Plan mensual'!E20,0)))*parametros_manuales!$I$28*parametros_manuales!$J$28</f>
        <v>927.93604817</v>
      </c>
      <c r="D38" s="9" t="n">
        <f aca="false">(parametros_manuales!$D$28*('Plan mensual'!F13+IF(parametros_manuales!$H$28="Todos",'Plan mensual'!F17,0))+parametros_manuales!$E$28*('Plan mensual'!F14+IF(parametros_manuales!$H$28="Todos",'Plan mensual'!F18,0))+parametros_manuales!$F$28*('Plan mensual'!F15+IF(parametros_manuales!$H$28="Todos",'Plan mensual'!F19,0))+parametros_manuales!$G$28*('Plan mensual'!F16+IF(parametros_manuales!$H$28="Todos",'Plan mensual'!F20,0)))*parametros_manuales!$I$28*parametros_manuales!$J$28</f>
        <v>892.22417654</v>
      </c>
      <c r="E38" s="9" t="n">
        <f aca="false">(parametros_manuales!$D$28*('Plan mensual'!G13+IF(parametros_manuales!$H$28="Todos",'Plan mensual'!G17,0))+parametros_manuales!$E$28*('Plan mensual'!G14+IF(parametros_manuales!$H$28="Todos",'Plan mensual'!G18,0))+parametros_manuales!$F$28*('Plan mensual'!G15+IF(parametros_manuales!$H$28="Todos",'Plan mensual'!G19,0))+parametros_manuales!$G$28*('Plan mensual'!G16+IF(parametros_manuales!$H$28="Todos",'Plan mensual'!G20,0)))*parametros_manuales!$I$28*parametros_manuales!$J$28</f>
        <v>862.237656655</v>
      </c>
      <c r="F38" s="9" t="n">
        <f aca="false">(parametros_manuales!$D$28*('Plan mensual'!H13+IF(parametros_manuales!$H$28="Todos",'Plan mensual'!H17,0))+parametros_manuales!$E$28*('Plan mensual'!H14+IF(parametros_manuales!$H$28="Todos",'Plan mensual'!H18,0))+parametros_manuales!$F$28*('Plan mensual'!H15+IF(parametros_manuales!$H$28="Todos",'Plan mensual'!H19,0))+parametros_manuales!$G$28*('Plan mensual'!H16+IF(parametros_manuales!$H$28="Todos",'Plan mensual'!H20,0)))*parametros_manuales!$I$28*parametros_manuales!$J$28</f>
        <v>807.98996863</v>
      </c>
      <c r="G38" s="9" t="n">
        <f aca="false">(parametros_manuales!$D$28*('Plan mensual'!I13+IF(parametros_manuales!$H$28="Todos",'Plan mensual'!I17,0))+parametros_manuales!$E$28*('Plan mensual'!I14+IF(parametros_manuales!$H$28="Todos",'Plan mensual'!I18,0))+parametros_manuales!$F$28*('Plan mensual'!I15+IF(parametros_manuales!$H$28="Todos",'Plan mensual'!I19,0))+parametros_manuales!$G$28*('Plan mensual'!I16+IF(parametros_manuales!$H$28="Todos",'Plan mensual'!I20,0)))*parametros_manuales!$I$28*parametros_manuales!$J$28</f>
        <v>783.72880049</v>
      </c>
      <c r="H38" s="9" t="n">
        <f aca="false">(parametros_manuales!$D$28*('Plan mensual'!J13+IF(parametros_manuales!$H$28="Todos",'Plan mensual'!J17,0))+parametros_manuales!$E$28*('Plan mensual'!J14+IF(parametros_manuales!$H$28="Todos",'Plan mensual'!J18,0))+parametros_manuales!$F$28*('Plan mensual'!J15+IF(parametros_manuales!$H$28="Todos",'Plan mensual'!J19,0))+parametros_manuales!$G$28*('Plan mensual'!J16+IF(parametros_manuales!$H$28="Todos",'Plan mensual'!J20,0)))*parametros_manuales!$I$28*parametros_manuales!$J$28</f>
        <v>837.976488515</v>
      </c>
      <c r="I38" s="9" t="n">
        <f aca="false">(parametros_manuales!$D$28*('Plan mensual'!K13+IF(parametros_manuales!$H$28="Todos",'Plan mensual'!K17,0))+parametros_manuales!$E$28*('Plan mensual'!K14+IF(parametros_manuales!$H$28="Todos",'Plan mensual'!K18,0))+parametros_manuales!$F$28*('Plan mensual'!K15+IF(parametros_manuales!$H$28="Todos",'Plan mensual'!K19,0))+parametros_manuales!$G$28*('Plan mensual'!K16+IF(parametros_manuales!$H$28="Todos",'Plan mensual'!K20,0)))*parametros_manuales!$I$28*parametros_manuales!$J$28</f>
        <v>837.976488515</v>
      </c>
      <c r="J38" s="9" t="n">
        <f aca="false">(parametros_manuales!$D$28*('Plan mensual'!L13+IF(parametros_manuales!$H$28="Todos",'Plan mensual'!L17,0))+parametros_manuales!$E$28*('Plan mensual'!L14+IF(parametros_manuales!$H$28="Todos",'Plan mensual'!L18,0))+parametros_manuales!$F$28*('Plan mensual'!L15+IF(parametros_manuales!$H$28="Todos",'Plan mensual'!L19,0))+parametros_manuales!$G$28*('Plan mensual'!L16+IF(parametros_manuales!$H$28="Todos",'Plan mensual'!L20,0)))*parametros_manuales!$I$28*parametros_manuales!$J$28</f>
        <v>837.976488515</v>
      </c>
      <c r="K38" s="9" t="n">
        <f aca="false">(parametros_manuales!$D$28*('Plan mensual'!M13+IF(parametros_manuales!$H$28="Todos",'Plan mensual'!M17,0))+parametros_manuales!$E$28*('Plan mensual'!M14+IF(parametros_manuales!$H$28="Todos",'Plan mensual'!M18,0))+parametros_manuales!$F$28*('Plan mensual'!M15+IF(parametros_manuales!$H$28="Todos",'Plan mensual'!M19,0))+parametros_manuales!$G$28*('Plan mensual'!M16+IF(parametros_manuales!$H$28="Todos",'Plan mensual'!M20,0)))*parametros_manuales!$I$28*parametros_manuales!$J$28</f>
        <v>813.715320375</v>
      </c>
      <c r="L38" s="9" t="n">
        <f aca="false">(parametros_manuales!$D$28*('Plan mensual'!N13+IF(parametros_manuales!$H$28="Todos",'Plan mensual'!N17,0))+parametros_manuales!$E$28*('Plan mensual'!N14+IF(parametros_manuales!$H$28="Todos",'Plan mensual'!N18,0))+parametros_manuales!$F$28*('Plan mensual'!N15+IF(parametros_manuales!$H$28="Todos",'Plan mensual'!N19,0))+parametros_manuales!$G$28*('Plan mensual'!N16+IF(parametros_manuales!$H$28="Todos",'Plan mensual'!N20,0)))*parametros_manuales!$I$28*parametros_manuales!$J$28</f>
        <v>789.454152235</v>
      </c>
      <c r="M38" s="9" t="n">
        <f aca="false">(parametros_manuales!$D$28*('Plan mensual'!O13+IF(parametros_manuales!$H$28="Todos",'Plan mensual'!O17,0))+parametros_manuales!$E$28*('Plan mensual'!O14+IF(parametros_manuales!$H$28="Todos",'Plan mensual'!O18,0))+parametros_manuales!$F$28*('Plan mensual'!O15+IF(parametros_manuales!$H$28="Todos",'Plan mensual'!O19,0))+parametros_manuales!$G$28*('Plan mensual'!O16+IF(parametros_manuales!$H$28="Todos",'Plan mensual'!O20,0)))*parametros_manuales!$I$28*parametros_manuales!$J$28</f>
        <v>1253.42217632</v>
      </c>
      <c r="N38" s="9" t="n">
        <f aca="false">SUM(B38:M38)</f>
        <v>10849.537605</v>
      </c>
      <c r="O38" s="9" t="n">
        <f aca="false">MAX(B38:M38)</f>
        <v>1253.42217632</v>
      </c>
      <c r="P38" s="43" t="n">
        <f aca="false">O38/(parametros_manuales!$B$7)</f>
        <v>8.35614784213333</v>
      </c>
      <c r="Q38" s="8" t="str">
        <f aca="false">IF(O38=0,"-",INDEX($B$28:$M$28,MATCH(O38,B38:M38,0)))</f>
        <v>Dic</v>
      </c>
    </row>
    <row r="39" customFormat="false" ht="14.25" hidden="false" customHeight="true" outlineLevel="0" collapsed="false">
      <c r="A39" s="8" t="str">
        <f aca="false">parametros_manuales!$B$29</f>
        <v>Bordoneado</v>
      </c>
      <c r="B39" s="9" t="n">
        <f aca="false">(parametros_manuales!$D$29*('Plan mensual'!D13+IF(parametros_manuales!$H$29="Todos",'Plan mensual'!D17,0))+parametros_manuales!$E$29*('Plan mensual'!D14+IF(parametros_manuales!$H$29="Todos",'Plan mensual'!D18,0))+parametros_manuales!$F$29*('Plan mensual'!D15+IF(parametros_manuales!$H$29="Todos",'Plan mensual'!D19,0))+parametros_manuales!$G$29*('Plan mensual'!D16+IF(parametros_manuales!$H$29="Todos",'Plan mensual'!D20,0)))*parametros_manuales!$I$29*parametros_manuales!$J$29</f>
        <v>1204.89984004</v>
      </c>
      <c r="C39" s="9" t="n">
        <f aca="false">(parametros_manuales!$D$29*('Plan mensual'!E13+IF(parametros_manuales!$H$29="Todos",'Plan mensual'!E17,0))+parametros_manuales!$E$29*('Plan mensual'!E14+IF(parametros_manuales!$H$29="Todos",'Plan mensual'!E18,0))+parametros_manuales!$F$29*('Plan mensual'!E15+IF(parametros_manuales!$H$29="Todos",'Plan mensual'!E19,0))+parametros_manuales!$G$29*('Plan mensual'!E16+IF(parametros_manuales!$H$29="Todos",'Plan mensual'!E20,0)))*parametros_manuales!$I$29*parametros_manuales!$J$29</f>
        <v>927.93604817</v>
      </c>
      <c r="D39" s="9" t="n">
        <f aca="false">(parametros_manuales!$D$29*('Plan mensual'!F13+IF(parametros_manuales!$H$29="Todos",'Plan mensual'!F17,0))+parametros_manuales!$E$29*('Plan mensual'!F14+IF(parametros_manuales!$H$29="Todos",'Plan mensual'!F18,0))+parametros_manuales!$F$29*('Plan mensual'!F15+IF(parametros_manuales!$H$29="Todos",'Plan mensual'!F19,0))+parametros_manuales!$G$29*('Plan mensual'!F16+IF(parametros_manuales!$H$29="Todos",'Plan mensual'!F20,0)))*parametros_manuales!$I$29*parametros_manuales!$J$29</f>
        <v>892.22417654</v>
      </c>
      <c r="E39" s="9" t="n">
        <f aca="false">(parametros_manuales!$D$29*('Plan mensual'!G13+IF(parametros_manuales!$H$29="Todos",'Plan mensual'!G17,0))+parametros_manuales!$E$29*('Plan mensual'!G14+IF(parametros_manuales!$H$29="Todos",'Plan mensual'!G18,0))+parametros_manuales!$F$29*('Plan mensual'!G15+IF(parametros_manuales!$H$29="Todos",'Plan mensual'!G19,0))+parametros_manuales!$G$29*('Plan mensual'!G16+IF(parametros_manuales!$H$29="Todos",'Plan mensual'!G20,0)))*parametros_manuales!$I$29*parametros_manuales!$J$29</f>
        <v>862.237656655</v>
      </c>
      <c r="F39" s="9" t="n">
        <f aca="false">(parametros_manuales!$D$29*('Plan mensual'!H13+IF(parametros_manuales!$H$29="Todos",'Plan mensual'!H17,0))+parametros_manuales!$E$29*('Plan mensual'!H14+IF(parametros_manuales!$H$29="Todos",'Plan mensual'!H18,0))+parametros_manuales!$F$29*('Plan mensual'!H15+IF(parametros_manuales!$H$29="Todos",'Plan mensual'!H19,0))+parametros_manuales!$G$29*('Plan mensual'!H16+IF(parametros_manuales!$H$29="Todos",'Plan mensual'!H20,0)))*parametros_manuales!$I$29*parametros_manuales!$J$29</f>
        <v>807.98996863</v>
      </c>
      <c r="G39" s="9" t="n">
        <f aca="false">(parametros_manuales!$D$29*('Plan mensual'!I13+IF(parametros_manuales!$H$29="Todos",'Plan mensual'!I17,0))+parametros_manuales!$E$29*('Plan mensual'!I14+IF(parametros_manuales!$H$29="Todos",'Plan mensual'!I18,0))+parametros_manuales!$F$29*('Plan mensual'!I15+IF(parametros_manuales!$H$29="Todos",'Plan mensual'!I19,0))+parametros_manuales!$G$29*('Plan mensual'!I16+IF(parametros_manuales!$H$29="Todos",'Plan mensual'!I20,0)))*parametros_manuales!$I$29*parametros_manuales!$J$29</f>
        <v>783.72880049</v>
      </c>
      <c r="H39" s="9" t="n">
        <f aca="false">(parametros_manuales!$D$29*('Plan mensual'!J13+IF(parametros_manuales!$H$29="Todos",'Plan mensual'!J17,0))+parametros_manuales!$E$29*('Plan mensual'!J14+IF(parametros_manuales!$H$29="Todos",'Plan mensual'!J18,0))+parametros_manuales!$F$29*('Plan mensual'!J15+IF(parametros_manuales!$H$29="Todos",'Plan mensual'!J19,0))+parametros_manuales!$G$29*('Plan mensual'!J16+IF(parametros_manuales!$H$29="Todos",'Plan mensual'!J20,0)))*parametros_manuales!$I$29*parametros_manuales!$J$29</f>
        <v>837.976488515</v>
      </c>
      <c r="I39" s="9" t="n">
        <f aca="false">(parametros_manuales!$D$29*('Plan mensual'!K13+IF(parametros_manuales!$H$29="Todos",'Plan mensual'!K17,0))+parametros_manuales!$E$29*('Plan mensual'!K14+IF(parametros_manuales!$H$29="Todos",'Plan mensual'!K18,0))+parametros_manuales!$F$29*('Plan mensual'!K15+IF(parametros_manuales!$H$29="Todos",'Plan mensual'!K19,0))+parametros_manuales!$G$29*('Plan mensual'!K16+IF(parametros_manuales!$H$29="Todos",'Plan mensual'!K20,0)))*parametros_manuales!$I$29*parametros_manuales!$J$29</f>
        <v>837.976488515</v>
      </c>
      <c r="J39" s="9" t="n">
        <f aca="false">(parametros_manuales!$D$29*('Plan mensual'!L13+IF(parametros_manuales!$H$29="Todos",'Plan mensual'!L17,0))+parametros_manuales!$E$29*('Plan mensual'!L14+IF(parametros_manuales!$H$29="Todos",'Plan mensual'!L18,0))+parametros_manuales!$F$29*('Plan mensual'!L15+IF(parametros_manuales!$H$29="Todos",'Plan mensual'!L19,0))+parametros_manuales!$G$29*('Plan mensual'!L16+IF(parametros_manuales!$H$29="Todos",'Plan mensual'!L20,0)))*parametros_manuales!$I$29*parametros_manuales!$J$29</f>
        <v>837.976488515</v>
      </c>
      <c r="K39" s="9" t="n">
        <f aca="false">(parametros_manuales!$D$29*('Plan mensual'!M13+IF(parametros_manuales!$H$29="Todos",'Plan mensual'!M17,0))+parametros_manuales!$E$29*('Plan mensual'!M14+IF(parametros_manuales!$H$29="Todos",'Plan mensual'!M18,0))+parametros_manuales!$F$29*('Plan mensual'!M15+IF(parametros_manuales!$H$29="Todos",'Plan mensual'!M19,0))+parametros_manuales!$G$29*('Plan mensual'!M16+IF(parametros_manuales!$H$29="Todos",'Plan mensual'!M20,0)))*parametros_manuales!$I$29*parametros_manuales!$J$29</f>
        <v>813.715320375</v>
      </c>
      <c r="L39" s="9" t="n">
        <f aca="false">(parametros_manuales!$D$29*('Plan mensual'!N13+IF(parametros_manuales!$H$29="Todos",'Plan mensual'!N17,0))+parametros_manuales!$E$29*('Plan mensual'!N14+IF(parametros_manuales!$H$29="Todos",'Plan mensual'!N18,0))+parametros_manuales!$F$29*('Plan mensual'!N15+IF(parametros_manuales!$H$29="Todos",'Plan mensual'!N19,0))+parametros_manuales!$G$29*('Plan mensual'!N16+IF(parametros_manuales!$H$29="Todos",'Plan mensual'!N20,0)))*parametros_manuales!$I$29*parametros_manuales!$J$29</f>
        <v>789.454152235</v>
      </c>
      <c r="M39" s="9" t="n">
        <f aca="false">(parametros_manuales!$D$29*('Plan mensual'!O13+IF(parametros_manuales!$H$29="Todos",'Plan mensual'!O17,0))+parametros_manuales!$E$29*('Plan mensual'!O14+IF(parametros_manuales!$H$29="Todos",'Plan mensual'!O18,0))+parametros_manuales!$F$29*('Plan mensual'!O15+IF(parametros_manuales!$H$29="Todos",'Plan mensual'!O19,0))+parametros_manuales!$G$29*('Plan mensual'!O16+IF(parametros_manuales!$H$29="Todos",'Plan mensual'!O20,0)))*parametros_manuales!$I$29*parametros_manuales!$J$29</f>
        <v>1253.42217632</v>
      </c>
      <c r="N39" s="9" t="n">
        <f aca="false">SUM(B39:M39)</f>
        <v>10849.537605</v>
      </c>
      <c r="O39" s="9" t="n">
        <f aca="false">MAX(B39:M39)</f>
        <v>1253.42217632</v>
      </c>
      <c r="P39" s="43" t="n">
        <f aca="false">O39/(parametros_manuales!$B$7)</f>
        <v>8.35614784213333</v>
      </c>
      <c r="Q39" s="8" t="str">
        <f aca="false">IF(O39=0,"-",INDEX($B$28:$M$28,MATCH(O39,B39:M39,0)))</f>
        <v>Dic</v>
      </c>
    </row>
    <row r="40" customFormat="false" ht="14.25" hidden="false" customHeight="true" outlineLevel="0" collapsed="false">
      <c r="A40" s="8" t="str">
        <f aca="false">parametros_manuales!$B$30</f>
        <v>Soldadura circunferencial de cúpula y fondo</v>
      </c>
      <c r="B40" s="9" t="n">
        <f aca="false">(parametros_manuales!$D$30*('Plan mensual'!D13+IF(parametros_manuales!$H$30="Todos",'Plan mensual'!D17,0))+parametros_manuales!$E$30*('Plan mensual'!D14+IF(parametros_manuales!$H$30="Todos",'Plan mensual'!D18,0))+parametros_manuales!$F$30*('Plan mensual'!D15+IF(parametros_manuales!$H$30="Todos",'Plan mensual'!D19,0))+parametros_manuales!$G$30*('Plan mensual'!D16+IF(parametros_manuales!$H$30="Todos",'Plan mensual'!D20,0)))*parametros_manuales!$I$30*parametros_manuales!$J$30</f>
        <v>1204.89984004</v>
      </c>
      <c r="C40" s="9" t="n">
        <f aca="false">(parametros_manuales!$D$30*('Plan mensual'!E13+IF(parametros_manuales!$H$30="Todos",'Plan mensual'!E17,0))+parametros_manuales!$E$30*('Plan mensual'!E14+IF(parametros_manuales!$H$30="Todos",'Plan mensual'!E18,0))+parametros_manuales!$F$30*('Plan mensual'!E15+IF(parametros_manuales!$H$30="Todos",'Plan mensual'!E19,0))+parametros_manuales!$G$30*('Plan mensual'!E16+IF(parametros_manuales!$H$30="Todos",'Plan mensual'!E20,0)))*parametros_manuales!$I$30*parametros_manuales!$J$30</f>
        <v>927.93604817</v>
      </c>
      <c r="D40" s="9" t="n">
        <f aca="false">(parametros_manuales!$D$30*('Plan mensual'!F13+IF(parametros_manuales!$H$30="Todos",'Plan mensual'!F17,0))+parametros_manuales!$E$30*('Plan mensual'!F14+IF(parametros_manuales!$H$30="Todos",'Plan mensual'!F18,0))+parametros_manuales!$F$30*('Plan mensual'!F15+IF(parametros_manuales!$H$30="Todos",'Plan mensual'!F19,0))+parametros_manuales!$G$30*('Plan mensual'!F16+IF(parametros_manuales!$H$30="Todos",'Plan mensual'!F20,0)))*parametros_manuales!$I$30*parametros_manuales!$J$30</f>
        <v>892.22417654</v>
      </c>
      <c r="E40" s="9" t="n">
        <f aca="false">(parametros_manuales!$D$30*('Plan mensual'!G13+IF(parametros_manuales!$H$30="Todos",'Plan mensual'!G17,0))+parametros_manuales!$E$30*('Plan mensual'!G14+IF(parametros_manuales!$H$30="Todos",'Plan mensual'!G18,0))+parametros_manuales!$F$30*('Plan mensual'!G15+IF(parametros_manuales!$H$30="Todos",'Plan mensual'!G19,0))+parametros_manuales!$G$30*('Plan mensual'!G16+IF(parametros_manuales!$H$30="Todos",'Plan mensual'!G20,0)))*parametros_manuales!$I$30*parametros_manuales!$J$30</f>
        <v>862.237656655</v>
      </c>
      <c r="F40" s="9" t="n">
        <f aca="false">(parametros_manuales!$D$30*('Plan mensual'!H13+IF(parametros_manuales!$H$30="Todos",'Plan mensual'!H17,0))+parametros_manuales!$E$30*('Plan mensual'!H14+IF(parametros_manuales!$H$30="Todos",'Plan mensual'!H18,0))+parametros_manuales!$F$30*('Plan mensual'!H15+IF(parametros_manuales!$H$30="Todos",'Plan mensual'!H19,0))+parametros_manuales!$G$30*('Plan mensual'!H16+IF(parametros_manuales!$H$30="Todos",'Plan mensual'!H20,0)))*parametros_manuales!$I$30*parametros_manuales!$J$30</f>
        <v>807.98996863</v>
      </c>
      <c r="G40" s="9" t="n">
        <f aca="false">(parametros_manuales!$D$30*('Plan mensual'!I13+IF(parametros_manuales!$H$30="Todos",'Plan mensual'!I17,0))+parametros_manuales!$E$30*('Plan mensual'!I14+IF(parametros_manuales!$H$30="Todos",'Plan mensual'!I18,0))+parametros_manuales!$F$30*('Plan mensual'!I15+IF(parametros_manuales!$H$30="Todos",'Plan mensual'!I19,0))+parametros_manuales!$G$30*('Plan mensual'!I16+IF(parametros_manuales!$H$30="Todos",'Plan mensual'!I20,0)))*parametros_manuales!$I$30*parametros_manuales!$J$30</f>
        <v>783.72880049</v>
      </c>
      <c r="H40" s="9" t="n">
        <f aca="false">(parametros_manuales!$D$30*('Plan mensual'!J13+IF(parametros_manuales!$H$30="Todos",'Plan mensual'!J17,0))+parametros_manuales!$E$30*('Plan mensual'!J14+IF(parametros_manuales!$H$30="Todos",'Plan mensual'!J18,0))+parametros_manuales!$F$30*('Plan mensual'!J15+IF(parametros_manuales!$H$30="Todos",'Plan mensual'!J19,0))+parametros_manuales!$G$30*('Plan mensual'!J16+IF(parametros_manuales!$H$30="Todos",'Plan mensual'!J20,0)))*parametros_manuales!$I$30*parametros_manuales!$J$30</f>
        <v>837.976488515</v>
      </c>
      <c r="I40" s="9" t="n">
        <f aca="false">(parametros_manuales!$D$30*('Plan mensual'!K13+IF(parametros_manuales!$H$30="Todos",'Plan mensual'!K17,0))+parametros_manuales!$E$30*('Plan mensual'!K14+IF(parametros_manuales!$H$30="Todos",'Plan mensual'!K18,0))+parametros_manuales!$F$30*('Plan mensual'!K15+IF(parametros_manuales!$H$30="Todos",'Plan mensual'!K19,0))+parametros_manuales!$G$30*('Plan mensual'!K16+IF(parametros_manuales!$H$30="Todos",'Plan mensual'!K20,0)))*parametros_manuales!$I$30*parametros_manuales!$J$30</f>
        <v>837.976488515</v>
      </c>
      <c r="J40" s="9" t="n">
        <f aca="false">(parametros_manuales!$D$30*('Plan mensual'!L13+IF(parametros_manuales!$H$30="Todos",'Plan mensual'!L17,0))+parametros_manuales!$E$30*('Plan mensual'!L14+IF(parametros_manuales!$H$30="Todos",'Plan mensual'!L18,0))+parametros_manuales!$F$30*('Plan mensual'!L15+IF(parametros_manuales!$H$30="Todos",'Plan mensual'!L19,0))+parametros_manuales!$G$30*('Plan mensual'!L16+IF(parametros_manuales!$H$30="Todos",'Plan mensual'!L20,0)))*parametros_manuales!$I$30*parametros_manuales!$J$30</f>
        <v>837.976488515</v>
      </c>
      <c r="K40" s="9" t="n">
        <f aca="false">(parametros_manuales!$D$30*('Plan mensual'!M13+IF(parametros_manuales!$H$30="Todos",'Plan mensual'!M17,0))+parametros_manuales!$E$30*('Plan mensual'!M14+IF(parametros_manuales!$H$30="Todos",'Plan mensual'!M18,0))+parametros_manuales!$F$30*('Plan mensual'!M15+IF(parametros_manuales!$H$30="Todos",'Plan mensual'!M19,0))+parametros_manuales!$G$30*('Plan mensual'!M16+IF(parametros_manuales!$H$30="Todos",'Plan mensual'!M20,0)))*parametros_manuales!$I$30*parametros_manuales!$J$30</f>
        <v>813.715320375</v>
      </c>
      <c r="L40" s="9" t="n">
        <f aca="false">(parametros_manuales!$D$30*('Plan mensual'!N13+IF(parametros_manuales!$H$30="Todos",'Plan mensual'!N17,0))+parametros_manuales!$E$30*('Plan mensual'!N14+IF(parametros_manuales!$H$30="Todos",'Plan mensual'!N18,0))+parametros_manuales!$F$30*('Plan mensual'!N15+IF(parametros_manuales!$H$30="Todos",'Plan mensual'!N19,0))+parametros_manuales!$G$30*('Plan mensual'!N16+IF(parametros_manuales!$H$30="Todos",'Plan mensual'!N20,0)))*parametros_manuales!$I$30*parametros_manuales!$J$30</f>
        <v>789.454152235</v>
      </c>
      <c r="M40" s="9" t="n">
        <f aca="false">(parametros_manuales!$D$30*('Plan mensual'!O13+IF(parametros_manuales!$H$30="Todos",'Plan mensual'!O17,0))+parametros_manuales!$E$30*('Plan mensual'!O14+IF(parametros_manuales!$H$30="Todos",'Plan mensual'!O18,0))+parametros_manuales!$F$30*('Plan mensual'!O15+IF(parametros_manuales!$H$30="Todos",'Plan mensual'!O19,0))+parametros_manuales!$G$30*('Plan mensual'!O16+IF(parametros_manuales!$H$30="Todos",'Plan mensual'!O20,0)))*parametros_manuales!$I$30*parametros_manuales!$J$30</f>
        <v>1253.42217632</v>
      </c>
      <c r="N40" s="9" t="n">
        <f aca="false">SUM(B40:M40)</f>
        <v>10849.537605</v>
      </c>
      <c r="O40" s="9" t="n">
        <f aca="false">MAX(B40:M40)</f>
        <v>1253.42217632</v>
      </c>
      <c r="P40" s="43" t="n">
        <f aca="false">O40/(parametros_manuales!$B$7)</f>
        <v>8.35614784213333</v>
      </c>
      <c r="Q40" s="8" t="str">
        <f aca="false">IF(O40=0,"-",INDEX($B$28:$M$28,MATCH(O40,B40:M40,0)))</f>
        <v>Dic</v>
      </c>
    </row>
    <row r="41" customFormat="false" ht="14.25" hidden="false" customHeight="true" outlineLevel="0" collapsed="false">
      <c r="A41" s="8" t="str">
        <f aca="false">parametros_manuales!$B$31</f>
        <v>Control de calidad — Espesor</v>
      </c>
      <c r="B41" s="9" t="n">
        <f aca="false">(parametros_manuales!$D$31*('Plan mensual'!D13+IF(parametros_manuales!$H$31="Todos",'Plan mensual'!D17,0))+parametros_manuales!$E$31*('Plan mensual'!D14+IF(parametros_manuales!$H$31="Todos",'Plan mensual'!D18,0))+parametros_manuales!$F$31*('Plan mensual'!D15+IF(parametros_manuales!$H$31="Todos",'Plan mensual'!D19,0))+parametros_manuales!$G$31*('Plan mensual'!D16+IF(parametros_manuales!$H$31="Todos",'Plan mensual'!D20,0)))*parametros_manuales!$I$31*parametros_manuales!$J$31</f>
        <v>24.0979968008</v>
      </c>
      <c r="C41" s="9" t="n">
        <f aca="false">(parametros_manuales!$D$31*('Plan mensual'!E13+IF(parametros_manuales!$H$31="Todos",'Plan mensual'!E17,0))+parametros_manuales!$E$31*('Plan mensual'!E14+IF(parametros_manuales!$H$31="Todos",'Plan mensual'!E18,0))+parametros_manuales!$F$31*('Plan mensual'!E15+IF(parametros_manuales!$H$31="Todos",'Plan mensual'!E19,0))+parametros_manuales!$G$31*('Plan mensual'!E16+IF(parametros_manuales!$H$31="Todos",'Plan mensual'!E20,0)))*parametros_manuales!$I$31*parametros_manuales!$J$31</f>
        <v>18.5587209634</v>
      </c>
      <c r="D41" s="9" t="n">
        <f aca="false">(parametros_manuales!$D$31*('Plan mensual'!F13+IF(parametros_manuales!$H$31="Todos",'Plan mensual'!F17,0))+parametros_manuales!$E$31*('Plan mensual'!F14+IF(parametros_manuales!$H$31="Todos",'Plan mensual'!F18,0))+parametros_manuales!$F$31*('Plan mensual'!F15+IF(parametros_manuales!$H$31="Todos",'Plan mensual'!F19,0))+parametros_manuales!$G$31*('Plan mensual'!F16+IF(parametros_manuales!$H$31="Todos",'Plan mensual'!F20,0)))*parametros_manuales!$I$31*parametros_manuales!$J$31</f>
        <v>17.8444835308</v>
      </c>
      <c r="E41" s="9" t="n">
        <f aca="false">(parametros_manuales!$D$31*('Plan mensual'!G13+IF(parametros_manuales!$H$31="Todos",'Plan mensual'!G17,0))+parametros_manuales!$E$31*('Plan mensual'!G14+IF(parametros_manuales!$H$31="Todos",'Plan mensual'!G18,0))+parametros_manuales!$F$31*('Plan mensual'!G15+IF(parametros_manuales!$H$31="Todos",'Plan mensual'!G19,0))+parametros_manuales!$G$31*('Plan mensual'!G16+IF(parametros_manuales!$H$31="Todos",'Plan mensual'!G20,0)))*parametros_manuales!$I$31*parametros_manuales!$J$31</f>
        <v>17.2447531331</v>
      </c>
      <c r="F41" s="9" t="n">
        <f aca="false">(parametros_manuales!$D$31*('Plan mensual'!H13+IF(parametros_manuales!$H$31="Todos",'Plan mensual'!H17,0))+parametros_manuales!$E$31*('Plan mensual'!H14+IF(parametros_manuales!$H$31="Todos",'Plan mensual'!H18,0))+parametros_manuales!$F$31*('Plan mensual'!H15+IF(parametros_manuales!$H$31="Todos",'Plan mensual'!H19,0))+parametros_manuales!$G$31*('Plan mensual'!H16+IF(parametros_manuales!$H$31="Todos",'Plan mensual'!H20,0)))*parametros_manuales!$I$31*parametros_manuales!$J$31</f>
        <v>16.1597993726</v>
      </c>
      <c r="G41" s="9" t="n">
        <f aca="false">(parametros_manuales!$D$31*('Plan mensual'!I13+IF(parametros_manuales!$H$31="Todos",'Plan mensual'!I17,0))+parametros_manuales!$E$31*('Plan mensual'!I14+IF(parametros_manuales!$H$31="Todos",'Plan mensual'!I18,0))+parametros_manuales!$F$31*('Plan mensual'!I15+IF(parametros_manuales!$H$31="Todos",'Plan mensual'!I19,0))+parametros_manuales!$G$31*('Plan mensual'!I16+IF(parametros_manuales!$H$31="Todos",'Plan mensual'!I20,0)))*parametros_manuales!$I$31*parametros_manuales!$J$31</f>
        <v>15.6745760098</v>
      </c>
      <c r="H41" s="9" t="n">
        <f aca="false">(parametros_manuales!$D$31*('Plan mensual'!J13+IF(parametros_manuales!$H$31="Todos",'Plan mensual'!J17,0))+parametros_manuales!$E$31*('Plan mensual'!J14+IF(parametros_manuales!$H$31="Todos",'Plan mensual'!J18,0))+parametros_manuales!$F$31*('Plan mensual'!J15+IF(parametros_manuales!$H$31="Todos",'Plan mensual'!J19,0))+parametros_manuales!$G$31*('Plan mensual'!J16+IF(parametros_manuales!$H$31="Todos",'Plan mensual'!J20,0)))*parametros_manuales!$I$31*parametros_manuales!$J$31</f>
        <v>16.7595297703</v>
      </c>
      <c r="I41" s="9" t="n">
        <f aca="false">(parametros_manuales!$D$31*('Plan mensual'!K13+IF(parametros_manuales!$H$31="Todos",'Plan mensual'!K17,0))+parametros_manuales!$E$31*('Plan mensual'!K14+IF(parametros_manuales!$H$31="Todos",'Plan mensual'!K18,0))+parametros_manuales!$F$31*('Plan mensual'!K15+IF(parametros_manuales!$H$31="Todos",'Plan mensual'!K19,0))+parametros_manuales!$G$31*('Plan mensual'!K16+IF(parametros_manuales!$H$31="Todos",'Plan mensual'!K20,0)))*parametros_manuales!$I$31*parametros_manuales!$J$31</f>
        <v>16.7595297703</v>
      </c>
      <c r="J41" s="9" t="n">
        <f aca="false">(parametros_manuales!$D$31*('Plan mensual'!L13+IF(parametros_manuales!$H$31="Todos",'Plan mensual'!L17,0))+parametros_manuales!$E$31*('Plan mensual'!L14+IF(parametros_manuales!$H$31="Todos",'Plan mensual'!L18,0))+parametros_manuales!$F$31*('Plan mensual'!L15+IF(parametros_manuales!$H$31="Todos",'Plan mensual'!L19,0))+parametros_manuales!$G$31*('Plan mensual'!L16+IF(parametros_manuales!$H$31="Todos",'Plan mensual'!L20,0)))*parametros_manuales!$I$31*parametros_manuales!$J$31</f>
        <v>16.7595297703</v>
      </c>
      <c r="K41" s="9" t="n">
        <f aca="false">(parametros_manuales!$D$31*('Plan mensual'!M13+IF(parametros_manuales!$H$31="Todos",'Plan mensual'!M17,0))+parametros_manuales!$E$31*('Plan mensual'!M14+IF(parametros_manuales!$H$31="Todos",'Plan mensual'!M18,0))+parametros_manuales!$F$31*('Plan mensual'!M15+IF(parametros_manuales!$H$31="Todos",'Plan mensual'!M19,0))+parametros_manuales!$G$31*('Plan mensual'!M16+IF(parametros_manuales!$H$31="Todos",'Plan mensual'!M20,0)))*parametros_manuales!$I$31*parametros_manuales!$J$31</f>
        <v>16.2743064075</v>
      </c>
      <c r="L41" s="9" t="n">
        <f aca="false">(parametros_manuales!$D$31*('Plan mensual'!N13+IF(parametros_manuales!$H$31="Todos",'Plan mensual'!N17,0))+parametros_manuales!$E$31*('Plan mensual'!N14+IF(parametros_manuales!$H$31="Todos",'Plan mensual'!N18,0))+parametros_manuales!$F$31*('Plan mensual'!N15+IF(parametros_manuales!$H$31="Todos",'Plan mensual'!N19,0))+parametros_manuales!$G$31*('Plan mensual'!N16+IF(parametros_manuales!$H$31="Todos",'Plan mensual'!N20,0)))*parametros_manuales!$I$31*parametros_manuales!$J$31</f>
        <v>15.7890830447</v>
      </c>
      <c r="M41" s="9" t="n">
        <f aca="false">(parametros_manuales!$D$31*('Plan mensual'!O13+IF(parametros_manuales!$H$31="Todos",'Plan mensual'!O17,0))+parametros_manuales!$E$31*('Plan mensual'!O14+IF(parametros_manuales!$H$31="Todos",'Plan mensual'!O18,0))+parametros_manuales!$F$31*('Plan mensual'!O15+IF(parametros_manuales!$H$31="Todos",'Plan mensual'!O19,0))+parametros_manuales!$G$31*('Plan mensual'!O16+IF(parametros_manuales!$H$31="Todos",'Plan mensual'!O20,0)))*parametros_manuales!$I$31*parametros_manuales!$J$31</f>
        <v>25.0684435264</v>
      </c>
      <c r="N41" s="9" t="n">
        <f aca="false">SUM(B41:M41)</f>
        <v>216.9907521</v>
      </c>
      <c r="O41" s="9" t="n">
        <f aca="false">MAX(B41:M41)</f>
        <v>25.0684435264</v>
      </c>
      <c r="P41" s="43" t="n">
        <f aca="false">O41/(parametros_manuales!$B$7)</f>
        <v>0.167122956842667</v>
      </c>
      <c r="Q41" s="8" t="str">
        <f aca="false">IF(O41=0,"-",INDEX($B$28:$M$28,MATCH(O41,B41:M41,0)))</f>
        <v>Dic</v>
      </c>
    </row>
    <row r="42" customFormat="false" ht="14.25" hidden="false" customHeight="true" outlineLevel="0" collapsed="false">
      <c r="A42" s="8" t="str">
        <f aca="false">parametros_manuales!$B$32</f>
        <v>Prueba hidráulica</v>
      </c>
      <c r="B42" s="9" t="n">
        <f aca="false">(parametros_manuales!$D$32*('Plan mensual'!D13+IF(parametros_manuales!$H$32="Todos",'Plan mensual'!D17,0))+parametros_manuales!$E$32*('Plan mensual'!D14+IF(parametros_manuales!$H$32="Todos",'Plan mensual'!D18,0))+parametros_manuales!$F$32*('Plan mensual'!D15+IF(parametros_manuales!$H$32="Todos",'Plan mensual'!D19,0))+parametros_manuales!$G$32*('Plan mensual'!D16+IF(parametros_manuales!$H$32="Todos",'Plan mensual'!D20,0)))*parametros_manuales!$I$32*parametros_manuales!$J$32</f>
        <v>1204.89984004</v>
      </c>
      <c r="C42" s="9" t="n">
        <f aca="false">(parametros_manuales!$D$32*('Plan mensual'!E13+IF(parametros_manuales!$H$32="Todos",'Plan mensual'!E17,0))+parametros_manuales!$E$32*('Plan mensual'!E14+IF(parametros_manuales!$H$32="Todos",'Plan mensual'!E18,0))+parametros_manuales!$F$32*('Plan mensual'!E15+IF(parametros_manuales!$H$32="Todos",'Plan mensual'!E19,0))+parametros_manuales!$G$32*('Plan mensual'!E16+IF(parametros_manuales!$H$32="Todos",'Plan mensual'!E20,0)))*parametros_manuales!$I$32*parametros_manuales!$J$32</f>
        <v>927.93604817</v>
      </c>
      <c r="D42" s="9" t="n">
        <f aca="false">(parametros_manuales!$D$32*('Plan mensual'!F13+IF(parametros_manuales!$H$32="Todos",'Plan mensual'!F17,0))+parametros_manuales!$E$32*('Plan mensual'!F14+IF(parametros_manuales!$H$32="Todos",'Plan mensual'!F18,0))+parametros_manuales!$F$32*('Plan mensual'!F15+IF(parametros_manuales!$H$32="Todos",'Plan mensual'!F19,0))+parametros_manuales!$G$32*('Plan mensual'!F16+IF(parametros_manuales!$H$32="Todos",'Plan mensual'!F20,0)))*parametros_manuales!$I$32*parametros_manuales!$J$32</f>
        <v>892.22417654</v>
      </c>
      <c r="E42" s="9" t="n">
        <f aca="false">(parametros_manuales!$D$32*('Plan mensual'!G13+IF(parametros_manuales!$H$32="Todos",'Plan mensual'!G17,0))+parametros_manuales!$E$32*('Plan mensual'!G14+IF(parametros_manuales!$H$32="Todos",'Plan mensual'!G18,0))+parametros_manuales!$F$32*('Plan mensual'!G15+IF(parametros_manuales!$H$32="Todos",'Plan mensual'!G19,0))+parametros_manuales!$G$32*('Plan mensual'!G16+IF(parametros_manuales!$H$32="Todos",'Plan mensual'!G20,0)))*parametros_manuales!$I$32*parametros_manuales!$J$32</f>
        <v>862.237656655</v>
      </c>
      <c r="F42" s="9" t="n">
        <f aca="false">(parametros_manuales!$D$32*('Plan mensual'!H13+IF(parametros_manuales!$H$32="Todos",'Plan mensual'!H17,0))+parametros_manuales!$E$32*('Plan mensual'!H14+IF(parametros_manuales!$H$32="Todos",'Plan mensual'!H18,0))+parametros_manuales!$F$32*('Plan mensual'!H15+IF(parametros_manuales!$H$32="Todos",'Plan mensual'!H19,0))+parametros_manuales!$G$32*('Plan mensual'!H16+IF(parametros_manuales!$H$32="Todos",'Plan mensual'!H20,0)))*parametros_manuales!$I$32*parametros_manuales!$J$32</f>
        <v>807.98996863</v>
      </c>
      <c r="G42" s="9" t="n">
        <f aca="false">(parametros_manuales!$D$32*('Plan mensual'!I13+IF(parametros_manuales!$H$32="Todos",'Plan mensual'!I17,0))+parametros_manuales!$E$32*('Plan mensual'!I14+IF(parametros_manuales!$H$32="Todos",'Plan mensual'!I18,0))+parametros_manuales!$F$32*('Plan mensual'!I15+IF(parametros_manuales!$H$32="Todos",'Plan mensual'!I19,0))+parametros_manuales!$G$32*('Plan mensual'!I16+IF(parametros_manuales!$H$32="Todos",'Plan mensual'!I20,0)))*parametros_manuales!$I$32*parametros_manuales!$J$32</f>
        <v>783.72880049</v>
      </c>
      <c r="H42" s="9" t="n">
        <f aca="false">(parametros_manuales!$D$32*('Plan mensual'!J13+IF(parametros_manuales!$H$32="Todos",'Plan mensual'!J17,0))+parametros_manuales!$E$32*('Plan mensual'!J14+IF(parametros_manuales!$H$32="Todos",'Plan mensual'!J18,0))+parametros_manuales!$F$32*('Plan mensual'!J15+IF(parametros_manuales!$H$32="Todos",'Plan mensual'!J19,0))+parametros_manuales!$G$32*('Plan mensual'!J16+IF(parametros_manuales!$H$32="Todos",'Plan mensual'!J20,0)))*parametros_manuales!$I$32*parametros_manuales!$J$32</f>
        <v>837.976488515</v>
      </c>
      <c r="I42" s="9" t="n">
        <f aca="false">(parametros_manuales!$D$32*('Plan mensual'!K13+IF(parametros_manuales!$H$32="Todos",'Plan mensual'!K17,0))+parametros_manuales!$E$32*('Plan mensual'!K14+IF(parametros_manuales!$H$32="Todos",'Plan mensual'!K18,0))+parametros_manuales!$F$32*('Plan mensual'!K15+IF(parametros_manuales!$H$32="Todos",'Plan mensual'!K19,0))+parametros_manuales!$G$32*('Plan mensual'!K16+IF(parametros_manuales!$H$32="Todos",'Plan mensual'!K20,0)))*parametros_manuales!$I$32*parametros_manuales!$J$32</f>
        <v>837.976488515</v>
      </c>
      <c r="J42" s="9" t="n">
        <f aca="false">(parametros_manuales!$D$32*('Plan mensual'!L13+IF(parametros_manuales!$H$32="Todos",'Plan mensual'!L17,0))+parametros_manuales!$E$32*('Plan mensual'!L14+IF(parametros_manuales!$H$32="Todos",'Plan mensual'!L18,0))+parametros_manuales!$F$32*('Plan mensual'!L15+IF(parametros_manuales!$H$32="Todos",'Plan mensual'!L19,0))+parametros_manuales!$G$32*('Plan mensual'!L16+IF(parametros_manuales!$H$32="Todos",'Plan mensual'!L20,0)))*parametros_manuales!$I$32*parametros_manuales!$J$32</f>
        <v>837.976488515</v>
      </c>
      <c r="K42" s="9" t="n">
        <f aca="false">(parametros_manuales!$D$32*('Plan mensual'!M13+IF(parametros_manuales!$H$32="Todos",'Plan mensual'!M17,0))+parametros_manuales!$E$32*('Plan mensual'!M14+IF(parametros_manuales!$H$32="Todos",'Plan mensual'!M18,0))+parametros_manuales!$F$32*('Plan mensual'!M15+IF(parametros_manuales!$H$32="Todos",'Plan mensual'!M19,0))+parametros_manuales!$G$32*('Plan mensual'!M16+IF(parametros_manuales!$H$32="Todos",'Plan mensual'!M20,0)))*parametros_manuales!$I$32*parametros_manuales!$J$32</f>
        <v>813.715320375</v>
      </c>
      <c r="L42" s="9" t="n">
        <f aca="false">(parametros_manuales!$D$32*('Plan mensual'!N13+IF(parametros_manuales!$H$32="Todos",'Plan mensual'!N17,0))+parametros_manuales!$E$32*('Plan mensual'!N14+IF(parametros_manuales!$H$32="Todos",'Plan mensual'!N18,0))+parametros_manuales!$F$32*('Plan mensual'!N15+IF(parametros_manuales!$H$32="Todos",'Plan mensual'!N19,0))+parametros_manuales!$G$32*('Plan mensual'!N16+IF(parametros_manuales!$H$32="Todos",'Plan mensual'!N20,0)))*parametros_manuales!$I$32*parametros_manuales!$J$32</f>
        <v>789.454152235</v>
      </c>
      <c r="M42" s="9" t="n">
        <f aca="false">(parametros_manuales!$D$32*('Plan mensual'!O13+IF(parametros_manuales!$H$32="Todos",'Plan mensual'!O17,0))+parametros_manuales!$E$32*('Plan mensual'!O14+IF(parametros_manuales!$H$32="Todos",'Plan mensual'!O18,0))+parametros_manuales!$F$32*('Plan mensual'!O15+IF(parametros_manuales!$H$32="Todos",'Plan mensual'!O19,0))+parametros_manuales!$G$32*('Plan mensual'!O16+IF(parametros_manuales!$H$32="Todos",'Plan mensual'!O20,0)))*parametros_manuales!$I$32*parametros_manuales!$J$32</f>
        <v>1253.42217632</v>
      </c>
      <c r="N42" s="9" t="n">
        <f aca="false">SUM(B42:M42)</f>
        <v>10849.537605</v>
      </c>
      <c r="O42" s="9" t="n">
        <f aca="false">MAX(B42:M42)</f>
        <v>1253.42217632</v>
      </c>
      <c r="P42" s="43" t="n">
        <f aca="false">O42/(parametros_manuales!$B$7)</f>
        <v>8.35614784213333</v>
      </c>
      <c r="Q42" s="8" t="str">
        <f aca="false">IF(O42=0,"-",INDEX($B$28:$M$28,MATCH(O42,B42:M42,0)))</f>
        <v>Dic</v>
      </c>
    </row>
    <row r="43" customFormat="false" ht="14.25" hidden="false" customHeight="true" outlineLevel="0" collapsed="false">
      <c r="A43" s="8" t="str">
        <f aca="false">parametros_manuales!$B$33</f>
        <v>Secado</v>
      </c>
      <c r="B43" s="9" t="n">
        <f aca="false">(parametros_manuales!$D$33*('Plan mensual'!D13+IF(parametros_manuales!$H$33="Todos",'Plan mensual'!D17,0))+parametros_manuales!$E$33*('Plan mensual'!D14+IF(parametros_manuales!$H$33="Todos",'Plan mensual'!D18,0))+parametros_manuales!$F$33*('Plan mensual'!D15+IF(parametros_manuales!$H$33="Todos",'Plan mensual'!D19,0))+parametros_manuales!$G$33*('Plan mensual'!D16+IF(parametros_manuales!$H$33="Todos",'Plan mensual'!D20,0)))*parametros_manuales!$I$33*parametros_manuales!$J$33</f>
        <v>1204.89984004</v>
      </c>
      <c r="C43" s="9" t="n">
        <f aca="false">(parametros_manuales!$D$33*('Plan mensual'!E13+IF(parametros_manuales!$H$33="Todos",'Plan mensual'!E17,0))+parametros_manuales!$E$33*('Plan mensual'!E14+IF(parametros_manuales!$H$33="Todos",'Plan mensual'!E18,0))+parametros_manuales!$F$33*('Plan mensual'!E15+IF(parametros_manuales!$H$33="Todos",'Plan mensual'!E19,0))+parametros_manuales!$G$33*('Plan mensual'!E16+IF(parametros_manuales!$H$33="Todos",'Plan mensual'!E20,0)))*parametros_manuales!$I$33*parametros_manuales!$J$33</f>
        <v>927.93604817</v>
      </c>
      <c r="D43" s="9" t="n">
        <f aca="false">(parametros_manuales!$D$33*('Plan mensual'!F13+IF(parametros_manuales!$H$33="Todos",'Plan mensual'!F17,0))+parametros_manuales!$E$33*('Plan mensual'!F14+IF(parametros_manuales!$H$33="Todos",'Plan mensual'!F18,0))+parametros_manuales!$F$33*('Plan mensual'!F15+IF(parametros_manuales!$H$33="Todos",'Plan mensual'!F19,0))+parametros_manuales!$G$33*('Plan mensual'!F16+IF(parametros_manuales!$H$33="Todos",'Plan mensual'!F20,0)))*parametros_manuales!$I$33*parametros_manuales!$J$33</f>
        <v>892.22417654</v>
      </c>
      <c r="E43" s="9" t="n">
        <f aca="false">(parametros_manuales!$D$33*('Plan mensual'!G13+IF(parametros_manuales!$H$33="Todos",'Plan mensual'!G17,0))+parametros_manuales!$E$33*('Plan mensual'!G14+IF(parametros_manuales!$H$33="Todos",'Plan mensual'!G18,0))+parametros_manuales!$F$33*('Plan mensual'!G15+IF(parametros_manuales!$H$33="Todos",'Plan mensual'!G19,0))+parametros_manuales!$G$33*('Plan mensual'!G16+IF(parametros_manuales!$H$33="Todos",'Plan mensual'!G20,0)))*parametros_manuales!$I$33*parametros_manuales!$J$33</f>
        <v>862.237656655</v>
      </c>
      <c r="F43" s="9" t="n">
        <f aca="false">(parametros_manuales!$D$33*('Plan mensual'!H13+IF(parametros_manuales!$H$33="Todos",'Plan mensual'!H17,0))+parametros_manuales!$E$33*('Plan mensual'!H14+IF(parametros_manuales!$H$33="Todos",'Plan mensual'!H18,0))+parametros_manuales!$F$33*('Plan mensual'!H15+IF(parametros_manuales!$H$33="Todos",'Plan mensual'!H19,0))+parametros_manuales!$G$33*('Plan mensual'!H16+IF(parametros_manuales!$H$33="Todos",'Plan mensual'!H20,0)))*parametros_manuales!$I$33*parametros_manuales!$J$33</f>
        <v>807.98996863</v>
      </c>
      <c r="G43" s="9" t="n">
        <f aca="false">(parametros_manuales!$D$33*('Plan mensual'!I13+IF(parametros_manuales!$H$33="Todos",'Plan mensual'!I17,0))+parametros_manuales!$E$33*('Plan mensual'!I14+IF(parametros_manuales!$H$33="Todos",'Plan mensual'!I18,0))+parametros_manuales!$F$33*('Plan mensual'!I15+IF(parametros_manuales!$H$33="Todos",'Plan mensual'!I19,0))+parametros_manuales!$G$33*('Plan mensual'!I16+IF(parametros_manuales!$H$33="Todos",'Plan mensual'!I20,0)))*parametros_manuales!$I$33*parametros_manuales!$J$33</f>
        <v>783.72880049</v>
      </c>
      <c r="H43" s="9" t="n">
        <f aca="false">(parametros_manuales!$D$33*('Plan mensual'!J13+IF(parametros_manuales!$H$33="Todos",'Plan mensual'!J17,0))+parametros_manuales!$E$33*('Plan mensual'!J14+IF(parametros_manuales!$H$33="Todos",'Plan mensual'!J18,0))+parametros_manuales!$F$33*('Plan mensual'!J15+IF(parametros_manuales!$H$33="Todos",'Plan mensual'!J19,0))+parametros_manuales!$G$33*('Plan mensual'!J16+IF(parametros_manuales!$H$33="Todos",'Plan mensual'!J20,0)))*parametros_manuales!$I$33*parametros_manuales!$J$33</f>
        <v>837.976488515</v>
      </c>
      <c r="I43" s="9" t="n">
        <f aca="false">(parametros_manuales!$D$33*('Plan mensual'!K13+IF(parametros_manuales!$H$33="Todos",'Plan mensual'!K17,0))+parametros_manuales!$E$33*('Plan mensual'!K14+IF(parametros_manuales!$H$33="Todos",'Plan mensual'!K18,0))+parametros_manuales!$F$33*('Plan mensual'!K15+IF(parametros_manuales!$H$33="Todos",'Plan mensual'!K19,0))+parametros_manuales!$G$33*('Plan mensual'!K16+IF(parametros_manuales!$H$33="Todos",'Plan mensual'!K20,0)))*parametros_manuales!$I$33*parametros_manuales!$J$33</f>
        <v>837.976488515</v>
      </c>
      <c r="J43" s="9" t="n">
        <f aca="false">(parametros_manuales!$D$33*('Plan mensual'!L13+IF(parametros_manuales!$H$33="Todos",'Plan mensual'!L17,0))+parametros_manuales!$E$33*('Plan mensual'!L14+IF(parametros_manuales!$H$33="Todos",'Plan mensual'!L18,0))+parametros_manuales!$F$33*('Plan mensual'!L15+IF(parametros_manuales!$H$33="Todos",'Plan mensual'!L19,0))+parametros_manuales!$G$33*('Plan mensual'!L16+IF(parametros_manuales!$H$33="Todos",'Plan mensual'!L20,0)))*parametros_manuales!$I$33*parametros_manuales!$J$33</f>
        <v>837.976488515</v>
      </c>
      <c r="K43" s="9" t="n">
        <f aca="false">(parametros_manuales!$D$33*('Plan mensual'!M13+IF(parametros_manuales!$H$33="Todos",'Plan mensual'!M17,0))+parametros_manuales!$E$33*('Plan mensual'!M14+IF(parametros_manuales!$H$33="Todos",'Plan mensual'!M18,0))+parametros_manuales!$F$33*('Plan mensual'!M15+IF(parametros_manuales!$H$33="Todos",'Plan mensual'!M19,0))+parametros_manuales!$G$33*('Plan mensual'!M16+IF(parametros_manuales!$H$33="Todos",'Plan mensual'!M20,0)))*parametros_manuales!$I$33*parametros_manuales!$J$33</f>
        <v>813.715320375</v>
      </c>
      <c r="L43" s="9" t="n">
        <f aca="false">(parametros_manuales!$D$33*('Plan mensual'!N13+IF(parametros_manuales!$H$33="Todos",'Plan mensual'!N17,0))+parametros_manuales!$E$33*('Plan mensual'!N14+IF(parametros_manuales!$H$33="Todos",'Plan mensual'!N18,0))+parametros_manuales!$F$33*('Plan mensual'!N15+IF(parametros_manuales!$H$33="Todos",'Plan mensual'!N19,0))+parametros_manuales!$G$33*('Plan mensual'!N16+IF(parametros_manuales!$H$33="Todos",'Plan mensual'!N20,0)))*parametros_manuales!$I$33*parametros_manuales!$J$33</f>
        <v>789.454152235</v>
      </c>
      <c r="M43" s="9" t="n">
        <f aca="false">(parametros_manuales!$D$33*('Plan mensual'!O13+IF(parametros_manuales!$H$33="Todos",'Plan mensual'!O17,0))+parametros_manuales!$E$33*('Plan mensual'!O14+IF(parametros_manuales!$H$33="Todos",'Plan mensual'!O18,0))+parametros_manuales!$F$33*('Plan mensual'!O15+IF(parametros_manuales!$H$33="Todos",'Plan mensual'!O19,0))+parametros_manuales!$G$33*('Plan mensual'!O16+IF(parametros_manuales!$H$33="Todos",'Plan mensual'!O20,0)))*parametros_manuales!$I$33*parametros_manuales!$J$33</f>
        <v>1253.42217632</v>
      </c>
      <c r="N43" s="9" t="n">
        <f aca="false">SUM(B43:M43)</f>
        <v>10849.537605</v>
      </c>
      <c r="O43" s="9" t="n">
        <f aca="false">MAX(B43:M43)</f>
        <v>1253.42217632</v>
      </c>
      <c r="P43" s="43" t="n">
        <f aca="false">O43/(parametros_manuales!$B$7)</f>
        <v>8.35614784213333</v>
      </c>
      <c r="Q43" s="8" t="str">
        <f aca="false">IF(O43=0,"-",INDEX($B$28:$M$28,MATCH(O43,B43:M43,0)))</f>
        <v>Dic</v>
      </c>
    </row>
    <row r="44" customFormat="false" ht="14.25" hidden="false" customHeight="true" outlineLevel="0" collapsed="false">
      <c r="A44" s="8" t="str">
        <f aca="false">parametros_manuales!$B$34</f>
        <v>Granallado</v>
      </c>
      <c r="B44" s="9" t="n">
        <f aca="false">(parametros_manuales!$D$34*('Plan mensual'!D13+IF(parametros_manuales!$H$34="Todos",'Plan mensual'!D17,0))+parametros_manuales!$E$34*('Plan mensual'!D14+IF(parametros_manuales!$H$34="Todos",'Plan mensual'!D18,0))+parametros_manuales!$F$34*('Plan mensual'!D15+IF(parametros_manuales!$H$34="Todos",'Plan mensual'!D19,0))+parametros_manuales!$G$34*('Plan mensual'!D16+IF(parametros_manuales!$H$34="Todos",'Plan mensual'!D20,0)))*parametros_manuales!$I$34*parametros_manuales!$J$34</f>
        <v>1204.89984004</v>
      </c>
      <c r="C44" s="9" t="n">
        <f aca="false">(parametros_manuales!$D$34*('Plan mensual'!E13+IF(parametros_manuales!$H$34="Todos",'Plan mensual'!E17,0))+parametros_manuales!$E$34*('Plan mensual'!E14+IF(parametros_manuales!$H$34="Todos",'Plan mensual'!E18,0))+parametros_manuales!$F$34*('Plan mensual'!E15+IF(parametros_manuales!$H$34="Todos",'Plan mensual'!E19,0))+parametros_manuales!$G$34*('Plan mensual'!E16+IF(parametros_manuales!$H$34="Todos",'Plan mensual'!E20,0)))*parametros_manuales!$I$34*parametros_manuales!$J$34</f>
        <v>927.93604817</v>
      </c>
      <c r="D44" s="9" t="n">
        <f aca="false">(parametros_manuales!$D$34*('Plan mensual'!F13+IF(parametros_manuales!$H$34="Todos",'Plan mensual'!F17,0))+parametros_manuales!$E$34*('Plan mensual'!F14+IF(parametros_manuales!$H$34="Todos",'Plan mensual'!F18,0))+parametros_manuales!$F$34*('Plan mensual'!F15+IF(parametros_manuales!$H$34="Todos",'Plan mensual'!F19,0))+parametros_manuales!$G$34*('Plan mensual'!F16+IF(parametros_manuales!$H$34="Todos",'Plan mensual'!F20,0)))*parametros_manuales!$I$34*parametros_manuales!$J$34</f>
        <v>892.22417654</v>
      </c>
      <c r="E44" s="9" t="n">
        <f aca="false">(parametros_manuales!$D$34*('Plan mensual'!G13+IF(parametros_manuales!$H$34="Todos",'Plan mensual'!G17,0))+parametros_manuales!$E$34*('Plan mensual'!G14+IF(parametros_manuales!$H$34="Todos",'Plan mensual'!G18,0))+parametros_manuales!$F$34*('Plan mensual'!G15+IF(parametros_manuales!$H$34="Todos",'Plan mensual'!G19,0))+parametros_manuales!$G$34*('Plan mensual'!G16+IF(parametros_manuales!$H$34="Todos",'Plan mensual'!G20,0)))*parametros_manuales!$I$34*parametros_manuales!$J$34</f>
        <v>862.237656655</v>
      </c>
      <c r="F44" s="9" t="n">
        <f aca="false">(parametros_manuales!$D$34*('Plan mensual'!H13+IF(parametros_manuales!$H$34="Todos",'Plan mensual'!H17,0))+parametros_manuales!$E$34*('Plan mensual'!H14+IF(parametros_manuales!$H$34="Todos",'Plan mensual'!H18,0))+parametros_manuales!$F$34*('Plan mensual'!H15+IF(parametros_manuales!$H$34="Todos",'Plan mensual'!H19,0))+parametros_manuales!$G$34*('Plan mensual'!H16+IF(parametros_manuales!$H$34="Todos",'Plan mensual'!H20,0)))*parametros_manuales!$I$34*parametros_manuales!$J$34</f>
        <v>807.98996863</v>
      </c>
      <c r="G44" s="9" t="n">
        <f aca="false">(parametros_manuales!$D$34*('Plan mensual'!I13+IF(parametros_manuales!$H$34="Todos",'Plan mensual'!I17,0))+parametros_manuales!$E$34*('Plan mensual'!I14+IF(parametros_manuales!$H$34="Todos",'Plan mensual'!I18,0))+parametros_manuales!$F$34*('Plan mensual'!I15+IF(parametros_manuales!$H$34="Todos",'Plan mensual'!I19,0))+parametros_manuales!$G$34*('Plan mensual'!I16+IF(parametros_manuales!$H$34="Todos",'Plan mensual'!I20,0)))*parametros_manuales!$I$34*parametros_manuales!$J$34</f>
        <v>783.72880049</v>
      </c>
      <c r="H44" s="9" t="n">
        <f aca="false">(parametros_manuales!$D$34*('Plan mensual'!J13+IF(parametros_manuales!$H$34="Todos",'Plan mensual'!J17,0))+parametros_manuales!$E$34*('Plan mensual'!J14+IF(parametros_manuales!$H$34="Todos",'Plan mensual'!J18,0))+parametros_manuales!$F$34*('Plan mensual'!J15+IF(parametros_manuales!$H$34="Todos",'Plan mensual'!J19,0))+parametros_manuales!$G$34*('Plan mensual'!J16+IF(parametros_manuales!$H$34="Todos",'Plan mensual'!J20,0)))*parametros_manuales!$I$34*parametros_manuales!$J$34</f>
        <v>837.976488515</v>
      </c>
      <c r="I44" s="9" t="n">
        <f aca="false">(parametros_manuales!$D$34*('Plan mensual'!K13+IF(parametros_manuales!$H$34="Todos",'Plan mensual'!K17,0))+parametros_manuales!$E$34*('Plan mensual'!K14+IF(parametros_manuales!$H$34="Todos",'Plan mensual'!K18,0))+parametros_manuales!$F$34*('Plan mensual'!K15+IF(parametros_manuales!$H$34="Todos",'Plan mensual'!K19,0))+parametros_manuales!$G$34*('Plan mensual'!K16+IF(parametros_manuales!$H$34="Todos",'Plan mensual'!K20,0)))*parametros_manuales!$I$34*parametros_manuales!$J$34</f>
        <v>837.976488515</v>
      </c>
      <c r="J44" s="9" t="n">
        <f aca="false">(parametros_manuales!$D$34*('Plan mensual'!L13+IF(parametros_manuales!$H$34="Todos",'Plan mensual'!L17,0))+parametros_manuales!$E$34*('Plan mensual'!L14+IF(parametros_manuales!$H$34="Todos",'Plan mensual'!L18,0))+parametros_manuales!$F$34*('Plan mensual'!L15+IF(parametros_manuales!$H$34="Todos",'Plan mensual'!L19,0))+parametros_manuales!$G$34*('Plan mensual'!L16+IF(parametros_manuales!$H$34="Todos",'Plan mensual'!L20,0)))*parametros_manuales!$I$34*parametros_manuales!$J$34</f>
        <v>837.976488515</v>
      </c>
      <c r="K44" s="9" t="n">
        <f aca="false">(parametros_manuales!$D$34*('Plan mensual'!M13+IF(parametros_manuales!$H$34="Todos",'Plan mensual'!M17,0))+parametros_manuales!$E$34*('Plan mensual'!M14+IF(parametros_manuales!$H$34="Todos",'Plan mensual'!M18,0))+parametros_manuales!$F$34*('Plan mensual'!M15+IF(parametros_manuales!$H$34="Todos",'Plan mensual'!M19,0))+parametros_manuales!$G$34*('Plan mensual'!M16+IF(parametros_manuales!$H$34="Todos",'Plan mensual'!M20,0)))*parametros_manuales!$I$34*parametros_manuales!$J$34</f>
        <v>813.715320375</v>
      </c>
      <c r="L44" s="9" t="n">
        <f aca="false">(parametros_manuales!$D$34*('Plan mensual'!N13+IF(parametros_manuales!$H$34="Todos",'Plan mensual'!N17,0))+parametros_manuales!$E$34*('Plan mensual'!N14+IF(parametros_manuales!$H$34="Todos",'Plan mensual'!N18,0))+parametros_manuales!$F$34*('Plan mensual'!N15+IF(parametros_manuales!$H$34="Todos",'Plan mensual'!N19,0))+parametros_manuales!$G$34*('Plan mensual'!N16+IF(parametros_manuales!$H$34="Todos",'Plan mensual'!N20,0)))*parametros_manuales!$I$34*parametros_manuales!$J$34</f>
        <v>789.454152235</v>
      </c>
      <c r="M44" s="9" t="n">
        <f aca="false">(parametros_manuales!$D$34*('Plan mensual'!O13+IF(parametros_manuales!$H$34="Todos",'Plan mensual'!O17,0))+parametros_manuales!$E$34*('Plan mensual'!O14+IF(parametros_manuales!$H$34="Todos",'Plan mensual'!O18,0))+parametros_manuales!$F$34*('Plan mensual'!O15+IF(parametros_manuales!$H$34="Todos",'Plan mensual'!O19,0))+parametros_manuales!$G$34*('Plan mensual'!O16+IF(parametros_manuales!$H$34="Todos",'Plan mensual'!O20,0)))*parametros_manuales!$I$34*parametros_manuales!$J$34</f>
        <v>1253.42217632</v>
      </c>
      <c r="N44" s="9" t="n">
        <f aca="false">SUM(B44:M44)</f>
        <v>10849.537605</v>
      </c>
      <c r="O44" s="9" t="n">
        <f aca="false">MAX(B44:M44)</f>
        <v>1253.42217632</v>
      </c>
      <c r="P44" s="43" t="n">
        <f aca="false">O44/(parametros_manuales!$B$7)</f>
        <v>8.35614784213333</v>
      </c>
      <c r="Q44" s="8" t="str">
        <f aca="false">IF(O44=0,"-",INDEX($B$28:$M$28,MATCH(O44,B44:M44,0)))</f>
        <v>Dic</v>
      </c>
    </row>
    <row r="45" customFormat="false" ht="14.25" hidden="false" customHeight="true" outlineLevel="0" collapsed="false">
      <c r="A45" s="8" t="str">
        <f aca="false">parametros_manuales!$B$35</f>
        <v>Detección de defectos</v>
      </c>
      <c r="B45" s="9" t="n">
        <f aca="false">(parametros_manuales!$D$35*('Plan mensual'!D13+IF(parametros_manuales!$H$35="Todos",'Plan mensual'!D17,0))+parametros_manuales!$E$35*('Plan mensual'!D14+IF(parametros_manuales!$H$35="Todos",'Plan mensual'!D18,0))+parametros_manuales!$F$35*('Plan mensual'!D15+IF(parametros_manuales!$H$35="Todos",'Plan mensual'!D19,0))+parametros_manuales!$G$35*('Plan mensual'!D16+IF(parametros_manuales!$H$35="Todos",'Plan mensual'!D20,0)))*parametros_manuales!$I$35*parametros_manuales!$J$35</f>
        <v>1204.89984004</v>
      </c>
      <c r="C45" s="9" t="n">
        <f aca="false">(parametros_manuales!$D$35*('Plan mensual'!E13+IF(parametros_manuales!$H$35="Todos",'Plan mensual'!E17,0))+parametros_manuales!$E$35*('Plan mensual'!E14+IF(parametros_manuales!$H$35="Todos",'Plan mensual'!E18,0))+parametros_manuales!$F$35*('Plan mensual'!E15+IF(parametros_manuales!$H$35="Todos",'Plan mensual'!E19,0))+parametros_manuales!$G$35*('Plan mensual'!E16+IF(parametros_manuales!$H$35="Todos",'Plan mensual'!E20,0)))*parametros_manuales!$I$35*parametros_manuales!$J$35</f>
        <v>927.93604817</v>
      </c>
      <c r="D45" s="9" t="n">
        <f aca="false">(parametros_manuales!$D$35*('Plan mensual'!F13+IF(parametros_manuales!$H$35="Todos",'Plan mensual'!F17,0))+parametros_manuales!$E$35*('Plan mensual'!F14+IF(parametros_manuales!$H$35="Todos",'Plan mensual'!F18,0))+parametros_manuales!$F$35*('Plan mensual'!F15+IF(parametros_manuales!$H$35="Todos",'Plan mensual'!F19,0))+parametros_manuales!$G$35*('Plan mensual'!F16+IF(parametros_manuales!$H$35="Todos",'Plan mensual'!F20,0)))*parametros_manuales!$I$35*parametros_manuales!$J$35</f>
        <v>892.22417654</v>
      </c>
      <c r="E45" s="9" t="n">
        <f aca="false">(parametros_manuales!$D$35*('Plan mensual'!G13+IF(parametros_manuales!$H$35="Todos",'Plan mensual'!G17,0))+parametros_manuales!$E$35*('Plan mensual'!G14+IF(parametros_manuales!$H$35="Todos",'Plan mensual'!G18,0))+parametros_manuales!$F$35*('Plan mensual'!G15+IF(parametros_manuales!$H$35="Todos",'Plan mensual'!G19,0))+parametros_manuales!$G$35*('Plan mensual'!G16+IF(parametros_manuales!$H$35="Todos",'Plan mensual'!G20,0)))*parametros_manuales!$I$35*parametros_manuales!$J$35</f>
        <v>862.237656655</v>
      </c>
      <c r="F45" s="9" t="n">
        <f aca="false">(parametros_manuales!$D$35*('Plan mensual'!H13+IF(parametros_manuales!$H$35="Todos",'Plan mensual'!H17,0))+parametros_manuales!$E$35*('Plan mensual'!H14+IF(parametros_manuales!$H$35="Todos",'Plan mensual'!H18,0))+parametros_manuales!$F$35*('Plan mensual'!H15+IF(parametros_manuales!$H$35="Todos",'Plan mensual'!H19,0))+parametros_manuales!$G$35*('Plan mensual'!H16+IF(parametros_manuales!$H$35="Todos",'Plan mensual'!H20,0)))*parametros_manuales!$I$35*parametros_manuales!$J$35</f>
        <v>807.98996863</v>
      </c>
      <c r="G45" s="9" t="n">
        <f aca="false">(parametros_manuales!$D$35*('Plan mensual'!I13+IF(parametros_manuales!$H$35="Todos",'Plan mensual'!I17,0))+parametros_manuales!$E$35*('Plan mensual'!I14+IF(parametros_manuales!$H$35="Todos",'Plan mensual'!I18,0))+parametros_manuales!$F$35*('Plan mensual'!I15+IF(parametros_manuales!$H$35="Todos",'Plan mensual'!I19,0))+parametros_manuales!$G$35*('Plan mensual'!I16+IF(parametros_manuales!$H$35="Todos",'Plan mensual'!I20,0)))*parametros_manuales!$I$35*parametros_manuales!$J$35</f>
        <v>783.72880049</v>
      </c>
      <c r="H45" s="9" t="n">
        <f aca="false">(parametros_manuales!$D$35*('Plan mensual'!J13+IF(parametros_manuales!$H$35="Todos",'Plan mensual'!J17,0))+parametros_manuales!$E$35*('Plan mensual'!J14+IF(parametros_manuales!$H$35="Todos",'Plan mensual'!J18,0))+parametros_manuales!$F$35*('Plan mensual'!J15+IF(parametros_manuales!$H$35="Todos",'Plan mensual'!J19,0))+parametros_manuales!$G$35*('Plan mensual'!J16+IF(parametros_manuales!$H$35="Todos",'Plan mensual'!J20,0)))*parametros_manuales!$I$35*parametros_manuales!$J$35</f>
        <v>837.976488515</v>
      </c>
      <c r="I45" s="9" t="n">
        <f aca="false">(parametros_manuales!$D$35*('Plan mensual'!K13+IF(parametros_manuales!$H$35="Todos",'Plan mensual'!K17,0))+parametros_manuales!$E$35*('Plan mensual'!K14+IF(parametros_manuales!$H$35="Todos",'Plan mensual'!K18,0))+parametros_manuales!$F$35*('Plan mensual'!K15+IF(parametros_manuales!$H$35="Todos",'Plan mensual'!K19,0))+parametros_manuales!$G$35*('Plan mensual'!K16+IF(parametros_manuales!$H$35="Todos",'Plan mensual'!K20,0)))*parametros_manuales!$I$35*parametros_manuales!$J$35</f>
        <v>837.976488515</v>
      </c>
      <c r="J45" s="9" t="n">
        <f aca="false">(parametros_manuales!$D$35*('Plan mensual'!L13+IF(parametros_manuales!$H$35="Todos",'Plan mensual'!L17,0))+parametros_manuales!$E$35*('Plan mensual'!L14+IF(parametros_manuales!$H$35="Todos",'Plan mensual'!L18,0))+parametros_manuales!$F$35*('Plan mensual'!L15+IF(parametros_manuales!$H$35="Todos",'Plan mensual'!L19,0))+parametros_manuales!$G$35*('Plan mensual'!L16+IF(parametros_manuales!$H$35="Todos",'Plan mensual'!L20,0)))*parametros_manuales!$I$35*parametros_manuales!$J$35</f>
        <v>837.976488515</v>
      </c>
      <c r="K45" s="9" t="n">
        <f aca="false">(parametros_manuales!$D$35*('Plan mensual'!M13+IF(parametros_manuales!$H$35="Todos",'Plan mensual'!M17,0))+parametros_manuales!$E$35*('Plan mensual'!M14+IF(parametros_manuales!$H$35="Todos",'Plan mensual'!M18,0))+parametros_manuales!$F$35*('Plan mensual'!M15+IF(parametros_manuales!$H$35="Todos",'Plan mensual'!M19,0))+parametros_manuales!$G$35*('Plan mensual'!M16+IF(parametros_manuales!$H$35="Todos",'Plan mensual'!M20,0)))*parametros_manuales!$I$35*parametros_manuales!$J$35</f>
        <v>813.715320375</v>
      </c>
      <c r="L45" s="9" t="n">
        <f aca="false">(parametros_manuales!$D$35*('Plan mensual'!N13+IF(parametros_manuales!$H$35="Todos",'Plan mensual'!N17,0))+parametros_manuales!$E$35*('Plan mensual'!N14+IF(parametros_manuales!$H$35="Todos",'Plan mensual'!N18,0))+parametros_manuales!$F$35*('Plan mensual'!N15+IF(parametros_manuales!$H$35="Todos",'Plan mensual'!N19,0))+parametros_manuales!$G$35*('Plan mensual'!N16+IF(parametros_manuales!$H$35="Todos",'Plan mensual'!N20,0)))*parametros_manuales!$I$35*parametros_manuales!$J$35</f>
        <v>789.454152235</v>
      </c>
      <c r="M45" s="9" t="n">
        <f aca="false">(parametros_manuales!$D$35*('Plan mensual'!O13+IF(parametros_manuales!$H$35="Todos",'Plan mensual'!O17,0))+parametros_manuales!$E$35*('Plan mensual'!O14+IF(parametros_manuales!$H$35="Todos",'Plan mensual'!O18,0))+parametros_manuales!$F$35*('Plan mensual'!O15+IF(parametros_manuales!$H$35="Todos",'Plan mensual'!O19,0))+parametros_manuales!$G$35*('Plan mensual'!O16+IF(parametros_manuales!$H$35="Todos",'Plan mensual'!O20,0)))*parametros_manuales!$I$35*parametros_manuales!$J$35</f>
        <v>1253.42217632</v>
      </c>
      <c r="N45" s="9" t="n">
        <f aca="false">SUM(B45:M45)</f>
        <v>10849.537605</v>
      </c>
      <c r="O45" s="9" t="n">
        <f aca="false">MAX(B45:M45)</f>
        <v>1253.42217632</v>
      </c>
      <c r="P45" s="43" t="n">
        <f aca="false">O45/(parametros_manuales!$B$7)</f>
        <v>8.35614784213333</v>
      </c>
      <c r="Q45" s="8" t="str">
        <f aca="false">IF(O45=0,"-",INDEX($B$28:$M$28,MATCH(O45,B45:M45,0)))</f>
        <v>Dic</v>
      </c>
    </row>
    <row r="46" customFormat="false" ht="14.25" hidden="false" customHeight="true" outlineLevel="0" collapsed="false">
      <c r="A46" s="8" t="str">
        <f aca="false">parametros_manuales!$B$36</f>
        <v>Corrección de defectos</v>
      </c>
      <c r="B46" s="9" t="n">
        <f aca="false">(parametros_manuales!$D$36*('Plan mensual'!D13+IF(parametros_manuales!$H$36="Todos",'Plan mensual'!D17,0))+parametros_manuales!$E$36*('Plan mensual'!D14+IF(parametros_manuales!$H$36="Todos",'Plan mensual'!D18,0))+parametros_manuales!$F$36*('Plan mensual'!D15+IF(parametros_manuales!$H$36="Todos",'Plan mensual'!D19,0))+parametros_manuales!$G$36*('Plan mensual'!D16+IF(parametros_manuales!$H$36="Todos",'Plan mensual'!D20,0)))*parametros_manuales!$I$36*parametros_manuales!$J$36</f>
        <v>60.244992002</v>
      </c>
      <c r="C46" s="9" t="n">
        <f aca="false">(parametros_manuales!$D$36*('Plan mensual'!E13+IF(parametros_manuales!$H$36="Todos",'Plan mensual'!E17,0))+parametros_manuales!$E$36*('Plan mensual'!E14+IF(parametros_manuales!$H$36="Todos",'Plan mensual'!E18,0))+parametros_manuales!$F$36*('Plan mensual'!E15+IF(parametros_manuales!$H$36="Todos",'Plan mensual'!E19,0))+parametros_manuales!$G$36*('Plan mensual'!E16+IF(parametros_manuales!$H$36="Todos",'Plan mensual'!E20,0)))*parametros_manuales!$I$36*parametros_manuales!$J$36</f>
        <v>46.3968024085</v>
      </c>
      <c r="D46" s="9" t="n">
        <f aca="false">(parametros_manuales!$D$36*('Plan mensual'!F13+IF(parametros_manuales!$H$36="Todos",'Plan mensual'!F17,0))+parametros_manuales!$E$36*('Plan mensual'!F14+IF(parametros_manuales!$H$36="Todos",'Plan mensual'!F18,0))+parametros_manuales!$F$36*('Plan mensual'!F15+IF(parametros_manuales!$H$36="Todos",'Plan mensual'!F19,0))+parametros_manuales!$G$36*('Plan mensual'!F16+IF(parametros_manuales!$H$36="Todos",'Plan mensual'!F20,0)))*parametros_manuales!$I$36*parametros_manuales!$J$36</f>
        <v>44.611208827</v>
      </c>
      <c r="E46" s="9" t="n">
        <f aca="false">(parametros_manuales!$D$36*('Plan mensual'!G13+IF(parametros_manuales!$H$36="Todos",'Plan mensual'!G17,0))+parametros_manuales!$E$36*('Plan mensual'!G14+IF(parametros_manuales!$H$36="Todos",'Plan mensual'!G18,0))+parametros_manuales!$F$36*('Plan mensual'!G15+IF(parametros_manuales!$H$36="Todos",'Plan mensual'!G19,0))+parametros_manuales!$G$36*('Plan mensual'!G16+IF(parametros_manuales!$H$36="Todos",'Plan mensual'!G20,0)))*parametros_manuales!$I$36*parametros_manuales!$J$36</f>
        <v>43.11188283275</v>
      </c>
      <c r="F46" s="9" t="n">
        <f aca="false">(parametros_manuales!$D$36*('Plan mensual'!H13+IF(parametros_manuales!$H$36="Todos",'Plan mensual'!H17,0))+parametros_manuales!$E$36*('Plan mensual'!H14+IF(parametros_manuales!$H$36="Todos",'Plan mensual'!H18,0))+parametros_manuales!$F$36*('Plan mensual'!H15+IF(parametros_manuales!$H$36="Todos",'Plan mensual'!H19,0))+parametros_manuales!$G$36*('Plan mensual'!H16+IF(parametros_manuales!$H$36="Todos",'Plan mensual'!H20,0)))*parametros_manuales!$I$36*parametros_manuales!$J$36</f>
        <v>40.3994984315</v>
      </c>
      <c r="G46" s="9" t="n">
        <f aca="false">(parametros_manuales!$D$36*('Plan mensual'!I13+IF(parametros_manuales!$H$36="Todos",'Plan mensual'!I17,0))+parametros_manuales!$E$36*('Plan mensual'!I14+IF(parametros_manuales!$H$36="Todos",'Plan mensual'!I18,0))+parametros_manuales!$F$36*('Plan mensual'!I15+IF(parametros_manuales!$H$36="Todos",'Plan mensual'!I19,0))+parametros_manuales!$G$36*('Plan mensual'!I16+IF(parametros_manuales!$H$36="Todos",'Plan mensual'!I20,0)))*parametros_manuales!$I$36*parametros_manuales!$J$36</f>
        <v>39.1864400245</v>
      </c>
      <c r="H46" s="9" t="n">
        <f aca="false">(parametros_manuales!$D$36*('Plan mensual'!J13+IF(parametros_manuales!$H$36="Todos",'Plan mensual'!J17,0))+parametros_manuales!$E$36*('Plan mensual'!J14+IF(parametros_manuales!$H$36="Todos",'Plan mensual'!J18,0))+parametros_manuales!$F$36*('Plan mensual'!J15+IF(parametros_manuales!$H$36="Todos",'Plan mensual'!J19,0))+parametros_manuales!$G$36*('Plan mensual'!J16+IF(parametros_manuales!$H$36="Todos",'Plan mensual'!J20,0)))*parametros_manuales!$I$36*parametros_manuales!$J$36</f>
        <v>41.89882442575</v>
      </c>
      <c r="I46" s="9" t="n">
        <f aca="false">(parametros_manuales!$D$36*('Plan mensual'!K13+IF(parametros_manuales!$H$36="Todos",'Plan mensual'!K17,0))+parametros_manuales!$E$36*('Plan mensual'!K14+IF(parametros_manuales!$H$36="Todos",'Plan mensual'!K18,0))+parametros_manuales!$F$36*('Plan mensual'!K15+IF(parametros_manuales!$H$36="Todos",'Plan mensual'!K19,0))+parametros_manuales!$G$36*('Plan mensual'!K16+IF(parametros_manuales!$H$36="Todos",'Plan mensual'!K20,0)))*parametros_manuales!$I$36*parametros_manuales!$J$36</f>
        <v>41.89882442575</v>
      </c>
      <c r="J46" s="9" t="n">
        <f aca="false">(parametros_manuales!$D$36*('Plan mensual'!L13+IF(parametros_manuales!$H$36="Todos",'Plan mensual'!L17,0))+parametros_manuales!$E$36*('Plan mensual'!L14+IF(parametros_manuales!$H$36="Todos",'Plan mensual'!L18,0))+parametros_manuales!$F$36*('Plan mensual'!L15+IF(parametros_manuales!$H$36="Todos",'Plan mensual'!L19,0))+parametros_manuales!$G$36*('Plan mensual'!L16+IF(parametros_manuales!$H$36="Todos",'Plan mensual'!L20,0)))*parametros_manuales!$I$36*parametros_manuales!$J$36</f>
        <v>41.89882442575</v>
      </c>
      <c r="K46" s="9" t="n">
        <f aca="false">(parametros_manuales!$D$36*('Plan mensual'!M13+IF(parametros_manuales!$H$36="Todos",'Plan mensual'!M17,0))+parametros_manuales!$E$36*('Plan mensual'!M14+IF(parametros_manuales!$H$36="Todos",'Plan mensual'!M18,0))+parametros_manuales!$F$36*('Plan mensual'!M15+IF(parametros_manuales!$H$36="Todos",'Plan mensual'!M19,0))+parametros_manuales!$G$36*('Plan mensual'!M16+IF(parametros_manuales!$H$36="Todos",'Plan mensual'!M20,0)))*parametros_manuales!$I$36*parametros_manuales!$J$36</f>
        <v>40.68576601875</v>
      </c>
      <c r="L46" s="9" t="n">
        <f aca="false">(parametros_manuales!$D$36*('Plan mensual'!N13+IF(parametros_manuales!$H$36="Todos",'Plan mensual'!N17,0))+parametros_manuales!$E$36*('Plan mensual'!N14+IF(parametros_manuales!$H$36="Todos",'Plan mensual'!N18,0))+parametros_manuales!$F$36*('Plan mensual'!N15+IF(parametros_manuales!$H$36="Todos",'Plan mensual'!N19,0))+parametros_manuales!$G$36*('Plan mensual'!N16+IF(parametros_manuales!$H$36="Todos",'Plan mensual'!N20,0)))*parametros_manuales!$I$36*parametros_manuales!$J$36</f>
        <v>39.47270761175</v>
      </c>
      <c r="M46" s="9" t="n">
        <f aca="false">(parametros_manuales!$D$36*('Plan mensual'!O13+IF(parametros_manuales!$H$36="Todos",'Plan mensual'!O17,0))+parametros_manuales!$E$36*('Plan mensual'!O14+IF(parametros_manuales!$H$36="Todos",'Plan mensual'!O18,0))+parametros_manuales!$F$36*('Plan mensual'!O15+IF(parametros_manuales!$H$36="Todos",'Plan mensual'!O19,0))+parametros_manuales!$G$36*('Plan mensual'!O16+IF(parametros_manuales!$H$36="Todos",'Plan mensual'!O20,0)))*parametros_manuales!$I$36*parametros_manuales!$J$36</f>
        <v>62.671108816</v>
      </c>
      <c r="N46" s="9" t="n">
        <f aca="false">SUM(B46:M46)</f>
        <v>542.47688025</v>
      </c>
      <c r="O46" s="9" t="n">
        <f aca="false">MAX(B46:M46)</f>
        <v>62.671108816</v>
      </c>
      <c r="P46" s="43" t="n">
        <f aca="false">O46/(parametros_manuales!$B$7)</f>
        <v>0.417807392106667</v>
      </c>
      <c r="Q46" s="8" t="str">
        <f aca="false">IF(O46=0,"-",INDEX($B$28:$M$28,MATCH(O46,B46:M46,0)))</f>
        <v>Dic</v>
      </c>
    </row>
    <row r="47" customFormat="false" ht="14.25" hidden="false" customHeight="true" outlineLevel="0" collapsed="false">
      <c r="A47" s="8" t="str">
        <f aca="false">parametros_manuales!$B$37</f>
        <v>Pintura en polvo + horno</v>
      </c>
      <c r="B47" s="9" t="n">
        <f aca="false">(parametros_manuales!$D$37*('Plan mensual'!D13+IF(parametros_manuales!$H$37="Todos",'Plan mensual'!D17,0))+parametros_manuales!$E$37*('Plan mensual'!D14+IF(parametros_manuales!$H$37="Todos",'Plan mensual'!D18,0))+parametros_manuales!$F$37*('Plan mensual'!D15+IF(parametros_manuales!$H$37="Todos",'Plan mensual'!D19,0))+parametros_manuales!$G$37*('Plan mensual'!D16+IF(parametros_manuales!$H$37="Todos",'Plan mensual'!D20,0)))*parametros_manuales!$I$37*parametros_manuales!$J$37</f>
        <v>1204.89984004</v>
      </c>
      <c r="C47" s="9" t="n">
        <f aca="false">(parametros_manuales!$D$37*('Plan mensual'!E13+IF(parametros_manuales!$H$37="Todos",'Plan mensual'!E17,0))+parametros_manuales!$E$37*('Plan mensual'!E14+IF(parametros_manuales!$H$37="Todos",'Plan mensual'!E18,0))+parametros_manuales!$F$37*('Plan mensual'!E15+IF(parametros_manuales!$H$37="Todos",'Plan mensual'!E19,0))+parametros_manuales!$G$37*('Plan mensual'!E16+IF(parametros_manuales!$H$37="Todos",'Plan mensual'!E20,0)))*parametros_manuales!$I$37*parametros_manuales!$J$37</f>
        <v>927.93604817</v>
      </c>
      <c r="D47" s="9" t="n">
        <f aca="false">(parametros_manuales!$D$37*('Plan mensual'!F13+IF(parametros_manuales!$H$37="Todos",'Plan mensual'!F17,0))+parametros_manuales!$E$37*('Plan mensual'!F14+IF(parametros_manuales!$H$37="Todos",'Plan mensual'!F18,0))+parametros_manuales!$F$37*('Plan mensual'!F15+IF(parametros_manuales!$H$37="Todos",'Plan mensual'!F19,0))+parametros_manuales!$G$37*('Plan mensual'!F16+IF(parametros_manuales!$H$37="Todos",'Plan mensual'!F20,0)))*parametros_manuales!$I$37*parametros_manuales!$J$37</f>
        <v>892.22417654</v>
      </c>
      <c r="E47" s="9" t="n">
        <f aca="false">(parametros_manuales!$D$37*('Plan mensual'!G13+IF(parametros_manuales!$H$37="Todos",'Plan mensual'!G17,0))+parametros_manuales!$E$37*('Plan mensual'!G14+IF(parametros_manuales!$H$37="Todos",'Plan mensual'!G18,0))+parametros_manuales!$F$37*('Plan mensual'!G15+IF(parametros_manuales!$H$37="Todos",'Plan mensual'!G19,0))+parametros_manuales!$G$37*('Plan mensual'!G16+IF(parametros_manuales!$H$37="Todos",'Plan mensual'!G20,0)))*parametros_manuales!$I$37*parametros_manuales!$J$37</f>
        <v>862.237656655</v>
      </c>
      <c r="F47" s="9" t="n">
        <f aca="false">(parametros_manuales!$D$37*('Plan mensual'!H13+IF(parametros_manuales!$H$37="Todos",'Plan mensual'!H17,0))+parametros_manuales!$E$37*('Plan mensual'!H14+IF(parametros_manuales!$H$37="Todos",'Plan mensual'!H18,0))+parametros_manuales!$F$37*('Plan mensual'!H15+IF(parametros_manuales!$H$37="Todos",'Plan mensual'!H19,0))+parametros_manuales!$G$37*('Plan mensual'!H16+IF(parametros_manuales!$H$37="Todos",'Plan mensual'!H20,0)))*parametros_manuales!$I$37*parametros_manuales!$J$37</f>
        <v>807.98996863</v>
      </c>
      <c r="G47" s="9" t="n">
        <f aca="false">(parametros_manuales!$D$37*('Plan mensual'!I13+IF(parametros_manuales!$H$37="Todos",'Plan mensual'!I17,0))+parametros_manuales!$E$37*('Plan mensual'!I14+IF(parametros_manuales!$H$37="Todos",'Plan mensual'!I18,0))+parametros_manuales!$F$37*('Plan mensual'!I15+IF(parametros_manuales!$H$37="Todos",'Plan mensual'!I19,0))+parametros_manuales!$G$37*('Plan mensual'!I16+IF(parametros_manuales!$H$37="Todos",'Plan mensual'!I20,0)))*parametros_manuales!$I$37*parametros_manuales!$J$37</f>
        <v>783.72880049</v>
      </c>
      <c r="H47" s="9" t="n">
        <f aca="false">(parametros_manuales!$D$37*('Plan mensual'!J13+IF(parametros_manuales!$H$37="Todos",'Plan mensual'!J17,0))+parametros_manuales!$E$37*('Plan mensual'!J14+IF(parametros_manuales!$H$37="Todos",'Plan mensual'!J18,0))+parametros_manuales!$F$37*('Plan mensual'!J15+IF(parametros_manuales!$H$37="Todos",'Plan mensual'!J19,0))+parametros_manuales!$G$37*('Plan mensual'!J16+IF(parametros_manuales!$H$37="Todos",'Plan mensual'!J20,0)))*parametros_manuales!$I$37*parametros_manuales!$J$37</f>
        <v>837.976488515</v>
      </c>
      <c r="I47" s="9" t="n">
        <f aca="false">(parametros_manuales!$D$37*('Plan mensual'!K13+IF(parametros_manuales!$H$37="Todos",'Plan mensual'!K17,0))+parametros_manuales!$E$37*('Plan mensual'!K14+IF(parametros_manuales!$H$37="Todos",'Plan mensual'!K18,0))+parametros_manuales!$F$37*('Plan mensual'!K15+IF(parametros_manuales!$H$37="Todos",'Plan mensual'!K19,0))+parametros_manuales!$G$37*('Plan mensual'!K16+IF(parametros_manuales!$H$37="Todos",'Plan mensual'!K20,0)))*parametros_manuales!$I$37*parametros_manuales!$J$37</f>
        <v>837.976488515</v>
      </c>
      <c r="J47" s="9" t="n">
        <f aca="false">(parametros_manuales!$D$37*('Plan mensual'!L13+IF(parametros_manuales!$H$37="Todos",'Plan mensual'!L17,0))+parametros_manuales!$E$37*('Plan mensual'!L14+IF(parametros_manuales!$H$37="Todos",'Plan mensual'!L18,0))+parametros_manuales!$F$37*('Plan mensual'!L15+IF(parametros_manuales!$H$37="Todos",'Plan mensual'!L19,0))+parametros_manuales!$G$37*('Plan mensual'!L16+IF(parametros_manuales!$H$37="Todos",'Plan mensual'!L20,0)))*parametros_manuales!$I$37*parametros_manuales!$J$37</f>
        <v>837.976488515</v>
      </c>
      <c r="K47" s="9" t="n">
        <f aca="false">(parametros_manuales!$D$37*('Plan mensual'!M13+IF(parametros_manuales!$H$37="Todos",'Plan mensual'!M17,0))+parametros_manuales!$E$37*('Plan mensual'!M14+IF(parametros_manuales!$H$37="Todos",'Plan mensual'!M18,0))+parametros_manuales!$F$37*('Plan mensual'!M15+IF(parametros_manuales!$H$37="Todos",'Plan mensual'!M19,0))+parametros_manuales!$G$37*('Plan mensual'!M16+IF(parametros_manuales!$H$37="Todos",'Plan mensual'!M20,0)))*parametros_manuales!$I$37*parametros_manuales!$J$37</f>
        <v>813.715320375</v>
      </c>
      <c r="L47" s="9" t="n">
        <f aca="false">(parametros_manuales!$D$37*('Plan mensual'!N13+IF(parametros_manuales!$H$37="Todos",'Plan mensual'!N17,0))+parametros_manuales!$E$37*('Plan mensual'!N14+IF(parametros_manuales!$H$37="Todos",'Plan mensual'!N18,0))+parametros_manuales!$F$37*('Plan mensual'!N15+IF(parametros_manuales!$H$37="Todos",'Plan mensual'!N19,0))+parametros_manuales!$G$37*('Plan mensual'!N16+IF(parametros_manuales!$H$37="Todos",'Plan mensual'!N20,0)))*parametros_manuales!$I$37*parametros_manuales!$J$37</f>
        <v>789.454152235</v>
      </c>
      <c r="M47" s="9" t="n">
        <f aca="false">(parametros_manuales!$D$37*('Plan mensual'!O13+IF(parametros_manuales!$H$37="Todos",'Plan mensual'!O17,0))+parametros_manuales!$E$37*('Plan mensual'!O14+IF(parametros_manuales!$H$37="Todos",'Plan mensual'!O18,0))+parametros_manuales!$F$37*('Plan mensual'!O15+IF(parametros_manuales!$H$37="Todos",'Plan mensual'!O19,0))+parametros_manuales!$G$37*('Plan mensual'!O16+IF(parametros_manuales!$H$37="Todos",'Plan mensual'!O20,0)))*parametros_manuales!$I$37*parametros_manuales!$J$37</f>
        <v>1253.42217632</v>
      </c>
      <c r="N47" s="9" t="n">
        <f aca="false">SUM(B47:M47)</f>
        <v>10849.537605</v>
      </c>
      <c r="O47" s="9" t="n">
        <f aca="false">MAX(B47:M47)</f>
        <v>1253.42217632</v>
      </c>
      <c r="P47" s="43" t="n">
        <f aca="false">O47/(parametros_manuales!$B$7)</f>
        <v>8.35614784213333</v>
      </c>
      <c r="Q47" s="8" t="str">
        <f aca="false">IF(O47=0,"-",INDEX($B$28:$M$28,MATCH(O47,B47:M47,0)))</f>
        <v>Dic</v>
      </c>
    </row>
    <row r="48" customFormat="false" ht="14.25" hidden="false" customHeight="true" outlineLevel="0" collapsed="false">
      <c r="A48" s="8" t="str">
        <f aca="false">parametros_manuales!$B$38</f>
        <v>Carga de polvo</v>
      </c>
      <c r="B48" s="9" t="n">
        <f aca="false">(parametros_manuales!$D$38*('Plan mensual'!D13+IF(parametros_manuales!$H$38="Todos",'Plan mensual'!D17,0))+parametros_manuales!$E$38*('Plan mensual'!D14+IF(parametros_manuales!$H$38="Todos",'Plan mensual'!D18,0))+parametros_manuales!$F$38*('Plan mensual'!D15+IF(parametros_manuales!$H$38="Todos",'Plan mensual'!D19,0))+parametros_manuales!$G$38*('Plan mensual'!D16+IF(parametros_manuales!$H$38="Todos",'Plan mensual'!D20,0)))*parametros_manuales!$I$38*parametros_manuales!$J$38</f>
        <v>1197.39184004</v>
      </c>
      <c r="C48" s="9" t="n">
        <f aca="false">(parametros_manuales!$D$38*('Plan mensual'!E13+IF(parametros_manuales!$H$38="Todos",'Plan mensual'!E17,0))+parametros_manuales!$E$38*('Plan mensual'!E14+IF(parametros_manuales!$H$38="Todos",'Plan mensual'!E18,0))+parametros_manuales!$F$38*('Plan mensual'!E15+IF(parametros_manuales!$H$38="Todos",'Plan mensual'!E19,0))+parametros_manuales!$G$38*('Plan mensual'!E16+IF(parametros_manuales!$H$38="Todos",'Plan mensual'!E20,0)))*parametros_manuales!$I$38*parametros_manuales!$J$38</f>
        <v>921.92964817</v>
      </c>
      <c r="D48" s="9" t="n">
        <f aca="false">(parametros_manuales!$D$38*('Plan mensual'!F13+IF(parametros_manuales!$H$38="Todos",'Plan mensual'!F17,0))+parametros_manuales!$E$38*('Plan mensual'!F14+IF(parametros_manuales!$H$38="Todos",'Plan mensual'!F18,0))+parametros_manuales!$F$38*('Plan mensual'!F15+IF(parametros_manuales!$H$38="Todos",'Plan mensual'!F19,0))+parametros_manuales!$G$38*('Plan mensual'!F16+IF(parametros_manuales!$H$38="Todos",'Plan mensual'!F20,0)))*parametros_manuales!$I$38*parametros_manuales!$J$38</f>
        <v>885.84237654</v>
      </c>
      <c r="E48" s="9" t="n">
        <f aca="false">(parametros_manuales!$D$38*('Plan mensual'!G13+IF(parametros_manuales!$H$38="Todos",'Plan mensual'!G17,0))+parametros_manuales!$E$38*('Plan mensual'!G14+IF(parametros_manuales!$H$38="Todos",'Plan mensual'!G18,0))+parametros_manuales!$F$38*('Plan mensual'!G15+IF(parametros_manuales!$H$38="Todos",'Plan mensual'!G19,0))+parametros_manuales!$G$38*('Plan mensual'!G16+IF(parametros_manuales!$H$38="Todos",'Plan mensual'!G20,0)))*parametros_manuales!$I$38*parametros_manuales!$J$38</f>
        <v>855.855856655</v>
      </c>
      <c r="F48" s="9" t="n">
        <f aca="false">(parametros_manuales!$D$38*('Plan mensual'!H13+IF(parametros_manuales!$H$38="Todos",'Plan mensual'!H17,0))+parametros_manuales!$E$38*('Plan mensual'!H14+IF(parametros_manuales!$H$38="Todos",'Plan mensual'!H18,0))+parametros_manuales!$F$38*('Plan mensual'!H15+IF(parametros_manuales!$H$38="Todos",'Plan mensual'!H19,0))+parametros_manuales!$G$38*('Plan mensual'!H16+IF(parametros_manuales!$H$38="Todos",'Plan mensual'!H20,0)))*parametros_manuales!$I$38*parametros_manuales!$J$38</f>
        <v>801.98356863</v>
      </c>
      <c r="G48" s="9" t="n">
        <f aca="false">(parametros_manuales!$D$38*('Plan mensual'!I13+IF(parametros_manuales!$H$38="Todos",'Plan mensual'!I17,0))+parametros_manuales!$E$38*('Plan mensual'!I14+IF(parametros_manuales!$H$38="Todos",'Plan mensual'!I18,0))+parametros_manuales!$F$38*('Plan mensual'!I15+IF(parametros_manuales!$H$38="Todos",'Plan mensual'!I19,0))+parametros_manuales!$G$38*('Plan mensual'!I16+IF(parametros_manuales!$H$38="Todos",'Plan mensual'!I20,0)))*parametros_manuales!$I$38*parametros_manuales!$J$38</f>
        <v>778.09780049</v>
      </c>
      <c r="H48" s="9" t="n">
        <f aca="false">(parametros_manuales!$D$38*('Plan mensual'!J13+IF(parametros_manuales!$H$38="Todos",'Plan mensual'!J17,0))+parametros_manuales!$E$38*('Plan mensual'!J14+IF(parametros_manuales!$H$38="Todos",'Plan mensual'!J18,0))+parametros_manuales!$F$38*('Plan mensual'!J15+IF(parametros_manuales!$H$38="Todos",'Plan mensual'!J19,0))+parametros_manuales!$G$38*('Plan mensual'!J16+IF(parametros_manuales!$H$38="Todos",'Plan mensual'!J20,0)))*parametros_manuales!$I$38*parametros_manuales!$J$38</f>
        <v>831.970088515</v>
      </c>
      <c r="I48" s="9" t="n">
        <f aca="false">(parametros_manuales!$D$38*('Plan mensual'!K13+IF(parametros_manuales!$H$38="Todos",'Plan mensual'!K17,0))+parametros_manuales!$E$38*('Plan mensual'!K14+IF(parametros_manuales!$H$38="Todos",'Plan mensual'!K18,0))+parametros_manuales!$F$38*('Plan mensual'!K15+IF(parametros_manuales!$H$38="Todos",'Plan mensual'!K19,0))+parametros_manuales!$G$38*('Plan mensual'!K16+IF(parametros_manuales!$H$38="Todos",'Plan mensual'!K20,0)))*parametros_manuales!$I$38*parametros_manuales!$J$38</f>
        <v>831.970088515</v>
      </c>
      <c r="J48" s="9" t="n">
        <f aca="false">(parametros_manuales!$D$38*('Plan mensual'!L13+IF(parametros_manuales!$H$38="Todos",'Plan mensual'!L17,0))+parametros_manuales!$E$38*('Plan mensual'!L14+IF(parametros_manuales!$H$38="Todos",'Plan mensual'!L18,0))+parametros_manuales!$F$38*('Plan mensual'!L15+IF(parametros_manuales!$H$38="Todos",'Plan mensual'!L19,0))+parametros_manuales!$G$38*('Plan mensual'!L16+IF(parametros_manuales!$H$38="Todos",'Plan mensual'!L20,0)))*parametros_manuales!$I$38*parametros_manuales!$J$38</f>
        <v>831.970088515</v>
      </c>
      <c r="K48" s="9" t="n">
        <f aca="false">(parametros_manuales!$D$38*('Plan mensual'!M13+IF(parametros_manuales!$H$38="Todos",'Plan mensual'!M17,0))+parametros_manuales!$E$38*('Plan mensual'!M14+IF(parametros_manuales!$H$38="Todos",'Plan mensual'!M18,0))+parametros_manuales!$F$38*('Plan mensual'!M15+IF(parametros_manuales!$H$38="Todos",'Plan mensual'!M19,0))+parametros_manuales!$G$38*('Plan mensual'!M16+IF(parametros_manuales!$H$38="Todos",'Plan mensual'!M20,0)))*parametros_manuales!$I$38*parametros_manuales!$J$38</f>
        <v>808.084320375</v>
      </c>
      <c r="L48" s="9" t="n">
        <f aca="false">(parametros_manuales!$D$38*('Plan mensual'!N13+IF(parametros_manuales!$H$38="Todos",'Plan mensual'!N17,0))+parametros_manuales!$E$38*('Plan mensual'!N14+IF(parametros_manuales!$H$38="Todos",'Plan mensual'!N18,0))+parametros_manuales!$F$38*('Plan mensual'!N15+IF(parametros_manuales!$H$38="Todos",'Plan mensual'!N19,0))+parametros_manuales!$G$38*('Plan mensual'!N16+IF(parametros_manuales!$H$38="Todos",'Plan mensual'!N20,0)))*parametros_manuales!$I$38*parametros_manuales!$J$38</f>
        <v>784.198552235</v>
      </c>
      <c r="M48" s="9" t="n">
        <f aca="false">(parametros_manuales!$D$38*('Plan mensual'!O13+IF(parametros_manuales!$H$38="Todos",'Plan mensual'!O17,0))+parametros_manuales!$E$38*('Plan mensual'!O14+IF(parametros_manuales!$H$38="Todos",'Plan mensual'!O18,0))+parametros_manuales!$F$38*('Plan mensual'!O15+IF(parametros_manuales!$H$38="Todos",'Plan mensual'!O19,0))+parametros_manuales!$G$38*('Plan mensual'!O16+IF(parametros_manuales!$H$38="Todos",'Plan mensual'!O20,0)))*parametros_manuales!$I$38*parametros_manuales!$J$38</f>
        <v>1245.16337632</v>
      </c>
      <c r="N48" s="9" t="n">
        <f aca="false">SUM(B48:M48)</f>
        <v>10774.457605</v>
      </c>
      <c r="O48" s="9" t="n">
        <f aca="false">MAX(B48:M48)</f>
        <v>1245.16337632</v>
      </c>
      <c r="P48" s="43" t="n">
        <f aca="false">O48/(parametros_manuales!$B$7)</f>
        <v>8.30108917546667</v>
      </c>
      <c r="Q48" s="8" t="str">
        <f aca="false">IF(O48=0,"-",INDEX($B$28:$M$28,MATCH(O48,B48:M48,0)))</f>
        <v>Dic</v>
      </c>
    </row>
    <row r="49" customFormat="false" ht="14.25" hidden="false" customHeight="true" outlineLevel="0" collapsed="false">
      <c r="A49" s="8" t="str">
        <f aca="false">parametros_manuales!$B$39</f>
        <v>Ensamblaje</v>
      </c>
      <c r="B49" s="9" t="n">
        <f aca="false">(parametros_manuales!$D$39*('Plan mensual'!D13+IF(parametros_manuales!$H$39="Todos",'Plan mensual'!D17,0))+parametros_manuales!$E$39*('Plan mensual'!D14+IF(parametros_manuales!$H$39="Todos",'Plan mensual'!D18,0))+parametros_manuales!$F$39*('Plan mensual'!D15+IF(parametros_manuales!$H$39="Todos",'Plan mensual'!D19,0))+parametros_manuales!$G$39*('Plan mensual'!D16+IF(parametros_manuales!$H$39="Todos",'Plan mensual'!D20,0)))*parametros_manuales!$I$39*parametros_manuales!$J$39</f>
        <v>1197.39184004</v>
      </c>
      <c r="C49" s="9" t="n">
        <f aca="false">(parametros_manuales!$D$39*('Plan mensual'!E13+IF(parametros_manuales!$H$39="Todos",'Plan mensual'!E17,0))+parametros_manuales!$E$39*('Plan mensual'!E14+IF(parametros_manuales!$H$39="Todos",'Plan mensual'!E18,0))+parametros_manuales!$F$39*('Plan mensual'!E15+IF(parametros_manuales!$H$39="Todos",'Plan mensual'!E19,0))+parametros_manuales!$G$39*('Plan mensual'!E16+IF(parametros_manuales!$H$39="Todos",'Plan mensual'!E20,0)))*parametros_manuales!$I$39*parametros_manuales!$J$39</f>
        <v>921.92964817</v>
      </c>
      <c r="D49" s="9" t="n">
        <f aca="false">(parametros_manuales!$D$39*('Plan mensual'!F13+IF(parametros_manuales!$H$39="Todos",'Plan mensual'!F17,0))+parametros_manuales!$E$39*('Plan mensual'!F14+IF(parametros_manuales!$H$39="Todos",'Plan mensual'!F18,0))+parametros_manuales!$F$39*('Plan mensual'!F15+IF(parametros_manuales!$H$39="Todos",'Plan mensual'!F19,0))+parametros_manuales!$G$39*('Plan mensual'!F16+IF(parametros_manuales!$H$39="Todos",'Plan mensual'!F20,0)))*parametros_manuales!$I$39*parametros_manuales!$J$39</f>
        <v>885.84237654</v>
      </c>
      <c r="E49" s="9" t="n">
        <f aca="false">(parametros_manuales!$D$39*('Plan mensual'!G13+IF(parametros_manuales!$H$39="Todos",'Plan mensual'!G17,0))+parametros_manuales!$E$39*('Plan mensual'!G14+IF(parametros_manuales!$H$39="Todos",'Plan mensual'!G18,0))+parametros_manuales!$F$39*('Plan mensual'!G15+IF(parametros_manuales!$H$39="Todos",'Plan mensual'!G19,0))+parametros_manuales!$G$39*('Plan mensual'!G16+IF(parametros_manuales!$H$39="Todos",'Plan mensual'!G20,0)))*parametros_manuales!$I$39*parametros_manuales!$J$39</f>
        <v>855.855856655</v>
      </c>
      <c r="F49" s="9" t="n">
        <f aca="false">(parametros_manuales!$D$39*('Plan mensual'!H13+IF(parametros_manuales!$H$39="Todos",'Plan mensual'!H17,0))+parametros_manuales!$E$39*('Plan mensual'!H14+IF(parametros_manuales!$H$39="Todos",'Plan mensual'!H18,0))+parametros_manuales!$F$39*('Plan mensual'!H15+IF(parametros_manuales!$H$39="Todos",'Plan mensual'!H19,0))+parametros_manuales!$G$39*('Plan mensual'!H16+IF(parametros_manuales!$H$39="Todos",'Plan mensual'!H20,0)))*parametros_manuales!$I$39*parametros_manuales!$J$39</f>
        <v>801.98356863</v>
      </c>
      <c r="G49" s="9" t="n">
        <f aca="false">(parametros_manuales!$D$39*('Plan mensual'!I13+IF(parametros_manuales!$H$39="Todos",'Plan mensual'!I17,0))+parametros_manuales!$E$39*('Plan mensual'!I14+IF(parametros_manuales!$H$39="Todos",'Plan mensual'!I18,0))+parametros_manuales!$F$39*('Plan mensual'!I15+IF(parametros_manuales!$H$39="Todos",'Plan mensual'!I19,0))+parametros_manuales!$G$39*('Plan mensual'!I16+IF(parametros_manuales!$H$39="Todos",'Plan mensual'!I20,0)))*parametros_manuales!$I$39*parametros_manuales!$J$39</f>
        <v>778.09780049</v>
      </c>
      <c r="H49" s="9" t="n">
        <f aca="false">(parametros_manuales!$D$39*('Plan mensual'!J13+IF(parametros_manuales!$H$39="Todos",'Plan mensual'!J17,0))+parametros_manuales!$E$39*('Plan mensual'!J14+IF(parametros_manuales!$H$39="Todos",'Plan mensual'!J18,0))+parametros_manuales!$F$39*('Plan mensual'!J15+IF(parametros_manuales!$H$39="Todos",'Plan mensual'!J19,0))+parametros_manuales!$G$39*('Plan mensual'!J16+IF(parametros_manuales!$H$39="Todos",'Plan mensual'!J20,0)))*parametros_manuales!$I$39*parametros_manuales!$J$39</f>
        <v>831.970088515</v>
      </c>
      <c r="I49" s="9" t="n">
        <f aca="false">(parametros_manuales!$D$39*('Plan mensual'!K13+IF(parametros_manuales!$H$39="Todos",'Plan mensual'!K17,0))+parametros_manuales!$E$39*('Plan mensual'!K14+IF(parametros_manuales!$H$39="Todos",'Plan mensual'!K18,0))+parametros_manuales!$F$39*('Plan mensual'!K15+IF(parametros_manuales!$H$39="Todos",'Plan mensual'!K19,0))+parametros_manuales!$G$39*('Plan mensual'!K16+IF(parametros_manuales!$H$39="Todos",'Plan mensual'!K20,0)))*parametros_manuales!$I$39*parametros_manuales!$J$39</f>
        <v>831.970088515</v>
      </c>
      <c r="J49" s="9" t="n">
        <f aca="false">(parametros_manuales!$D$39*('Plan mensual'!L13+IF(parametros_manuales!$H$39="Todos",'Plan mensual'!L17,0))+parametros_manuales!$E$39*('Plan mensual'!L14+IF(parametros_manuales!$H$39="Todos",'Plan mensual'!L18,0))+parametros_manuales!$F$39*('Plan mensual'!L15+IF(parametros_manuales!$H$39="Todos",'Plan mensual'!L19,0))+parametros_manuales!$G$39*('Plan mensual'!L16+IF(parametros_manuales!$H$39="Todos",'Plan mensual'!L20,0)))*parametros_manuales!$I$39*parametros_manuales!$J$39</f>
        <v>831.970088515</v>
      </c>
      <c r="K49" s="9" t="n">
        <f aca="false">(parametros_manuales!$D$39*('Plan mensual'!M13+IF(parametros_manuales!$H$39="Todos",'Plan mensual'!M17,0))+parametros_manuales!$E$39*('Plan mensual'!M14+IF(parametros_manuales!$H$39="Todos",'Plan mensual'!M18,0))+parametros_manuales!$F$39*('Plan mensual'!M15+IF(parametros_manuales!$H$39="Todos",'Plan mensual'!M19,0))+parametros_manuales!$G$39*('Plan mensual'!M16+IF(parametros_manuales!$H$39="Todos",'Plan mensual'!M20,0)))*parametros_manuales!$I$39*parametros_manuales!$J$39</f>
        <v>808.084320375</v>
      </c>
      <c r="L49" s="9" t="n">
        <f aca="false">(parametros_manuales!$D$39*('Plan mensual'!N13+IF(parametros_manuales!$H$39="Todos",'Plan mensual'!N17,0))+parametros_manuales!$E$39*('Plan mensual'!N14+IF(parametros_manuales!$H$39="Todos",'Plan mensual'!N18,0))+parametros_manuales!$F$39*('Plan mensual'!N15+IF(parametros_manuales!$H$39="Todos",'Plan mensual'!N19,0))+parametros_manuales!$G$39*('Plan mensual'!N16+IF(parametros_manuales!$H$39="Todos",'Plan mensual'!N20,0)))*parametros_manuales!$I$39*parametros_manuales!$J$39</f>
        <v>784.198552235</v>
      </c>
      <c r="M49" s="9" t="n">
        <f aca="false">(parametros_manuales!$D$39*('Plan mensual'!O13+IF(parametros_manuales!$H$39="Todos",'Plan mensual'!O17,0))+parametros_manuales!$E$39*('Plan mensual'!O14+IF(parametros_manuales!$H$39="Todos",'Plan mensual'!O18,0))+parametros_manuales!$F$39*('Plan mensual'!O15+IF(parametros_manuales!$H$39="Todos",'Plan mensual'!O19,0))+parametros_manuales!$G$39*('Plan mensual'!O16+IF(parametros_manuales!$H$39="Todos",'Plan mensual'!O20,0)))*parametros_manuales!$I$39*parametros_manuales!$J$39</f>
        <v>1245.16337632</v>
      </c>
      <c r="N49" s="9" t="n">
        <f aca="false">SUM(B49:M49)</f>
        <v>10774.457605</v>
      </c>
      <c r="O49" s="9" t="n">
        <f aca="false">MAX(B49:M49)</f>
        <v>1245.16337632</v>
      </c>
      <c r="P49" s="43" t="n">
        <f aca="false">O49/(parametros_manuales!$B$7)</f>
        <v>8.30108917546667</v>
      </c>
      <c r="Q49" s="8" t="str">
        <f aca="false">IF(O49=0,"-",INDEX($B$28:$M$28,MATCH(O49,B49:M49,0)))</f>
        <v>Dic</v>
      </c>
    </row>
    <row r="50" customFormat="false" ht="14.25" hidden="false" customHeight="true" outlineLevel="0" collapsed="false">
      <c r="A50" s="8" t="str">
        <f aca="false">parametros_manuales!$B$40</f>
        <v>Presurización</v>
      </c>
      <c r="B50" s="9" t="n">
        <f aca="false">(parametros_manuales!$D$40*('Plan mensual'!D13+IF(parametros_manuales!$H$40="Todos",'Plan mensual'!D17,0))+parametros_manuales!$E$40*('Plan mensual'!D14+IF(parametros_manuales!$H$40="Todos",'Plan mensual'!D18,0))+parametros_manuales!$F$40*('Plan mensual'!D15+IF(parametros_manuales!$H$40="Todos",'Plan mensual'!D19,0))+parametros_manuales!$G$40*('Plan mensual'!D16+IF(parametros_manuales!$H$40="Todos",'Plan mensual'!D20,0)))*parametros_manuales!$I$40*parametros_manuales!$J$40</f>
        <v>1197.39184004</v>
      </c>
      <c r="C50" s="9" t="n">
        <f aca="false">(parametros_manuales!$D$40*('Plan mensual'!E13+IF(parametros_manuales!$H$40="Todos",'Plan mensual'!E17,0))+parametros_manuales!$E$40*('Plan mensual'!E14+IF(parametros_manuales!$H$40="Todos",'Plan mensual'!E18,0))+parametros_manuales!$F$40*('Plan mensual'!E15+IF(parametros_manuales!$H$40="Todos",'Plan mensual'!E19,0))+parametros_manuales!$G$40*('Plan mensual'!E16+IF(parametros_manuales!$H$40="Todos",'Plan mensual'!E20,0)))*parametros_manuales!$I$40*parametros_manuales!$J$40</f>
        <v>921.92964817</v>
      </c>
      <c r="D50" s="9" t="n">
        <f aca="false">(parametros_manuales!$D$40*('Plan mensual'!F13+IF(parametros_manuales!$H$40="Todos",'Plan mensual'!F17,0))+parametros_manuales!$E$40*('Plan mensual'!F14+IF(parametros_manuales!$H$40="Todos",'Plan mensual'!F18,0))+parametros_manuales!$F$40*('Plan mensual'!F15+IF(parametros_manuales!$H$40="Todos",'Plan mensual'!F19,0))+parametros_manuales!$G$40*('Plan mensual'!F16+IF(parametros_manuales!$H$40="Todos",'Plan mensual'!F20,0)))*parametros_manuales!$I$40*parametros_manuales!$J$40</f>
        <v>885.84237654</v>
      </c>
      <c r="E50" s="9" t="n">
        <f aca="false">(parametros_manuales!$D$40*('Plan mensual'!G13+IF(parametros_manuales!$H$40="Todos",'Plan mensual'!G17,0))+parametros_manuales!$E$40*('Plan mensual'!G14+IF(parametros_manuales!$H$40="Todos",'Plan mensual'!G18,0))+parametros_manuales!$F$40*('Plan mensual'!G15+IF(parametros_manuales!$H$40="Todos",'Plan mensual'!G19,0))+parametros_manuales!$G$40*('Plan mensual'!G16+IF(parametros_manuales!$H$40="Todos",'Plan mensual'!G20,0)))*parametros_manuales!$I$40*parametros_manuales!$J$40</f>
        <v>855.855856655</v>
      </c>
      <c r="F50" s="9" t="n">
        <f aca="false">(parametros_manuales!$D$40*('Plan mensual'!H13+IF(parametros_manuales!$H$40="Todos",'Plan mensual'!H17,0))+parametros_manuales!$E$40*('Plan mensual'!H14+IF(parametros_manuales!$H$40="Todos",'Plan mensual'!H18,0))+parametros_manuales!$F$40*('Plan mensual'!H15+IF(parametros_manuales!$H$40="Todos",'Plan mensual'!H19,0))+parametros_manuales!$G$40*('Plan mensual'!H16+IF(parametros_manuales!$H$40="Todos",'Plan mensual'!H20,0)))*parametros_manuales!$I$40*parametros_manuales!$J$40</f>
        <v>801.98356863</v>
      </c>
      <c r="G50" s="9" t="n">
        <f aca="false">(parametros_manuales!$D$40*('Plan mensual'!I13+IF(parametros_manuales!$H$40="Todos",'Plan mensual'!I17,0))+parametros_manuales!$E$40*('Plan mensual'!I14+IF(parametros_manuales!$H$40="Todos",'Plan mensual'!I18,0))+parametros_manuales!$F$40*('Plan mensual'!I15+IF(parametros_manuales!$H$40="Todos",'Plan mensual'!I19,0))+parametros_manuales!$G$40*('Plan mensual'!I16+IF(parametros_manuales!$H$40="Todos",'Plan mensual'!I20,0)))*parametros_manuales!$I$40*parametros_manuales!$J$40</f>
        <v>778.09780049</v>
      </c>
      <c r="H50" s="9" t="n">
        <f aca="false">(parametros_manuales!$D$40*('Plan mensual'!J13+IF(parametros_manuales!$H$40="Todos",'Plan mensual'!J17,0))+parametros_manuales!$E$40*('Plan mensual'!J14+IF(parametros_manuales!$H$40="Todos",'Plan mensual'!J18,0))+parametros_manuales!$F$40*('Plan mensual'!J15+IF(parametros_manuales!$H$40="Todos",'Plan mensual'!J19,0))+parametros_manuales!$G$40*('Plan mensual'!J16+IF(parametros_manuales!$H$40="Todos",'Plan mensual'!J20,0)))*parametros_manuales!$I$40*parametros_manuales!$J$40</f>
        <v>831.970088515</v>
      </c>
      <c r="I50" s="9" t="n">
        <f aca="false">(parametros_manuales!$D$40*('Plan mensual'!K13+IF(parametros_manuales!$H$40="Todos",'Plan mensual'!K17,0))+parametros_manuales!$E$40*('Plan mensual'!K14+IF(parametros_manuales!$H$40="Todos",'Plan mensual'!K18,0))+parametros_manuales!$F$40*('Plan mensual'!K15+IF(parametros_manuales!$H$40="Todos",'Plan mensual'!K19,0))+parametros_manuales!$G$40*('Plan mensual'!K16+IF(parametros_manuales!$H$40="Todos",'Plan mensual'!K20,0)))*parametros_manuales!$I$40*parametros_manuales!$J$40</f>
        <v>831.970088515</v>
      </c>
      <c r="J50" s="9" t="n">
        <f aca="false">(parametros_manuales!$D$40*('Plan mensual'!L13+IF(parametros_manuales!$H$40="Todos",'Plan mensual'!L17,0))+parametros_manuales!$E$40*('Plan mensual'!L14+IF(parametros_manuales!$H$40="Todos",'Plan mensual'!L18,0))+parametros_manuales!$F$40*('Plan mensual'!L15+IF(parametros_manuales!$H$40="Todos",'Plan mensual'!L19,0))+parametros_manuales!$G$40*('Plan mensual'!L16+IF(parametros_manuales!$H$40="Todos",'Plan mensual'!L20,0)))*parametros_manuales!$I$40*parametros_manuales!$J$40</f>
        <v>831.970088515</v>
      </c>
      <c r="K50" s="9" t="n">
        <f aca="false">(parametros_manuales!$D$40*('Plan mensual'!M13+IF(parametros_manuales!$H$40="Todos",'Plan mensual'!M17,0))+parametros_manuales!$E$40*('Plan mensual'!M14+IF(parametros_manuales!$H$40="Todos",'Plan mensual'!M18,0))+parametros_manuales!$F$40*('Plan mensual'!M15+IF(parametros_manuales!$H$40="Todos",'Plan mensual'!M19,0))+parametros_manuales!$G$40*('Plan mensual'!M16+IF(parametros_manuales!$H$40="Todos",'Plan mensual'!M20,0)))*parametros_manuales!$I$40*parametros_manuales!$J$40</f>
        <v>808.084320375</v>
      </c>
      <c r="L50" s="9" t="n">
        <f aca="false">(parametros_manuales!$D$40*('Plan mensual'!N13+IF(parametros_manuales!$H$40="Todos",'Plan mensual'!N17,0))+parametros_manuales!$E$40*('Plan mensual'!N14+IF(parametros_manuales!$H$40="Todos",'Plan mensual'!N18,0))+parametros_manuales!$F$40*('Plan mensual'!N15+IF(parametros_manuales!$H$40="Todos",'Plan mensual'!N19,0))+parametros_manuales!$G$40*('Plan mensual'!N16+IF(parametros_manuales!$H$40="Todos",'Plan mensual'!N20,0)))*parametros_manuales!$I$40*parametros_manuales!$J$40</f>
        <v>784.198552235</v>
      </c>
      <c r="M50" s="9" t="n">
        <f aca="false">(parametros_manuales!$D$40*('Plan mensual'!O13+IF(parametros_manuales!$H$40="Todos",'Plan mensual'!O17,0))+parametros_manuales!$E$40*('Plan mensual'!O14+IF(parametros_manuales!$H$40="Todos",'Plan mensual'!O18,0))+parametros_manuales!$F$40*('Plan mensual'!O15+IF(parametros_manuales!$H$40="Todos",'Plan mensual'!O19,0))+parametros_manuales!$G$40*('Plan mensual'!O16+IF(parametros_manuales!$H$40="Todos",'Plan mensual'!O20,0)))*parametros_manuales!$I$40*parametros_manuales!$J$40</f>
        <v>1245.16337632</v>
      </c>
      <c r="N50" s="9" t="n">
        <f aca="false">SUM(B50:M50)</f>
        <v>10774.457605</v>
      </c>
      <c r="O50" s="9" t="n">
        <f aca="false">MAX(B50:M50)</f>
        <v>1245.16337632</v>
      </c>
      <c r="P50" s="43" t="n">
        <f aca="false">O50/(parametros_manuales!$B$7)</f>
        <v>8.30108917546667</v>
      </c>
      <c r="Q50" s="8" t="str">
        <f aca="false">IF(O50=0,"-",INDEX($B$28:$M$28,MATCH(O50,B50:M50,0)))</f>
        <v>Dic</v>
      </c>
    </row>
    <row r="51" customFormat="false" ht="14.25" hidden="false" customHeight="true" outlineLevel="0" collapsed="false">
      <c r="A51" s="8" t="str">
        <f aca="false">parametros_manuales!$B$41</f>
        <v>Control de calidad — Ensayo de pérdidas</v>
      </c>
      <c r="B51" s="9" t="n">
        <f aca="false">(parametros_manuales!$D$41*('Plan mensual'!D13+IF(parametros_manuales!$H$41="Todos",'Plan mensual'!D17,0))+parametros_manuales!$E$41*('Plan mensual'!D14+IF(parametros_manuales!$H$41="Todos",'Plan mensual'!D18,0))+parametros_manuales!$F$41*('Plan mensual'!D15+IF(parametros_manuales!$H$41="Todos",'Plan mensual'!D19,0))+parametros_manuales!$G$41*('Plan mensual'!D16+IF(parametros_manuales!$H$41="Todos",'Plan mensual'!D20,0)))*parametros_manuales!$I$41*parametros_manuales!$J$41</f>
        <v>1197.39184004</v>
      </c>
      <c r="C51" s="9" t="n">
        <f aca="false">(parametros_manuales!$D$41*('Plan mensual'!E13+IF(parametros_manuales!$H$41="Todos",'Plan mensual'!E17,0))+parametros_manuales!$E$41*('Plan mensual'!E14+IF(parametros_manuales!$H$41="Todos",'Plan mensual'!E18,0))+parametros_manuales!$F$41*('Plan mensual'!E15+IF(parametros_manuales!$H$41="Todos",'Plan mensual'!E19,0))+parametros_manuales!$G$41*('Plan mensual'!E16+IF(parametros_manuales!$H$41="Todos",'Plan mensual'!E20,0)))*parametros_manuales!$I$41*parametros_manuales!$J$41</f>
        <v>921.92964817</v>
      </c>
      <c r="D51" s="9" t="n">
        <f aca="false">(parametros_manuales!$D$41*('Plan mensual'!F13+IF(parametros_manuales!$H$41="Todos",'Plan mensual'!F17,0))+parametros_manuales!$E$41*('Plan mensual'!F14+IF(parametros_manuales!$H$41="Todos",'Plan mensual'!F18,0))+parametros_manuales!$F$41*('Plan mensual'!F15+IF(parametros_manuales!$H$41="Todos",'Plan mensual'!F19,0))+parametros_manuales!$G$41*('Plan mensual'!F16+IF(parametros_manuales!$H$41="Todos",'Plan mensual'!F20,0)))*parametros_manuales!$I$41*parametros_manuales!$J$41</f>
        <v>885.84237654</v>
      </c>
      <c r="E51" s="9" t="n">
        <f aca="false">(parametros_manuales!$D$41*('Plan mensual'!G13+IF(parametros_manuales!$H$41="Todos",'Plan mensual'!G17,0))+parametros_manuales!$E$41*('Plan mensual'!G14+IF(parametros_manuales!$H$41="Todos",'Plan mensual'!G18,0))+parametros_manuales!$F$41*('Plan mensual'!G15+IF(parametros_manuales!$H$41="Todos",'Plan mensual'!G19,0))+parametros_manuales!$G$41*('Plan mensual'!G16+IF(parametros_manuales!$H$41="Todos",'Plan mensual'!G20,0)))*parametros_manuales!$I$41*parametros_manuales!$J$41</f>
        <v>855.855856655</v>
      </c>
      <c r="F51" s="9" t="n">
        <f aca="false">(parametros_manuales!$D$41*('Plan mensual'!H13+IF(parametros_manuales!$H$41="Todos",'Plan mensual'!H17,0))+parametros_manuales!$E$41*('Plan mensual'!H14+IF(parametros_manuales!$H$41="Todos",'Plan mensual'!H18,0))+parametros_manuales!$F$41*('Plan mensual'!H15+IF(parametros_manuales!$H$41="Todos",'Plan mensual'!H19,0))+parametros_manuales!$G$41*('Plan mensual'!H16+IF(parametros_manuales!$H$41="Todos",'Plan mensual'!H20,0)))*parametros_manuales!$I$41*parametros_manuales!$J$41</f>
        <v>801.98356863</v>
      </c>
      <c r="G51" s="9" t="n">
        <f aca="false">(parametros_manuales!$D$41*('Plan mensual'!I13+IF(parametros_manuales!$H$41="Todos",'Plan mensual'!I17,0))+parametros_manuales!$E$41*('Plan mensual'!I14+IF(parametros_manuales!$H$41="Todos",'Plan mensual'!I18,0))+parametros_manuales!$F$41*('Plan mensual'!I15+IF(parametros_manuales!$H$41="Todos",'Plan mensual'!I19,0))+parametros_manuales!$G$41*('Plan mensual'!I16+IF(parametros_manuales!$H$41="Todos",'Plan mensual'!I20,0)))*parametros_manuales!$I$41*parametros_manuales!$J$41</f>
        <v>778.09780049</v>
      </c>
      <c r="H51" s="9" t="n">
        <f aca="false">(parametros_manuales!$D$41*('Plan mensual'!J13+IF(parametros_manuales!$H$41="Todos",'Plan mensual'!J17,0))+parametros_manuales!$E$41*('Plan mensual'!J14+IF(parametros_manuales!$H$41="Todos",'Plan mensual'!J18,0))+parametros_manuales!$F$41*('Plan mensual'!J15+IF(parametros_manuales!$H$41="Todos",'Plan mensual'!J19,0))+parametros_manuales!$G$41*('Plan mensual'!J16+IF(parametros_manuales!$H$41="Todos",'Plan mensual'!J20,0)))*parametros_manuales!$I$41*parametros_manuales!$J$41</f>
        <v>831.970088515</v>
      </c>
      <c r="I51" s="9" t="n">
        <f aca="false">(parametros_manuales!$D$41*('Plan mensual'!K13+IF(parametros_manuales!$H$41="Todos",'Plan mensual'!K17,0))+parametros_manuales!$E$41*('Plan mensual'!K14+IF(parametros_manuales!$H$41="Todos",'Plan mensual'!K18,0))+parametros_manuales!$F$41*('Plan mensual'!K15+IF(parametros_manuales!$H$41="Todos",'Plan mensual'!K19,0))+parametros_manuales!$G$41*('Plan mensual'!K16+IF(parametros_manuales!$H$41="Todos",'Plan mensual'!K20,0)))*parametros_manuales!$I$41*parametros_manuales!$J$41</f>
        <v>831.970088515</v>
      </c>
      <c r="J51" s="9" t="n">
        <f aca="false">(parametros_manuales!$D$41*('Plan mensual'!L13+IF(parametros_manuales!$H$41="Todos",'Plan mensual'!L17,0))+parametros_manuales!$E$41*('Plan mensual'!L14+IF(parametros_manuales!$H$41="Todos",'Plan mensual'!L18,0))+parametros_manuales!$F$41*('Plan mensual'!L15+IF(parametros_manuales!$H$41="Todos",'Plan mensual'!L19,0))+parametros_manuales!$G$41*('Plan mensual'!L16+IF(parametros_manuales!$H$41="Todos",'Plan mensual'!L20,0)))*parametros_manuales!$I$41*parametros_manuales!$J$41</f>
        <v>831.970088515</v>
      </c>
      <c r="K51" s="9" t="n">
        <f aca="false">(parametros_manuales!$D$41*('Plan mensual'!M13+IF(parametros_manuales!$H$41="Todos",'Plan mensual'!M17,0))+parametros_manuales!$E$41*('Plan mensual'!M14+IF(parametros_manuales!$H$41="Todos",'Plan mensual'!M18,0))+parametros_manuales!$F$41*('Plan mensual'!M15+IF(parametros_manuales!$H$41="Todos",'Plan mensual'!M19,0))+parametros_manuales!$G$41*('Plan mensual'!M16+IF(parametros_manuales!$H$41="Todos",'Plan mensual'!M20,0)))*parametros_manuales!$I$41*parametros_manuales!$J$41</f>
        <v>808.084320375</v>
      </c>
      <c r="L51" s="9" t="n">
        <f aca="false">(parametros_manuales!$D$41*('Plan mensual'!N13+IF(parametros_manuales!$H$41="Todos",'Plan mensual'!N17,0))+parametros_manuales!$E$41*('Plan mensual'!N14+IF(parametros_manuales!$H$41="Todos",'Plan mensual'!N18,0))+parametros_manuales!$F$41*('Plan mensual'!N15+IF(parametros_manuales!$H$41="Todos",'Plan mensual'!N19,0))+parametros_manuales!$G$41*('Plan mensual'!N16+IF(parametros_manuales!$H$41="Todos",'Plan mensual'!N20,0)))*parametros_manuales!$I$41*parametros_manuales!$J$41</f>
        <v>784.198552235</v>
      </c>
      <c r="M51" s="9" t="n">
        <f aca="false">(parametros_manuales!$D$41*('Plan mensual'!O13+IF(parametros_manuales!$H$41="Todos",'Plan mensual'!O17,0))+parametros_manuales!$E$41*('Plan mensual'!O14+IF(parametros_manuales!$H$41="Todos",'Plan mensual'!O18,0))+parametros_manuales!$F$41*('Plan mensual'!O15+IF(parametros_manuales!$H$41="Todos",'Plan mensual'!O19,0))+parametros_manuales!$G$41*('Plan mensual'!O16+IF(parametros_manuales!$H$41="Todos",'Plan mensual'!O20,0)))*parametros_manuales!$I$41*parametros_manuales!$J$41</f>
        <v>1245.16337632</v>
      </c>
      <c r="N51" s="9" t="n">
        <f aca="false">SUM(B51:M51)</f>
        <v>10774.457605</v>
      </c>
      <c r="O51" s="9" t="n">
        <f aca="false">MAX(B51:M51)</f>
        <v>1245.16337632</v>
      </c>
      <c r="P51" s="43" t="n">
        <f aca="false">O51/(parametros_manuales!$B$7)</f>
        <v>8.30108917546667</v>
      </c>
      <c r="Q51" s="8" t="str">
        <f aca="false">IF(O51=0,"-",INDEX($B$28:$M$28,MATCH(O51,B51:M51,0)))</f>
        <v>Dic</v>
      </c>
    </row>
    <row r="52" customFormat="false" ht="14.25" hidden="false" customHeight="true" outlineLevel="0" collapsed="false">
      <c r="A52" s="8" t="str">
        <f aca="false">parametros_manuales!$B$42</f>
        <v>Etiquetado</v>
      </c>
      <c r="B52" s="9" t="n">
        <f aca="false">(parametros_manuales!$D$42*('Plan mensual'!D13+IF(parametros_manuales!$H$42="Todos",'Plan mensual'!D17,0))+parametros_manuales!$E$42*('Plan mensual'!D14+IF(parametros_manuales!$H$42="Todos",'Plan mensual'!D18,0))+parametros_manuales!$F$42*('Plan mensual'!D15+IF(parametros_manuales!$H$42="Todos",'Plan mensual'!D19,0))+parametros_manuales!$G$42*('Plan mensual'!D16+IF(parametros_manuales!$H$42="Todos",'Plan mensual'!D20,0)))*parametros_manuales!$I$42*parametros_manuales!$J$42</f>
        <v>1197.39184004</v>
      </c>
      <c r="C52" s="9" t="n">
        <f aca="false">(parametros_manuales!$D$42*('Plan mensual'!E13+IF(parametros_manuales!$H$42="Todos",'Plan mensual'!E17,0))+parametros_manuales!$E$42*('Plan mensual'!E14+IF(parametros_manuales!$H$42="Todos",'Plan mensual'!E18,0))+parametros_manuales!$F$42*('Plan mensual'!E15+IF(parametros_manuales!$H$42="Todos",'Plan mensual'!E19,0))+parametros_manuales!$G$42*('Plan mensual'!E16+IF(parametros_manuales!$H$42="Todos",'Plan mensual'!E20,0)))*parametros_manuales!$I$42*parametros_manuales!$J$42</f>
        <v>921.92964817</v>
      </c>
      <c r="D52" s="9" t="n">
        <f aca="false">(parametros_manuales!$D$42*('Plan mensual'!F13+IF(parametros_manuales!$H$42="Todos",'Plan mensual'!F17,0))+parametros_manuales!$E$42*('Plan mensual'!F14+IF(parametros_manuales!$H$42="Todos",'Plan mensual'!F18,0))+parametros_manuales!$F$42*('Plan mensual'!F15+IF(parametros_manuales!$H$42="Todos",'Plan mensual'!F19,0))+parametros_manuales!$G$42*('Plan mensual'!F16+IF(parametros_manuales!$H$42="Todos",'Plan mensual'!F20,0)))*parametros_manuales!$I$42*parametros_manuales!$J$42</f>
        <v>885.84237654</v>
      </c>
      <c r="E52" s="9" t="n">
        <f aca="false">(parametros_manuales!$D$42*('Plan mensual'!G13+IF(parametros_manuales!$H$42="Todos",'Plan mensual'!G17,0))+parametros_manuales!$E$42*('Plan mensual'!G14+IF(parametros_manuales!$H$42="Todos",'Plan mensual'!G18,0))+parametros_manuales!$F$42*('Plan mensual'!G15+IF(parametros_manuales!$H$42="Todos",'Plan mensual'!G19,0))+parametros_manuales!$G$42*('Plan mensual'!G16+IF(parametros_manuales!$H$42="Todos",'Plan mensual'!G20,0)))*parametros_manuales!$I$42*parametros_manuales!$J$42</f>
        <v>855.855856655</v>
      </c>
      <c r="F52" s="9" t="n">
        <f aca="false">(parametros_manuales!$D$42*('Plan mensual'!H13+IF(parametros_manuales!$H$42="Todos",'Plan mensual'!H17,0))+parametros_manuales!$E$42*('Plan mensual'!H14+IF(parametros_manuales!$H$42="Todos",'Plan mensual'!H18,0))+parametros_manuales!$F$42*('Plan mensual'!H15+IF(parametros_manuales!$H$42="Todos",'Plan mensual'!H19,0))+parametros_manuales!$G$42*('Plan mensual'!H16+IF(parametros_manuales!$H$42="Todos",'Plan mensual'!H20,0)))*parametros_manuales!$I$42*parametros_manuales!$J$42</f>
        <v>801.98356863</v>
      </c>
      <c r="G52" s="9" t="n">
        <f aca="false">(parametros_manuales!$D$42*('Plan mensual'!I13+IF(parametros_manuales!$H$42="Todos",'Plan mensual'!I17,0))+parametros_manuales!$E$42*('Plan mensual'!I14+IF(parametros_manuales!$H$42="Todos",'Plan mensual'!I18,0))+parametros_manuales!$F$42*('Plan mensual'!I15+IF(parametros_manuales!$H$42="Todos",'Plan mensual'!I19,0))+parametros_manuales!$G$42*('Plan mensual'!I16+IF(parametros_manuales!$H$42="Todos",'Plan mensual'!I20,0)))*parametros_manuales!$I$42*parametros_manuales!$J$42</f>
        <v>778.09780049</v>
      </c>
      <c r="H52" s="9" t="n">
        <f aca="false">(parametros_manuales!$D$42*('Plan mensual'!J13+IF(parametros_manuales!$H$42="Todos",'Plan mensual'!J17,0))+parametros_manuales!$E$42*('Plan mensual'!J14+IF(parametros_manuales!$H$42="Todos",'Plan mensual'!J18,0))+parametros_manuales!$F$42*('Plan mensual'!J15+IF(parametros_manuales!$H$42="Todos",'Plan mensual'!J19,0))+parametros_manuales!$G$42*('Plan mensual'!J16+IF(parametros_manuales!$H$42="Todos",'Plan mensual'!J20,0)))*parametros_manuales!$I$42*parametros_manuales!$J$42</f>
        <v>831.970088515</v>
      </c>
      <c r="I52" s="9" t="n">
        <f aca="false">(parametros_manuales!$D$42*('Plan mensual'!K13+IF(parametros_manuales!$H$42="Todos",'Plan mensual'!K17,0))+parametros_manuales!$E$42*('Plan mensual'!K14+IF(parametros_manuales!$H$42="Todos",'Plan mensual'!K18,0))+parametros_manuales!$F$42*('Plan mensual'!K15+IF(parametros_manuales!$H$42="Todos",'Plan mensual'!K19,0))+parametros_manuales!$G$42*('Plan mensual'!K16+IF(parametros_manuales!$H$42="Todos",'Plan mensual'!K20,0)))*parametros_manuales!$I$42*parametros_manuales!$J$42</f>
        <v>831.970088515</v>
      </c>
      <c r="J52" s="9" t="n">
        <f aca="false">(parametros_manuales!$D$42*('Plan mensual'!L13+IF(parametros_manuales!$H$42="Todos",'Plan mensual'!L17,0))+parametros_manuales!$E$42*('Plan mensual'!L14+IF(parametros_manuales!$H$42="Todos",'Plan mensual'!L18,0))+parametros_manuales!$F$42*('Plan mensual'!L15+IF(parametros_manuales!$H$42="Todos",'Plan mensual'!L19,0))+parametros_manuales!$G$42*('Plan mensual'!L16+IF(parametros_manuales!$H$42="Todos",'Plan mensual'!L20,0)))*parametros_manuales!$I$42*parametros_manuales!$J$42</f>
        <v>831.970088515</v>
      </c>
      <c r="K52" s="9" t="n">
        <f aca="false">(parametros_manuales!$D$42*('Plan mensual'!M13+IF(parametros_manuales!$H$42="Todos",'Plan mensual'!M17,0))+parametros_manuales!$E$42*('Plan mensual'!M14+IF(parametros_manuales!$H$42="Todos",'Plan mensual'!M18,0))+parametros_manuales!$F$42*('Plan mensual'!M15+IF(parametros_manuales!$H$42="Todos",'Plan mensual'!M19,0))+parametros_manuales!$G$42*('Plan mensual'!M16+IF(parametros_manuales!$H$42="Todos",'Plan mensual'!M20,0)))*parametros_manuales!$I$42*parametros_manuales!$J$42</f>
        <v>808.084320375</v>
      </c>
      <c r="L52" s="9" t="n">
        <f aca="false">(parametros_manuales!$D$42*('Plan mensual'!N13+IF(parametros_manuales!$H$42="Todos",'Plan mensual'!N17,0))+parametros_manuales!$E$42*('Plan mensual'!N14+IF(parametros_manuales!$H$42="Todos",'Plan mensual'!N18,0))+parametros_manuales!$F$42*('Plan mensual'!N15+IF(parametros_manuales!$H$42="Todos",'Plan mensual'!N19,0))+parametros_manuales!$G$42*('Plan mensual'!N16+IF(parametros_manuales!$H$42="Todos",'Plan mensual'!N20,0)))*parametros_manuales!$I$42*parametros_manuales!$J$42</f>
        <v>784.198552235</v>
      </c>
      <c r="M52" s="9" t="n">
        <f aca="false">(parametros_manuales!$D$42*('Plan mensual'!O13+IF(parametros_manuales!$H$42="Todos",'Plan mensual'!O17,0))+parametros_manuales!$E$42*('Plan mensual'!O14+IF(parametros_manuales!$H$42="Todos",'Plan mensual'!O18,0))+parametros_manuales!$F$42*('Plan mensual'!O15+IF(parametros_manuales!$H$42="Todos",'Plan mensual'!O19,0))+parametros_manuales!$G$42*('Plan mensual'!O16+IF(parametros_manuales!$H$42="Todos",'Plan mensual'!O20,0)))*parametros_manuales!$I$42*parametros_manuales!$J$42</f>
        <v>1245.16337632</v>
      </c>
      <c r="N52" s="9" t="n">
        <f aca="false">SUM(B52:M52)</f>
        <v>10774.457605</v>
      </c>
      <c r="O52" s="9" t="n">
        <f aca="false">MAX(B52:M52)</f>
        <v>1245.16337632</v>
      </c>
      <c r="P52" s="43" t="n">
        <f aca="false">O52/(parametros_manuales!$B$7)</f>
        <v>8.30108917546667</v>
      </c>
      <c r="Q52" s="8" t="str">
        <f aca="false">IF(O52=0,"-",INDEX($B$28:$M$28,MATCH(O52,B52:M52,0)))</f>
        <v>Dic</v>
      </c>
    </row>
    <row r="53" customFormat="false" ht="14.25" hidden="false" customHeight="true" outlineLevel="0" collapsed="false">
      <c r="A53" s="8" t="str">
        <f aca="false">parametros_manuales!$B$43</f>
        <v>Embalaje y paletizado</v>
      </c>
      <c r="B53" s="9" t="n">
        <f aca="false">(parametros_manuales!$D$43*('Plan mensual'!D13+IF(parametros_manuales!$H$43="Todos",'Plan mensual'!D17,0))+parametros_manuales!$E$43*('Plan mensual'!D14+IF(parametros_manuales!$H$43="Todos",'Plan mensual'!D18,0))+parametros_manuales!$F$43*('Plan mensual'!D15+IF(parametros_manuales!$H$43="Todos",'Plan mensual'!D19,0))+parametros_manuales!$G$43*('Plan mensual'!D16+IF(parametros_manuales!$H$43="Todos",'Plan mensual'!D20,0)))*parametros_manuales!$I$43*parametros_manuales!$J$43</f>
        <v>1204.89984004</v>
      </c>
      <c r="C53" s="9" t="n">
        <f aca="false">(parametros_manuales!$D$43*('Plan mensual'!E13+IF(parametros_manuales!$H$43="Todos",'Plan mensual'!E17,0))+parametros_manuales!$E$43*('Plan mensual'!E14+IF(parametros_manuales!$H$43="Todos",'Plan mensual'!E18,0))+parametros_manuales!$F$43*('Plan mensual'!E15+IF(parametros_manuales!$H$43="Todos",'Plan mensual'!E19,0))+parametros_manuales!$G$43*('Plan mensual'!E16+IF(parametros_manuales!$H$43="Todos",'Plan mensual'!E20,0)))*parametros_manuales!$I$43*parametros_manuales!$J$43</f>
        <v>927.93604817</v>
      </c>
      <c r="D53" s="9" t="n">
        <f aca="false">(parametros_manuales!$D$43*('Plan mensual'!F13+IF(parametros_manuales!$H$43="Todos",'Plan mensual'!F17,0))+parametros_manuales!$E$43*('Plan mensual'!F14+IF(parametros_manuales!$H$43="Todos",'Plan mensual'!F18,0))+parametros_manuales!$F$43*('Plan mensual'!F15+IF(parametros_manuales!$H$43="Todos",'Plan mensual'!F19,0))+parametros_manuales!$G$43*('Plan mensual'!F16+IF(parametros_manuales!$H$43="Todos",'Plan mensual'!F20,0)))*parametros_manuales!$I$43*parametros_manuales!$J$43</f>
        <v>892.22417654</v>
      </c>
      <c r="E53" s="9" t="n">
        <f aca="false">(parametros_manuales!$D$43*('Plan mensual'!G13+IF(parametros_manuales!$H$43="Todos",'Plan mensual'!G17,0))+parametros_manuales!$E$43*('Plan mensual'!G14+IF(parametros_manuales!$H$43="Todos",'Plan mensual'!G18,0))+parametros_manuales!$F$43*('Plan mensual'!G15+IF(parametros_manuales!$H$43="Todos",'Plan mensual'!G19,0))+parametros_manuales!$G$43*('Plan mensual'!G16+IF(parametros_manuales!$H$43="Todos",'Plan mensual'!G20,0)))*parametros_manuales!$I$43*parametros_manuales!$J$43</f>
        <v>862.237656655</v>
      </c>
      <c r="F53" s="9" t="n">
        <f aca="false">(parametros_manuales!$D$43*('Plan mensual'!H13+IF(parametros_manuales!$H$43="Todos",'Plan mensual'!H17,0))+parametros_manuales!$E$43*('Plan mensual'!H14+IF(parametros_manuales!$H$43="Todos",'Plan mensual'!H18,0))+parametros_manuales!$F$43*('Plan mensual'!H15+IF(parametros_manuales!$H$43="Todos",'Plan mensual'!H19,0))+parametros_manuales!$G$43*('Plan mensual'!H16+IF(parametros_manuales!$H$43="Todos",'Plan mensual'!H20,0)))*parametros_manuales!$I$43*parametros_manuales!$J$43</f>
        <v>807.98996863</v>
      </c>
      <c r="G53" s="9" t="n">
        <f aca="false">(parametros_manuales!$D$43*('Plan mensual'!I13+IF(parametros_manuales!$H$43="Todos",'Plan mensual'!I17,0))+parametros_manuales!$E$43*('Plan mensual'!I14+IF(parametros_manuales!$H$43="Todos",'Plan mensual'!I18,0))+parametros_manuales!$F$43*('Plan mensual'!I15+IF(parametros_manuales!$H$43="Todos",'Plan mensual'!I19,0))+parametros_manuales!$G$43*('Plan mensual'!I16+IF(parametros_manuales!$H$43="Todos",'Plan mensual'!I20,0)))*parametros_manuales!$I$43*parametros_manuales!$J$43</f>
        <v>783.72880049</v>
      </c>
      <c r="H53" s="9" t="n">
        <f aca="false">(parametros_manuales!$D$43*('Plan mensual'!J13+IF(parametros_manuales!$H$43="Todos",'Plan mensual'!J17,0))+parametros_manuales!$E$43*('Plan mensual'!J14+IF(parametros_manuales!$H$43="Todos",'Plan mensual'!J18,0))+parametros_manuales!$F$43*('Plan mensual'!J15+IF(parametros_manuales!$H$43="Todos",'Plan mensual'!J19,0))+parametros_manuales!$G$43*('Plan mensual'!J16+IF(parametros_manuales!$H$43="Todos",'Plan mensual'!J20,0)))*parametros_manuales!$I$43*parametros_manuales!$J$43</f>
        <v>837.976488515</v>
      </c>
      <c r="I53" s="9" t="n">
        <f aca="false">(parametros_manuales!$D$43*('Plan mensual'!K13+IF(parametros_manuales!$H$43="Todos",'Plan mensual'!K17,0))+parametros_manuales!$E$43*('Plan mensual'!K14+IF(parametros_manuales!$H$43="Todos",'Plan mensual'!K18,0))+parametros_manuales!$F$43*('Plan mensual'!K15+IF(parametros_manuales!$H$43="Todos",'Plan mensual'!K19,0))+parametros_manuales!$G$43*('Plan mensual'!K16+IF(parametros_manuales!$H$43="Todos",'Plan mensual'!K20,0)))*parametros_manuales!$I$43*parametros_manuales!$J$43</f>
        <v>837.976488515</v>
      </c>
      <c r="J53" s="9" t="n">
        <f aca="false">(parametros_manuales!$D$43*('Plan mensual'!L13+IF(parametros_manuales!$H$43="Todos",'Plan mensual'!L17,0))+parametros_manuales!$E$43*('Plan mensual'!L14+IF(parametros_manuales!$H$43="Todos",'Plan mensual'!L18,0))+parametros_manuales!$F$43*('Plan mensual'!L15+IF(parametros_manuales!$H$43="Todos",'Plan mensual'!L19,0))+parametros_manuales!$G$43*('Plan mensual'!L16+IF(parametros_manuales!$H$43="Todos",'Plan mensual'!L20,0)))*parametros_manuales!$I$43*parametros_manuales!$J$43</f>
        <v>837.976488515</v>
      </c>
      <c r="K53" s="9" t="n">
        <f aca="false">(parametros_manuales!$D$43*('Plan mensual'!M13+IF(parametros_manuales!$H$43="Todos",'Plan mensual'!M17,0))+parametros_manuales!$E$43*('Plan mensual'!M14+IF(parametros_manuales!$H$43="Todos",'Plan mensual'!M18,0))+parametros_manuales!$F$43*('Plan mensual'!M15+IF(parametros_manuales!$H$43="Todos",'Plan mensual'!M19,0))+parametros_manuales!$G$43*('Plan mensual'!M16+IF(parametros_manuales!$H$43="Todos",'Plan mensual'!M20,0)))*parametros_manuales!$I$43*parametros_manuales!$J$43</f>
        <v>813.715320375</v>
      </c>
      <c r="L53" s="9" t="n">
        <f aca="false">(parametros_manuales!$D$43*('Plan mensual'!N13+IF(parametros_manuales!$H$43="Todos",'Plan mensual'!N17,0))+parametros_manuales!$E$43*('Plan mensual'!N14+IF(parametros_manuales!$H$43="Todos",'Plan mensual'!N18,0))+parametros_manuales!$F$43*('Plan mensual'!N15+IF(parametros_manuales!$H$43="Todos",'Plan mensual'!N19,0))+parametros_manuales!$G$43*('Plan mensual'!N16+IF(parametros_manuales!$H$43="Todos",'Plan mensual'!N20,0)))*parametros_manuales!$I$43*parametros_manuales!$J$43</f>
        <v>789.454152235</v>
      </c>
      <c r="M53" s="9" t="n">
        <f aca="false">(parametros_manuales!$D$43*('Plan mensual'!O13+IF(parametros_manuales!$H$43="Todos",'Plan mensual'!O17,0))+parametros_manuales!$E$43*('Plan mensual'!O14+IF(parametros_manuales!$H$43="Todos",'Plan mensual'!O18,0))+parametros_manuales!$F$43*('Plan mensual'!O15+IF(parametros_manuales!$H$43="Todos",'Plan mensual'!O19,0))+parametros_manuales!$G$43*('Plan mensual'!O16+IF(parametros_manuales!$H$43="Todos",'Plan mensual'!O20,0)))*parametros_manuales!$I$43*parametros_manuales!$J$43</f>
        <v>1253.42217632</v>
      </c>
      <c r="N53" s="9" t="n">
        <f aca="false">SUM(B53:M53)</f>
        <v>10849.537605</v>
      </c>
      <c r="O53" s="9" t="n">
        <f aca="false">MAX(B53:M53)</f>
        <v>1253.42217632</v>
      </c>
      <c r="P53" s="43" t="n">
        <f aca="false">O53/(parametros_manuales!$B$7)</f>
        <v>8.35614784213333</v>
      </c>
      <c r="Q53" s="8" t="str">
        <f aca="false">IF(O53=0,"-",INDEX($B$28:$M$28,MATCH(O53,B53:M53,0)))</f>
        <v>Dic</v>
      </c>
    </row>
    <row r="54" customFormat="false" ht="14.25" hidden="false" customHeight="true" outlineLevel="0" collapsed="false"/>
    <row r="55" customFormat="false" ht="14.25" hidden="false" customHeight="true" outlineLevel="0" collapsed="false">
      <c r="A55" s="7" t="s">
        <v>192</v>
      </c>
      <c r="B55" s="7" t="s">
        <v>61</v>
      </c>
      <c r="C55" s="7" t="s">
        <v>62</v>
      </c>
      <c r="D55" s="7" t="s">
        <v>63</v>
      </c>
      <c r="E55" s="7" t="s">
        <v>64</v>
      </c>
      <c r="F55" s="7" t="s">
        <v>65</v>
      </c>
      <c r="G55" s="7" t="s">
        <v>66</v>
      </c>
      <c r="H55" s="7" t="s">
        <v>67</v>
      </c>
      <c r="I55" s="7" t="s">
        <v>68</v>
      </c>
      <c r="J55" s="7" t="s">
        <v>69</v>
      </c>
      <c r="K55" s="7" t="s">
        <v>70</v>
      </c>
      <c r="L55" s="7" t="s">
        <v>71</v>
      </c>
      <c r="M55" s="7" t="s">
        <v>72</v>
      </c>
      <c r="N55" s="7" t="s">
        <v>183</v>
      </c>
      <c r="O55" s="7" t="s">
        <v>188</v>
      </c>
      <c r="P55" s="7" t="s">
        <v>189</v>
      </c>
      <c r="Q55" s="7" t="s">
        <v>190</v>
      </c>
    </row>
    <row r="56" customFormat="false" ht="14.25" hidden="false" customHeight="true" outlineLevel="0" collapsed="false">
      <c r="A56" s="8" t="str">
        <f aca="false">parametros_manuales!$B$19</f>
        <v>Recepción de materia prima</v>
      </c>
      <c r="B56" s="9" t="n">
        <f aca="false">(parametros_manuales!$D$19*('Plan mensual'!D24+IF(parametros_manuales!$H$19="Todos",'Plan mensual'!D28,0))+parametros_manuales!$E$19*('Plan mensual'!D25+IF(parametros_manuales!$H$19="Todos",'Plan mensual'!D29,0))+parametros_manuales!$F$19*('Plan mensual'!D26+IF(parametros_manuales!$H$19="Todos",'Plan mensual'!D30,0))+parametros_manuales!$G$19*('Plan mensual'!D27+IF(parametros_manuales!$H$19="Todos",'Plan mensual'!D31,0)))*parametros_manuales!$I$19*parametros_manuales!$J$19</f>
        <v>2582.3641738</v>
      </c>
      <c r="C56" s="9" t="n">
        <f aca="false">(parametros_manuales!$D$19*('Plan mensual'!E24+IF(parametros_manuales!$H$19="Todos",'Plan mensual'!E28,0))+parametros_manuales!$E$19*('Plan mensual'!E25+IF(parametros_manuales!$H$19="Todos",'Plan mensual'!E29,0))+parametros_manuales!$F$19*('Plan mensual'!E26+IF(parametros_manuales!$H$19="Todos",'Plan mensual'!E30,0))+parametros_manuales!$G$19*('Plan mensual'!E27+IF(parametros_manuales!$H$19="Todos",'Plan mensual'!E31,0)))*parametros_manuales!$I$19*parametros_manuales!$J$19</f>
        <v>1978.806452492</v>
      </c>
      <c r="D56" s="9" t="n">
        <f aca="false">(parametros_manuales!$D$19*('Plan mensual'!F24+IF(parametros_manuales!$H$19="Todos",'Plan mensual'!F28,0))+parametros_manuales!$E$19*('Plan mensual'!F25+IF(parametros_manuales!$H$19="Todos",'Plan mensual'!F29,0))+parametros_manuales!$F$19*('Plan mensual'!F26+IF(parametros_manuales!$H$19="Todos",'Plan mensual'!F30,0))+parametros_manuales!$G$19*('Plan mensual'!F27+IF(parametros_manuales!$H$19="Todos",'Plan mensual'!F31,0)))*parametros_manuales!$I$19*parametros_manuales!$J$19</f>
        <v>1875.698297054</v>
      </c>
      <c r="E56" s="9" t="n">
        <f aca="false">(parametros_manuales!$D$19*('Plan mensual'!G24+IF(parametros_manuales!$H$19="Todos",'Plan mensual'!G28,0))+parametros_manuales!$E$19*('Plan mensual'!G25+IF(parametros_manuales!$H$19="Todos",'Plan mensual'!G29,0))+parametros_manuales!$F$19*('Plan mensual'!G26+IF(parametros_manuales!$H$19="Todos",'Plan mensual'!G30,0))+parametros_manuales!$G$19*('Plan mensual'!G27+IF(parametros_manuales!$H$19="Todos",'Plan mensual'!G31,0)))*parametros_manuales!$I$19*parametros_manuales!$J$19</f>
        <v>1803.127558264</v>
      </c>
      <c r="F56" s="9" t="n">
        <f aca="false">(parametros_manuales!$D$19*('Plan mensual'!H24+IF(parametros_manuales!$H$19="Todos",'Plan mensual'!H28,0))+parametros_manuales!$E$19*('Plan mensual'!H25+IF(parametros_manuales!$H$19="Todos",'Plan mensual'!H29,0))+parametros_manuales!$F$19*('Plan mensual'!H26+IF(parametros_manuales!$H$19="Todos",'Plan mensual'!H30,0))+parametros_manuales!$G$19*('Plan mensual'!H27+IF(parametros_manuales!$H$19="Todos",'Plan mensual'!H31,0)))*parametros_manuales!$I$19*parametros_manuales!$J$19</f>
        <v>1688.523497332</v>
      </c>
      <c r="G56" s="9" t="n">
        <f aca="false">(parametros_manuales!$D$19*('Plan mensual'!I24+IF(parametros_manuales!$H$19="Todos",'Plan mensual'!I28,0))+parametros_manuales!$E$19*('Plan mensual'!I25+IF(parametros_manuales!$H$19="Todos",'Plan mensual'!I29,0))+parametros_manuales!$F$19*('Plan mensual'!I26+IF(parametros_manuales!$H$19="Todos",'Plan mensual'!I30,0))+parametros_manuales!$G$19*('Plan mensual'!I27+IF(parametros_manuales!$H$19="Todos",'Plan mensual'!I31,0)))*parametros_manuales!$I$19*parametros_manuales!$J$19</f>
        <v>1646.49017519</v>
      </c>
      <c r="H56" s="9" t="n">
        <f aca="false">(parametros_manuales!$D$19*('Plan mensual'!J24+IF(parametros_manuales!$H$19="Todos",'Plan mensual'!J28,0))+parametros_manuales!$E$19*('Plan mensual'!J25+IF(parametros_manuales!$H$19="Todos",'Plan mensual'!J29,0))+parametros_manuales!$F$19*('Plan mensual'!J26+IF(parametros_manuales!$H$19="Todos",'Plan mensual'!J30,0))+parametros_manuales!$G$19*('Plan mensual'!J27+IF(parametros_manuales!$H$19="Todos",'Plan mensual'!J31,0)))*parametros_manuales!$I$19*parametros_manuales!$J$19</f>
        <v>1761.094236122</v>
      </c>
      <c r="I56" s="9" t="n">
        <f aca="false">(parametros_manuales!$D$19*('Plan mensual'!K24+IF(parametros_manuales!$H$19="Todos",'Plan mensual'!K28,0))+parametros_manuales!$E$19*('Plan mensual'!K25+IF(parametros_manuales!$H$19="Todos",'Plan mensual'!K29,0))+parametros_manuales!$F$19*('Plan mensual'!K26+IF(parametros_manuales!$H$19="Todos",'Plan mensual'!K30,0))+parametros_manuales!$G$19*('Plan mensual'!K27+IF(parametros_manuales!$H$19="Todos",'Plan mensual'!K31,0)))*parametros_manuales!$I$19*parametros_manuales!$J$19</f>
        <v>1761.094236122</v>
      </c>
      <c r="J56" s="9" t="n">
        <f aca="false">(parametros_manuales!$D$19*('Plan mensual'!L24+IF(parametros_manuales!$H$19="Todos",'Plan mensual'!L28,0))+parametros_manuales!$E$19*('Plan mensual'!L25+IF(parametros_manuales!$H$19="Todos",'Plan mensual'!L29,0))+parametros_manuales!$F$19*('Plan mensual'!L26+IF(parametros_manuales!$H$19="Todos",'Plan mensual'!L30,0))+parametros_manuales!$G$19*('Plan mensual'!L27+IF(parametros_manuales!$H$19="Todos",'Plan mensual'!L31,0)))*parametros_manuales!$I$19*parametros_manuales!$J$19</f>
        <v>1761.094236122</v>
      </c>
      <c r="K56" s="9" t="n">
        <f aca="false">(parametros_manuales!$D$19*('Plan mensual'!M24+IF(parametros_manuales!$H$19="Todos",'Plan mensual'!M28,0))+parametros_manuales!$E$19*('Plan mensual'!M25+IF(parametros_manuales!$H$19="Todos",'Plan mensual'!M29,0))+parametros_manuales!$F$19*('Plan mensual'!M26+IF(parametros_manuales!$H$19="Todos",'Plan mensual'!M30,0))+parametros_manuales!$G$19*('Plan mensual'!M27+IF(parametros_manuales!$H$19="Todos",'Plan mensual'!M31,0)))*parametros_manuales!$I$19*parametros_manuales!$J$19</f>
        <v>1719.06091398</v>
      </c>
      <c r="L56" s="9" t="n">
        <f aca="false">(parametros_manuales!$D$19*('Plan mensual'!N24+IF(parametros_manuales!$H$19="Todos",'Plan mensual'!N28,0))+parametros_manuales!$E$19*('Plan mensual'!N25+IF(parametros_manuales!$H$19="Todos",'Plan mensual'!N29,0))+parametros_manuales!$F$19*('Plan mensual'!N26+IF(parametros_manuales!$H$19="Todos",'Plan mensual'!N30,0))+parametros_manuales!$G$19*('Plan mensual'!N27+IF(parametros_manuales!$H$19="Todos",'Plan mensual'!N31,0)))*parametros_manuales!$I$19*parametros_manuales!$J$19</f>
        <v>1677.027591838</v>
      </c>
      <c r="M56" s="9" t="n">
        <f aca="false">(parametros_manuales!$D$19*('Plan mensual'!O24+IF(parametros_manuales!$H$19="Todos",'Plan mensual'!O28,0))+parametros_manuales!$E$19*('Plan mensual'!O25+IF(parametros_manuales!$H$19="Todos",'Plan mensual'!O29,0))+parametros_manuales!$F$19*('Plan mensual'!O26+IF(parametros_manuales!$H$19="Todos",'Plan mensual'!O30,0))+parametros_manuales!$G$19*('Plan mensual'!O27+IF(parametros_manuales!$H$19="Todos",'Plan mensual'!O31,0)))*parametros_manuales!$I$19*parametros_manuales!$J$19</f>
        <v>2666.430818084</v>
      </c>
      <c r="N56" s="9" t="n">
        <f aca="false">SUM(B56:M56)</f>
        <v>22920.8121864</v>
      </c>
      <c r="O56" s="9" t="n">
        <f aca="false">MAX(B56:M56)</f>
        <v>2666.430818084</v>
      </c>
      <c r="P56" s="43" t="n">
        <f aca="false">O56/(parametros_manuales!$B$7)</f>
        <v>17.7762054538933</v>
      </c>
      <c r="Q56" s="8" t="str">
        <f aca="false">IF(O56=0,"-",INDEX($B$55:$M$55,MATCH(O56,B56:M56,0)))</f>
        <v>Dic</v>
      </c>
    </row>
    <row r="57" customFormat="false" ht="14.25" hidden="false" customHeight="true" outlineLevel="0" collapsed="false">
      <c r="A57" s="8" t="str">
        <f aca="false">parametros_manuales!$B$20</f>
        <v>Corte de chapa (guillotina) — 2,5 a 10 kg</v>
      </c>
      <c r="B57" s="9" t="n">
        <f aca="false">(parametros_manuales!$D$20*('Plan mensual'!D24+IF(parametros_manuales!$H$20="Todos",'Plan mensual'!D28,0))+parametros_manuales!$E$20*('Plan mensual'!D25+IF(parametros_manuales!$H$20="Todos",'Plan mensual'!D29,0))+parametros_manuales!$F$20*('Plan mensual'!D26+IF(parametros_manuales!$H$20="Todos",'Plan mensual'!D30,0))+parametros_manuales!$G$20*('Plan mensual'!D27+IF(parametros_manuales!$H$20="Todos",'Plan mensual'!D31,0)))*parametros_manuales!$I$20*parametros_manuales!$J$20</f>
        <v>840.66644284</v>
      </c>
      <c r="C57" s="9" t="n">
        <f aca="false">(parametros_manuales!$D$20*('Plan mensual'!E24+IF(parametros_manuales!$H$20="Todos",'Plan mensual'!E28,0))+parametros_manuales!$E$20*('Plan mensual'!E25+IF(parametros_manuales!$H$20="Todos",'Plan mensual'!E29,0))+parametros_manuales!$F$20*('Plan mensual'!E26+IF(parametros_manuales!$H$20="Todos",'Plan mensual'!E30,0))+parametros_manuales!$G$20*('Plan mensual'!E27+IF(parametros_manuales!$H$20="Todos",'Plan mensual'!E31,0)))*parametros_manuales!$I$20*parametros_manuales!$J$20</f>
        <v>672.533154272</v>
      </c>
      <c r="D57" s="9" t="n">
        <f aca="false">(parametros_manuales!$D$20*('Plan mensual'!F24+IF(parametros_manuales!$H$20="Todos",'Plan mensual'!F28,0))+parametros_manuales!$E$20*('Plan mensual'!F25+IF(parametros_manuales!$H$20="Todos",'Plan mensual'!F29,0))+parametros_manuales!$F$20*('Plan mensual'!F26+IF(parametros_manuales!$H$20="Todos",'Plan mensual'!F30,0))+parametros_manuales!$G$20*('Plan mensual'!F27+IF(parametros_manuales!$H$20="Todos",'Plan mensual'!F31,0)))*parametros_manuales!$I$20*parametros_manuales!$J$20</f>
        <v>714.566476414</v>
      </c>
      <c r="E57" s="9" t="n">
        <f aca="false">(parametros_manuales!$D$20*('Plan mensual'!G24+IF(parametros_manuales!$H$20="Todos",'Plan mensual'!G28,0))+parametros_manuales!$E$20*('Plan mensual'!G25+IF(parametros_manuales!$H$20="Todos",'Plan mensual'!G29,0))+parametros_manuales!$F$20*('Plan mensual'!G26+IF(parametros_manuales!$H$20="Todos",'Plan mensual'!G30,0))+parametros_manuales!$G$20*('Plan mensual'!G27+IF(parametros_manuales!$H$20="Todos",'Plan mensual'!G31,0)))*parametros_manuales!$I$20*parametros_manuales!$J$20</f>
        <v>714.566476414</v>
      </c>
      <c r="F57" s="9" t="n">
        <f aca="false">(parametros_manuales!$D$20*('Plan mensual'!H24+IF(parametros_manuales!$H$20="Todos",'Plan mensual'!H28,0))+parametros_manuales!$E$20*('Plan mensual'!H25+IF(parametros_manuales!$H$20="Todos",'Plan mensual'!H29,0))+parametros_manuales!$F$20*('Plan mensual'!H26+IF(parametros_manuales!$H$20="Todos",'Plan mensual'!H30,0))+parametros_manuales!$G$20*('Plan mensual'!H27+IF(parametros_manuales!$H$20="Todos",'Plan mensual'!H31,0)))*parametros_manuales!$I$20*parametros_manuales!$J$20</f>
        <v>672.533154272</v>
      </c>
      <c r="G57" s="9" t="n">
        <f aca="false">(parametros_manuales!$D$20*('Plan mensual'!I24+IF(parametros_manuales!$H$20="Todos",'Plan mensual'!I28,0))+parametros_manuales!$E$20*('Plan mensual'!I25+IF(parametros_manuales!$H$20="Todos",'Plan mensual'!I29,0))+parametros_manuales!$F$20*('Plan mensual'!I26+IF(parametros_manuales!$H$20="Todos",'Plan mensual'!I30,0))+parametros_manuales!$G$20*('Plan mensual'!I27+IF(parametros_manuales!$H$20="Todos",'Plan mensual'!I31,0)))*parametros_manuales!$I$20*parametros_manuales!$J$20</f>
        <v>630.49983213</v>
      </c>
      <c r="H57" s="9" t="n">
        <f aca="false">(parametros_manuales!$D$20*('Plan mensual'!J24+IF(parametros_manuales!$H$20="Todos",'Plan mensual'!J28,0))+parametros_manuales!$E$20*('Plan mensual'!J25+IF(parametros_manuales!$H$20="Todos",'Plan mensual'!J29,0))+parametros_manuales!$F$20*('Plan mensual'!J26+IF(parametros_manuales!$H$20="Todos",'Plan mensual'!J30,0))+parametros_manuales!$G$20*('Plan mensual'!J27+IF(parametros_manuales!$H$20="Todos",'Plan mensual'!J31,0)))*parametros_manuales!$I$20*parametros_manuales!$J$20</f>
        <v>672.533154272</v>
      </c>
      <c r="I57" s="9" t="n">
        <f aca="false">(parametros_manuales!$D$20*('Plan mensual'!K24+IF(parametros_manuales!$H$20="Todos",'Plan mensual'!K28,0))+parametros_manuales!$E$20*('Plan mensual'!K25+IF(parametros_manuales!$H$20="Todos",'Plan mensual'!K29,0))+parametros_manuales!$F$20*('Plan mensual'!K26+IF(parametros_manuales!$H$20="Todos",'Plan mensual'!K30,0))+parametros_manuales!$G$20*('Plan mensual'!K27+IF(parametros_manuales!$H$20="Todos",'Plan mensual'!K31,0)))*parametros_manuales!$I$20*parametros_manuales!$J$20</f>
        <v>672.533154272</v>
      </c>
      <c r="J57" s="9" t="n">
        <f aca="false">(parametros_manuales!$D$20*('Plan mensual'!L24+IF(parametros_manuales!$H$20="Todos",'Plan mensual'!L28,0))+parametros_manuales!$E$20*('Plan mensual'!L25+IF(parametros_manuales!$H$20="Todos",'Plan mensual'!L29,0))+parametros_manuales!$F$20*('Plan mensual'!L26+IF(parametros_manuales!$H$20="Todos",'Plan mensual'!L30,0))+parametros_manuales!$G$20*('Plan mensual'!L27+IF(parametros_manuales!$H$20="Todos",'Plan mensual'!L31,0)))*parametros_manuales!$I$20*parametros_manuales!$J$20</f>
        <v>672.533154272</v>
      </c>
      <c r="K57" s="9" t="n">
        <f aca="false">(parametros_manuales!$D$20*('Plan mensual'!M24+IF(parametros_manuales!$H$20="Todos",'Plan mensual'!M28,0))+parametros_manuales!$E$20*('Plan mensual'!M25+IF(parametros_manuales!$H$20="Todos",'Plan mensual'!M29,0))+parametros_manuales!$F$20*('Plan mensual'!M26+IF(parametros_manuales!$H$20="Todos",'Plan mensual'!M30,0))+parametros_manuales!$G$20*('Plan mensual'!M27+IF(parametros_manuales!$H$20="Todos",'Plan mensual'!M31,0)))*parametros_manuales!$I$20*parametros_manuales!$J$20</f>
        <v>630.49983213</v>
      </c>
      <c r="L57" s="9" t="n">
        <f aca="false">(parametros_manuales!$D$20*('Plan mensual'!N24+IF(parametros_manuales!$H$20="Todos",'Plan mensual'!N28,0))+parametros_manuales!$E$20*('Plan mensual'!N25+IF(parametros_manuales!$H$20="Todos",'Plan mensual'!N29,0))+parametros_manuales!$F$20*('Plan mensual'!N26+IF(parametros_manuales!$H$20="Todos",'Plan mensual'!N30,0))+parametros_manuales!$G$20*('Plan mensual'!N27+IF(parametros_manuales!$H$20="Todos",'Plan mensual'!N31,0)))*parametros_manuales!$I$20*parametros_manuales!$J$20</f>
        <v>588.466509988</v>
      </c>
      <c r="M57" s="9" t="n">
        <f aca="false">(parametros_manuales!$D$20*('Plan mensual'!O24+IF(parametros_manuales!$H$20="Todos",'Plan mensual'!O28,0))+parametros_manuales!$E$20*('Plan mensual'!O25+IF(parametros_manuales!$H$20="Todos",'Plan mensual'!O29,0))+parametros_manuales!$F$20*('Plan mensual'!O26+IF(parametros_manuales!$H$20="Todos",'Plan mensual'!O30,0))+parametros_manuales!$G$20*('Plan mensual'!O27+IF(parametros_manuales!$H$20="Todos",'Plan mensual'!O31,0)))*parametros_manuales!$I$20*parametros_manuales!$J$20</f>
        <v>924.733087124</v>
      </c>
      <c r="N57" s="9" t="n">
        <f aca="false">SUM(B57:M57)</f>
        <v>8406.6644284</v>
      </c>
      <c r="O57" s="9" t="n">
        <f aca="false">MAX(B57:M57)</f>
        <v>924.733087124</v>
      </c>
      <c r="P57" s="43" t="n">
        <f aca="false">O57/(parametros_manuales!$B$7)</f>
        <v>6.16488724749333</v>
      </c>
      <c r="Q57" s="8" t="str">
        <f aca="false">IF(O57=0,"-",INDEX($B$55:$M$55,MATCH(O57,B57:M57,0)))</f>
        <v>Dic</v>
      </c>
    </row>
    <row r="58" customFormat="false" ht="14.25" hidden="false" customHeight="true" outlineLevel="0" collapsed="false">
      <c r="A58" s="8" t="str">
        <f aca="false">parametros_manuales!$B$21</f>
        <v>Corte de tubo — 1 kg</v>
      </c>
      <c r="B58" s="9" t="n">
        <f aca="false">(parametros_manuales!$D$21*('Plan mensual'!D24+IF(parametros_manuales!$H$21="Todos",'Plan mensual'!D28,0))+parametros_manuales!$E$21*('Plan mensual'!D25+IF(parametros_manuales!$H$21="Todos",'Plan mensual'!D29,0))+parametros_manuales!$F$21*('Plan mensual'!D26+IF(parametros_manuales!$H$21="Todos",'Plan mensual'!D30,0))+parametros_manuales!$G$21*('Plan mensual'!D27+IF(parametros_manuales!$H$21="Todos",'Plan mensual'!D31,0)))*parametros_manuales!$I$21*parametros_manuales!$J$21</f>
        <v>1741.69773096</v>
      </c>
      <c r="C58" s="9" t="n">
        <f aca="false">(parametros_manuales!$D$21*('Plan mensual'!E24+IF(parametros_manuales!$H$21="Todos",'Plan mensual'!E28,0))+parametros_manuales!$E$21*('Plan mensual'!E25+IF(parametros_manuales!$H$21="Todos",'Plan mensual'!E29,0))+parametros_manuales!$F$21*('Plan mensual'!E26+IF(parametros_manuales!$H$21="Todos",'Plan mensual'!E30,0))+parametros_manuales!$G$21*('Plan mensual'!E27+IF(parametros_manuales!$H$21="Todos",'Plan mensual'!E31,0)))*parametros_manuales!$I$21*parametros_manuales!$J$21</f>
        <v>1306.27329822</v>
      </c>
      <c r="D58" s="9" t="n">
        <f aca="false">(parametros_manuales!$D$21*('Plan mensual'!F24+IF(parametros_manuales!$H$21="Todos",'Plan mensual'!F28,0))+parametros_manuales!$E$21*('Plan mensual'!F25+IF(parametros_manuales!$H$21="Todos",'Plan mensual'!F29,0))+parametros_manuales!$F$21*('Plan mensual'!F26+IF(parametros_manuales!$H$21="Todos",'Plan mensual'!F30,0))+parametros_manuales!$G$21*('Plan mensual'!F27+IF(parametros_manuales!$H$21="Todos",'Plan mensual'!F31,0)))*parametros_manuales!$I$21*parametros_manuales!$J$21</f>
        <v>1161.13182064</v>
      </c>
      <c r="E58" s="9" t="n">
        <f aca="false">(parametros_manuales!$D$21*('Plan mensual'!G24+IF(parametros_manuales!$H$21="Todos",'Plan mensual'!G28,0))+parametros_manuales!$E$21*('Plan mensual'!G25+IF(parametros_manuales!$H$21="Todos",'Plan mensual'!G29,0))+parametros_manuales!$F$21*('Plan mensual'!G26+IF(parametros_manuales!$H$21="Todos",'Plan mensual'!G30,0))+parametros_manuales!$G$21*('Plan mensual'!G27+IF(parametros_manuales!$H$21="Todos",'Plan mensual'!G31,0)))*parametros_manuales!$I$21*parametros_manuales!$J$21</f>
        <v>1088.56108185</v>
      </c>
      <c r="F58" s="9" t="n">
        <f aca="false">(parametros_manuales!$D$21*('Plan mensual'!H24+IF(parametros_manuales!$H$21="Todos",'Plan mensual'!H28,0))+parametros_manuales!$E$21*('Plan mensual'!H25+IF(parametros_manuales!$H$21="Todos",'Plan mensual'!H29,0))+parametros_manuales!$F$21*('Plan mensual'!H26+IF(parametros_manuales!$H$21="Todos",'Plan mensual'!H30,0))+parametros_manuales!$G$21*('Plan mensual'!H27+IF(parametros_manuales!$H$21="Todos",'Plan mensual'!H31,0)))*parametros_manuales!$I$21*parametros_manuales!$J$21</f>
        <v>1015.99034306</v>
      </c>
      <c r="G58" s="9" t="n">
        <f aca="false">(parametros_manuales!$D$21*('Plan mensual'!I24+IF(parametros_manuales!$H$21="Todos",'Plan mensual'!I28,0))+parametros_manuales!$E$21*('Plan mensual'!I25+IF(parametros_manuales!$H$21="Todos",'Plan mensual'!I29,0))+parametros_manuales!$F$21*('Plan mensual'!I26+IF(parametros_manuales!$H$21="Todos",'Plan mensual'!I30,0))+parametros_manuales!$G$21*('Plan mensual'!I27+IF(parametros_manuales!$H$21="Todos",'Plan mensual'!I31,0)))*parametros_manuales!$I$21*parametros_manuales!$J$21</f>
        <v>1015.99034306</v>
      </c>
      <c r="H58" s="9" t="n">
        <f aca="false">(parametros_manuales!$D$21*('Plan mensual'!J24+IF(parametros_manuales!$H$21="Todos",'Plan mensual'!J28,0))+parametros_manuales!$E$21*('Plan mensual'!J25+IF(parametros_manuales!$H$21="Todos",'Plan mensual'!J29,0))+parametros_manuales!$F$21*('Plan mensual'!J26+IF(parametros_manuales!$H$21="Todos",'Plan mensual'!J30,0))+parametros_manuales!$G$21*('Plan mensual'!J27+IF(parametros_manuales!$H$21="Todos",'Plan mensual'!J31,0)))*parametros_manuales!$I$21*parametros_manuales!$J$21</f>
        <v>1088.56108185</v>
      </c>
      <c r="I58" s="9" t="n">
        <f aca="false">(parametros_manuales!$D$21*('Plan mensual'!K24+IF(parametros_manuales!$H$21="Todos",'Plan mensual'!K28,0))+parametros_manuales!$E$21*('Plan mensual'!K25+IF(parametros_manuales!$H$21="Todos",'Plan mensual'!K29,0))+parametros_manuales!$F$21*('Plan mensual'!K26+IF(parametros_manuales!$H$21="Todos",'Plan mensual'!K30,0))+parametros_manuales!$G$21*('Plan mensual'!K27+IF(parametros_manuales!$H$21="Todos",'Plan mensual'!K31,0)))*parametros_manuales!$I$21*parametros_manuales!$J$21</f>
        <v>1088.56108185</v>
      </c>
      <c r="J58" s="9" t="n">
        <f aca="false">(parametros_manuales!$D$21*('Plan mensual'!L24+IF(parametros_manuales!$H$21="Todos",'Plan mensual'!L28,0))+parametros_manuales!$E$21*('Plan mensual'!L25+IF(parametros_manuales!$H$21="Todos",'Plan mensual'!L29,0))+parametros_manuales!$F$21*('Plan mensual'!L26+IF(parametros_manuales!$H$21="Todos",'Plan mensual'!L30,0))+parametros_manuales!$G$21*('Plan mensual'!L27+IF(parametros_manuales!$H$21="Todos",'Plan mensual'!L31,0)))*parametros_manuales!$I$21*parametros_manuales!$J$21</f>
        <v>1088.56108185</v>
      </c>
      <c r="K58" s="9" t="n">
        <f aca="false">(parametros_manuales!$D$21*('Plan mensual'!M24+IF(parametros_manuales!$H$21="Todos",'Plan mensual'!M28,0))+parametros_manuales!$E$21*('Plan mensual'!M25+IF(parametros_manuales!$H$21="Todos",'Plan mensual'!M29,0))+parametros_manuales!$F$21*('Plan mensual'!M26+IF(parametros_manuales!$H$21="Todos",'Plan mensual'!M30,0))+parametros_manuales!$G$21*('Plan mensual'!M27+IF(parametros_manuales!$H$21="Todos",'Plan mensual'!M31,0)))*parametros_manuales!$I$21*parametros_manuales!$J$21</f>
        <v>1088.56108185</v>
      </c>
      <c r="L58" s="9" t="n">
        <f aca="false">(parametros_manuales!$D$21*('Plan mensual'!N24+IF(parametros_manuales!$H$21="Todos",'Plan mensual'!N28,0))+parametros_manuales!$E$21*('Plan mensual'!N25+IF(parametros_manuales!$H$21="Todos",'Plan mensual'!N29,0))+parametros_manuales!$F$21*('Plan mensual'!N26+IF(parametros_manuales!$H$21="Todos",'Plan mensual'!N30,0))+parametros_manuales!$G$21*('Plan mensual'!N27+IF(parametros_manuales!$H$21="Todos",'Plan mensual'!N31,0)))*parametros_manuales!$I$21*parametros_manuales!$J$21</f>
        <v>1088.56108185</v>
      </c>
      <c r="M58" s="9" t="n">
        <f aca="false">(parametros_manuales!$D$21*('Plan mensual'!O24+IF(parametros_manuales!$H$21="Todos",'Plan mensual'!O28,0))+parametros_manuales!$E$21*('Plan mensual'!O25+IF(parametros_manuales!$H$21="Todos",'Plan mensual'!O29,0))+parametros_manuales!$F$21*('Plan mensual'!O26+IF(parametros_manuales!$H$21="Todos",'Plan mensual'!O30,0))+parametros_manuales!$G$21*('Plan mensual'!O27+IF(parametros_manuales!$H$21="Todos",'Plan mensual'!O31,0)))*parametros_manuales!$I$21*parametros_manuales!$J$21</f>
        <v>1741.69773096</v>
      </c>
      <c r="N58" s="9" t="n">
        <f aca="false">SUM(B58:M58)</f>
        <v>14514.147758</v>
      </c>
      <c r="O58" s="9" t="n">
        <f aca="false">MAX(B58:M58)</f>
        <v>1741.69773096</v>
      </c>
      <c r="P58" s="43" t="n">
        <f aca="false">O58/(parametros_manuales!$B$7)</f>
        <v>11.6113182064</v>
      </c>
      <c r="Q58" s="8" t="str">
        <f aca="false">IF(O58=0,"-",INDEX($B$55:$M$55,MATCH(O58,B58:M58,0)))</f>
        <v>Ene</v>
      </c>
    </row>
    <row r="59" customFormat="false" ht="14.25" hidden="false" customHeight="true" outlineLevel="0" collapsed="false">
      <c r="A59" s="8" t="str">
        <f aca="false">parametros_manuales!$B$22</f>
        <v>Corte de disco y embutido (cúpula y fondo)</v>
      </c>
      <c r="B59" s="9" t="n">
        <f aca="false">(parametros_manuales!$D$22*('Plan mensual'!D24+IF(parametros_manuales!$H$22="Todos",'Plan mensual'!D28,0))+parametros_manuales!$E$22*('Plan mensual'!D25+IF(parametros_manuales!$H$22="Todos",'Plan mensual'!D29,0))+parametros_manuales!$F$22*('Plan mensual'!D26+IF(parametros_manuales!$H$22="Todos",'Plan mensual'!D30,0))+parametros_manuales!$G$22*('Plan mensual'!D27+IF(parametros_manuales!$H$22="Todos",'Plan mensual'!D31,0)))*parametros_manuales!$I$22*parametros_manuales!$J$22</f>
        <v>5164.7283476</v>
      </c>
      <c r="C59" s="9" t="n">
        <f aca="false">(parametros_manuales!$D$22*('Plan mensual'!E24+IF(parametros_manuales!$H$22="Todos",'Plan mensual'!E28,0))+parametros_manuales!$E$22*('Plan mensual'!E25+IF(parametros_manuales!$H$22="Todos",'Plan mensual'!E29,0))+parametros_manuales!$F$22*('Plan mensual'!E26+IF(parametros_manuales!$H$22="Todos",'Plan mensual'!E30,0))+parametros_manuales!$G$22*('Plan mensual'!E27+IF(parametros_manuales!$H$22="Todos",'Plan mensual'!E31,0)))*parametros_manuales!$I$22*parametros_manuales!$J$22</f>
        <v>3957.612904984</v>
      </c>
      <c r="D59" s="9" t="n">
        <f aca="false">(parametros_manuales!$D$22*('Plan mensual'!F24+IF(parametros_manuales!$H$22="Todos",'Plan mensual'!F28,0))+parametros_manuales!$E$22*('Plan mensual'!F25+IF(parametros_manuales!$H$22="Todos",'Plan mensual'!F29,0))+parametros_manuales!$F$22*('Plan mensual'!F26+IF(parametros_manuales!$H$22="Todos",'Plan mensual'!F30,0))+parametros_manuales!$G$22*('Plan mensual'!F27+IF(parametros_manuales!$H$22="Todos",'Plan mensual'!F31,0)))*parametros_manuales!$I$22*parametros_manuales!$J$22</f>
        <v>3751.396594108</v>
      </c>
      <c r="E59" s="9" t="n">
        <f aca="false">(parametros_manuales!$D$22*('Plan mensual'!G24+IF(parametros_manuales!$H$22="Todos",'Plan mensual'!G28,0))+parametros_manuales!$E$22*('Plan mensual'!G25+IF(parametros_manuales!$H$22="Todos",'Plan mensual'!G29,0))+parametros_manuales!$F$22*('Plan mensual'!G26+IF(parametros_manuales!$H$22="Todos",'Plan mensual'!G30,0))+parametros_manuales!$G$22*('Plan mensual'!G27+IF(parametros_manuales!$H$22="Todos",'Plan mensual'!G31,0)))*parametros_manuales!$I$22*parametros_manuales!$J$22</f>
        <v>3606.255116528</v>
      </c>
      <c r="F59" s="9" t="n">
        <f aca="false">(parametros_manuales!$D$22*('Plan mensual'!H24+IF(parametros_manuales!$H$22="Todos",'Plan mensual'!H28,0))+parametros_manuales!$E$22*('Plan mensual'!H25+IF(parametros_manuales!$H$22="Todos",'Plan mensual'!H29,0))+parametros_manuales!$F$22*('Plan mensual'!H26+IF(parametros_manuales!$H$22="Todos",'Plan mensual'!H30,0))+parametros_manuales!$G$22*('Plan mensual'!H27+IF(parametros_manuales!$H$22="Todos",'Plan mensual'!H31,0)))*parametros_manuales!$I$22*parametros_manuales!$J$22</f>
        <v>3377.046994664</v>
      </c>
      <c r="G59" s="9" t="n">
        <f aca="false">(parametros_manuales!$D$22*('Plan mensual'!I24+IF(parametros_manuales!$H$22="Todos",'Plan mensual'!I28,0))+parametros_manuales!$E$22*('Plan mensual'!I25+IF(parametros_manuales!$H$22="Todos",'Plan mensual'!I29,0))+parametros_manuales!$F$22*('Plan mensual'!I26+IF(parametros_manuales!$H$22="Todos",'Plan mensual'!I30,0))+parametros_manuales!$G$22*('Plan mensual'!I27+IF(parametros_manuales!$H$22="Todos",'Plan mensual'!I31,0)))*parametros_manuales!$I$22*parametros_manuales!$J$22</f>
        <v>3292.98035038</v>
      </c>
      <c r="H59" s="9" t="n">
        <f aca="false">(parametros_manuales!$D$22*('Plan mensual'!J24+IF(parametros_manuales!$H$22="Todos",'Plan mensual'!J28,0))+parametros_manuales!$E$22*('Plan mensual'!J25+IF(parametros_manuales!$H$22="Todos",'Plan mensual'!J29,0))+parametros_manuales!$F$22*('Plan mensual'!J26+IF(parametros_manuales!$H$22="Todos",'Plan mensual'!J30,0))+parametros_manuales!$G$22*('Plan mensual'!J27+IF(parametros_manuales!$H$22="Todos",'Plan mensual'!J31,0)))*parametros_manuales!$I$22*parametros_manuales!$J$22</f>
        <v>3522.188472244</v>
      </c>
      <c r="I59" s="9" t="n">
        <f aca="false">(parametros_manuales!$D$22*('Plan mensual'!K24+IF(parametros_manuales!$H$22="Todos",'Plan mensual'!K28,0))+parametros_manuales!$E$22*('Plan mensual'!K25+IF(parametros_manuales!$H$22="Todos",'Plan mensual'!K29,0))+parametros_manuales!$F$22*('Plan mensual'!K26+IF(parametros_manuales!$H$22="Todos",'Plan mensual'!K30,0))+parametros_manuales!$G$22*('Plan mensual'!K27+IF(parametros_manuales!$H$22="Todos",'Plan mensual'!K31,0)))*parametros_manuales!$I$22*parametros_manuales!$J$22</f>
        <v>3522.188472244</v>
      </c>
      <c r="J59" s="9" t="n">
        <f aca="false">(parametros_manuales!$D$22*('Plan mensual'!L24+IF(parametros_manuales!$H$22="Todos",'Plan mensual'!L28,0))+parametros_manuales!$E$22*('Plan mensual'!L25+IF(parametros_manuales!$H$22="Todos",'Plan mensual'!L29,0))+parametros_manuales!$F$22*('Plan mensual'!L26+IF(parametros_manuales!$H$22="Todos",'Plan mensual'!L30,0))+parametros_manuales!$G$22*('Plan mensual'!L27+IF(parametros_manuales!$H$22="Todos",'Plan mensual'!L31,0)))*parametros_manuales!$I$22*parametros_manuales!$J$22</f>
        <v>3522.188472244</v>
      </c>
      <c r="K59" s="9" t="n">
        <f aca="false">(parametros_manuales!$D$22*('Plan mensual'!M24+IF(parametros_manuales!$H$22="Todos",'Plan mensual'!M28,0))+parametros_manuales!$E$22*('Plan mensual'!M25+IF(parametros_manuales!$H$22="Todos",'Plan mensual'!M29,0))+parametros_manuales!$F$22*('Plan mensual'!M26+IF(parametros_manuales!$H$22="Todos",'Plan mensual'!M30,0))+parametros_manuales!$G$22*('Plan mensual'!M27+IF(parametros_manuales!$H$22="Todos",'Plan mensual'!M31,0)))*parametros_manuales!$I$22*parametros_manuales!$J$22</f>
        <v>3438.12182796</v>
      </c>
      <c r="L59" s="9" t="n">
        <f aca="false">(parametros_manuales!$D$22*('Plan mensual'!N24+IF(parametros_manuales!$H$22="Todos",'Plan mensual'!N28,0))+parametros_manuales!$E$22*('Plan mensual'!N25+IF(parametros_manuales!$H$22="Todos",'Plan mensual'!N29,0))+parametros_manuales!$F$22*('Plan mensual'!N26+IF(parametros_manuales!$H$22="Todos",'Plan mensual'!N30,0))+parametros_manuales!$G$22*('Plan mensual'!N27+IF(parametros_manuales!$H$22="Todos",'Plan mensual'!N31,0)))*parametros_manuales!$I$22*parametros_manuales!$J$22</f>
        <v>3354.055183676</v>
      </c>
      <c r="M59" s="9" t="n">
        <f aca="false">(parametros_manuales!$D$22*('Plan mensual'!O24+IF(parametros_manuales!$H$22="Todos",'Plan mensual'!O28,0))+parametros_manuales!$E$22*('Plan mensual'!O25+IF(parametros_manuales!$H$22="Todos",'Plan mensual'!O29,0))+parametros_manuales!$F$22*('Plan mensual'!O26+IF(parametros_manuales!$H$22="Todos",'Plan mensual'!O30,0))+parametros_manuales!$G$22*('Plan mensual'!O27+IF(parametros_manuales!$H$22="Todos",'Plan mensual'!O31,0)))*parametros_manuales!$I$22*parametros_manuales!$J$22</f>
        <v>5332.861636168</v>
      </c>
      <c r="N59" s="9" t="n">
        <f aca="false">SUM(B59:M59)</f>
        <v>45841.6243728</v>
      </c>
      <c r="O59" s="9" t="n">
        <f aca="false">MAX(B59:M59)</f>
        <v>5332.861636168</v>
      </c>
      <c r="P59" s="43" t="n">
        <f aca="false">O59/(parametros_manuales!$B$7)</f>
        <v>35.5524109077867</v>
      </c>
      <c r="Q59" s="8" t="str">
        <f aca="false">IF(O59=0,"-",INDEX($B$55:$M$55,MATCH(O59,B59:M59,0)))</f>
        <v>Dic</v>
      </c>
    </row>
    <row r="60" customFormat="false" ht="14.25" hidden="false" customHeight="true" outlineLevel="0" collapsed="false">
      <c r="A60" s="8" t="str">
        <f aca="false">parametros_manuales!$B$23</f>
        <v>Preparación de cuello</v>
      </c>
      <c r="B60" s="9" t="n">
        <f aca="false">(parametros_manuales!$D$23*('Plan mensual'!D24+IF(parametros_manuales!$H$23="Todos",'Plan mensual'!D28,0))+parametros_manuales!$E$23*('Plan mensual'!D25+IF(parametros_manuales!$H$23="Todos",'Plan mensual'!D29,0))+parametros_manuales!$F$23*('Plan mensual'!D26+IF(parametros_manuales!$H$23="Todos",'Plan mensual'!D30,0))+parametros_manuales!$G$23*('Plan mensual'!D27+IF(parametros_manuales!$H$23="Todos",'Plan mensual'!D31,0)))*parametros_manuales!$I$23*parametros_manuales!$J$23</f>
        <v>2582.3641738</v>
      </c>
      <c r="C60" s="9" t="n">
        <f aca="false">(parametros_manuales!$D$23*('Plan mensual'!E24+IF(parametros_manuales!$H$23="Todos",'Plan mensual'!E28,0))+parametros_manuales!$E$23*('Plan mensual'!E25+IF(parametros_manuales!$H$23="Todos",'Plan mensual'!E29,0))+parametros_manuales!$F$23*('Plan mensual'!E26+IF(parametros_manuales!$H$23="Todos",'Plan mensual'!E30,0))+parametros_manuales!$G$23*('Plan mensual'!E27+IF(parametros_manuales!$H$23="Todos",'Plan mensual'!E31,0)))*parametros_manuales!$I$23*parametros_manuales!$J$23</f>
        <v>1978.806452492</v>
      </c>
      <c r="D60" s="9" t="n">
        <f aca="false">(parametros_manuales!$D$23*('Plan mensual'!F24+IF(parametros_manuales!$H$23="Todos",'Plan mensual'!F28,0))+parametros_manuales!$E$23*('Plan mensual'!F25+IF(parametros_manuales!$H$23="Todos",'Plan mensual'!F29,0))+parametros_manuales!$F$23*('Plan mensual'!F26+IF(parametros_manuales!$H$23="Todos",'Plan mensual'!F30,0))+parametros_manuales!$G$23*('Plan mensual'!F27+IF(parametros_manuales!$H$23="Todos",'Plan mensual'!F31,0)))*parametros_manuales!$I$23*parametros_manuales!$J$23</f>
        <v>1875.698297054</v>
      </c>
      <c r="E60" s="9" t="n">
        <f aca="false">(parametros_manuales!$D$23*('Plan mensual'!G24+IF(parametros_manuales!$H$23="Todos",'Plan mensual'!G28,0))+parametros_manuales!$E$23*('Plan mensual'!G25+IF(parametros_manuales!$H$23="Todos",'Plan mensual'!G29,0))+parametros_manuales!$F$23*('Plan mensual'!G26+IF(parametros_manuales!$H$23="Todos",'Plan mensual'!G30,0))+parametros_manuales!$G$23*('Plan mensual'!G27+IF(parametros_manuales!$H$23="Todos",'Plan mensual'!G31,0)))*parametros_manuales!$I$23*parametros_manuales!$J$23</f>
        <v>1803.127558264</v>
      </c>
      <c r="F60" s="9" t="n">
        <f aca="false">(parametros_manuales!$D$23*('Plan mensual'!H24+IF(parametros_manuales!$H$23="Todos",'Plan mensual'!H28,0))+parametros_manuales!$E$23*('Plan mensual'!H25+IF(parametros_manuales!$H$23="Todos",'Plan mensual'!H29,0))+parametros_manuales!$F$23*('Plan mensual'!H26+IF(parametros_manuales!$H$23="Todos",'Plan mensual'!H30,0))+parametros_manuales!$G$23*('Plan mensual'!H27+IF(parametros_manuales!$H$23="Todos",'Plan mensual'!H31,0)))*parametros_manuales!$I$23*parametros_manuales!$J$23</f>
        <v>1688.523497332</v>
      </c>
      <c r="G60" s="9" t="n">
        <f aca="false">(parametros_manuales!$D$23*('Plan mensual'!I24+IF(parametros_manuales!$H$23="Todos",'Plan mensual'!I28,0))+parametros_manuales!$E$23*('Plan mensual'!I25+IF(parametros_manuales!$H$23="Todos",'Plan mensual'!I29,0))+parametros_manuales!$F$23*('Plan mensual'!I26+IF(parametros_manuales!$H$23="Todos",'Plan mensual'!I30,0))+parametros_manuales!$G$23*('Plan mensual'!I27+IF(parametros_manuales!$H$23="Todos",'Plan mensual'!I31,0)))*parametros_manuales!$I$23*parametros_manuales!$J$23</f>
        <v>1646.49017519</v>
      </c>
      <c r="H60" s="9" t="n">
        <f aca="false">(parametros_manuales!$D$23*('Plan mensual'!J24+IF(parametros_manuales!$H$23="Todos",'Plan mensual'!J28,0))+parametros_manuales!$E$23*('Plan mensual'!J25+IF(parametros_manuales!$H$23="Todos",'Plan mensual'!J29,0))+parametros_manuales!$F$23*('Plan mensual'!J26+IF(parametros_manuales!$H$23="Todos",'Plan mensual'!J30,0))+parametros_manuales!$G$23*('Plan mensual'!J27+IF(parametros_manuales!$H$23="Todos",'Plan mensual'!J31,0)))*parametros_manuales!$I$23*parametros_manuales!$J$23</f>
        <v>1761.094236122</v>
      </c>
      <c r="I60" s="9" t="n">
        <f aca="false">(parametros_manuales!$D$23*('Plan mensual'!K24+IF(parametros_manuales!$H$23="Todos",'Plan mensual'!K28,0))+parametros_manuales!$E$23*('Plan mensual'!K25+IF(parametros_manuales!$H$23="Todos",'Plan mensual'!K29,0))+parametros_manuales!$F$23*('Plan mensual'!K26+IF(parametros_manuales!$H$23="Todos",'Plan mensual'!K30,0))+parametros_manuales!$G$23*('Plan mensual'!K27+IF(parametros_manuales!$H$23="Todos",'Plan mensual'!K31,0)))*parametros_manuales!$I$23*parametros_manuales!$J$23</f>
        <v>1761.094236122</v>
      </c>
      <c r="J60" s="9" t="n">
        <f aca="false">(parametros_manuales!$D$23*('Plan mensual'!L24+IF(parametros_manuales!$H$23="Todos",'Plan mensual'!L28,0))+parametros_manuales!$E$23*('Plan mensual'!L25+IF(parametros_manuales!$H$23="Todos",'Plan mensual'!L29,0))+parametros_manuales!$F$23*('Plan mensual'!L26+IF(parametros_manuales!$H$23="Todos",'Plan mensual'!L30,0))+parametros_manuales!$G$23*('Plan mensual'!L27+IF(parametros_manuales!$H$23="Todos",'Plan mensual'!L31,0)))*parametros_manuales!$I$23*parametros_manuales!$J$23</f>
        <v>1761.094236122</v>
      </c>
      <c r="K60" s="9" t="n">
        <f aca="false">(parametros_manuales!$D$23*('Plan mensual'!M24+IF(parametros_manuales!$H$23="Todos",'Plan mensual'!M28,0))+parametros_manuales!$E$23*('Plan mensual'!M25+IF(parametros_manuales!$H$23="Todos",'Plan mensual'!M29,0))+parametros_manuales!$F$23*('Plan mensual'!M26+IF(parametros_manuales!$H$23="Todos",'Plan mensual'!M30,0))+parametros_manuales!$G$23*('Plan mensual'!M27+IF(parametros_manuales!$H$23="Todos",'Plan mensual'!M31,0)))*parametros_manuales!$I$23*parametros_manuales!$J$23</f>
        <v>1719.06091398</v>
      </c>
      <c r="L60" s="9" t="n">
        <f aca="false">(parametros_manuales!$D$23*('Plan mensual'!N24+IF(parametros_manuales!$H$23="Todos",'Plan mensual'!N28,0))+parametros_manuales!$E$23*('Plan mensual'!N25+IF(parametros_manuales!$H$23="Todos",'Plan mensual'!N29,0))+parametros_manuales!$F$23*('Plan mensual'!N26+IF(parametros_manuales!$H$23="Todos",'Plan mensual'!N30,0))+parametros_manuales!$G$23*('Plan mensual'!N27+IF(parametros_manuales!$H$23="Todos",'Plan mensual'!N31,0)))*parametros_manuales!$I$23*parametros_manuales!$J$23</f>
        <v>1677.027591838</v>
      </c>
      <c r="M60" s="9" t="n">
        <f aca="false">(parametros_manuales!$D$23*('Plan mensual'!O24+IF(parametros_manuales!$H$23="Todos",'Plan mensual'!O28,0))+parametros_manuales!$E$23*('Plan mensual'!O25+IF(parametros_manuales!$H$23="Todos",'Plan mensual'!O29,0))+parametros_manuales!$F$23*('Plan mensual'!O26+IF(parametros_manuales!$H$23="Todos",'Plan mensual'!O30,0))+parametros_manuales!$G$23*('Plan mensual'!O27+IF(parametros_manuales!$H$23="Todos",'Plan mensual'!O31,0)))*parametros_manuales!$I$23*parametros_manuales!$J$23</f>
        <v>2666.430818084</v>
      </c>
      <c r="N60" s="9" t="n">
        <f aca="false">SUM(B60:M60)</f>
        <v>22920.8121864</v>
      </c>
      <c r="O60" s="9" t="n">
        <f aca="false">MAX(B60:M60)</f>
        <v>2666.430818084</v>
      </c>
      <c r="P60" s="43" t="n">
        <f aca="false">O60/(parametros_manuales!$B$7)</f>
        <v>17.7762054538933</v>
      </c>
      <c r="Q60" s="8" t="str">
        <f aca="false">IF(O60=0,"-",INDEX($B$55:$M$55,MATCH(O60,B60:M60,0)))</f>
        <v>Dic</v>
      </c>
    </row>
    <row r="61" customFormat="false" ht="14.25" hidden="false" customHeight="true" outlineLevel="0" collapsed="false">
      <c r="A61" s="8" t="str">
        <f aca="false">parametros_manuales!$B$24</f>
        <v>Numerado de cúpula</v>
      </c>
      <c r="B61" s="9" t="n">
        <f aca="false">(parametros_manuales!$D$24*('Plan mensual'!D24+IF(parametros_manuales!$H$24="Todos",'Plan mensual'!D28,0))+parametros_manuales!$E$24*('Plan mensual'!D25+IF(parametros_manuales!$H$24="Todos",'Plan mensual'!D29,0))+parametros_manuales!$F$24*('Plan mensual'!D26+IF(parametros_manuales!$H$24="Todos",'Plan mensual'!D30,0))+parametros_manuales!$G$24*('Plan mensual'!D27+IF(parametros_manuales!$H$24="Todos",'Plan mensual'!D31,0)))*parametros_manuales!$I$24*parametros_manuales!$J$24</f>
        <v>2582.3641738</v>
      </c>
      <c r="C61" s="9" t="n">
        <f aca="false">(parametros_manuales!$D$24*('Plan mensual'!E24+IF(parametros_manuales!$H$24="Todos",'Plan mensual'!E28,0))+parametros_manuales!$E$24*('Plan mensual'!E25+IF(parametros_manuales!$H$24="Todos",'Plan mensual'!E29,0))+parametros_manuales!$F$24*('Plan mensual'!E26+IF(parametros_manuales!$H$24="Todos",'Plan mensual'!E30,0))+parametros_manuales!$G$24*('Plan mensual'!E27+IF(parametros_manuales!$H$24="Todos",'Plan mensual'!E31,0)))*parametros_manuales!$I$24*parametros_manuales!$J$24</f>
        <v>1978.806452492</v>
      </c>
      <c r="D61" s="9" t="n">
        <f aca="false">(parametros_manuales!$D$24*('Plan mensual'!F24+IF(parametros_manuales!$H$24="Todos",'Plan mensual'!F28,0))+parametros_manuales!$E$24*('Plan mensual'!F25+IF(parametros_manuales!$H$24="Todos",'Plan mensual'!F29,0))+parametros_manuales!$F$24*('Plan mensual'!F26+IF(parametros_manuales!$H$24="Todos",'Plan mensual'!F30,0))+parametros_manuales!$G$24*('Plan mensual'!F27+IF(parametros_manuales!$H$24="Todos",'Plan mensual'!F31,0)))*parametros_manuales!$I$24*parametros_manuales!$J$24</f>
        <v>1875.698297054</v>
      </c>
      <c r="E61" s="9" t="n">
        <f aca="false">(parametros_manuales!$D$24*('Plan mensual'!G24+IF(parametros_manuales!$H$24="Todos",'Plan mensual'!G28,0))+parametros_manuales!$E$24*('Plan mensual'!G25+IF(parametros_manuales!$H$24="Todos",'Plan mensual'!G29,0))+parametros_manuales!$F$24*('Plan mensual'!G26+IF(parametros_manuales!$H$24="Todos",'Plan mensual'!G30,0))+parametros_manuales!$G$24*('Plan mensual'!G27+IF(parametros_manuales!$H$24="Todos",'Plan mensual'!G31,0)))*parametros_manuales!$I$24*parametros_manuales!$J$24</f>
        <v>1803.127558264</v>
      </c>
      <c r="F61" s="9" t="n">
        <f aca="false">(parametros_manuales!$D$24*('Plan mensual'!H24+IF(parametros_manuales!$H$24="Todos",'Plan mensual'!H28,0))+parametros_manuales!$E$24*('Plan mensual'!H25+IF(parametros_manuales!$H$24="Todos",'Plan mensual'!H29,0))+parametros_manuales!$F$24*('Plan mensual'!H26+IF(parametros_manuales!$H$24="Todos",'Plan mensual'!H30,0))+parametros_manuales!$G$24*('Plan mensual'!H27+IF(parametros_manuales!$H$24="Todos",'Plan mensual'!H31,0)))*parametros_manuales!$I$24*parametros_manuales!$J$24</f>
        <v>1688.523497332</v>
      </c>
      <c r="G61" s="9" t="n">
        <f aca="false">(parametros_manuales!$D$24*('Plan mensual'!I24+IF(parametros_manuales!$H$24="Todos",'Plan mensual'!I28,0))+parametros_manuales!$E$24*('Plan mensual'!I25+IF(parametros_manuales!$H$24="Todos",'Plan mensual'!I29,0))+parametros_manuales!$F$24*('Plan mensual'!I26+IF(parametros_manuales!$H$24="Todos",'Plan mensual'!I30,0))+parametros_manuales!$G$24*('Plan mensual'!I27+IF(parametros_manuales!$H$24="Todos",'Plan mensual'!I31,0)))*parametros_manuales!$I$24*parametros_manuales!$J$24</f>
        <v>1646.49017519</v>
      </c>
      <c r="H61" s="9" t="n">
        <f aca="false">(parametros_manuales!$D$24*('Plan mensual'!J24+IF(parametros_manuales!$H$24="Todos",'Plan mensual'!J28,0))+parametros_manuales!$E$24*('Plan mensual'!J25+IF(parametros_manuales!$H$24="Todos",'Plan mensual'!J29,0))+parametros_manuales!$F$24*('Plan mensual'!J26+IF(parametros_manuales!$H$24="Todos",'Plan mensual'!J30,0))+parametros_manuales!$G$24*('Plan mensual'!J27+IF(parametros_manuales!$H$24="Todos",'Plan mensual'!J31,0)))*parametros_manuales!$I$24*parametros_manuales!$J$24</f>
        <v>1761.094236122</v>
      </c>
      <c r="I61" s="9" t="n">
        <f aca="false">(parametros_manuales!$D$24*('Plan mensual'!K24+IF(parametros_manuales!$H$24="Todos",'Plan mensual'!K28,0))+parametros_manuales!$E$24*('Plan mensual'!K25+IF(parametros_manuales!$H$24="Todos",'Plan mensual'!K29,0))+parametros_manuales!$F$24*('Plan mensual'!K26+IF(parametros_manuales!$H$24="Todos",'Plan mensual'!K30,0))+parametros_manuales!$G$24*('Plan mensual'!K27+IF(parametros_manuales!$H$24="Todos",'Plan mensual'!K31,0)))*parametros_manuales!$I$24*parametros_manuales!$J$24</f>
        <v>1761.094236122</v>
      </c>
      <c r="J61" s="9" t="n">
        <f aca="false">(parametros_manuales!$D$24*('Plan mensual'!L24+IF(parametros_manuales!$H$24="Todos",'Plan mensual'!L28,0))+parametros_manuales!$E$24*('Plan mensual'!L25+IF(parametros_manuales!$H$24="Todos",'Plan mensual'!L29,0))+parametros_manuales!$F$24*('Plan mensual'!L26+IF(parametros_manuales!$H$24="Todos",'Plan mensual'!L30,0))+parametros_manuales!$G$24*('Plan mensual'!L27+IF(parametros_manuales!$H$24="Todos",'Plan mensual'!L31,0)))*parametros_manuales!$I$24*parametros_manuales!$J$24</f>
        <v>1761.094236122</v>
      </c>
      <c r="K61" s="9" t="n">
        <f aca="false">(parametros_manuales!$D$24*('Plan mensual'!M24+IF(parametros_manuales!$H$24="Todos",'Plan mensual'!M28,0))+parametros_manuales!$E$24*('Plan mensual'!M25+IF(parametros_manuales!$H$24="Todos",'Plan mensual'!M29,0))+parametros_manuales!$F$24*('Plan mensual'!M26+IF(parametros_manuales!$H$24="Todos",'Plan mensual'!M30,0))+parametros_manuales!$G$24*('Plan mensual'!M27+IF(parametros_manuales!$H$24="Todos",'Plan mensual'!M31,0)))*parametros_manuales!$I$24*parametros_manuales!$J$24</f>
        <v>1719.06091398</v>
      </c>
      <c r="L61" s="9" t="n">
        <f aca="false">(parametros_manuales!$D$24*('Plan mensual'!N24+IF(parametros_manuales!$H$24="Todos",'Plan mensual'!N28,0))+parametros_manuales!$E$24*('Plan mensual'!N25+IF(parametros_manuales!$H$24="Todos",'Plan mensual'!N29,0))+parametros_manuales!$F$24*('Plan mensual'!N26+IF(parametros_manuales!$H$24="Todos",'Plan mensual'!N30,0))+parametros_manuales!$G$24*('Plan mensual'!N27+IF(parametros_manuales!$H$24="Todos",'Plan mensual'!N31,0)))*parametros_manuales!$I$24*parametros_manuales!$J$24</f>
        <v>1677.027591838</v>
      </c>
      <c r="M61" s="9" t="n">
        <f aca="false">(parametros_manuales!$D$24*('Plan mensual'!O24+IF(parametros_manuales!$H$24="Todos",'Plan mensual'!O28,0))+parametros_manuales!$E$24*('Plan mensual'!O25+IF(parametros_manuales!$H$24="Todos",'Plan mensual'!O29,0))+parametros_manuales!$F$24*('Plan mensual'!O26+IF(parametros_manuales!$H$24="Todos",'Plan mensual'!O30,0))+parametros_manuales!$G$24*('Plan mensual'!O27+IF(parametros_manuales!$H$24="Todos",'Plan mensual'!O31,0)))*parametros_manuales!$I$24*parametros_manuales!$J$24</f>
        <v>2666.430818084</v>
      </c>
      <c r="N61" s="9" t="n">
        <f aca="false">SUM(B61:M61)</f>
        <v>22920.8121864</v>
      </c>
      <c r="O61" s="9" t="n">
        <f aca="false">MAX(B61:M61)</f>
        <v>2666.430818084</v>
      </c>
      <c r="P61" s="43" t="n">
        <f aca="false">O61/(parametros_manuales!$B$7)</f>
        <v>17.7762054538933</v>
      </c>
      <c r="Q61" s="8" t="str">
        <f aca="false">IF(O61=0,"-",INDEX($B$55:$M$55,MATCH(O61,B61:M61,0)))</f>
        <v>Dic</v>
      </c>
    </row>
    <row r="62" customFormat="false" ht="14.25" hidden="false" customHeight="true" outlineLevel="0" collapsed="false">
      <c r="A62" s="8" t="str">
        <f aca="false">parametros_manuales!$B$25</f>
        <v>Soldadura del cuello a la cúpula</v>
      </c>
      <c r="B62" s="9" t="n">
        <f aca="false">(parametros_manuales!$D$25*('Plan mensual'!D24+IF(parametros_manuales!$H$25="Todos",'Plan mensual'!D28,0))+parametros_manuales!$E$25*('Plan mensual'!D25+IF(parametros_manuales!$H$25="Todos",'Plan mensual'!D29,0))+parametros_manuales!$F$25*('Plan mensual'!D26+IF(parametros_manuales!$H$25="Todos",'Plan mensual'!D30,0))+parametros_manuales!$G$25*('Plan mensual'!D27+IF(parametros_manuales!$H$25="Todos",'Plan mensual'!D31,0)))*parametros_manuales!$I$25*parametros_manuales!$J$25</f>
        <v>2582.3641738</v>
      </c>
      <c r="C62" s="9" t="n">
        <f aca="false">(parametros_manuales!$D$25*('Plan mensual'!E24+IF(parametros_manuales!$H$25="Todos",'Plan mensual'!E28,0))+parametros_manuales!$E$25*('Plan mensual'!E25+IF(parametros_manuales!$H$25="Todos",'Plan mensual'!E29,0))+parametros_manuales!$F$25*('Plan mensual'!E26+IF(parametros_manuales!$H$25="Todos",'Plan mensual'!E30,0))+parametros_manuales!$G$25*('Plan mensual'!E27+IF(parametros_manuales!$H$25="Todos",'Plan mensual'!E31,0)))*parametros_manuales!$I$25*parametros_manuales!$J$25</f>
        <v>1978.806452492</v>
      </c>
      <c r="D62" s="9" t="n">
        <f aca="false">(parametros_manuales!$D$25*('Plan mensual'!F24+IF(parametros_manuales!$H$25="Todos",'Plan mensual'!F28,0))+parametros_manuales!$E$25*('Plan mensual'!F25+IF(parametros_manuales!$H$25="Todos",'Plan mensual'!F29,0))+parametros_manuales!$F$25*('Plan mensual'!F26+IF(parametros_manuales!$H$25="Todos",'Plan mensual'!F30,0))+parametros_manuales!$G$25*('Plan mensual'!F27+IF(parametros_manuales!$H$25="Todos",'Plan mensual'!F31,0)))*parametros_manuales!$I$25*parametros_manuales!$J$25</f>
        <v>1875.698297054</v>
      </c>
      <c r="E62" s="9" t="n">
        <f aca="false">(parametros_manuales!$D$25*('Plan mensual'!G24+IF(parametros_manuales!$H$25="Todos",'Plan mensual'!G28,0))+parametros_manuales!$E$25*('Plan mensual'!G25+IF(parametros_manuales!$H$25="Todos",'Plan mensual'!G29,0))+parametros_manuales!$F$25*('Plan mensual'!G26+IF(parametros_manuales!$H$25="Todos",'Plan mensual'!G30,0))+parametros_manuales!$G$25*('Plan mensual'!G27+IF(parametros_manuales!$H$25="Todos",'Plan mensual'!G31,0)))*parametros_manuales!$I$25*parametros_manuales!$J$25</f>
        <v>1803.127558264</v>
      </c>
      <c r="F62" s="9" t="n">
        <f aca="false">(parametros_manuales!$D$25*('Plan mensual'!H24+IF(parametros_manuales!$H$25="Todos",'Plan mensual'!H28,0))+parametros_manuales!$E$25*('Plan mensual'!H25+IF(parametros_manuales!$H$25="Todos",'Plan mensual'!H29,0))+parametros_manuales!$F$25*('Plan mensual'!H26+IF(parametros_manuales!$H$25="Todos",'Plan mensual'!H30,0))+parametros_manuales!$G$25*('Plan mensual'!H27+IF(parametros_manuales!$H$25="Todos",'Plan mensual'!H31,0)))*parametros_manuales!$I$25*parametros_manuales!$J$25</f>
        <v>1688.523497332</v>
      </c>
      <c r="G62" s="9" t="n">
        <f aca="false">(parametros_manuales!$D$25*('Plan mensual'!I24+IF(parametros_manuales!$H$25="Todos",'Plan mensual'!I28,0))+parametros_manuales!$E$25*('Plan mensual'!I25+IF(parametros_manuales!$H$25="Todos",'Plan mensual'!I29,0))+parametros_manuales!$F$25*('Plan mensual'!I26+IF(parametros_manuales!$H$25="Todos",'Plan mensual'!I30,0))+parametros_manuales!$G$25*('Plan mensual'!I27+IF(parametros_manuales!$H$25="Todos",'Plan mensual'!I31,0)))*parametros_manuales!$I$25*parametros_manuales!$J$25</f>
        <v>1646.49017519</v>
      </c>
      <c r="H62" s="9" t="n">
        <f aca="false">(parametros_manuales!$D$25*('Plan mensual'!J24+IF(parametros_manuales!$H$25="Todos",'Plan mensual'!J28,0))+parametros_manuales!$E$25*('Plan mensual'!J25+IF(parametros_manuales!$H$25="Todos",'Plan mensual'!J29,0))+parametros_manuales!$F$25*('Plan mensual'!J26+IF(parametros_manuales!$H$25="Todos",'Plan mensual'!J30,0))+parametros_manuales!$G$25*('Plan mensual'!J27+IF(parametros_manuales!$H$25="Todos",'Plan mensual'!J31,0)))*parametros_manuales!$I$25*parametros_manuales!$J$25</f>
        <v>1761.094236122</v>
      </c>
      <c r="I62" s="9" t="n">
        <f aca="false">(parametros_manuales!$D$25*('Plan mensual'!K24+IF(parametros_manuales!$H$25="Todos",'Plan mensual'!K28,0))+parametros_manuales!$E$25*('Plan mensual'!K25+IF(parametros_manuales!$H$25="Todos",'Plan mensual'!K29,0))+parametros_manuales!$F$25*('Plan mensual'!K26+IF(parametros_manuales!$H$25="Todos",'Plan mensual'!K30,0))+parametros_manuales!$G$25*('Plan mensual'!K27+IF(parametros_manuales!$H$25="Todos",'Plan mensual'!K31,0)))*parametros_manuales!$I$25*parametros_manuales!$J$25</f>
        <v>1761.094236122</v>
      </c>
      <c r="J62" s="9" t="n">
        <f aca="false">(parametros_manuales!$D$25*('Plan mensual'!L24+IF(parametros_manuales!$H$25="Todos",'Plan mensual'!L28,0))+parametros_manuales!$E$25*('Plan mensual'!L25+IF(parametros_manuales!$H$25="Todos",'Plan mensual'!L29,0))+parametros_manuales!$F$25*('Plan mensual'!L26+IF(parametros_manuales!$H$25="Todos",'Plan mensual'!L30,0))+parametros_manuales!$G$25*('Plan mensual'!L27+IF(parametros_manuales!$H$25="Todos",'Plan mensual'!L31,0)))*parametros_manuales!$I$25*parametros_manuales!$J$25</f>
        <v>1761.094236122</v>
      </c>
      <c r="K62" s="9" t="n">
        <f aca="false">(parametros_manuales!$D$25*('Plan mensual'!M24+IF(parametros_manuales!$H$25="Todos",'Plan mensual'!M28,0))+parametros_manuales!$E$25*('Plan mensual'!M25+IF(parametros_manuales!$H$25="Todos",'Plan mensual'!M29,0))+parametros_manuales!$F$25*('Plan mensual'!M26+IF(parametros_manuales!$H$25="Todos",'Plan mensual'!M30,0))+parametros_manuales!$G$25*('Plan mensual'!M27+IF(parametros_manuales!$H$25="Todos",'Plan mensual'!M31,0)))*parametros_manuales!$I$25*parametros_manuales!$J$25</f>
        <v>1719.06091398</v>
      </c>
      <c r="L62" s="9" t="n">
        <f aca="false">(parametros_manuales!$D$25*('Plan mensual'!N24+IF(parametros_manuales!$H$25="Todos",'Plan mensual'!N28,0))+parametros_manuales!$E$25*('Plan mensual'!N25+IF(parametros_manuales!$H$25="Todos",'Plan mensual'!N29,0))+parametros_manuales!$F$25*('Plan mensual'!N26+IF(parametros_manuales!$H$25="Todos",'Plan mensual'!N30,0))+parametros_manuales!$G$25*('Plan mensual'!N27+IF(parametros_manuales!$H$25="Todos",'Plan mensual'!N31,0)))*parametros_manuales!$I$25*parametros_manuales!$J$25</f>
        <v>1677.027591838</v>
      </c>
      <c r="M62" s="9" t="n">
        <f aca="false">(parametros_manuales!$D$25*('Plan mensual'!O24+IF(parametros_manuales!$H$25="Todos",'Plan mensual'!O28,0))+parametros_manuales!$E$25*('Plan mensual'!O25+IF(parametros_manuales!$H$25="Todos",'Plan mensual'!O29,0))+parametros_manuales!$F$25*('Plan mensual'!O26+IF(parametros_manuales!$H$25="Todos",'Plan mensual'!O30,0))+parametros_manuales!$G$25*('Plan mensual'!O27+IF(parametros_manuales!$H$25="Todos",'Plan mensual'!O31,0)))*parametros_manuales!$I$25*parametros_manuales!$J$25</f>
        <v>2666.430818084</v>
      </c>
      <c r="N62" s="9" t="n">
        <f aca="false">SUM(B62:M62)</f>
        <v>22920.8121864</v>
      </c>
      <c r="O62" s="9" t="n">
        <f aca="false">MAX(B62:M62)</f>
        <v>2666.430818084</v>
      </c>
      <c r="P62" s="43" t="n">
        <f aca="false">O62/(parametros_manuales!$B$7)</f>
        <v>17.7762054538933</v>
      </c>
      <c r="Q62" s="8" t="str">
        <f aca="false">IF(O62=0,"-",INDEX($B$55:$M$55,MATCH(O62,B62:M62,0)))</f>
        <v>Dic</v>
      </c>
    </row>
    <row r="63" customFormat="false" ht="14.25" hidden="false" customHeight="true" outlineLevel="0" collapsed="false">
      <c r="A63" s="8" t="str">
        <f aca="false">parametros_manuales!$B$26</f>
        <v>Cilindrado</v>
      </c>
      <c r="B63" s="9" t="n">
        <f aca="false">(parametros_manuales!$D$26*('Plan mensual'!D24+IF(parametros_manuales!$H$26="Todos",'Plan mensual'!D28,0))+parametros_manuales!$E$26*('Plan mensual'!D25+IF(parametros_manuales!$H$26="Todos",'Plan mensual'!D29,0))+parametros_manuales!$F$26*('Plan mensual'!D26+IF(parametros_manuales!$H$26="Todos",'Plan mensual'!D30,0))+parametros_manuales!$G$26*('Plan mensual'!D27+IF(parametros_manuales!$H$26="Todos",'Plan mensual'!D31,0)))*parametros_manuales!$I$26*parametros_manuales!$J$26</f>
        <v>840.66644284</v>
      </c>
      <c r="C63" s="9" t="n">
        <f aca="false">(parametros_manuales!$D$26*('Plan mensual'!E24+IF(parametros_manuales!$H$26="Todos",'Plan mensual'!E28,0))+parametros_manuales!$E$26*('Plan mensual'!E25+IF(parametros_manuales!$H$26="Todos",'Plan mensual'!E29,0))+parametros_manuales!$F$26*('Plan mensual'!E26+IF(parametros_manuales!$H$26="Todos",'Plan mensual'!E30,0))+parametros_manuales!$G$26*('Plan mensual'!E27+IF(parametros_manuales!$H$26="Todos",'Plan mensual'!E31,0)))*parametros_manuales!$I$26*parametros_manuales!$J$26</f>
        <v>672.533154272</v>
      </c>
      <c r="D63" s="9" t="n">
        <f aca="false">(parametros_manuales!$D$26*('Plan mensual'!F24+IF(parametros_manuales!$H$26="Todos",'Plan mensual'!F28,0))+parametros_manuales!$E$26*('Plan mensual'!F25+IF(parametros_manuales!$H$26="Todos",'Plan mensual'!F29,0))+parametros_manuales!$F$26*('Plan mensual'!F26+IF(parametros_manuales!$H$26="Todos",'Plan mensual'!F30,0))+parametros_manuales!$G$26*('Plan mensual'!F27+IF(parametros_manuales!$H$26="Todos",'Plan mensual'!F31,0)))*parametros_manuales!$I$26*parametros_manuales!$J$26</f>
        <v>714.566476414</v>
      </c>
      <c r="E63" s="9" t="n">
        <f aca="false">(parametros_manuales!$D$26*('Plan mensual'!G24+IF(parametros_manuales!$H$26="Todos",'Plan mensual'!G28,0))+parametros_manuales!$E$26*('Plan mensual'!G25+IF(parametros_manuales!$H$26="Todos",'Plan mensual'!G29,0))+parametros_manuales!$F$26*('Plan mensual'!G26+IF(parametros_manuales!$H$26="Todos",'Plan mensual'!G30,0))+parametros_manuales!$G$26*('Plan mensual'!G27+IF(parametros_manuales!$H$26="Todos",'Plan mensual'!G31,0)))*parametros_manuales!$I$26*parametros_manuales!$J$26</f>
        <v>714.566476414</v>
      </c>
      <c r="F63" s="9" t="n">
        <f aca="false">(parametros_manuales!$D$26*('Plan mensual'!H24+IF(parametros_manuales!$H$26="Todos",'Plan mensual'!H28,0))+parametros_manuales!$E$26*('Plan mensual'!H25+IF(parametros_manuales!$H$26="Todos",'Plan mensual'!H29,0))+parametros_manuales!$F$26*('Plan mensual'!H26+IF(parametros_manuales!$H$26="Todos",'Plan mensual'!H30,0))+parametros_manuales!$G$26*('Plan mensual'!H27+IF(parametros_manuales!$H$26="Todos",'Plan mensual'!H31,0)))*parametros_manuales!$I$26*parametros_manuales!$J$26</f>
        <v>672.533154272</v>
      </c>
      <c r="G63" s="9" t="n">
        <f aca="false">(parametros_manuales!$D$26*('Plan mensual'!I24+IF(parametros_manuales!$H$26="Todos",'Plan mensual'!I28,0))+parametros_manuales!$E$26*('Plan mensual'!I25+IF(parametros_manuales!$H$26="Todos",'Plan mensual'!I29,0))+parametros_manuales!$F$26*('Plan mensual'!I26+IF(parametros_manuales!$H$26="Todos",'Plan mensual'!I30,0))+parametros_manuales!$G$26*('Plan mensual'!I27+IF(parametros_manuales!$H$26="Todos",'Plan mensual'!I31,0)))*parametros_manuales!$I$26*parametros_manuales!$J$26</f>
        <v>630.49983213</v>
      </c>
      <c r="H63" s="9" t="n">
        <f aca="false">(parametros_manuales!$D$26*('Plan mensual'!J24+IF(parametros_manuales!$H$26="Todos",'Plan mensual'!J28,0))+parametros_manuales!$E$26*('Plan mensual'!J25+IF(parametros_manuales!$H$26="Todos",'Plan mensual'!J29,0))+parametros_manuales!$F$26*('Plan mensual'!J26+IF(parametros_manuales!$H$26="Todos",'Plan mensual'!J30,0))+parametros_manuales!$G$26*('Plan mensual'!J27+IF(parametros_manuales!$H$26="Todos",'Plan mensual'!J31,0)))*parametros_manuales!$I$26*parametros_manuales!$J$26</f>
        <v>672.533154272</v>
      </c>
      <c r="I63" s="9" t="n">
        <f aca="false">(parametros_manuales!$D$26*('Plan mensual'!K24+IF(parametros_manuales!$H$26="Todos",'Plan mensual'!K28,0))+parametros_manuales!$E$26*('Plan mensual'!K25+IF(parametros_manuales!$H$26="Todos",'Plan mensual'!K29,0))+parametros_manuales!$F$26*('Plan mensual'!K26+IF(parametros_manuales!$H$26="Todos",'Plan mensual'!K30,0))+parametros_manuales!$G$26*('Plan mensual'!K27+IF(parametros_manuales!$H$26="Todos",'Plan mensual'!K31,0)))*parametros_manuales!$I$26*parametros_manuales!$J$26</f>
        <v>672.533154272</v>
      </c>
      <c r="J63" s="9" t="n">
        <f aca="false">(parametros_manuales!$D$26*('Plan mensual'!L24+IF(parametros_manuales!$H$26="Todos",'Plan mensual'!L28,0))+parametros_manuales!$E$26*('Plan mensual'!L25+IF(parametros_manuales!$H$26="Todos",'Plan mensual'!L29,0))+parametros_manuales!$F$26*('Plan mensual'!L26+IF(parametros_manuales!$H$26="Todos",'Plan mensual'!L30,0))+parametros_manuales!$G$26*('Plan mensual'!L27+IF(parametros_manuales!$H$26="Todos",'Plan mensual'!L31,0)))*parametros_manuales!$I$26*parametros_manuales!$J$26</f>
        <v>672.533154272</v>
      </c>
      <c r="K63" s="9" t="n">
        <f aca="false">(parametros_manuales!$D$26*('Plan mensual'!M24+IF(parametros_manuales!$H$26="Todos",'Plan mensual'!M28,0))+parametros_manuales!$E$26*('Plan mensual'!M25+IF(parametros_manuales!$H$26="Todos",'Plan mensual'!M29,0))+parametros_manuales!$F$26*('Plan mensual'!M26+IF(parametros_manuales!$H$26="Todos",'Plan mensual'!M30,0))+parametros_manuales!$G$26*('Plan mensual'!M27+IF(parametros_manuales!$H$26="Todos",'Plan mensual'!M31,0)))*parametros_manuales!$I$26*parametros_manuales!$J$26</f>
        <v>630.49983213</v>
      </c>
      <c r="L63" s="9" t="n">
        <f aca="false">(parametros_manuales!$D$26*('Plan mensual'!N24+IF(parametros_manuales!$H$26="Todos",'Plan mensual'!N28,0))+parametros_manuales!$E$26*('Plan mensual'!N25+IF(parametros_manuales!$H$26="Todos",'Plan mensual'!N29,0))+parametros_manuales!$F$26*('Plan mensual'!N26+IF(parametros_manuales!$H$26="Todos",'Plan mensual'!N30,0))+parametros_manuales!$G$26*('Plan mensual'!N27+IF(parametros_manuales!$H$26="Todos",'Plan mensual'!N31,0)))*parametros_manuales!$I$26*parametros_manuales!$J$26</f>
        <v>588.466509988</v>
      </c>
      <c r="M63" s="9" t="n">
        <f aca="false">(parametros_manuales!$D$26*('Plan mensual'!O24+IF(parametros_manuales!$H$26="Todos",'Plan mensual'!O28,0))+parametros_manuales!$E$26*('Plan mensual'!O25+IF(parametros_manuales!$H$26="Todos",'Plan mensual'!O29,0))+parametros_manuales!$F$26*('Plan mensual'!O26+IF(parametros_manuales!$H$26="Todos",'Plan mensual'!O30,0))+parametros_manuales!$G$26*('Plan mensual'!O27+IF(parametros_manuales!$H$26="Todos",'Plan mensual'!O31,0)))*parametros_manuales!$I$26*parametros_manuales!$J$26</f>
        <v>924.733087124</v>
      </c>
      <c r="N63" s="9" t="n">
        <f aca="false">SUM(B63:M63)</f>
        <v>8406.6644284</v>
      </c>
      <c r="O63" s="9" t="n">
        <f aca="false">MAX(B63:M63)</f>
        <v>924.733087124</v>
      </c>
      <c r="P63" s="43" t="n">
        <f aca="false">O63/(parametros_manuales!$B$7)</f>
        <v>6.16488724749333</v>
      </c>
      <c r="Q63" s="8" t="str">
        <f aca="false">IF(O63=0,"-",INDEX($B$55:$M$55,MATCH(O63,B63:M63,0)))</f>
        <v>Dic</v>
      </c>
    </row>
    <row r="64" customFormat="false" ht="14.25" hidden="false" customHeight="true" outlineLevel="0" collapsed="false">
      <c r="A64" s="8" t="str">
        <f aca="false">parametros_manuales!$B$27</f>
        <v>Soldadura longitudinal</v>
      </c>
      <c r="B64" s="9" t="n">
        <f aca="false">(parametros_manuales!$D$27*('Plan mensual'!D24+IF(parametros_manuales!$H$27="Todos",'Plan mensual'!D28,0))+parametros_manuales!$E$27*('Plan mensual'!D25+IF(parametros_manuales!$H$27="Todos",'Plan mensual'!D29,0))+parametros_manuales!$F$27*('Plan mensual'!D26+IF(parametros_manuales!$H$27="Todos",'Plan mensual'!D30,0))+parametros_manuales!$G$27*('Plan mensual'!D27+IF(parametros_manuales!$H$27="Todos",'Plan mensual'!D31,0)))*parametros_manuales!$I$27*parametros_manuales!$J$27</f>
        <v>840.66644284</v>
      </c>
      <c r="C64" s="9" t="n">
        <f aca="false">(parametros_manuales!$D$27*('Plan mensual'!E24+IF(parametros_manuales!$H$27="Todos",'Plan mensual'!E28,0))+parametros_manuales!$E$27*('Plan mensual'!E25+IF(parametros_manuales!$H$27="Todos",'Plan mensual'!E29,0))+parametros_manuales!$F$27*('Plan mensual'!E26+IF(parametros_manuales!$H$27="Todos",'Plan mensual'!E30,0))+parametros_manuales!$G$27*('Plan mensual'!E27+IF(parametros_manuales!$H$27="Todos",'Plan mensual'!E31,0)))*parametros_manuales!$I$27*parametros_manuales!$J$27</f>
        <v>672.533154272</v>
      </c>
      <c r="D64" s="9" t="n">
        <f aca="false">(parametros_manuales!$D$27*('Plan mensual'!F24+IF(parametros_manuales!$H$27="Todos",'Plan mensual'!F28,0))+parametros_manuales!$E$27*('Plan mensual'!F25+IF(parametros_manuales!$H$27="Todos",'Plan mensual'!F29,0))+parametros_manuales!$F$27*('Plan mensual'!F26+IF(parametros_manuales!$H$27="Todos",'Plan mensual'!F30,0))+parametros_manuales!$G$27*('Plan mensual'!F27+IF(parametros_manuales!$H$27="Todos",'Plan mensual'!F31,0)))*parametros_manuales!$I$27*parametros_manuales!$J$27</f>
        <v>714.566476414</v>
      </c>
      <c r="E64" s="9" t="n">
        <f aca="false">(parametros_manuales!$D$27*('Plan mensual'!G24+IF(parametros_manuales!$H$27="Todos",'Plan mensual'!G28,0))+parametros_manuales!$E$27*('Plan mensual'!G25+IF(parametros_manuales!$H$27="Todos",'Plan mensual'!G29,0))+parametros_manuales!$F$27*('Plan mensual'!G26+IF(parametros_manuales!$H$27="Todos",'Plan mensual'!G30,0))+parametros_manuales!$G$27*('Plan mensual'!G27+IF(parametros_manuales!$H$27="Todos",'Plan mensual'!G31,0)))*parametros_manuales!$I$27*parametros_manuales!$J$27</f>
        <v>714.566476414</v>
      </c>
      <c r="F64" s="9" t="n">
        <f aca="false">(parametros_manuales!$D$27*('Plan mensual'!H24+IF(parametros_manuales!$H$27="Todos",'Plan mensual'!H28,0))+parametros_manuales!$E$27*('Plan mensual'!H25+IF(parametros_manuales!$H$27="Todos",'Plan mensual'!H29,0))+parametros_manuales!$F$27*('Plan mensual'!H26+IF(parametros_manuales!$H$27="Todos",'Plan mensual'!H30,0))+parametros_manuales!$G$27*('Plan mensual'!H27+IF(parametros_manuales!$H$27="Todos",'Plan mensual'!H31,0)))*parametros_manuales!$I$27*parametros_manuales!$J$27</f>
        <v>672.533154272</v>
      </c>
      <c r="G64" s="9" t="n">
        <f aca="false">(parametros_manuales!$D$27*('Plan mensual'!I24+IF(parametros_manuales!$H$27="Todos",'Plan mensual'!I28,0))+parametros_manuales!$E$27*('Plan mensual'!I25+IF(parametros_manuales!$H$27="Todos",'Plan mensual'!I29,0))+parametros_manuales!$F$27*('Plan mensual'!I26+IF(parametros_manuales!$H$27="Todos",'Plan mensual'!I30,0))+parametros_manuales!$G$27*('Plan mensual'!I27+IF(parametros_manuales!$H$27="Todos",'Plan mensual'!I31,0)))*parametros_manuales!$I$27*parametros_manuales!$J$27</f>
        <v>630.49983213</v>
      </c>
      <c r="H64" s="9" t="n">
        <f aca="false">(parametros_manuales!$D$27*('Plan mensual'!J24+IF(parametros_manuales!$H$27="Todos",'Plan mensual'!J28,0))+parametros_manuales!$E$27*('Plan mensual'!J25+IF(parametros_manuales!$H$27="Todos",'Plan mensual'!J29,0))+parametros_manuales!$F$27*('Plan mensual'!J26+IF(parametros_manuales!$H$27="Todos",'Plan mensual'!J30,0))+parametros_manuales!$G$27*('Plan mensual'!J27+IF(parametros_manuales!$H$27="Todos",'Plan mensual'!J31,0)))*parametros_manuales!$I$27*parametros_manuales!$J$27</f>
        <v>672.533154272</v>
      </c>
      <c r="I64" s="9" t="n">
        <f aca="false">(parametros_manuales!$D$27*('Plan mensual'!K24+IF(parametros_manuales!$H$27="Todos",'Plan mensual'!K28,0))+parametros_manuales!$E$27*('Plan mensual'!K25+IF(parametros_manuales!$H$27="Todos",'Plan mensual'!K29,0))+parametros_manuales!$F$27*('Plan mensual'!K26+IF(parametros_manuales!$H$27="Todos",'Plan mensual'!K30,0))+parametros_manuales!$G$27*('Plan mensual'!K27+IF(parametros_manuales!$H$27="Todos",'Plan mensual'!K31,0)))*parametros_manuales!$I$27*parametros_manuales!$J$27</f>
        <v>672.533154272</v>
      </c>
      <c r="J64" s="9" t="n">
        <f aca="false">(parametros_manuales!$D$27*('Plan mensual'!L24+IF(parametros_manuales!$H$27="Todos",'Plan mensual'!L28,0))+parametros_manuales!$E$27*('Plan mensual'!L25+IF(parametros_manuales!$H$27="Todos",'Plan mensual'!L29,0))+parametros_manuales!$F$27*('Plan mensual'!L26+IF(parametros_manuales!$H$27="Todos",'Plan mensual'!L30,0))+parametros_manuales!$G$27*('Plan mensual'!L27+IF(parametros_manuales!$H$27="Todos",'Plan mensual'!L31,0)))*parametros_manuales!$I$27*parametros_manuales!$J$27</f>
        <v>672.533154272</v>
      </c>
      <c r="K64" s="9" t="n">
        <f aca="false">(parametros_manuales!$D$27*('Plan mensual'!M24+IF(parametros_manuales!$H$27="Todos",'Plan mensual'!M28,0))+parametros_manuales!$E$27*('Plan mensual'!M25+IF(parametros_manuales!$H$27="Todos",'Plan mensual'!M29,0))+parametros_manuales!$F$27*('Plan mensual'!M26+IF(parametros_manuales!$H$27="Todos",'Plan mensual'!M30,0))+parametros_manuales!$G$27*('Plan mensual'!M27+IF(parametros_manuales!$H$27="Todos",'Plan mensual'!M31,0)))*parametros_manuales!$I$27*parametros_manuales!$J$27</f>
        <v>630.49983213</v>
      </c>
      <c r="L64" s="9" t="n">
        <f aca="false">(parametros_manuales!$D$27*('Plan mensual'!N24+IF(parametros_manuales!$H$27="Todos",'Plan mensual'!N28,0))+parametros_manuales!$E$27*('Plan mensual'!N25+IF(parametros_manuales!$H$27="Todos",'Plan mensual'!N29,0))+parametros_manuales!$F$27*('Plan mensual'!N26+IF(parametros_manuales!$H$27="Todos",'Plan mensual'!N30,0))+parametros_manuales!$G$27*('Plan mensual'!N27+IF(parametros_manuales!$H$27="Todos",'Plan mensual'!N31,0)))*parametros_manuales!$I$27*parametros_manuales!$J$27</f>
        <v>588.466509988</v>
      </c>
      <c r="M64" s="9" t="n">
        <f aca="false">(parametros_manuales!$D$27*('Plan mensual'!O24+IF(parametros_manuales!$H$27="Todos",'Plan mensual'!O28,0))+parametros_manuales!$E$27*('Plan mensual'!O25+IF(parametros_manuales!$H$27="Todos",'Plan mensual'!O29,0))+parametros_manuales!$F$27*('Plan mensual'!O26+IF(parametros_manuales!$H$27="Todos",'Plan mensual'!O30,0))+parametros_manuales!$G$27*('Plan mensual'!O27+IF(parametros_manuales!$H$27="Todos",'Plan mensual'!O31,0)))*parametros_manuales!$I$27*parametros_manuales!$J$27</f>
        <v>924.733087124</v>
      </c>
      <c r="N64" s="9" t="n">
        <f aca="false">SUM(B64:M64)</f>
        <v>8406.6644284</v>
      </c>
      <c r="O64" s="9" t="n">
        <f aca="false">MAX(B64:M64)</f>
        <v>924.733087124</v>
      </c>
      <c r="P64" s="43" t="n">
        <f aca="false">O64/(parametros_manuales!$B$7)</f>
        <v>6.16488724749333</v>
      </c>
      <c r="Q64" s="8" t="str">
        <f aca="false">IF(O64=0,"-",INDEX($B$55:$M$55,MATCH(O64,B64:M64,0)))</f>
        <v>Dic</v>
      </c>
    </row>
    <row r="65" customFormat="false" ht="14.25" hidden="false" customHeight="true" outlineLevel="0" collapsed="false">
      <c r="A65" s="8" t="str">
        <f aca="false">parametros_manuales!$B$28</f>
        <v>Encastre de fondo</v>
      </c>
      <c r="B65" s="9" t="n">
        <f aca="false">(parametros_manuales!$D$28*('Plan mensual'!D24+IF(parametros_manuales!$H$28="Todos",'Plan mensual'!D28,0))+parametros_manuales!$E$28*('Plan mensual'!D25+IF(parametros_manuales!$H$28="Todos",'Plan mensual'!D29,0))+parametros_manuales!$F$28*('Plan mensual'!D26+IF(parametros_manuales!$H$28="Todos",'Plan mensual'!D30,0))+parametros_manuales!$G$28*('Plan mensual'!D27+IF(parametros_manuales!$H$28="Todos",'Plan mensual'!D31,0)))*parametros_manuales!$I$28*parametros_manuales!$J$28</f>
        <v>2582.3641738</v>
      </c>
      <c r="C65" s="9" t="n">
        <f aca="false">(parametros_manuales!$D$28*('Plan mensual'!E24+IF(parametros_manuales!$H$28="Todos",'Plan mensual'!E28,0))+parametros_manuales!$E$28*('Plan mensual'!E25+IF(parametros_manuales!$H$28="Todos",'Plan mensual'!E29,0))+parametros_manuales!$F$28*('Plan mensual'!E26+IF(parametros_manuales!$H$28="Todos",'Plan mensual'!E30,0))+parametros_manuales!$G$28*('Plan mensual'!E27+IF(parametros_manuales!$H$28="Todos",'Plan mensual'!E31,0)))*parametros_manuales!$I$28*parametros_manuales!$J$28</f>
        <v>1978.806452492</v>
      </c>
      <c r="D65" s="9" t="n">
        <f aca="false">(parametros_manuales!$D$28*('Plan mensual'!F24+IF(parametros_manuales!$H$28="Todos",'Plan mensual'!F28,0))+parametros_manuales!$E$28*('Plan mensual'!F25+IF(parametros_manuales!$H$28="Todos",'Plan mensual'!F29,0))+parametros_manuales!$F$28*('Plan mensual'!F26+IF(parametros_manuales!$H$28="Todos",'Plan mensual'!F30,0))+parametros_manuales!$G$28*('Plan mensual'!F27+IF(parametros_manuales!$H$28="Todos",'Plan mensual'!F31,0)))*parametros_manuales!$I$28*parametros_manuales!$J$28</f>
        <v>1875.698297054</v>
      </c>
      <c r="E65" s="9" t="n">
        <f aca="false">(parametros_manuales!$D$28*('Plan mensual'!G24+IF(parametros_manuales!$H$28="Todos",'Plan mensual'!G28,0))+parametros_manuales!$E$28*('Plan mensual'!G25+IF(parametros_manuales!$H$28="Todos",'Plan mensual'!G29,0))+parametros_manuales!$F$28*('Plan mensual'!G26+IF(parametros_manuales!$H$28="Todos",'Plan mensual'!G30,0))+parametros_manuales!$G$28*('Plan mensual'!G27+IF(parametros_manuales!$H$28="Todos",'Plan mensual'!G31,0)))*parametros_manuales!$I$28*parametros_manuales!$J$28</f>
        <v>1803.127558264</v>
      </c>
      <c r="F65" s="9" t="n">
        <f aca="false">(parametros_manuales!$D$28*('Plan mensual'!H24+IF(parametros_manuales!$H$28="Todos",'Plan mensual'!H28,0))+parametros_manuales!$E$28*('Plan mensual'!H25+IF(parametros_manuales!$H$28="Todos",'Plan mensual'!H29,0))+parametros_manuales!$F$28*('Plan mensual'!H26+IF(parametros_manuales!$H$28="Todos",'Plan mensual'!H30,0))+parametros_manuales!$G$28*('Plan mensual'!H27+IF(parametros_manuales!$H$28="Todos",'Plan mensual'!H31,0)))*parametros_manuales!$I$28*parametros_manuales!$J$28</f>
        <v>1688.523497332</v>
      </c>
      <c r="G65" s="9" t="n">
        <f aca="false">(parametros_manuales!$D$28*('Plan mensual'!I24+IF(parametros_manuales!$H$28="Todos",'Plan mensual'!I28,0))+parametros_manuales!$E$28*('Plan mensual'!I25+IF(parametros_manuales!$H$28="Todos",'Plan mensual'!I29,0))+parametros_manuales!$F$28*('Plan mensual'!I26+IF(parametros_manuales!$H$28="Todos",'Plan mensual'!I30,0))+parametros_manuales!$G$28*('Plan mensual'!I27+IF(parametros_manuales!$H$28="Todos",'Plan mensual'!I31,0)))*parametros_manuales!$I$28*parametros_manuales!$J$28</f>
        <v>1646.49017519</v>
      </c>
      <c r="H65" s="9" t="n">
        <f aca="false">(parametros_manuales!$D$28*('Plan mensual'!J24+IF(parametros_manuales!$H$28="Todos",'Plan mensual'!J28,0))+parametros_manuales!$E$28*('Plan mensual'!J25+IF(parametros_manuales!$H$28="Todos",'Plan mensual'!J29,0))+parametros_manuales!$F$28*('Plan mensual'!J26+IF(parametros_manuales!$H$28="Todos",'Plan mensual'!J30,0))+parametros_manuales!$G$28*('Plan mensual'!J27+IF(parametros_manuales!$H$28="Todos",'Plan mensual'!J31,0)))*parametros_manuales!$I$28*parametros_manuales!$J$28</f>
        <v>1761.094236122</v>
      </c>
      <c r="I65" s="9" t="n">
        <f aca="false">(parametros_manuales!$D$28*('Plan mensual'!K24+IF(parametros_manuales!$H$28="Todos",'Plan mensual'!K28,0))+parametros_manuales!$E$28*('Plan mensual'!K25+IF(parametros_manuales!$H$28="Todos",'Plan mensual'!K29,0))+parametros_manuales!$F$28*('Plan mensual'!K26+IF(parametros_manuales!$H$28="Todos",'Plan mensual'!K30,0))+parametros_manuales!$G$28*('Plan mensual'!K27+IF(parametros_manuales!$H$28="Todos",'Plan mensual'!K31,0)))*parametros_manuales!$I$28*parametros_manuales!$J$28</f>
        <v>1761.094236122</v>
      </c>
      <c r="J65" s="9" t="n">
        <f aca="false">(parametros_manuales!$D$28*('Plan mensual'!L24+IF(parametros_manuales!$H$28="Todos",'Plan mensual'!L28,0))+parametros_manuales!$E$28*('Plan mensual'!L25+IF(parametros_manuales!$H$28="Todos",'Plan mensual'!L29,0))+parametros_manuales!$F$28*('Plan mensual'!L26+IF(parametros_manuales!$H$28="Todos",'Plan mensual'!L30,0))+parametros_manuales!$G$28*('Plan mensual'!L27+IF(parametros_manuales!$H$28="Todos",'Plan mensual'!L31,0)))*parametros_manuales!$I$28*parametros_manuales!$J$28</f>
        <v>1761.094236122</v>
      </c>
      <c r="K65" s="9" t="n">
        <f aca="false">(parametros_manuales!$D$28*('Plan mensual'!M24+IF(parametros_manuales!$H$28="Todos",'Plan mensual'!M28,0))+parametros_manuales!$E$28*('Plan mensual'!M25+IF(parametros_manuales!$H$28="Todos",'Plan mensual'!M29,0))+parametros_manuales!$F$28*('Plan mensual'!M26+IF(parametros_manuales!$H$28="Todos",'Plan mensual'!M30,0))+parametros_manuales!$G$28*('Plan mensual'!M27+IF(parametros_manuales!$H$28="Todos",'Plan mensual'!M31,0)))*parametros_manuales!$I$28*parametros_manuales!$J$28</f>
        <v>1719.06091398</v>
      </c>
      <c r="L65" s="9" t="n">
        <f aca="false">(parametros_manuales!$D$28*('Plan mensual'!N24+IF(parametros_manuales!$H$28="Todos",'Plan mensual'!N28,0))+parametros_manuales!$E$28*('Plan mensual'!N25+IF(parametros_manuales!$H$28="Todos",'Plan mensual'!N29,0))+parametros_manuales!$F$28*('Plan mensual'!N26+IF(parametros_manuales!$H$28="Todos",'Plan mensual'!N30,0))+parametros_manuales!$G$28*('Plan mensual'!N27+IF(parametros_manuales!$H$28="Todos",'Plan mensual'!N31,0)))*parametros_manuales!$I$28*parametros_manuales!$J$28</f>
        <v>1677.027591838</v>
      </c>
      <c r="M65" s="9" t="n">
        <f aca="false">(parametros_manuales!$D$28*('Plan mensual'!O24+IF(parametros_manuales!$H$28="Todos",'Plan mensual'!O28,0))+parametros_manuales!$E$28*('Plan mensual'!O25+IF(parametros_manuales!$H$28="Todos",'Plan mensual'!O29,0))+parametros_manuales!$F$28*('Plan mensual'!O26+IF(parametros_manuales!$H$28="Todos",'Plan mensual'!O30,0))+parametros_manuales!$G$28*('Plan mensual'!O27+IF(parametros_manuales!$H$28="Todos",'Plan mensual'!O31,0)))*parametros_manuales!$I$28*parametros_manuales!$J$28</f>
        <v>2666.430818084</v>
      </c>
      <c r="N65" s="9" t="n">
        <f aca="false">SUM(B65:M65)</f>
        <v>22920.8121864</v>
      </c>
      <c r="O65" s="9" t="n">
        <f aca="false">MAX(B65:M65)</f>
        <v>2666.430818084</v>
      </c>
      <c r="P65" s="43" t="n">
        <f aca="false">O65/(parametros_manuales!$B$7)</f>
        <v>17.7762054538933</v>
      </c>
      <c r="Q65" s="8" t="str">
        <f aca="false">IF(O65=0,"-",INDEX($B$55:$M$55,MATCH(O65,B65:M65,0)))</f>
        <v>Dic</v>
      </c>
    </row>
    <row r="66" customFormat="false" ht="14.25" hidden="false" customHeight="true" outlineLevel="0" collapsed="false">
      <c r="A66" s="8" t="str">
        <f aca="false">parametros_manuales!$B$29</f>
        <v>Bordoneado</v>
      </c>
      <c r="B66" s="9" t="n">
        <f aca="false">(parametros_manuales!$D$29*('Plan mensual'!D24+IF(parametros_manuales!$H$29="Todos",'Plan mensual'!D28,0))+parametros_manuales!$E$29*('Plan mensual'!D25+IF(parametros_manuales!$H$29="Todos",'Plan mensual'!D29,0))+parametros_manuales!$F$29*('Plan mensual'!D26+IF(parametros_manuales!$H$29="Todos",'Plan mensual'!D30,0))+parametros_manuales!$G$29*('Plan mensual'!D27+IF(parametros_manuales!$H$29="Todos",'Plan mensual'!D31,0)))*parametros_manuales!$I$29*parametros_manuales!$J$29</f>
        <v>2582.3641738</v>
      </c>
      <c r="C66" s="9" t="n">
        <f aca="false">(parametros_manuales!$D$29*('Plan mensual'!E24+IF(parametros_manuales!$H$29="Todos",'Plan mensual'!E28,0))+parametros_manuales!$E$29*('Plan mensual'!E25+IF(parametros_manuales!$H$29="Todos",'Plan mensual'!E29,0))+parametros_manuales!$F$29*('Plan mensual'!E26+IF(parametros_manuales!$H$29="Todos",'Plan mensual'!E30,0))+parametros_manuales!$G$29*('Plan mensual'!E27+IF(parametros_manuales!$H$29="Todos",'Plan mensual'!E31,0)))*parametros_manuales!$I$29*parametros_manuales!$J$29</f>
        <v>1978.806452492</v>
      </c>
      <c r="D66" s="9" t="n">
        <f aca="false">(parametros_manuales!$D$29*('Plan mensual'!F24+IF(parametros_manuales!$H$29="Todos",'Plan mensual'!F28,0))+parametros_manuales!$E$29*('Plan mensual'!F25+IF(parametros_manuales!$H$29="Todos",'Plan mensual'!F29,0))+parametros_manuales!$F$29*('Plan mensual'!F26+IF(parametros_manuales!$H$29="Todos",'Plan mensual'!F30,0))+parametros_manuales!$G$29*('Plan mensual'!F27+IF(parametros_manuales!$H$29="Todos",'Plan mensual'!F31,0)))*parametros_manuales!$I$29*parametros_manuales!$J$29</f>
        <v>1875.698297054</v>
      </c>
      <c r="E66" s="9" t="n">
        <f aca="false">(parametros_manuales!$D$29*('Plan mensual'!G24+IF(parametros_manuales!$H$29="Todos",'Plan mensual'!G28,0))+parametros_manuales!$E$29*('Plan mensual'!G25+IF(parametros_manuales!$H$29="Todos",'Plan mensual'!G29,0))+parametros_manuales!$F$29*('Plan mensual'!G26+IF(parametros_manuales!$H$29="Todos",'Plan mensual'!G30,0))+parametros_manuales!$G$29*('Plan mensual'!G27+IF(parametros_manuales!$H$29="Todos",'Plan mensual'!G31,0)))*parametros_manuales!$I$29*parametros_manuales!$J$29</f>
        <v>1803.127558264</v>
      </c>
      <c r="F66" s="9" t="n">
        <f aca="false">(parametros_manuales!$D$29*('Plan mensual'!H24+IF(parametros_manuales!$H$29="Todos",'Plan mensual'!H28,0))+parametros_manuales!$E$29*('Plan mensual'!H25+IF(parametros_manuales!$H$29="Todos",'Plan mensual'!H29,0))+parametros_manuales!$F$29*('Plan mensual'!H26+IF(parametros_manuales!$H$29="Todos",'Plan mensual'!H30,0))+parametros_manuales!$G$29*('Plan mensual'!H27+IF(parametros_manuales!$H$29="Todos",'Plan mensual'!H31,0)))*parametros_manuales!$I$29*parametros_manuales!$J$29</f>
        <v>1688.523497332</v>
      </c>
      <c r="G66" s="9" t="n">
        <f aca="false">(parametros_manuales!$D$29*('Plan mensual'!I24+IF(parametros_manuales!$H$29="Todos",'Plan mensual'!I28,0))+parametros_manuales!$E$29*('Plan mensual'!I25+IF(parametros_manuales!$H$29="Todos",'Plan mensual'!I29,0))+parametros_manuales!$F$29*('Plan mensual'!I26+IF(parametros_manuales!$H$29="Todos",'Plan mensual'!I30,0))+parametros_manuales!$G$29*('Plan mensual'!I27+IF(parametros_manuales!$H$29="Todos",'Plan mensual'!I31,0)))*parametros_manuales!$I$29*parametros_manuales!$J$29</f>
        <v>1646.49017519</v>
      </c>
      <c r="H66" s="9" t="n">
        <f aca="false">(parametros_manuales!$D$29*('Plan mensual'!J24+IF(parametros_manuales!$H$29="Todos",'Plan mensual'!J28,0))+parametros_manuales!$E$29*('Plan mensual'!J25+IF(parametros_manuales!$H$29="Todos",'Plan mensual'!J29,0))+parametros_manuales!$F$29*('Plan mensual'!J26+IF(parametros_manuales!$H$29="Todos",'Plan mensual'!J30,0))+parametros_manuales!$G$29*('Plan mensual'!J27+IF(parametros_manuales!$H$29="Todos",'Plan mensual'!J31,0)))*parametros_manuales!$I$29*parametros_manuales!$J$29</f>
        <v>1761.094236122</v>
      </c>
      <c r="I66" s="9" t="n">
        <f aca="false">(parametros_manuales!$D$29*('Plan mensual'!K24+IF(parametros_manuales!$H$29="Todos",'Plan mensual'!K28,0))+parametros_manuales!$E$29*('Plan mensual'!K25+IF(parametros_manuales!$H$29="Todos",'Plan mensual'!K29,0))+parametros_manuales!$F$29*('Plan mensual'!K26+IF(parametros_manuales!$H$29="Todos",'Plan mensual'!K30,0))+parametros_manuales!$G$29*('Plan mensual'!K27+IF(parametros_manuales!$H$29="Todos",'Plan mensual'!K31,0)))*parametros_manuales!$I$29*parametros_manuales!$J$29</f>
        <v>1761.094236122</v>
      </c>
      <c r="J66" s="9" t="n">
        <f aca="false">(parametros_manuales!$D$29*('Plan mensual'!L24+IF(parametros_manuales!$H$29="Todos",'Plan mensual'!L28,0))+parametros_manuales!$E$29*('Plan mensual'!L25+IF(parametros_manuales!$H$29="Todos",'Plan mensual'!L29,0))+parametros_manuales!$F$29*('Plan mensual'!L26+IF(parametros_manuales!$H$29="Todos",'Plan mensual'!L30,0))+parametros_manuales!$G$29*('Plan mensual'!L27+IF(parametros_manuales!$H$29="Todos",'Plan mensual'!L31,0)))*parametros_manuales!$I$29*parametros_manuales!$J$29</f>
        <v>1761.094236122</v>
      </c>
      <c r="K66" s="9" t="n">
        <f aca="false">(parametros_manuales!$D$29*('Plan mensual'!M24+IF(parametros_manuales!$H$29="Todos",'Plan mensual'!M28,0))+parametros_manuales!$E$29*('Plan mensual'!M25+IF(parametros_manuales!$H$29="Todos",'Plan mensual'!M29,0))+parametros_manuales!$F$29*('Plan mensual'!M26+IF(parametros_manuales!$H$29="Todos",'Plan mensual'!M30,0))+parametros_manuales!$G$29*('Plan mensual'!M27+IF(parametros_manuales!$H$29="Todos",'Plan mensual'!M31,0)))*parametros_manuales!$I$29*parametros_manuales!$J$29</f>
        <v>1719.06091398</v>
      </c>
      <c r="L66" s="9" t="n">
        <f aca="false">(parametros_manuales!$D$29*('Plan mensual'!N24+IF(parametros_manuales!$H$29="Todos",'Plan mensual'!N28,0))+parametros_manuales!$E$29*('Plan mensual'!N25+IF(parametros_manuales!$H$29="Todos",'Plan mensual'!N29,0))+parametros_manuales!$F$29*('Plan mensual'!N26+IF(parametros_manuales!$H$29="Todos",'Plan mensual'!N30,0))+parametros_manuales!$G$29*('Plan mensual'!N27+IF(parametros_manuales!$H$29="Todos",'Plan mensual'!N31,0)))*parametros_manuales!$I$29*parametros_manuales!$J$29</f>
        <v>1677.027591838</v>
      </c>
      <c r="M66" s="9" t="n">
        <f aca="false">(parametros_manuales!$D$29*('Plan mensual'!O24+IF(parametros_manuales!$H$29="Todos",'Plan mensual'!O28,0))+parametros_manuales!$E$29*('Plan mensual'!O25+IF(parametros_manuales!$H$29="Todos",'Plan mensual'!O29,0))+parametros_manuales!$F$29*('Plan mensual'!O26+IF(parametros_manuales!$H$29="Todos",'Plan mensual'!O30,0))+parametros_manuales!$G$29*('Plan mensual'!O27+IF(parametros_manuales!$H$29="Todos",'Plan mensual'!O31,0)))*parametros_manuales!$I$29*parametros_manuales!$J$29</f>
        <v>2666.430818084</v>
      </c>
      <c r="N66" s="9" t="n">
        <f aca="false">SUM(B66:M66)</f>
        <v>22920.8121864</v>
      </c>
      <c r="O66" s="9" t="n">
        <f aca="false">MAX(B66:M66)</f>
        <v>2666.430818084</v>
      </c>
      <c r="P66" s="43" t="n">
        <f aca="false">O66/(parametros_manuales!$B$7)</f>
        <v>17.7762054538933</v>
      </c>
      <c r="Q66" s="8" t="str">
        <f aca="false">IF(O66=0,"-",INDEX($B$55:$M$55,MATCH(O66,B66:M66,0)))</f>
        <v>Dic</v>
      </c>
    </row>
    <row r="67" customFormat="false" ht="14.25" hidden="false" customHeight="true" outlineLevel="0" collapsed="false">
      <c r="A67" s="8" t="str">
        <f aca="false">parametros_manuales!$B$30</f>
        <v>Soldadura circunferencial de cúpula y fondo</v>
      </c>
      <c r="B67" s="9" t="n">
        <f aca="false">(parametros_manuales!$D$30*('Plan mensual'!D24+IF(parametros_manuales!$H$30="Todos",'Plan mensual'!D28,0))+parametros_manuales!$E$30*('Plan mensual'!D25+IF(parametros_manuales!$H$30="Todos",'Plan mensual'!D29,0))+parametros_manuales!$F$30*('Plan mensual'!D26+IF(parametros_manuales!$H$30="Todos",'Plan mensual'!D30,0))+parametros_manuales!$G$30*('Plan mensual'!D27+IF(parametros_manuales!$H$30="Todos",'Plan mensual'!D31,0)))*parametros_manuales!$I$30*parametros_manuales!$J$30</f>
        <v>2582.3641738</v>
      </c>
      <c r="C67" s="9" t="n">
        <f aca="false">(parametros_manuales!$D$30*('Plan mensual'!E24+IF(parametros_manuales!$H$30="Todos",'Plan mensual'!E28,0))+parametros_manuales!$E$30*('Plan mensual'!E25+IF(parametros_manuales!$H$30="Todos",'Plan mensual'!E29,0))+parametros_manuales!$F$30*('Plan mensual'!E26+IF(parametros_manuales!$H$30="Todos",'Plan mensual'!E30,0))+parametros_manuales!$G$30*('Plan mensual'!E27+IF(parametros_manuales!$H$30="Todos",'Plan mensual'!E31,0)))*parametros_manuales!$I$30*parametros_manuales!$J$30</f>
        <v>1978.806452492</v>
      </c>
      <c r="D67" s="9" t="n">
        <f aca="false">(parametros_manuales!$D$30*('Plan mensual'!F24+IF(parametros_manuales!$H$30="Todos",'Plan mensual'!F28,0))+parametros_manuales!$E$30*('Plan mensual'!F25+IF(parametros_manuales!$H$30="Todos",'Plan mensual'!F29,0))+parametros_manuales!$F$30*('Plan mensual'!F26+IF(parametros_manuales!$H$30="Todos",'Plan mensual'!F30,0))+parametros_manuales!$G$30*('Plan mensual'!F27+IF(parametros_manuales!$H$30="Todos",'Plan mensual'!F31,0)))*parametros_manuales!$I$30*parametros_manuales!$J$30</f>
        <v>1875.698297054</v>
      </c>
      <c r="E67" s="9" t="n">
        <f aca="false">(parametros_manuales!$D$30*('Plan mensual'!G24+IF(parametros_manuales!$H$30="Todos",'Plan mensual'!G28,0))+parametros_manuales!$E$30*('Plan mensual'!G25+IF(parametros_manuales!$H$30="Todos",'Plan mensual'!G29,0))+parametros_manuales!$F$30*('Plan mensual'!G26+IF(parametros_manuales!$H$30="Todos",'Plan mensual'!G30,0))+parametros_manuales!$G$30*('Plan mensual'!G27+IF(parametros_manuales!$H$30="Todos",'Plan mensual'!G31,0)))*parametros_manuales!$I$30*parametros_manuales!$J$30</f>
        <v>1803.127558264</v>
      </c>
      <c r="F67" s="9" t="n">
        <f aca="false">(parametros_manuales!$D$30*('Plan mensual'!H24+IF(parametros_manuales!$H$30="Todos",'Plan mensual'!H28,0))+parametros_manuales!$E$30*('Plan mensual'!H25+IF(parametros_manuales!$H$30="Todos",'Plan mensual'!H29,0))+parametros_manuales!$F$30*('Plan mensual'!H26+IF(parametros_manuales!$H$30="Todos",'Plan mensual'!H30,0))+parametros_manuales!$G$30*('Plan mensual'!H27+IF(parametros_manuales!$H$30="Todos",'Plan mensual'!H31,0)))*parametros_manuales!$I$30*parametros_manuales!$J$30</f>
        <v>1688.523497332</v>
      </c>
      <c r="G67" s="9" t="n">
        <f aca="false">(parametros_manuales!$D$30*('Plan mensual'!I24+IF(parametros_manuales!$H$30="Todos",'Plan mensual'!I28,0))+parametros_manuales!$E$30*('Plan mensual'!I25+IF(parametros_manuales!$H$30="Todos",'Plan mensual'!I29,0))+parametros_manuales!$F$30*('Plan mensual'!I26+IF(parametros_manuales!$H$30="Todos",'Plan mensual'!I30,0))+parametros_manuales!$G$30*('Plan mensual'!I27+IF(parametros_manuales!$H$30="Todos",'Plan mensual'!I31,0)))*parametros_manuales!$I$30*parametros_manuales!$J$30</f>
        <v>1646.49017519</v>
      </c>
      <c r="H67" s="9" t="n">
        <f aca="false">(parametros_manuales!$D$30*('Plan mensual'!J24+IF(parametros_manuales!$H$30="Todos",'Plan mensual'!J28,0))+parametros_manuales!$E$30*('Plan mensual'!J25+IF(parametros_manuales!$H$30="Todos",'Plan mensual'!J29,0))+parametros_manuales!$F$30*('Plan mensual'!J26+IF(parametros_manuales!$H$30="Todos",'Plan mensual'!J30,0))+parametros_manuales!$G$30*('Plan mensual'!J27+IF(parametros_manuales!$H$30="Todos",'Plan mensual'!J31,0)))*parametros_manuales!$I$30*parametros_manuales!$J$30</f>
        <v>1761.094236122</v>
      </c>
      <c r="I67" s="9" t="n">
        <f aca="false">(parametros_manuales!$D$30*('Plan mensual'!K24+IF(parametros_manuales!$H$30="Todos",'Plan mensual'!K28,0))+parametros_manuales!$E$30*('Plan mensual'!K25+IF(parametros_manuales!$H$30="Todos",'Plan mensual'!K29,0))+parametros_manuales!$F$30*('Plan mensual'!K26+IF(parametros_manuales!$H$30="Todos",'Plan mensual'!K30,0))+parametros_manuales!$G$30*('Plan mensual'!K27+IF(parametros_manuales!$H$30="Todos",'Plan mensual'!K31,0)))*parametros_manuales!$I$30*parametros_manuales!$J$30</f>
        <v>1761.094236122</v>
      </c>
      <c r="J67" s="9" t="n">
        <f aca="false">(parametros_manuales!$D$30*('Plan mensual'!L24+IF(parametros_manuales!$H$30="Todos",'Plan mensual'!L28,0))+parametros_manuales!$E$30*('Plan mensual'!L25+IF(parametros_manuales!$H$30="Todos",'Plan mensual'!L29,0))+parametros_manuales!$F$30*('Plan mensual'!L26+IF(parametros_manuales!$H$30="Todos",'Plan mensual'!L30,0))+parametros_manuales!$G$30*('Plan mensual'!L27+IF(parametros_manuales!$H$30="Todos",'Plan mensual'!L31,0)))*parametros_manuales!$I$30*parametros_manuales!$J$30</f>
        <v>1761.094236122</v>
      </c>
      <c r="K67" s="9" t="n">
        <f aca="false">(parametros_manuales!$D$30*('Plan mensual'!M24+IF(parametros_manuales!$H$30="Todos",'Plan mensual'!M28,0))+parametros_manuales!$E$30*('Plan mensual'!M25+IF(parametros_manuales!$H$30="Todos",'Plan mensual'!M29,0))+parametros_manuales!$F$30*('Plan mensual'!M26+IF(parametros_manuales!$H$30="Todos",'Plan mensual'!M30,0))+parametros_manuales!$G$30*('Plan mensual'!M27+IF(parametros_manuales!$H$30="Todos",'Plan mensual'!M31,0)))*parametros_manuales!$I$30*parametros_manuales!$J$30</f>
        <v>1719.06091398</v>
      </c>
      <c r="L67" s="9" t="n">
        <f aca="false">(parametros_manuales!$D$30*('Plan mensual'!N24+IF(parametros_manuales!$H$30="Todos",'Plan mensual'!N28,0))+parametros_manuales!$E$30*('Plan mensual'!N25+IF(parametros_manuales!$H$30="Todos",'Plan mensual'!N29,0))+parametros_manuales!$F$30*('Plan mensual'!N26+IF(parametros_manuales!$H$30="Todos",'Plan mensual'!N30,0))+parametros_manuales!$G$30*('Plan mensual'!N27+IF(parametros_manuales!$H$30="Todos",'Plan mensual'!N31,0)))*parametros_manuales!$I$30*parametros_manuales!$J$30</f>
        <v>1677.027591838</v>
      </c>
      <c r="M67" s="9" t="n">
        <f aca="false">(parametros_manuales!$D$30*('Plan mensual'!O24+IF(parametros_manuales!$H$30="Todos",'Plan mensual'!O28,0))+parametros_manuales!$E$30*('Plan mensual'!O25+IF(parametros_manuales!$H$30="Todos",'Plan mensual'!O29,0))+parametros_manuales!$F$30*('Plan mensual'!O26+IF(parametros_manuales!$H$30="Todos",'Plan mensual'!O30,0))+parametros_manuales!$G$30*('Plan mensual'!O27+IF(parametros_manuales!$H$30="Todos",'Plan mensual'!O31,0)))*parametros_manuales!$I$30*parametros_manuales!$J$30</f>
        <v>2666.430818084</v>
      </c>
      <c r="N67" s="9" t="n">
        <f aca="false">SUM(B67:M67)</f>
        <v>22920.8121864</v>
      </c>
      <c r="O67" s="9" t="n">
        <f aca="false">MAX(B67:M67)</f>
        <v>2666.430818084</v>
      </c>
      <c r="P67" s="43" t="n">
        <f aca="false">O67/(parametros_manuales!$B$7)</f>
        <v>17.7762054538933</v>
      </c>
      <c r="Q67" s="8" t="str">
        <f aca="false">IF(O67=0,"-",INDEX($B$55:$M$55,MATCH(O67,B67:M67,0)))</f>
        <v>Dic</v>
      </c>
    </row>
    <row r="68" customFormat="false" ht="14.25" hidden="false" customHeight="true" outlineLevel="0" collapsed="false">
      <c r="A68" s="8" t="str">
        <f aca="false">parametros_manuales!$B$31</f>
        <v>Control de calidad — Espesor</v>
      </c>
      <c r="B68" s="9" t="n">
        <f aca="false">(parametros_manuales!$D$31*('Plan mensual'!D24+IF(parametros_manuales!$H$31="Todos",'Plan mensual'!D28,0))+parametros_manuales!$E$31*('Plan mensual'!D25+IF(parametros_manuales!$H$31="Todos",'Plan mensual'!D29,0))+parametros_manuales!$F$31*('Plan mensual'!D26+IF(parametros_manuales!$H$31="Todos",'Plan mensual'!D30,0))+parametros_manuales!$G$31*('Plan mensual'!D27+IF(parametros_manuales!$H$31="Todos",'Plan mensual'!D31,0)))*parametros_manuales!$I$31*parametros_manuales!$J$31</f>
        <v>51.647283476</v>
      </c>
      <c r="C68" s="9" t="n">
        <f aca="false">(parametros_manuales!$D$31*('Plan mensual'!E24+IF(parametros_manuales!$H$31="Todos",'Plan mensual'!E28,0))+parametros_manuales!$E$31*('Plan mensual'!E25+IF(parametros_manuales!$H$31="Todos",'Plan mensual'!E29,0))+parametros_manuales!$F$31*('Plan mensual'!E26+IF(parametros_manuales!$H$31="Todos",'Plan mensual'!E30,0))+parametros_manuales!$G$31*('Plan mensual'!E27+IF(parametros_manuales!$H$31="Todos",'Plan mensual'!E31,0)))*parametros_manuales!$I$31*parametros_manuales!$J$31</f>
        <v>39.57612904984</v>
      </c>
      <c r="D68" s="9" t="n">
        <f aca="false">(parametros_manuales!$D$31*('Plan mensual'!F24+IF(parametros_manuales!$H$31="Todos",'Plan mensual'!F28,0))+parametros_manuales!$E$31*('Plan mensual'!F25+IF(parametros_manuales!$H$31="Todos",'Plan mensual'!F29,0))+parametros_manuales!$F$31*('Plan mensual'!F26+IF(parametros_manuales!$H$31="Todos",'Plan mensual'!F30,0))+parametros_manuales!$G$31*('Plan mensual'!F27+IF(parametros_manuales!$H$31="Todos",'Plan mensual'!F31,0)))*parametros_manuales!$I$31*parametros_manuales!$J$31</f>
        <v>37.51396594108</v>
      </c>
      <c r="E68" s="9" t="n">
        <f aca="false">(parametros_manuales!$D$31*('Plan mensual'!G24+IF(parametros_manuales!$H$31="Todos",'Plan mensual'!G28,0))+parametros_manuales!$E$31*('Plan mensual'!G25+IF(parametros_manuales!$H$31="Todos",'Plan mensual'!G29,0))+parametros_manuales!$F$31*('Plan mensual'!G26+IF(parametros_manuales!$H$31="Todos",'Plan mensual'!G30,0))+parametros_manuales!$G$31*('Plan mensual'!G27+IF(parametros_manuales!$H$31="Todos",'Plan mensual'!G31,0)))*parametros_manuales!$I$31*parametros_manuales!$J$31</f>
        <v>36.06255116528</v>
      </c>
      <c r="F68" s="9" t="n">
        <f aca="false">(parametros_manuales!$D$31*('Plan mensual'!H24+IF(parametros_manuales!$H$31="Todos",'Plan mensual'!H28,0))+parametros_manuales!$E$31*('Plan mensual'!H25+IF(parametros_manuales!$H$31="Todos",'Plan mensual'!H29,0))+parametros_manuales!$F$31*('Plan mensual'!H26+IF(parametros_manuales!$H$31="Todos",'Plan mensual'!H30,0))+parametros_manuales!$G$31*('Plan mensual'!H27+IF(parametros_manuales!$H$31="Todos",'Plan mensual'!H31,0)))*parametros_manuales!$I$31*parametros_manuales!$J$31</f>
        <v>33.77046994664</v>
      </c>
      <c r="G68" s="9" t="n">
        <f aca="false">(parametros_manuales!$D$31*('Plan mensual'!I24+IF(parametros_manuales!$H$31="Todos",'Plan mensual'!I28,0))+parametros_manuales!$E$31*('Plan mensual'!I25+IF(parametros_manuales!$H$31="Todos",'Plan mensual'!I29,0))+parametros_manuales!$F$31*('Plan mensual'!I26+IF(parametros_manuales!$H$31="Todos",'Plan mensual'!I30,0))+parametros_manuales!$G$31*('Plan mensual'!I27+IF(parametros_manuales!$H$31="Todos",'Plan mensual'!I31,0)))*parametros_manuales!$I$31*parametros_manuales!$J$31</f>
        <v>32.9298035038</v>
      </c>
      <c r="H68" s="9" t="n">
        <f aca="false">(parametros_manuales!$D$31*('Plan mensual'!J24+IF(parametros_manuales!$H$31="Todos",'Plan mensual'!J28,0))+parametros_manuales!$E$31*('Plan mensual'!J25+IF(parametros_manuales!$H$31="Todos",'Plan mensual'!J29,0))+parametros_manuales!$F$31*('Plan mensual'!J26+IF(parametros_manuales!$H$31="Todos",'Plan mensual'!J30,0))+parametros_manuales!$G$31*('Plan mensual'!J27+IF(parametros_manuales!$H$31="Todos",'Plan mensual'!J31,0)))*parametros_manuales!$I$31*parametros_manuales!$J$31</f>
        <v>35.22188472244</v>
      </c>
      <c r="I68" s="9" t="n">
        <f aca="false">(parametros_manuales!$D$31*('Plan mensual'!K24+IF(parametros_manuales!$H$31="Todos",'Plan mensual'!K28,0))+parametros_manuales!$E$31*('Plan mensual'!K25+IF(parametros_manuales!$H$31="Todos",'Plan mensual'!K29,0))+parametros_manuales!$F$31*('Plan mensual'!K26+IF(parametros_manuales!$H$31="Todos",'Plan mensual'!K30,0))+parametros_manuales!$G$31*('Plan mensual'!K27+IF(parametros_manuales!$H$31="Todos",'Plan mensual'!K31,0)))*parametros_manuales!$I$31*parametros_manuales!$J$31</f>
        <v>35.22188472244</v>
      </c>
      <c r="J68" s="9" t="n">
        <f aca="false">(parametros_manuales!$D$31*('Plan mensual'!L24+IF(parametros_manuales!$H$31="Todos",'Plan mensual'!L28,0))+parametros_manuales!$E$31*('Plan mensual'!L25+IF(parametros_manuales!$H$31="Todos",'Plan mensual'!L29,0))+parametros_manuales!$F$31*('Plan mensual'!L26+IF(parametros_manuales!$H$31="Todos",'Plan mensual'!L30,0))+parametros_manuales!$G$31*('Plan mensual'!L27+IF(parametros_manuales!$H$31="Todos",'Plan mensual'!L31,0)))*parametros_manuales!$I$31*parametros_manuales!$J$31</f>
        <v>35.22188472244</v>
      </c>
      <c r="K68" s="9" t="n">
        <f aca="false">(parametros_manuales!$D$31*('Plan mensual'!M24+IF(parametros_manuales!$H$31="Todos",'Plan mensual'!M28,0))+parametros_manuales!$E$31*('Plan mensual'!M25+IF(parametros_manuales!$H$31="Todos",'Plan mensual'!M29,0))+parametros_manuales!$F$31*('Plan mensual'!M26+IF(parametros_manuales!$H$31="Todos",'Plan mensual'!M30,0))+parametros_manuales!$G$31*('Plan mensual'!M27+IF(parametros_manuales!$H$31="Todos",'Plan mensual'!M31,0)))*parametros_manuales!$I$31*parametros_manuales!$J$31</f>
        <v>34.3812182796</v>
      </c>
      <c r="L68" s="9" t="n">
        <f aca="false">(parametros_manuales!$D$31*('Plan mensual'!N24+IF(parametros_manuales!$H$31="Todos",'Plan mensual'!N28,0))+parametros_manuales!$E$31*('Plan mensual'!N25+IF(parametros_manuales!$H$31="Todos",'Plan mensual'!N29,0))+parametros_manuales!$F$31*('Plan mensual'!N26+IF(parametros_manuales!$H$31="Todos",'Plan mensual'!N30,0))+parametros_manuales!$G$31*('Plan mensual'!N27+IF(parametros_manuales!$H$31="Todos",'Plan mensual'!N31,0)))*parametros_manuales!$I$31*parametros_manuales!$J$31</f>
        <v>33.54055183676</v>
      </c>
      <c r="M68" s="9" t="n">
        <f aca="false">(parametros_manuales!$D$31*('Plan mensual'!O24+IF(parametros_manuales!$H$31="Todos",'Plan mensual'!O28,0))+parametros_manuales!$E$31*('Plan mensual'!O25+IF(parametros_manuales!$H$31="Todos",'Plan mensual'!O29,0))+parametros_manuales!$F$31*('Plan mensual'!O26+IF(parametros_manuales!$H$31="Todos",'Plan mensual'!O30,0))+parametros_manuales!$G$31*('Plan mensual'!O27+IF(parametros_manuales!$H$31="Todos",'Plan mensual'!O31,0)))*parametros_manuales!$I$31*parametros_manuales!$J$31</f>
        <v>53.32861636168</v>
      </c>
      <c r="N68" s="9" t="n">
        <f aca="false">SUM(B68:M68)</f>
        <v>458.416243728</v>
      </c>
      <c r="O68" s="9" t="n">
        <f aca="false">MAX(B68:M68)</f>
        <v>53.32861636168</v>
      </c>
      <c r="P68" s="43" t="n">
        <f aca="false">O68/(parametros_manuales!$B$7)</f>
        <v>0.355524109077867</v>
      </c>
      <c r="Q68" s="8" t="str">
        <f aca="false">IF(O68=0,"-",INDEX($B$55:$M$55,MATCH(O68,B68:M68,0)))</f>
        <v>Dic</v>
      </c>
    </row>
    <row r="69" customFormat="false" ht="14.25" hidden="false" customHeight="true" outlineLevel="0" collapsed="false">
      <c r="A69" s="8" t="str">
        <f aca="false">parametros_manuales!$B$32</f>
        <v>Prueba hidráulica</v>
      </c>
      <c r="B69" s="9" t="n">
        <f aca="false">(parametros_manuales!$D$32*('Plan mensual'!D24+IF(parametros_manuales!$H$32="Todos",'Plan mensual'!D28,0))+parametros_manuales!$E$32*('Plan mensual'!D25+IF(parametros_manuales!$H$32="Todos",'Plan mensual'!D29,0))+parametros_manuales!$F$32*('Plan mensual'!D26+IF(parametros_manuales!$H$32="Todos",'Plan mensual'!D30,0))+parametros_manuales!$G$32*('Plan mensual'!D27+IF(parametros_manuales!$H$32="Todos",'Plan mensual'!D31,0)))*parametros_manuales!$I$32*parametros_manuales!$J$32</f>
        <v>2582.3641738</v>
      </c>
      <c r="C69" s="9" t="n">
        <f aca="false">(parametros_manuales!$D$32*('Plan mensual'!E24+IF(parametros_manuales!$H$32="Todos",'Plan mensual'!E28,0))+parametros_manuales!$E$32*('Plan mensual'!E25+IF(parametros_manuales!$H$32="Todos",'Plan mensual'!E29,0))+parametros_manuales!$F$32*('Plan mensual'!E26+IF(parametros_manuales!$H$32="Todos",'Plan mensual'!E30,0))+parametros_manuales!$G$32*('Plan mensual'!E27+IF(parametros_manuales!$H$32="Todos",'Plan mensual'!E31,0)))*parametros_manuales!$I$32*parametros_manuales!$J$32</f>
        <v>1978.806452492</v>
      </c>
      <c r="D69" s="9" t="n">
        <f aca="false">(parametros_manuales!$D$32*('Plan mensual'!F24+IF(parametros_manuales!$H$32="Todos",'Plan mensual'!F28,0))+parametros_manuales!$E$32*('Plan mensual'!F25+IF(parametros_manuales!$H$32="Todos",'Plan mensual'!F29,0))+parametros_manuales!$F$32*('Plan mensual'!F26+IF(parametros_manuales!$H$32="Todos",'Plan mensual'!F30,0))+parametros_manuales!$G$32*('Plan mensual'!F27+IF(parametros_manuales!$H$32="Todos",'Plan mensual'!F31,0)))*parametros_manuales!$I$32*parametros_manuales!$J$32</f>
        <v>1875.698297054</v>
      </c>
      <c r="E69" s="9" t="n">
        <f aca="false">(parametros_manuales!$D$32*('Plan mensual'!G24+IF(parametros_manuales!$H$32="Todos",'Plan mensual'!G28,0))+parametros_manuales!$E$32*('Plan mensual'!G25+IF(parametros_manuales!$H$32="Todos",'Plan mensual'!G29,0))+parametros_manuales!$F$32*('Plan mensual'!G26+IF(parametros_manuales!$H$32="Todos",'Plan mensual'!G30,0))+parametros_manuales!$G$32*('Plan mensual'!G27+IF(parametros_manuales!$H$32="Todos",'Plan mensual'!G31,0)))*parametros_manuales!$I$32*parametros_manuales!$J$32</f>
        <v>1803.127558264</v>
      </c>
      <c r="F69" s="9" t="n">
        <f aca="false">(parametros_manuales!$D$32*('Plan mensual'!H24+IF(parametros_manuales!$H$32="Todos",'Plan mensual'!H28,0))+parametros_manuales!$E$32*('Plan mensual'!H25+IF(parametros_manuales!$H$32="Todos",'Plan mensual'!H29,0))+parametros_manuales!$F$32*('Plan mensual'!H26+IF(parametros_manuales!$H$32="Todos",'Plan mensual'!H30,0))+parametros_manuales!$G$32*('Plan mensual'!H27+IF(parametros_manuales!$H$32="Todos",'Plan mensual'!H31,0)))*parametros_manuales!$I$32*parametros_manuales!$J$32</f>
        <v>1688.523497332</v>
      </c>
      <c r="G69" s="9" t="n">
        <f aca="false">(parametros_manuales!$D$32*('Plan mensual'!I24+IF(parametros_manuales!$H$32="Todos",'Plan mensual'!I28,0))+parametros_manuales!$E$32*('Plan mensual'!I25+IF(parametros_manuales!$H$32="Todos",'Plan mensual'!I29,0))+parametros_manuales!$F$32*('Plan mensual'!I26+IF(parametros_manuales!$H$32="Todos",'Plan mensual'!I30,0))+parametros_manuales!$G$32*('Plan mensual'!I27+IF(parametros_manuales!$H$32="Todos",'Plan mensual'!I31,0)))*parametros_manuales!$I$32*parametros_manuales!$J$32</f>
        <v>1646.49017519</v>
      </c>
      <c r="H69" s="9" t="n">
        <f aca="false">(parametros_manuales!$D$32*('Plan mensual'!J24+IF(parametros_manuales!$H$32="Todos",'Plan mensual'!J28,0))+parametros_manuales!$E$32*('Plan mensual'!J25+IF(parametros_manuales!$H$32="Todos",'Plan mensual'!J29,0))+parametros_manuales!$F$32*('Plan mensual'!J26+IF(parametros_manuales!$H$32="Todos",'Plan mensual'!J30,0))+parametros_manuales!$G$32*('Plan mensual'!J27+IF(parametros_manuales!$H$32="Todos",'Plan mensual'!J31,0)))*parametros_manuales!$I$32*parametros_manuales!$J$32</f>
        <v>1761.094236122</v>
      </c>
      <c r="I69" s="9" t="n">
        <f aca="false">(parametros_manuales!$D$32*('Plan mensual'!K24+IF(parametros_manuales!$H$32="Todos",'Plan mensual'!K28,0))+parametros_manuales!$E$32*('Plan mensual'!K25+IF(parametros_manuales!$H$32="Todos",'Plan mensual'!K29,0))+parametros_manuales!$F$32*('Plan mensual'!K26+IF(parametros_manuales!$H$32="Todos",'Plan mensual'!K30,0))+parametros_manuales!$G$32*('Plan mensual'!K27+IF(parametros_manuales!$H$32="Todos",'Plan mensual'!K31,0)))*parametros_manuales!$I$32*parametros_manuales!$J$32</f>
        <v>1761.094236122</v>
      </c>
      <c r="J69" s="9" t="n">
        <f aca="false">(parametros_manuales!$D$32*('Plan mensual'!L24+IF(parametros_manuales!$H$32="Todos",'Plan mensual'!L28,0))+parametros_manuales!$E$32*('Plan mensual'!L25+IF(parametros_manuales!$H$32="Todos",'Plan mensual'!L29,0))+parametros_manuales!$F$32*('Plan mensual'!L26+IF(parametros_manuales!$H$32="Todos",'Plan mensual'!L30,0))+parametros_manuales!$G$32*('Plan mensual'!L27+IF(parametros_manuales!$H$32="Todos",'Plan mensual'!L31,0)))*parametros_manuales!$I$32*parametros_manuales!$J$32</f>
        <v>1761.094236122</v>
      </c>
      <c r="K69" s="9" t="n">
        <f aca="false">(parametros_manuales!$D$32*('Plan mensual'!M24+IF(parametros_manuales!$H$32="Todos",'Plan mensual'!M28,0))+parametros_manuales!$E$32*('Plan mensual'!M25+IF(parametros_manuales!$H$32="Todos",'Plan mensual'!M29,0))+parametros_manuales!$F$32*('Plan mensual'!M26+IF(parametros_manuales!$H$32="Todos",'Plan mensual'!M30,0))+parametros_manuales!$G$32*('Plan mensual'!M27+IF(parametros_manuales!$H$32="Todos",'Plan mensual'!M31,0)))*parametros_manuales!$I$32*parametros_manuales!$J$32</f>
        <v>1719.06091398</v>
      </c>
      <c r="L69" s="9" t="n">
        <f aca="false">(parametros_manuales!$D$32*('Plan mensual'!N24+IF(parametros_manuales!$H$32="Todos",'Plan mensual'!N28,0))+parametros_manuales!$E$32*('Plan mensual'!N25+IF(parametros_manuales!$H$32="Todos",'Plan mensual'!N29,0))+parametros_manuales!$F$32*('Plan mensual'!N26+IF(parametros_manuales!$H$32="Todos",'Plan mensual'!N30,0))+parametros_manuales!$G$32*('Plan mensual'!N27+IF(parametros_manuales!$H$32="Todos",'Plan mensual'!N31,0)))*parametros_manuales!$I$32*parametros_manuales!$J$32</f>
        <v>1677.027591838</v>
      </c>
      <c r="M69" s="9" t="n">
        <f aca="false">(parametros_manuales!$D$32*('Plan mensual'!O24+IF(parametros_manuales!$H$32="Todos",'Plan mensual'!O28,0))+parametros_manuales!$E$32*('Plan mensual'!O25+IF(parametros_manuales!$H$32="Todos",'Plan mensual'!O29,0))+parametros_manuales!$F$32*('Plan mensual'!O26+IF(parametros_manuales!$H$32="Todos",'Plan mensual'!O30,0))+parametros_manuales!$G$32*('Plan mensual'!O27+IF(parametros_manuales!$H$32="Todos",'Plan mensual'!O31,0)))*parametros_manuales!$I$32*parametros_manuales!$J$32</f>
        <v>2666.430818084</v>
      </c>
      <c r="N69" s="9" t="n">
        <f aca="false">SUM(B69:M69)</f>
        <v>22920.8121864</v>
      </c>
      <c r="O69" s="9" t="n">
        <f aca="false">MAX(B69:M69)</f>
        <v>2666.430818084</v>
      </c>
      <c r="P69" s="43" t="n">
        <f aca="false">O69/(parametros_manuales!$B$7)</f>
        <v>17.7762054538933</v>
      </c>
      <c r="Q69" s="8" t="str">
        <f aca="false">IF(O69=0,"-",INDEX($B$55:$M$55,MATCH(O69,B69:M69,0)))</f>
        <v>Dic</v>
      </c>
    </row>
    <row r="70" customFormat="false" ht="14.25" hidden="false" customHeight="true" outlineLevel="0" collapsed="false">
      <c r="A70" s="8" t="str">
        <f aca="false">parametros_manuales!$B$33</f>
        <v>Secado</v>
      </c>
      <c r="B70" s="9" t="n">
        <f aca="false">(parametros_manuales!$D$33*('Plan mensual'!D24+IF(parametros_manuales!$H$33="Todos",'Plan mensual'!D28,0))+parametros_manuales!$E$33*('Plan mensual'!D25+IF(parametros_manuales!$H$33="Todos",'Plan mensual'!D29,0))+parametros_manuales!$F$33*('Plan mensual'!D26+IF(parametros_manuales!$H$33="Todos",'Plan mensual'!D30,0))+parametros_manuales!$G$33*('Plan mensual'!D27+IF(parametros_manuales!$H$33="Todos",'Plan mensual'!D31,0)))*parametros_manuales!$I$33*parametros_manuales!$J$33</f>
        <v>2582.3641738</v>
      </c>
      <c r="C70" s="9" t="n">
        <f aca="false">(parametros_manuales!$D$33*('Plan mensual'!E24+IF(parametros_manuales!$H$33="Todos",'Plan mensual'!E28,0))+parametros_manuales!$E$33*('Plan mensual'!E25+IF(parametros_manuales!$H$33="Todos",'Plan mensual'!E29,0))+parametros_manuales!$F$33*('Plan mensual'!E26+IF(parametros_manuales!$H$33="Todos",'Plan mensual'!E30,0))+parametros_manuales!$G$33*('Plan mensual'!E27+IF(parametros_manuales!$H$33="Todos",'Plan mensual'!E31,0)))*parametros_manuales!$I$33*parametros_manuales!$J$33</f>
        <v>1978.806452492</v>
      </c>
      <c r="D70" s="9" t="n">
        <f aca="false">(parametros_manuales!$D$33*('Plan mensual'!F24+IF(parametros_manuales!$H$33="Todos",'Plan mensual'!F28,0))+parametros_manuales!$E$33*('Plan mensual'!F25+IF(parametros_manuales!$H$33="Todos",'Plan mensual'!F29,0))+parametros_manuales!$F$33*('Plan mensual'!F26+IF(parametros_manuales!$H$33="Todos",'Plan mensual'!F30,0))+parametros_manuales!$G$33*('Plan mensual'!F27+IF(parametros_manuales!$H$33="Todos",'Plan mensual'!F31,0)))*parametros_manuales!$I$33*parametros_manuales!$J$33</f>
        <v>1875.698297054</v>
      </c>
      <c r="E70" s="9" t="n">
        <f aca="false">(parametros_manuales!$D$33*('Plan mensual'!G24+IF(parametros_manuales!$H$33="Todos",'Plan mensual'!G28,0))+parametros_manuales!$E$33*('Plan mensual'!G25+IF(parametros_manuales!$H$33="Todos",'Plan mensual'!G29,0))+parametros_manuales!$F$33*('Plan mensual'!G26+IF(parametros_manuales!$H$33="Todos",'Plan mensual'!G30,0))+parametros_manuales!$G$33*('Plan mensual'!G27+IF(parametros_manuales!$H$33="Todos",'Plan mensual'!G31,0)))*parametros_manuales!$I$33*parametros_manuales!$J$33</f>
        <v>1803.127558264</v>
      </c>
      <c r="F70" s="9" t="n">
        <f aca="false">(parametros_manuales!$D$33*('Plan mensual'!H24+IF(parametros_manuales!$H$33="Todos",'Plan mensual'!H28,0))+parametros_manuales!$E$33*('Plan mensual'!H25+IF(parametros_manuales!$H$33="Todos",'Plan mensual'!H29,0))+parametros_manuales!$F$33*('Plan mensual'!H26+IF(parametros_manuales!$H$33="Todos",'Plan mensual'!H30,0))+parametros_manuales!$G$33*('Plan mensual'!H27+IF(parametros_manuales!$H$33="Todos",'Plan mensual'!H31,0)))*parametros_manuales!$I$33*parametros_manuales!$J$33</f>
        <v>1688.523497332</v>
      </c>
      <c r="G70" s="9" t="n">
        <f aca="false">(parametros_manuales!$D$33*('Plan mensual'!I24+IF(parametros_manuales!$H$33="Todos",'Plan mensual'!I28,0))+parametros_manuales!$E$33*('Plan mensual'!I25+IF(parametros_manuales!$H$33="Todos",'Plan mensual'!I29,0))+parametros_manuales!$F$33*('Plan mensual'!I26+IF(parametros_manuales!$H$33="Todos",'Plan mensual'!I30,0))+parametros_manuales!$G$33*('Plan mensual'!I27+IF(parametros_manuales!$H$33="Todos",'Plan mensual'!I31,0)))*parametros_manuales!$I$33*parametros_manuales!$J$33</f>
        <v>1646.49017519</v>
      </c>
      <c r="H70" s="9" t="n">
        <f aca="false">(parametros_manuales!$D$33*('Plan mensual'!J24+IF(parametros_manuales!$H$33="Todos",'Plan mensual'!J28,0))+parametros_manuales!$E$33*('Plan mensual'!J25+IF(parametros_manuales!$H$33="Todos",'Plan mensual'!J29,0))+parametros_manuales!$F$33*('Plan mensual'!J26+IF(parametros_manuales!$H$33="Todos",'Plan mensual'!J30,0))+parametros_manuales!$G$33*('Plan mensual'!J27+IF(parametros_manuales!$H$33="Todos",'Plan mensual'!J31,0)))*parametros_manuales!$I$33*parametros_manuales!$J$33</f>
        <v>1761.094236122</v>
      </c>
      <c r="I70" s="9" t="n">
        <f aca="false">(parametros_manuales!$D$33*('Plan mensual'!K24+IF(parametros_manuales!$H$33="Todos",'Plan mensual'!K28,0))+parametros_manuales!$E$33*('Plan mensual'!K25+IF(parametros_manuales!$H$33="Todos",'Plan mensual'!K29,0))+parametros_manuales!$F$33*('Plan mensual'!K26+IF(parametros_manuales!$H$33="Todos",'Plan mensual'!K30,0))+parametros_manuales!$G$33*('Plan mensual'!K27+IF(parametros_manuales!$H$33="Todos",'Plan mensual'!K31,0)))*parametros_manuales!$I$33*parametros_manuales!$J$33</f>
        <v>1761.094236122</v>
      </c>
      <c r="J70" s="9" t="n">
        <f aca="false">(parametros_manuales!$D$33*('Plan mensual'!L24+IF(parametros_manuales!$H$33="Todos",'Plan mensual'!L28,0))+parametros_manuales!$E$33*('Plan mensual'!L25+IF(parametros_manuales!$H$33="Todos",'Plan mensual'!L29,0))+parametros_manuales!$F$33*('Plan mensual'!L26+IF(parametros_manuales!$H$33="Todos",'Plan mensual'!L30,0))+parametros_manuales!$G$33*('Plan mensual'!L27+IF(parametros_manuales!$H$33="Todos",'Plan mensual'!L31,0)))*parametros_manuales!$I$33*parametros_manuales!$J$33</f>
        <v>1761.094236122</v>
      </c>
      <c r="K70" s="9" t="n">
        <f aca="false">(parametros_manuales!$D$33*('Plan mensual'!M24+IF(parametros_manuales!$H$33="Todos",'Plan mensual'!M28,0))+parametros_manuales!$E$33*('Plan mensual'!M25+IF(parametros_manuales!$H$33="Todos",'Plan mensual'!M29,0))+parametros_manuales!$F$33*('Plan mensual'!M26+IF(parametros_manuales!$H$33="Todos",'Plan mensual'!M30,0))+parametros_manuales!$G$33*('Plan mensual'!M27+IF(parametros_manuales!$H$33="Todos",'Plan mensual'!M31,0)))*parametros_manuales!$I$33*parametros_manuales!$J$33</f>
        <v>1719.06091398</v>
      </c>
      <c r="L70" s="9" t="n">
        <f aca="false">(parametros_manuales!$D$33*('Plan mensual'!N24+IF(parametros_manuales!$H$33="Todos",'Plan mensual'!N28,0))+parametros_manuales!$E$33*('Plan mensual'!N25+IF(parametros_manuales!$H$33="Todos",'Plan mensual'!N29,0))+parametros_manuales!$F$33*('Plan mensual'!N26+IF(parametros_manuales!$H$33="Todos",'Plan mensual'!N30,0))+parametros_manuales!$G$33*('Plan mensual'!N27+IF(parametros_manuales!$H$33="Todos",'Plan mensual'!N31,0)))*parametros_manuales!$I$33*parametros_manuales!$J$33</f>
        <v>1677.027591838</v>
      </c>
      <c r="M70" s="9" t="n">
        <f aca="false">(parametros_manuales!$D$33*('Plan mensual'!O24+IF(parametros_manuales!$H$33="Todos",'Plan mensual'!O28,0))+parametros_manuales!$E$33*('Plan mensual'!O25+IF(parametros_manuales!$H$33="Todos",'Plan mensual'!O29,0))+parametros_manuales!$F$33*('Plan mensual'!O26+IF(parametros_manuales!$H$33="Todos",'Plan mensual'!O30,0))+parametros_manuales!$G$33*('Plan mensual'!O27+IF(parametros_manuales!$H$33="Todos",'Plan mensual'!O31,0)))*parametros_manuales!$I$33*parametros_manuales!$J$33</f>
        <v>2666.430818084</v>
      </c>
      <c r="N70" s="9" t="n">
        <f aca="false">SUM(B70:M70)</f>
        <v>22920.8121864</v>
      </c>
      <c r="O70" s="9" t="n">
        <f aca="false">MAX(B70:M70)</f>
        <v>2666.430818084</v>
      </c>
      <c r="P70" s="43" t="n">
        <f aca="false">O70/(parametros_manuales!$B$7)</f>
        <v>17.7762054538933</v>
      </c>
      <c r="Q70" s="8" t="str">
        <f aca="false">IF(O70=0,"-",INDEX($B$55:$M$55,MATCH(O70,B70:M70,0)))</f>
        <v>Dic</v>
      </c>
    </row>
    <row r="71" customFormat="false" ht="14.25" hidden="false" customHeight="true" outlineLevel="0" collapsed="false">
      <c r="A71" s="8" t="str">
        <f aca="false">parametros_manuales!$B$34</f>
        <v>Granallado</v>
      </c>
      <c r="B71" s="9" t="n">
        <f aca="false">(parametros_manuales!$D$34*('Plan mensual'!D24+IF(parametros_manuales!$H$34="Todos",'Plan mensual'!D28,0))+parametros_manuales!$E$34*('Plan mensual'!D25+IF(parametros_manuales!$H$34="Todos",'Plan mensual'!D29,0))+parametros_manuales!$F$34*('Plan mensual'!D26+IF(parametros_manuales!$H$34="Todos",'Plan mensual'!D30,0))+parametros_manuales!$G$34*('Plan mensual'!D27+IF(parametros_manuales!$H$34="Todos",'Plan mensual'!D31,0)))*parametros_manuales!$I$34*parametros_manuales!$J$34</f>
        <v>2582.3641738</v>
      </c>
      <c r="C71" s="9" t="n">
        <f aca="false">(parametros_manuales!$D$34*('Plan mensual'!E24+IF(parametros_manuales!$H$34="Todos",'Plan mensual'!E28,0))+parametros_manuales!$E$34*('Plan mensual'!E25+IF(parametros_manuales!$H$34="Todos",'Plan mensual'!E29,0))+parametros_manuales!$F$34*('Plan mensual'!E26+IF(parametros_manuales!$H$34="Todos",'Plan mensual'!E30,0))+parametros_manuales!$G$34*('Plan mensual'!E27+IF(parametros_manuales!$H$34="Todos",'Plan mensual'!E31,0)))*parametros_manuales!$I$34*parametros_manuales!$J$34</f>
        <v>1978.806452492</v>
      </c>
      <c r="D71" s="9" t="n">
        <f aca="false">(parametros_manuales!$D$34*('Plan mensual'!F24+IF(parametros_manuales!$H$34="Todos",'Plan mensual'!F28,0))+parametros_manuales!$E$34*('Plan mensual'!F25+IF(parametros_manuales!$H$34="Todos",'Plan mensual'!F29,0))+parametros_manuales!$F$34*('Plan mensual'!F26+IF(parametros_manuales!$H$34="Todos",'Plan mensual'!F30,0))+parametros_manuales!$G$34*('Plan mensual'!F27+IF(parametros_manuales!$H$34="Todos",'Plan mensual'!F31,0)))*parametros_manuales!$I$34*parametros_manuales!$J$34</f>
        <v>1875.698297054</v>
      </c>
      <c r="E71" s="9" t="n">
        <f aca="false">(parametros_manuales!$D$34*('Plan mensual'!G24+IF(parametros_manuales!$H$34="Todos",'Plan mensual'!G28,0))+parametros_manuales!$E$34*('Plan mensual'!G25+IF(parametros_manuales!$H$34="Todos",'Plan mensual'!G29,0))+parametros_manuales!$F$34*('Plan mensual'!G26+IF(parametros_manuales!$H$34="Todos",'Plan mensual'!G30,0))+parametros_manuales!$G$34*('Plan mensual'!G27+IF(parametros_manuales!$H$34="Todos",'Plan mensual'!G31,0)))*parametros_manuales!$I$34*parametros_manuales!$J$34</f>
        <v>1803.127558264</v>
      </c>
      <c r="F71" s="9" t="n">
        <f aca="false">(parametros_manuales!$D$34*('Plan mensual'!H24+IF(parametros_manuales!$H$34="Todos",'Plan mensual'!H28,0))+parametros_manuales!$E$34*('Plan mensual'!H25+IF(parametros_manuales!$H$34="Todos",'Plan mensual'!H29,0))+parametros_manuales!$F$34*('Plan mensual'!H26+IF(parametros_manuales!$H$34="Todos",'Plan mensual'!H30,0))+parametros_manuales!$G$34*('Plan mensual'!H27+IF(parametros_manuales!$H$34="Todos",'Plan mensual'!H31,0)))*parametros_manuales!$I$34*parametros_manuales!$J$34</f>
        <v>1688.523497332</v>
      </c>
      <c r="G71" s="9" t="n">
        <f aca="false">(parametros_manuales!$D$34*('Plan mensual'!I24+IF(parametros_manuales!$H$34="Todos",'Plan mensual'!I28,0))+parametros_manuales!$E$34*('Plan mensual'!I25+IF(parametros_manuales!$H$34="Todos",'Plan mensual'!I29,0))+parametros_manuales!$F$34*('Plan mensual'!I26+IF(parametros_manuales!$H$34="Todos",'Plan mensual'!I30,0))+parametros_manuales!$G$34*('Plan mensual'!I27+IF(parametros_manuales!$H$34="Todos",'Plan mensual'!I31,0)))*parametros_manuales!$I$34*parametros_manuales!$J$34</f>
        <v>1646.49017519</v>
      </c>
      <c r="H71" s="9" t="n">
        <f aca="false">(parametros_manuales!$D$34*('Plan mensual'!J24+IF(parametros_manuales!$H$34="Todos",'Plan mensual'!J28,0))+parametros_manuales!$E$34*('Plan mensual'!J25+IF(parametros_manuales!$H$34="Todos",'Plan mensual'!J29,0))+parametros_manuales!$F$34*('Plan mensual'!J26+IF(parametros_manuales!$H$34="Todos",'Plan mensual'!J30,0))+parametros_manuales!$G$34*('Plan mensual'!J27+IF(parametros_manuales!$H$34="Todos",'Plan mensual'!J31,0)))*parametros_manuales!$I$34*parametros_manuales!$J$34</f>
        <v>1761.094236122</v>
      </c>
      <c r="I71" s="9" t="n">
        <f aca="false">(parametros_manuales!$D$34*('Plan mensual'!K24+IF(parametros_manuales!$H$34="Todos",'Plan mensual'!K28,0))+parametros_manuales!$E$34*('Plan mensual'!K25+IF(parametros_manuales!$H$34="Todos",'Plan mensual'!K29,0))+parametros_manuales!$F$34*('Plan mensual'!K26+IF(parametros_manuales!$H$34="Todos",'Plan mensual'!K30,0))+parametros_manuales!$G$34*('Plan mensual'!K27+IF(parametros_manuales!$H$34="Todos",'Plan mensual'!K31,0)))*parametros_manuales!$I$34*parametros_manuales!$J$34</f>
        <v>1761.094236122</v>
      </c>
      <c r="J71" s="9" t="n">
        <f aca="false">(parametros_manuales!$D$34*('Plan mensual'!L24+IF(parametros_manuales!$H$34="Todos",'Plan mensual'!L28,0))+parametros_manuales!$E$34*('Plan mensual'!L25+IF(parametros_manuales!$H$34="Todos",'Plan mensual'!L29,0))+parametros_manuales!$F$34*('Plan mensual'!L26+IF(parametros_manuales!$H$34="Todos",'Plan mensual'!L30,0))+parametros_manuales!$G$34*('Plan mensual'!L27+IF(parametros_manuales!$H$34="Todos",'Plan mensual'!L31,0)))*parametros_manuales!$I$34*parametros_manuales!$J$34</f>
        <v>1761.094236122</v>
      </c>
      <c r="K71" s="9" t="n">
        <f aca="false">(parametros_manuales!$D$34*('Plan mensual'!M24+IF(parametros_manuales!$H$34="Todos",'Plan mensual'!M28,0))+parametros_manuales!$E$34*('Plan mensual'!M25+IF(parametros_manuales!$H$34="Todos",'Plan mensual'!M29,0))+parametros_manuales!$F$34*('Plan mensual'!M26+IF(parametros_manuales!$H$34="Todos",'Plan mensual'!M30,0))+parametros_manuales!$G$34*('Plan mensual'!M27+IF(parametros_manuales!$H$34="Todos",'Plan mensual'!M31,0)))*parametros_manuales!$I$34*parametros_manuales!$J$34</f>
        <v>1719.06091398</v>
      </c>
      <c r="L71" s="9" t="n">
        <f aca="false">(parametros_manuales!$D$34*('Plan mensual'!N24+IF(parametros_manuales!$H$34="Todos",'Plan mensual'!N28,0))+parametros_manuales!$E$34*('Plan mensual'!N25+IF(parametros_manuales!$H$34="Todos",'Plan mensual'!N29,0))+parametros_manuales!$F$34*('Plan mensual'!N26+IF(parametros_manuales!$H$34="Todos",'Plan mensual'!N30,0))+parametros_manuales!$G$34*('Plan mensual'!N27+IF(parametros_manuales!$H$34="Todos",'Plan mensual'!N31,0)))*parametros_manuales!$I$34*parametros_manuales!$J$34</f>
        <v>1677.027591838</v>
      </c>
      <c r="M71" s="9" t="n">
        <f aca="false">(parametros_manuales!$D$34*('Plan mensual'!O24+IF(parametros_manuales!$H$34="Todos",'Plan mensual'!O28,0))+parametros_manuales!$E$34*('Plan mensual'!O25+IF(parametros_manuales!$H$34="Todos",'Plan mensual'!O29,0))+parametros_manuales!$F$34*('Plan mensual'!O26+IF(parametros_manuales!$H$34="Todos",'Plan mensual'!O30,0))+parametros_manuales!$G$34*('Plan mensual'!O27+IF(parametros_manuales!$H$34="Todos",'Plan mensual'!O31,0)))*parametros_manuales!$I$34*parametros_manuales!$J$34</f>
        <v>2666.430818084</v>
      </c>
      <c r="N71" s="9" t="n">
        <f aca="false">SUM(B71:M71)</f>
        <v>22920.8121864</v>
      </c>
      <c r="O71" s="9" t="n">
        <f aca="false">MAX(B71:M71)</f>
        <v>2666.430818084</v>
      </c>
      <c r="P71" s="43" t="n">
        <f aca="false">O71/(parametros_manuales!$B$7)</f>
        <v>17.7762054538933</v>
      </c>
      <c r="Q71" s="8" t="str">
        <f aca="false">IF(O71=0,"-",INDEX($B$55:$M$55,MATCH(O71,B71:M71,0)))</f>
        <v>Dic</v>
      </c>
    </row>
    <row r="72" customFormat="false" ht="14.25" hidden="false" customHeight="true" outlineLevel="0" collapsed="false">
      <c r="A72" s="8" t="str">
        <f aca="false">parametros_manuales!$B$35</f>
        <v>Detección de defectos</v>
      </c>
      <c r="B72" s="9" t="n">
        <f aca="false">(parametros_manuales!$D$35*('Plan mensual'!D24+IF(parametros_manuales!$H$35="Todos",'Plan mensual'!D28,0))+parametros_manuales!$E$35*('Plan mensual'!D25+IF(parametros_manuales!$H$35="Todos",'Plan mensual'!D29,0))+parametros_manuales!$F$35*('Plan mensual'!D26+IF(parametros_manuales!$H$35="Todos",'Plan mensual'!D30,0))+parametros_manuales!$G$35*('Plan mensual'!D27+IF(parametros_manuales!$H$35="Todos",'Plan mensual'!D31,0)))*parametros_manuales!$I$35*parametros_manuales!$J$35</f>
        <v>2582.3641738</v>
      </c>
      <c r="C72" s="9" t="n">
        <f aca="false">(parametros_manuales!$D$35*('Plan mensual'!E24+IF(parametros_manuales!$H$35="Todos",'Plan mensual'!E28,0))+parametros_manuales!$E$35*('Plan mensual'!E25+IF(parametros_manuales!$H$35="Todos",'Plan mensual'!E29,0))+parametros_manuales!$F$35*('Plan mensual'!E26+IF(parametros_manuales!$H$35="Todos",'Plan mensual'!E30,0))+parametros_manuales!$G$35*('Plan mensual'!E27+IF(parametros_manuales!$H$35="Todos",'Plan mensual'!E31,0)))*parametros_manuales!$I$35*parametros_manuales!$J$35</f>
        <v>1978.806452492</v>
      </c>
      <c r="D72" s="9" t="n">
        <f aca="false">(parametros_manuales!$D$35*('Plan mensual'!F24+IF(parametros_manuales!$H$35="Todos",'Plan mensual'!F28,0))+parametros_manuales!$E$35*('Plan mensual'!F25+IF(parametros_manuales!$H$35="Todos",'Plan mensual'!F29,0))+parametros_manuales!$F$35*('Plan mensual'!F26+IF(parametros_manuales!$H$35="Todos",'Plan mensual'!F30,0))+parametros_manuales!$G$35*('Plan mensual'!F27+IF(parametros_manuales!$H$35="Todos",'Plan mensual'!F31,0)))*parametros_manuales!$I$35*parametros_manuales!$J$35</f>
        <v>1875.698297054</v>
      </c>
      <c r="E72" s="9" t="n">
        <f aca="false">(parametros_manuales!$D$35*('Plan mensual'!G24+IF(parametros_manuales!$H$35="Todos",'Plan mensual'!G28,0))+parametros_manuales!$E$35*('Plan mensual'!G25+IF(parametros_manuales!$H$35="Todos",'Plan mensual'!G29,0))+parametros_manuales!$F$35*('Plan mensual'!G26+IF(parametros_manuales!$H$35="Todos",'Plan mensual'!G30,0))+parametros_manuales!$G$35*('Plan mensual'!G27+IF(parametros_manuales!$H$35="Todos",'Plan mensual'!G31,0)))*parametros_manuales!$I$35*parametros_manuales!$J$35</f>
        <v>1803.127558264</v>
      </c>
      <c r="F72" s="9" t="n">
        <f aca="false">(parametros_manuales!$D$35*('Plan mensual'!H24+IF(parametros_manuales!$H$35="Todos",'Plan mensual'!H28,0))+parametros_manuales!$E$35*('Plan mensual'!H25+IF(parametros_manuales!$H$35="Todos",'Plan mensual'!H29,0))+parametros_manuales!$F$35*('Plan mensual'!H26+IF(parametros_manuales!$H$35="Todos",'Plan mensual'!H30,0))+parametros_manuales!$G$35*('Plan mensual'!H27+IF(parametros_manuales!$H$35="Todos",'Plan mensual'!H31,0)))*parametros_manuales!$I$35*parametros_manuales!$J$35</f>
        <v>1688.523497332</v>
      </c>
      <c r="G72" s="9" t="n">
        <f aca="false">(parametros_manuales!$D$35*('Plan mensual'!I24+IF(parametros_manuales!$H$35="Todos",'Plan mensual'!I28,0))+parametros_manuales!$E$35*('Plan mensual'!I25+IF(parametros_manuales!$H$35="Todos",'Plan mensual'!I29,0))+parametros_manuales!$F$35*('Plan mensual'!I26+IF(parametros_manuales!$H$35="Todos",'Plan mensual'!I30,0))+parametros_manuales!$G$35*('Plan mensual'!I27+IF(parametros_manuales!$H$35="Todos",'Plan mensual'!I31,0)))*parametros_manuales!$I$35*parametros_manuales!$J$35</f>
        <v>1646.49017519</v>
      </c>
      <c r="H72" s="9" t="n">
        <f aca="false">(parametros_manuales!$D$35*('Plan mensual'!J24+IF(parametros_manuales!$H$35="Todos",'Plan mensual'!J28,0))+parametros_manuales!$E$35*('Plan mensual'!J25+IF(parametros_manuales!$H$35="Todos",'Plan mensual'!J29,0))+parametros_manuales!$F$35*('Plan mensual'!J26+IF(parametros_manuales!$H$35="Todos",'Plan mensual'!J30,0))+parametros_manuales!$G$35*('Plan mensual'!J27+IF(parametros_manuales!$H$35="Todos",'Plan mensual'!J31,0)))*parametros_manuales!$I$35*parametros_manuales!$J$35</f>
        <v>1761.094236122</v>
      </c>
      <c r="I72" s="9" t="n">
        <f aca="false">(parametros_manuales!$D$35*('Plan mensual'!K24+IF(parametros_manuales!$H$35="Todos",'Plan mensual'!K28,0))+parametros_manuales!$E$35*('Plan mensual'!K25+IF(parametros_manuales!$H$35="Todos",'Plan mensual'!K29,0))+parametros_manuales!$F$35*('Plan mensual'!K26+IF(parametros_manuales!$H$35="Todos",'Plan mensual'!K30,0))+parametros_manuales!$G$35*('Plan mensual'!K27+IF(parametros_manuales!$H$35="Todos",'Plan mensual'!K31,0)))*parametros_manuales!$I$35*parametros_manuales!$J$35</f>
        <v>1761.094236122</v>
      </c>
      <c r="J72" s="9" t="n">
        <f aca="false">(parametros_manuales!$D$35*('Plan mensual'!L24+IF(parametros_manuales!$H$35="Todos",'Plan mensual'!L28,0))+parametros_manuales!$E$35*('Plan mensual'!L25+IF(parametros_manuales!$H$35="Todos",'Plan mensual'!L29,0))+parametros_manuales!$F$35*('Plan mensual'!L26+IF(parametros_manuales!$H$35="Todos",'Plan mensual'!L30,0))+parametros_manuales!$G$35*('Plan mensual'!L27+IF(parametros_manuales!$H$35="Todos",'Plan mensual'!L31,0)))*parametros_manuales!$I$35*parametros_manuales!$J$35</f>
        <v>1761.094236122</v>
      </c>
      <c r="K72" s="9" t="n">
        <f aca="false">(parametros_manuales!$D$35*('Plan mensual'!M24+IF(parametros_manuales!$H$35="Todos",'Plan mensual'!M28,0))+parametros_manuales!$E$35*('Plan mensual'!M25+IF(parametros_manuales!$H$35="Todos",'Plan mensual'!M29,0))+parametros_manuales!$F$35*('Plan mensual'!M26+IF(parametros_manuales!$H$35="Todos",'Plan mensual'!M30,0))+parametros_manuales!$G$35*('Plan mensual'!M27+IF(parametros_manuales!$H$35="Todos",'Plan mensual'!M31,0)))*parametros_manuales!$I$35*parametros_manuales!$J$35</f>
        <v>1719.06091398</v>
      </c>
      <c r="L72" s="9" t="n">
        <f aca="false">(parametros_manuales!$D$35*('Plan mensual'!N24+IF(parametros_manuales!$H$35="Todos",'Plan mensual'!N28,0))+parametros_manuales!$E$35*('Plan mensual'!N25+IF(parametros_manuales!$H$35="Todos",'Plan mensual'!N29,0))+parametros_manuales!$F$35*('Plan mensual'!N26+IF(parametros_manuales!$H$35="Todos",'Plan mensual'!N30,0))+parametros_manuales!$G$35*('Plan mensual'!N27+IF(parametros_manuales!$H$35="Todos",'Plan mensual'!N31,0)))*parametros_manuales!$I$35*parametros_manuales!$J$35</f>
        <v>1677.027591838</v>
      </c>
      <c r="M72" s="9" t="n">
        <f aca="false">(parametros_manuales!$D$35*('Plan mensual'!O24+IF(parametros_manuales!$H$35="Todos",'Plan mensual'!O28,0))+parametros_manuales!$E$35*('Plan mensual'!O25+IF(parametros_manuales!$H$35="Todos",'Plan mensual'!O29,0))+parametros_manuales!$F$35*('Plan mensual'!O26+IF(parametros_manuales!$H$35="Todos",'Plan mensual'!O30,0))+parametros_manuales!$G$35*('Plan mensual'!O27+IF(parametros_manuales!$H$35="Todos",'Plan mensual'!O31,0)))*parametros_manuales!$I$35*parametros_manuales!$J$35</f>
        <v>2666.430818084</v>
      </c>
      <c r="N72" s="9" t="n">
        <f aca="false">SUM(B72:M72)</f>
        <v>22920.8121864</v>
      </c>
      <c r="O72" s="9" t="n">
        <f aca="false">MAX(B72:M72)</f>
        <v>2666.430818084</v>
      </c>
      <c r="P72" s="43" t="n">
        <f aca="false">O72/(parametros_manuales!$B$7)</f>
        <v>17.7762054538933</v>
      </c>
      <c r="Q72" s="8" t="str">
        <f aca="false">IF(O72=0,"-",INDEX($B$55:$M$55,MATCH(O72,B72:M72,0)))</f>
        <v>Dic</v>
      </c>
    </row>
    <row r="73" customFormat="false" ht="14.25" hidden="false" customHeight="true" outlineLevel="0" collapsed="false">
      <c r="A73" s="8" t="str">
        <f aca="false">parametros_manuales!$B$36</f>
        <v>Corrección de defectos</v>
      </c>
      <c r="B73" s="9" t="n">
        <f aca="false">(parametros_manuales!$D$36*('Plan mensual'!D24+IF(parametros_manuales!$H$36="Todos",'Plan mensual'!D28,0))+parametros_manuales!$E$36*('Plan mensual'!D25+IF(parametros_manuales!$H$36="Todos",'Plan mensual'!D29,0))+parametros_manuales!$F$36*('Plan mensual'!D26+IF(parametros_manuales!$H$36="Todos",'Plan mensual'!D30,0))+parametros_manuales!$G$36*('Plan mensual'!D27+IF(parametros_manuales!$H$36="Todos",'Plan mensual'!D31,0)))*parametros_manuales!$I$36*parametros_manuales!$J$36</f>
        <v>129.11820869</v>
      </c>
      <c r="C73" s="9" t="n">
        <f aca="false">(parametros_manuales!$D$36*('Plan mensual'!E24+IF(parametros_manuales!$H$36="Todos",'Plan mensual'!E28,0))+parametros_manuales!$E$36*('Plan mensual'!E25+IF(parametros_manuales!$H$36="Todos",'Plan mensual'!E29,0))+parametros_manuales!$F$36*('Plan mensual'!E26+IF(parametros_manuales!$H$36="Todos",'Plan mensual'!E30,0))+parametros_manuales!$G$36*('Plan mensual'!E27+IF(parametros_manuales!$H$36="Todos",'Plan mensual'!E31,0)))*parametros_manuales!$I$36*parametros_manuales!$J$36</f>
        <v>98.9403226246</v>
      </c>
      <c r="D73" s="9" t="n">
        <f aca="false">(parametros_manuales!$D$36*('Plan mensual'!F24+IF(parametros_manuales!$H$36="Todos",'Plan mensual'!F28,0))+parametros_manuales!$E$36*('Plan mensual'!F25+IF(parametros_manuales!$H$36="Todos",'Plan mensual'!F29,0))+parametros_manuales!$F$36*('Plan mensual'!F26+IF(parametros_manuales!$H$36="Todos",'Plan mensual'!F30,0))+parametros_manuales!$G$36*('Plan mensual'!F27+IF(parametros_manuales!$H$36="Todos",'Plan mensual'!F31,0)))*parametros_manuales!$I$36*parametros_manuales!$J$36</f>
        <v>93.7849148527</v>
      </c>
      <c r="E73" s="9" t="n">
        <f aca="false">(parametros_manuales!$D$36*('Plan mensual'!G24+IF(parametros_manuales!$H$36="Todos",'Plan mensual'!G28,0))+parametros_manuales!$E$36*('Plan mensual'!G25+IF(parametros_manuales!$H$36="Todos",'Plan mensual'!G29,0))+parametros_manuales!$F$36*('Plan mensual'!G26+IF(parametros_manuales!$H$36="Todos",'Plan mensual'!G30,0))+parametros_manuales!$G$36*('Plan mensual'!G27+IF(parametros_manuales!$H$36="Todos",'Plan mensual'!G31,0)))*parametros_manuales!$I$36*parametros_manuales!$J$36</f>
        <v>90.1563779132</v>
      </c>
      <c r="F73" s="9" t="n">
        <f aca="false">(parametros_manuales!$D$36*('Plan mensual'!H24+IF(parametros_manuales!$H$36="Todos",'Plan mensual'!H28,0))+parametros_manuales!$E$36*('Plan mensual'!H25+IF(parametros_manuales!$H$36="Todos",'Plan mensual'!H29,0))+parametros_manuales!$F$36*('Plan mensual'!H26+IF(parametros_manuales!$H$36="Todos",'Plan mensual'!H30,0))+parametros_manuales!$G$36*('Plan mensual'!H27+IF(parametros_manuales!$H$36="Todos",'Plan mensual'!H31,0)))*parametros_manuales!$I$36*parametros_manuales!$J$36</f>
        <v>84.4261748666</v>
      </c>
      <c r="G73" s="9" t="n">
        <f aca="false">(parametros_manuales!$D$36*('Plan mensual'!I24+IF(parametros_manuales!$H$36="Todos",'Plan mensual'!I28,0))+parametros_manuales!$E$36*('Plan mensual'!I25+IF(parametros_manuales!$H$36="Todos",'Plan mensual'!I29,0))+parametros_manuales!$F$36*('Plan mensual'!I26+IF(parametros_manuales!$H$36="Todos",'Plan mensual'!I30,0))+parametros_manuales!$G$36*('Plan mensual'!I27+IF(parametros_manuales!$H$36="Todos",'Plan mensual'!I31,0)))*parametros_manuales!$I$36*parametros_manuales!$J$36</f>
        <v>82.3245087595</v>
      </c>
      <c r="H73" s="9" t="n">
        <f aca="false">(parametros_manuales!$D$36*('Plan mensual'!J24+IF(parametros_manuales!$H$36="Todos",'Plan mensual'!J28,0))+parametros_manuales!$E$36*('Plan mensual'!J25+IF(parametros_manuales!$H$36="Todos",'Plan mensual'!J29,0))+parametros_manuales!$F$36*('Plan mensual'!J26+IF(parametros_manuales!$H$36="Todos",'Plan mensual'!J30,0))+parametros_manuales!$G$36*('Plan mensual'!J27+IF(parametros_manuales!$H$36="Todos",'Plan mensual'!J31,0)))*parametros_manuales!$I$36*parametros_manuales!$J$36</f>
        <v>88.0547118061</v>
      </c>
      <c r="I73" s="9" t="n">
        <f aca="false">(parametros_manuales!$D$36*('Plan mensual'!K24+IF(parametros_manuales!$H$36="Todos",'Plan mensual'!K28,0))+parametros_manuales!$E$36*('Plan mensual'!K25+IF(parametros_manuales!$H$36="Todos",'Plan mensual'!K29,0))+parametros_manuales!$F$36*('Plan mensual'!K26+IF(parametros_manuales!$H$36="Todos",'Plan mensual'!K30,0))+parametros_manuales!$G$36*('Plan mensual'!K27+IF(parametros_manuales!$H$36="Todos",'Plan mensual'!K31,0)))*parametros_manuales!$I$36*parametros_manuales!$J$36</f>
        <v>88.0547118061</v>
      </c>
      <c r="J73" s="9" t="n">
        <f aca="false">(parametros_manuales!$D$36*('Plan mensual'!L24+IF(parametros_manuales!$H$36="Todos",'Plan mensual'!L28,0))+parametros_manuales!$E$36*('Plan mensual'!L25+IF(parametros_manuales!$H$36="Todos",'Plan mensual'!L29,0))+parametros_manuales!$F$36*('Plan mensual'!L26+IF(parametros_manuales!$H$36="Todos",'Plan mensual'!L30,0))+parametros_manuales!$G$36*('Plan mensual'!L27+IF(parametros_manuales!$H$36="Todos",'Plan mensual'!L31,0)))*parametros_manuales!$I$36*parametros_manuales!$J$36</f>
        <v>88.0547118061</v>
      </c>
      <c r="K73" s="9" t="n">
        <f aca="false">(parametros_manuales!$D$36*('Plan mensual'!M24+IF(parametros_manuales!$H$36="Todos",'Plan mensual'!M28,0))+parametros_manuales!$E$36*('Plan mensual'!M25+IF(parametros_manuales!$H$36="Todos",'Plan mensual'!M29,0))+parametros_manuales!$F$36*('Plan mensual'!M26+IF(parametros_manuales!$H$36="Todos",'Plan mensual'!M30,0))+parametros_manuales!$G$36*('Plan mensual'!M27+IF(parametros_manuales!$H$36="Todos",'Plan mensual'!M31,0)))*parametros_manuales!$I$36*parametros_manuales!$J$36</f>
        <v>85.953045699</v>
      </c>
      <c r="L73" s="9" t="n">
        <f aca="false">(parametros_manuales!$D$36*('Plan mensual'!N24+IF(parametros_manuales!$H$36="Todos",'Plan mensual'!N28,0))+parametros_manuales!$E$36*('Plan mensual'!N25+IF(parametros_manuales!$H$36="Todos",'Plan mensual'!N29,0))+parametros_manuales!$F$36*('Plan mensual'!N26+IF(parametros_manuales!$H$36="Todos",'Plan mensual'!N30,0))+parametros_manuales!$G$36*('Plan mensual'!N27+IF(parametros_manuales!$H$36="Todos",'Plan mensual'!N31,0)))*parametros_manuales!$I$36*parametros_manuales!$J$36</f>
        <v>83.8513795919</v>
      </c>
      <c r="M73" s="9" t="n">
        <f aca="false">(parametros_manuales!$D$36*('Plan mensual'!O24+IF(parametros_manuales!$H$36="Todos",'Plan mensual'!O28,0))+parametros_manuales!$E$36*('Plan mensual'!O25+IF(parametros_manuales!$H$36="Todos",'Plan mensual'!O29,0))+parametros_manuales!$F$36*('Plan mensual'!O26+IF(parametros_manuales!$H$36="Todos",'Plan mensual'!O30,0))+parametros_manuales!$G$36*('Plan mensual'!O27+IF(parametros_manuales!$H$36="Todos",'Plan mensual'!O31,0)))*parametros_manuales!$I$36*parametros_manuales!$J$36</f>
        <v>133.3215409042</v>
      </c>
      <c r="N73" s="9" t="n">
        <f aca="false">SUM(B73:M73)</f>
        <v>1146.04060932</v>
      </c>
      <c r="O73" s="9" t="n">
        <f aca="false">MAX(B73:M73)</f>
        <v>133.3215409042</v>
      </c>
      <c r="P73" s="43" t="n">
        <f aca="false">O73/(parametros_manuales!$B$7)</f>
        <v>0.888810272694667</v>
      </c>
      <c r="Q73" s="8" t="str">
        <f aca="false">IF(O73=0,"-",INDEX($B$55:$M$55,MATCH(O73,B73:M73,0)))</f>
        <v>Dic</v>
      </c>
    </row>
    <row r="74" customFormat="false" ht="14.25" hidden="false" customHeight="true" outlineLevel="0" collapsed="false">
      <c r="A74" s="8" t="str">
        <f aca="false">parametros_manuales!$B$37</f>
        <v>Pintura en polvo + horno</v>
      </c>
      <c r="B74" s="9" t="n">
        <f aca="false">(parametros_manuales!$D$37*('Plan mensual'!D24+IF(parametros_manuales!$H$37="Todos",'Plan mensual'!D28,0))+parametros_manuales!$E$37*('Plan mensual'!D25+IF(parametros_manuales!$H$37="Todos",'Plan mensual'!D29,0))+parametros_manuales!$F$37*('Plan mensual'!D26+IF(parametros_manuales!$H$37="Todos",'Plan mensual'!D30,0))+parametros_manuales!$G$37*('Plan mensual'!D27+IF(parametros_manuales!$H$37="Todos",'Plan mensual'!D31,0)))*parametros_manuales!$I$37*parametros_manuales!$J$37</f>
        <v>2582.3641738</v>
      </c>
      <c r="C74" s="9" t="n">
        <f aca="false">(parametros_manuales!$D$37*('Plan mensual'!E24+IF(parametros_manuales!$H$37="Todos",'Plan mensual'!E28,0))+parametros_manuales!$E$37*('Plan mensual'!E25+IF(parametros_manuales!$H$37="Todos",'Plan mensual'!E29,0))+parametros_manuales!$F$37*('Plan mensual'!E26+IF(parametros_manuales!$H$37="Todos",'Plan mensual'!E30,0))+parametros_manuales!$G$37*('Plan mensual'!E27+IF(parametros_manuales!$H$37="Todos",'Plan mensual'!E31,0)))*parametros_manuales!$I$37*parametros_manuales!$J$37</f>
        <v>1978.806452492</v>
      </c>
      <c r="D74" s="9" t="n">
        <f aca="false">(parametros_manuales!$D$37*('Plan mensual'!F24+IF(parametros_manuales!$H$37="Todos",'Plan mensual'!F28,0))+parametros_manuales!$E$37*('Plan mensual'!F25+IF(parametros_manuales!$H$37="Todos",'Plan mensual'!F29,0))+parametros_manuales!$F$37*('Plan mensual'!F26+IF(parametros_manuales!$H$37="Todos",'Plan mensual'!F30,0))+parametros_manuales!$G$37*('Plan mensual'!F27+IF(parametros_manuales!$H$37="Todos",'Plan mensual'!F31,0)))*parametros_manuales!$I$37*parametros_manuales!$J$37</f>
        <v>1875.698297054</v>
      </c>
      <c r="E74" s="9" t="n">
        <f aca="false">(parametros_manuales!$D$37*('Plan mensual'!G24+IF(parametros_manuales!$H$37="Todos",'Plan mensual'!G28,0))+parametros_manuales!$E$37*('Plan mensual'!G25+IF(parametros_manuales!$H$37="Todos",'Plan mensual'!G29,0))+parametros_manuales!$F$37*('Plan mensual'!G26+IF(parametros_manuales!$H$37="Todos",'Plan mensual'!G30,0))+parametros_manuales!$G$37*('Plan mensual'!G27+IF(parametros_manuales!$H$37="Todos",'Plan mensual'!G31,0)))*parametros_manuales!$I$37*parametros_manuales!$J$37</f>
        <v>1803.127558264</v>
      </c>
      <c r="F74" s="9" t="n">
        <f aca="false">(parametros_manuales!$D$37*('Plan mensual'!H24+IF(parametros_manuales!$H$37="Todos",'Plan mensual'!H28,0))+parametros_manuales!$E$37*('Plan mensual'!H25+IF(parametros_manuales!$H$37="Todos",'Plan mensual'!H29,0))+parametros_manuales!$F$37*('Plan mensual'!H26+IF(parametros_manuales!$H$37="Todos",'Plan mensual'!H30,0))+parametros_manuales!$G$37*('Plan mensual'!H27+IF(parametros_manuales!$H$37="Todos",'Plan mensual'!H31,0)))*parametros_manuales!$I$37*parametros_manuales!$J$37</f>
        <v>1688.523497332</v>
      </c>
      <c r="G74" s="9" t="n">
        <f aca="false">(parametros_manuales!$D$37*('Plan mensual'!I24+IF(parametros_manuales!$H$37="Todos",'Plan mensual'!I28,0))+parametros_manuales!$E$37*('Plan mensual'!I25+IF(parametros_manuales!$H$37="Todos",'Plan mensual'!I29,0))+parametros_manuales!$F$37*('Plan mensual'!I26+IF(parametros_manuales!$H$37="Todos",'Plan mensual'!I30,0))+parametros_manuales!$G$37*('Plan mensual'!I27+IF(parametros_manuales!$H$37="Todos",'Plan mensual'!I31,0)))*parametros_manuales!$I$37*parametros_manuales!$J$37</f>
        <v>1646.49017519</v>
      </c>
      <c r="H74" s="9" t="n">
        <f aca="false">(parametros_manuales!$D$37*('Plan mensual'!J24+IF(parametros_manuales!$H$37="Todos",'Plan mensual'!J28,0))+parametros_manuales!$E$37*('Plan mensual'!J25+IF(parametros_manuales!$H$37="Todos",'Plan mensual'!J29,0))+parametros_manuales!$F$37*('Plan mensual'!J26+IF(parametros_manuales!$H$37="Todos",'Plan mensual'!J30,0))+parametros_manuales!$G$37*('Plan mensual'!J27+IF(parametros_manuales!$H$37="Todos",'Plan mensual'!J31,0)))*parametros_manuales!$I$37*parametros_manuales!$J$37</f>
        <v>1761.094236122</v>
      </c>
      <c r="I74" s="9" t="n">
        <f aca="false">(parametros_manuales!$D$37*('Plan mensual'!K24+IF(parametros_manuales!$H$37="Todos",'Plan mensual'!K28,0))+parametros_manuales!$E$37*('Plan mensual'!K25+IF(parametros_manuales!$H$37="Todos",'Plan mensual'!K29,0))+parametros_manuales!$F$37*('Plan mensual'!K26+IF(parametros_manuales!$H$37="Todos",'Plan mensual'!K30,0))+parametros_manuales!$G$37*('Plan mensual'!K27+IF(parametros_manuales!$H$37="Todos",'Plan mensual'!K31,0)))*parametros_manuales!$I$37*parametros_manuales!$J$37</f>
        <v>1761.094236122</v>
      </c>
      <c r="J74" s="9" t="n">
        <f aca="false">(parametros_manuales!$D$37*('Plan mensual'!L24+IF(parametros_manuales!$H$37="Todos",'Plan mensual'!L28,0))+parametros_manuales!$E$37*('Plan mensual'!L25+IF(parametros_manuales!$H$37="Todos",'Plan mensual'!L29,0))+parametros_manuales!$F$37*('Plan mensual'!L26+IF(parametros_manuales!$H$37="Todos",'Plan mensual'!L30,0))+parametros_manuales!$G$37*('Plan mensual'!L27+IF(parametros_manuales!$H$37="Todos",'Plan mensual'!L31,0)))*parametros_manuales!$I$37*parametros_manuales!$J$37</f>
        <v>1761.094236122</v>
      </c>
      <c r="K74" s="9" t="n">
        <f aca="false">(parametros_manuales!$D$37*('Plan mensual'!M24+IF(parametros_manuales!$H$37="Todos",'Plan mensual'!M28,0))+parametros_manuales!$E$37*('Plan mensual'!M25+IF(parametros_manuales!$H$37="Todos",'Plan mensual'!M29,0))+parametros_manuales!$F$37*('Plan mensual'!M26+IF(parametros_manuales!$H$37="Todos",'Plan mensual'!M30,0))+parametros_manuales!$G$37*('Plan mensual'!M27+IF(parametros_manuales!$H$37="Todos",'Plan mensual'!M31,0)))*parametros_manuales!$I$37*parametros_manuales!$J$37</f>
        <v>1719.06091398</v>
      </c>
      <c r="L74" s="9" t="n">
        <f aca="false">(parametros_manuales!$D$37*('Plan mensual'!N24+IF(parametros_manuales!$H$37="Todos",'Plan mensual'!N28,0))+parametros_manuales!$E$37*('Plan mensual'!N25+IF(parametros_manuales!$H$37="Todos",'Plan mensual'!N29,0))+parametros_manuales!$F$37*('Plan mensual'!N26+IF(parametros_manuales!$H$37="Todos",'Plan mensual'!N30,0))+parametros_manuales!$G$37*('Plan mensual'!N27+IF(parametros_manuales!$H$37="Todos",'Plan mensual'!N31,0)))*parametros_manuales!$I$37*parametros_manuales!$J$37</f>
        <v>1677.027591838</v>
      </c>
      <c r="M74" s="9" t="n">
        <f aca="false">(parametros_manuales!$D$37*('Plan mensual'!O24+IF(parametros_manuales!$H$37="Todos",'Plan mensual'!O28,0))+parametros_manuales!$E$37*('Plan mensual'!O25+IF(parametros_manuales!$H$37="Todos",'Plan mensual'!O29,0))+parametros_manuales!$F$37*('Plan mensual'!O26+IF(parametros_manuales!$H$37="Todos",'Plan mensual'!O30,0))+parametros_manuales!$G$37*('Plan mensual'!O27+IF(parametros_manuales!$H$37="Todos",'Plan mensual'!O31,0)))*parametros_manuales!$I$37*parametros_manuales!$J$37</f>
        <v>2666.430818084</v>
      </c>
      <c r="N74" s="9" t="n">
        <f aca="false">SUM(B74:M74)</f>
        <v>22920.8121864</v>
      </c>
      <c r="O74" s="9" t="n">
        <f aca="false">MAX(B74:M74)</f>
        <v>2666.430818084</v>
      </c>
      <c r="P74" s="43" t="n">
        <f aca="false">O74/(parametros_manuales!$B$7)</f>
        <v>17.7762054538933</v>
      </c>
      <c r="Q74" s="8" t="str">
        <f aca="false">IF(O74=0,"-",INDEX($B$55:$M$55,MATCH(O74,B74:M74,0)))</f>
        <v>Dic</v>
      </c>
    </row>
    <row r="75" customFormat="false" ht="14.25" hidden="false" customHeight="true" outlineLevel="0" collapsed="false">
      <c r="A75" s="8" t="str">
        <f aca="false">parametros_manuales!$B$38</f>
        <v>Carga de polvo</v>
      </c>
      <c r="B75" s="9" t="n">
        <f aca="false">(parametros_manuales!$D$38*('Plan mensual'!D24+IF(parametros_manuales!$H$38="Todos",'Plan mensual'!D28,0))+parametros_manuales!$E$38*('Plan mensual'!D25+IF(parametros_manuales!$H$38="Todos",'Plan mensual'!D29,0))+parametros_manuales!$F$38*('Plan mensual'!D26+IF(parametros_manuales!$H$38="Todos",'Plan mensual'!D30,0))+parametros_manuales!$G$38*('Plan mensual'!D27+IF(parametros_manuales!$H$38="Todos",'Plan mensual'!D31,0)))*parametros_manuales!$I$38*parametros_manuales!$J$38</f>
        <v>1462.8041738</v>
      </c>
      <c r="C75" s="9" t="n">
        <f aca="false">(parametros_manuales!$D$38*('Plan mensual'!E24+IF(parametros_manuales!$H$38="Todos",'Plan mensual'!E28,0))+parametros_manuales!$E$38*('Plan mensual'!E25+IF(parametros_manuales!$H$38="Todos",'Plan mensual'!E29,0))+parametros_manuales!$F$38*('Plan mensual'!E26+IF(parametros_manuales!$H$38="Todos",'Plan mensual'!E30,0))+parametros_manuales!$G$38*('Plan mensual'!E27+IF(parametros_manuales!$H$38="Todos",'Plan mensual'!E31,0)))*parametros_manuales!$I$38*parametros_manuales!$J$38</f>
        <v>1129.132852492</v>
      </c>
      <c r="D75" s="9" t="n">
        <f aca="false">(parametros_manuales!$D$38*('Plan mensual'!F24+IF(parametros_manuales!$H$38="Todos",'Plan mensual'!F28,0))+parametros_manuales!$E$38*('Plan mensual'!F25+IF(parametros_manuales!$H$38="Todos",'Plan mensual'!F29,0))+parametros_manuales!$F$38*('Plan mensual'!F26+IF(parametros_manuales!$H$38="Todos",'Plan mensual'!F30,0))+parametros_manuales!$G$38*('Plan mensual'!F27+IF(parametros_manuales!$H$38="Todos",'Plan mensual'!F31,0)))*parametros_manuales!$I$38*parametros_manuales!$J$38</f>
        <v>1092.645097054</v>
      </c>
      <c r="E75" s="9" t="n">
        <f aca="false">(parametros_manuales!$D$38*('Plan mensual'!G24+IF(parametros_manuales!$H$38="Todos",'Plan mensual'!G28,0))+parametros_manuales!$E$38*('Plan mensual'!G25+IF(parametros_manuales!$H$38="Todos",'Plan mensual'!G29,0))+parametros_manuales!$F$38*('Plan mensual'!G26+IF(parametros_manuales!$H$38="Todos",'Plan mensual'!G30,0))+parametros_manuales!$G$38*('Plan mensual'!G27+IF(parametros_manuales!$H$38="Todos",'Plan mensual'!G31,0)))*parametros_manuales!$I$38*parametros_manuales!$J$38</f>
        <v>1058.386358264</v>
      </c>
      <c r="F75" s="9" t="n">
        <f aca="false">(parametros_manuales!$D$38*('Plan mensual'!H24+IF(parametros_manuales!$H$38="Todos",'Plan mensual'!H28,0))+parametros_manuales!$E$38*('Plan mensual'!H25+IF(parametros_manuales!$H$38="Todos",'Plan mensual'!H29,0))+parametros_manuales!$F$38*('Plan mensual'!H26+IF(parametros_manuales!$H$38="Todos",'Plan mensual'!H30,0))+parametros_manuales!$G$38*('Plan mensual'!H27+IF(parametros_manuales!$H$38="Todos",'Plan mensual'!H31,0)))*parametros_manuales!$I$38*parametros_manuales!$J$38</f>
        <v>992.097897332</v>
      </c>
      <c r="G75" s="9" t="n">
        <f aca="false">(parametros_manuales!$D$38*('Plan mensual'!I24+IF(parametros_manuales!$H$38="Todos",'Plan mensual'!I28,0))+parametros_manuales!$E$38*('Plan mensual'!I25+IF(parametros_manuales!$H$38="Todos",'Plan mensual'!I29,0))+parametros_manuales!$F$38*('Plan mensual'!I26+IF(parametros_manuales!$H$38="Todos",'Plan mensual'!I30,0))+parametros_manuales!$G$38*('Plan mensual'!I27+IF(parametros_manuales!$H$38="Todos",'Plan mensual'!I31,0)))*parametros_manuales!$I$38*parametros_manuales!$J$38</f>
        <v>960.06817519</v>
      </c>
      <c r="H75" s="9" t="n">
        <f aca="false">(parametros_manuales!$D$38*('Plan mensual'!J24+IF(parametros_manuales!$H$38="Todos",'Plan mensual'!J28,0))+parametros_manuales!$E$38*('Plan mensual'!J25+IF(parametros_manuales!$H$38="Todos",'Plan mensual'!J29,0))+parametros_manuales!$F$38*('Plan mensual'!J26+IF(parametros_manuales!$H$38="Todos",'Plan mensual'!J30,0))+parametros_manuales!$G$38*('Plan mensual'!J27+IF(parametros_manuales!$H$38="Todos",'Plan mensual'!J31,0)))*parametros_manuales!$I$38*parametros_manuales!$J$38</f>
        <v>1026.356636122</v>
      </c>
      <c r="I75" s="9" t="n">
        <f aca="false">(parametros_manuales!$D$38*('Plan mensual'!K24+IF(parametros_manuales!$H$38="Todos",'Plan mensual'!K28,0))+parametros_manuales!$E$38*('Plan mensual'!K25+IF(parametros_manuales!$H$38="Todos",'Plan mensual'!K29,0))+parametros_manuales!$F$38*('Plan mensual'!K26+IF(parametros_manuales!$H$38="Todos",'Plan mensual'!K30,0))+parametros_manuales!$G$38*('Plan mensual'!K27+IF(parametros_manuales!$H$38="Todos",'Plan mensual'!K31,0)))*parametros_manuales!$I$38*parametros_manuales!$J$38</f>
        <v>1026.356636122</v>
      </c>
      <c r="J75" s="9" t="n">
        <f aca="false">(parametros_manuales!$D$38*('Plan mensual'!L24+IF(parametros_manuales!$H$38="Todos",'Plan mensual'!L28,0))+parametros_manuales!$E$38*('Plan mensual'!L25+IF(parametros_manuales!$H$38="Todos",'Plan mensual'!L29,0))+parametros_manuales!$F$38*('Plan mensual'!L26+IF(parametros_manuales!$H$38="Todos",'Plan mensual'!L30,0))+parametros_manuales!$G$38*('Plan mensual'!L27+IF(parametros_manuales!$H$38="Todos",'Plan mensual'!L31,0)))*parametros_manuales!$I$38*parametros_manuales!$J$38</f>
        <v>1026.356636122</v>
      </c>
      <c r="K75" s="9" t="n">
        <f aca="false">(parametros_manuales!$D$38*('Plan mensual'!M24+IF(parametros_manuales!$H$38="Todos",'Plan mensual'!M28,0))+parametros_manuales!$E$38*('Plan mensual'!M25+IF(parametros_manuales!$H$38="Todos",'Plan mensual'!M29,0))+parametros_manuales!$F$38*('Plan mensual'!M26+IF(parametros_manuales!$H$38="Todos",'Plan mensual'!M30,0))+parametros_manuales!$G$38*('Plan mensual'!M27+IF(parametros_manuales!$H$38="Todos",'Plan mensual'!M31,0)))*parametros_manuales!$I$38*parametros_manuales!$J$38</f>
        <v>994.32691398</v>
      </c>
      <c r="L75" s="9" t="n">
        <f aca="false">(parametros_manuales!$D$38*('Plan mensual'!N24+IF(parametros_manuales!$H$38="Todos",'Plan mensual'!N28,0))+parametros_manuales!$E$38*('Plan mensual'!N25+IF(parametros_manuales!$H$38="Todos",'Plan mensual'!N29,0))+parametros_manuales!$F$38*('Plan mensual'!N26+IF(parametros_manuales!$H$38="Todos",'Plan mensual'!N30,0))+parametros_manuales!$G$38*('Plan mensual'!N27+IF(parametros_manuales!$H$38="Todos",'Plan mensual'!N31,0)))*parametros_manuales!$I$38*parametros_manuales!$J$38</f>
        <v>962.297191838</v>
      </c>
      <c r="M75" s="9" t="n">
        <f aca="false">(parametros_manuales!$D$38*('Plan mensual'!O24+IF(parametros_manuales!$H$38="Todos",'Plan mensual'!O28,0))+parametros_manuales!$E$38*('Plan mensual'!O25+IF(parametros_manuales!$H$38="Todos",'Plan mensual'!O29,0))+parametros_manuales!$F$38*('Plan mensual'!O26+IF(parametros_manuales!$H$38="Todos",'Plan mensual'!O30,0))+parametros_manuales!$G$38*('Plan mensual'!O27+IF(parametros_manuales!$H$38="Todos",'Plan mensual'!O31,0)))*parametros_manuales!$I$38*parametros_manuales!$J$38</f>
        <v>1526.863618084</v>
      </c>
      <c r="N75" s="9" t="n">
        <f aca="false">SUM(B75:M75)</f>
        <v>13257.6921864</v>
      </c>
      <c r="O75" s="9" t="n">
        <f aca="false">MAX(B75:M75)</f>
        <v>1526.863618084</v>
      </c>
      <c r="P75" s="43" t="n">
        <f aca="false">O75/(parametros_manuales!$B$7)</f>
        <v>10.1790907872267</v>
      </c>
      <c r="Q75" s="8" t="str">
        <f aca="false">IF(O75=0,"-",INDEX($B$55:$M$55,MATCH(O75,B75:M75,0)))</f>
        <v>Dic</v>
      </c>
    </row>
    <row r="76" customFormat="false" ht="14.25" hidden="false" customHeight="true" outlineLevel="0" collapsed="false">
      <c r="A76" s="8" t="str">
        <f aca="false">parametros_manuales!$B$39</f>
        <v>Ensamblaje</v>
      </c>
      <c r="B76" s="9" t="n">
        <f aca="false">(parametros_manuales!$D$39*('Plan mensual'!D24+IF(parametros_manuales!$H$39="Todos",'Plan mensual'!D28,0))+parametros_manuales!$E$39*('Plan mensual'!D25+IF(parametros_manuales!$H$39="Todos",'Plan mensual'!D29,0))+parametros_manuales!$F$39*('Plan mensual'!D26+IF(parametros_manuales!$H$39="Todos",'Plan mensual'!D30,0))+parametros_manuales!$G$39*('Plan mensual'!D27+IF(parametros_manuales!$H$39="Todos",'Plan mensual'!D31,0)))*parametros_manuales!$I$39*parametros_manuales!$J$39</f>
        <v>1462.8041738</v>
      </c>
      <c r="C76" s="9" t="n">
        <f aca="false">(parametros_manuales!$D$39*('Plan mensual'!E24+IF(parametros_manuales!$H$39="Todos",'Plan mensual'!E28,0))+parametros_manuales!$E$39*('Plan mensual'!E25+IF(parametros_manuales!$H$39="Todos",'Plan mensual'!E29,0))+parametros_manuales!$F$39*('Plan mensual'!E26+IF(parametros_manuales!$H$39="Todos",'Plan mensual'!E30,0))+parametros_manuales!$G$39*('Plan mensual'!E27+IF(parametros_manuales!$H$39="Todos",'Plan mensual'!E31,0)))*parametros_manuales!$I$39*parametros_manuales!$J$39</f>
        <v>1129.132852492</v>
      </c>
      <c r="D76" s="9" t="n">
        <f aca="false">(parametros_manuales!$D$39*('Plan mensual'!F24+IF(parametros_manuales!$H$39="Todos",'Plan mensual'!F28,0))+parametros_manuales!$E$39*('Plan mensual'!F25+IF(parametros_manuales!$H$39="Todos",'Plan mensual'!F29,0))+parametros_manuales!$F$39*('Plan mensual'!F26+IF(parametros_manuales!$H$39="Todos",'Plan mensual'!F30,0))+parametros_manuales!$G$39*('Plan mensual'!F27+IF(parametros_manuales!$H$39="Todos",'Plan mensual'!F31,0)))*parametros_manuales!$I$39*parametros_manuales!$J$39</f>
        <v>1092.645097054</v>
      </c>
      <c r="E76" s="9" t="n">
        <f aca="false">(parametros_manuales!$D$39*('Plan mensual'!G24+IF(parametros_manuales!$H$39="Todos",'Plan mensual'!G28,0))+parametros_manuales!$E$39*('Plan mensual'!G25+IF(parametros_manuales!$H$39="Todos",'Plan mensual'!G29,0))+parametros_manuales!$F$39*('Plan mensual'!G26+IF(parametros_manuales!$H$39="Todos",'Plan mensual'!G30,0))+parametros_manuales!$G$39*('Plan mensual'!G27+IF(parametros_manuales!$H$39="Todos",'Plan mensual'!G31,0)))*parametros_manuales!$I$39*parametros_manuales!$J$39</f>
        <v>1058.386358264</v>
      </c>
      <c r="F76" s="9" t="n">
        <f aca="false">(parametros_manuales!$D$39*('Plan mensual'!H24+IF(parametros_manuales!$H$39="Todos",'Plan mensual'!H28,0))+parametros_manuales!$E$39*('Plan mensual'!H25+IF(parametros_manuales!$H$39="Todos",'Plan mensual'!H29,0))+parametros_manuales!$F$39*('Plan mensual'!H26+IF(parametros_manuales!$H$39="Todos",'Plan mensual'!H30,0))+parametros_manuales!$G$39*('Plan mensual'!H27+IF(parametros_manuales!$H$39="Todos",'Plan mensual'!H31,0)))*parametros_manuales!$I$39*parametros_manuales!$J$39</f>
        <v>992.097897332</v>
      </c>
      <c r="G76" s="9" t="n">
        <f aca="false">(parametros_manuales!$D$39*('Plan mensual'!I24+IF(parametros_manuales!$H$39="Todos",'Plan mensual'!I28,0))+parametros_manuales!$E$39*('Plan mensual'!I25+IF(parametros_manuales!$H$39="Todos",'Plan mensual'!I29,0))+parametros_manuales!$F$39*('Plan mensual'!I26+IF(parametros_manuales!$H$39="Todos",'Plan mensual'!I30,0))+parametros_manuales!$G$39*('Plan mensual'!I27+IF(parametros_manuales!$H$39="Todos",'Plan mensual'!I31,0)))*parametros_manuales!$I$39*parametros_manuales!$J$39</f>
        <v>960.06817519</v>
      </c>
      <c r="H76" s="9" t="n">
        <f aca="false">(parametros_manuales!$D$39*('Plan mensual'!J24+IF(parametros_manuales!$H$39="Todos",'Plan mensual'!J28,0))+parametros_manuales!$E$39*('Plan mensual'!J25+IF(parametros_manuales!$H$39="Todos",'Plan mensual'!J29,0))+parametros_manuales!$F$39*('Plan mensual'!J26+IF(parametros_manuales!$H$39="Todos",'Plan mensual'!J30,0))+parametros_manuales!$G$39*('Plan mensual'!J27+IF(parametros_manuales!$H$39="Todos",'Plan mensual'!J31,0)))*parametros_manuales!$I$39*parametros_manuales!$J$39</f>
        <v>1026.356636122</v>
      </c>
      <c r="I76" s="9" t="n">
        <f aca="false">(parametros_manuales!$D$39*('Plan mensual'!K24+IF(parametros_manuales!$H$39="Todos",'Plan mensual'!K28,0))+parametros_manuales!$E$39*('Plan mensual'!K25+IF(parametros_manuales!$H$39="Todos",'Plan mensual'!K29,0))+parametros_manuales!$F$39*('Plan mensual'!K26+IF(parametros_manuales!$H$39="Todos",'Plan mensual'!K30,0))+parametros_manuales!$G$39*('Plan mensual'!K27+IF(parametros_manuales!$H$39="Todos",'Plan mensual'!K31,0)))*parametros_manuales!$I$39*parametros_manuales!$J$39</f>
        <v>1026.356636122</v>
      </c>
      <c r="J76" s="9" t="n">
        <f aca="false">(parametros_manuales!$D$39*('Plan mensual'!L24+IF(parametros_manuales!$H$39="Todos",'Plan mensual'!L28,0))+parametros_manuales!$E$39*('Plan mensual'!L25+IF(parametros_manuales!$H$39="Todos",'Plan mensual'!L29,0))+parametros_manuales!$F$39*('Plan mensual'!L26+IF(parametros_manuales!$H$39="Todos",'Plan mensual'!L30,0))+parametros_manuales!$G$39*('Plan mensual'!L27+IF(parametros_manuales!$H$39="Todos",'Plan mensual'!L31,0)))*parametros_manuales!$I$39*parametros_manuales!$J$39</f>
        <v>1026.356636122</v>
      </c>
      <c r="K76" s="9" t="n">
        <f aca="false">(parametros_manuales!$D$39*('Plan mensual'!M24+IF(parametros_manuales!$H$39="Todos",'Plan mensual'!M28,0))+parametros_manuales!$E$39*('Plan mensual'!M25+IF(parametros_manuales!$H$39="Todos",'Plan mensual'!M29,0))+parametros_manuales!$F$39*('Plan mensual'!M26+IF(parametros_manuales!$H$39="Todos",'Plan mensual'!M30,0))+parametros_manuales!$G$39*('Plan mensual'!M27+IF(parametros_manuales!$H$39="Todos",'Plan mensual'!M31,0)))*parametros_manuales!$I$39*parametros_manuales!$J$39</f>
        <v>994.32691398</v>
      </c>
      <c r="L76" s="9" t="n">
        <f aca="false">(parametros_manuales!$D$39*('Plan mensual'!N24+IF(parametros_manuales!$H$39="Todos",'Plan mensual'!N28,0))+parametros_manuales!$E$39*('Plan mensual'!N25+IF(parametros_manuales!$H$39="Todos",'Plan mensual'!N29,0))+parametros_manuales!$F$39*('Plan mensual'!N26+IF(parametros_manuales!$H$39="Todos",'Plan mensual'!N30,0))+parametros_manuales!$G$39*('Plan mensual'!N27+IF(parametros_manuales!$H$39="Todos",'Plan mensual'!N31,0)))*parametros_manuales!$I$39*parametros_manuales!$J$39</f>
        <v>962.297191838</v>
      </c>
      <c r="M76" s="9" t="n">
        <f aca="false">(parametros_manuales!$D$39*('Plan mensual'!O24+IF(parametros_manuales!$H$39="Todos",'Plan mensual'!O28,0))+parametros_manuales!$E$39*('Plan mensual'!O25+IF(parametros_manuales!$H$39="Todos",'Plan mensual'!O29,0))+parametros_manuales!$F$39*('Plan mensual'!O26+IF(parametros_manuales!$H$39="Todos",'Plan mensual'!O30,0))+parametros_manuales!$G$39*('Plan mensual'!O27+IF(parametros_manuales!$H$39="Todos",'Plan mensual'!O31,0)))*parametros_manuales!$I$39*parametros_manuales!$J$39</f>
        <v>1526.863618084</v>
      </c>
      <c r="N76" s="9" t="n">
        <f aca="false">SUM(B76:M76)</f>
        <v>13257.6921864</v>
      </c>
      <c r="O76" s="9" t="n">
        <f aca="false">MAX(B76:M76)</f>
        <v>1526.863618084</v>
      </c>
      <c r="P76" s="43" t="n">
        <f aca="false">O76/(parametros_manuales!$B$7)</f>
        <v>10.1790907872267</v>
      </c>
      <c r="Q76" s="8" t="str">
        <f aca="false">IF(O76=0,"-",INDEX($B$55:$M$55,MATCH(O76,B76:M76,0)))</f>
        <v>Dic</v>
      </c>
    </row>
    <row r="77" customFormat="false" ht="14.25" hidden="false" customHeight="true" outlineLevel="0" collapsed="false">
      <c r="A77" s="8" t="str">
        <f aca="false">parametros_manuales!$B$40</f>
        <v>Presurización</v>
      </c>
      <c r="B77" s="9" t="n">
        <f aca="false">(parametros_manuales!$D$40*('Plan mensual'!D24+IF(parametros_manuales!$H$40="Todos",'Plan mensual'!D28,0))+parametros_manuales!$E$40*('Plan mensual'!D25+IF(parametros_manuales!$H$40="Todos",'Plan mensual'!D29,0))+parametros_manuales!$F$40*('Plan mensual'!D26+IF(parametros_manuales!$H$40="Todos",'Plan mensual'!D30,0))+parametros_manuales!$G$40*('Plan mensual'!D27+IF(parametros_manuales!$H$40="Todos",'Plan mensual'!D31,0)))*parametros_manuales!$I$40*parametros_manuales!$J$40</f>
        <v>1462.8041738</v>
      </c>
      <c r="C77" s="9" t="n">
        <f aca="false">(parametros_manuales!$D$40*('Plan mensual'!E24+IF(parametros_manuales!$H$40="Todos",'Plan mensual'!E28,0))+parametros_manuales!$E$40*('Plan mensual'!E25+IF(parametros_manuales!$H$40="Todos",'Plan mensual'!E29,0))+parametros_manuales!$F$40*('Plan mensual'!E26+IF(parametros_manuales!$H$40="Todos",'Plan mensual'!E30,0))+parametros_manuales!$G$40*('Plan mensual'!E27+IF(parametros_manuales!$H$40="Todos",'Plan mensual'!E31,0)))*parametros_manuales!$I$40*parametros_manuales!$J$40</f>
        <v>1129.132852492</v>
      </c>
      <c r="D77" s="9" t="n">
        <f aca="false">(parametros_manuales!$D$40*('Plan mensual'!F24+IF(parametros_manuales!$H$40="Todos",'Plan mensual'!F28,0))+parametros_manuales!$E$40*('Plan mensual'!F25+IF(parametros_manuales!$H$40="Todos",'Plan mensual'!F29,0))+parametros_manuales!$F$40*('Plan mensual'!F26+IF(parametros_manuales!$H$40="Todos",'Plan mensual'!F30,0))+parametros_manuales!$G$40*('Plan mensual'!F27+IF(parametros_manuales!$H$40="Todos",'Plan mensual'!F31,0)))*parametros_manuales!$I$40*parametros_manuales!$J$40</f>
        <v>1092.645097054</v>
      </c>
      <c r="E77" s="9" t="n">
        <f aca="false">(parametros_manuales!$D$40*('Plan mensual'!G24+IF(parametros_manuales!$H$40="Todos",'Plan mensual'!G28,0))+parametros_manuales!$E$40*('Plan mensual'!G25+IF(parametros_manuales!$H$40="Todos",'Plan mensual'!G29,0))+parametros_manuales!$F$40*('Plan mensual'!G26+IF(parametros_manuales!$H$40="Todos",'Plan mensual'!G30,0))+parametros_manuales!$G$40*('Plan mensual'!G27+IF(parametros_manuales!$H$40="Todos",'Plan mensual'!G31,0)))*parametros_manuales!$I$40*parametros_manuales!$J$40</f>
        <v>1058.386358264</v>
      </c>
      <c r="F77" s="9" t="n">
        <f aca="false">(parametros_manuales!$D$40*('Plan mensual'!H24+IF(parametros_manuales!$H$40="Todos",'Plan mensual'!H28,0))+parametros_manuales!$E$40*('Plan mensual'!H25+IF(parametros_manuales!$H$40="Todos",'Plan mensual'!H29,0))+parametros_manuales!$F$40*('Plan mensual'!H26+IF(parametros_manuales!$H$40="Todos",'Plan mensual'!H30,0))+parametros_manuales!$G$40*('Plan mensual'!H27+IF(parametros_manuales!$H$40="Todos",'Plan mensual'!H31,0)))*parametros_manuales!$I$40*parametros_manuales!$J$40</f>
        <v>992.097897332</v>
      </c>
      <c r="G77" s="9" t="n">
        <f aca="false">(parametros_manuales!$D$40*('Plan mensual'!I24+IF(parametros_manuales!$H$40="Todos",'Plan mensual'!I28,0))+parametros_manuales!$E$40*('Plan mensual'!I25+IF(parametros_manuales!$H$40="Todos",'Plan mensual'!I29,0))+parametros_manuales!$F$40*('Plan mensual'!I26+IF(parametros_manuales!$H$40="Todos",'Plan mensual'!I30,0))+parametros_manuales!$G$40*('Plan mensual'!I27+IF(parametros_manuales!$H$40="Todos",'Plan mensual'!I31,0)))*parametros_manuales!$I$40*parametros_manuales!$J$40</f>
        <v>960.06817519</v>
      </c>
      <c r="H77" s="9" t="n">
        <f aca="false">(parametros_manuales!$D$40*('Plan mensual'!J24+IF(parametros_manuales!$H$40="Todos",'Plan mensual'!J28,0))+parametros_manuales!$E$40*('Plan mensual'!J25+IF(parametros_manuales!$H$40="Todos",'Plan mensual'!J29,0))+parametros_manuales!$F$40*('Plan mensual'!J26+IF(parametros_manuales!$H$40="Todos",'Plan mensual'!J30,0))+parametros_manuales!$G$40*('Plan mensual'!J27+IF(parametros_manuales!$H$40="Todos",'Plan mensual'!J31,0)))*parametros_manuales!$I$40*parametros_manuales!$J$40</f>
        <v>1026.356636122</v>
      </c>
      <c r="I77" s="9" t="n">
        <f aca="false">(parametros_manuales!$D$40*('Plan mensual'!K24+IF(parametros_manuales!$H$40="Todos",'Plan mensual'!K28,0))+parametros_manuales!$E$40*('Plan mensual'!K25+IF(parametros_manuales!$H$40="Todos",'Plan mensual'!K29,0))+parametros_manuales!$F$40*('Plan mensual'!K26+IF(parametros_manuales!$H$40="Todos",'Plan mensual'!K30,0))+parametros_manuales!$G$40*('Plan mensual'!K27+IF(parametros_manuales!$H$40="Todos",'Plan mensual'!K31,0)))*parametros_manuales!$I$40*parametros_manuales!$J$40</f>
        <v>1026.356636122</v>
      </c>
      <c r="J77" s="9" t="n">
        <f aca="false">(parametros_manuales!$D$40*('Plan mensual'!L24+IF(parametros_manuales!$H$40="Todos",'Plan mensual'!L28,0))+parametros_manuales!$E$40*('Plan mensual'!L25+IF(parametros_manuales!$H$40="Todos",'Plan mensual'!L29,0))+parametros_manuales!$F$40*('Plan mensual'!L26+IF(parametros_manuales!$H$40="Todos",'Plan mensual'!L30,0))+parametros_manuales!$G$40*('Plan mensual'!L27+IF(parametros_manuales!$H$40="Todos",'Plan mensual'!L31,0)))*parametros_manuales!$I$40*parametros_manuales!$J$40</f>
        <v>1026.356636122</v>
      </c>
      <c r="K77" s="9" t="n">
        <f aca="false">(parametros_manuales!$D$40*('Plan mensual'!M24+IF(parametros_manuales!$H$40="Todos",'Plan mensual'!M28,0))+parametros_manuales!$E$40*('Plan mensual'!M25+IF(parametros_manuales!$H$40="Todos",'Plan mensual'!M29,0))+parametros_manuales!$F$40*('Plan mensual'!M26+IF(parametros_manuales!$H$40="Todos",'Plan mensual'!M30,0))+parametros_manuales!$G$40*('Plan mensual'!M27+IF(parametros_manuales!$H$40="Todos",'Plan mensual'!M31,0)))*parametros_manuales!$I$40*parametros_manuales!$J$40</f>
        <v>994.32691398</v>
      </c>
      <c r="L77" s="9" t="n">
        <f aca="false">(parametros_manuales!$D$40*('Plan mensual'!N24+IF(parametros_manuales!$H$40="Todos",'Plan mensual'!N28,0))+parametros_manuales!$E$40*('Plan mensual'!N25+IF(parametros_manuales!$H$40="Todos",'Plan mensual'!N29,0))+parametros_manuales!$F$40*('Plan mensual'!N26+IF(parametros_manuales!$H$40="Todos",'Plan mensual'!N30,0))+parametros_manuales!$G$40*('Plan mensual'!N27+IF(parametros_manuales!$H$40="Todos",'Plan mensual'!N31,0)))*parametros_manuales!$I$40*parametros_manuales!$J$40</f>
        <v>962.297191838</v>
      </c>
      <c r="M77" s="9" t="n">
        <f aca="false">(parametros_manuales!$D$40*('Plan mensual'!O24+IF(parametros_manuales!$H$40="Todos",'Plan mensual'!O28,0))+parametros_manuales!$E$40*('Plan mensual'!O25+IF(parametros_manuales!$H$40="Todos",'Plan mensual'!O29,0))+parametros_manuales!$F$40*('Plan mensual'!O26+IF(parametros_manuales!$H$40="Todos",'Plan mensual'!O30,0))+parametros_manuales!$G$40*('Plan mensual'!O27+IF(parametros_manuales!$H$40="Todos",'Plan mensual'!O31,0)))*parametros_manuales!$I$40*parametros_manuales!$J$40</f>
        <v>1526.863618084</v>
      </c>
      <c r="N77" s="9" t="n">
        <f aca="false">SUM(B77:M77)</f>
        <v>13257.6921864</v>
      </c>
      <c r="O77" s="9" t="n">
        <f aca="false">MAX(B77:M77)</f>
        <v>1526.863618084</v>
      </c>
      <c r="P77" s="43" t="n">
        <f aca="false">O77/(parametros_manuales!$B$7)</f>
        <v>10.1790907872267</v>
      </c>
      <c r="Q77" s="8" t="str">
        <f aca="false">IF(O77=0,"-",INDEX($B$55:$M$55,MATCH(O77,B77:M77,0)))</f>
        <v>Dic</v>
      </c>
    </row>
    <row r="78" customFormat="false" ht="14.25" hidden="false" customHeight="true" outlineLevel="0" collapsed="false">
      <c r="A78" s="8" t="str">
        <f aca="false">parametros_manuales!$B$41</f>
        <v>Control de calidad — Ensayo de pérdidas</v>
      </c>
      <c r="B78" s="9" t="n">
        <f aca="false">(parametros_manuales!$D$41*('Plan mensual'!D24+IF(parametros_manuales!$H$41="Todos",'Plan mensual'!D28,0))+parametros_manuales!$E$41*('Plan mensual'!D25+IF(parametros_manuales!$H$41="Todos",'Plan mensual'!D29,0))+parametros_manuales!$F$41*('Plan mensual'!D26+IF(parametros_manuales!$H$41="Todos",'Plan mensual'!D30,0))+parametros_manuales!$G$41*('Plan mensual'!D27+IF(parametros_manuales!$H$41="Todos",'Plan mensual'!D31,0)))*parametros_manuales!$I$41*parametros_manuales!$J$41</f>
        <v>1462.8041738</v>
      </c>
      <c r="C78" s="9" t="n">
        <f aca="false">(parametros_manuales!$D$41*('Plan mensual'!E24+IF(parametros_manuales!$H$41="Todos",'Plan mensual'!E28,0))+parametros_manuales!$E$41*('Plan mensual'!E25+IF(parametros_manuales!$H$41="Todos",'Plan mensual'!E29,0))+parametros_manuales!$F$41*('Plan mensual'!E26+IF(parametros_manuales!$H$41="Todos",'Plan mensual'!E30,0))+parametros_manuales!$G$41*('Plan mensual'!E27+IF(parametros_manuales!$H$41="Todos",'Plan mensual'!E31,0)))*parametros_manuales!$I$41*parametros_manuales!$J$41</f>
        <v>1129.132852492</v>
      </c>
      <c r="D78" s="9" t="n">
        <f aca="false">(parametros_manuales!$D$41*('Plan mensual'!F24+IF(parametros_manuales!$H$41="Todos",'Plan mensual'!F28,0))+parametros_manuales!$E$41*('Plan mensual'!F25+IF(parametros_manuales!$H$41="Todos",'Plan mensual'!F29,0))+parametros_manuales!$F$41*('Plan mensual'!F26+IF(parametros_manuales!$H$41="Todos",'Plan mensual'!F30,0))+parametros_manuales!$G$41*('Plan mensual'!F27+IF(parametros_manuales!$H$41="Todos",'Plan mensual'!F31,0)))*parametros_manuales!$I$41*parametros_manuales!$J$41</f>
        <v>1092.645097054</v>
      </c>
      <c r="E78" s="9" t="n">
        <f aca="false">(parametros_manuales!$D$41*('Plan mensual'!G24+IF(parametros_manuales!$H$41="Todos",'Plan mensual'!G28,0))+parametros_manuales!$E$41*('Plan mensual'!G25+IF(parametros_manuales!$H$41="Todos",'Plan mensual'!G29,0))+parametros_manuales!$F$41*('Plan mensual'!G26+IF(parametros_manuales!$H$41="Todos",'Plan mensual'!G30,0))+parametros_manuales!$G$41*('Plan mensual'!G27+IF(parametros_manuales!$H$41="Todos",'Plan mensual'!G31,0)))*parametros_manuales!$I$41*parametros_manuales!$J$41</f>
        <v>1058.386358264</v>
      </c>
      <c r="F78" s="9" t="n">
        <f aca="false">(parametros_manuales!$D$41*('Plan mensual'!H24+IF(parametros_manuales!$H$41="Todos",'Plan mensual'!H28,0))+parametros_manuales!$E$41*('Plan mensual'!H25+IF(parametros_manuales!$H$41="Todos",'Plan mensual'!H29,0))+parametros_manuales!$F$41*('Plan mensual'!H26+IF(parametros_manuales!$H$41="Todos",'Plan mensual'!H30,0))+parametros_manuales!$G$41*('Plan mensual'!H27+IF(parametros_manuales!$H$41="Todos",'Plan mensual'!H31,0)))*parametros_manuales!$I$41*parametros_manuales!$J$41</f>
        <v>992.097897332</v>
      </c>
      <c r="G78" s="9" t="n">
        <f aca="false">(parametros_manuales!$D$41*('Plan mensual'!I24+IF(parametros_manuales!$H$41="Todos",'Plan mensual'!I28,0))+parametros_manuales!$E$41*('Plan mensual'!I25+IF(parametros_manuales!$H$41="Todos",'Plan mensual'!I29,0))+parametros_manuales!$F$41*('Plan mensual'!I26+IF(parametros_manuales!$H$41="Todos",'Plan mensual'!I30,0))+parametros_manuales!$G$41*('Plan mensual'!I27+IF(parametros_manuales!$H$41="Todos",'Plan mensual'!I31,0)))*parametros_manuales!$I$41*parametros_manuales!$J$41</f>
        <v>960.06817519</v>
      </c>
      <c r="H78" s="9" t="n">
        <f aca="false">(parametros_manuales!$D$41*('Plan mensual'!J24+IF(parametros_manuales!$H$41="Todos",'Plan mensual'!J28,0))+parametros_manuales!$E$41*('Plan mensual'!J25+IF(parametros_manuales!$H$41="Todos",'Plan mensual'!J29,0))+parametros_manuales!$F$41*('Plan mensual'!J26+IF(parametros_manuales!$H$41="Todos",'Plan mensual'!J30,0))+parametros_manuales!$G$41*('Plan mensual'!J27+IF(parametros_manuales!$H$41="Todos",'Plan mensual'!J31,0)))*parametros_manuales!$I$41*parametros_manuales!$J$41</f>
        <v>1026.356636122</v>
      </c>
      <c r="I78" s="9" t="n">
        <f aca="false">(parametros_manuales!$D$41*('Plan mensual'!K24+IF(parametros_manuales!$H$41="Todos",'Plan mensual'!K28,0))+parametros_manuales!$E$41*('Plan mensual'!K25+IF(parametros_manuales!$H$41="Todos",'Plan mensual'!K29,0))+parametros_manuales!$F$41*('Plan mensual'!K26+IF(parametros_manuales!$H$41="Todos",'Plan mensual'!K30,0))+parametros_manuales!$G$41*('Plan mensual'!K27+IF(parametros_manuales!$H$41="Todos",'Plan mensual'!K31,0)))*parametros_manuales!$I$41*parametros_manuales!$J$41</f>
        <v>1026.356636122</v>
      </c>
      <c r="J78" s="9" t="n">
        <f aca="false">(parametros_manuales!$D$41*('Plan mensual'!L24+IF(parametros_manuales!$H$41="Todos",'Plan mensual'!L28,0))+parametros_manuales!$E$41*('Plan mensual'!L25+IF(parametros_manuales!$H$41="Todos",'Plan mensual'!L29,0))+parametros_manuales!$F$41*('Plan mensual'!L26+IF(parametros_manuales!$H$41="Todos",'Plan mensual'!L30,0))+parametros_manuales!$G$41*('Plan mensual'!L27+IF(parametros_manuales!$H$41="Todos",'Plan mensual'!L31,0)))*parametros_manuales!$I$41*parametros_manuales!$J$41</f>
        <v>1026.356636122</v>
      </c>
      <c r="K78" s="9" t="n">
        <f aca="false">(parametros_manuales!$D$41*('Plan mensual'!M24+IF(parametros_manuales!$H$41="Todos",'Plan mensual'!M28,0))+parametros_manuales!$E$41*('Plan mensual'!M25+IF(parametros_manuales!$H$41="Todos",'Plan mensual'!M29,0))+parametros_manuales!$F$41*('Plan mensual'!M26+IF(parametros_manuales!$H$41="Todos",'Plan mensual'!M30,0))+parametros_manuales!$G$41*('Plan mensual'!M27+IF(parametros_manuales!$H$41="Todos",'Plan mensual'!M31,0)))*parametros_manuales!$I$41*parametros_manuales!$J$41</f>
        <v>994.32691398</v>
      </c>
      <c r="L78" s="9" t="n">
        <f aca="false">(parametros_manuales!$D$41*('Plan mensual'!N24+IF(parametros_manuales!$H$41="Todos",'Plan mensual'!N28,0))+parametros_manuales!$E$41*('Plan mensual'!N25+IF(parametros_manuales!$H$41="Todos",'Plan mensual'!N29,0))+parametros_manuales!$F$41*('Plan mensual'!N26+IF(parametros_manuales!$H$41="Todos",'Plan mensual'!N30,0))+parametros_manuales!$G$41*('Plan mensual'!N27+IF(parametros_manuales!$H$41="Todos",'Plan mensual'!N31,0)))*parametros_manuales!$I$41*parametros_manuales!$J$41</f>
        <v>962.297191838</v>
      </c>
      <c r="M78" s="9" t="n">
        <f aca="false">(parametros_manuales!$D$41*('Plan mensual'!O24+IF(parametros_manuales!$H$41="Todos",'Plan mensual'!O28,0))+parametros_manuales!$E$41*('Plan mensual'!O25+IF(parametros_manuales!$H$41="Todos",'Plan mensual'!O29,0))+parametros_manuales!$F$41*('Plan mensual'!O26+IF(parametros_manuales!$H$41="Todos",'Plan mensual'!O30,0))+parametros_manuales!$G$41*('Plan mensual'!O27+IF(parametros_manuales!$H$41="Todos",'Plan mensual'!O31,0)))*parametros_manuales!$I$41*parametros_manuales!$J$41</f>
        <v>1526.863618084</v>
      </c>
      <c r="N78" s="9" t="n">
        <f aca="false">SUM(B78:M78)</f>
        <v>13257.6921864</v>
      </c>
      <c r="O78" s="9" t="n">
        <f aca="false">MAX(B78:M78)</f>
        <v>1526.863618084</v>
      </c>
      <c r="P78" s="43" t="n">
        <f aca="false">O78/(parametros_manuales!$B$7)</f>
        <v>10.1790907872267</v>
      </c>
      <c r="Q78" s="8" t="str">
        <f aca="false">IF(O78=0,"-",INDEX($B$55:$M$55,MATCH(O78,B78:M78,0)))</f>
        <v>Dic</v>
      </c>
    </row>
    <row r="79" customFormat="false" ht="14.25" hidden="false" customHeight="true" outlineLevel="0" collapsed="false">
      <c r="A79" s="8" t="str">
        <f aca="false">parametros_manuales!$B$42</f>
        <v>Etiquetado</v>
      </c>
      <c r="B79" s="9" t="n">
        <f aca="false">(parametros_manuales!$D$42*('Plan mensual'!D24+IF(parametros_manuales!$H$42="Todos",'Plan mensual'!D28,0))+parametros_manuales!$E$42*('Plan mensual'!D25+IF(parametros_manuales!$H$42="Todos",'Plan mensual'!D29,0))+parametros_manuales!$F$42*('Plan mensual'!D26+IF(parametros_manuales!$H$42="Todos",'Plan mensual'!D30,0))+parametros_manuales!$G$42*('Plan mensual'!D27+IF(parametros_manuales!$H$42="Todos",'Plan mensual'!D31,0)))*parametros_manuales!$I$42*parametros_manuales!$J$42</f>
        <v>1462.8041738</v>
      </c>
      <c r="C79" s="9" t="n">
        <f aca="false">(parametros_manuales!$D$42*('Plan mensual'!E24+IF(parametros_manuales!$H$42="Todos",'Plan mensual'!E28,0))+parametros_manuales!$E$42*('Plan mensual'!E25+IF(parametros_manuales!$H$42="Todos",'Plan mensual'!E29,0))+parametros_manuales!$F$42*('Plan mensual'!E26+IF(parametros_manuales!$H$42="Todos",'Plan mensual'!E30,0))+parametros_manuales!$G$42*('Plan mensual'!E27+IF(parametros_manuales!$H$42="Todos",'Plan mensual'!E31,0)))*parametros_manuales!$I$42*parametros_manuales!$J$42</f>
        <v>1129.132852492</v>
      </c>
      <c r="D79" s="9" t="n">
        <f aca="false">(parametros_manuales!$D$42*('Plan mensual'!F24+IF(parametros_manuales!$H$42="Todos",'Plan mensual'!F28,0))+parametros_manuales!$E$42*('Plan mensual'!F25+IF(parametros_manuales!$H$42="Todos",'Plan mensual'!F29,0))+parametros_manuales!$F$42*('Plan mensual'!F26+IF(parametros_manuales!$H$42="Todos",'Plan mensual'!F30,0))+parametros_manuales!$G$42*('Plan mensual'!F27+IF(parametros_manuales!$H$42="Todos",'Plan mensual'!F31,0)))*parametros_manuales!$I$42*parametros_manuales!$J$42</f>
        <v>1092.645097054</v>
      </c>
      <c r="E79" s="9" t="n">
        <f aca="false">(parametros_manuales!$D$42*('Plan mensual'!G24+IF(parametros_manuales!$H$42="Todos",'Plan mensual'!G28,0))+parametros_manuales!$E$42*('Plan mensual'!G25+IF(parametros_manuales!$H$42="Todos",'Plan mensual'!G29,0))+parametros_manuales!$F$42*('Plan mensual'!G26+IF(parametros_manuales!$H$42="Todos",'Plan mensual'!G30,0))+parametros_manuales!$G$42*('Plan mensual'!G27+IF(parametros_manuales!$H$42="Todos",'Plan mensual'!G31,0)))*parametros_manuales!$I$42*parametros_manuales!$J$42</f>
        <v>1058.386358264</v>
      </c>
      <c r="F79" s="9" t="n">
        <f aca="false">(parametros_manuales!$D$42*('Plan mensual'!H24+IF(parametros_manuales!$H$42="Todos",'Plan mensual'!H28,0))+parametros_manuales!$E$42*('Plan mensual'!H25+IF(parametros_manuales!$H$42="Todos",'Plan mensual'!H29,0))+parametros_manuales!$F$42*('Plan mensual'!H26+IF(parametros_manuales!$H$42="Todos",'Plan mensual'!H30,0))+parametros_manuales!$G$42*('Plan mensual'!H27+IF(parametros_manuales!$H$42="Todos",'Plan mensual'!H31,0)))*parametros_manuales!$I$42*parametros_manuales!$J$42</f>
        <v>992.097897332</v>
      </c>
      <c r="G79" s="9" t="n">
        <f aca="false">(parametros_manuales!$D$42*('Plan mensual'!I24+IF(parametros_manuales!$H$42="Todos",'Plan mensual'!I28,0))+parametros_manuales!$E$42*('Plan mensual'!I25+IF(parametros_manuales!$H$42="Todos",'Plan mensual'!I29,0))+parametros_manuales!$F$42*('Plan mensual'!I26+IF(parametros_manuales!$H$42="Todos",'Plan mensual'!I30,0))+parametros_manuales!$G$42*('Plan mensual'!I27+IF(parametros_manuales!$H$42="Todos",'Plan mensual'!I31,0)))*parametros_manuales!$I$42*parametros_manuales!$J$42</f>
        <v>960.06817519</v>
      </c>
      <c r="H79" s="9" t="n">
        <f aca="false">(parametros_manuales!$D$42*('Plan mensual'!J24+IF(parametros_manuales!$H$42="Todos",'Plan mensual'!J28,0))+parametros_manuales!$E$42*('Plan mensual'!J25+IF(parametros_manuales!$H$42="Todos",'Plan mensual'!J29,0))+parametros_manuales!$F$42*('Plan mensual'!J26+IF(parametros_manuales!$H$42="Todos",'Plan mensual'!J30,0))+parametros_manuales!$G$42*('Plan mensual'!J27+IF(parametros_manuales!$H$42="Todos",'Plan mensual'!J31,0)))*parametros_manuales!$I$42*parametros_manuales!$J$42</f>
        <v>1026.356636122</v>
      </c>
      <c r="I79" s="9" t="n">
        <f aca="false">(parametros_manuales!$D$42*('Plan mensual'!K24+IF(parametros_manuales!$H$42="Todos",'Plan mensual'!K28,0))+parametros_manuales!$E$42*('Plan mensual'!K25+IF(parametros_manuales!$H$42="Todos",'Plan mensual'!K29,0))+parametros_manuales!$F$42*('Plan mensual'!K26+IF(parametros_manuales!$H$42="Todos",'Plan mensual'!K30,0))+parametros_manuales!$G$42*('Plan mensual'!K27+IF(parametros_manuales!$H$42="Todos",'Plan mensual'!K31,0)))*parametros_manuales!$I$42*parametros_manuales!$J$42</f>
        <v>1026.356636122</v>
      </c>
      <c r="J79" s="9" t="n">
        <f aca="false">(parametros_manuales!$D$42*('Plan mensual'!L24+IF(parametros_manuales!$H$42="Todos",'Plan mensual'!L28,0))+parametros_manuales!$E$42*('Plan mensual'!L25+IF(parametros_manuales!$H$42="Todos",'Plan mensual'!L29,0))+parametros_manuales!$F$42*('Plan mensual'!L26+IF(parametros_manuales!$H$42="Todos",'Plan mensual'!L30,0))+parametros_manuales!$G$42*('Plan mensual'!L27+IF(parametros_manuales!$H$42="Todos",'Plan mensual'!L31,0)))*parametros_manuales!$I$42*parametros_manuales!$J$42</f>
        <v>1026.356636122</v>
      </c>
      <c r="K79" s="9" t="n">
        <f aca="false">(parametros_manuales!$D$42*('Plan mensual'!M24+IF(parametros_manuales!$H$42="Todos",'Plan mensual'!M28,0))+parametros_manuales!$E$42*('Plan mensual'!M25+IF(parametros_manuales!$H$42="Todos",'Plan mensual'!M29,0))+parametros_manuales!$F$42*('Plan mensual'!M26+IF(parametros_manuales!$H$42="Todos",'Plan mensual'!M30,0))+parametros_manuales!$G$42*('Plan mensual'!M27+IF(parametros_manuales!$H$42="Todos",'Plan mensual'!M31,0)))*parametros_manuales!$I$42*parametros_manuales!$J$42</f>
        <v>994.32691398</v>
      </c>
      <c r="L79" s="9" t="n">
        <f aca="false">(parametros_manuales!$D$42*('Plan mensual'!N24+IF(parametros_manuales!$H$42="Todos",'Plan mensual'!N28,0))+parametros_manuales!$E$42*('Plan mensual'!N25+IF(parametros_manuales!$H$42="Todos",'Plan mensual'!N29,0))+parametros_manuales!$F$42*('Plan mensual'!N26+IF(parametros_manuales!$H$42="Todos",'Plan mensual'!N30,0))+parametros_manuales!$G$42*('Plan mensual'!N27+IF(parametros_manuales!$H$42="Todos",'Plan mensual'!N31,0)))*parametros_manuales!$I$42*parametros_manuales!$J$42</f>
        <v>962.297191838</v>
      </c>
      <c r="M79" s="9" t="n">
        <f aca="false">(parametros_manuales!$D$42*('Plan mensual'!O24+IF(parametros_manuales!$H$42="Todos",'Plan mensual'!O28,0))+parametros_manuales!$E$42*('Plan mensual'!O25+IF(parametros_manuales!$H$42="Todos",'Plan mensual'!O29,0))+parametros_manuales!$F$42*('Plan mensual'!O26+IF(parametros_manuales!$H$42="Todos",'Plan mensual'!O30,0))+parametros_manuales!$G$42*('Plan mensual'!O27+IF(parametros_manuales!$H$42="Todos",'Plan mensual'!O31,0)))*parametros_manuales!$I$42*parametros_manuales!$J$42</f>
        <v>1526.863618084</v>
      </c>
      <c r="N79" s="9" t="n">
        <f aca="false">SUM(B79:M79)</f>
        <v>13257.6921864</v>
      </c>
      <c r="O79" s="9" t="n">
        <f aca="false">MAX(B79:M79)</f>
        <v>1526.863618084</v>
      </c>
      <c r="P79" s="43" t="n">
        <f aca="false">O79/(parametros_manuales!$B$7)</f>
        <v>10.1790907872267</v>
      </c>
      <c r="Q79" s="8" t="str">
        <f aca="false">IF(O79=0,"-",INDEX($B$55:$M$55,MATCH(O79,B79:M79,0)))</f>
        <v>Dic</v>
      </c>
    </row>
    <row r="80" customFormat="false" ht="14.25" hidden="false" customHeight="true" outlineLevel="0" collapsed="false">
      <c r="A80" s="8" t="str">
        <f aca="false">parametros_manuales!$B$43</f>
        <v>Embalaje y paletizado</v>
      </c>
      <c r="B80" s="9" t="n">
        <f aca="false">(parametros_manuales!$D$43*('Plan mensual'!D24+IF(parametros_manuales!$H$43="Todos",'Plan mensual'!D28,0))+parametros_manuales!$E$43*('Plan mensual'!D25+IF(parametros_manuales!$H$43="Todos",'Plan mensual'!D29,0))+parametros_manuales!$F$43*('Plan mensual'!D26+IF(parametros_manuales!$H$43="Todos",'Plan mensual'!D30,0))+parametros_manuales!$G$43*('Plan mensual'!D27+IF(parametros_manuales!$H$43="Todos",'Plan mensual'!D31,0)))*parametros_manuales!$I$43*parametros_manuales!$J$43</f>
        <v>2582.3641738</v>
      </c>
      <c r="C80" s="9" t="n">
        <f aca="false">(parametros_manuales!$D$43*('Plan mensual'!E24+IF(parametros_manuales!$H$43="Todos",'Plan mensual'!E28,0))+parametros_manuales!$E$43*('Plan mensual'!E25+IF(parametros_manuales!$H$43="Todos",'Plan mensual'!E29,0))+parametros_manuales!$F$43*('Plan mensual'!E26+IF(parametros_manuales!$H$43="Todos",'Plan mensual'!E30,0))+parametros_manuales!$G$43*('Plan mensual'!E27+IF(parametros_manuales!$H$43="Todos",'Plan mensual'!E31,0)))*parametros_manuales!$I$43*parametros_manuales!$J$43</f>
        <v>1978.806452492</v>
      </c>
      <c r="D80" s="9" t="n">
        <f aca="false">(parametros_manuales!$D$43*('Plan mensual'!F24+IF(parametros_manuales!$H$43="Todos",'Plan mensual'!F28,0))+parametros_manuales!$E$43*('Plan mensual'!F25+IF(parametros_manuales!$H$43="Todos",'Plan mensual'!F29,0))+parametros_manuales!$F$43*('Plan mensual'!F26+IF(parametros_manuales!$H$43="Todos",'Plan mensual'!F30,0))+parametros_manuales!$G$43*('Plan mensual'!F27+IF(parametros_manuales!$H$43="Todos",'Plan mensual'!F31,0)))*parametros_manuales!$I$43*parametros_manuales!$J$43</f>
        <v>1875.698297054</v>
      </c>
      <c r="E80" s="9" t="n">
        <f aca="false">(parametros_manuales!$D$43*('Plan mensual'!G24+IF(parametros_manuales!$H$43="Todos",'Plan mensual'!G28,0))+parametros_manuales!$E$43*('Plan mensual'!G25+IF(parametros_manuales!$H$43="Todos",'Plan mensual'!G29,0))+parametros_manuales!$F$43*('Plan mensual'!G26+IF(parametros_manuales!$H$43="Todos",'Plan mensual'!G30,0))+parametros_manuales!$G$43*('Plan mensual'!G27+IF(parametros_manuales!$H$43="Todos",'Plan mensual'!G31,0)))*parametros_manuales!$I$43*parametros_manuales!$J$43</f>
        <v>1803.127558264</v>
      </c>
      <c r="F80" s="9" t="n">
        <f aca="false">(parametros_manuales!$D$43*('Plan mensual'!H24+IF(parametros_manuales!$H$43="Todos",'Plan mensual'!H28,0))+parametros_manuales!$E$43*('Plan mensual'!H25+IF(parametros_manuales!$H$43="Todos",'Plan mensual'!H29,0))+parametros_manuales!$F$43*('Plan mensual'!H26+IF(parametros_manuales!$H$43="Todos",'Plan mensual'!H30,0))+parametros_manuales!$G$43*('Plan mensual'!H27+IF(parametros_manuales!$H$43="Todos",'Plan mensual'!H31,0)))*parametros_manuales!$I$43*parametros_manuales!$J$43</f>
        <v>1688.523497332</v>
      </c>
      <c r="G80" s="9" t="n">
        <f aca="false">(parametros_manuales!$D$43*('Plan mensual'!I24+IF(parametros_manuales!$H$43="Todos",'Plan mensual'!I28,0))+parametros_manuales!$E$43*('Plan mensual'!I25+IF(parametros_manuales!$H$43="Todos",'Plan mensual'!I29,0))+parametros_manuales!$F$43*('Plan mensual'!I26+IF(parametros_manuales!$H$43="Todos",'Plan mensual'!I30,0))+parametros_manuales!$G$43*('Plan mensual'!I27+IF(parametros_manuales!$H$43="Todos",'Plan mensual'!I31,0)))*parametros_manuales!$I$43*parametros_manuales!$J$43</f>
        <v>1646.49017519</v>
      </c>
      <c r="H80" s="9" t="n">
        <f aca="false">(parametros_manuales!$D$43*('Plan mensual'!J24+IF(parametros_manuales!$H$43="Todos",'Plan mensual'!J28,0))+parametros_manuales!$E$43*('Plan mensual'!J25+IF(parametros_manuales!$H$43="Todos",'Plan mensual'!J29,0))+parametros_manuales!$F$43*('Plan mensual'!J26+IF(parametros_manuales!$H$43="Todos",'Plan mensual'!J30,0))+parametros_manuales!$G$43*('Plan mensual'!J27+IF(parametros_manuales!$H$43="Todos",'Plan mensual'!J31,0)))*parametros_manuales!$I$43*parametros_manuales!$J$43</f>
        <v>1761.094236122</v>
      </c>
      <c r="I80" s="9" t="n">
        <f aca="false">(parametros_manuales!$D$43*('Plan mensual'!K24+IF(parametros_manuales!$H$43="Todos",'Plan mensual'!K28,0))+parametros_manuales!$E$43*('Plan mensual'!K25+IF(parametros_manuales!$H$43="Todos",'Plan mensual'!K29,0))+parametros_manuales!$F$43*('Plan mensual'!K26+IF(parametros_manuales!$H$43="Todos",'Plan mensual'!K30,0))+parametros_manuales!$G$43*('Plan mensual'!K27+IF(parametros_manuales!$H$43="Todos",'Plan mensual'!K31,0)))*parametros_manuales!$I$43*parametros_manuales!$J$43</f>
        <v>1761.094236122</v>
      </c>
      <c r="J80" s="9" t="n">
        <f aca="false">(parametros_manuales!$D$43*('Plan mensual'!L24+IF(parametros_manuales!$H$43="Todos",'Plan mensual'!L28,0))+parametros_manuales!$E$43*('Plan mensual'!L25+IF(parametros_manuales!$H$43="Todos",'Plan mensual'!L29,0))+parametros_manuales!$F$43*('Plan mensual'!L26+IF(parametros_manuales!$H$43="Todos",'Plan mensual'!L30,0))+parametros_manuales!$G$43*('Plan mensual'!L27+IF(parametros_manuales!$H$43="Todos",'Plan mensual'!L31,0)))*parametros_manuales!$I$43*parametros_manuales!$J$43</f>
        <v>1761.094236122</v>
      </c>
      <c r="K80" s="9" t="n">
        <f aca="false">(parametros_manuales!$D$43*('Plan mensual'!M24+IF(parametros_manuales!$H$43="Todos",'Plan mensual'!M28,0))+parametros_manuales!$E$43*('Plan mensual'!M25+IF(parametros_manuales!$H$43="Todos",'Plan mensual'!M29,0))+parametros_manuales!$F$43*('Plan mensual'!M26+IF(parametros_manuales!$H$43="Todos",'Plan mensual'!M30,0))+parametros_manuales!$G$43*('Plan mensual'!M27+IF(parametros_manuales!$H$43="Todos",'Plan mensual'!M31,0)))*parametros_manuales!$I$43*parametros_manuales!$J$43</f>
        <v>1719.06091398</v>
      </c>
      <c r="L80" s="9" t="n">
        <f aca="false">(parametros_manuales!$D$43*('Plan mensual'!N24+IF(parametros_manuales!$H$43="Todos",'Plan mensual'!N28,0))+parametros_manuales!$E$43*('Plan mensual'!N25+IF(parametros_manuales!$H$43="Todos",'Plan mensual'!N29,0))+parametros_manuales!$F$43*('Plan mensual'!N26+IF(parametros_manuales!$H$43="Todos",'Plan mensual'!N30,0))+parametros_manuales!$G$43*('Plan mensual'!N27+IF(parametros_manuales!$H$43="Todos",'Plan mensual'!N31,0)))*parametros_manuales!$I$43*parametros_manuales!$J$43</f>
        <v>1677.027591838</v>
      </c>
      <c r="M80" s="9" t="n">
        <f aca="false">(parametros_manuales!$D$43*('Plan mensual'!O24+IF(parametros_manuales!$H$43="Todos",'Plan mensual'!O28,0))+parametros_manuales!$E$43*('Plan mensual'!O25+IF(parametros_manuales!$H$43="Todos",'Plan mensual'!O29,0))+parametros_manuales!$F$43*('Plan mensual'!O26+IF(parametros_manuales!$H$43="Todos",'Plan mensual'!O30,0))+parametros_manuales!$G$43*('Plan mensual'!O27+IF(parametros_manuales!$H$43="Todos",'Plan mensual'!O31,0)))*parametros_manuales!$I$43*parametros_manuales!$J$43</f>
        <v>2666.430818084</v>
      </c>
      <c r="N80" s="9" t="n">
        <f aca="false">SUM(B80:M80)</f>
        <v>22920.8121864</v>
      </c>
      <c r="O80" s="9" t="n">
        <f aca="false">MAX(B80:M80)</f>
        <v>2666.430818084</v>
      </c>
      <c r="P80" s="43" t="n">
        <f aca="false">O80/(parametros_manuales!$B$7)</f>
        <v>17.7762054538933</v>
      </c>
      <c r="Q80" s="8" t="str">
        <f aca="false">IF(O80=0,"-",INDEX($B$55:$M$55,MATCH(O80,B80:M80,0)))</f>
        <v>Dic</v>
      </c>
    </row>
    <row r="81" customFormat="false" ht="14.25" hidden="false" customHeight="true" outlineLevel="0" collapsed="false"/>
    <row r="82" customFormat="false" ht="14.25" hidden="false" customHeight="true" outlineLevel="0" collapsed="false">
      <c r="A82" s="7" t="s">
        <v>193</v>
      </c>
      <c r="B82" s="7" t="s">
        <v>61</v>
      </c>
      <c r="C82" s="7" t="s">
        <v>62</v>
      </c>
      <c r="D82" s="7" t="s">
        <v>63</v>
      </c>
      <c r="E82" s="7" t="s">
        <v>64</v>
      </c>
      <c r="F82" s="7" t="s">
        <v>65</v>
      </c>
      <c r="G82" s="7" t="s">
        <v>66</v>
      </c>
      <c r="H82" s="7" t="s">
        <v>67</v>
      </c>
      <c r="I82" s="7" t="s">
        <v>68</v>
      </c>
      <c r="J82" s="7" t="s">
        <v>69</v>
      </c>
      <c r="K82" s="7" t="s">
        <v>70</v>
      </c>
      <c r="L82" s="7" t="s">
        <v>71</v>
      </c>
      <c r="M82" s="7" t="s">
        <v>72</v>
      </c>
      <c r="N82" s="7" t="s">
        <v>183</v>
      </c>
      <c r="O82" s="7" t="s">
        <v>188</v>
      </c>
      <c r="P82" s="7" t="s">
        <v>189</v>
      </c>
      <c r="Q82" s="7" t="s">
        <v>190</v>
      </c>
    </row>
    <row r="83" customFormat="false" ht="14.25" hidden="false" customHeight="true" outlineLevel="0" collapsed="false">
      <c r="A83" s="8" t="str">
        <f aca="false">parametros_manuales!$B$19</f>
        <v>Recepción de materia prima</v>
      </c>
      <c r="B83" s="9" t="n">
        <f aca="false">(parametros_manuales!$D$19*('Plan mensual'!D35+IF(parametros_manuales!$H$19="Todos",'Plan mensual'!D39,0))+parametros_manuales!$E$19*('Plan mensual'!D36+IF(parametros_manuales!$H$19="Todos",'Plan mensual'!D40,0))+parametros_manuales!$F$19*('Plan mensual'!D37+IF(parametros_manuales!$H$19="Todos",'Plan mensual'!D41,0))+parametros_manuales!$G$19*('Plan mensual'!D38+IF(parametros_manuales!$H$19="Todos",'Plan mensual'!D42,0)))*parametros_manuales!$I$19*parametros_manuales!$J$19</f>
        <v>5772.17366399</v>
      </c>
      <c r="C83" s="9" t="n">
        <f aca="false">(parametros_manuales!$D$19*('Plan mensual'!E35+IF(parametros_manuales!$H$19="Todos",'Plan mensual'!E39,0))+parametros_manuales!$E$19*('Plan mensual'!E36+IF(parametros_manuales!$H$19="Todos",'Plan mensual'!E40,0))+parametros_manuales!$F$19*('Plan mensual'!E37+IF(parametros_manuales!$H$19="Todos",'Plan mensual'!E41,0))+parametros_manuales!$G$19*('Plan mensual'!E38+IF(parametros_manuales!$H$19="Todos",'Plan mensual'!E42,0)))*parametros_manuales!$I$19*parametros_manuales!$J$19</f>
        <v>4406.767317898</v>
      </c>
      <c r="D83" s="9" t="n">
        <f aca="false">(parametros_manuales!$D$19*('Plan mensual'!F35+IF(parametros_manuales!$H$19="Todos",'Plan mensual'!F39,0))+parametros_manuales!$E$19*('Plan mensual'!F36+IF(parametros_manuales!$H$19="Todos",'Plan mensual'!F40,0))+parametros_manuales!$F$19*('Plan mensual'!F37+IF(parametros_manuales!$H$19="Todos",'Plan mensual'!F41,0))+parametros_manuales!$G$19*('Plan mensual'!F38+IF(parametros_manuales!$H$19="Todos",'Plan mensual'!F42,0)))*parametros_manuales!$I$19*parametros_manuales!$J$19</f>
        <v>4132.7850323135</v>
      </c>
      <c r="E83" s="9" t="n">
        <f aca="false">(parametros_manuales!$D$19*('Plan mensual'!G35+IF(parametros_manuales!$H$19="Todos",'Plan mensual'!G39,0))+parametros_manuales!$E$19*('Plan mensual'!G36+IF(parametros_manuales!$H$19="Todos",'Plan mensual'!G40,0))+parametros_manuales!$F$19*('Plan mensual'!G37+IF(parametros_manuales!$H$19="Todos",'Plan mensual'!G41,0))+parametros_manuales!$G$19*('Plan mensual'!G38+IF(parametros_manuales!$H$19="Todos",'Plan mensual'!G42,0)))*parametros_manuales!$I$19*parametros_manuales!$J$19</f>
        <v>3956.9753545685</v>
      </c>
      <c r="F83" s="9" t="n">
        <f aca="false">(parametros_manuales!$D$19*('Plan mensual'!H35+IF(parametros_manuales!$H$19="Todos",'Plan mensual'!H39,0))+parametros_manuales!$E$19*('Plan mensual'!H36+IF(parametros_manuales!$H$19="Todos",'Plan mensual'!H40,0))+parametros_manuales!$F$19*('Plan mensual'!H37+IF(parametros_manuales!$H$19="Todos",'Plan mensual'!H41,0))+parametros_manuales!$G$19*('Plan mensual'!H38+IF(parametros_manuales!$H$19="Todos",'Plan mensual'!H42,0)))*parametros_manuales!$I$19*parametros_manuales!$J$19</f>
        <v>3703.528606918</v>
      </c>
      <c r="G83" s="9" t="n">
        <f aca="false">(parametros_manuales!$D$19*('Plan mensual'!I35+IF(parametros_manuales!$H$19="Todos",'Plan mensual'!I39,0))+parametros_manuales!$E$19*('Plan mensual'!I36+IF(parametros_manuales!$H$19="Todos",'Plan mensual'!I40,0))+parametros_manuales!$F$19*('Plan mensual'!I37+IF(parametros_manuales!$H$19="Todos",'Plan mensual'!I41,0))+parametros_manuales!$G$19*('Plan mensual'!I38+IF(parametros_manuales!$H$19="Todos",'Plan mensual'!I42,0)))*parametros_manuales!$I$19*parametros_manuales!$J$19</f>
        <v>3625.8915370125</v>
      </c>
      <c r="H83" s="9" t="n">
        <f aca="false">(parametros_manuales!$D$19*('Plan mensual'!J35+IF(parametros_manuales!$H$19="Todos",'Plan mensual'!J39,0))+parametros_manuales!$E$19*('Plan mensual'!J36+IF(parametros_manuales!$H$19="Todos",'Plan mensual'!J40,0))+parametros_manuales!$F$19*('Plan mensual'!J37+IF(parametros_manuales!$H$19="Todos",'Plan mensual'!J41,0))+parametros_manuales!$G$19*('Plan mensual'!J38+IF(parametros_manuales!$H$19="Todos",'Plan mensual'!J42,0)))*parametros_manuales!$I$19*parametros_manuales!$J$19</f>
        <v>3879.338284663</v>
      </c>
      <c r="I83" s="9" t="n">
        <f aca="false">(parametros_manuales!$D$19*('Plan mensual'!K35+IF(parametros_manuales!$H$19="Todos",'Plan mensual'!K39,0))+parametros_manuales!$E$19*('Plan mensual'!K36+IF(parametros_manuales!$H$19="Todos",'Plan mensual'!K40,0))+parametros_manuales!$F$19*('Plan mensual'!K37+IF(parametros_manuales!$H$19="Todos",'Plan mensual'!K41,0))+parametros_manuales!$G$19*('Plan mensual'!K38+IF(parametros_manuales!$H$19="Todos",'Plan mensual'!K42,0)))*parametros_manuales!$I$19*parametros_manuales!$J$19</f>
        <v>3879.338284663</v>
      </c>
      <c r="J83" s="9" t="n">
        <f aca="false">(parametros_manuales!$D$19*('Plan mensual'!L35+IF(parametros_manuales!$H$19="Todos",'Plan mensual'!L39,0))+parametros_manuales!$E$19*('Plan mensual'!L36+IF(parametros_manuales!$H$19="Todos",'Plan mensual'!L40,0))+parametros_manuales!$F$19*('Plan mensual'!L37+IF(parametros_manuales!$H$19="Todos",'Plan mensual'!L41,0))+parametros_manuales!$G$19*('Plan mensual'!L38+IF(parametros_manuales!$H$19="Todos",'Plan mensual'!L42,0)))*parametros_manuales!$I$19*parametros_manuales!$J$19</f>
        <v>3879.338284663</v>
      </c>
      <c r="K83" s="9" t="n">
        <f aca="false">(parametros_manuales!$D$19*('Plan mensual'!M35+IF(parametros_manuales!$H$19="Todos",'Plan mensual'!M39,0))+parametros_manuales!$E$19*('Plan mensual'!M36+IF(parametros_manuales!$H$19="Todos",'Plan mensual'!M40,0))+parametros_manuales!$F$19*('Plan mensual'!M37+IF(parametros_manuales!$H$19="Todos",'Plan mensual'!M41,0))+parametros_manuales!$G$19*('Plan mensual'!M38+IF(parametros_manuales!$H$19="Todos",'Plan mensual'!M42,0)))*parametros_manuales!$I$19*parametros_manuales!$J$19</f>
        <v>3801.7012147575</v>
      </c>
      <c r="L83" s="9" t="n">
        <f aca="false">(parametros_manuales!$D$19*('Plan mensual'!N35+IF(parametros_manuales!$H$19="Todos",'Plan mensual'!N39,0))+parametros_manuales!$E$19*('Plan mensual'!N36+IF(parametros_manuales!$H$19="Todos",'Plan mensual'!N40,0))+parametros_manuales!$F$19*('Plan mensual'!N37+IF(parametros_manuales!$H$19="Todos",'Plan mensual'!N41,0))+parametros_manuales!$G$19*('Plan mensual'!N38+IF(parametros_manuales!$H$19="Todos",'Plan mensual'!N42,0)))*parametros_manuales!$I$19*parametros_manuales!$J$19</f>
        <v>3724.064144852</v>
      </c>
      <c r="M83" s="9" t="n">
        <f aca="false">(parametros_manuales!$D$19*('Plan mensual'!O35+IF(parametros_manuales!$H$19="Todos",'Plan mensual'!O39,0))+parametros_manuales!$E$19*('Plan mensual'!O36+IF(parametros_manuales!$H$19="Todos",'Plan mensual'!O40,0))+parametros_manuales!$F$19*('Plan mensual'!O37+IF(parametros_manuales!$H$19="Todos",'Plan mensual'!O41,0))+parametros_manuales!$G$19*('Plan mensual'!O38+IF(parametros_manuales!$H$19="Todos",'Plan mensual'!O42,0)))*parametros_manuales!$I$19*parametros_manuales!$J$19</f>
        <v>5927.447803801</v>
      </c>
      <c r="N83" s="9" t="n">
        <f aca="false">SUM(B83:M83)</f>
        <v>50689.3495301</v>
      </c>
      <c r="O83" s="9" t="n">
        <f aca="false">MAX(B83:M83)</f>
        <v>5927.447803801</v>
      </c>
      <c r="P83" s="43" t="n">
        <f aca="false">O83/(parametros_manuales!$B$7)</f>
        <v>39.5163186920067</v>
      </c>
      <c r="Q83" s="8" t="str">
        <f aca="false">IF(O83=0,"-",INDEX($B$82:$M$82,MATCH(O83,B83:M83,0)))</f>
        <v>Dic</v>
      </c>
    </row>
    <row r="84" customFormat="false" ht="14.25" hidden="false" customHeight="true" outlineLevel="0" collapsed="false">
      <c r="A84" s="8" t="str">
        <f aca="false">parametros_manuales!$B$20</f>
        <v>Corte de chapa (guillotina) — 2,5 a 10 kg</v>
      </c>
      <c r="B84" s="9" t="n">
        <f aca="false">(parametros_manuales!$D$20*('Plan mensual'!D35+IF(parametros_manuales!$H$20="Todos",'Plan mensual'!D39,0))+parametros_manuales!$E$20*('Plan mensual'!D36+IF(parametros_manuales!$H$20="Todos",'Plan mensual'!D40,0))+parametros_manuales!$F$20*('Plan mensual'!D37+IF(parametros_manuales!$H$20="Todos",'Plan mensual'!D41,0))+parametros_manuales!$G$20*('Plan mensual'!D38+IF(parametros_manuales!$H$20="Todos",'Plan mensual'!D42,0)))*parametros_manuales!$I$20*parametros_manuales!$J$20</f>
        <v>1552.74139811</v>
      </c>
      <c r="C84" s="9" t="n">
        <f aca="false">(parametros_manuales!$D$20*('Plan mensual'!E35+IF(parametros_manuales!$H$20="Todos",'Plan mensual'!E39,0))+parametros_manuales!$E$20*('Plan mensual'!E36+IF(parametros_manuales!$H$20="Todos",'Plan mensual'!E40,0))+parametros_manuales!$F$20*('Plan mensual'!E37+IF(parametros_manuales!$H$20="Todos",'Plan mensual'!E41,0))+parametros_manuales!$G$20*('Plan mensual'!E38+IF(parametros_manuales!$H$20="Todos",'Plan mensual'!E42,0)))*parametros_manuales!$I$20*parametros_manuales!$J$20</f>
        <v>1242.193118488</v>
      </c>
      <c r="D84" s="9" t="n">
        <f aca="false">(parametros_manuales!$D$20*('Plan mensual'!F35+IF(parametros_manuales!$H$20="Todos",'Plan mensual'!F39,0))+parametros_manuales!$E$20*('Plan mensual'!F36+IF(parametros_manuales!$H$20="Todos",'Plan mensual'!F40,0))+parametros_manuales!$F$20*('Plan mensual'!F37+IF(parametros_manuales!$H$20="Todos",'Plan mensual'!F41,0))+parametros_manuales!$G$20*('Plan mensual'!F38+IF(parametros_manuales!$H$20="Todos",'Plan mensual'!F42,0)))*parametros_manuales!$I$20*parametros_manuales!$J$20</f>
        <v>1319.8301883935</v>
      </c>
      <c r="E84" s="9" t="n">
        <f aca="false">(parametros_manuales!$D$20*('Plan mensual'!G35+IF(parametros_manuales!$H$20="Todos",'Plan mensual'!G39,0))+parametros_manuales!$E$20*('Plan mensual'!G36+IF(parametros_manuales!$H$20="Todos",'Plan mensual'!G40,0))+parametros_manuales!$F$20*('Plan mensual'!G37+IF(parametros_manuales!$H$20="Todos",'Plan mensual'!G41,0))+parametros_manuales!$G$20*('Plan mensual'!G38+IF(parametros_manuales!$H$20="Todos",'Plan mensual'!G42,0)))*parametros_manuales!$I$20*parametros_manuales!$J$20</f>
        <v>1319.8301883935</v>
      </c>
      <c r="F84" s="9" t="n">
        <f aca="false">(parametros_manuales!$D$20*('Plan mensual'!H35+IF(parametros_manuales!$H$20="Todos",'Plan mensual'!H39,0))+parametros_manuales!$E$20*('Plan mensual'!H36+IF(parametros_manuales!$H$20="Todos",'Plan mensual'!H40,0))+parametros_manuales!$F$20*('Plan mensual'!H37+IF(parametros_manuales!$H$20="Todos",'Plan mensual'!H41,0))+parametros_manuales!$G$20*('Plan mensual'!H38+IF(parametros_manuales!$H$20="Todos",'Plan mensual'!H42,0)))*parametros_manuales!$I$20*parametros_manuales!$J$20</f>
        <v>1242.193118488</v>
      </c>
      <c r="G84" s="9" t="n">
        <f aca="false">(parametros_manuales!$D$20*('Plan mensual'!I35+IF(parametros_manuales!$H$20="Todos",'Plan mensual'!I39,0))+parametros_manuales!$E$20*('Plan mensual'!I36+IF(parametros_manuales!$H$20="Todos",'Plan mensual'!I40,0))+parametros_manuales!$F$20*('Plan mensual'!I37+IF(parametros_manuales!$H$20="Todos",'Plan mensual'!I41,0))+parametros_manuales!$G$20*('Plan mensual'!I38+IF(parametros_manuales!$H$20="Todos",'Plan mensual'!I42,0)))*parametros_manuales!$I$20*parametros_manuales!$J$20</f>
        <v>1164.5560485825</v>
      </c>
      <c r="H84" s="9" t="n">
        <f aca="false">(parametros_manuales!$D$20*('Plan mensual'!J35+IF(parametros_manuales!$H$20="Todos",'Plan mensual'!J39,0))+parametros_manuales!$E$20*('Plan mensual'!J36+IF(parametros_manuales!$H$20="Todos",'Plan mensual'!J40,0))+parametros_manuales!$F$20*('Plan mensual'!J37+IF(parametros_manuales!$H$20="Todos",'Plan mensual'!J41,0))+parametros_manuales!$G$20*('Plan mensual'!J38+IF(parametros_manuales!$H$20="Todos",'Plan mensual'!J42,0)))*parametros_manuales!$I$20*parametros_manuales!$J$20</f>
        <v>1242.193118488</v>
      </c>
      <c r="I84" s="9" t="n">
        <f aca="false">(parametros_manuales!$D$20*('Plan mensual'!K35+IF(parametros_manuales!$H$20="Todos",'Plan mensual'!K39,0))+parametros_manuales!$E$20*('Plan mensual'!K36+IF(parametros_manuales!$H$20="Todos",'Plan mensual'!K40,0))+parametros_manuales!$F$20*('Plan mensual'!K37+IF(parametros_manuales!$H$20="Todos",'Plan mensual'!K41,0))+parametros_manuales!$G$20*('Plan mensual'!K38+IF(parametros_manuales!$H$20="Todos",'Plan mensual'!K42,0)))*parametros_manuales!$I$20*parametros_manuales!$J$20</f>
        <v>1242.193118488</v>
      </c>
      <c r="J84" s="9" t="n">
        <f aca="false">(parametros_manuales!$D$20*('Plan mensual'!L35+IF(parametros_manuales!$H$20="Todos",'Plan mensual'!L39,0))+parametros_manuales!$E$20*('Plan mensual'!L36+IF(parametros_manuales!$H$20="Todos",'Plan mensual'!L40,0))+parametros_manuales!$F$20*('Plan mensual'!L37+IF(parametros_manuales!$H$20="Todos",'Plan mensual'!L41,0))+parametros_manuales!$G$20*('Plan mensual'!L38+IF(parametros_manuales!$H$20="Todos",'Plan mensual'!L42,0)))*parametros_manuales!$I$20*parametros_manuales!$J$20</f>
        <v>1242.193118488</v>
      </c>
      <c r="K84" s="9" t="n">
        <f aca="false">(parametros_manuales!$D$20*('Plan mensual'!M35+IF(parametros_manuales!$H$20="Todos",'Plan mensual'!M39,0))+parametros_manuales!$E$20*('Plan mensual'!M36+IF(parametros_manuales!$H$20="Todos",'Plan mensual'!M40,0))+parametros_manuales!$F$20*('Plan mensual'!M37+IF(parametros_manuales!$H$20="Todos",'Plan mensual'!M41,0))+parametros_manuales!$G$20*('Plan mensual'!M38+IF(parametros_manuales!$H$20="Todos",'Plan mensual'!M42,0)))*parametros_manuales!$I$20*parametros_manuales!$J$20</f>
        <v>1164.5560485825</v>
      </c>
      <c r="L84" s="9" t="n">
        <f aca="false">(parametros_manuales!$D$20*('Plan mensual'!N35+IF(parametros_manuales!$H$20="Todos",'Plan mensual'!N39,0))+parametros_manuales!$E$20*('Plan mensual'!N36+IF(parametros_manuales!$H$20="Todos",'Plan mensual'!N40,0))+parametros_manuales!$F$20*('Plan mensual'!N37+IF(parametros_manuales!$H$20="Todos",'Plan mensual'!N41,0))+parametros_manuales!$G$20*('Plan mensual'!N38+IF(parametros_manuales!$H$20="Todos",'Plan mensual'!N42,0)))*parametros_manuales!$I$20*parametros_manuales!$J$20</f>
        <v>1086.918978677</v>
      </c>
      <c r="M84" s="9" t="n">
        <f aca="false">(parametros_manuales!$D$20*('Plan mensual'!O35+IF(parametros_manuales!$H$20="Todos",'Plan mensual'!O39,0))+parametros_manuales!$E$20*('Plan mensual'!O36+IF(parametros_manuales!$H$20="Todos",'Plan mensual'!O40,0))+parametros_manuales!$F$20*('Plan mensual'!O37+IF(parametros_manuales!$H$20="Todos",'Plan mensual'!O41,0))+parametros_manuales!$G$20*('Plan mensual'!O38+IF(parametros_manuales!$H$20="Todos",'Plan mensual'!O42,0)))*parametros_manuales!$I$20*parametros_manuales!$J$20</f>
        <v>1708.015537921</v>
      </c>
      <c r="N84" s="9" t="n">
        <f aca="false">SUM(B84:M84)</f>
        <v>15527.4139811</v>
      </c>
      <c r="O84" s="9" t="n">
        <f aca="false">MAX(B84:M84)</f>
        <v>1708.015537921</v>
      </c>
      <c r="P84" s="43" t="n">
        <f aca="false">O84/(parametros_manuales!$B$7)</f>
        <v>11.3867702528067</v>
      </c>
      <c r="Q84" s="8" t="str">
        <f aca="false">IF(O84=0,"-",INDEX($B$82:$M$82,MATCH(O84,B84:M84,0)))</f>
        <v>Dic</v>
      </c>
    </row>
    <row r="85" customFormat="false" ht="14.25" hidden="false" customHeight="true" outlineLevel="0" collapsed="false">
      <c r="A85" s="8" t="str">
        <f aca="false">parametros_manuales!$B$21</f>
        <v>Corte de tubo — 1 kg</v>
      </c>
      <c r="B85" s="9" t="n">
        <f aca="false">(parametros_manuales!$D$21*('Plan mensual'!D35+IF(parametros_manuales!$H$21="Todos",'Plan mensual'!D39,0))+parametros_manuales!$E$21*('Plan mensual'!D36+IF(parametros_manuales!$H$21="Todos",'Plan mensual'!D40,0))+parametros_manuales!$F$21*('Plan mensual'!D37+IF(parametros_manuales!$H$21="Todos",'Plan mensual'!D41,0))+parametros_manuales!$G$21*('Plan mensual'!D38+IF(parametros_manuales!$H$21="Todos",'Plan mensual'!D42,0)))*parametros_manuales!$I$21*parametros_manuales!$J$21</f>
        <v>4219.43226588</v>
      </c>
      <c r="C85" s="9" t="n">
        <f aca="false">(parametros_manuales!$D$21*('Plan mensual'!E35+IF(parametros_manuales!$H$21="Todos",'Plan mensual'!E39,0))+parametros_manuales!$E$21*('Plan mensual'!E36+IF(parametros_manuales!$H$21="Todos",'Plan mensual'!E40,0))+parametros_manuales!$F$21*('Plan mensual'!E37+IF(parametros_manuales!$H$21="Todos",'Plan mensual'!E41,0))+parametros_manuales!$G$21*('Plan mensual'!E38+IF(parametros_manuales!$H$21="Todos",'Plan mensual'!E42,0)))*parametros_manuales!$I$21*parametros_manuales!$J$21</f>
        <v>3164.57419941</v>
      </c>
      <c r="D85" s="9" t="n">
        <f aca="false">(parametros_manuales!$D$21*('Plan mensual'!F35+IF(parametros_manuales!$H$21="Todos",'Plan mensual'!F39,0))+parametros_manuales!$E$21*('Plan mensual'!F36+IF(parametros_manuales!$H$21="Todos",'Plan mensual'!F40,0))+parametros_manuales!$F$21*('Plan mensual'!F37+IF(parametros_manuales!$H$21="Todos",'Plan mensual'!F41,0))+parametros_manuales!$G$21*('Plan mensual'!F38+IF(parametros_manuales!$H$21="Todos",'Plan mensual'!F42,0)))*parametros_manuales!$I$21*parametros_manuales!$J$21</f>
        <v>2812.95484392</v>
      </c>
      <c r="E85" s="9" t="n">
        <f aca="false">(parametros_manuales!$D$21*('Plan mensual'!G35+IF(parametros_manuales!$H$21="Todos",'Plan mensual'!G39,0))+parametros_manuales!$E$21*('Plan mensual'!G36+IF(parametros_manuales!$H$21="Todos",'Plan mensual'!G40,0))+parametros_manuales!$F$21*('Plan mensual'!G37+IF(parametros_manuales!$H$21="Todos",'Plan mensual'!G41,0))+parametros_manuales!$G$21*('Plan mensual'!G38+IF(parametros_manuales!$H$21="Todos",'Plan mensual'!G42,0)))*parametros_manuales!$I$21*parametros_manuales!$J$21</f>
        <v>2637.145166175</v>
      </c>
      <c r="F85" s="9" t="n">
        <f aca="false">(parametros_manuales!$D$21*('Plan mensual'!H35+IF(parametros_manuales!$H$21="Todos",'Plan mensual'!H39,0))+parametros_manuales!$E$21*('Plan mensual'!H36+IF(parametros_manuales!$H$21="Todos",'Plan mensual'!H40,0))+parametros_manuales!$F$21*('Plan mensual'!H37+IF(parametros_manuales!$H$21="Todos",'Plan mensual'!H41,0))+parametros_manuales!$G$21*('Plan mensual'!H38+IF(parametros_manuales!$H$21="Todos",'Plan mensual'!H42,0)))*parametros_manuales!$I$21*parametros_manuales!$J$21</f>
        <v>2461.33548843</v>
      </c>
      <c r="G85" s="9" t="n">
        <f aca="false">(parametros_manuales!$D$21*('Plan mensual'!I35+IF(parametros_manuales!$H$21="Todos",'Plan mensual'!I39,0))+parametros_manuales!$E$21*('Plan mensual'!I36+IF(parametros_manuales!$H$21="Todos",'Plan mensual'!I40,0))+parametros_manuales!$F$21*('Plan mensual'!I37+IF(parametros_manuales!$H$21="Todos",'Plan mensual'!I41,0))+parametros_manuales!$G$21*('Plan mensual'!I38+IF(parametros_manuales!$H$21="Todos",'Plan mensual'!I42,0)))*parametros_manuales!$I$21*parametros_manuales!$J$21</f>
        <v>2461.33548843</v>
      </c>
      <c r="H85" s="9" t="n">
        <f aca="false">(parametros_manuales!$D$21*('Plan mensual'!J35+IF(parametros_manuales!$H$21="Todos",'Plan mensual'!J39,0))+parametros_manuales!$E$21*('Plan mensual'!J36+IF(parametros_manuales!$H$21="Todos",'Plan mensual'!J40,0))+parametros_manuales!$F$21*('Plan mensual'!J37+IF(parametros_manuales!$H$21="Todos",'Plan mensual'!J41,0))+parametros_manuales!$G$21*('Plan mensual'!J38+IF(parametros_manuales!$H$21="Todos",'Plan mensual'!J42,0)))*parametros_manuales!$I$21*parametros_manuales!$J$21</f>
        <v>2637.145166175</v>
      </c>
      <c r="I85" s="9" t="n">
        <f aca="false">(parametros_manuales!$D$21*('Plan mensual'!K35+IF(parametros_manuales!$H$21="Todos",'Plan mensual'!K39,0))+parametros_manuales!$E$21*('Plan mensual'!K36+IF(parametros_manuales!$H$21="Todos",'Plan mensual'!K40,0))+parametros_manuales!$F$21*('Plan mensual'!K37+IF(parametros_manuales!$H$21="Todos",'Plan mensual'!K41,0))+parametros_manuales!$G$21*('Plan mensual'!K38+IF(parametros_manuales!$H$21="Todos",'Plan mensual'!K42,0)))*parametros_manuales!$I$21*parametros_manuales!$J$21</f>
        <v>2637.145166175</v>
      </c>
      <c r="J85" s="9" t="n">
        <f aca="false">(parametros_manuales!$D$21*('Plan mensual'!L35+IF(parametros_manuales!$H$21="Todos",'Plan mensual'!L39,0))+parametros_manuales!$E$21*('Plan mensual'!L36+IF(parametros_manuales!$H$21="Todos",'Plan mensual'!L40,0))+parametros_manuales!$F$21*('Plan mensual'!L37+IF(parametros_manuales!$H$21="Todos",'Plan mensual'!L41,0))+parametros_manuales!$G$21*('Plan mensual'!L38+IF(parametros_manuales!$H$21="Todos",'Plan mensual'!L42,0)))*parametros_manuales!$I$21*parametros_manuales!$J$21</f>
        <v>2637.145166175</v>
      </c>
      <c r="K85" s="9" t="n">
        <f aca="false">(parametros_manuales!$D$21*('Plan mensual'!M35+IF(parametros_manuales!$H$21="Todos",'Plan mensual'!M39,0))+parametros_manuales!$E$21*('Plan mensual'!M36+IF(parametros_manuales!$H$21="Todos",'Plan mensual'!M40,0))+parametros_manuales!$F$21*('Plan mensual'!M37+IF(parametros_manuales!$H$21="Todos",'Plan mensual'!M41,0))+parametros_manuales!$G$21*('Plan mensual'!M38+IF(parametros_manuales!$H$21="Todos",'Plan mensual'!M42,0)))*parametros_manuales!$I$21*parametros_manuales!$J$21</f>
        <v>2637.145166175</v>
      </c>
      <c r="L85" s="9" t="n">
        <f aca="false">(parametros_manuales!$D$21*('Plan mensual'!N35+IF(parametros_manuales!$H$21="Todos",'Plan mensual'!N39,0))+parametros_manuales!$E$21*('Plan mensual'!N36+IF(parametros_manuales!$H$21="Todos",'Plan mensual'!N40,0))+parametros_manuales!$F$21*('Plan mensual'!N37+IF(parametros_manuales!$H$21="Todos",'Plan mensual'!N41,0))+parametros_manuales!$G$21*('Plan mensual'!N38+IF(parametros_manuales!$H$21="Todos",'Plan mensual'!N42,0)))*parametros_manuales!$I$21*parametros_manuales!$J$21</f>
        <v>2637.145166175</v>
      </c>
      <c r="M85" s="9" t="n">
        <f aca="false">(parametros_manuales!$D$21*('Plan mensual'!O35+IF(parametros_manuales!$H$21="Todos",'Plan mensual'!O39,0))+parametros_manuales!$E$21*('Plan mensual'!O36+IF(parametros_manuales!$H$21="Todos",'Plan mensual'!O40,0))+parametros_manuales!$F$21*('Plan mensual'!O37+IF(parametros_manuales!$H$21="Todos",'Plan mensual'!O41,0))+parametros_manuales!$G$21*('Plan mensual'!O38+IF(parametros_manuales!$H$21="Todos",'Plan mensual'!O42,0)))*parametros_manuales!$I$21*parametros_manuales!$J$21</f>
        <v>4219.43226588</v>
      </c>
      <c r="N85" s="9" t="n">
        <f aca="false">SUM(B85:M85)</f>
        <v>35161.935549</v>
      </c>
      <c r="O85" s="9" t="n">
        <f aca="false">MAX(B85:M85)</f>
        <v>4219.43226588</v>
      </c>
      <c r="P85" s="43" t="n">
        <f aca="false">O85/(parametros_manuales!$B$7)</f>
        <v>28.1295484392</v>
      </c>
      <c r="Q85" s="8" t="str">
        <f aca="false">IF(O85=0,"-",INDEX($B$82:$M$82,MATCH(O85,B85:M85,0)))</f>
        <v>Ene</v>
      </c>
    </row>
    <row r="86" customFormat="false" ht="14.25" hidden="false" customHeight="true" outlineLevel="0" collapsed="false">
      <c r="A86" s="8" t="str">
        <f aca="false">parametros_manuales!$B$22</f>
        <v>Corte de disco y embutido (cúpula y fondo)</v>
      </c>
      <c r="B86" s="9" t="n">
        <f aca="false">(parametros_manuales!$D$22*('Plan mensual'!D35+IF(parametros_manuales!$H$22="Todos",'Plan mensual'!D39,0))+parametros_manuales!$E$22*('Plan mensual'!D36+IF(parametros_manuales!$H$22="Todos",'Plan mensual'!D40,0))+parametros_manuales!$F$22*('Plan mensual'!D37+IF(parametros_manuales!$H$22="Todos",'Plan mensual'!D41,0))+parametros_manuales!$G$22*('Plan mensual'!D38+IF(parametros_manuales!$H$22="Todos",'Plan mensual'!D42,0)))*parametros_manuales!$I$22*parametros_manuales!$J$22</f>
        <v>11544.34732798</v>
      </c>
      <c r="C86" s="9" t="n">
        <f aca="false">(parametros_manuales!$D$22*('Plan mensual'!E35+IF(parametros_manuales!$H$22="Todos",'Plan mensual'!E39,0))+parametros_manuales!$E$22*('Plan mensual'!E36+IF(parametros_manuales!$H$22="Todos",'Plan mensual'!E40,0))+parametros_manuales!$F$22*('Plan mensual'!E37+IF(parametros_manuales!$H$22="Todos",'Plan mensual'!E41,0))+parametros_manuales!$G$22*('Plan mensual'!E38+IF(parametros_manuales!$H$22="Todos",'Plan mensual'!E42,0)))*parametros_manuales!$I$22*parametros_manuales!$J$22</f>
        <v>8813.534635796</v>
      </c>
      <c r="D86" s="9" t="n">
        <f aca="false">(parametros_manuales!$D$22*('Plan mensual'!F35+IF(parametros_manuales!$H$22="Todos",'Plan mensual'!F39,0))+parametros_manuales!$E$22*('Plan mensual'!F36+IF(parametros_manuales!$H$22="Todos",'Plan mensual'!F40,0))+parametros_manuales!$F$22*('Plan mensual'!F37+IF(parametros_manuales!$H$22="Todos",'Plan mensual'!F41,0))+parametros_manuales!$G$22*('Plan mensual'!F38+IF(parametros_manuales!$H$22="Todos",'Plan mensual'!F42,0)))*parametros_manuales!$I$22*parametros_manuales!$J$22</f>
        <v>8265.570064627</v>
      </c>
      <c r="E86" s="9" t="n">
        <f aca="false">(parametros_manuales!$D$22*('Plan mensual'!G35+IF(parametros_manuales!$H$22="Todos",'Plan mensual'!G39,0))+parametros_manuales!$E$22*('Plan mensual'!G36+IF(parametros_manuales!$H$22="Todos",'Plan mensual'!G40,0))+parametros_manuales!$F$22*('Plan mensual'!G37+IF(parametros_manuales!$H$22="Todos",'Plan mensual'!G41,0))+parametros_manuales!$G$22*('Plan mensual'!G38+IF(parametros_manuales!$H$22="Todos",'Plan mensual'!G42,0)))*parametros_manuales!$I$22*parametros_manuales!$J$22</f>
        <v>7913.950709137</v>
      </c>
      <c r="F86" s="9" t="n">
        <f aca="false">(parametros_manuales!$D$22*('Plan mensual'!H35+IF(parametros_manuales!$H$22="Todos",'Plan mensual'!H39,0))+parametros_manuales!$E$22*('Plan mensual'!H36+IF(parametros_manuales!$H$22="Todos",'Plan mensual'!H40,0))+parametros_manuales!$F$22*('Plan mensual'!H37+IF(parametros_manuales!$H$22="Todos",'Plan mensual'!H41,0))+parametros_manuales!$G$22*('Plan mensual'!H38+IF(parametros_manuales!$H$22="Todos",'Plan mensual'!H42,0)))*parametros_manuales!$I$22*parametros_manuales!$J$22</f>
        <v>7407.057213836</v>
      </c>
      <c r="G86" s="9" t="n">
        <f aca="false">(parametros_manuales!$D$22*('Plan mensual'!I35+IF(parametros_manuales!$H$22="Todos",'Plan mensual'!I39,0))+parametros_manuales!$E$22*('Plan mensual'!I36+IF(parametros_manuales!$H$22="Todos",'Plan mensual'!I40,0))+parametros_manuales!$F$22*('Plan mensual'!I37+IF(parametros_manuales!$H$22="Todos",'Plan mensual'!I41,0))+parametros_manuales!$G$22*('Plan mensual'!I38+IF(parametros_manuales!$H$22="Todos",'Plan mensual'!I42,0)))*parametros_manuales!$I$22*parametros_manuales!$J$22</f>
        <v>7251.783074025</v>
      </c>
      <c r="H86" s="9" t="n">
        <f aca="false">(parametros_manuales!$D$22*('Plan mensual'!J35+IF(parametros_manuales!$H$22="Todos",'Plan mensual'!J39,0))+parametros_manuales!$E$22*('Plan mensual'!J36+IF(parametros_manuales!$H$22="Todos",'Plan mensual'!J40,0))+parametros_manuales!$F$22*('Plan mensual'!J37+IF(parametros_manuales!$H$22="Todos",'Plan mensual'!J41,0))+parametros_manuales!$G$22*('Plan mensual'!J38+IF(parametros_manuales!$H$22="Todos",'Plan mensual'!J42,0)))*parametros_manuales!$I$22*parametros_manuales!$J$22</f>
        <v>7758.676569326</v>
      </c>
      <c r="I86" s="9" t="n">
        <f aca="false">(parametros_manuales!$D$22*('Plan mensual'!K35+IF(parametros_manuales!$H$22="Todos",'Plan mensual'!K39,0))+parametros_manuales!$E$22*('Plan mensual'!K36+IF(parametros_manuales!$H$22="Todos",'Plan mensual'!K40,0))+parametros_manuales!$F$22*('Plan mensual'!K37+IF(parametros_manuales!$H$22="Todos",'Plan mensual'!K41,0))+parametros_manuales!$G$22*('Plan mensual'!K38+IF(parametros_manuales!$H$22="Todos",'Plan mensual'!K42,0)))*parametros_manuales!$I$22*parametros_manuales!$J$22</f>
        <v>7758.676569326</v>
      </c>
      <c r="J86" s="9" t="n">
        <f aca="false">(parametros_manuales!$D$22*('Plan mensual'!L35+IF(parametros_manuales!$H$22="Todos",'Plan mensual'!L39,0))+parametros_manuales!$E$22*('Plan mensual'!L36+IF(parametros_manuales!$H$22="Todos",'Plan mensual'!L40,0))+parametros_manuales!$F$22*('Plan mensual'!L37+IF(parametros_manuales!$H$22="Todos",'Plan mensual'!L41,0))+parametros_manuales!$G$22*('Plan mensual'!L38+IF(parametros_manuales!$H$22="Todos",'Plan mensual'!L42,0)))*parametros_manuales!$I$22*parametros_manuales!$J$22</f>
        <v>7758.676569326</v>
      </c>
      <c r="K86" s="9" t="n">
        <f aca="false">(parametros_manuales!$D$22*('Plan mensual'!M35+IF(parametros_manuales!$H$22="Todos",'Plan mensual'!M39,0))+parametros_manuales!$E$22*('Plan mensual'!M36+IF(parametros_manuales!$H$22="Todos",'Plan mensual'!M40,0))+parametros_manuales!$F$22*('Plan mensual'!M37+IF(parametros_manuales!$H$22="Todos",'Plan mensual'!M41,0))+parametros_manuales!$G$22*('Plan mensual'!M38+IF(parametros_manuales!$H$22="Todos",'Plan mensual'!M42,0)))*parametros_manuales!$I$22*parametros_manuales!$J$22</f>
        <v>7603.402429515</v>
      </c>
      <c r="L86" s="9" t="n">
        <f aca="false">(parametros_manuales!$D$22*('Plan mensual'!N35+IF(parametros_manuales!$H$22="Todos",'Plan mensual'!N39,0))+parametros_manuales!$E$22*('Plan mensual'!N36+IF(parametros_manuales!$H$22="Todos",'Plan mensual'!N40,0))+parametros_manuales!$F$22*('Plan mensual'!N37+IF(parametros_manuales!$H$22="Todos",'Plan mensual'!N41,0))+parametros_manuales!$G$22*('Plan mensual'!N38+IF(parametros_manuales!$H$22="Todos",'Plan mensual'!N42,0)))*parametros_manuales!$I$22*parametros_manuales!$J$22</f>
        <v>7448.128289704</v>
      </c>
      <c r="M86" s="9" t="n">
        <f aca="false">(parametros_manuales!$D$22*('Plan mensual'!O35+IF(parametros_manuales!$H$22="Todos",'Plan mensual'!O39,0))+parametros_manuales!$E$22*('Plan mensual'!O36+IF(parametros_manuales!$H$22="Todos",'Plan mensual'!O40,0))+parametros_manuales!$F$22*('Plan mensual'!O37+IF(parametros_manuales!$H$22="Todos",'Plan mensual'!O41,0))+parametros_manuales!$G$22*('Plan mensual'!O38+IF(parametros_manuales!$H$22="Todos",'Plan mensual'!O42,0)))*parametros_manuales!$I$22*parametros_manuales!$J$22</f>
        <v>11854.895607602</v>
      </c>
      <c r="N86" s="9" t="n">
        <f aca="false">SUM(B86:M86)</f>
        <v>101378.6990602</v>
      </c>
      <c r="O86" s="9" t="n">
        <f aca="false">MAX(B86:M86)</f>
        <v>11854.895607602</v>
      </c>
      <c r="P86" s="43" t="n">
        <f aca="false">O86/(parametros_manuales!$B$7)</f>
        <v>79.0326373840133</v>
      </c>
      <c r="Q86" s="8" t="str">
        <f aca="false">IF(O86=0,"-",INDEX($B$82:$M$82,MATCH(O86,B86:M86,0)))</f>
        <v>Dic</v>
      </c>
    </row>
    <row r="87" customFormat="false" ht="14.25" hidden="false" customHeight="true" outlineLevel="0" collapsed="false">
      <c r="A87" s="8" t="str">
        <f aca="false">parametros_manuales!$B$23</f>
        <v>Preparación de cuello</v>
      </c>
      <c r="B87" s="9" t="n">
        <f aca="false">(parametros_manuales!$D$23*('Plan mensual'!D35+IF(parametros_manuales!$H$23="Todos",'Plan mensual'!D39,0))+parametros_manuales!$E$23*('Plan mensual'!D36+IF(parametros_manuales!$H$23="Todos",'Plan mensual'!D40,0))+parametros_manuales!$F$23*('Plan mensual'!D37+IF(parametros_manuales!$H$23="Todos",'Plan mensual'!D41,0))+parametros_manuales!$G$23*('Plan mensual'!D38+IF(parametros_manuales!$H$23="Todos",'Plan mensual'!D42,0)))*parametros_manuales!$I$23*parametros_manuales!$J$23</f>
        <v>5772.17366399</v>
      </c>
      <c r="C87" s="9" t="n">
        <f aca="false">(parametros_manuales!$D$23*('Plan mensual'!E35+IF(parametros_manuales!$H$23="Todos",'Plan mensual'!E39,0))+parametros_manuales!$E$23*('Plan mensual'!E36+IF(parametros_manuales!$H$23="Todos",'Plan mensual'!E40,0))+parametros_manuales!$F$23*('Plan mensual'!E37+IF(parametros_manuales!$H$23="Todos",'Plan mensual'!E41,0))+parametros_manuales!$G$23*('Plan mensual'!E38+IF(parametros_manuales!$H$23="Todos",'Plan mensual'!E42,0)))*parametros_manuales!$I$23*parametros_manuales!$J$23</f>
        <v>4406.767317898</v>
      </c>
      <c r="D87" s="9" t="n">
        <f aca="false">(parametros_manuales!$D$23*('Plan mensual'!F35+IF(parametros_manuales!$H$23="Todos",'Plan mensual'!F39,0))+parametros_manuales!$E$23*('Plan mensual'!F36+IF(parametros_manuales!$H$23="Todos",'Plan mensual'!F40,0))+parametros_manuales!$F$23*('Plan mensual'!F37+IF(parametros_manuales!$H$23="Todos",'Plan mensual'!F41,0))+parametros_manuales!$G$23*('Plan mensual'!F38+IF(parametros_manuales!$H$23="Todos",'Plan mensual'!F42,0)))*parametros_manuales!$I$23*parametros_manuales!$J$23</f>
        <v>4132.7850323135</v>
      </c>
      <c r="E87" s="9" t="n">
        <f aca="false">(parametros_manuales!$D$23*('Plan mensual'!G35+IF(parametros_manuales!$H$23="Todos",'Plan mensual'!G39,0))+parametros_manuales!$E$23*('Plan mensual'!G36+IF(parametros_manuales!$H$23="Todos",'Plan mensual'!G40,0))+parametros_manuales!$F$23*('Plan mensual'!G37+IF(parametros_manuales!$H$23="Todos",'Plan mensual'!G41,0))+parametros_manuales!$G$23*('Plan mensual'!G38+IF(parametros_manuales!$H$23="Todos",'Plan mensual'!G42,0)))*parametros_manuales!$I$23*parametros_manuales!$J$23</f>
        <v>3956.9753545685</v>
      </c>
      <c r="F87" s="9" t="n">
        <f aca="false">(parametros_manuales!$D$23*('Plan mensual'!H35+IF(parametros_manuales!$H$23="Todos",'Plan mensual'!H39,0))+parametros_manuales!$E$23*('Plan mensual'!H36+IF(parametros_manuales!$H$23="Todos",'Plan mensual'!H40,0))+parametros_manuales!$F$23*('Plan mensual'!H37+IF(parametros_manuales!$H$23="Todos",'Plan mensual'!H41,0))+parametros_manuales!$G$23*('Plan mensual'!H38+IF(parametros_manuales!$H$23="Todos",'Plan mensual'!H42,0)))*parametros_manuales!$I$23*parametros_manuales!$J$23</f>
        <v>3703.528606918</v>
      </c>
      <c r="G87" s="9" t="n">
        <f aca="false">(parametros_manuales!$D$23*('Plan mensual'!I35+IF(parametros_manuales!$H$23="Todos",'Plan mensual'!I39,0))+parametros_manuales!$E$23*('Plan mensual'!I36+IF(parametros_manuales!$H$23="Todos",'Plan mensual'!I40,0))+parametros_manuales!$F$23*('Plan mensual'!I37+IF(parametros_manuales!$H$23="Todos",'Plan mensual'!I41,0))+parametros_manuales!$G$23*('Plan mensual'!I38+IF(parametros_manuales!$H$23="Todos",'Plan mensual'!I42,0)))*parametros_manuales!$I$23*parametros_manuales!$J$23</f>
        <v>3625.8915370125</v>
      </c>
      <c r="H87" s="9" t="n">
        <f aca="false">(parametros_manuales!$D$23*('Plan mensual'!J35+IF(parametros_manuales!$H$23="Todos",'Plan mensual'!J39,0))+parametros_manuales!$E$23*('Plan mensual'!J36+IF(parametros_manuales!$H$23="Todos",'Plan mensual'!J40,0))+parametros_manuales!$F$23*('Plan mensual'!J37+IF(parametros_manuales!$H$23="Todos",'Plan mensual'!J41,0))+parametros_manuales!$G$23*('Plan mensual'!J38+IF(parametros_manuales!$H$23="Todos",'Plan mensual'!J42,0)))*parametros_manuales!$I$23*parametros_manuales!$J$23</f>
        <v>3879.338284663</v>
      </c>
      <c r="I87" s="9" t="n">
        <f aca="false">(parametros_manuales!$D$23*('Plan mensual'!K35+IF(parametros_manuales!$H$23="Todos",'Plan mensual'!K39,0))+parametros_manuales!$E$23*('Plan mensual'!K36+IF(parametros_manuales!$H$23="Todos",'Plan mensual'!K40,0))+parametros_manuales!$F$23*('Plan mensual'!K37+IF(parametros_manuales!$H$23="Todos",'Plan mensual'!K41,0))+parametros_manuales!$G$23*('Plan mensual'!K38+IF(parametros_manuales!$H$23="Todos",'Plan mensual'!K42,0)))*parametros_manuales!$I$23*parametros_manuales!$J$23</f>
        <v>3879.338284663</v>
      </c>
      <c r="J87" s="9" t="n">
        <f aca="false">(parametros_manuales!$D$23*('Plan mensual'!L35+IF(parametros_manuales!$H$23="Todos",'Plan mensual'!L39,0))+parametros_manuales!$E$23*('Plan mensual'!L36+IF(parametros_manuales!$H$23="Todos",'Plan mensual'!L40,0))+parametros_manuales!$F$23*('Plan mensual'!L37+IF(parametros_manuales!$H$23="Todos",'Plan mensual'!L41,0))+parametros_manuales!$G$23*('Plan mensual'!L38+IF(parametros_manuales!$H$23="Todos",'Plan mensual'!L42,0)))*parametros_manuales!$I$23*parametros_manuales!$J$23</f>
        <v>3879.338284663</v>
      </c>
      <c r="K87" s="9" t="n">
        <f aca="false">(parametros_manuales!$D$23*('Plan mensual'!M35+IF(parametros_manuales!$H$23="Todos",'Plan mensual'!M39,0))+parametros_manuales!$E$23*('Plan mensual'!M36+IF(parametros_manuales!$H$23="Todos",'Plan mensual'!M40,0))+parametros_manuales!$F$23*('Plan mensual'!M37+IF(parametros_manuales!$H$23="Todos",'Plan mensual'!M41,0))+parametros_manuales!$G$23*('Plan mensual'!M38+IF(parametros_manuales!$H$23="Todos",'Plan mensual'!M42,0)))*parametros_manuales!$I$23*parametros_manuales!$J$23</f>
        <v>3801.7012147575</v>
      </c>
      <c r="L87" s="9" t="n">
        <f aca="false">(parametros_manuales!$D$23*('Plan mensual'!N35+IF(parametros_manuales!$H$23="Todos",'Plan mensual'!N39,0))+parametros_manuales!$E$23*('Plan mensual'!N36+IF(parametros_manuales!$H$23="Todos",'Plan mensual'!N40,0))+parametros_manuales!$F$23*('Plan mensual'!N37+IF(parametros_manuales!$H$23="Todos",'Plan mensual'!N41,0))+parametros_manuales!$G$23*('Plan mensual'!N38+IF(parametros_manuales!$H$23="Todos",'Plan mensual'!N42,0)))*parametros_manuales!$I$23*parametros_manuales!$J$23</f>
        <v>3724.064144852</v>
      </c>
      <c r="M87" s="9" t="n">
        <f aca="false">(parametros_manuales!$D$23*('Plan mensual'!O35+IF(parametros_manuales!$H$23="Todos",'Plan mensual'!O39,0))+parametros_manuales!$E$23*('Plan mensual'!O36+IF(parametros_manuales!$H$23="Todos",'Plan mensual'!O40,0))+parametros_manuales!$F$23*('Plan mensual'!O37+IF(parametros_manuales!$H$23="Todos",'Plan mensual'!O41,0))+parametros_manuales!$G$23*('Plan mensual'!O38+IF(parametros_manuales!$H$23="Todos",'Plan mensual'!O42,0)))*parametros_manuales!$I$23*parametros_manuales!$J$23</f>
        <v>5927.447803801</v>
      </c>
      <c r="N87" s="9" t="n">
        <f aca="false">SUM(B87:M87)</f>
        <v>50689.3495301</v>
      </c>
      <c r="O87" s="9" t="n">
        <f aca="false">MAX(B87:M87)</f>
        <v>5927.447803801</v>
      </c>
      <c r="P87" s="43" t="n">
        <f aca="false">O87/(parametros_manuales!$B$7)</f>
        <v>39.5163186920067</v>
      </c>
      <c r="Q87" s="8" t="str">
        <f aca="false">IF(O87=0,"-",INDEX($B$82:$M$82,MATCH(O87,B87:M87,0)))</f>
        <v>Dic</v>
      </c>
    </row>
    <row r="88" customFormat="false" ht="14.25" hidden="false" customHeight="true" outlineLevel="0" collapsed="false">
      <c r="A88" s="8" t="str">
        <f aca="false">parametros_manuales!$B$24</f>
        <v>Numerado de cúpula</v>
      </c>
      <c r="B88" s="9" t="n">
        <f aca="false">(parametros_manuales!$D$24*('Plan mensual'!D35+IF(parametros_manuales!$H$24="Todos",'Plan mensual'!D39,0))+parametros_manuales!$E$24*('Plan mensual'!D36+IF(parametros_manuales!$H$24="Todos",'Plan mensual'!D40,0))+parametros_manuales!$F$24*('Plan mensual'!D37+IF(parametros_manuales!$H$24="Todos",'Plan mensual'!D41,0))+parametros_manuales!$G$24*('Plan mensual'!D38+IF(parametros_manuales!$H$24="Todos",'Plan mensual'!D42,0)))*parametros_manuales!$I$24*parametros_manuales!$J$24</f>
        <v>5772.17366399</v>
      </c>
      <c r="C88" s="9" t="n">
        <f aca="false">(parametros_manuales!$D$24*('Plan mensual'!E35+IF(parametros_manuales!$H$24="Todos",'Plan mensual'!E39,0))+parametros_manuales!$E$24*('Plan mensual'!E36+IF(parametros_manuales!$H$24="Todos",'Plan mensual'!E40,0))+parametros_manuales!$F$24*('Plan mensual'!E37+IF(parametros_manuales!$H$24="Todos",'Plan mensual'!E41,0))+parametros_manuales!$G$24*('Plan mensual'!E38+IF(parametros_manuales!$H$24="Todos",'Plan mensual'!E42,0)))*parametros_manuales!$I$24*parametros_manuales!$J$24</f>
        <v>4406.767317898</v>
      </c>
      <c r="D88" s="9" t="n">
        <f aca="false">(parametros_manuales!$D$24*('Plan mensual'!F35+IF(parametros_manuales!$H$24="Todos",'Plan mensual'!F39,0))+parametros_manuales!$E$24*('Plan mensual'!F36+IF(parametros_manuales!$H$24="Todos",'Plan mensual'!F40,0))+parametros_manuales!$F$24*('Plan mensual'!F37+IF(parametros_manuales!$H$24="Todos",'Plan mensual'!F41,0))+parametros_manuales!$G$24*('Plan mensual'!F38+IF(parametros_manuales!$H$24="Todos",'Plan mensual'!F42,0)))*parametros_manuales!$I$24*parametros_manuales!$J$24</f>
        <v>4132.7850323135</v>
      </c>
      <c r="E88" s="9" t="n">
        <f aca="false">(parametros_manuales!$D$24*('Plan mensual'!G35+IF(parametros_manuales!$H$24="Todos",'Plan mensual'!G39,0))+parametros_manuales!$E$24*('Plan mensual'!G36+IF(parametros_manuales!$H$24="Todos",'Plan mensual'!G40,0))+parametros_manuales!$F$24*('Plan mensual'!G37+IF(parametros_manuales!$H$24="Todos",'Plan mensual'!G41,0))+parametros_manuales!$G$24*('Plan mensual'!G38+IF(parametros_manuales!$H$24="Todos",'Plan mensual'!G42,0)))*parametros_manuales!$I$24*parametros_manuales!$J$24</f>
        <v>3956.9753545685</v>
      </c>
      <c r="F88" s="9" t="n">
        <f aca="false">(parametros_manuales!$D$24*('Plan mensual'!H35+IF(parametros_manuales!$H$24="Todos",'Plan mensual'!H39,0))+parametros_manuales!$E$24*('Plan mensual'!H36+IF(parametros_manuales!$H$24="Todos",'Plan mensual'!H40,0))+parametros_manuales!$F$24*('Plan mensual'!H37+IF(parametros_manuales!$H$24="Todos",'Plan mensual'!H41,0))+parametros_manuales!$G$24*('Plan mensual'!H38+IF(parametros_manuales!$H$24="Todos",'Plan mensual'!H42,0)))*parametros_manuales!$I$24*parametros_manuales!$J$24</f>
        <v>3703.528606918</v>
      </c>
      <c r="G88" s="9" t="n">
        <f aca="false">(parametros_manuales!$D$24*('Plan mensual'!I35+IF(parametros_manuales!$H$24="Todos",'Plan mensual'!I39,0))+parametros_manuales!$E$24*('Plan mensual'!I36+IF(parametros_manuales!$H$24="Todos",'Plan mensual'!I40,0))+parametros_manuales!$F$24*('Plan mensual'!I37+IF(parametros_manuales!$H$24="Todos",'Plan mensual'!I41,0))+parametros_manuales!$G$24*('Plan mensual'!I38+IF(parametros_manuales!$H$24="Todos",'Plan mensual'!I42,0)))*parametros_manuales!$I$24*parametros_manuales!$J$24</f>
        <v>3625.8915370125</v>
      </c>
      <c r="H88" s="9" t="n">
        <f aca="false">(parametros_manuales!$D$24*('Plan mensual'!J35+IF(parametros_manuales!$H$24="Todos",'Plan mensual'!J39,0))+parametros_manuales!$E$24*('Plan mensual'!J36+IF(parametros_manuales!$H$24="Todos",'Plan mensual'!J40,0))+parametros_manuales!$F$24*('Plan mensual'!J37+IF(parametros_manuales!$H$24="Todos",'Plan mensual'!J41,0))+parametros_manuales!$G$24*('Plan mensual'!J38+IF(parametros_manuales!$H$24="Todos",'Plan mensual'!J42,0)))*parametros_manuales!$I$24*parametros_manuales!$J$24</f>
        <v>3879.338284663</v>
      </c>
      <c r="I88" s="9" t="n">
        <f aca="false">(parametros_manuales!$D$24*('Plan mensual'!K35+IF(parametros_manuales!$H$24="Todos",'Plan mensual'!K39,0))+parametros_manuales!$E$24*('Plan mensual'!K36+IF(parametros_manuales!$H$24="Todos",'Plan mensual'!K40,0))+parametros_manuales!$F$24*('Plan mensual'!K37+IF(parametros_manuales!$H$24="Todos",'Plan mensual'!K41,0))+parametros_manuales!$G$24*('Plan mensual'!K38+IF(parametros_manuales!$H$24="Todos",'Plan mensual'!K42,0)))*parametros_manuales!$I$24*parametros_manuales!$J$24</f>
        <v>3879.338284663</v>
      </c>
      <c r="J88" s="9" t="n">
        <f aca="false">(parametros_manuales!$D$24*('Plan mensual'!L35+IF(parametros_manuales!$H$24="Todos",'Plan mensual'!L39,0))+parametros_manuales!$E$24*('Plan mensual'!L36+IF(parametros_manuales!$H$24="Todos",'Plan mensual'!L40,0))+parametros_manuales!$F$24*('Plan mensual'!L37+IF(parametros_manuales!$H$24="Todos",'Plan mensual'!L41,0))+parametros_manuales!$G$24*('Plan mensual'!L38+IF(parametros_manuales!$H$24="Todos",'Plan mensual'!L42,0)))*parametros_manuales!$I$24*parametros_manuales!$J$24</f>
        <v>3879.338284663</v>
      </c>
      <c r="K88" s="9" t="n">
        <f aca="false">(parametros_manuales!$D$24*('Plan mensual'!M35+IF(parametros_manuales!$H$24="Todos",'Plan mensual'!M39,0))+parametros_manuales!$E$24*('Plan mensual'!M36+IF(parametros_manuales!$H$24="Todos",'Plan mensual'!M40,0))+parametros_manuales!$F$24*('Plan mensual'!M37+IF(parametros_manuales!$H$24="Todos",'Plan mensual'!M41,0))+parametros_manuales!$G$24*('Plan mensual'!M38+IF(parametros_manuales!$H$24="Todos",'Plan mensual'!M42,0)))*parametros_manuales!$I$24*parametros_manuales!$J$24</f>
        <v>3801.7012147575</v>
      </c>
      <c r="L88" s="9" t="n">
        <f aca="false">(parametros_manuales!$D$24*('Plan mensual'!N35+IF(parametros_manuales!$H$24="Todos",'Plan mensual'!N39,0))+parametros_manuales!$E$24*('Plan mensual'!N36+IF(parametros_manuales!$H$24="Todos",'Plan mensual'!N40,0))+parametros_manuales!$F$24*('Plan mensual'!N37+IF(parametros_manuales!$H$24="Todos",'Plan mensual'!N41,0))+parametros_manuales!$G$24*('Plan mensual'!N38+IF(parametros_manuales!$H$24="Todos",'Plan mensual'!N42,0)))*parametros_manuales!$I$24*parametros_manuales!$J$24</f>
        <v>3724.064144852</v>
      </c>
      <c r="M88" s="9" t="n">
        <f aca="false">(parametros_manuales!$D$24*('Plan mensual'!O35+IF(parametros_manuales!$H$24="Todos",'Plan mensual'!O39,0))+parametros_manuales!$E$24*('Plan mensual'!O36+IF(parametros_manuales!$H$24="Todos",'Plan mensual'!O40,0))+parametros_manuales!$F$24*('Plan mensual'!O37+IF(parametros_manuales!$H$24="Todos",'Plan mensual'!O41,0))+parametros_manuales!$G$24*('Plan mensual'!O38+IF(parametros_manuales!$H$24="Todos",'Plan mensual'!O42,0)))*parametros_manuales!$I$24*parametros_manuales!$J$24</f>
        <v>5927.447803801</v>
      </c>
      <c r="N88" s="9" t="n">
        <f aca="false">SUM(B88:M88)</f>
        <v>50689.3495301</v>
      </c>
      <c r="O88" s="9" t="n">
        <f aca="false">MAX(B88:M88)</f>
        <v>5927.447803801</v>
      </c>
      <c r="P88" s="43" t="n">
        <f aca="false">O88/(parametros_manuales!$B$7)</f>
        <v>39.5163186920067</v>
      </c>
      <c r="Q88" s="8" t="str">
        <f aca="false">IF(O88=0,"-",INDEX($B$82:$M$82,MATCH(O88,B88:M88,0)))</f>
        <v>Dic</v>
      </c>
    </row>
    <row r="89" customFormat="false" ht="14.25" hidden="false" customHeight="true" outlineLevel="0" collapsed="false">
      <c r="A89" s="8" t="str">
        <f aca="false">parametros_manuales!$B$25</f>
        <v>Soldadura del cuello a la cúpula</v>
      </c>
      <c r="B89" s="9" t="n">
        <f aca="false">(parametros_manuales!$D$25*('Plan mensual'!D35+IF(parametros_manuales!$H$25="Todos",'Plan mensual'!D39,0))+parametros_manuales!$E$25*('Plan mensual'!D36+IF(parametros_manuales!$H$25="Todos",'Plan mensual'!D40,0))+parametros_manuales!$F$25*('Plan mensual'!D37+IF(parametros_manuales!$H$25="Todos",'Plan mensual'!D41,0))+parametros_manuales!$G$25*('Plan mensual'!D38+IF(parametros_manuales!$H$25="Todos",'Plan mensual'!D42,0)))*parametros_manuales!$I$25*parametros_manuales!$J$25</f>
        <v>5772.17366399</v>
      </c>
      <c r="C89" s="9" t="n">
        <f aca="false">(parametros_manuales!$D$25*('Plan mensual'!E35+IF(parametros_manuales!$H$25="Todos",'Plan mensual'!E39,0))+parametros_manuales!$E$25*('Plan mensual'!E36+IF(parametros_manuales!$H$25="Todos",'Plan mensual'!E40,0))+parametros_manuales!$F$25*('Plan mensual'!E37+IF(parametros_manuales!$H$25="Todos",'Plan mensual'!E41,0))+parametros_manuales!$G$25*('Plan mensual'!E38+IF(parametros_manuales!$H$25="Todos",'Plan mensual'!E42,0)))*parametros_manuales!$I$25*parametros_manuales!$J$25</f>
        <v>4406.767317898</v>
      </c>
      <c r="D89" s="9" t="n">
        <f aca="false">(parametros_manuales!$D$25*('Plan mensual'!F35+IF(parametros_manuales!$H$25="Todos",'Plan mensual'!F39,0))+parametros_manuales!$E$25*('Plan mensual'!F36+IF(parametros_manuales!$H$25="Todos",'Plan mensual'!F40,0))+parametros_manuales!$F$25*('Plan mensual'!F37+IF(parametros_manuales!$H$25="Todos",'Plan mensual'!F41,0))+parametros_manuales!$G$25*('Plan mensual'!F38+IF(parametros_manuales!$H$25="Todos",'Plan mensual'!F42,0)))*parametros_manuales!$I$25*parametros_manuales!$J$25</f>
        <v>4132.7850323135</v>
      </c>
      <c r="E89" s="9" t="n">
        <f aca="false">(parametros_manuales!$D$25*('Plan mensual'!G35+IF(parametros_manuales!$H$25="Todos",'Plan mensual'!G39,0))+parametros_manuales!$E$25*('Plan mensual'!G36+IF(parametros_manuales!$H$25="Todos",'Plan mensual'!G40,0))+parametros_manuales!$F$25*('Plan mensual'!G37+IF(parametros_manuales!$H$25="Todos",'Plan mensual'!G41,0))+parametros_manuales!$G$25*('Plan mensual'!G38+IF(parametros_manuales!$H$25="Todos",'Plan mensual'!G42,0)))*parametros_manuales!$I$25*parametros_manuales!$J$25</f>
        <v>3956.9753545685</v>
      </c>
      <c r="F89" s="9" t="n">
        <f aca="false">(parametros_manuales!$D$25*('Plan mensual'!H35+IF(parametros_manuales!$H$25="Todos",'Plan mensual'!H39,0))+parametros_manuales!$E$25*('Plan mensual'!H36+IF(parametros_manuales!$H$25="Todos",'Plan mensual'!H40,0))+parametros_manuales!$F$25*('Plan mensual'!H37+IF(parametros_manuales!$H$25="Todos",'Plan mensual'!H41,0))+parametros_manuales!$G$25*('Plan mensual'!H38+IF(parametros_manuales!$H$25="Todos",'Plan mensual'!H42,0)))*parametros_manuales!$I$25*parametros_manuales!$J$25</f>
        <v>3703.528606918</v>
      </c>
      <c r="G89" s="9" t="n">
        <f aca="false">(parametros_manuales!$D$25*('Plan mensual'!I35+IF(parametros_manuales!$H$25="Todos",'Plan mensual'!I39,0))+parametros_manuales!$E$25*('Plan mensual'!I36+IF(parametros_manuales!$H$25="Todos",'Plan mensual'!I40,0))+parametros_manuales!$F$25*('Plan mensual'!I37+IF(parametros_manuales!$H$25="Todos",'Plan mensual'!I41,0))+parametros_manuales!$G$25*('Plan mensual'!I38+IF(parametros_manuales!$H$25="Todos",'Plan mensual'!I42,0)))*parametros_manuales!$I$25*parametros_manuales!$J$25</f>
        <v>3625.8915370125</v>
      </c>
      <c r="H89" s="9" t="n">
        <f aca="false">(parametros_manuales!$D$25*('Plan mensual'!J35+IF(parametros_manuales!$H$25="Todos",'Plan mensual'!J39,0))+parametros_manuales!$E$25*('Plan mensual'!J36+IF(parametros_manuales!$H$25="Todos",'Plan mensual'!J40,0))+parametros_manuales!$F$25*('Plan mensual'!J37+IF(parametros_manuales!$H$25="Todos",'Plan mensual'!J41,0))+parametros_manuales!$G$25*('Plan mensual'!J38+IF(parametros_manuales!$H$25="Todos",'Plan mensual'!J42,0)))*parametros_manuales!$I$25*parametros_manuales!$J$25</f>
        <v>3879.338284663</v>
      </c>
      <c r="I89" s="9" t="n">
        <f aca="false">(parametros_manuales!$D$25*('Plan mensual'!K35+IF(parametros_manuales!$H$25="Todos",'Plan mensual'!K39,0))+parametros_manuales!$E$25*('Plan mensual'!K36+IF(parametros_manuales!$H$25="Todos",'Plan mensual'!K40,0))+parametros_manuales!$F$25*('Plan mensual'!K37+IF(parametros_manuales!$H$25="Todos",'Plan mensual'!K41,0))+parametros_manuales!$G$25*('Plan mensual'!K38+IF(parametros_manuales!$H$25="Todos",'Plan mensual'!K42,0)))*parametros_manuales!$I$25*parametros_manuales!$J$25</f>
        <v>3879.338284663</v>
      </c>
      <c r="J89" s="9" t="n">
        <f aca="false">(parametros_manuales!$D$25*('Plan mensual'!L35+IF(parametros_manuales!$H$25="Todos",'Plan mensual'!L39,0))+parametros_manuales!$E$25*('Plan mensual'!L36+IF(parametros_manuales!$H$25="Todos",'Plan mensual'!L40,0))+parametros_manuales!$F$25*('Plan mensual'!L37+IF(parametros_manuales!$H$25="Todos",'Plan mensual'!L41,0))+parametros_manuales!$G$25*('Plan mensual'!L38+IF(parametros_manuales!$H$25="Todos",'Plan mensual'!L42,0)))*parametros_manuales!$I$25*parametros_manuales!$J$25</f>
        <v>3879.338284663</v>
      </c>
      <c r="K89" s="9" t="n">
        <f aca="false">(parametros_manuales!$D$25*('Plan mensual'!M35+IF(parametros_manuales!$H$25="Todos",'Plan mensual'!M39,0))+parametros_manuales!$E$25*('Plan mensual'!M36+IF(parametros_manuales!$H$25="Todos",'Plan mensual'!M40,0))+parametros_manuales!$F$25*('Plan mensual'!M37+IF(parametros_manuales!$H$25="Todos",'Plan mensual'!M41,0))+parametros_manuales!$G$25*('Plan mensual'!M38+IF(parametros_manuales!$H$25="Todos",'Plan mensual'!M42,0)))*parametros_manuales!$I$25*parametros_manuales!$J$25</f>
        <v>3801.7012147575</v>
      </c>
      <c r="L89" s="9" t="n">
        <f aca="false">(parametros_manuales!$D$25*('Plan mensual'!N35+IF(parametros_manuales!$H$25="Todos",'Plan mensual'!N39,0))+parametros_manuales!$E$25*('Plan mensual'!N36+IF(parametros_manuales!$H$25="Todos",'Plan mensual'!N40,0))+parametros_manuales!$F$25*('Plan mensual'!N37+IF(parametros_manuales!$H$25="Todos",'Plan mensual'!N41,0))+parametros_manuales!$G$25*('Plan mensual'!N38+IF(parametros_manuales!$H$25="Todos",'Plan mensual'!N42,0)))*parametros_manuales!$I$25*parametros_manuales!$J$25</f>
        <v>3724.064144852</v>
      </c>
      <c r="M89" s="9" t="n">
        <f aca="false">(parametros_manuales!$D$25*('Plan mensual'!O35+IF(parametros_manuales!$H$25="Todos",'Plan mensual'!O39,0))+parametros_manuales!$E$25*('Plan mensual'!O36+IF(parametros_manuales!$H$25="Todos",'Plan mensual'!O40,0))+parametros_manuales!$F$25*('Plan mensual'!O37+IF(parametros_manuales!$H$25="Todos",'Plan mensual'!O41,0))+parametros_manuales!$G$25*('Plan mensual'!O38+IF(parametros_manuales!$H$25="Todos",'Plan mensual'!O42,0)))*parametros_manuales!$I$25*parametros_manuales!$J$25</f>
        <v>5927.447803801</v>
      </c>
      <c r="N89" s="9" t="n">
        <f aca="false">SUM(B89:M89)</f>
        <v>50689.3495301</v>
      </c>
      <c r="O89" s="9" t="n">
        <f aca="false">MAX(B89:M89)</f>
        <v>5927.447803801</v>
      </c>
      <c r="P89" s="43" t="n">
        <f aca="false">O89/(parametros_manuales!$B$7)</f>
        <v>39.5163186920067</v>
      </c>
      <c r="Q89" s="8" t="str">
        <f aca="false">IF(O89=0,"-",INDEX($B$82:$M$82,MATCH(O89,B89:M89,0)))</f>
        <v>Dic</v>
      </c>
    </row>
    <row r="90" customFormat="false" ht="14.25" hidden="false" customHeight="true" outlineLevel="0" collapsed="false">
      <c r="A90" s="8" t="str">
        <f aca="false">parametros_manuales!$B$26</f>
        <v>Cilindrado</v>
      </c>
      <c r="B90" s="9" t="n">
        <f aca="false">(parametros_manuales!$D$26*('Plan mensual'!D35+IF(parametros_manuales!$H$26="Todos",'Plan mensual'!D39,0))+parametros_manuales!$E$26*('Plan mensual'!D36+IF(parametros_manuales!$H$26="Todos",'Plan mensual'!D40,0))+parametros_manuales!$F$26*('Plan mensual'!D37+IF(parametros_manuales!$H$26="Todos",'Plan mensual'!D41,0))+parametros_manuales!$G$26*('Plan mensual'!D38+IF(parametros_manuales!$H$26="Todos",'Plan mensual'!D42,0)))*parametros_manuales!$I$26*parametros_manuales!$J$26</f>
        <v>1552.74139811</v>
      </c>
      <c r="C90" s="9" t="n">
        <f aca="false">(parametros_manuales!$D$26*('Plan mensual'!E35+IF(parametros_manuales!$H$26="Todos",'Plan mensual'!E39,0))+parametros_manuales!$E$26*('Plan mensual'!E36+IF(parametros_manuales!$H$26="Todos",'Plan mensual'!E40,0))+parametros_manuales!$F$26*('Plan mensual'!E37+IF(parametros_manuales!$H$26="Todos",'Plan mensual'!E41,0))+parametros_manuales!$G$26*('Plan mensual'!E38+IF(parametros_manuales!$H$26="Todos",'Plan mensual'!E42,0)))*parametros_manuales!$I$26*parametros_manuales!$J$26</f>
        <v>1242.193118488</v>
      </c>
      <c r="D90" s="9" t="n">
        <f aca="false">(parametros_manuales!$D$26*('Plan mensual'!F35+IF(parametros_manuales!$H$26="Todos",'Plan mensual'!F39,0))+parametros_manuales!$E$26*('Plan mensual'!F36+IF(parametros_manuales!$H$26="Todos",'Plan mensual'!F40,0))+parametros_manuales!$F$26*('Plan mensual'!F37+IF(parametros_manuales!$H$26="Todos",'Plan mensual'!F41,0))+parametros_manuales!$G$26*('Plan mensual'!F38+IF(parametros_manuales!$H$26="Todos",'Plan mensual'!F42,0)))*parametros_manuales!$I$26*parametros_manuales!$J$26</f>
        <v>1319.8301883935</v>
      </c>
      <c r="E90" s="9" t="n">
        <f aca="false">(parametros_manuales!$D$26*('Plan mensual'!G35+IF(parametros_manuales!$H$26="Todos",'Plan mensual'!G39,0))+parametros_manuales!$E$26*('Plan mensual'!G36+IF(parametros_manuales!$H$26="Todos",'Plan mensual'!G40,0))+parametros_manuales!$F$26*('Plan mensual'!G37+IF(parametros_manuales!$H$26="Todos",'Plan mensual'!G41,0))+parametros_manuales!$G$26*('Plan mensual'!G38+IF(parametros_manuales!$H$26="Todos",'Plan mensual'!G42,0)))*parametros_manuales!$I$26*parametros_manuales!$J$26</f>
        <v>1319.8301883935</v>
      </c>
      <c r="F90" s="9" t="n">
        <f aca="false">(parametros_manuales!$D$26*('Plan mensual'!H35+IF(parametros_manuales!$H$26="Todos",'Plan mensual'!H39,0))+parametros_manuales!$E$26*('Plan mensual'!H36+IF(parametros_manuales!$H$26="Todos",'Plan mensual'!H40,0))+parametros_manuales!$F$26*('Plan mensual'!H37+IF(parametros_manuales!$H$26="Todos",'Plan mensual'!H41,0))+parametros_manuales!$G$26*('Plan mensual'!H38+IF(parametros_manuales!$H$26="Todos",'Plan mensual'!H42,0)))*parametros_manuales!$I$26*parametros_manuales!$J$26</f>
        <v>1242.193118488</v>
      </c>
      <c r="G90" s="9" t="n">
        <f aca="false">(parametros_manuales!$D$26*('Plan mensual'!I35+IF(parametros_manuales!$H$26="Todos",'Plan mensual'!I39,0))+parametros_manuales!$E$26*('Plan mensual'!I36+IF(parametros_manuales!$H$26="Todos",'Plan mensual'!I40,0))+parametros_manuales!$F$26*('Plan mensual'!I37+IF(parametros_manuales!$H$26="Todos",'Plan mensual'!I41,0))+parametros_manuales!$G$26*('Plan mensual'!I38+IF(parametros_manuales!$H$26="Todos",'Plan mensual'!I42,0)))*parametros_manuales!$I$26*parametros_manuales!$J$26</f>
        <v>1164.5560485825</v>
      </c>
      <c r="H90" s="9" t="n">
        <f aca="false">(parametros_manuales!$D$26*('Plan mensual'!J35+IF(parametros_manuales!$H$26="Todos",'Plan mensual'!J39,0))+parametros_manuales!$E$26*('Plan mensual'!J36+IF(parametros_manuales!$H$26="Todos",'Plan mensual'!J40,0))+parametros_manuales!$F$26*('Plan mensual'!J37+IF(parametros_manuales!$H$26="Todos",'Plan mensual'!J41,0))+parametros_manuales!$G$26*('Plan mensual'!J38+IF(parametros_manuales!$H$26="Todos",'Plan mensual'!J42,0)))*parametros_manuales!$I$26*parametros_manuales!$J$26</f>
        <v>1242.193118488</v>
      </c>
      <c r="I90" s="9" t="n">
        <f aca="false">(parametros_manuales!$D$26*('Plan mensual'!K35+IF(parametros_manuales!$H$26="Todos",'Plan mensual'!K39,0))+parametros_manuales!$E$26*('Plan mensual'!K36+IF(parametros_manuales!$H$26="Todos",'Plan mensual'!K40,0))+parametros_manuales!$F$26*('Plan mensual'!K37+IF(parametros_manuales!$H$26="Todos",'Plan mensual'!K41,0))+parametros_manuales!$G$26*('Plan mensual'!K38+IF(parametros_manuales!$H$26="Todos",'Plan mensual'!K42,0)))*parametros_manuales!$I$26*parametros_manuales!$J$26</f>
        <v>1242.193118488</v>
      </c>
      <c r="J90" s="9" t="n">
        <f aca="false">(parametros_manuales!$D$26*('Plan mensual'!L35+IF(parametros_manuales!$H$26="Todos",'Plan mensual'!L39,0))+parametros_manuales!$E$26*('Plan mensual'!L36+IF(parametros_manuales!$H$26="Todos",'Plan mensual'!L40,0))+parametros_manuales!$F$26*('Plan mensual'!L37+IF(parametros_manuales!$H$26="Todos",'Plan mensual'!L41,0))+parametros_manuales!$G$26*('Plan mensual'!L38+IF(parametros_manuales!$H$26="Todos",'Plan mensual'!L42,0)))*parametros_manuales!$I$26*parametros_manuales!$J$26</f>
        <v>1242.193118488</v>
      </c>
      <c r="K90" s="9" t="n">
        <f aca="false">(parametros_manuales!$D$26*('Plan mensual'!M35+IF(parametros_manuales!$H$26="Todos",'Plan mensual'!M39,0))+parametros_manuales!$E$26*('Plan mensual'!M36+IF(parametros_manuales!$H$26="Todos",'Plan mensual'!M40,0))+parametros_manuales!$F$26*('Plan mensual'!M37+IF(parametros_manuales!$H$26="Todos",'Plan mensual'!M41,0))+parametros_manuales!$G$26*('Plan mensual'!M38+IF(parametros_manuales!$H$26="Todos",'Plan mensual'!M42,0)))*parametros_manuales!$I$26*parametros_manuales!$J$26</f>
        <v>1164.5560485825</v>
      </c>
      <c r="L90" s="9" t="n">
        <f aca="false">(parametros_manuales!$D$26*('Plan mensual'!N35+IF(parametros_manuales!$H$26="Todos",'Plan mensual'!N39,0))+parametros_manuales!$E$26*('Plan mensual'!N36+IF(parametros_manuales!$H$26="Todos",'Plan mensual'!N40,0))+parametros_manuales!$F$26*('Plan mensual'!N37+IF(parametros_manuales!$H$26="Todos",'Plan mensual'!N41,0))+parametros_manuales!$G$26*('Plan mensual'!N38+IF(parametros_manuales!$H$26="Todos",'Plan mensual'!N42,0)))*parametros_manuales!$I$26*parametros_manuales!$J$26</f>
        <v>1086.918978677</v>
      </c>
      <c r="M90" s="9" t="n">
        <f aca="false">(parametros_manuales!$D$26*('Plan mensual'!O35+IF(parametros_manuales!$H$26="Todos",'Plan mensual'!O39,0))+parametros_manuales!$E$26*('Plan mensual'!O36+IF(parametros_manuales!$H$26="Todos",'Plan mensual'!O40,0))+parametros_manuales!$F$26*('Plan mensual'!O37+IF(parametros_manuales!$H$26="Todos",'Plan mensual'!O41,0))+parametros_manuales!$G$26*('Plan mensual'!O38+IF(parametros_manuales!$H$26="Todos",'Plan mensual'!O42,0)))*parametros_manuales!$I$26*parametros_manuales!$J$26</f>
        <v>1708.015537921</v>
      </c>
      <c r="N90" s="9" t="n">
        <f aca="false">SUM(B90:M90)</f>
        <v>15527.4139811</v>
      </c>
      <c r="O90" s="9" t="n">
        <f aca="false">MAX(B90:M90)</f>
        <v>1708.015537921</v>
      </c>
      <c r="P90" s="43" t="n">
        <f aca="false">O90/(parametros_manuales!$B$7)</f>
        <v>11.3867702528067</v>
      </c>
      <c r="Q90" s="8" t="str">
        <f aca="false">IF(O90=0,"-",INDEX($B$82:$M$82,MATCH(O90,B90:M90,0)))</f>
        <v>Dic</v>
      </c>
    </row>
    <row r="91" customFormat="false" ht="14.25" hidden="false" customHeight="true" outlineLevel="0" collapsed="false">
      <c r="A91" s="8" t="str">
        <f aca="false">parametros_manuales!$B$27</f>
        <v>Soldadura longitudinal</v>
      </c>
      <c r="B91" s="9" t="n">
        <f aca="false">(parametros_manuales!$D$27*('Plan mensual'!D35+IF(parametros_manuales!$H$27="Todos",'Plan mensual'!D39,0))+parametros_manuales!$E$27*('Plan mensual'!D36+IF(parametros_manuales!$H$27="Todos",'Plan mensual'!D40,0))+parametros_manuales!$F$27*('Plan mensual'!D37+IF(parametros_manuales!$H$27="Todos",'Plan mensual'!D41,0))+parametros_manuales!$G$27*('Plan mensual'!D38+IF(parametros_manuales!$H$27="Todos",'Plan mensual'!D42,0)))*parametros_manuales!$I$27*parametros_manuales!$J$27</f>
        <v>1552.74139811</v>
      </c>
      <c r="C91" s="9" t="n">
        <f aca="false">(parametros_manuales!$D$27*('Plan mensual'!E35+IF(parametros_manuales!$H$27="Todos",'Plan mensual'!E39,0))+parametros_manuales!$E$27*('Plan mensual'!E36+IF(parametros_manuales!$H$27="Todos",'Plan mensual'!E40,0))+parametros_manuales!$F$27*('Plan mensual'!E37+IF(parametros_manuales!$H$27="Todos",'Plan mensual'!E41,0))+parametros_manuales!$G$27*('Plan mensual'!E38+IF(parametros_manuales!$H$27="Todos",'Plan mensual'!E42,0)))*parametros_manuales!$I$27*parametros_manuales!$J$27</f>
        <v>1242.193118488</v>
      </c>
      <c r="D91" s="9" t="n">
        <f aca="false">(parametros_manuales!$D$27*('Plan mensual'!F35+IF(parametros_manuales!$H$27="Todos",'Plan mensual'!F39,0))+parametros_manuales!$E$27*('Plan mensual'!F36+IF(parametros_manuales!$H$27="Todos",'Plan mensual'!F40,0))+parametros_manuales!$F$27*('Plan mensual'!F37+IF(parametros_manuales!$H$27="Todos",'Plan mensual'!F41,0))+parametros_manuales!$G$27*('Plan mensual'!F38+IF(parametros_manuales!$H$27="Todos",'Plan mensual'!F42,0)))*parametros_manuales!$I$27*parametros_manuales!$J$27</f>
        <v>1319.8301883935</v>
      </c>
      <c r="E91" s="9" t="n">
        <f aca="false">(parametros_manuales!$D$27*('Plan mensual'!G35+IF(parametros_manuales!$H$27="Todos",'Plan mensual'!G39,0))+parametros_manuales!$E$27*('Plan mensual'!G36+IF(parametros_manuales!$H$27="Todos",'Plan mensual'!G40,0))+parametros_manuales!$F$27*('Plan mensual'!G37+IF(parametros_manuales!$H$27="Todos",'Plan mensual'!G41,0))+parametros_manuales!$G$27*('Plan mensual'!G38+IF(parametros_manuales!$H$27="Todos",'Plan mensual'!G42,0)))*parametros_manuales!$I$27*parametros_manuales!$J$27</f>
        <v>1319.8301883935</v>
      </c>
      <c r="F91" s="9" t="n">
        <f aca="false">(parametros_manuales!$D$27*('Plan mensual'!H35+IF(parametros_manuales!$H$27="Todos",'Plan mensual'!H39,0))+parametros_manuales!$E$27*('Plan mensual'!H36+IF(parametros_manuales!$H$27="Todos",'Plan mensual'!H40,0))+parametros_manuales!$F$27*('Plan mensual'!H37+IF(parametros_manuales!$H$27="Todos",'Plan mensual'!H41,0))+parametros_manuales!$G$27*('Plan mensual'!H38+IF(parametros_manuales!$H$27="Todos",'Plan mensual'!H42,0)))*parametros_manuales!$I$27*parametros_manuales!$J$27</f>
        <v>1242.193118488</v>
      </c>
      <c r="G91" s="9" t="n">
        <f aca="false">(parametros_manuales!$D$27*('Plan mensual'!I35+IF(parametros_manuales!$H$27="Todos",'Plan mensual'!I39,0))+parametros_manuales!$E$27*('Plan mensual'!I36+IF(parametros_manuales!$H$27="Todos",'Plan mensual'!I40,0))+parametros_manuales!$F$27*('Plan mensual'!I37+IF(parametros_manuales!$H$27="Todos",'Plan mensual'!I41,0))+parametros_manuales!$G$27*('Plan mensual'!I38+IF(parametros_manuales!$H$27="Todos",'Plan mensual'!I42,0)))*parametros_manuales!$I$27*parametros_manuales!$J$27</f>
        <v>1164.5560485825</v>
      </c>
      <c r="H91" s="9" t="n">
        <f aca="false">(parametros_manuales!$D$27*('Plan mensual'!J35+IF(parametros_manuales!$H$27="Todos",'Plan mensual'!J39,0))+parametros_manuales!$E$27*('Plan mensual'!J36+IF(parametros_manuales!$H$27="Todos",'Plan mensual'!J40,0))+parametros_manuales!$F$27*('Plan mensual'!J37+IF(parametros_manuales!$H$27="Todos",'Plan mensual'!J41,0))+parametros_manuales!$G$27*('Plan mensual'!J38+IF(parametros_manuales!$H$27="Todos",'Plan mensual'!J42,0)))*parametros_manuales!$I$27*parametros_manuales!$J$27</f>
        <v>1242.193118488</v>
      </c>
      <c r="I91" s="9" t="n">
        <f aca="false">(parametros_manuales!$D$27*('Plan mensual'!K35+IF(parametros_manuales!$H$27="Todos",'Plan mensual'!K39,0))+parametros_manuales!$E$27*('Plan mensual'!K36+IF(parametros_manuales!$H$27="Todos",'Plan mensual'!K40,0))+parametros_manuales!$F$27*('Plan mensual'!K37+IF(parametros_manuales!$H$27="Todos",'Plan mensual'!K41,0))+parametros_manuales!$G$27*('Plan mensual'!K38+IF(parametros_manuales!$H$27="Todos",'Plan mensual'!K42,0)))*parametros_manuales!$I$27*parametros_manuales!$J$27</f>
        <v>1242.193118488</v>
      </c>
      <c r="J91" s="9" t="n">
        <f aca="false">(parametros_manuales!$D$27*('Plan mensual'!L35+IF(parametros_manuales!$H$27="Todos",'Plan mensual'!L39,0))+parametros_manuales!$E$27*('Plan mensual'!L36+IF(parametros_manuales!$H$27="Todos",'Plan mensual'!L40,0))+parametros_manuales!$F$27*('Plan mensual'!L37+IF(parametros_manuales!$H$27="Todos",'Plan mensual'!L41,0))+parametros_manuales!$G$27*('Plan mensual'!L38+IF(parametros_manuales!$H$27="Todos",'Plan mensual'!L42,0)))*parametros_manuales!$I$27*parametros_manuales!$J$27</f>
        <v>1242.193118488</v>
      </c>
      <c r="K91" s="9" t="n">
        <f aca="false">(parametros_manuales!$D$27*('Plan mensual'!M35+IF(parametros_manuales!$H$27="Todos",'Plan mensual'!M39,0))+parametros_manuales!$E$27*('Plan mensual'!M36+IF(parametros_manuales!$H$27="Todos",'Plan mensual'!M40,0))+parametros_manuales!$F$27*('Plan mensual'!M37+IF(parametros_manuales!$H$27="Todos",'Plan mensual'!M41,0))+parametros_manuales!$G$27*('Plan mensual'!M38+IF(parametros_manuales!$H$27="Todos",'Plan mensual'!M42,0)))*parametros_manuales!$I$27*parametros_manuales!$J$27</f>
        <v>1164.5560485825</v>
      </c>
      <c r="L91" s="9" t="n">
        <f aca="false">(parametros_manuales!$D$27*('Plan mensual'!N35+IF(parametros_manuales!$H$27="Todos",'Plan mensual'!N39,0))+parametros_manuales!$E$27*('Plan mensual'!N36+IF(parametros_manuales!$H$27="Todos",'Plan mensual'!N40,0))+parametros_manuales!$F$27*('Plan mensual'!N37+IF(parametros_manuales!$H$27="Todos",'Plan mensual'!N41,0))+parametros_manuales!$G$27*('Plan mensual'!N38+IF(parametros_manuales!$H$27="Todos",'Plan mensual'!N42,0)))*parametros_manuales!$I$27*parametros_manuales!$J$27</f>
        <v>1086.918978677</v>
      </c>
      <c r="M91" s="9" t="n">
        <f aca="false">(parametros_manuales!$D$27*('Plan mensual'!O35+IF(parametros_manuales!$H$27="Todos",'Plan mensual'!O39,0))+parametros_manuales!$E$27*('Plan mensual'!O36+IF(parametros_manuales!$H$27="Todos",'Plan mensual'!O40,0))+parametros_manuales!$F$27*('Plan mensual'!O37+IF(parametros_manuales!$H$27="Todos",'Plan mensual'!O41,0))+parametros_manuales!$G$27*('Plan mensual'!O38+IF(parametros_manuales!$H$27="Todos",'Plan mensual'!O42,0)))*parametros_manuales!$I$27*parametros_manuales!$J$27</f>
        <v>1708.015537921</v>
      </c>
      <c r="N91" s="9" t="n">
        <f aca="false">SUM(B91:M91)</f>
        <v>15527.4139811</v>
      </c>
      <c r="O91" s="9" t="n">
        <f aca="false">MAX(B91:M91)</f>
        <v>1708.015537921</v>
      </c>
      <c r="P91" s="43" t="n">
        <f aca="false">O91/(parametros_manuales!$B$7)</f>
        <v>11.3867702528067</v>
      </c>
      <c r="Q91" s="8" t="str">
        <f aca="false">IF(O91=0,"-",INDEX($B$82:$M$82,MATCH(O91,B91:M91,0)))</f>
        <v>Dic</v>
      </c>
    </row>
    <row r="92" customFormat="false" ht="14.25" hidden="false" customHeight="true" outlineLevel="0" collapsed="false">
      <c r="A92" s="8" t="str">
        <f aca="false">parametros_manuales!$B$28</f>
        <v>Encastre de fondo</v>
      </c>
      <c r="B92" s="9" t="n">
        <f aca="false">(parametros_manuales!$D$28*('Plan mensual'!D35+IF(parametros_manuales!$H$28="Todos",'Plan mensual'!D39,0))+parametros_manuales!$E$28*('Plan mensual'!D36+IF(parametros_manuales!$H$28="Todos",'Plan mensual'!D40,0))+parametros_manuales!$F$28*('Plan mensual'!D37+IF(parametros_manuales!$H$28="Todos",'Plan mensual'!D41,0))+parametros_manuales!$G$28*('Plan mensual'!D38+IF(parametros_manuales!$H$28="Todos",'Plan mensual'!D42,0)))*parametros_manuales!$I$28*parametros_manuales!$J$28</f>
        <v>5772.17366399</v>
      </c>
      <c r="C92" s="9" t="n">
        <f aca="false">(parametros_manuales!$D$28*('Plan mensual'!E35+IF(parametros_manuales!$H$28="Todos",'Plan mensual'!E39,0))+parametros_manuales!$E$28*('Plan mensual'!E36+IF(parametros_manuales!$H$28="Todos",'Plan mensual'!E40,0))+parametros_manuales!$F$28*('Plan mensual'!E37+IF(parametros_manuales!$H$28="Todos",'Plan mensual'!E41,0))+parametros_manuales!$G$28*('Plan mensual'!E38+IF(parametros_manuales!$H$28="Todos",'Plan mensual'!E42,0)))*parametros_manuales!$I$28*parametros_manuales!$J$28</f>
        <v>4406.767317898</v>
      </c>
      <c r="D92" s="9" t="n">
        <f aca="false">(parametros_manuales!$D$28*('Plan mensual'!F35+IF(parametros_manuales!$H$28="Todos",'Plan mensual'!F39,0))+parametros_manuales!$E$28*('Plan mensual'!F36+IF(parametros_manuales!$H$28="Todos",'Plan mensual'!F40,0))+parametros_manuales!$F$28*('Plan mensual'!F37+IF(parametros_manuales!$H$28="Todos",'Plan mensual'!F41,0))+parametros_manuales!$G$28*('Plan mensual'!F38+IF(parametros_manuales!$H$28="Todos",'Plan mensual'!F42,0)))*parametros_manuales!$I$28*parametros_manuales!$J$28</f>
        <v>4132.7850323135</v>
      </c>
      <c r="E92" s="9" t="n">
        <f aca="false">(parametros_manuales!$D$28*('Plan mensual'!G35+IF(parametros_manuales!$H$28="Todos",'Plan mensual'!G39,0))+parametros_manuales!$E$28*('Plan mensual'!G36+IF(parametros_manuales!$H$28="Todos",'Plan mensual'!G40,0))+parametros_manuales!$F$28*('Plan mensual'!G37+IF(parametros_manuales!$H$28="Todos",'Plan mensual'!G41,0))+parametros_manuales!$G$28*('Plan mensual'!G38+IF(parametros_manuales!$H$28="Todos",'Plan mensual'!G42,0)))*parametros_manuales!$I$28*parametros_manuales!$J$28</f>
        <v>3956.9753545685</v>
      </c>
      <c r="F92" s="9" t="n">
        <f aca="false">(parametros_manuales!$D$28*('Plan mensual'!H35+IF(parametros_manuales!$H$28="Todos",'Plan mensual'!H39,0))+parametros_manuales!$E$28*('Plan mensual'!H36+IF(parametros_manuales!$H$28="Todos",'Plan mensual'!H40,0))+parametros_manuales!$F$28*('Plan mensual'!H37+IF(parametros_manuales!$H$28="Todos",'Plan mensual'!H41,0))+parametros_manuales!$G$28*('Plan mensual'!H38+IF(parametros_manuales!$H$28="Todos",'Plan mensual'!H42,0)))*parametros_manuales!$I$28*parametros_manuales!$J$28</f>
        <v>3703.528606918</v>
      </c>
      <c r="G92" s="9" t="n">
        <f aca="false">(parametros_manuales!$D$28*('Plan mensual'!I35+IF(parametros_manuales!$H$28="Todos",'Plan mensual'!I39,0))+parametros_manuales!$E$28*('Plan mensual'!I36+IF(parametros_manuales!$H$28="Todos",'Plan mensual'!I40,0))+parametros_manuales!$F$28*('Plan mensual'!I37+IF(parametros_manuales!$H$28="Todos",'Plan mensual'!I41,0))+parametros_manuales!$G$28*('Plan mensual'!I38+IF(parametros_manuales!$H$28="Todos",'Plan mensual'!I42,0)))*parametros_manuales!$I$28*parametros_manuales!$J$28</f>
        <v>3625.8915370125</v>
      </c>
      <c r="H92" s="9" t="n">
        <f aca="false">(parametros_manuales!$D$28*('Plan mensual'!J35+IF(parametros_manuales!$H$28="Todos",'Plan mensual'!J39,0))+parametros_manuales!$E$28*('Plan mensual'!J36+IF(parametros_manuales!$H$28="Todos",'Plan mensual'!J40,0))+parametros_manuales!$F$28*('Plan mensual'!J37+IF(parametros_manuales!$H$28="Todos",'Plan mensual'!J41,0))+parametros_manuales!$G$28*('Plan mensual'!J38+IF(parametros_manuales!$H$28="Todos",'Plan mensual'!J42,0)))*parametros_manuales!$I$28*parametros_manuales!$J$28</f>
        <v>3879.338284663</v>
      </c>
      <c r="I92" s="9" t="n">
        <f aca="false">(parametros_manuales!$D$28*('Plan mensual'!K35+IF(parametros_manuales!$H$28="Todos",'Plan mensual'!K39,0))+parametros_manuales!$E$28*('Plan mensual'!K36+IF(parametros_manuales!$H$28="Todos",'Plan mensual'!K40,0))+parametros_manuales!$F$28*('Plan mensual'!K37+IF(parametros_manuales!$H$28="Todos",'Plan mensual'!K41,0))+parametros_manuales!$G$28*('Plan mensual'!K38+IF(parametros_manuales!$H$28="Todos",'Plan mensual'!K42,0)))*parametros_manuales!$I$28*parametros_manuales!$J$28</f>
        <v>3879.338284663</v>
      </c>
      <c r="J92" s="9" t="n">
        <f aca="false">(parametros_manuales!$D$28*('Plan mensual'!L35+IF(parametros_manuales!$H$28="Todos",'Plan mensual'!L39,0))+parametros_manuales!$E$28*('Plan mensual'!L36+IF(parametros_manuales!$H$28="Todos",'Plan mensual'!L40,0))+parametros_manuales!$F$28*('Plan mensual'!L37+IF(parametros_manuales!$H$28="Todos",'Plan mensual'!L41,0))+parametros_manuales!$G$28*('Plan mensual'!L38+IF(parametros_manuales!$H$28="Todos",'Plan mensual'!L42,0)))*parametros_manuales!$I$28*parametros_manuales!$J$28</f>
        <v>3879.338284663</v>
      </c>
      <c r="K92" s="9" t="n">
        <f aca="false">(parametros_manuales!$D$28*('Plan mensual'!M35+IF(parametros_manuales!$H$28="Todos",'Plan mensual'!M39,0))+parametros_manuales!$E$28*('Plan mensual'!M36+IF(parametros_manuales!$H$28="Todos",'Plan mensual'!M40,0))+parametros_manuales!$F$28*('Plan mensual'!M37+IF(parametros_manuales!$H$28="Todos",'Plan mensual'!M41,0))+parametros_manuales!$G$28*('Plan mensual'!M38+IF(parametros_manuales!$H$28="Todos",'Plan mensual'!M42,0)))*parametros_manuales!$I$28*parametros_manuales!$J$28</f>
        <v>3801.7012147575</v>
      </c>
      <c r="L92" s="9" t="n">
        <f aca="false">(parametros_manuales!$D$28*('Plan mensual'!N35+IF(parametros_manuales!$H$28="Todos",'Plan mensual'!N39,0))+parametros_manuales!$E$28*('Plan mensual'!N36+IF(parametros_manuales!$H$28="Todos",'Plan mensual'!N40,0))+parametros_manuales!$F$28*('Plan mensual'!N37+IF(parametros_manuales!$H$28="Todos",'Plan mensual'!N41,0))+parametros_manuales!$G$28*('Plan mensual'!N38+IF(parametros_manuales!$H$28="Todos",'Plan mensual'!N42,0)))*parametros_manuales!$I$28*parametros_manuales!$J$28</f>
        <v>3724.064144852</v>
      </c>
      <c r="M92" s="9" t="n">
        <f aca="false">(parametros_manuales!$D$28*('Plan mensual'!O35+IF(parametros_manuales!$H$28="Todos",'Plan mensual'!O39,0))+parametros_manuales!$E$28*('Plan mensual'!O36+IF(parametros_manuales!$H$28="Todos",'Plan mensual'!O40,0))+parametros_manuales!$F$28*('Plan mensual'!O37+IF(parametros_manuales!$H$28="Todos",'Plan mensual'!O41,0))+parametros_manuales!$G$28*('Plan mensual'!O38+IF(parametros_manuales!$H$28="Todos",'Plan mensual'!O42,0)))*parametros_manuales!$I$28*parametros_manuales!$J$28</f>
        <v>5927.447803801</v>
      </c>
      <c r="N92" s="9" t="n">
        <f aca="false">SUM(B92:M92)</f>
        <v>50689.3495301</v>
      </c>
      <c r="O92" s="9" t="n">
        <f aca="false">MAX(B92:M92)</f>
        <v>5927.447803801</v>
      </c>
      <c r="P92" s="43" t="n">
        <f aca="false">O92/(parametros_manuales!$B$7)</f>
        <v>39.5163186920067</v>
      </c>
      <c r="Q92" s="8" t="str">
        <f aca="false">IF(O92=0,"-",INDEX($B$82:$M$82,MATCH(O92,B92:M92,0)))</f>
        <v>Dic</v>
      </c>
    </row>
    <row r="93" customFormat="false" ht="14.25" hidden="false" customHeight="true" outlineLevel="0" collapsed="false">
      <c r="A93" s="8" t="str">
        <f aca="false">parametros_manuales!$B$29</f>
        <v>Bordoneado</v>
      </c>
      <c r="B93" s="9" t="n">
        <f aca="false">(parametros_manuales!$D$29*('Plan mensual'!D35+IF(parametros_manuales!$H$29="Todos",'Plan mensual'!D39,0))+parametros_manuales!$E$29*('Plan mensual'!D36+IF(parametros_manuales!$H$29="Todos",'Plan mensual'!D40,0))+parametros_manuales!$F$29*('Plan mensual'!D37+IF(parametros_manuales!$H$29="Todos",'Plan mensual'!D41,0))+parametros_manuales!$G$29*('Plan mensual'!D38+IF(parametros_manuales!$H$29="Todos",'Plan mensual'!D42,0)))*parametros_manuales!$I$29*parametros_manuales!$J$29</f>
        <v>5772.17366399</v>
      </c>
      <c r="C93" s="9" t="n">
        <f aca="false">(parametros_manuales!$D$29*('Plan mensual'!E35+IF(parametros_manuales!$H$29="Todos",'Plan mensual'!E39,0))+parametros_manuales!$E$29*('Plan mensual'!E36+IF(parametros_manuales!$H$29="Todos",'Plan mensual'!E40,0))+parametros_manuales!$F$29*('Plan mensual'!E37+IF(parametros_manuales!$H$29="Todos",'Plan mensual'!E41,0))+parametros_manuales!$G$29*('Plan mensual'!E38+IF(parametros_manuales!$H$29="Todos",'Plan mensual'!E42,0)))*parametros_manuales!$I$29*parametros_manuales!$J$29</f>
        <v>4406.767317898</v>
      </c>
      <c r="D93" s="9" t="n">
        <f aca="false">(parametros_manuales!$D$29*('Plan mensual'!F35+IF(parametros_manuales!$H$29="Todos",'Plan mensual'!F39,0))+parametros_manuales!$E$29*('Plan mensual'!F36+IF(parametros_manuales!$H$29="Todos",'Plan mensual'!F40,0))+parametros_manuales!$F$29*('Plan mensual'!F37+IF(parametros_manuales!$H$29="Todos",'Plan mensual'!F41,0))+parametros_manuales!$G$29*('Plan mensual'!F38+IF(parametros_manuales!$H$29="Todos",'Plan mensual'!F42,0)))*parametros_manuales!$I$29*parametros_manuales!$J$29</f>
        <v>4132.7850323135</v>
      </c>
      <c r="E93" s="9" t="n">
        <f aca="false">(parametros_manuales!$D$29*('Plan mensual'!G35+IF(parametros_manuales!$H$29="Todos",'Plan mensual'!G39,0))+parametros_manuales!$E$29*('Plan mensual'!G36+IF(parametros_manuales!$H$29="Todos",'Plan mensual'!G40,0))+parametros_manuales!$F$29*('Plan mensual'!G37+IF(parametros_manuales!$H$29="Todos",'Plan mensual'!G41,0))+parametros_manuales!$G$29*('Plan mensual'!G38+IF(parametros_manuales!$H$29="Todos",'Plan mensual'!G42,0)))*parametros_manuales!$I$29*parametros_manuales!$J$29</f>
        <v>3956.9753545685</v>
      </c>
      <c r="F93" s="9" t="n">
        <f aca="false">(parametros_manuales!$D$29*('Plan mensual'!H35+IF(parametros_manuales!$H$29="Todos",'Plan mensual'!H39,0))+parametros_manuales!$E$29*('Plan mensual'!H36+IF(parametros_manuales!$H$29="Todos",'Plan mensual'!H40,0))+parametros_manuales!$F$29*('Plan mensual'!H37+IF(parametros_manuales!$H$29="Todos",'Plan mensual'!H41,0))+parametros_manuales!$G$29*('Plan mensual'!H38+IF(parametros_manuales!$H$29="Todos",'Plan mensual'!H42,0)))*parametros_manuales!$I$29*parametros_manuales!$J$29</f>
        <v>3703.528606918</v>
      </c>
      <c r="G93" s="9" t="n">
        <f aca="false">(parametros_manuales!$D$29*('Plan mensual'!I35+IF(parametros_manuales!$H$29="Todos",'Plan mensual'!I39,0))+parametros_manuales!$E$29*('Plan mensual'!I36+IF(parametros_manuales!$H$29="Todos",'Plan mensual'!I40,0))+parametros_manuales!$F$29*('Plan mensual'!I37+IF(parametros_manuales!$H$29="Todos",'Plan mensual'!I41,0))+parametros_manuales!$G$29*('Plan mensual'!I38+IF(parametros_manuales!$H$29="Todos",'Plan mensual'!I42,0)))*parametros_manuales!$I$29*parametros_manuales!$J$29</f>
        <v>3625.8915370125</v>
      </c>
      <c r="H93" s="9" t="n">
        <f aca="false">(parametros_manuales!$D$29*('Plan mensual'!J35+IF(parametros_manuales!$H$29="Todos",'Plan mensual'!J39,0))+parametros_manuales!$E$29*('Plan mensual'!J36+IF(parametros_manuales!$H$29="Todos",'Plan mensual'!J40,0))+parametros_manuales!$F$29*('Plan mensual'!J37+IF(parametros_manuales!$H$29="Todos",'Plan mensual'!J41,0))+parametros_manuales!$G$29*('Plan mensual'!J38+IF(parametros_manuales!$H$29="Todos",'Plan mensual'!J42,0)))*parametros_manuales!$I$29*parametros_manuales!$J$29</f>
        <v>3879.338284663</v>
      </c>
      <c r="I93" s="9" t="n">
        <f aca="false">(parametros_manuales!$D$29*('Plan mensual'!K35+IF(parametros_manuales!$H$29="Todos",'Plan mensual'!K39,0))+parametros_manuales!$E$29*('Plan mensual'!K36+IF(parametros_manuales!$H$29="Todos",'Plan mensual'!K40,0))+parametros_manuales!$F$29*('Plan mensual'!K37+IF(parametros_manuales!$H$29="Todos",'Plan mensual'!K41,0))+parametros_manuales!$G$29*('Plan mensual'!K38+IF(parametros_manuales!$H$29="Todos",'Plan mensual'!K42,0)))*parametros_manuales!$I$29*parametros_manuales!$J$29</f>
        <v>3879.338284663</v>
      </c>
      <c r="J93" s="9" t="n">
        <f aca="false">(parametros_manuales!$D$29*('Plan mensual'!L35+IF(parametros_manuales!$H$29="Todos",'Plan mensual'!L39,0))+parametros_manuales!$E$29*('Plan mensual'!L36+IF(parametros_manuales!$H$29="Todos",'Plan mensual'!L40,0))+parametros_manuales!$F$29*('Plan mensual'!L37+IF(parametros_manuales!$H$29="Todos",'Plan mensual'!L41,0))+parametros_manuales!$G$29*('Plan mensual'!L38+IF(parametros_manuales!$H$29="Todos",'Plan mensual'!L42,0)))*parametros_manuales!$I$29*parametros_manuales!$J$29</f>
        <v>3879.338284663</v>
      </c>
      <c r="K93" s="9" t="n">
        <f aca="false">(parametros_manuales!$D$29*('Plan mensual'!M35+IF(parametros_manuales!$H$29="Todos",'Plan mensual'!M39,0))+parametros_manuales!$E$29*('Plan mensual'!M36+IF(parametros_manuales!$H$29="Todos",'Plan mensual'!M40,0))+parametros_manuales!$F$29*('Plan mensual'!M37+IF(parametros_manuales!$H$29="Todos",'Plan mensual'!M41,0))+parametros_manuales!$G$29*('Plan mensual'!M38+IF(parametros_manuales!$H$29="Todos",'Plan mensual'!M42,0)))*parametros_manuales!$I$29*parametros_manuales!$J$29</f>
        <v>3801.7012147575</v>
      </c>
      <c r="L93" s="9" t="n">
        <f aca="false">(parametros_manuales!$D$29*('Plan mensual'!N35+IF(parametros_manuales!$H$29="Todos",'Plan mensual'!N39,0))+parametros_manuales!$E$29*('Plan mensual'!N36+IF(parametros_manuales!$H$29="Todos",'Plan mensual'!N40,0))+parametros_manuales!$F$29*('Plan mensual'!N37+IF(parametros_manuales!$H$29="Todos",'Plan mensual'!N41,0))+parametros_manuales!$G$29*('Plan mensual'!N38+IF(parametros_manuales!$H$29="Todos",'Plan mensual'!N42,0)))*parametros_manuales!$I$29*parametros_manuales!$J$29</f>
        <v>3724.064144852</v>
      </c>
      <c r="M93" s="9" t="n">
        <f aca="false">(parametros_manuales!$D$29*('Plan mensual'!O35+IF(parametros_manuales!$H$29="Todos",'Plan mensual'!O39,0))+parametros_manuales!$E$29*('Plan mensual'!O36+IF(parametros_manuales!$H$29="Todos",'Plan mensual'!O40,0))+parametros_manuales!$F$29*('Plan mensual'!O37+IF(parametros_manuales!$H$29="Todos",'Plan mensual'!O41,0))+parametros_manuales!$G$29*('Plan mensual'!O38+IF(parametros_manuales!$H$29="Todos",'Plan mensual'!O42,0)))*parametros_manuales!$I$29*parametros_manuales!$J$29</f>
        <v>5927.447803801</v>
      </c>
      <c r="N93" s="9" t="n">
        <f aca="false">SUM(B93:M93)</f>
        <v>50689.3495301</v>
      </c>
      <c r="O93" s="9" t="n">
        <f aca="false">MAX(B93:M93)</f>
        <v>5927.447803801</v>
      </c>
      <c r="P93" s="43" t="n">
        <f aca="false">O93/(parametros_manuales!$B$7)</f>
        <v>39.5163186920067</v>
      </c>
      <c r="Q93" s="8" t="str">
        <f aca="false">IF(O93=0,"-",INDEX($B$82:$M$82,MATCH(O93,B93:M93,0)))</f>
        <v>Dic</v>
      </c>
    </row>
    <row r="94" customFormat="false" ht="14.25" hidden="false" customHeight="true" outlineLevel="0" collapsed="false">
      <c r="A94" s="8" t="str">
        <f aca="false">parametros_manuales!$B$30</f>
        <v>Soldadura circunferencial de cúpula y fondo</v>
      </c>
      <c r="B94" s="9" t="n">
        <f aca="false">(parametros_manuales!$D$30*('Plan mensual'!D35+IF(parametros_manuales!$H$30="Todos",'Plan mensual'!D39,0))+parametros_manuales!$E$30*('Plan mensual'!D36+IF(parametros_manuales!$H$30="Todos",'Plan mensual'!D40,0))+parametros_manuales!$F$30*('Plan mensual'!D37+IF(parametros_manuales!$H$30="Todos",'Plan mensual'!D41,0))+parametros_manuales!$G$30*('Plan mensual'!D38+IF(parametros_manuales!$H$30="Todos",'Plan mensual'!D42,0)))*parametros_manuales!$I$30*parametros_manuales!$J$30</f>
        <v>5772.17366399</v>
      </c>
      <c r="C94" s="9" t="n">
        <f aca="false">(parametros_manuales!$D$30*('Plan mensual'!E35+IF(parametros_manuales!$H$30="Todos",'Plan mensual'!E39,0))+parametros_manuales!$E$30*('Plan mensual'!E36+IF(parametros_manuales!$H$30="Todos",'Plan mensual'!E40,0))+parametros_manuales!$F$30*('Plan mensual'!E37+IF(parametros_manuales!$H$30="Todos",'Plan mensual'!E41,0))+parametros_manuales!$G$30*('Plan mensual'!E38+IF(parametros_manuales!$H$30="Todos",'Plan mensual'!E42,0)))*parametros_manuales!$I$30*parametros_manuales!$J$30</f>
        <v>4406.767317898</v>
      </c>
      <c r="D94" s="9" t="n">
        <f aca="false">(parametros_manuales!$D$30*('Plan mensual'!F35+IF(parametros_manuales!$H$30="Todos",'Plan mensual'!F39,0))+parametros_manuales!$E$30*('Plan mensual'!F36+IF(parametros_manuales!$H$30="Todos",'Plan mensual'!F40,0))+parametros_manuales!$F$30*('Plan mensual'!F37+IF(parametros_manuales!$H$30="Todos",'Plan mensual'!F41,0))+parametros_manuales!$G$30*('Plan mensual'!F38+IF(parametros_manuales!$H$30="Todos",'Plan mensual'!F42,0)))*parametros_manuales!$I$30*parametros_manuales!$J$30</f>
        <v>4132.7850323135</v>
      </c>
      <c r="E94" s="9" t="n">
        <f aca="false">(parametros_manuales!$D$30*('Plan mensual'!G35+IF(parametros_manuales!$H$30="Todos",'Plan mensual'!G39,0))+parametros_manuales!$E$30*('Plan mensual'!G36+IF(parametros_manuales!$H$30="Todos",'Plan mensual'!G40,0))+parametros_manuales!$F$30*('Plan mensual'!G37+IF(parametros_manuales!$H$30="Todos",'Plan mensual'!G41,0))+parametros_manuales!$G$30*('Plan mensual'!G38+IF(parametros_manuales!$H$30="Todos",'Plan mensual'!G42,0)))*parametros_manuales!$I$30*parametros_manuales!$J$30</f>
        <v>3956.9753545685</v>
      </c>
      <c r="F94" s="9" t="n">
        <f aca="false">(parametros_manuales!$D$30*('Plan mensual'!H35+IF(parametros_manuales!$H$30="Todos",'Plan mensual'!H39,0))+parametros_manuales!$E$30*('Plan mensual'!H36+IF(parametros_manuales!$H$30="Todos",'Plan mensual'!H40,0))+parametros_manuales!$F$30*('Plan mensual'!H37+IF(parametros_manuales!$H$30="Todos",'Plan mensual'!H41,0))+parametros_manuales!$G$30*('Plan mensual'!H38+IF(parametros_manuales!$H$30="Todos",'Plan mensual'!H42,0)))*parametros_manuales!$I$30*parametros_manuales!$J$30</f>
        <v>3703.528606918</v>
      </c>
      <c r="G94" s="9" t="n">
        <f aca="false">(parametros_manuales!$D$30*('Plan mensual'!I35+IF(parametros_manuales!$H$30="Todos",'Plan mensual'!I39,0))+parametros_manuales!$E$30*('Plan mensual'!I36+IF(parametros_manuales!$H$30="Todos",'Plan mensual'!I40,0))+parametros_manuales!$F$30*('Plan mensual'!I37+IF(parametros_manuales!$H$30="Todos",'Plan mensual'!I41,0))+parametros_manuales!$G$30*('Plan mensual'!I38+IF(parametros_manuales!$H$30="Todos",'Plan mensual'!I42,0)))*parametros_manuales!$I$30*parametros_manuales!$J$30</f>
        <v>3625.8915370125</v>
      </c>
      <c r="H94" s="9" t="n">
        <f aca="false">(parametros_manuales!$D$30*('Plan mensual'!J35+IF(parametros_manuales!$H$30="Todos",'Plan mensual'!J39,0))+parametros_manuales!$E$30*('Plan mensual'!J36+IF(parametros_manuales!$H$30="Todos",'Plan mensual'!J40,0))+parametros_manuales!$F$30*('Plan mensual'!J37+IF(parametros_manuales!$H$30="Todos",'Plan mensual'!J41,0))+parametros_manuales!$G$30*('Plan mensual'!J38+IF(parametros_manuales!$H$30="Todos",'Plan mensual'!J42,0)))*parametros_manuales!$I$30*parametros_manuales!$J$30</f>
        <v>3879.338284663</v>
      </c>
      <c r="I94" s="9" t="n">
        <f aca="false">(parametros_manuales!$D$30*('Plan mensual'!K35+IF(parametros_manuales!$H$30="Todos",'Plan mensual'!K39,0))+parametros_manuales!$E$30*('Plan mensual'!K36+IF(parametros_manuales!$H$30="Todos",'Plan mensual'!K40,0))+parametros_manuales!$F$30*('Plan mensual'!K37+IF(parametros_manuales!$H$30="Todos",'Plan mensual'!K41,0))+parametros_manuales!$G$30*('Plan mensual'!K38+IF(parametros_manuales!$H$30="Todos",'Plan mensual'!K42,0)))*parametros_manuales!$I$30*parametros_manuales!$J$30</f>
        <v>3879.338284663</v>
      </c>
      <c r="J94" s="9" t="n">
        <f aca="false">(parametros_manuales!$D$30*('Plan mensual'!L35+IF(parametros_manuales!$H$30="Todos",'Plan mensual'!L39,0))+parametros_manuales!$E$30*('Plan mensual'!L36+IF(parametros_manuales!$H$30="Todos",'Plan mensual'!L40,0))+parametros_manuales!$F$30*('Plan mensual'!L37+IF(parametros_manuales!$H$30="Todos",'Plan mensual'!L41,0))+parametros_manuales!$G$30*('Plan mensual'!L38+IF(parametros_manuales!$H$30="Todos",'Plan mensual'!L42,0)))*parametros_manuales!$I$30*parametros_manuales!$J$30</f>
        <v>3879.338284663</v>
      </c>
      <c r="K94" s="9" t="n">
        <f aca="false">(parametros_manuales!$D$30*('Plan mensual'!M35+IF(parametros_manuales!$H$30="Todos",'Plan mensual'!M39,0))+parametros_manuales!$E$30*('Plan mensual'!M36+IF(parametros_manuales!$H$30="Todos",'Plan mensual'!M40,0))+parametros_manuales!$F$30*('Plan mensual'!M37+IF(parametros_manuales!$H$30="Todos",'Plan mensual'!M41,0))+parametros_manuales!$G$30*('Plan mensual'!M38+IF(parametros_manuales!$H$30="Todos",'Plan mensual'!M42,0)))*parametros_manuales!$I$30*parametros_manuales!$J$30</f>
        <v>3801.7012147575</v>
      </c>
      <c r="L94" s="9" t="n">
        <f aca="false">(parametros_manuales!$D$30*('Plan mensual'!N35+IF(parametros_manuales!$H$30="Todos",'Plan mensual'!N39,0))+parametros_manuales!$E$30*('Plan mensual'!N36+IF(parametros_manuales!$H$30="Todos",'Plan mensual'!N40,0))+parametros_manuales!$F$30*('Plan mensual'!N37+IF(parametros_manuales!$H$30="Todos",'Plan mensual'!N41,0))+parametros_manuales!$G$30*('Plan mensual'!N38+IF(parametros_manuales!$H$30="Todos",'Plan mensual'!N42,0)))*parametros_manuales!$I$30*parametros_manuales!$J$30</f>
        <v>3724.064144852</v>
      </c>
      <c r="M94" s="9" t="n">
        <f aca="false">(parametros_manuales!$D$30*('Plan mensual'!O35+IF(parametros_manuales!$H$30="Todos",'Plan mensual'!O39,0))+parametros_manuales!$E$30*('Plan mensual'!O36+IF(parametros_manuales!$H$30="Todos",'Plan mensual'!O40,0))+parametros_manuales!$F$30*('Plan mensual'!O37+IF(parametros_manuales!$H$30="Todos",'Plan mensual'!O41,0))+parametros_manuales!$G$30*('Plan mensual'!O38+IF(parametros_manuales!$H$30="Todos",'Plan mensual'!O42,0)))*parametros_manuales!$I$30*parametros_manuales!$J$30</f>
        <v>5927.447803801</v>
      </c>
      <c r="N94" s="9" t="n">
        <f aca="false">SUM(B94:M94)</f>
        <v>50689.3495301</v>
      </c>
      <c r="O94" s="9" t="n">
        <f aca="false">MAX(B94:M94)</f>
        <v>5927.447803801</v>
      </c>
      <c r="P94" s="43" t="n">
        <f aca="false">O94/(parametros_manuales!$B$7)</f>
        <v>39.5163186920067</v>
      </c>
      <c r="Q94" s="8" t="str">
        <f aca="false">IF(O94=0,"-",INDEX($B$82:$M$82,MATCH(O94,B94:M94,0)))</f>
        <v>Dic</v>
      </c>
    </row>
    <row r="95" customFormat="false" ht="14.25" hidden="false" customHeight="true" outlineLevel="0" collapsed="false">
      <c r="A95" s="8" t="str">
        <f aca="false">parametros_manuales!$B$31</f>
        <v>Control de calidad — Espesor</v>
      </c>
      <c r="B95" s="9" t="n">
        <f aca="false">(parametros_manuales!$D$31*('Plan mensual'!D35+IF(parametros_manuales!$H$31="Todos",'Plan mensual'!D39,0))+parametros_manuales!$E$31*('Plan mensual'!D36+IF(parametros_manuales!$H$31="Todos",'Plan mensual'!D40,0))+parametros_manuales!$F$31*('Plan mensual'!D37+IF(parametros_manuales!$H$31="Todos",'Plan mensual'!D41,0))+parametros_manuales!$G$31*('Plan mensual'!D38+IF(parametros_manuales!$H$31="Todos",'Plan mensual'!D42,0)))*parametros_manuales!$I$31*parametros_manuales!$J$31</f>
        <v>115.4434732798</v>
      </c>
      <c r="C95" s="9" t="n">
        <f aca="false">(parametros_manuales!$D$31*('Plan mensual'!E35+IF(parametros_manuales!$H$31="Todos",'Plan mensual'!E39,0))+parametros_manuales!$E$31*('Plan mensual'!E36+IF(parametros_manuales!$H$31="Todos",'Plan mensual'!E40,0))+parametros_manuales!$F$31*('Plan mensual'!E37+IF(parametros_manuales!$H$31="Todos",'Plan mensual'!E41,0))+parametros_manuales!$G$31*('Plan mensual'!E38+IF(parametros_manuales!$H$31="Todos",'Plan mensual'!E42,0)))*parametros_manuales!$I$31*parametros_manuales!$J$31</f>
        <v>88.13534635796</v>
      </c>
      <c r="D95" s="9" t="n">
        <f aca="false">(parametros_manuales!$D$31*('Plan mensual'!F35+IF(parametros_manuales!$H$31="Todos",'Plan mensual'!F39,0))+parametros_manuales!$E$31*('Plan mensual'!F36+IF(parametros_manuales!$H$31="Todos",'Plan mensual'!F40,0))+parametros_manuales!$F$31*('Plan mensual'!F37+IF(parametros_manuales!$H$31="Todos",'Plan mensual'!F41,0))+parametros_manuales!$G$31*('Plan mensual'!F38+IF(parametros_manuales!$H$31="Todos",'Plan mensual'!F42,0)))*parametros_manuales!$I$31*parametros_manuales!$J$31</f>
        <v>82.65570064627</v>
      </c>
      <c r="E95" s="9" t="n">
        <f aca="false">(parametros_manuales!$D$31*('Plan mensual'!G35+IF(parametros_manuales!$H$31="Todos",'Plan mensual'!G39,0))+parametros_manuales!$E$31*('Plan mensual'!G36+IF(parametros_manuales!$H$31="Todos",'Plan mensual'!G40,0))+parametros_manuales!$F$31*('Plan mensual'!G37+IF(parametros_manuales!$H$31="Todos",'Plan mensual'!G41,0))+parametros_manuales!$G$31*('Plan mensual'!G38+IF(parametros_manuales!$H$31="Todos",'Plan mensual'!G42,0)))*parametros_manuales!$I$31*parametros_manuales!$J$31</f>
        <v>79.13950709137</v>
      </c>
      <c r="F95" s="9" t="n">
        <f aca="false">(parametros_manuales!$D$31*('Plan mensual'!H35+IF(parametros_manuales!$H$31="Todos",'Plan mensual'!H39,0))+parametros_manuales!$E$31*('Plan mensual'!H36+IF(parametros_manuales!$H$31="Todos",'Plan mensual'!H40,0))+parametros_manuales!$F$31*('Plan mensual'!H37+IF(parametros_manuales!$H$31="Todos",'Plan mensual'!H41,0))+parametros_manuales!$G$31*('Plan mensual'!H38+IF(parametros_manuales!$H$31="Todos",'Plan mensual'!H42,0)))*parametros_manuales!$I$31*parametros_manuales!$J$31</f>
        <v>74.07057213836</v>
      </c>
      <c r="G95" s="9" t="n">
        <f aca="false">(parametros_manuales!$D$31*('Plan mensual'!I35+IF(parametros_manuales!$H$31="Todos",'Plan mensual'!I39,0))+parametros_manuales!$E$31*('Plan mensual'!I36+IF(parametros_manuales!$H$31="Todos",'Plan mensual'!I40,0))+parametros_manuales!$F$31*('Plan mensual'!I37+IF(parametros_manuales!$H$31="Todos",'Plan mensual'!I41,0))+parametros_manuales!$G$31*('Plan mensual'!I38+IF(parametros_manuales!$H$31="Todos",'Plan mensual'!I42,0)))*parametros_manuales!$I$31*parametros_manuales!$J$31</f>
        <v>72.51783074025</v>
      </c>
      <c r="H95" s="9" t="n">
        <f aca="false">(parametros_manuales!$D$31*('Plan mensual'!J35+IF(parametros_manuales!$H$31="Todos",'Plan mensual'!J39,0))+parametros_manuales!$E$31*('Plan mensual'!J36+IF(parametros_manuales!$H$31="Todos",'Plan mensual'!J40,0))+parametros_manuales!$F$31*('Plan mensual'!J37+IF(parametros_manuales!$H$31="Todos",'Plan mensual'!J41,0))+parametros_manuales!$G$31*('Plan mensual'!J38+IF(parametros_manuales!$H$31="Todos",'Plan mensual'!J42,0)))*parametros_manuales!$I$31*parametros_manuales!$J$31</f>
        <v>77.58676569326</v>
      </c>
      <c r="I95" s="9" t="n">
        <f aca="false">(parametros_manuales!$D$31*('Plan mensual'!K35+IF(parametros_manuales!$H$31="Todos",'Plan mensual'!K39,0))+parametros_manuales!$E$31*('Plan mensual'!K36+IF(parametros_manuales!$H$31="Todos",'Plan mensual'!K40,0))+parametros_manuales!$F$31*('Plan mensual'!K37+IF(parametros_manuales!$H$31="Todos",'Plan mensual'!K41,0))+parametros_manuales!$G$31*('Plan mensual'!K38+IF(parametros_manuales!$H$31="Todos",'Plan mensual'!K42,0)))*parametros_manuales!$I$31*parametros_manuales!$J$31</f>
        <v>77.58676569326</v>
      </c>
      <c r="J95" s="9" t="n">
        <f aca="false">(parametros_manuales!$D$31*('Plan mensual'!L35+IF(parametros_manuales!$H$31="Todos",'Plan mensual'!L39,0))+parametros_manuales!$E$31*('Plan mensual'!L36+IF(parametros_manuales!$H$31="Todos",'Plan mensual'!L40,0))+parametros_manuales!$F$31*('Plan mensual'!L37+IF(parametros_manuales!$H$31="Todos",'Plan mensual'!L41,0))+parametros_manuales!$G$31*('Plan mensual'!L38+IF(parametros_manuales!$H$31="Todos",'Plan mensual'!L42,0)))*parametros_manuales!$I$31*parametros_manuales!$J$31</f>
        <v>77.58676569326</v>
      </c>
      <c r="K95" s="9" t="n">
        <f aca="false">(parametros_manuales!$D$31*('Plan mensual'!M35+IF(parametros_manuales!$H$31="Todos",'Plan mensual'!M39,0))+parametros_manuales!$E$31*('Plan mensual'!M36+IF(parametros_manuales!$H$31="Todos",'Plan mensual'!M40,0))+parametros_manuales!$F$31*('Plan mensual'!M37+IF(parametros_manuales!$H$31="Todos",'Plan mensual'!M41,0))+parametros_manuales!$G$31*('Plan mensual'!M38+IF(parametros_manuales!$H$31="Todos",'Plan mensual'!M42,0)))*parametros_manuales!$I$31*parametros_manuales!$J$31</f>
        <v>76.03402429515</v>
      </c>
      <c r="L95" s="9" t="n">
        <f aca="false">(parametros_manuales!$D$31*('Plan mensual'!N35+IF(parametros_manuales!$H$31="Todos",'Plan mensual'!N39,0))+parametros_manuales!$E$31*('Plan mensual'!N36+IF(parametros_manuales!$H$31="Todos",'Plan mensual'!N40,0))+parametros_manuales!$F$31*('Plan mensual'!N37+IF(parametros_manuales!$H$31="Todos",'Plan mensual'!N41,0))+parametros_manuales!$G$31*('Plan mensual'!N38+IF(parametros_manuales!$H$31="Todos",'Plan mensual'!N42,0)))*parametros_manuales!$I$31*parametros_manuales!$J$31</f>
        <v>74.48128289704</v>
      </c>
      <c r="M95" s="9" t="n">
        <f aca="false">(parametros_manuales!$D$31*('Plan mensual'!O35+IF(parametros_manuales!$H$31="Todos",'Plan mensual'!O39,0))+parametros_manuales!$E$31*('Plan mensual'!O36+IF(parametros_manuales!$H$31="Todos",'Plan mensual'!O40,0))+parametros_manuales!$F$31*('Plan mensual'!O37+IF(parametros_manuales!$H$31="Todos",'Plan mensual'!O41,0))+parametros_manuales!$G$31*('Plan mensual'!O38+IF(parametros_manuales!$H$31="Todos",'Plan mensual'!O42,0)))*parametros_manuales!$I$31*parametros_manuales!$J$31</f>
        <v>118.54895607602</v>
      </c>
      <c r="N95" s="9" t="n">
        <f aca="false">SUM(B95:M95)</f>
        <v>1013.786990602</v>
      </c>
      <c r="O95" s="9" t="n">
        <f aca="false">MAX(B95:M95)</f>
        <v>118.54895607602</v>
      </c>
      <c r="P95" s="43" t="n">
        <f aca="false">O95/(parametros_manuales!$B$7)</f>
        <v>0.790326373840133</v>
      </c>
      <c r="Q95" s="8" t="str">
        <f aca="false">IF(O95=0,"-",INDEX($B$82:$M$82,MATCH(O95,B95:M95,0)))</f>
        <v>Dic</v>
      </c>
    </row>
    <row r="96" customFormat="false" ht="14.25" hidden="false" customHeight="true" outlineLevel="0" collapsed="false">
      <c r="A96" s="8" t="str">
        <f aca="false">parametros_manuales!$B$32</f>
        <v>Prueba hidráulica</v>
      </c>
      <c r="B96" s="9" t="n">
        <f aca="false">(parametros_manuales!$D$32*('Plan mensual'!D35+IF(parametros_manuales!$H$32="Todos",'Plan mensual'!D39,0))+parametros_manuales!$E$32*('Plan mensual'!D36+IF(parametros_manuales!$H$32="Todos",'Plan mensual'!D40,0))+parametros_manuales!$F$32*('Plan mensual'!D37+IF(parametros_manuales!$H$32="Todos",'Plan mensual'!D41,0))+parametros_manuales!$G$32*('Plan mensual'!D38+IF(parametros_manuales!$H$32="Todos",'Plan mensual'!D42,0)))*parametros_manuales!$I$32*parametros_manuales!$J$32</f>
        <v>5772.17366399</v>
      </c>
      <c r="C96" s="9" t="n">
        <f aca="false">(parametros_manuales!$D$32*('Plan mensual'!E35+IF(parametros_manuales!$H$32="Todos",'Plan mensual'!E39,0))+parametros_manuales!$E$32*('Plan mensual'!E36+IF(parametros_manuales!$H$32="Todos",'Plan mensual'!E40,0))+parametros_manuales!$F$32*('Plan mensual'!E37+IF(parametros_manuales!$H$32="Todos",'Plan mensual'!E41,0))+parametros_manuales!$G$32*('Plan mensual'!E38+IF(parametros_manuales!$H$32="Todos",'Plan mensual'!E42,0)))*parametros_manuales!$I$32*parametros_manuales!$J$32</f>
        <v>4406.767317898</v>
      </c>
      <c r="D96" s="9" t="n">
        <f aca="false">(parametros_manuales!$D$32*('Plan mensual'!F35+IF(parametros_manuales!$H$32="Todos",'Plan mensual'!F39,0))+parametros_manuales!$E$32*('Plan mensual'!F36+IF(parametros_manuales!$H$32="Todos",'Plan mensual'!F40,0))+parametros_manuales!$F$32*('Plan mensual'!F37+IF(parametros_manuales!$H$32="Todos",'Plan mensual'!F41,0))+parametros_manuales!$G$32*('Plan mensual'!F38+IF(parametros_manuales!$H$32="Todos",'Plan mensual'!F42,0)))*parametros_manuales!$I$32*parametros_manuales!$J$32</f>
        <v>4132.7850323135</v>
      </c>
      <c r="E96" s="9" t="n">
        <f aca="false">(parametros_manuales!$D$32*('Plan mensual'!G35+IF(parametros_manuales!$H$32="Todos",'Plan mensual'!G39,0))+parametros_manuales!$E$32*('Plan mensual'!G36+IF(parametros_manuales!$H$32="Todos",'Plan mensual'!G40,0))+parametros_manuales!$F$32*('Plan mensual'!G37+IF(parametros_manuales!$H$32="Todos",'Plan mensual'!G41,0))+parametros_manuales!$G$32*('Plan mensual'!G38+IF(parametros_manuales!$H$32="Todos",'Plan mensual'!G42,0)))*parametros_manuales!$I$32*parametros_manuales!$J$32</f>
        <v>3956.9753545685</v>
      </c>
      <c r="F96" s="9" t="n">
        <f aca="false">(parametros_manuales!$D$32*('Plan mensual'!H35+IF(parametros_manuales!$H$32="Todos",'Plan mensual'!H39,0))+parametros_manuales!$E$32*('Plan mensual'!H36+IF(parametros_manuales!$H$32="Todos",'Plan mensual'!H40,0))+parametros_manuales!$F$32*('Plan mensual'!H37+IF(parametros_manuales!$H$32="Todos",'Plan mensual'!H41,0))+parametros_manuales!$G$32*('Plan mensual'!H38+IF(parametros_manuales!$H$32="Todos",'Plan mensual'!H42,0)))*parametros_manuales!$I$32*parametros_manuales!$J$32</f>
        <v>3703.528606918</v>
      </c>
      <c r="G96" s="9" t="n">
        <f aca="false">(parametros_manuales!$D$32*('Plan mensual'!I35+IF(parametros_manuales!$H$32="Todos",'Plan mensual'!I39,0))+parametros_manuales!$E$32*('Plan mensual'!I36+IF(parametros_manuales!$H$32="Todos",'Plan mensual'!I40,0))+parametros_manuales!$F$32*('Plan mensual'!I37+IF(parametros_manuales!$H$32="Todos",'Plan mensual'!I41,0))+parametros_manuales!$G$32*('Plan mensual'!I38+IF(parametros_manuales!$H$32="Todos",'Plan mensual'!I42,0)))*parametros_manuales!$I$32*parametros_manuales!$J$32</f>
        <v>3625.8915370125</v>
      </c>
      <c r="H96" s="9" t="n">
        <f aca="false">(parametros_manuales!$D$32*('Plan mensual'!J35+IF(parametros_manuales!$H$32="Todos",'Plan mensual'!J39,0))+parametros_manuales!$E$32*('Plan mensual'!J36+IF(parametros_manuales!$H$32="Todos",'Plan mensual'!J40,0))+parametros_manuales!$F$32*('Plan mensual'!J37+IF(parametros_manuales!$H$32="Todos",'Plan mensual'!J41,0))+parametros_manuales!$G$32*('Plan mensual'!J38+IF(parametros_manuales!$H$32="Todos",'Plan mensual'!J42,0)))*parametros_manuales!$I$32*parametros_manuales!$J$32</f>
        <v>3879.338284663</v>
      </c>
      <c r="I96" s="9" t="n">
        <f aca="false">(parametros_manuales!$D$32*('Plan mensual'!K35+IF(parametros_manuales!$H$32="Todos",'Plan mensual'!K39,0))+parametros_manuales!$E$32*('Plan mensual'!K36+IF(parametros_manuales!$H$32="Todos",'Plan mensual'!K40,0))+parametros_manuales!$F$32*('Plan mensual'!K37+IF(parametros_manuales!$H$32="Todos",'Plan mensual'!K41,0))+parametros_manuales!$G$32*('Plan mensual'!K38+IF(parametros_manuales!$H$32="Todos",'Plan mensual'!K42,0)))*parametros_manuales!$I$32*parametros_manuales!$J$32</f>
        <v>3879.338284663</v>
      </c>
      <c r="J96" s="9" t="n">
        <f aca="false">(parametros_manuales!$D$32*('Plan mensual'!L35+IF(parametros_manuales!$H$32="Todos",'Plan mensual'!L39,0))+parametros_manuales!$E$32*('Plan mensual'!L36+IF(parametros_manuales!$H$32="Todos",'Plan mensual'!L40,0))+parametros_manuales!$F$32*('Plan mensual'!L37+IF(parametros_manuales!$H$32="Todos",'Plan mensual'!L41,0))+parametros_manuales!$G$32*('Plan mensual'!L38+IF(parametros_manuales!$H$32="Todos",'Plan mensual'!L42,0)))*parametros_manuales!$I$32*parametros_manuales!$J$32</f>
        <v>3879.338284663</v>
      </c>
      <c r="K96" s="9" t="n">
        <f aca="false">(parametros_manuales!$D$32*('Plan mensual'!M35+IF(parametros_manuales!$H$32="Todos",'Plan mensual'!M39,0))+parametros_manuales!$E$32*('Plan mensual'!M36+IF(parametros_manuales!$H$32="Todos",'Plan mensual'!M40,0))+parametros_manuales!$F$32*('Plan mensual'!M37+IF(parametros_manuales!$H$32="Todos",'Plan mensual'!M41,0))+parametros_manuales!$G$32*('Plan mensual'!M38+IF(parametros_manuales!$H$32="Todos",'Plan mensual'!M42,0)))*parametros_manuales!$I$32*parametros_manuales!$J$32</f>
        <v>3801.7012147575</v>
      </c>
      <c r="L96" s="9" t="n">
        <f aca="false">(parametros_manuales!$D$32*('Plan mensual'!N35+IF(parametros_manuales!$H$32="Todos",'Plan mensual'!N39,0))+parametros_manuales!$E$32*('Plan mensual'!N36+IF(parametros_manuales!$H$32="Todos",'Plan mensual'!N40,0))+parametros_manuales!$F$32*('Plan mensual'!N37+IF(parametros_manuales!$H$32="Todos",'Plan mensual'!N41,0))+parametros_manuales!$G$32*('Plan mensual'!N38+IF(parametros_manuales!$H$32="Todos",'Plan mensual'!N42,0)))*parametros_manuales!$I$32*parametros_manuales!$J$32</f>
        <v>3724.064144852</v>
      </c>
      <c r="M96" s="9" t="n">
        <f aca="false">(parametros_manuales!$D$32*('Plan mensual'!O35+IF(parametros_manuales!$H$32="Todos",'Plan mensual'!O39,0))+parametros_manuales!$E$32*('Plan mensual'!O36+IF(parametros_manuales!$H$32="Todos",'Plan mensual'!O40,0))+parametros_manuales!$F$32*('Plan mensual'!O37+IF(parametros_manuales!$H$32="Todos",'Plan mensual'!O41,0))+parametros_manuales!$G$32*('Plan mensual'!O38+IF(parametros_manuales!$H$32="Todos",'Plan mensual'!O42,0)))*parametros_manuales!$I$32*parametros_manuales!$J$32</f>
        <v>5927.447803801</v>
      </c>
      <c r="N96" s="9" t="n">
        <f aca="false">SUM(B96:M96)</f>
        <v>50689.3495301</v>
      </c>
      <c r="O96" s="9" t="n">
        <f aca="false">MAX(B96:M96)</f>
        <v>5927.447803801</v>
      </c>
      <c r="P96" s="43" t="n">
        <f aca="false">O96/(parametros_manuales!$B$7)</f>
        <v>39.5163186920067</v>
      </c>
      <c r="Q96" s="8" t="str">
        <f aca="false">IF(O96=0,"-",INDEX($B$82:$M$82,MATCH(O96,B96:M96,0)))</f>
        <v>Dic</v>
      </c>
    </row>
    <row r="97" customFormat="false" ht="14.25" hidden="false" customHeight="true" outlineLevel="0" collapsed="false">
      <c r="A97" s="8" t="str">
        <f aca="false">parametros_manuales!$B$33</f>
        <v>Secado</v>
      </c>
      <c r="B97" s="9" t="n">
        <f aca="false">(parametros_manuales!$D$33*('Plan mensual'!D35+IF(parametros_manuales!$H$33="Todos",'Plan mensual'!D39,0))+parametros_manuales!$E$33*('Plan mensual'!D36+IF(parametros_manuales!$H$33="Todos",'Plan mensual'!D40,0))+parametros_manuales!$F$33*('Plan mensual'!D37+IF(parametros_manuales!$H$33="Todos",'Plan mensual'!D41,0))+parametros_manuales!$G$33*('Plan mensual'!D38+IF(parametros_manuales!$H$33="Todos",'Plan mensual'!D42,0)))*parametros_manuales!$I$33*parametros_manuales!$J$33</f>
        <v>5772.17366399</v>
      </c>
      <c r="C97" s="9" t="n">
        <f aca="false">(parametros_manuales!$D$33*('Plan mensual'!E35+IF(parametros_manuales!$H$33="Todos",'Plan mensual'!E39,0))+parametros_manuales!$E$33*('Plan mensual'!E36+IF(parametros_manuales!$H$33="Todos",'Plan mensual'!E40,0))+parametros_manuales!$F$33*('Plan mensual'!E37+IF(parametros_manuales!$H$33="Todos",'Plan mensual'!E41,0))+parametros_manuales!$G$33*('Plan mensual'!E38+IF(parametros_manuales!$H$33="Todos",'Plan mensual'!E42,0)))*parametros_manuales!$I$33*parametros_manuales!$J$33</f>
        <v>4406.767317898</v>
      </c>
      <c r="D97" s="9" t="n">
        <f aca="false">(parametros_manuales!$D$33*('Plan mensual'!F35+IF(parametros_manuales!$H$33="Todos",'Plan mensual'!F39,0))+parametros_manuales!$E$33*('Plan mensual'!F36+IF(parametros_manuales!$H$33="Todos",'Plan mensual'!F40,0))+parametros_manuales!$F$33*('Plan mensual'!F37+IF(parametros_manuales!$H$33="Todos",'Plan mensual'!F41,0))+parametros_manuales!$G$33*('Plan mensual'!F38+IF(parametros_manuales!$H$33="Todos",'Plan mensual'!F42,0)))*parametros_manuales!$I$33*parametros_manuales!$J$33</f>
        <v>4132.7850323135</v>
      </c>
      <c r="E97" s="9" t="n">
        <f aca="false">(parametros_manuales!$D$33*('Plan mensual'!G35+IF(parametros_manuales!$H$33="Todos",'Plan mensual'!G39,0))+parametros_manuales!$E$33*('Plan mensual'!G36+IF(parametros_manuales!$H$33="Todos",'Plan mensual'!G40,0))+parametros_manuales!$F$33*('Plan mensual'!G37+IF(parametros_manuales!$H$33="Todos",'Plan mensual'!G41,0))+parametros_manuales!$G$33*('Plan mensual'!G38+IF(parametros_manuales!$H$33="Todos",'Plan mensual'!G42,0)))*parametros_manuales!$I$33*parametros_manuales!$J$33</f>
        <v>3956.9753545685</v>
      </c>
      <c r="F97" s="9" t="n">
        <f aca="false">(parametros_manuales!$D$33*('Plan mensual'!H35+IF(parametros_manuales!$H$33="Todos",'Plan mensual'!H39,0))+parametros_manuales!$E$33*('Plan mensual'!H36+IF(parametros_manuales!$H$33="Todos",'Plan mensual'!H40,0))+parametros_manuales!$F$33*('Plan mensual'!H37+IF(parametros_manuales!$H$33="Todos",'Plan mensual'!H41,0))+parametros_manuales!$G$33*('Plan mensual'!H38+IF(parametros_manuales!$H$33="Todos",'Plan mensual'!H42,0)))*parametros_manuales!$I$33*parametros_manuales!$J$33</f>
        <v>3703.528606918</v>
      </c>
      <c r="G97" s="9" t="n">
        <f aca="false">(parametros_manuales!$D$33*('Plan mensual'!I35+IF(parametros_manuales!$H$33="Todos",'Plan mensual'!I39,0))+parametros_manuales!$E$33*('Plan mensual'!I36+IF(parametros_manuales!$H$33="Todos",'Plan mensual'!I40,0))+parametros_manuales!$F$33*('Plan mensual'!I37+IF(parametros_manuales!$H$33="Todos",'Plan mensual'!I41,0))+parametros_manuales!$G$33*('Plan mensual'!I38+IF(parametros_manuales!$H$33="Todos",'Plan mensual'!I42,0)))*parametros_manuales!$I$33*parametros_manuales!$J$33</f>
        <v>3625.8915370125</v>
      </c>
      <c r="H97" s="9" t="n">
        <f aca="false">(parametros_manuales!$D$33*('Plan mensual'!J35+IF(parametros_manuales!$H$33="Todos",'Plan mensual'!J39,0))+parametros_manuales!$E$33*('Plan mensual'!J36+IF(parametros_manuales!$H$33="Todos",'Plan mensual'!J40,0))+parametros_manuales!$F$33*('Plan mensual'!J37+IF(parametros_manuales!$H$33="Todos",'Plan mensual'!J41,0))+parametros_manuales!$G$33*('Plan mensual'!J38+IF(parametros_manuales!$H$33="Todos",'Plan mensual'!J42,0)))*parametros_manuales!$I$33*parametros_manuales!$J$33</f>
        <v>3879.338284663</v>
      </c>
      <c r="I97" s="9" t="n">
        <f aca="false">(parametros_manuales!$D$33*('Plan mensual'!K35+IF(parametros_manuales!$H$33="Todos",'Plan mensual'!K39,0))+parametros_manuales!$E$33*('Plan mensual'!K36+IF(parametros_manuales!$H$33="Todos",'Plan mensual'!K40,0))+parametros_manuales!$F$33*('Plan mensual'!K37+IF(parametros_manuales!$H$33="Todos",'Plan mensual'!K41,0))+parametros_manuales!$G$33*('Plan mensual'!K38+IF(parametros_manuales!$H$33="Todos",'Plan mensual'!K42,0)))*parametros_manuales!$I$33*parametros_manuales!$J$33</f>
        <v>3879.338284663</v>
      </c>
      <c r="J97" s="9" t="n">
        <f aca="false">(parametros_manuales!$D$33*('Plan mensual'!L35+IF(parametros_manuales!$H$33="Todos",'Plan mensual'!L39,0))+parametros_manuales!$E$33*('Plan mensual'!L36+IF(parametros_manuales!$H$33="Todos",'Plan mensual'!L40,0))+parametros_manuales!$F$33*('Plan mensual'!L37+IF(parametros_manuales!$H$33="Todos",'Plan mensual'!L41,0))+parametros_manuales!$G$33*('Plan mensual'!L38+IF(parametros_manuales!$H$33="Todos",'Plan mensual'!L42,0)))*parametros_manuales!$I$33*parametros_manuales!$J$33</f>
        <v>3879.338284663</v>
      </c>
      <c r="K97" s="9" t="n">
        <f aca="false">(parametros_manuales!$D$33*('Plan mensual'!M35+IF(parametros_manuales!$H$33="Todos",'Plan mensual'!M39,0))+parametros_manuales!$E$33*('Plan mensual'!M36+IF(parametros_manuales!$H$33="Todos",'Plan mensual'!M40,0))+parametros_manuales!$F$33*('Plan mensual'!M37+IF(parametros_manuales!$H$33="Todos",'Plan mensual'!M41,0))+parametros_manuales!$G$33*('Plan mensual'!M38+IF(parametros_manuales!$H$33="Todos",'Plan mensual'!M42,0)))*parametros_manuales!$I$33*parametros_manuales!$J$33</f>
        <v>3801.7012147575</v>
      </c>
      <c r="L97" s="9" t="n">
        <f aca="false">(parametros_manuales!$D$33*('Plan mensual'!N35+IF(parametros_manuales!$H$33="Todos",'Plan mensual'!N39,0))+parametros_manuales!$E$33*('Plan mensual'!N36+IF(parametros_manuales!$H$33="Todos",'Plan mensual'!N40,0))+parametros_manuales!$F$33*('Plan mensual'!N37+IF(parametros_manuales!$H$33="Todos",'Plan mensual'!N41,0))+parametros_manuales!$G$33*('Plan mensual'!N38+IF(parametros_manuales!$H$33="Todos",'Plan mensual'!N42,0)))*parametros_manuales!$I$33*parametros_manuales!$J$33</f>
        <v>3724.064144852</v>
      </c>
      <c r="M97" s="9" t="n">
        <f aca="false">(parametros_manuales!$D$33*('Plan mensual'!O35+IF(parametros_manuales!$H$33="Todos",'Plan mensual'!O39,0))+parametros_manuales!$E$33*('Plan mensual'!O36+IF(parametros_manuales!$H$33="Todos",'Plan mensual'!O40,0))+parametros_manuales!$F$33*('Plan mensual'!O37+IF(parametros_manuales!$H$33="Todos",'Plan mensual'!O41,0))+parametros_manuales!$G$33*('Plan mensual'!O38+IF(parametros_manuales!$H$33="Todos",'Plan mensual'!O42,0)))*parametros_manuales!$I$33*parametros_manuales!$J$33</f>
        <v>5927.447803801</v>
      </c>
      <c r="N97" s="9" t="n">
        <f aca="false">SUM(B97:M97)</f>
        <v>50689.3495301</v>
      </c>
      <c r="O97" s="9" t="n">
        <f aca="false">MAX(B97:M97)</f>
        <v>5927.447803801</v>
      </c>
      <c r="P97" s="43" t="n">
        <f aca="false">O97/(parametros_manuales!$B$7)</f>
        <v>39.5163186920067</v>
      </c>
      <c r="Q97" s="8" t="str">
        <f aca="false">IF(O97=0,"-",INDEX($B$82:$M$82,MATCH(O97,B97:M97,0)))</f>
        <v>Dic</v>
      </c>
    </row>
    <row r="98" customFormat="false" ht="14.25" hidden="false" customHeight="true" outlineLevel="0" collapsed="false">
      <c r="A98" s="8" t="str">
        <f aca="false">parametros_manuales!$B$34</f>
        <v>Granallado</v>
      </c>
      <c r="B98" s="9" t="n">
        <f aca="false">(parametros_manuales!$D$34*('Plan mensual'!D35+IF(parametros_manuales!$H$34="Todos",'Plan mensual'!D39,0))+parametros_manuales!$E$34*('Plan mensual'!D36+IF(parametros_manuales!$H$34="Todos",'Plan mensual'!D40,0))+parametros_manuales!$F$34*('Plan mensual'!D37+IF(parametros_manuales!$H$34="Todos",'Plan mensual'!D41,0))+parametros_manuales!$G$34*('Plan mensual'!D38+IF(parametros_manuales!$H$34="Todos",'Plan mensual'!D42,0)))*parametros_manuales!$I$34*parametros_manuales!$J$34</f>
        <v>5772.17366399</v>
      </c>
      <c r="C98" s="9" t="n">
        <f aca="false">(parametros_manuales!$D$34*('Plan mensual'!E35+IF(parametros_manuales!$H$34="Todos",'Plan mensual'!E39,0))+parametros_manuales!$E$34*('Plan mensual'!E36+IF(parametros_manuales!$H$34="Todos",'Plan mensual'!E40,0))+parametros_manuales!$F$34*('Plan mensual'!E37+IF(parametros_manuales!$H$34="Todos",'Plan mensual'!E41,0))+parametros_manuales!$G$34*('Plan mensual'!E38+IF(parametros_manuales!$H$34="Todos",'Plan mensual'!E42,0)))*parametros_manuales!$I$34*parametros_manuales!$J$34</f>
        <v>4406.767317898</v>
      </c>
      <c r="D98" s="9" t="n">
        <f aca="false">(parametros_manuales!$D$34*('Plan mensual'!F35+IF(parametros_manuales!$H$34="Todos",'Plan mensual'!F39,0))+parametros_manuales!$E$34*('Plan mensual'!F36+IF(parametros_manuales!$H$34="Todos",'Plan mensual'!F40,0))+parametros_manuales!$F$34*('Plan mensual'!F37+IF(parametros_manuales!$H$34="Todos",'Plan mensual'!F41,0))+parametros_manuales!$G$34*('Plan mensual'!F38+IF(parametros_manuales!$H$34="Todos",'Plan mensual'!F42,0)))*parametros_manuales!$I$34*parametros_manuales!$J$34</f>
        <v>4132.7850323135</v>
      </c>
      <c r="E98" s="9" t="n">
        <f aca="false">(parametros_manuales!$D$34*('Plan mensual'!G35+IF(parametros_manuales!$H$34="Todos",'Plan mensual'!G39,0))+parametros_manuales!$E$34*('Plan mensual'!G36+IF(parametros_manuales!$H$34="Todos",'Plan mensual'!G40,0))+parametros_manuales!$F$34*('Plan mensual'!G37+IF(parametros_manuales!$H$34="Todos",'Plan mensual'!G41,0))+parametros_manuales!$G$34*('Plan mensual'!G38+IF(parametros_manuales!$H$34="Todos",'Plan mensual'!G42,0)))*parametros_manuales!$I$34*parametros_manuales!$J$34</f>
        <v>3956.9753545685</v>
      </c>
      <c r="F98" s="9" t="n">
        <f aca="false">(parametros_manuales!$D$34*('Plan mensual'!H35+IF(parametros_manuales!$H$34="Todos",'Plan mensual'!H39,0))+parametros_manuales!$E$34*('Plan mensual'!H36+IF(parametros_manuales!$H$34="Todos",'Plan mensual'!H40,0))+parametros_manuales!$F$34*('Plan mensual'!H37+IF(parametros_manuales!$H$34="Todos",'Plan mensual'!H41,0))+parametros_manuales!$G$34*('Plan mensual'!H38+IF(parametros_manuales!$H$34="Todos",'Plan mensual'!H42,0)))*parametros_manuales!$I$34*parametros_manuales!$J$34</f>
        <v>3703.528606918</v>
      </c>
      <c r="G98" s="9" t="n">
        <f aca="false">(parametros_manuales!$D$34*('Plan mensual'!I35+IF(parametros_manuales!$H$34="Todos",'Plan mensual'!I39,0))+parametros_manuales!$E$34*('Plan mensual'!I36+IF(parametros_manuales!$H$34="Todos",'Plan mensual'!I40,0))+parametros_manuales!$F$34*('Plan mensual'!I37+IF(parametros_manuales!$H$34="Todos",'Plan mensual'!I41,0))+parametros_manuales!$G$34*('Plan mensual'!I38+IF(parametros_manuales!$H$34="Todos",'Plan mensual'!I42,0)))*parametros_manuales!$I$34*parametros_manuales!$J$34</f>
        <v>3625.8915370125</v>
      </c>
      <c r="H98" s="9" t="n">
        <f aca="false">(parametros_manuales!$D$34*('Plan mensual'!J35+IF(parametros_manuales!$H$34="Todos",'Plan mensual'!J39,0))+parametros_manuales!$E$34*('Plan mensual'!J36+IF(parametros_manuales!$H$34="Todos",'Plan mensual'!J40,0))+parametros_manuales!$F$34*('Plan mensual'!J37+IF(parametros_manuales!$H$34="Todos",'Plan mensual'!J41,0))+parametros_manuales!$G$34*('Plan mensual'!J38+IF(parametros_manuales!$H$34="Todos",'Plan mensual'!J42,0)))*parametros_manuales!$I$34*parametros_manuales!$J$34</f>
        <v>3879.338284663</v>
      </c>
      <c r="I98" s="9" t="n">
        <f aca="false">(parametros_manuales!$D$34*('Plan mensual'!K35+IF(parametros_manuales!$H$34="Todos",'Plan mensual'!K39,0))+parametros_manuales!$E$34*('Plan mensual'!K36+IF(parametros_manuales!$H$34="Todos",'Plan mensual'!K40,0))+parametros_manuales!$F$34*('Plan mensual'!K37+IF(parametros_manuales!$H$34="Todos",'Plan mensual'!K41,0))+parametros_manuales!$G$34*('Plan mensual'!K38+IF(parametros_manuales!$H$34="Todos",'Plan mensual'!K42,0)))*parametros_manuales!$I$34*parametros_manuales!$J$34</f>
        <v>3879.338284663</v>
      </c>
      <c r="J98" s="9" t="n">
        <f aca="false">(parametros_manuales!$D$34*('Plan mensual'!L35+IF(parametros_manuales!$H$34="Todos",'Plan mensual'!L39,0))+parametros_manuales!$E$34*('Plan mensual'!L36+IF(parametros_manuales!$H$34="Todos",'Plan mensual'!L40,0))+parametros_manuales!$F$34*('Plan mensual'!L37+IF(parametros_manuales!$H$34="Todos",'Plan mensual'!L41,0))+parametros_manuales!$G$34*('Plan mensual'!L38+IF(parametros_manuales!$H$34="Todos",'Plan mensual'!L42,0)))*parametros_manuales!$I$34*parametros_manuales!$J$34</f>
        <v>3879.338284663</v>
      </c>
      <c r="K98" s="9" t="n">
        <f aca="false">(parametros_manuales!$D$34*('Plan mensual'!M35+IF(parametros_manuales!$H$34="Todos",'Plan mensual'!M39,0))+parametros_manuales!$E$34*('Plan mensual'!M36+IF(parametros_manuales!$H$34="Todos",'Plan mensual'!M40,0))+parametros_manuales!$F$34*('Plan mensual'!M37+IF(parametros_manuales!$H$34="Todos",'Plan mensual'!M41,0))+parametros_manuales!$G$34*('Plan mensual'!M38+IF(parametros_manuales!$H$34="Todos",'Plan mensual'!M42,0)))*parametros_manuales!$I$34*parametros_manuales!$J$34</f>
        <v>3801.7012147575</v>
      </c>
      <c r="L98" s="9" t="n">
        <f aca="false">(parametros_manuales!$D$34*('Plan mensual'!N35+IF(parametros_manuales!$H$34="Todos",'Plan mensual'!N39,0))+parametros_manuales!$E$34*('Plan mensual'!N36+IF(parametros_manuales!$H$34="Todos",'Plan mensual'!N40,0))+parametros_manuales!$F$34*('Plan mensual'!N37+IF(parametros_manuales!$H$34="Todos",'Plan mensual'!N41,0))+parametros_manuales!$G$34*('Plan mensual'!N38+IF(parametros_manuales!$H$34="Todos",'Plan mensual'!N42,0)))*parametros_manuales!$I$34*parametros_manuales!$J$34</f>
        <v>3724.064144852</v>
      </c>
      <c r="M98" s="9" t="n">
        <f aca="false">(parametros_manuales!$D$34*('Plan mensual'!O35+IF(parametros_manuales!$H$34="Todos",'Plan mensual'!O39,0))+parametros_manuales!$E$34*('Plan mensual'!O36+IF(parametros_manuales!$H$34="Todos",'Plan mensual'!O40,0))+parametros_manuales!$F$34*('Plan mensual'!O37+IF(parametros_manuales!$H$34="Todos",'Plan mensual'!O41,0))+parametros_manuales!$G$34*('Plan mensual'!O38+IF(parametros_manuales!$H$34="Todos",'Plan mensual'!O42,0)))*parametros_manuales!$I$34*parametros_manuales!$J$34</f>
        <v>5927.447803801</v>
      </c>
      <c r="N98" s="9" t="n">
        <f aca="false">SUM(B98:M98)</f>
        <v>50689.3495301</v>
      </c>
      <c r="O98" s="9" t="n">
        <f aca="false">MAX(B98:M98)</f>
        <v>5927.447803801</v>
      </c>
      <c r="P98" s="43" t="n">
        <f aca="false">O98/(parametros_manuales!$B$7)</f>
        <v>39.5163186920067</v>
      </c>
      <c r="Q98" s="8" t="str">
        <f aca="false">IF(O98=0,"-",INDEX($B$82:$M$82,MATCH(O98,B98:M98,0)))</f>
        <v>Dic</v>
      </c>
    </row>
    <row r="99" customFormat="false" ht="14.25" hidden="false" customHeight="true" outlineLevel="0" collapsed="false">
      <c r="A99" s="8" t="str">
        <f aca="false">parametros_manuales!$B$35</f>
        <v>Detección de defectos</v>
      </c>
      <c r="B99" s="9" t="n">
        <f aca="false">(parametros_manuales!$D$35*('Plan mensual'!D35+IF(parametros_manuales!$H$35="Todos",'Plan mensual'!D39,0))+parametros_manuales!$E$35*('Plan mensual'!D36+IF(parametros_manuales!$H$35="Todos",'Plan mensual'!D40,0))+parametros_manuales!$F$35*('Plan mensual'!D37+IF(parametros_manuales!$H$35="Todos",'Plan mensual'!D41,0))+parametros_manuales!$G$35*('Plan mensual'!D38+IF(parametros_manuales!$H$35="Todos",'Plan mensual'!D42,0)))*parametros_manuales!$I$35*parametros_manuales!$J$35</f>
        <v>5772.17366399</v>
      </c>
      <c r="C99" s="9" t="n">
        <f aca="false">(parametros_manuales!$D$35*('Plan mensual'!E35+IF(parametros_manuales!$H$35="Todos",'Plan mensual'!E39,0))+parametros_manuales!$E$35*('Plan mensual'!E36+IF(parametros_manuales!$H$35="Todos",'Plan mensual'!E40,0))+parametros_manuales!$F$35*('Plan mensual'!E37+IF(parametros_manuales!$H$35="Todos",'Plan mensual'!E41,0))+parametros_manuales!$G$35*('Plan mensual'!E38+IF(parametros_manuales!$H$35="Todos",'Plan mensual'!E42,0)))*parametros_manuales!$I$35*parametros_manuales!$J$35</f>
        <v>4406.767317898</v>
      </c>
      <c r="D99" s="9" t="n">
        <f aca="false">(parametros_manuales!$D$35*('Plan mensual'!F35+IF(parametros_manuales!$H$35="Todos",'Plan mensual'!F39,0))+parametros_manuales!$E$35*('Plan mensual'!F36+IF(parametros_manuales!$H$35="Todos",'Plan mensual'!F40,0))+parametros_manuales!$F$35*('Plan mensual'!F37+IF(parametros_manuales!$H$35="Todos",'Plan mensual'!F41,0))+parametros_manuales!$G$35*('Plan mensual'!F38+IF(parametros_manuales!$H$35="Todos",'Plan mensual'!F42,0)))*parametros_manuales!$I$35*parametros_manuales!$J$35</f>
        <v>4132.7850323135</v>
      </c>
      <c r="E99" s="9" t="n">
        <f aca="false">(parametros_manuales!$D$35*('Plan mensual'!G35+IF(parametros_manuales!$H$35="Todos",'Plan mensual'!G39,0))+parametros_manuales!$E$35*('Plan mensual'!G36+IF(parametros_manuales!$H$35="Todos",'Plan mensual'!G40,0))+parametros_manuales!$F$35*('Plan mensual'!G37+IF(parametros_manuales!$H$35="Todos",'Plan mensual'!G41,0))+parametros_manuales!$G$35*('Plan mensual'!G38+IF(parametros_manuales!$H$35="Todos",'Plan mensual'!G42,0)))*parametros_manuales!$I$35*parametros_manuales!$J$35</f>
        <v>3956.9753545685</v>
      </c>
      <c r="F99" s="9" t="n">
        <f aca="false">(parametros_manuales!$D$35*('Plan mensual'!H35+IF(parametros_manuales!$H$35="Todos",'Plan mensual'!H39,0))+parametros_manuales!$E$35*('Plan mensual'!H36+IF(parametros_manuales!$H$35="Todos",'Plan mensual'!H40,0))+parametros_manuales!$F$35*('Plan mensual'!H37+IF(parametros_manuales!$H$35="Todos",'Plan mensual'!H41,0))+parametros_manuales!$G$35*('Plan mensual'!H38+IF(parametros_manuales!$H$35="Todos",'Plan mensual'!H42,0)))*parametros_manuales!$I$35*parametros_manuales!$J$35</f>
        <v>3703.528606918</v>
      </c>
      <c r="G99" s="9" t="n">
        <f aca="false">(parametros_manuales!$D$35*('Plan mensual'!I35+IF(parametros_manuales!$H$35="Todos",'Plan mensual'!I39,0))+parametros_manuales!$E$35*('Plan mensual'!I36+IF(parametros_manuales!$H$35="Todos",'Plan mensual'!I40,0))+parametros_manuales!$F$35*('Plan mensual'!I37+IF(parametros_manuales!$H$35="Todos",'Plan mensual'!I41,0))+parametros_manuales!$G$35*('Plan mensual'!I38+IF(parametros_manuales!$H$35="Todos",'Plan mensual'!I42,0)))*parametros_manuales!$I$35*parametros_manuales!$J$35</f>
        <v>3625.8915370125</v>
      </c>
      <c r="H99" s="9" t="n">
        <f aca="false">(parametros_manuales!$D$35*('Plan mensual'!J35+IF(parametros_manuales!$H$35="Todos",'Plan mensual'!J39,0))+parametros_manuales!$E$35*('Plan mensual'!J36+IF(parametros_manuales!$H$35="Todos",'Plan mensual'!J40,0))+parametros_manuales!$F$35*('Plan mensual'!J37+IF(parametros_manuales!$H$35="Todos",'Plan mensual'!J41,0))+parametros_manuales!$G$35*('Plan mensual'!J38+IF(parametros_manuales!$H$35="Todos",'Plan mensual'!J42,0)))*parametros_manuales!$I$35*parametros_manuales!$J$35</f>
        <v>3879.338284663</v>
      </c>
      <c r="I99" s="9" t="n">
        <f aca="false">(parametros_manuales!$D$35*('Plan mensual'!K35+IF(parametros_manuales!$H$35="Todos",'Plan mensual'!K39,0))+parametros_manuales!$E$35*('Plan mensual'!K36+IF(parametros_manuales!$H$35="Todos",'Plan mensual'!K40,0))+parametros_manuales!$F$35*('Plan mensual'!K37+IF(parametros_manuales!$H$35="Todos",'Plan mensual'!K41,0))+parametros_manuales!$G$35*('Plan mensual'!K38+IF(parametros_manuales!$H$35="Todos",'Plan mensual'!K42,0)))*parametros_manuales!$I$35*parametros_manuales!$J$35</f>
        <v>3879.338284663</v>
      </c>
      <c r="J99" s="9" t="n">
        <f aca="false">(parametros_manuales!$D$35*('Plan mensual'!L35+IF(parametros_manuales!$H$35="Todos",'Plan mensual'!L39,0))+parametros_manuales!$E$35*('Plan mensual'!L36+IF(parametros_manuales!$H$35="Todos",'Plan mensual'!L40,0))+parametros_manuales!$F$35*('Plan mensual'!L37+IF(parametros_manuales!$H$35="Todos",'Plan mensual'!L41,0))+parametros_manuales!$G$35*('Plan mensual'!L38+IF(parametros_manuales!$H$35="Todos",'Plan mensual'!L42,0)))*parametros_manuales!$I$35*parametros_manuales!$J$35</f>
        <v>3879.338284663</v>
      </c>
      <c r="K99" s="9" t="n">
        <f aca="false">(parametros_manuales!$D$35*('Plan mensual'!M35+IF(parametros_manuales!$H$35="Todos",'Plan mensual'!M39,0))+parametros_manuales!$E$35*('Plan mensual'!M36+IF(parametros_manuales!$H$35="Todos",'Plan mensual'!M40,0))+parametros_manuales!$F$35*('Plan mensual'!M37+IF(parametros_manuales!$H$35="Todos",'Plan mensual'!M41,0))+parametros_manuales!$G$35*('Plan mensual'!M38+IF(parametros_manuales!$H$35="Todos",'Plan mensual'!M42,0)))*parametros_manuales!$I$35*parametros_manuales!$J$35</f>
        <v>3801.7012147575</v>
      </c>
      <c r="L99" s="9" t="n">
        <f aca="false">(parametros_manuales!$D$35*('Plan mensual'!N35+IF(parametros_manuales!$H$35="Todos",'Plan mensual'!N39,0))+parametros_manuales!$E$35*('Plan mensual'!N36+IF(parametros_manuales!$H$35="Todos",'Plan mensual'!N40,0))+parametros_manuales!$F$35*('Plan mensual'!N37+IF(parametros_manuales!$H$35="Todos",'Plan mensual'!N41,0))+parametros_manuales!$G$35*('Plan mensual'!N38+IF(parametros_manuales!$H$35="Todos",'Plan mensual'!N42,0)))*parametros_manuales!$I$35*parametros_manuales!$J$35</f>
        <v>3724.064144852</v>
      </c>
      <c r="M99" s="9" t="n">
        <f aca="false">(parametros_manuales!$D$35*('Plan mensual'!O35+IF(parametros_manuales!$H$35="Todos",'Plan mensual'!O39,0))+parametros_manuales!$E$35*('Plan mensual'!O36+IF(parametros_manuales!$H$35="Todos",'Plan mensual'!O40,0))+parametros_manuales!$F$35*('Plan mensual'!O37+IF(parametros_manuales!$H$35="Todos",'Plan mensual'!O41,0))+parametros_manuales!$G$35*('Plan mensual'!O38+IF(parametros_manuales!$H$35="Todos",'Plan mensual'!O42,0)))*parametros_manuales!$I$35*parametros_manuales!$J$35</f>
        <v>5927.447803801</v>
      </c>
      <c r="N99" s="9" t="n">
        <f aca="false">SUM(B99:M99)</f>
        <v>50689.3495301</v>
      </c>
      <c r="O99" s="9" t="n">
        <f aca="false">MAX(B99:M99)</f>
        <v>5927.447803801</v>
      </c>
      <c r="P99" s="43" t="n">
        <f aca="false">O99/(parametros_manuales!$B$7)</f>
        <v>39.5163186920067</v>
      </c>
      <c r="Q99" s="8" t="str">
        <f aca="false">IF(O99=0,"-",INDEX($B$82:$M$82,MATCH(O99,B99:M99,0)))</f>
        <v>Dic</v>
      </c>
    </row>
    <row r="100" customFormat="false" ht="14.25" hidden="false" customHeight="true" outlineLevel="0" collapsed="false">
      <c r="A100" s="8" t="str">
        <f aca="false">parametros_manuales!$B$36</f>
        <v>Corrección de defectos</v>
      </c>
      <c r="B100" s="9" t="n">
        <f aca="false">(parametros_manuales!$D$36*('Plan mensual'!D35+IF(parametros_manuales!$H$36="Todos",'Plan mensual'!D39,0))+parametros_manuales!$E$36*('Plan mensual'!D36+IF(parametros_manuales!$H$36="Todos",'Plan mensual'!D40,0))+parametros_manuales!$F$36*('Plan mensual'!D37+IF(parametros_manuales!$H$36="Todos",'Plan mensual'!D41,0))+parametros_manuales!$G$36*('Plan mensual'!D38+IF(parametros_manuales!$H$36="Todos",'Plan mensual'!D42,0)))*parametros_manuales!$I$36*parametros_manuales!$J$36</f>
        <v>288.6086831995</v>
      </c>
      <c r="C100" s="9" t="n">
        <f aca="false">(parametros_manuales!$D$36*('Plan mensual'!E35+IF(parametros_manuales!$H$36="Todos",'Plan mensual'!E39,0))+parametros_manuales!$E$36*('Plan mensual'!E36+IF(parametros_manuales!$H$36="Todos",'Plan mensual'!E40,0))+parametros_manuales!$F$36*('Plan mensual'!E37+IF(parametros_manuales!$H$36="Todos",'Plan mensual'!E41,0))+parametros_manuales!$G$36*('Plan mensual'!E38+IF(parametros_manuales!$H$36="Todos",'Plan mensual'!E42,0)))*parametros_manuales!$I$36*parametros_manuales!$J$36</f>
        <v>220.3383658949</v>
      </c>
      <c r="D100" s="9" t="n">
        <f aca="false">(parametros_manuales!$D$36*('Plan mensual'!F35+IF(parametros_manuales!$H$36="Todos",'Plan mensual'!F39,0))+parametros_manuales!$E$36*('Plan mensual'!F36+IF(parametros_manuales!$H$36="Todos",'Plan mensual'!F40,0))+parametros_manuales!$F$36*('Plan mensual'!F37+IF(parametros_manuales!$H$36="Todos",'Plan mensual'!F41,0))+parametros_manuales!$G$36*('Plan mensual'!F38+IF(parametros_manuales!$H$36="Todos",'Plan mensual'!F42,0)))*parametros_manuales!$I$36*parametros_manuales!$J$36</f>
        <v>206.639251615675</v>
      </c>
      <c r="E100" s="9" t="n">
        <f aca="false">(parametros_manuales!$D$36*('Plan mensual'!G35+IF(parametros_manuales!$H$36="Todos",'Plan mensual'!G39,0))+parametros_manuales!$E$36*('Plan mensual'!G36+IF(parametros_manuales!$H$36="Todos",'Plan mensual'!G40,0))+parametros_manuales!$F$36*('Plan mensual'!G37+IF(parametros_manuales!$H$36="Todos",'Plan mensual'!G41,0))+parametros_manuales!$G$36*('Plan mensual'!G38+IF(parametros_manuales!$H$36="Todos",'Plan mensual'!G42,0)))*parametros_manuales!$I$36*parametros_manuales!$J$36</f>
        <v>197.848767728425</v>
      </c>
      <c r="F100" s="9" t="n">
        <f aca="false">(parametros_manuales!$D$36*('Plan mensual'!H35+IF(parametros_manuales!$H$36="Todos",'Plan mensual'!H39,0))+parametros_manuales!$E$36*('Plan mensual'!H36+IF(parametros_manuales!$H$36="Todos",'Plan mensual'!H40,0))+parametros_manuales!$F$36*('Plan mensual'!H37+IF(parametros_manuales!$H$36="Todos",'Plan mensual'!H41,0))+parametros_manuales!$G$36*('Plan mensual'!H38+IF(parametros_manuales!$H$36="Todos",'Plan mensual'!H42,0)))*parametros_manuales!$I$36*parametros_manuales!$J$36</f>
        <v>185.1764303459</v>
      </c>
      <c r="G100" s="9" t="n">
        <f aca="false">(parametros_manuales!$D$36*('Plan mensual'!I35+IF(parametros_manuales!$H$36="Todos",'Plan mensual'!I39,0))+parametros_manuales!$E$36*('Plan mensual'!I36+IF(parametros_manuales!$H$36="Todos",'Plan mensual'!I40,0))+parametros_manuales!$F$36*('Plan mensual'!I37+IF(parametros_manuales!$H$36="Todos",'Plan mensual'!I41,0))+parametros_manuales!$G$36*('Plan mensual'!I38+IF(parametros_manuales!$H$36="Todos",'Plan mensual'!I42,0)))*parametros_manuales!$I$36*parametros_manuales!$J$36</f>
        <v>181.294576850625</v>
      </c>
      <c r="H100" s="9" t="n">
        <f aca="false">(parametros_manuales!$D$36*('Plan mensual'!J35+IF(parametros_manuales!$H$36="Todos",'Plan mensual'!J39,0))+parametros_manuales!$E$36*('Plan mensual'!J36+IF(parametros_manuales!$H$36="Todos",'Plan mensual'!J40,0))+parametros_manuales!$F$36*('Plan mensual'!J37+IF(parametros_manuales!$H$36="Todos",'Plan mensual'!J41,0))+parametros_manuales!$G$36*('Plan mensual'!J38+IF(parametros_manuales!$H$36="Todos",'Plan mensual'!J42,0)))*parametros_manuales!$I$36*parametros_manuales!$J$36</f>
        <v>193.96691423315</v>
      </c>
      <c r="I100" s="9" t="n">
        <f aca="false">(parametros_manuales!$D$36*('Plan mensual'!K35+IF(parametros_manuales!$H$36="Todos",'Plan mensual'!K39,0))+parametros_manuales!$E$36*('Plan mensual'!K36+IF(parametros_manuales!$H$36="Todos",'Plan mensual'!K40,0))+parametros_manuales!$F$36*('Plan mensual'!K37+IF(parametros_manuales!$H$36="Todos",'Plan mensual'!K41,0))+parametros_manuales!$G$36*('Plan mensual'!K38+IF(parametros_manuales!$H$36="Todos",'Plan mensual'!K42,0)))*parametros_manuales!$I$36*parametros_manuales!$J$36</f>
        <v>193.96691423315</v>
      </c>
      <c r="J100" s="9" t="n">
        <f aca="false">(parametros_manuales!$D$36*('Plan mensual'!L35+IF(parametros_manuales!$H$36="Todos",'Plan mensual'!L39,0))+parametros_manuales!$E$36*('Plan mensual'!L36+IF(parametros_manuales!$H$36="Todos",'Plan mensual'!L40,0))+parametros_manuales!$F$36*('Plan mensual'!L37+IF(parametros_manuales!$H$36="Todos",'Plan mensual'!L41,0))+parametros_manuales!$G$36*('Plan mensual'!L38+IF(parametros_manuales!$H$36="Todos",'Plan mensual'!L42,0)))*parametros_manuales!$I$36*parametros_manuales!$J$36</f>
        <v>193.96691423315</v>
      </c>
      <c r="K100" s="9" t="n">
        <f aca="false">(parametros_manuales!$D$36*('Plan mensual'!M35+IF(parametros_manuales!$H$36="Todos",'Plan mensual'!M39,0))+parametros_manuales!$E$36*('Plan mensual'!M36+IF(parametros_manuales!$H$36="Todos",'Plan mensual'!M40,0))+parametros_manuales!$F$36*('Plan mensual'!M37+IF(parametros_manuales!$H$36="Todos",'Plan mensual'!M41,0))+parametros_manuales!$G$36*('Plan mensual'!M38+IF(parametros_manuales!$H$36="Todos",'Plan mensual'!M42,0)))*parametros_manuales!$I$36*parametros_manuales!$J$36</f>
        <v>190.085060737875</v>
      </c>
      <c r="L100" s="9" t="n">
        <f aca="false">(parametros_manuales!$D$36*('Plan mensual'!N35+IF(parametros_manuales!$H$36="Todos",'Plan mensual'!N39,0))+parametros_manuales!$E$36*('Plan mensual'!N36+IF(parametros_manuales!$H$36="Todos",'Plan mensual'!N40,0))+parametros_manuales!$F$36*('Plan mensual'!N37+IF(parametros_manuales!$H$36="Todos",'Plan mensual'!N41,0))+parametros_manuales!$G$36*('Plan mensual'!N38+IF(parametros_manuales!$H$36="Todos",'Plan mensual'!N42,0)))*parametros_manuales!$I$36*parametros_manuales!$J$36</f>
        <v>186.2032072426</v>
      </c>
      <c r="M100" s="9" t="n">
        <f aca="false">(parametros_manuales!$D$36*('Plan mensual'!O35+IF(parametros_manuales!$H$36="Todos",'Plan mensual'!O39,0))+parametros_manuales!$E$36*('Plan mensual'!O36+IF(parametros_manuales!$H$36="Todos",'Plan mensual'!O40,0))+parametros_manuales!$F$36*('Plan mensual'!O37+IF(parametros_manuales!$H$36="Todos",'Plan mensual'!O41,0))+parametros_manuales!$G$36*('Plan mensual'!O38+IF(parametros_manuales!$H$36="Todos",'Plan mensual'!O42,0)))*parametros_manuales!$I$36*parametros_manuales!$J$36</f>
        <v>296.37239019005</v>
      </c>
      <c r="N100" s="9" t="n">
        <f aca="false">SUM(B100:M100)</f>
        <v>2534.467476505</v>
      </c>
      <c r="O100" s="9" t="n">
        <f aca="false">MAX(B100:M100)</f>
        <v>296.37239019005</v>
      </c>
      <c r="P100" s="43" t="n">
        <f aca="false">O100/(parametros_manuales!$B$7)</f>
        <v>1.97581593460033</v>
      </c>
      <c r="Q100" s="8" t="str">
        <f aca="false">IF(O100=0,"-",INDEX($B$82:$M$82,MATCH(O100,B100:M100,0)))</f>
        <v>Dic</v>
      </c>
    </row>
    <row r="101" customFormat="false" ht="14.25" hidden="false" customHeight="true" outlineLevel="0" collapsed="false">
      <c r="A101" s="8" t="str">
        <f aca="false">parametros_manuales!$B$37</f>
        <v>Pintura en polvo + horno</v>
      </c>
      <c r="B101" s="9" t="n">
        <f aca="false">(parametros_manuales!$D$37*('Plan mensual'!D35+IF(parametros_manuales!$H$37="Todos",'Plan mensual'!D39,0))+parametros_manuales!$E$37*('Plan mensual'!D36+IF(parametros_manuales!$H$37="Todos",'Plan mensual'!D40,0))+parametros_manuales!$F$37*('Plan mensual'!D37+IF(parametros_manuales!$H$37="Todos",'Plan mensual'!D41,0))+parametros_manuales!$G$37*('Plan mensual'!D38+IF(parametros_manuales!$H$37="Todos",'Plan mensual'!D42,0)))*parametros_manuales!$I$37*parametros_manuales!$J$37</f>
        <v>5772.17366399</v>
      </c>
      <c r="C101" s="9" t="n">
        <f aca="false">(parametros_manuales!$D$37*('Plan mensual'!E35+IF(parametros_manuales!$H$37="Todos",'Plan mensual'!E39,0))+parametros_manuales!$E$37*('Plan mensual'!E36+IF(parametros_manuales!$H$37="Todos",'Plan mensual'!E40,0))+parametros_manuales!$F$37*('Plan mensual'!E37+IF(parametros_manuales!$H$37="Todos",'Plan mensual'!E41,0))+parametros_manuales!$G$37*('Plan mensual'!E38+IF(parametros_manuales!$H$37="Todos",'Plan mensual'!E42,0)))*parametros_manuales!$I$37*parametros_manuales!$J$37</f>
        <v>4406.767317898</v>
      </c>
      <c r="D101" s="9" t="n">
        <f aca="false">(parametros_manuales!$D$37*('Plan mensual'!F35+IF(parametros_manuales!$H$37="Todos",'Plan mensual'!F39,0))+parametros_manuales!$E$37*('Plan mensual'!F36+IF(parametros_manuales!$H$37="Todos",'Plan mensual'!F40,0))+parametros_manuales!$F$37*('Plan mensual'!F37+IF(parametros_manuales!$H$37="Todos",'Plan mensual'!F41,0))+parametros_manuales!$G$37*('Plan mensual'!F38+IF(parametros_manuales!$H$37="Todos",'Plan mensual'!F42,0)))*parametros_manuales!$I$37*parametros_manuales!$J$37</f>
        <v>4132.7850323135</v>
      </c>
      <c r="E101" s="9" t="n">
        <f aca="false">(parametros_manuales!$D$37*('Plan mensual'!G35+IF(parametros_manuales!$H$37="Todos",'Plan mensual'!G39,0))+parametros_manuales!$E$37*('Plan mensual'!G36+IF(parametros_manuales!$H$37="Todos",'Plan mensual'!G40,0))+parametros_manuales!$F$37*('Plan mensual'!G37+IF(parametros_manuales!$H$37="Todos",'Plan mensual'!G41,0))+parametros_manuales!$G$37*('Plan mensual'!G38+IF(parametros_manuales!$H$37="Todos",'Plan mensual'!G42,0)))*parametros_manuales!$I$37*parametros_manuales!$J$37</f>
        <v>3956.9753545685</v>
      </c>
      <c r="F101" s="9" t="n">
        <f aca="false">(parametros_manuales!$D$37*('Plan mensual'!H35+IF(parametros_manuales!$H$37="Todos",'Plan mensual'!H39,0))+parametros_manuales!$E$37*('Plan mensual'!H36+IF(parametros_manuales!$H$37="Todos",'Plan mensual'!H40,0))+parametros_manuales!$F$37*('Plan mensual'!H37+IF(parametros_manuales!$H$37="Todos",'Plan mensual'!H41,0))+parametros_manuales!$G$37*('Plan mensual'!H38+IF(parametros_manuales!$H$37="Todos",'Plan mensual'!H42,0)))*parametros_manuales!$I$37*parametros_manuales!$J$37</f>
        <v>3703.528606918</v>
      </c>
      <c r="G101" s="9" t="n">
        <f aca="false">(parametros_manuales!$D$37*('Plan mensual'!I35+IF(parametros_manuales!$H$37="Todos",'Plan mensual'!I39,0))+parametros_manuales!$E$37*('Plan mensual'!I36+IF(parametros_manuales!$H$37="Todos",'Plan mensual'!I40,0))+parametros_manuales!$F$37*('Plan mensual'!I37+IF(parametros_manuales!$H$37="Todos",'Plan mensual'!I41,0))+parametros_manuales!$G$37*('Plan mensual'!I38+IF(parametros_manuales!$H$37="Todos",'Plan mensual'!I42,0)))*parametros_manuales!$I$37*parametros_manuales!$J$37</f>
        <v>3625.8915370125</v>
      </c>
      <c r="H101" s="9" t="n">
        <f aca="false">(parametros_manuales!$D$37*('Plan mensual'!J35+IF(parametros_manuales!$H$37="Todos",'Plan mensual'!J39,0))+parametros_manuales!$E$37*('Plan mensual'!J36+IF(parametros_manuales!$H$37="Todos",'Plan mensual'!J40,0))+parametros_manuales!$F$37*('Plan mensual'!J37+IF(parametros_manuales!$H$37="Todos",'Plan mensual'!J41,0))+parametros_manuales!$G$37*('Plan mensual'!J38+IF(parametros_manuales!$H$37="Todos",'Plan mensual'!J42,0)))*parametros_manuales!$I$37*parametros_manuales!$J$37</f>
        <v>3879.338284663</v>
      </c>
      <c r="I101" s="9" t="n">
        <f aca="false">(parametros_manuales!$D$37*('Plan mensual'!K35+IF(parametros_manuales!$H$37="Todos",'Plan mensual'!K39,0))+parametros_manuales!$E$37*('Plan mensual'!K36+IF(parametros_manuales!$H$37="Todos",'Plan mensual'!K40,0))+parametros_manuales!$F$37*('Plan mensual'!K37+IF(parametros_manuales!$H$37="Todos",'Plan mensual'!K41,0))+parametros_manuales!$G$37*('Plan mensual'!K38+IF(parametros_manuales!$H$37="Todos",'Plan mensual'!K42,0)))*parametros_manuales!$I$37*parametros_manuales!$J$37</f>
        <v>3879.338284663</v>
      </c>
      <c r="J101" s="9" t="n">
        <f aca="false">(parametros_manuales!$D$37*('Plan mensual'!L35+IF(parametros_manuales!$H$37="Todos",'Plan mensual'!L39,0))+parametros_manuales!$E$37*('Plan mensual'!L36+IF(parametros_manuales!$H$37="Todos",'Plan mensual'!L40,0))+parametros_manuales!$F$37*('Plan mensual'!L37+IF(parametros_manuales!$H$37="Todos",'Plan mensual'!L41,0))+parametros_manuales!$G$37*('Plan mensual'!L38+IF(parametros_manuales!$H$37="Todos",'Plan mensual'!L42,0)))*parametros_manuales!$I$37*parametros_manuales!$J$37</f>
        <v>3879.338284663</v>
      </c>
      <c r="K101" s="9" t="n">
        <f aca="false">(parametros_manuales!$D$37*('Plan mensual'!M35+IF(parametros_manuales!$H$37="Todos",'Plan mensual'!M39,0))+parametros_manuales!$E$37*('Plan mensual'!M36+IF(parametros_manuales!$H$37="Todos",'Plan mensual'!M40,0))+parametros_manuales!$F$37*('Plan mensual'!M37+IF(parametros_manuales!$H$37="Todos",'Plan mensual'!M41,0))+parametros_manuales!$G$37*('Plan mensual'!M38+IF(parametros_manuales!$H$37="Todos",'Plan mensual'!M42,0)))*parametros_manuales!$I$37*parametros_manuales!$J$37</f>
        <v>3801.7012147575</v>
      </c>
      <c r="L101" s="9" t="n">
        <f aca="false">(parametros_manuales!$D$37*('Plan mensual'!N35+IF(parametros_manuales!$H$37="Todos",'Plan mensual'!N39,0))+parametros_manuales!$E$37*('Plan mensual'!N36+IF(parametros_manuales!$H$37="Todos",'Plan mensual'!N40,0))+parametros_manuales!$F$37*('Plan mensual'!N37+IF(parametros_manuales!$H$37="Todos",'Plan mensual'!N41,0))+parametros_manuales!$G$37*('Plan mensual'!N38+IF(parametros_manuales!$H$37="Todos",'Plan mensual'!N42,0)))*parametros_manuales!$I$37*parametros_manuales!$J$37</f>
        <v>3724.064144852</v>
      </c>
      <c r="M101" s="9" t="n">
        <f aca="false">(parametros_manuales!$D$37*('Plan mensual'!O35+IF(parametros_manuales!$H$37="Todos",'Plan mensual'!O39,0))+parametros_manuales!$E$37*('Plan mensual'!O36+IF(parametros_manuales!$H$37="Todos",'Plan mensual'!O40,0))+parametros_manuales!$F$37*('Plan mensual'!O37+IF(parametros_manuales!$H$37="Todos",'Plan mensual'!O41,0))+parametros_manuales!$G$37*('Plan mensual'!O38+IF(parametros_manuales!$H$37="Todos",'Plan mensual'!O42,0)))*parametros_manuales!$I$37*parametros_manuales!$J$37</f>
        <v>5927.447803801</v>
      </c>
      <c r="N101" s="9" t="n">
        <f aca="false">SUM(B101:M101)</f>
        <v>50689.3495301</v>
      </c>
      <c r="O101" s="9" t="n">
        <f aca="false">MAX(B101:M101)</f>
        <v>5927.447803801</v>
      </c>
      <c r="P101" s="43" t="n">
        <f aca="false">O101/(parametros_manuales!$B$7)</f>
        <v>39.5163186920067</v>
      </c>
      <c r="Q101" s="8" t="str">
        <f aca="false">IF(O101=0,"-",INDEX($B$82:$M$82,MATCH(O101,B101:M101,0)))</f>
        <v>Dic</v>
      </c>
    </row>
    <row r="102" customFormat="false" ht="14.25" hidden="false" customHeight="true" outlineLevel="0" collapsed="false">
      <c r="A102" s="8" t="str">
        <f aca="false">parametros_manuales!$B$38</f>
        <v>Carga de polvo</v>
      </c>
      <c r="B102" s="9" t="n">
        <f aca="false">(parametros_manuales!$D$38*('Plan mensual'!D35+IF(parametros_manuales!$H$38="Todos",'Plan mensual'!D39,0))+parametros_manuales!$E$38*('Plan mensual'!D36+IF(parametros_manuales!$H$38="Todos",'Plan mensual'!D40,0))+parametros_manuales!$F$38*('Plan mensual'!D37+IF(parametros_manuales!$H$38="Todos",'Plan mensual'!D41,0))+parametros_manuales!$G$38*('Plan mensual'!D38+IF(parametros_manuales!$H$38="Todos",'Plan mensual'!D42,0)))*parametros_manuales!$I$38*parametros_manuales!$J$38</f>
        <v>1896.33366399</v>
      </c>
      <c r="C102" s="9" t="n">
        <f aca="false">(parametros_manuales!$D$38*('Plan mensual'!E35+IF(parametros_manuales!$H$38="Todos",'Plan mensual'!E39,0))+parametros_manuales!$E$38*('Plan mensual'!E36+IF(parametros_manuales!$H$38="Todos",'Plan mensual'!E40,0))+parametros_manuales!$F$38*('Plan mensual'!E37+IF(parametros_manuales!$H$38="Todos",'Plan mensual'!E41,0))+parametros_manuales!$G$38*('Plan mensual'!E38+IF(parametros_manuales!$H$38="Todos",'Plan mensual'!E42,0)))*parametros_manuales!$I$38*parametros_manuales!$J$38</f>
        <v>1466.264117898</v>
      </c>
      <c r="D102" s="9" t="n">
        <f aca="false">(parametros_manuales!$D$38*('Plan mensual'!F35+IF(parametros_manuales!$H$38="Todos",'Plan mensual'!F39,0))+parametros_manuales!$E$38*('Plan mensual'!F36+IF(parametros_manuales!$H$38="Todos",'Plan mensual'!F40,0))+parametros_manuales!$F$38*('Plan mensual'!F37+IF(parametros_manuales!$H$38="Todos",'Plan mensual'!F41,0))+parametros_manuales!$G$38*('Plan mensual'!F38+IF(parametros_manuales!$H$38="Todos",'Plan mensual'!F42,0)))*parametros_manuales!$I$38*parametros_manuales!$J$38</f>
        <v>1425.6066323135</v>
      </c>
      <c r="E102" s="9" t="n">
        <f aca="false">(parametros_manuales!$D$38*('Plan mensual'!G35+IF(parametros_manuales!$H$38="Todos",'Plan mensual'!G39,0))+parametros_manuales!$E$38*('Plan mensual'!G36+IF(parametros_manuales!$H$38="Todos",'Plan mensual'!G40,0))+parametros_manuales!$F$38*('Plan mensual'!G37+IF(parametros_manuales!$H$38="Todos",'Plan mensual'!G41,0))+parametros_manuales!$G$38*('Plan mensual'!G38+IF(parametros_manuales!$H$38="Todos",'Plan mensual'!G42,0)))*parametros_manuales!$I$38*parametros_manuales!$J$38</f>
        <v>1383.2709545685</v>
      </c>
      <c r="F102" s="9" t="n">
        <f aca="false">(parametros_manuales!$D$38*('Plan mensual'!H35+IF(parametros_manuales!$H$38="Todos",'Plan mensual'!H39,0))+parametros_manuales!$E$38*('Plan mensual'!H36+IF(parametros_manuales!$H$38="Todos",'Plan mensual'!H40,0))+parametros_manuales!$F$38*('Plan mensual'!H37+IF(parametros_manuales!$H$38="Todos",'Plan mensual'!H41,0))+parametros_manuales!$G$38*('Plan mensual'!H38+IF(parametros_manuales!$H$38="Todos",'Plan mensual'!H42,0)))*parametros_manuales!$I$38*parametros_manuales!$J$38</f>
        <v>1296.921406918</v>
      </c>
      <c r="G102" s="9" t="n">
        <f aca="false">(parametros_manuales!$D$38*('Plan mensual'!I35+IF(parametros_manuales!$H$38="Todos",'Plan mensual'!I39,0))+parametros_manuales!$E$38*('Plan mensual'!I36+IF(parametros_manuales!$H$38="Todos",'Plan mensual'!I40,0))+parametros_manuales!$F$38*('Plan mensual'!I37+IF(parametros_manuales!$H$38="Todos",'Plan mensual'!I41,0))+parametros_manuales!$G$38*('Plan mensual'!I38+IF(parametros_manuales!$H$38="Todos",'Plan mensual'!I42,0)))*parametros_manuales!$I$38*parametros_manuales!$J$38</f>
        <v>1252.9075370125</v>
      </c>
      <c r="H102" s="9" t="n">
        <f aca="false">(parametros_manuales!$D$38*('Plan mensual'!J35+IF(parametros_manuales!$H$38="Todos",'Plan mensual'!J39,0))+parametros_manuales!$E$38*('Plan mensual'!J36+IF(parametros_manuales!$H$38="Todos",'Plan mensual'!J40,0))+parametros_manuales!$F$38*('Plan mensual'!J37+IF(parametros_manuales!$H$38="Todos",'Plan mensual'!J41,0))+parametros_manuales!$G$38*('Plan mensual'!J38+IF(parametros_manuales!$H$38="Todos",'Plan mensual'!J42,0)))*parametros_manuales!$I$38*parametros_manuales!$J$38</f>
        <v>1339.257084663</v>
      </c>
      <c r="I102" s="9" t="n">
        <f aca="false">(parametros_manuales!$D$38*('Plan mensual'!K35+IF(parametros_manuales!$H$38="Todos",'Plan mensual'!K39,0))+parametros_manuales!$E$38*('Plan mensual'!K36+IF(parametros_manuales!$H$38="Todos",'Plan mensual'!K40,0))+parametros_manuales!$F$38*('Plan mensual'!K37+IF(parametros_manuales!$H$38="Todos",'Plan mensual'!K41,0))+parametros_manuales!$G$38*('Plan mensual'!K38+IF(parametros_manuales!$H$38="Todos",'Plan mensual'!K42,0)))*parametros_manuales!$I$38*parametros_manuales!$J$38</f>
        <v>1339.257084663</v>
      </c>
      <c r="J102" s="9" t="n">
        <f aca="false">(parametros_manuales!$D$38*('Plan mensual'!L35+IF(parametros_manuales!$H$38="Todos",'Plan mensual'!L39,0))+parametros_manuales!$E$38*('Plan mensual'!L36+IF(parametros_manuales!$H$38="Todos",'Plan mensual'!L40,0))+parametros_manuales!$F$38*('Plan mensual'!L37+IF(parametros_manuales!$H$38="Todos",'Plan mensual'!L41,0))+parametros_manuales!$G$38*('Plan mensual'!L38+IF(parametros_manuales!$H$38="Todos",'Plan mensual'!L42,0)))*parametros_manuales!$I$38*parametros_manuales!$J$38</f>
        <v>1339.257084663</v>
      </c>
      <c r="K102" s="9" t="n">
        <f aca="false">(parametros_manuales!$D$38*('Plan mensual'!M35+IF(parametros_manuales!$H$38="Todos",'Plan mensual'!M39,0))+parametros_manuales!$E$38*('Plan mensual'!M36+IF(parametros_manuales!$H$38="Todos",'Plan mensual'!M40,0))+parametros_manuales!$F$38*('Plan mensual'!M37+IF(parametros_manuales!$H$38="Todos",'Plan mensual'!M41,0))+parametros_manuales!$G$38*('Plan mensual'!M38+IF(parametros_manuales!$H$38="Todos",'Plan mensual'!M42,0)))*parametros_manuales!$I$38*parametros_manuales!$J$38</f>
        <v>1295.2432147575</v>
      </c>
      <c r="L102" s="9" t="n">
        <f aca="false">(parametros_manuales!$D$38*('Plan mensual'!N35+IF(parametros_manuales!$H$38="Todos",'Plan mensual'!N39,0))+parametros_manuales!$E$38*('Plan mensual'!N36+IF(parametros_manuales!$H$38="Todos",'Plan mensual'!N40,0))+parametros_manuales!$F$38*('Plan mensual'!N37+IF(parametros_manuales!$H$38="Todos",'Plan mensual'!N41,0))+parametros_manuales!$G$38*('Plan mensual'!N38+IF(parametros_manuales!$H$38="Todos",'Plan mensual'!N42,0)))*parametros_manuales!$I$38*parametros_manuales!$J$38</f>
        <v>1251.229344852</v>
      </c>
      <c r="M102" s="9" t="n">
        <f aca="false">(parametros_manuales!$D$38*('Plan mensual'!O35+IF(parametros_manuales!$H$38="Todos",'Plan mensual'!O39,0))+parametros_manuales!$E$38*('Plan mensual'!O36+IF(parametros_manuales!$H$38="Todos",'Plan mensual'!O40,0))+parametros_manuales!$F$38*('Plan mensual'!O37+IF(parametros_manuales!$H$38="Todos",'Plan mensual'!O41,0))+parametros_manuales!$G$38*('Plan mensual'!O38+IF(parametros_manuales!$H$38="Todos",'Plan mensual'!O42,0)))*parametros_manuales!$I$38*parametros_manuales!$J$38</f>
        <v>1984.361403801</v>
      </c>
      <c r="N102" s="9" t="n">
        <f aca="false">SUM(B102:M102)</f>
        <v>17269.9095301</v>
      </c>
      <c r="O102" s="9" t="n">
        <f aca="false">MAX(B102:M102)</f>
        <v>1984.361403801</v>
      </c>
      <c r="P102" s="43" t="n">
        <f aca="false">O102/(parametros_manuales!$B$7)</f>
        <v>13.22907602534</v>
      </c>
      <c r="Q102" s="8" t="str">
        <f aca="false">IF(O102=0,"-",INDEX($B$82:$M$82,MATCH(O102,B102:M102,0)))</f>
        <v>Dic</v>
      </c>
    </row>
    <row r="103" customFormat="false" ht="14.25" hidden="false" customHeight="true" outlineLevel="0" collapsed="false">
      <c r="A103" s="8" t="str">
        <f aca="false">parametros_manuales!$B$39</f>
        <v>Ensamblaje</v>
      </c>
      <c r="B103" s="9" t="n">
        <f aca="false">(parametros_manuales!$D$39*('Plan mensual'!D35+IF(parametros_manuales!$H$39="Todos",'Plan mensual'!D39,0))+parametros_manuales!$E$39*('Plan mensual'!D36+IF(parametros_manuales!$H$39="Todos",'Plan mensual'!D40,0))+parametros_manuales!$F$39*('Plan mensual'!D37+IF(parametros_manuales!$H$39="Todos",'Plan mensual'!D41,0))+parametros_manuales!$G$39*('Plan mensual'!D38+IF(parametros_manuales!$H$39="Todos",'Plan mensual'!D42,0)))*parametros_manuales!$I$39*parametros_manuales!$J$39</f>
        <v>1896.33366399</v>
      </c>
      <c r="C103" s="9" t="n">
        <f aca="false">(parametros_manuales!$D$39*('Plan mensual'!E35+IF(parametros_manuales!$H$39="Todos",'Plan mensual'!E39,0))+parametros_manuales!$E$39*('Plan mensual'!E36+IF(parametros_manuales!$H$39="Todos",'Plan mensual'!E40,0))+parametros_manuales!$F$39*('Plan mensual'!E37+IF(parametros_manuales!$H$39="Todos",'Plan mensual'!E41,0))+parametros_manuales!$G$39*('Plan mensual'!E38+IF(parametros_manuales!$H$39="Todos",'Plan mensual'!E42,0)))*parametros_manuales!$I$39*parametros_manuales!$J$39</f>
        <v>1466.264117898</v>
      </c>
      <c r="D103" s="9" t="n">
        <f aca="false">(parametros_manuales!$D$39*('Plan mensual'!F35+IF(parametros_manuales!$H$39="Todos",'Plan mensual'!F39,0))+parametros_manuales!$E$39*('Plan mensual'!F36+IF(parametros_manuales!$H$39="Todos",'Plan mensual'!F40,0))+parametros_manuales!$F$39*('Plan mensual'!F37+IF(parametros_manuales!$H$39="Todos",'Plan mensual'!F41,0))+parametros_manuales!$G$39*('Plan mensual'!F38+IF(parametros_manuales!$H$39="Todos",'Plan mensual'!F42,0)))*parametros_manuales!$I$39*parametros_manuales!$J$39</f>
        <v>1425.6066323135</v>
      </c>
      <c r="E103" s="9" t="n">
        <f aca="false">(parametros_manuales!$D$39*('Plan mensual'!G35+IF(parametros_manuales!$H$39="Todos",'Plan mensual'!G39,0))+parametros_manuales!$E$39*('Plan mensual'!G36+IF(parametros_manuales!$H$39="Todos",'Plan mensual'!G40,0))+parametros_manuales!$F$39*('Plan mensual'!G37+IF(parametros_manuales!$H$39="Todos",'Plan mensual'!G41,0))+parametros_manuales!$G$39*('Plan mensual'!G38+IF(parametros_manuales!$H$39="Todos",'Plan mensual'!G42,0)))*parametros_manuales!$I$39*parametros_manuales!$J$39</f>
        <v>1383.2709545685</v>
      </c>
      <c r="F103" s="9" t="n">
        <f aca="false">(parametros_manuales!$D$39*('Plan mensual'!H35+IF(parametros_manuales!$H$39="Todos",'Plan mensual'!H39,0))+parametros_manuales!$E$39*('Plan mensual'!H36+IF(parametros_manuales!$H$39="Todos",'Plan mensual'!H40,0))+parametros_manuales!$F$39*('Plan mensual'!H37+IF(parametros_manuales!$H$39="Todos",'Plan mensual'!H41,0))+parametros_manuales!$G$39*('Plan mensual'!H38+IF(parametros_manuales!$H$39="Todos",'Plan mensual'!H42,0)))*parametros_manuales!$I$39*parametros_manuales!$J$39</f>
        <v>1296.921406918</v>
      </c>
      <c r="G103" s="9" t="n">
        <f aca="false">(parametros_manuales!$D$39*('Plan mensual'!I35+IF(parametros_manuales!$H$39="Todos",'Plan mensual'!I39,0))+parametros_manuales!$E$39*('Plan mensual'!I36+IF(parametros_manuales!$H$39="Todos",'Plan mensual'!I40,0))+parametros_manuales!$F$39*('Plan mensual'!I37+IF(parametros_manuales!$H$39="Todos",'Plan mensual'!I41,0))+parametros_manuales!$G$39*('Plan mensual'!I38+IF(parametros_manuales!$H$39="Todos",'Plan mensual'!I42,0)))*parametros_manuales!$I$39*parametros_manuales!$J$39</f>
        <v>1252.9075370125</v>
      </c>
      <c r="H103" s="9" t="n">
        <f aca="false">(parametros_manuales!$D$39*('Plan mensual'!J35+IF(parametros_manuales!$H$39="Todos",'Plan mensual'!J39,0))+parametros_manuales!$E$39*('Plan mensual'!J36+IF(parametros_manuales!$H$39="Todos",'Plan mensual'!J40,0))+parametros_manuales!$F$39*('Plan mensual'!J37+IF(parametros_manuales!$H$39="Todos",'Plan mensual'!J41,0))+parametros_manuales!$G$39*('Plan mensual'!J38+IF(parametros_manuales!$H$39="Todos",'Plan mensual'!J42,0)))*parametros_manuales!$I$39*parametros_manuales!$J$39</f>
        <v>1339.257084663</v>
      </c>
      <c r="I103" s="9" t="n">
        <f aca="false">(parametros_manuales!$D$39*('Plan mensual'!K35+IF(parametros_manuales!$H$39="Todos",'Plan mensual'!K39,0))+parametros_manuales!$E$39*('Plan mensual'!K36+IF(parametros_manuales!$H$39="Todos",'Plan mensual'!K40,0))+parametros_manuales!$F$39*('Plan mensual'!K37+IF(parametros_manuales!$H$39="Todos",'Plan mensual'!K41,0))+parametros_manuales!$G$39*('Plan mensual'!K38+IF(parametros_manuales!$H$39="Todos",'Plan mensual'!K42,0)))*parametros_manuales!$I$39*parametros_manuales!$J$39</f>
        <v>1339.257084663</v>
      </c>
      <c r="J103" s="9" t="n">
        <f aca="false">(parametros_manuales!$D$39*('Plan mensual'!L35+IF(parametros_manuales!$H$39="Todos",'Plan mensual'!L39,0))+parametros_manuales!$E$39*('Plan mensual'!L36+IF(parametros_manuales!$H$39="Todos",'Plan mensual'!L40,0))+parametros_manuales!$F$39*('Plan mensual'!L37+IF(parametros_manuales!$H$39="Todos",'Plan mensual'!L41,0))+parametros_manuales!$G$39*('Plan mensual'!L38+IF(parametros_manuales!$H$39="Todos",'Plan mensual'!L42,0)))*parametros_manuales!$I$39*parametros_manuales!$J$39</f>
        <v>1339.257084663</v>
      </c>
      <c r="K103" s="9" t="n">
        <f aca="false">(parametros_manuales!$D$39*('Plan mensual'!M35+IF(parametros_manuales!$H$39="Todos",'Plan mensual'!M39,0))+parametros_manuales!$E$39*('Plan mensual'!M36+IF(parametros_manuales!$H$39="Todos",'Plan mensual'!M40,0))+parametros_manuales!$F$39*('Plan mensual'!M37+IF(parametros_manuales!$H$39="Todos",'Plan mensual'!M41,0))+parametros_manuales!$G$39*('Plan mensual'!M38+IF(parametros_manuales!$H$39="Todos",'Plan mensual'!M42,0)))*parametros_manuales!$I$39*parametros_manuales!$J$39</f>
        <v>1295.2432147575</v>
      </c>
      <c r="L103" s="9" t="n">
        <f aca="false">(parametros_manuales!$D$39*('Plan mensual'!N35+IF(parametros_manuales!$H$39="Todos",'Plan mensual'!N39,0))+parametros_manuales!$E$39*('Plan mensual'!N36+IF(parametros_manuales!$H$39="Todos",'Plan mensual'!N40,0))+parametros_manuales!$F$39*('Plan mensual'!N37+IF(parametros_manuales!$H$39="Todos",'Plan mensual'!N41,0))+parametros_manuales!$G$39*('Plan mensual'!N38+IF(parametros_manuales!$H$39="Todos",'Plan mensual'!N42,0)))*parametros_manuales!$I$39*parametros_manuales!$J$39</f>
        <v>1251.229344852</v>
      </c>
      <c r="M103" s="9" t="n">
        <f aca="false">(parametros_manuales!$D$39*('Plan mensual'!O35+IF(parametros_manuales!$H$39="Todos",'Plan mensual'!O39,0))+parametros_manuales!$E$39*('Plan mensual'!O36+IF(parametros_manuales!$H$39="Todos",'Plan mensual'!O40,0))+parametros_manuales!$F$39*('Plan mensual'!O37+IF(parametros_manuales!$H$39="Todos",'Plan mensual'!O41,0))+parametros_manuales!$G$39*('Plan mensual'!O38+IF(parametros_manuales!$H$39="Todos",'Plan mensual'!O42,0)))*parametros_manuales!$I$39*parametros_manuales!$J$39</f>
        <v>1984.361403801</v>
      </c>
      <c r="N103" s="9" t="n">
        <f aca="false">SUM(B103:M103)</f>
        <v>17269.9095301</v>
      </c>
      <c r="O103" s="9" t="n">
        <f aca="false">MAX(B103:M103)</f>
        <v>1984.361403801</v>
      </c>
      <c r="P103" s="43" t="n">
        <f aca="false">O103/(parametros_manuales!$B$7)</f>
        <v>13.22907602534</v>
      </c>
      <c r="Q103" s="8" t="str">
        <f aca="false">IF(O103=0,"-",INDEX($B$82:$M$82,MATCH(O103,B103:M103,0)))</f>
        <v>Dic</v>
      </c>
    </row>
    <row r="104" customFormat="false" ht="14.25" hidden="false" customHeight="true" outlineLevel="0" collapsed="false">
      <c r="A104" s="8" t="str">
        <f aca="false">parametros_manuales!$B$40</f>
        <v>Presurización</v>
      </c>
      <c r="B104" s="9" t="n">
        <f aca="false">(parametros_manuales!$D$40*('Plan mensual'!D35+IF(parametros_manuales!$H$40="Todos",'Plan mensual'!D39,0))+parametros_manuales!$E$40*('Plan mensual'!D36+IF(parametros_manuales!$H$40="Todos",'Plan mensual'!D40,0))+parametros_manuales!$F$40*('Plan mensual'!D37+IF(parametros_manuales!$H$40="Todos",'Plan mensual'!D41,0))+parametros_manuales!$G$40*('Plan mensual'!D38+IF(parametros_manuales!$H$40="Todos",'Plan mensual'!D42,0)))*parametros_manuales!$I$40*parametros_manuales!$J$40</f>
        <v>1896.33366399</v>
      </c>
      <c r="C104" s="9" t="n">
        <f aca="false">(parametros_manuales!$D$40*('Plan mensual'!E35+IF(parametros_manuales!$H$40="Todos",'Plan mensual'!E39,0))+parametros_manuales!$E$40*('Plan mensual'!E36+IF(parametros_manuales!$H$40="Todos",'Plan mensual'!E40,0))+parametros_manuales!$F$40*('Plan mensual'!E37+IF(parametros_manuales!$H$40="Todos",'Plan mensual'!E41,0))+parametros_manuales!$G$40*('Plan mensual'!E38+IF(parametros_manuales!$H$40="Todos",'Plan mensual'!E42,0)))*parametros_manuales!$I$40*parametros_manuales!$J$40</f>
        <v>1466.264117898</v>
      </c>
      <c r="D104" s="9" t="n">
        <f aca="false">(parametros_manuales!$D$40*('Plan mensual'!F35+IF(parametros_manuales!$H$40="Todos",'Plan mensual'!F39,0))+parametros_manuales!$E$40*('Plan mensual'!F36+IF(parametros_manuales!$H$40="Todos",'Plan mensual'!F40,0))+parametros_manuales!$F$40*('Plan mensual'!F37+IF(parametros_manuales!$H$40="Todos",'Plan mensual'!F41,0))+parametros_manuales!$G$40*('Plan mensual'!F38+IF(parametros_manuales!$H$40="Todos",'Plan mensual'!F42,0)))*parametros_manuales!$I$40*parametros_manuales!$J$40</f>
        <v>1425.6066323135</v>
      </c>
      <c r="E104" s="9" t="n">
        <f aca="false">(parametros_manuales!$D$40*('Plan mensual'!G35+IF(parametros_manuales!$H$40="Todos",'Plan mensual'!G39,0))+parametros_manuales!$E$40*('Plan mensual'!G36+IF(parametros_manuales!$H$40="Todos",'Plan mensual'!G40,0))+parametros_manuales!$F$40*('Plan mensual'!G37+IF(parametros_manuales!$H$40="Todos",'Plan mensual'!G41,0))+parametros_manuales!$G$40*('Plan mensual'!G38+IF(parametros_manuales!$H$40="Todos",'Plan mensual'!G42,0)))*parametros_manuales!$I$40*parametros_manuales!$J$40</f>
        <v>1383.2709545685</v>
      </c>
      <c r="F104" s="9" t="n">
        <f aca="false">(parametros_manuales!$D$40*('Plan mensual'!H35+IF(parametros_manuales!$H$40="Todos",'Plan mensual'!H39,0))+parametros_manuales!$E$40*('Plan mensual'!H36+IF(parametros_manuales!$H$40="Todos",'Plan mensual'!H40,0))+parametros_manuales!$F$40*('Plan mensual'!H37+IF(parametros_manuales!$H$40="Todos",'Plan mensual'!H41,0))+parametros_manuales!$G$40*('Plan mensual'!H38+IF(parametros_manuales!$H$40="Todos",'Plan mensual'!H42,0)))*parametros_manuales!$I$40*parametros_manuales!$J$40</f>
        <v>1296.921406918</v>
      </c>
      <c r="G104" s="9" t="n">
        <f aca="false">(parametros_manuales!$D$40*('Plan mensual'!I35+IF(parametros_manuales!$H$40="Todos",'Plan mensual'!I39,0))+parametros_manuales!$E$40*('Plan mensual'!I36+IF(parametros_manuales!$H$40="Todos",'Plan mensual'!I40,0))+parametros_manuales!$F$40*('Plan mensual'!I37+IF(parametros_manuales!$H$40="Todos",'Plan mensual'!I41,0))+parametros_manuales!$G$40*('Plan mensual'!I38+IF(parametros_manuales!$H$40="Todos",'Plan mensual'!I42,0)))*parametros_manuales!$I$40*parametros_manuales!$J$40</f>
        <v>1252.9075370125</v>
      </c>
      <c r="H104" s="9" t="n">
        <f aca="false">(parametros_manuales!$D$40*('Plan mensual'!J35+IF(parametros_manuales!$H$40="Todos",'Plan mensual'!J39,0))+parametros_manuales!$E$40*('Plan mensual'!J36+IF(parametros_manuales!$H$40="Todos",'Plan mensual'!J40,0))+parametros_manuales!$F$40*('Plan mensual'!J37+IF(parametros_manuales!$H$40="Todos",'Plan mensual'!J41,0))+parametros_manuales!$G$40*('Plan mensual'!J38+IF(parametros_manuales!$H$40="Todos",'Plan mensual'!J42,0)))*parametros_manuales!$I$40*parametros_manuales!$J$40</f>
        <v>1339.257084663</v>
      </c>
      <c r="I104" s="9" t="n">
        <f aca="false">(parametros_manuales!$D$40*('Plan mensual'!K35+IF(parametros_manuales!$H$40="Todos",'Plan mensual'!K39,0))+parametros_manuales!$E$40*('Plan mensual'!K36+IF(parametros_manuales!$H$40="Todos",'Plan mensual'!K40,0))+parametros_manuales!$F$40*('Plan mensual'!K37+IF(parametros_manuales!$H$40="Todos",'Plan mensual'!K41,0))+parametros_manuales!$G$40*('Plan mensual'!K38+IF(parametros_manuales!$H$40="Todos",'Plan mensual'!K42,0)))*parametros_manuales!$I$40*parametros_manuales!$J$40</f>
        <v>1339.257084663</v>
      </c>
      <c r="J104" s="9" t="n">
        <f aca="false">(parametros_manuales!$D$40*('Plan mensual'!L35+IF(parametros_manuales!$H$40="Todos",'Plan mensual'!L39,0))+parametros_manuales!$E$40*('Plan mensual'!L36+IF(parametros_manuales!$H$40="Todos",'Plan mensual'!L40,0))+parametros_manuales!$F$40*('Plan mensual'!L37+IF(parametros_manuales!$H$40="Todos",'Plan mensual'!L41,0))+parametros_manuales!$G$40*('Plan mensual'!L38+IF(parametros_manuales!$H$40="Todos",'Plan mensual'!L42,0)))*parametros_manuales!$I$40*parametros_manuales!$J$40</f>
        <v>1339.257084663</v>
      </c>
      <c r="K104" s="9" t="n">
        <f aca="false">(parametros_manuales!$D$40*('Plan mensual'!M35+IF(parametros_manuales!$H$40="Todos",'Plan mensual'!M39,0))+parametros_manuales!$E$40*('Plan mensual'!M36+IF(parametros_manuales!$H$40="Todos",'Plan mensual'!M40,0))+parametros_manuales!$F$40*('Plan mensual'!M37+IF(parametros_manuales!$H$40="Todos",'Plan mensual'!M41,0))+parametros_manuales!$G$40*('Plan mensual'!M38+IF(parametros_manuales!$H$40="Todos",'Plan mensual'!M42,0)))*parametros_manuales!$I$40*parametros_manuales!$J$40</f>
        <v>1295.2432147575</v>
      </c>
      <c r="L104" s="9" t="n">
        <f aca="false">(parametros_manuales!$D$40*('Plan mensual'!N35+IF(parametros_manuales!$H$40="Todos",'Plan mensual'!N39,0))+parametros_manuales!$E$40*('Plan mensual'!N36+IF(parametros_manuales!$H$40="Todos",'Plan mensual'!N40,0))+parametros_manuales!$F$40*('Plan mensual'!N37+IF(parametros_manuales!$H$40="Todos",'Plan mensual'!N41,0))+parametros_manuales!$G$40*('Plan mensual'!N38+IF(parametros_manuales!$H$40="Todos",'Plan mensual'!N42,0)))*parametros_manuales!$I$40*parametros_manuales!$J$40</f>
        <v>1251.229344852</v>
      </c>
      <c r="M104" s="9" t="n">
        <f aca="false">(parametros_manuales!$D$40*('Plan mensual'!O35+IF(parametros_manuales!$H$40="Todos",'Plan mensual'!O39,0))+parametros_manuales!$E$40*('Plan mensual'!O36+IF(parametros_manuales!$H$40="Todos",'Plan mensual'!O40,0))+parametros_manuales!$F$40*('Plan mensual'!O37+IF(parametros_manuales!$H$40="Todos",'Plan mensual'!O41,0))+parametros_manuales!$G$40*('Plan mensual'!O38+IF(parametros_manuales!$H$40="Todos",'Plan mensual'!O42,0)))*parametros_manuales!$I$40*parametros_manuales!$J$40</f>
        <v>1984.361403801</v>
      </c>
      <c r="N104" s="9" t="n">
        <f aca="false">SUM(B104:M104)</f>
        <v>17269.9095301</v>
      </c>
      <c r="O104" s="9" t="n">
        <f aca="false">MAX(B104:M104)</f>
        <v>1984.361403801</v>
      </c>
      <c r="P104" s="43" t="n">
        <f aca="false">O104/(parametros_manuales!$B$7)</f>
        <v>13.22907602534</v>
      </c>
      <c r="Q104" s="8" t="str">
        <f aca="false">IF(O104=0,"-",INDEX($B$82:$M$82,MATCH(O104,B104:M104,0)))</f>
        <v>Dic</v>
      </c>
    </row>
    <row r="105" customFormat="false" ht="14.25" hidden="false" customHeight="true" outlineLevel="0" collapsed="false">
      <c r="A105" s="8" t="str">
        <f aca="false">parametros_manuales!$B$41</f>
        <v>Control de calidad — Ensayo de pérdidas</v>
      </c>
      <c r="B105" s="9" t="n">
        <f aca="false">(parametros_manuales!$D$41*('Plan mensual'!D35+IF(parametros_manuales!$H$41="Todos",'Plan mensual'!D39,0))+parametros_manuales!$E$41*('Plan mensual'!D36+IF(parametros_manuales!$H$41="Todos",'Plan mensual'!D40,0))+parametros_manuales!$F$41*('Plan mensual'!D37+IF(parametros_manuales!$H$41="Todos",'Plan mensual'!D41,0))+parametros_manuales!$G$41*('Plan mensual'!D38+IF(parametros_manuales!$H$41="Todos",'Plan mensual'!D42,0)))*parametros_manuales!$I$41*parametros_manuales!$J$41</f>
        <v>1896.33366399</v>
      </c>
      <c r="C105" s="9" t="n">
        <f aca="false">(parametros_manuales!$D$41*('Plan mensual'!E35+IF(parametros_manuales!$H$41="Todos",'Plan mensual'!E39,0))+parametros_manuales!$E$41*('Plan mensual'!E36+IF(parametros_manuales!$H$41="Todos",'Plan mensual'!E40,0))+parametros_manuales!$F$41*('Plan mensual'!E37+IF(parametros_manuales!$H$41="Todos",'Plan mensual'!E41,0))+parametros_manuales!$G$41*('Plan mensual'!E38+IF(parametros_manuales!$H$41="Todos",'Plan mensual'!E42,0)))*parametros_manuales!$I$41*parametros_manuales!$J$41</f>
        <v>1466.264117898</v>
      </c>
      <c r="D105" s="9" t="n">
        <f aca="false">(parametros_manuales!$D$41*('Plan mensual'!F35+IF(parametros_manuales!$H$41="Todos",'Plan mensual'!F39,0))+parametros_manuales!$E$41*('Plan mensual'!F36+IF(parametros_manuales!$H$41="Todos",'Plan mensual'!F40,0))+parametros_manuales!$F$41*('Plan mensual'!F37+IF(parametros_manuales!$H$41="Todos",'Plan mensual'!F41,0))+parametros_manuales!$G$41*('Plan mensual'!F38+IF(parametros_manuales!$H$41="Todos",'Plan mensual'!F42,0)))*parametros_manuales!$I$41*parametros_manuales!$J$41</f>
        <v>1425.6066323135</v>
      </c>
      <c r="E105" s="9" t="n">
        <f aca="false">(parametros_manuales!$D$41*('Plan mensual'!G35+IF(parametros_manuales!$H$41="Todos",'Plan mensual'!G39,0))+parametros_manuales!$E$41*('Plan mensual'!G36+IF(parametros_manuales!$H$41="Todos",'Plan mensual'!G40,0))+parametros_manuales!$F$41*('Plan mensual'!G37+IF(parametros_manuales!$H$41="Todos",'Plan mensual'!G41,0))+parametros_manuales!$G$41*('Plan mensual'!G38+IF(parametros_manuales!$H$41="Todos",'Plan mensual'!G42,0)))*parametros_manuales!$I$41*parametros_manuales!$J$41</f>
        <v>1383.2709545685</v>
      </c>
      <c r="F105" s="9" t="n">
        <f aca="false">(parametros_manuales!$D$41*('Plan mensual'!H35+IF(parametros_manuales!$H$41="Todos",'Plan mensual'!H39,0))+parametros_manuales!$E$41*('Plan mensual'!H36+IF(parametros_manuales!$H$41="Todos",'Plan mensual'!H40,0))+parametros_manuales!$F$41*('Plan mensual'!H37+IF(parametros_manuales!$H$41="Todos",'Plan mensual'!H41,0))+parametros_manuales!$G$41*('Plan mensual'!H38+IF(parametros_manuales!$H$41="Todos",'Plan mensual'!H42,0)))*parametros_manuales!$I$41*parametros_manuales!$J$41</f>
        <v>1296.921406918</v>
      </c>
      <c r="G105" s="9" t="n">
        <f aca="false">(parametros_manuales!$D$41*('Plan mensual'!I35+IF(parametros_manuales!$H$41="Todos",'Plan mensual'!I39,0))+parametros_manuales!$E$41*('Plan mensual'!I36+IF(parametros_manuales!$H$41="Todos",'Plan mensual'!I40,0))+parametros_manuales!$F$41*('Plan mensual'!I37+IF(parametros_manuales!$H$41="Todos",'Plan mensual'!I41,0))+parametros_manuales!$G$41*('Plan mensual'!I38+IF(parametros_manuales!$H$41="Todos",'Plan mensual'!I42,0)))*parametros_manuales!$I$41*parametros_manuales!$J$41</f>
        <v>1252.9075370125</v>
      </c>
      <c r="H105" s="9" t="n">
        <f aca="false">(parametros_manuales!$D$41*('Plan mensual'!J35+IF(parametros_manuales!$H$41="Todos",'Plan mensual'!J39,0))+parametros_manuales!$E$41*('Plan mensual'!J36+IF(parametros_manuales!$H$41="Todos",'Plan mensual'!J40,0))+parametros_manuales!$F$41*('Plan mensual'!J37+IF(parametros_manuales!$H$41="Todos",'Plan mensual'!J41,0))+parametros_manuales!$G$41*('Plan mensual'!J38+IF(parametros_manuales!$H$41="Todos",'Plan mensual'!J42,0)))*parametros_manuales!$I$41*parametros_manuales!$J$41</f>
        <v>1339.257084663</v>
      </c>
      <c r="I105" s="9" t="n">
        <f aca="false">(parametros_manuales!$D$41*('Plan mensual'!K35+IF(parametros_manuales!$H$41="Todos",'Plan mensual'!K39,0))+parametros_manuales!$E$41*('Plan mensual'!K36+IF(parametros_manuales!$H$41="Todos",'Plan mensual'!K40,0))+parametros_manuales!$F$41*('Plan mensual'!K37+IF(parametros_manuales!$H$41="Todos",'Plan mensual'!K41,0))+parametros_manuales!$G$41*('Plan mensual'!K38+IF(parametros_manuales!$H$41="Todos",'Plan mensual'!K42,0)))*parametros_manuales!$I$41*parametros_manuales!$J$41</f>
        <v>1339.257084663</v>
      </c>
      <c r="J105" s="9" t="n">
        <f aca="false">(parametros_manuales!$D$41*('Plan mensual'!L35+IF(parametros_manuales!$H$41="Todos",'Plan mensual'!L39,0))+parametros_manuales!$E$41*('Plan mensual'!L36+IF(parametros_manuales!$H$41="Todos",'Plan mensual'!L40,0))+parametros_manuales!$F$41*('Plan mensual'!L37+IF(parametros_manuales!$H$41="Todos",'Plan mensual'!L41,0))+parametros_manuales!$G$41*('Plan mensual'!L38+IF(parametros_manuales!$H$41="Todos",'Plan mensual'!L42,0)))*parametros_manuales!$I$41*parametros_manuales!$J$41</f>
        <v>1339.257084663</v>
      </c>
      <c r="K105" s="9" t="n">
        <f aca="false">(parametros_manuales!$D$41*('Plan mensual'!M35+IF(parametros_manuales!$H$41="Todos",'Plan mensual'!M39,0))+parametros_manuales!$E$41*('Plan mensual'!M36+IF(parametros_manuales!$H$41="Todos",'Plan mensual'!M40,0))+parametros_manuales!$F$41*('Plan mensual'!M37+IF(parametros_manuales!$H$41="Todos",'Plan mensual'!M41,0))+parametros_manuales!$G$41*('Plan mensual'!M38+IF(parametros_manuales!$H$41="Todos",'Plan mensual'!M42,0)))*parametros_manuales!$I$41*parametros_manuales!$J$41</f>
        <v>1295.2432147575</v>
      </c>
      <c r="L105" s="9" t="n">
        <f aca="false">(parametros_manuales!$D$41*('Plan mensual'!N35+IF(parametros_manuales!$H$41="Todos",'Plan mensual'!N39,0))+parametros_manuales!$E$41*('Plan mensual'!N36+IF(parametros_manuales!$H$41="Todos",'Plan mensual'!N40,0))+parametros_manuales!$F$41*('Plan mensual'!N37+IF(parametros_manuales!$H$41="Todos",'Plan mensual'!N41,0))+parametros_manuales!$G$41*('Plan mensual'!N38+IF(parametros_manuales!$H$41="Todos",'Plan mensual'!N42,0)))*parametros_manuales!$I$41*parametros_manuales!$J$41</f>
        <v>1251.229344852</v>
      </c>
      <c r="M105" s="9" t="n">
        <f aca="false">(parametros_manuales!$D$41*('Plan mensual'!O35+IF(parametros_manuales!$H$41="Todos",'Plan mensual'!O39,0))+parametros_manuales!$E$41*('Plan mensual'!O36+IF(parametros_manuales!$H$41="Todos",'Plan mensual'!O40,0))+parametros_manuales!$F$41*('Plan mensual'!O37+IF(parametros_manuales!$H$41="Todos",'Plan mensual'!O41,0))+parametros_manuales!$G$41*('Plan mensual'!O38+IF(parametros_manuales!$H$41="Todos",'Plan mensual'!O42,0)))*parametros_manuales!$I$41*parametros_manuales!$J$41</f>
        <v>1984.361403801</v>
      </c>
      <c r="N105" s="9" t="n">
        <f aca="false">SUM(B105:M105)</f>
        <v>17269.9095301</v>
      </c>
      <c r="O105" s="9" t="n">
        <f aca="false">MAX(B105:M105)</f>
        <v>1984.361403801</v>
      </c>
      <c r="P105" s="43" t="n">
        <f aca="false">O105/(parametros_manuales!$B$7)</f>
        <v>13.22907602534</v>
      </c>
      <c r="Q105" s="8" t="str">
        <f aca="false">IF(O105=0,"-",INDEX($B$82:$M$82,MATCH(O105,B105:M105,0)))</f>
        <v>Dic</v>
      </c>
    </row>
    <row r="106" customFormat="false" ht="14.25" hidden="false" customHeight="true" outlineLevel="0" collapsed="false">
      <c r="A106" s="8" t="str">
        <f aca="false">parametros_manuales!$B$42</f>
        <v>Etiquetado</v>
      </c>
      <c r="B106" s="9" t="n">
        <f aca="false">(parametros_manuales!$D$42*('Plan mensual'!D35+IF(parametros_manuales!$H$42="Todos",'Plan mensual'!D39,0))+parametros_manuales!$E$42*('Plan mensual'!D36+IF(parametros_manuales!$H$42="Todos",'Plan mensual'!D40,0))+parametros_manuales!$F$42*('Plan mensual'!D37+IF(parametros_manuales!$H$42="Todos",'Plan mensual'!D41,0))+parametros_manuales!$G$42*('Plan mensual'!D38+IF(parametros_manuales!$H$42="Todos",'Plan mensual'!D42,0)))*parametros_manuales!$I$42*parametros_manuales!$J$42</f>
        <v>1896.33366399</v>
      </c>
      <c r="C106" s="9" t="n">
        <f aca="false">(parametros_manuales!$D$42*('Plan mensual'!E35+IF(parametros_manuales!$H$42="Todos",'Plan mensual'!E39,0))+parametros_manuales!$E$42*('Plan mensual'!E36+IF(parametros_manuales!$H$42="Todos",'Plan mensual'!E40,0))+parametros_manuales!$F$42*('Plan mensual'!E37+IF(parametros_manuales!$H$42="Todos",'Plan mensual'!E41,0))+parametros_manuales!$G$42*('Plan mensual'!E38+IF(parametros_manuales!$H$42="Todos",'Plan mensual'!E42,0)))*parametros_manuales!$I$42*parametros_manuales!$J$42</f>
        <v>1466.264117898</v>
      </c>
      <c r="D106" s="9" t="n">
        <f aca="false">(parametros_manuales!$D$42*('Plan mensual'!F35+IF(parametros_manuales!$H$42="Todos",'Plan mensual'!F39,0))+parametros_manuales!$E$42*('Plan mensual'!F36+IF(parametros_manuales!$H$42="Todos",'Plan mensual'!F40,0))+parametros_manuales!$F$42*('Plan mensual'!F37+IF(parametros_manuales!$H$42="Todos",'Plan mensual'!F41,0))+parametros_manuales!$G$42*('Plan mensual'!F38+IF(parametros_manuales!$H$42="Todos",'Plan mensual'!F42,0)))*parametros_manuales!$I$42*parametros_manuales!$J$42</f>
        <v>1425.6066323135</v>
      </c>
      <c r="E106" s="9" t="n">
        <f aca="false">(parametros_manuales!$D$42*('Plan mensual'!G35+IF(parametros_manuales!$H$42="Todos",'Plan mensual'!G39,0))+parametros_manuales!$E$42*('Plan mensual'!G36+IF(parametros_manuales!$H$42="Todos",'Plan mensual'!G40,0))+parametros_manuales!$F$42*('Plan mensual'!G37+IF(parametros_manuales!$H$42="Todos",'Plan mensual'!G41,0))+parametros_manuales!$G$42*('Plan mensual'!G38+IF(parametros_manuales!$H$42="Todos",'Plan mensual'!G42,0)))*parametros_manuales!$I$42*parametros_manuales!$J$42</f>
        <v>1383.2709545685</v>
      </c>
      <c r="F106" s="9" t="n">
        <f aca="false">(parametros_manuales!$D$42*('Plan mensual'!H35+IF(parametros_manuales!$H$42="Todos",'Plan mensual'!H39,0))+parametros_manuales!$E$42*('Plan mensual'!H36+IF(parametros_manuales!$H$42="Todos",'Plan mensual'!H40,0))+parametros_manuales!$F$42*('Plan mensual'!H37+IF(parametros_manuales!$H$42="Todos",'Plan mensual'!H41,0))+parametros_manuales!$G$42*('Plan mensual'!H38+IF(parametros_manuales!$H$42="Todos",'Plan mensual'!H42,0)))*parametros_manuales!$I$42*parametros_manuales!$J$42</f>
        <v>1296.921406918</v>
      </c>
      <c r="G106" s="9" t="n">
        <f aca="false">(parametros_manuales!$D$42*('Plan mensual'!I35+IF(parametros_manuales!$H$42="Todos",'Plan mensual'!I39,0))+parametros_manuales!$E$42*('Plan mensual'!I36+IF(parametros_manuales!$H$42="Todos",'Plan mensual'!I40,0))+parametros_manuales!$F$42*('Plan mensual'!I37+IF(parametros_manuales!$H$42="Todos",'Plan mensual'!I41,0))+parametros_manuales!$G$42*('Plan mensual'!I38+IF(parametros_manuales!$H$42="Todos",'Plan mensual'!I42,0)))*parametros_manuales!$I$42*parametros_manuales!$J$42</f>
        <v>1252.9075370125</v>
      </c>
      <c r="H106" s="9" t="n">
        <f aca="false">(parametros_manuales!$D$42*('Plan mensual'!J35+IF(parametros_manuales!$H$42="Todos",'Plan mensual'!J39,0))+parametros_manuales!$E$42*('Plan mensual'!J36+IF(parametros_manuales!$H$42="Todos",'Plan mensual'!J40,0))+parametros_manuales!$F$42*('Plan mensual'!J37+IF(parametros_manuales!$H$42="Todos",'Plan mensual'!J41,0))+parametros_manuales!$G$42*('Plan mensual'!J38+IF(parametros_manuales!$H$42="Todos",'Plan mensual'!J42,0)))*parametros_manuales!$I$42*parametros_manuales!$J$42</f>
        <v>1339.257084663</v>
      </c>
      <c r="I106" s="9" t="n">
        <f aca="false">(parametros_manuales!$D$42*('Plan mensual'!K35+IF(parametros_manuales!$H$42="Todos",'Plan mensual'!K39,0))+parametros_manuales!$E$42*('Plan mensual'!K36+IF(parametros_manuales!$H$42="Todos",'Plan mensual'!K40,0))+parametros_manuales!$F$42*('Plan mensual'!K37+IF(parametros_manuales!$H$42="Todos",'Plan mensual'!K41,0))+parametros_manuales!$G$42*('Plan mensual'!K38+IF(parametros_manuales!$H$42="Todos",'Plan mensual'!K42,0)))*parametros_manuales!$I$42*parametros_manuales!$J$42</f>
        <v>1339.257084663</v>
      </c>
      <c r="J106" s="9" t="n">
        <f aca="false">(parametros_manuales!$D$42*('Plan mensual'!L35+IF(parametros_manuales!$H$42="Todos",'Plan mensual'!L39,0))+parametros_manuales!$E$42*('Plan mensual'!L36+IF(parametros_manuales!$H$42="Todos",'Plan mensual'!L40,0))+parametros_manuales!$F$42*('Plan mensual'!L37+IF(parametros_manuales!$H$42="Todos",'Plan mensual'!L41,0))+parametros_manuales!$G$42*('Plan mensual'!L38+IF(parametros_manuales!$H$42="Todos",'Plan mensual'!L42,0)))*parametros_manuales!$I$42*parametros_manuales!$J$42</f>
        <v>1339.257084663</v>
      </c>
      <c r="K106" s="9" t="n">
        <f aca="false">(parametros_manuales!$D$42*('Plan mensual'!M35+IF(parametros_manuales!$H$42="Todos",'Plan mensual'!M39,0))+parametros_manuales!$E$42*('Plan mensual'!M36+IF(parametros_manuales!$H$42="Todos",'Plan mensual'!M40,0))+parametros_manuales!$F$42*('Plan mensual'!M37+IF(parametros_manuales!$H$42="Todos",'Plan mensual'!M41,0))+parametros_manuales!$G$42*('Plan mensual'!M38+IF(parametros_manuales!$H$42="Todos",'Plan mensual'!M42,0)))*parametros_manuales!$I$42*parametros_manuales!$J$42</f>
        <v>1295.2432147575</v>
      </c>
      <c r="L106" s="9" t="n">
        <f aca="false">(parametros_manuales!$D$42*('Plan mensual'!N35+IF(parametros_manuales!$H$42="Todos",'Plan mensual'!N39,0))+parametros_manuales!$E$42*('Plan mensual'!N36+IF(parametros_manuales!$H$42="Todos",'Plan mensual'!N40,0))+parametros_manuales!$F$42*('Plan mensual'!N37+IF(parametros_manuales!$H$42="Todos",'Plan mensual'!N41,0))+parametros_manuales!$G$42*('Plan mensual'!N38+IF(parametros_manuales!$H$42="Todos",'Plan mensual'!N42,0)))*parametros_manuales!$I$42*parametros_manuales!$J$42</f>
        <v>1251.229344852</v>
      </c>
      <c r="M106" s="9" t="n">
        <f aca="false">(parametros_manuales!$D$42*('Plan mensual'!O35+IF(parametros_manuales!$H$42="Todos",'Plan mensual'!O39,0))+parametros_manuales!$E$42*('Plan mensual'!O36+IF(parametros_manuales!$H$42="Todos",'Plan mensual'!O40,0))+parametros_manuales!$F$42*('Plan mensual'!O37+IF(parametros_manuales!$H$42="Todos",'Plan mensual'!O41,0))+parametros_manuales!$G$42*('Plan mensual'!O38+IF(parametros_manuales!$H$42="Todos",'Plan mensual'!O42,0)))*parametros_manuales!$I$42*parametros_manuales!$J$42</f>
        <v>1984.361403801</v>
      </c>
      <c r="N106" s="9" t="n">
        <f aca="false">SUM(B106:M106)</f>
        <v>17269.9095301</v>
      </c>
      <c r="O106" s="9" t="n">
        <f aca="false">MAX(B106:M106)</f>
        <v>1984.361403801</v>
      </c>
      <c r="P106" s="43" t="n">
        <f aca="false">O106/(parametros_manuales!$B$7)</f>
        <v>13.22907602534</v>
      </c>
      <c r="Q106" s="8" t="str">
        <f aca="false">IF(O106=0,"-",INDEX($B$82:$M$82,MATCH(O106,B106:M106,0)))</f>
        <v>Dic</v>
      </c>
    </row>
    <row r="107" customFormat="false" ht="14.25" hidden="false" customHeight="true" outlineLevel="0" collapsed="false">
      <c r="A107" s="8" t="str">
        <f aca="false">parametros_manuales!$B$43</f>
        <v>Embalaje y paletizado</v>
      </c>
      <c r="B107" s="9" t="n">
        <f aca="false">(parametros_manuales!$D$43*('Plan mensual'!D35+IF(parametros_manuales!$H$43="Todos",'Plan mensual'!D39,0))+parametros_manuales!$E$43*('Plan mensual'!D36+IF(parametros_manuales!$H$43="Todos",'Plan mensual'!D40,0))+parametros_manuales!$F$43*('Plan mensual'!D37+IF(parametros_manuales!$H$43="Todos",'Plan mensual'!D41,0))+parametros_manuales!$G$43*('Plan mensual'!D38+IF(parametros_manuales!$H$43="Todos",'Plan mensual'!D42,0)))*parametros_manuales!$I$43*parametros_manuales!$J$43</f>
        <v>5772.17366399</v>
      </c>
      <c r="C107" s="9" t="n">
        <f aca="false">(parametros_manuales!$D$43*('Plan mensual'!E35+IF(parametros_manuales!$H$43="Todos",'Plan mensual'!E39,0))+parametros_manuales!$E$43*('Plan mensual'!E36+IF(parametros_manuales!$H$43="Todos",'Plan mensual'!E40,0))+parametros_manuales!$F$43*('Plan mensual'!E37+IF(parametros_manuales!$H$43="Todos",'Plan mensual'!E41,0))+parametros_manuales!$G$43*('Plan mensual'!E38+IF(parametros_manuales!$H$43="Todos",'Plan mensual'!E42,0)))*parametros_manuales!$I$43*parametros_manuales!$J$43</f>
        <v>4406.767317898</v>
      </c>
      <c r="D107" s="9" t="n">
        <f aca="false">(parametros_manuales!$D$43*('Plan mensual'!F35+IF(parametros_manuales!$H$43="Todos",'Plan mensual'!F39,0))+parametros_manuales!$E$43*('Plan mensual'!F36+IF(parametros_manuales!$H$43="Todos",'Plan mensual'!F40,0))+parametros_manuales!$F$43*('Plan mensual'!F37+IF(parametros_manuales!$H$43="Todos",'Plan mensual'!F41,0))+parametros_manuales!$G$43*('Plan mensual'!F38+IF(parametros_manuales!$H$43="Todos",'Plan mensual'!F42,0)))*parametros_manuales!$I$43*parametros_manuales!$J$43</f>
        <v>4132.7850323135</v>
      </c>
      <c r="E107" s="9" t="n">
        <f aca="false">(parametros_manuales!$D$43*('Plan mensual'!G35+IF(parametros_manuales!$H$43="Todos",'Plan mensual'!G39,0))+parametros_manuales!$E$43*('Plan mensual'!G36+IF(parametros_manuales!$H$43="Todos",'Plan mensual'!G40,0))+parametros_manuales!$F$43*('Plan mensual'!G37+IF(parametros_manuales!$H$43="Todos",'Plan mensual'!G41,0))+parametros_manuales!$G$43*('Plan mensual'!G38+IF(parametros_manuales!$H$43="Todos",'Plan mensual'!G42,0)))*parametros_manuales!$I$43*parametros_manuales!$J$43</f>
        <v>3956.9753545685</v>
      </c>
      <c r="F107" s="9" t="n">
        <f aca="false">(parametros_manuales!$D$43*('Plan mensual'!H35+IF(parametros_manuales!$H$43="Todos",'Plan mensual'!H39,0))+parametros_manuales!$E$43*('Plan mensual'!H36+IF(parametros_manuales!$H$43="Todos",'Plan mensual'!H40,0))+parametros_manuales!$F$43*('Plan mensual'!H37+IF(parametros_manuales!$H$43="Todos",'Plan mensual'!H41,0))+parametros_manuales!$G$43*('Plan mensual'!H38+IF(parametros_manuales!$H$43="Todos",'Plan mensual'!H42,0)))*parametros_manuales!$I$43*parametros_manuales!$J$43</f>
        <v>3703.528606918</v>
      </c>
      <c r="G107" s="9" t="n">
        <f aca="false">(parametros_manuales!$D$43*('Plan mensual'!I35+IF(parametros_manuales!$H$43="Todos",'Plan mensual'!I39,0))+parametros_manuales!$E$43*('Plan mensual'!I36+IF(parametros_manuales!$H$43="Todos",'Plan mensual'!I40,0))+parametros_manuales!$F$43*('Plan mensual'!I37+IF(parametros_manuales!$H$43="Todos",'Plan mensual'!I41,0))+parametros_manuales!$G$43*('Plan mensual'!I38+IF(parametros_manuales!$H$43="Todos",'Plan mensual'!I42,0)))*parametros_manuales!$I$43*parametros_manuales!$J$43</f>
        <v>3625.8915370125</v>
      </c>
      <c r="H107" s="9" t="n">
        <f aca="false">(parametros_manuales!$D$43*('Plan mensual'!J35+IF(parametros_manuales!$H$43="Todos",'Plan mensual'!J39,0))+parametros_manuales!$E$43*('Plan mensual'!J36+IF(parametros_manuales!$H$43="Todos",'Plan mensual'!J40,0))+parametros_manuales!$F$43*('Plan mensual'!J37+IF(parametros_manuales!$H$43="Todos",'Plan mensual'!J41,0))+parametros_manuales!$G$43*('Plan mensual'!J38+IF(parametros_manuales!$H$43="Todos",'Plan mensual'!J42,0)))*parametros_manuales!$I$43*parametros_manuales!$J$43</f>
        <v>3879.338284663</v>
      </c>
      <c r="I107" s="9" t="n">
        <f aca="false">(parametros_manuales!$D$43*('Plan mensual'!K35+IF(parametros_manuales!$H$43="Todos",'Plan mensual'!K39,0))+parametros_manuales!$E$43*('Plan mensual'!K36+IF(parametros_manuales!$H$43="Todos",'Plan mensual'!K40,0))+parametros_manuales!$F$43*('Plan mensual'!K37+IF(parametros_manuales!$H$43="Todos",'Plan mensual'!K41,0))+parametros_manuales!$G$43*('Plan mensual'!K38+IF(parametros_manuales!$H$43="Todos",'Plan mensual'!K42,0)))*parametros_manuales!$I$43*parametros_manuales!$J$43</f>
        <v>3879.338284663</v>
      </c>
      <c r="J107" s="9" t="n">
        <f aca="false">(parametros_manuales!$D$43*('Plan mensual'!L35+IF(parametros_manuales!$H$43="Todos",'Plan mensual'!L39,0))+parametros_manuales!$E$43*('Plan mensual'!L36+IF(parametros_manuales!$H$43="Todos",'Plan mensual'!L40,0))+parametros_manuales!$F$43*('Plan mensual'!L37+IF(parametros_manuales!$H$43="Todos",'Plan mensual'!L41,0))+parametros_manuales!$G$43*('Plan mensual'!L38+IF(parametros_manuales!$H$43="Todos",'Plan mensual'!L42,0)))*parametros_manuales!$I$43*parametros_manuales!$J$43</f>
        <v>3879.338284663</v>
      </c>
      <c r="K107" s="9" t="n">
        <f aca="false">(parametros_manuales!$D$43*('Plan mensual'!M35+IF(parametros_manuales!$H$43="Todos",'Plan mensual'!M39,0))+parametros_manuales!$E$43*('Plan mensual'!M36+IF(parametros_manuales!$H$43="Todos",'Plan mensual'!M40,0))+parametros_manuales!$F$43*('Plan mensual'!M37+IF(parametros_manuales!$H$43="Todos",'Plan mensual'!M41,0))+parametros_manuales!$G$43*('Plan mensual'!M38+IF(parametros_manuales!$H$43="Todos",'Plan mensual'!M42,0)))*parametros_manuales!$I$43*parametros_manuales!$J$43</f>
        <v>3801.7012147575</v>
      </c>
      <c r="L107" s="9" t="n">
        <f aca="false">(parametros_manuales!$D$43*('Plan mensual'!N35+IF(parametros_manuales!$H$43="Todos",'Plan mensual'!N39,0))+parametros_manuales!$E$43*('Plan mensual'!N36+IF(parametros_manuales!$H$43="Todos",'Plan mensual'!N40,0))+parametros_manuales!$F$43*('Plan mensual'!N37+IF(parametros_manuales!$H$43="Todos",'Plan mensual'!N41,0))+parametros_manuales!$G$43*('Plan mensual'!N38+IF(parametros_manuales!$H$43="Todos",'Plan mensual'!N42,0)))*parametros_manuales!$I$43*parametros_manuales!$J$43</f>
        <v>3724.064144852</v>
      </c>
      <c r="M107" s="9" t="n">
        <f aca="false">(parametros_manuales!$D$43*('Plan mensual'!O35+IF(parametros_manuales!$H$43="Todos",'Plan mensual'!O39,0))+parametros_manuales!$E$43*('Plan mensual'!O36+IF(parametros_manuales!$H$43="Todos",'Plan mensual'!O40,0))+parametros_manuales!$F$43*('Plan mensual'!O37+IF(parametros_manuales!$H$43="Todos",'Plan mensual'!O41,0))+parametros_manuales!$G$43*('Plan mensual'!O38+IF(parametros_manuales!$H$43="Todos",'Plan mensual'!O42,0)))*parametros_manuales!$I$43*parametros_manuales!$J$43</f>
        <v>5927.447803801</v>
      </c>
      <c r="N107" s="9" t="n">
        <f aca="false">SUM(B107:M107)</f>
        <v>50689.3495301</v>
      </c>
      <c r="O107" s="9" t="n">
        <f aca="false">MAX(B107:M107)</f>
        <v>5927.447803801</v>
      </c>
      <c r="P107" s="43" t="n">
        <f aca="false">O107/(parametros_manuales!$B$7)</f>
        <v>39.5163186920067</v>
      </c>
      <c r="Q107" s="8" t="str">
        <f aca="false">IF(O107=0,"-",INDEX($B$82:$M$82,MATCH(O107,B107:M107,0)))</f>
        <v>Dic</v>
      </c>
    </row>
    <row r="108" customFormat="false" ht="14.25" hidden="false" customHeight="true" outlineLevel="0" collapsed="false"/>
    <row r="109" customFormat="false" ht="14.25" hidden="false" customHeight="true" outlineLevel="0" collapsed="false">
      <c r="A109" s="7" t="s">
        <v>194</v>
      </c>
      <c r="B109" s="7" t="s">
        <v>61</v>
      </c>
      <c r="C109" s="7" t="s">
        <v>62</v>
      </c>
      <c r="D109" s="7" t="s">
        <v>63</v>
      </c>
      <c r="E109" s="7" t="s">
        <v>64</v>
      </c>
      <c r="F109" s="7" t="s">
        <v>65</v>
      </c>
      <c r="G109" s="7" t="s">
        <v>66</v>
      </c>
      <c r="H109" s="7" t="s">
        <v>67</v>
      </c>
      <c r="I109" s="7" t="s">
        <v>68</v>
      </c>
      <c r="J109" s="7" t="s">
        <v>69</v>
      </c>
      <c r="K109" s="7" t="s">
        <v>70</v>
      </c>
      <c r="L109" s="7" t="s">
        <v>71</v>
      </c>
      <c r="M109" s="7" t="s">
        <v>72</v>
      </c>
      <c r="N109" s="7" t="s">
        <v>183</v>
      </c>
      <c r="O109" s="7" t="s">
        <v>188</v>
      </c>
      <c r="P109" s="7" t="s">
        <v>189</v>
      </c>
      <c r="Q109" s="7" t="s">
        <v>190</v>
      </c>
    </row>
    <row r="110" customFormat="false" ht="14.25" hidden="false" customHeight="true" outlineLevel="0" collapsed="false">
      <c r="A110" s="8" t="str">
        <f aca="false">parametros_manuales!$B$19</f>
        <v>Recepción de materia prima</v>
      </c>
      <c r="B110" s="9" t="n">
        <f aca="false">(parametros_manuales!$D$19*('Plan mensual'!D46+IF(parametros_manuales!$H$19="Todos",'Plan mensual'!D50,0))+parametros_manuales!$E$19*('Plan mensual'!D47+IF(parametros_manuales!$H$19="Todos",'Plan mensual'!D51,0))+parametros_manuales!$F$19*('Plan mensual'!D48+IF(parametros_manuales!$H$19="Todos",'Plan mensual'!D52,0))+parametros_manuales!$G$19*('Plan mensual'!D49+IF(parametros_manuales!$H$19="Todos",'Plan mensual'!D53,0)))*parametros_manuales!$I$19*parametros_manuales!$J$19</f>
        <v>10067.07720699</v>
      </c>
      <c r="C110" s="9" t="n">
        <f aca="false">(parametros_manuales!$D$19*('Plan mensual'!E46+IF(parametros_manuales!$H$19="Todos",'Plan mensual'!E50,0))+parametros_manuales!$E$19*('Plan mensual'!E47+IF(parametros_manuales!$H$19="Todos",'Plan mensual'!E51,0))+parametros_manuales!$F$19*('Plan mensual'!E48+IF(parametros_manuales!$H$19="Todos",'Plan mensual'!E52,0))+parametros_manuales!$G$19*('Plan mensual'!E49+IF(parametros_manuales!$H$19="Todos",'Plan mensual'!E53,0)))*parametros_manuales!$I$19*parametros_manuales!$J$19</f>
        <v>7680.969169332</v>
      </c>
      <c r="D110" s="9" t="n">
        <f aca="false">(parametros_manuales!$D$19*('Plan mensual'!F46+IF(parametros_manuales!$H$19="Todos",'Plan mensual'!F50,0))+parametros_manuales!$E$19*('Plan mensual'!F47+IF(parametros_manuales!$H$19="Todos",'Plan mensual'!F51,0))+parametros_manuales!$F$19*('Plan mensual'!F48+IF(parametros_manuales!$H$19="Todos",'Plan mensual'!F52,0))+parametros_manuales!$G$19*('Plan mensual'!F49+IF(parametros_manuales!$H$19="Todos",'Plan mensual'!F53,0)))*parametros_manuales!$I$19*parametros_manuales!$J$19</f>
        <v>7190.4761063215</v>
      </c>
      <c r="E110" s="9" t="n">
        <f aca="false">(parametros_manuales!$D$19*('Plan mensual'!G46+IF(parametros_manuales!$H$19="Todos",'Plan mensual'!G50,0))+parametros_manuales!$E$19*('Plan mensual'!G47+IF(parametros_manuales!$H$19="Todos",'Plan mensual'!G51,0))+parametros_manuales!$F$19*('Plan mensual'!G48+IF(parametros_manuales!$H$19="Todos",'Plan mensual'!G52,0))+parametros_manuales!$G$19*('Plan mensual'!G49+IF(parametros_manuales!$H$19="Todos",'Plan mensual'!G53,0)))*parametros_manuales!$I$19*parametros_manuales!$J$19</f>
        <v>6879.8989427715</v>
      </c>
      <c r="F110" s="9" t="n">
        <f aca="false">(parametros_manuales!$D$19*('Plan mensual'!H46+IF(parametros_manuales!$H$19="Todos",'Plan mensual'!H50,0))+parametros_manuales!$E$19*('Plan mensual'!H47+IF(parametros_manuales!$H$19="Todos",'Plan mensual'!H51,0))+parametros_manuales!$F$19*('Plan mensual'!H48+IF(parametros_manuales!$H$19="Todos",'Plan mensual'!H52,0))+parametros_manuales!$G$19*('Plan mensual'!H49+IF(parametros_manuales!$H$19="Todos",'Plan mensual'!H53,0)))*parametros_manuales!$I$19*parametros_manuales!$J$19</f>
        <v>6438.660515132</v>
      </c>
      <c r="G110" s="9" t="n">
        <f aca="false">(parametros_manuales!$D$19*('Plan mensual'!I46+IF(parametros_manuales!$H$19="Todos",'Plan mensual'!I50,0))+parametros_manuales!$E$19*('Plan mensual'!I47+IF(parametros_manuales!$H$19="Todos",'Plan mensual'!I51,0))+parametros_manuales!$F$19*('Plan mensual'!I48+IF(parametros_manuales!$H$19="Todos",'Plan mensual'!I52,0))+parametros_manuales!$G$19*('Plan mensual'!I49+IF(parametros_manuales!$H$19="Todos",'Plan mensual'!I53,0)))*parametros_manuales!$I$19*parametros_manuales!$J$19</f>
        <v>6307.9992510425</v>
      </c>
      <c r="H110" s="9" t="n">
        <f aca="false">(parametros_manuales!$D$19*('Plan mensual'!J46+IF(parametros_manuales!$H$19="Todos",'Plan mensual'!J50,0))+parametros_manuales!$E$19*('Plan mensual'!J47+IF(parametros_manuales!$H$19="Todos",'Plan mensual'!J51,0))+parametros_manuales!$F$19*('Plan mensual'!J48+IF(parametros_manuales!$H$19="Todos",'Plan mensual'!J52,0))+parametros_manuales!$G$19*('Plan mensual'!J49+IF(parametros_manuales!$H$19="Todos",'Plan mensual'!J53,0)))*parametros_manuales!$I$19*parametros_manuales!$J$19</f>
        <v>6749.237678682</v>
      </c>
      <c r="I110" s="9" t="n">
        <f aca="false">(parametros_manuales!$D$19*('Plan mensual'!K46+IF(parametros_manuales!$H$19="Todos",'Plan mensual'!K50,0))+parametros_manuales!$E$19*('Plan mensual'!K47+IF(parametros_manuales!$H$19="Todos",'Plan mensual'!K51,0))+parametros_manuales!$F$19*('Plan mensual'!K48+IF(parametros_manuales!$H$19="Todos",'Plan mensual'!K52,0))+parametros_manuales!$G$19*('Plan mensual'!K49+IF(parametros_manuales!$H$19="Todos",'Plan mensual'!K53,0)))*parametros_manuales!$I$19*parametros_manuales!$J$19</f>
        <v>6749.237678682</v>
      </c>
      <c r="J110" s="9" t="n">
        <f aca="false">(parametros_manuales!$D$19*('Plan mensual'!L46+IF(parametros_manuales!$H$19="Todos",'Plan mensual'!L50,0))+parametros_manuales!$E$19*('Plan mensual'!L47+IF(parametros_manuales!$H$19="Todos",'Plan mensual'!L51,0))+parametros_manuales!$F$19*('Plan mensual'!L48+IF(parametros_manuales!$H$19="Todos",'Plan mensual'!L52,0))+parametros_manuales!$G$19*('Plan mensual'!L49+IF(parametros_manuales!$H$19="Todos",'Plan mensual'!L53,0)))*parametros_manuales!$I$19*parametros_manuales!$J$19</f>
        <v>6749.237678682</v>
      </c>
      <c r="K110" s="9" t="n">
        <f aca="false">(parametros_manuales!$D$19*('Plan mensual'!M46+IF(parametros_manuales!$H$19="Todos",'Plan mensual'!M50,0))+parametros_manuales!$E$19*('Plan mensual'!M47+IF(parametros_manuales!$H$19="Todos",'Plan mensual'!M51,0))+parametros_manuales!$F$19*('Plan mensual'!M48+IF(parametros_manuales!$H$19="Todos",'Plan mensual'!M52,0))+parametros_manuales!$G$19*('Plan mensual'!M49+IF(parametros_manuales!$H$19="Todos",'Plan mensual'!M53,0)))*parametros_manuales!$I$19*parametros_manuales!$J$19</f>
        <v>6618.5764145925</v>
      </c>
      <c r="L110" s="9" t="n">
        <f aca="false">(parametros_manuales!$D$19*('Plan mensual'!N46+IF(parametros_manuales!$H$19="Todos",'Plan mensual'!N50,0))+parametros_manuales!$E$19*('Plan mensual'!N47+IF(parametros_manuales!$H$19="Todos",'Plan mensual'!N51,0))+parametros_manuales!$F$19*('Plan mensual'!N48+IF(parametros_manuales!$H$19="Todos",'Plan mensual'!N52,0))+parametros_manuales!$G$19*('Plan mensual'!N49+IF(parametros_manuales!$H$19="Todos",'Plan mensual'!N53,0)))*parametros_manuales!$I$19*parametros_manuales!$J$19</f>
        <v>6487.915150503</v>
      </c>
      <c r="M110" s="9" t="n">
        <f aca="false">(parametros_manuales!$D$19*('Plan mensual'!O46+IF(parametros_manuales!$H$19="Todos",'Plan mensual'!O50,0))+parametros_manuales!$E$19*('Plan mensual'!O47+IF(parametros_manuales!$H$19="Todos",'Plan mensual'!O51,0))+parametros_manuales!$F$19*('Plan mensual'!O48+IF(parametros_manuales!$H$19="Todos",'Plan mensual'!O52,0))+parametros_manuales!$G$19*('Plan mensual'!O49+IF(parametros_manuales!$H$19="Todos",'Plan mensual'!O53,0)))*parametros_manuales!$I$19*parametros_manuales!$J$19</f>
        <v>10328.399735169</v>
      </c>
      <c r="N110" s="9" t="n">
        <f aca="false">SUM(B110:M110)</f>
        <v>88247.6855279</v>
      </c>
      <c r="O110" s="9" t="n">
        <f aca="false">MAX(B110:M110)</f>
        <v>10328.399735169</v>
      </c>
      <c r="P110" s="43" t="n">
        <f aca="false">O110/(parametros_manuales!$B$7)</f>
        <v>68.85599823446</v>
      </c>
      <c r="Q110" s="8" t="str">
        <f aca="false">IF(O110=0,"-",INDEX($B$109:$M$109,MATCH(O110,B110:M110,0)))</f>
        <v>Dic</v>
      </c>
    </row>
    <row r="111" customFormat="false" ht="14.25" hidden="false" customHeight="true" outlineLevel="0" collapsed="false">
      <c r="A111" s="8" t="str">
        <f aca="false">parametros_manuales!$B$20</f>
        <v>Corte de chapa (guillotina) — 2,5 a 10 kg</v>
      </c>
      <c r="B111" s="9" t="n">
        <f aca="false">(parametros_manuales!$D$20*('Plan mensual'!D46+IF(parametros_manuales!$H$20="Todos",'Plan mensual'!D50,0))+parametros_manuales!$E$20*('Plan mensual'!D47+IF(parametros_manuales!$H$20="Todos",'Plan mensual'!D51,0))+parametros_manuales!$F$20*('Plan mensual'!D48+IF(parametros_manuales!$H$20="Todos",'Plan mensual'!D52,0))+parametros_manuales!$G$20*('Plan mensual'!D49+IF(parametros_manuales!$H$20="Todos",'Plan mensual'!D53,0)))*parametros_manuales!$I$20*parametros_manuales!$J$20</f>
        <v>2613.22528179</v>
      </c>
      <c r="C111" s="9" t="n">
        <f aca="false">(parametros_manuales!$D$20*('Plan mensual'!E46+IF(parametros_manuales!$H$20="Todos",'Plan mensual'!E50,0))+parametros_manuales!$E$20*('Plan mensual'!E47+IF(parametros_manuales!$H$20="Todos",'Plan mensual'!E51,0))+parametros_manuales!$F$20*('Plan mensual'!E48+IF(parametros_manuales!$H$20="Todos",'Plan mensual'!E52,0))+parametros_manuales!$G$20*('Plan mensual'!E49+IF(parametros_manuales!$H$20="Todos",'Plan mensual'!E53,0)))*parametros_manuales!$I$20*parametros_manuales!$J$20</f>
        <v>2090.580225432</v>
      </c>
      <c r="D111" s="9" t="n">
        <f aca="false">(parametros_manuales!$D$20*('Plan mensual'!F46+IF(parametros_manuales!$H$20="Todos",'Plan mensual'!F50,0))+parametros_manuales!$E$20*('Plan mensual'!F47+IF(parametros_manuales!$H$20="Todos",'Plan mensual'!F51,0))+parametros_manuales!$F$20*('Plan mensual'!F48+IF(parametros_manuales!$H$20="Todos",'Plan mensual'!F52,0))+parametros_manuales!$G$20*('Plan mensual'!F49+IF(parametros_manuales!$H$20="Todos",'Plan mensual'!F53,0)))*parametros_manuales!$I$20*parametros_manuales!$J$20</f>
        <v>2221.2414895215</v>
      </c>
      <c r="E111" s="9" t="n">
        <f aca="false">(parametros_manuales!$D$20*('Plan mensual'!G46+IF(parametros_manuales!$H$20="Todos",'Plan mensual'!G50,0))+parametros_manuales!$E$20*('Plan mensual'!G47+IF(parametros_manuales!$H$20="Todos",'Plan mensual'!G51,0))+parametros_manuales!$F$20*('Plan mensual'!G48+IF(parametros_manuales!$H$20="Todos",'Plan mensual'!G52,0))+parametros_manuales!$G$20*('Plan mensual'!G49+IF(parametros_manuales!$H$20="Todos",'Plan mensual'!G53,0)))*parametros_manuales!$I$20*parametros_manuales!$J$20</f>
        <v>2221.2414895215</v>
      </c>
      <c r="F111" s="9" t="n">
        <f aca="false">(parametros_manuales!$D$20*('Plan mensual'!H46+IF(parametros_manuales!$H$20="Todos",'Plan mensual'!H50,0))+parametros_manuales!$E$20*('Plan mensual'!H47+IF(parametros_manuales!$H$20="Todos",'Plan mensual'!H51,0))+parametros_manuales!$F$20*('Plan mensual'!H48+IF(parametros_manuales!$H$20="Todos",'Plan mensual'!H52,0))+parametros_manuales!$G$20*('Plan mensual'!H49+IF(parametros_manuales!$H$20="Todos",'Plan mensual'!H53,0)))*parametros_manuales!$I$20*parametros_manuales!$J$20</f>
        <v>2090.580225432</v>
      </c>
      <c r="G111" s="9" t="n">
        <f aca="false">(parametros_manuales!$D$20*('Plan mensual'!I46+IF(parametros_manuales!$H$20="Todos",'Plan mensual'!I50,0))+parametros_manuales!$E$20*('Plan mensual'!I47+IF(parametros_manuales!$H$20="Todos",'Plan mensual'!I51,0))+parametros_manuales!$F$20*('Plan mensual'!I48+IF(parametros_manuales!$H$20="Todos",'Plan mensual'!I52,0))+parametros_manuales!$G$20*('Plan mensual'!I49+IF(parametros_manuales!$H$20="Todos",'Plan mensual'!I53,0)))*parametros_manuales!$I$20*parametros_manuales!$J$20</f>
        <v>1959.9189613425</v>
      </c>
      <c r="H111" s="9" t="n">
        <f aca="false">(parametros_manuales!$D$20*('Plan mensual'!J46+IF(parametros_manuales!$H$20="Todos",'Plan mensual'!J50,0))+parametros_manuales!$E$20*('Plan mensual'!J47+IF(parametros_manuales!$H$20="Todos",'Plan mensual'!J51,0))+parametros_manuales!$F$20*('Plan mensual'!J48+IF(parametros_manuales!$H$20="Todos",'Plan mensual'!J52,0))+parametros_manuales!$G$20*('Plan mensual'!J49+IF(parametros_manuales!$H$20="Todos",'Plan mensual'!J53,0)))*parametros_manuales!$I$20*parametros_manuales!$J$20</f>
        <v>2090.580225432</v>
      </c>
      <c r="I111" s="9" t="n">
        <f aca="false">(parametros_manuales!$D$20*('Plan mensual'!K46+IF(parametros_manuales!$H$20="Todos",'Plan mensual'!K50,0))+parametros_manuales!$E$20*('Plan mensual'!K47+IF(parametros_manuales!$H$20="Todos",'Plan mensual'!K51,0))+parametros_manuales!$F$20*('Plan mensual'!K48+IF(parametros_manuales!$H$20="Todos",'Plan mensual'!K52,0))+parametros_manuales!$G$20*('Plan mensual'!K49+IF(parametros_manuales!$H$20="Todos",'Plan mensual'!K53,0)))*parametros_manuales!$I$20*parametros_manuales!$J$20</f>
        <v>2090.580225432</v>
      </c>
      <c r="J111" s="9" t="n">
        <f aca="false">(parametros_manuales!$D$20*('Plan mensual'!L46+IF(parametros_manuales!$H$20="Todos",'Plan mensual'!L50,0))+parametros_manuales!$E$20*('Plan mensual'!L47+IF(parametros_manuales!$H$20="Todos",'Plan mensual'!L51,0))+parametros_manuales!$F$20*('Plan mensual'!L48+IF(parametros_manuales!$H$20="Todos",'Plan mensual'!L52,0))+parametros_manuales!$G$20*('Plan mensual'!L49+IF(parametros_manuales!$H$20="Todos",'Plan mensual'!L53,0)))*parametros_manuales!$I$20*parametros_manuales!$J$20</f>
        <v>2090.580225432</v>
      </c>
      <c r="K111" s="9" t="n">
        <f aca="false">(parametros_manuales!$D$20*('Plan mensual'!M46+IF(parametros_manuales!$H$20="Todos",'Plan mensual'!M50,0))+parametros_manuales!$E$20*('Plan mensual'!M47+IF(parametros_manuales!$H$20="Todos",'Plan mensual'!M51,0))+parametros_manuales!$F$20*('Plan mensual'!M48+IF(parametros_manuales!$H$20="Todos",'Plan mensual'!M52,0))+parametros_manuales!$G$20*('Plan mensual'!M49+IF(parametros_manuales!$H$20="Todos",'Plan mensual'!M53,0)))*parametros_manuales!$I$20*parametros_manuales!$J$20</f>
        <v>1959.9189613425</v>
      </c>
      <c r="L111" s="9" t="n">
        <f aca="false">(parametros_manuales!$D$20*('Plan mensual'!N46+IF(parametros_manuales!$H$20="Todos",'Plan mensual'!N50,0))+parametros_manuales!$E$20*('Plan mensual'!N47+IF(parametros_manuales!$H$20="Todos",'Plan mensual'!N51,0))+parametros_manuales!$F$20*('Plan mensual'!N48+IF(parametros_manuales!$H$20="Todos",'Plan mensual'!N52,0))+parametros_manuales!$G$20*('Plan mensual'!N49+IF(parametros_manuales!$H$20="Todos",'Plan mensual'!N53,0)))*parametros_manuales!$I$20*parametros_manuales!$J$20</f>
        <v>1829.257697253</v>
      </c>
      <c r="M111" s="9" t="n">
        <f aca="false">(parametros_manuales!$D$20*('Plan mensual'!O46+IF(parametros_manuales!$H$20="Todos",'Plan mensual'!O50,0))+parametros_manuales!$E$20*('Plan mensual'!O47+IF(parametros_manuales!$H$20="Todos",'Plan mensual'!O51,0))+parametros_manuales!$F$20*('Plan mensual'!O48+IF(parametros_manuales!$H$20="Todos",'Plan mensual'!O52,0))+parametros_manuales!$G$20*('Plan mensual'!O49+IF(parametros_manuales!$H$20="Todos",'Plan mensual'!O53,0)))*parametros_manuales!$I$20*parametros_manuales!$J$20</f>
        <v>2874.547809969</v>
      </c>
      <c r="N111" s="9" t="n">
        <f aca="false">SUM(B111:M111)</f>
        <v>26132.2528179</v>
      </c>
      <c r="O111" s="9" t="n">
        <f aca="false">MAX(B111:M111)</f>
        <v>2874.547809969</v>
      </c>
      <c r="P111" s="43" t="n">
        <f aca="false">O111/(parametros_manuales!$B$7)</f>
        <v>19.16365206646</v>
      </c>
      <c r="Q111" s="8" t="str">
        <f aca="false">IF(O111=0,"-",INDEX($B$109:$M$109,MATCH(O111,B111:M111,0)))</f>
        <v>Dic</v>
      </c>
    </row>
    <row r="112" customFormat="false" ht="14.25" hidden="false" customHeight="true" outlineLevel="0" collapsed="false">
      <c r="A112" s="8" t="str">
        <f aca="false">parametros_manuales!$B$21</f>
        <v>Corte de tubo — 1 kg</v>
      </c>
      <c r="B112" s="9" t="n">
        <f aca="false">(parametros_manuales!$D$21*('Plan mensual'!D46+IF(parametros_manuales!$H$21="Todos",'Plan mensual'!D50,0))+parametros_manuales!$E$21*('Plan mensual'!D47+IF(parametros_manuales!$H$21="Todos",'Plan mensual'!D51,0))+parametros_manuales!$F$21*('Plan mensual'!D48+IF(parametros_manuales!$H$21="Todos",'Plan mensual'!D52,0))+parametros_manuales!$G$21*('Plan mensual'!D49+IF(parametros_manuales!$H$21="Todos",'Plan mensual'!D53,0)))*parametros_manuales!$I$21*parametros_manuales!$J$21</f>
        <v>7453.8519252</v>
      </c>
      <c r="C112" s="9" t="n">
        <f aca="false">(parametros_manuales!$D$21*('Plan mensual'!E46+IF(parametros_manuales!$H$21="Todos",'Plan mensual'!E50,0))+parametros_manuales!$E$21*('Plan mensual'!E47+IF(parametros_manuales!$H$21="Todos",'Plan mensual'!E51,0))+parametros_manuales!$F$21*('Plan mensual'!E48+IF(parametros_manuales!$H$21="Todos",'Plan mensual'!E52,0))+parametros_manuales!$G$21*('Plan mensual'!E49+IF(parametros_manuales!$H$21="Todos",'Plan mensual'!E53,0)))*parametros_manuales!$I$21*parametros_manuales!$J$21</f>
        <v>5590.3889439</v>
      </c>
      <c r="D112" s="9" t="n">
        <f aca="false">(parametros_manuales!$D$21*('Plan mensual'!F46+IF(parametros_manuales!$H$21="Todos",'Plan mensual'!F50,0))+parametros_manuales!$E$21*('Plan mensual'!F47+IF(parametros_manuales!$H$21="Todos",'Plan mensual'!F51,0))+parametros_manuales!$F$21*('Plan mensual'!F48+IF(parametros_manuales!$H$21="Todos",'Plan mensual'!F52,0))+parametros_manuales!$G$21*('Plan mensual'!F49+IF(parametros_manuales!$H$21="Todos",'Plan mensual'!F53,0)))*parametros_manuales!$I$21*parametros_manuales!$J$21</f>
        <v>4969.2346168</v>
      </c>
      <c r="E112" s="9" t="n">
        <f aca="false">(parametros_manuales!$D$21*('Plan mensual'!G46+IF(parametros_manuales!$H$21="Todos",'Plan mensual'!G50,0))+parametros_manuales!$E$21*('Plan mensual'!G47+IF(parametros_manuales!$H$21="Todos",'Plan mensual'!G51,0))+parametros_manuales!$F$21*('Plan mensual'!G48+IF(parametros_manuales!$H$21="Todos",'Plan mensual'!G52,0))+parametros_manuales!$G$21*('Plan mensual'!G49+IF(parametros_manuales!$H$21="Todos",'Plan mensual'!G53,0)))*parametros_manuales!$I$21*parametros_manuales!$J$21</f>
        <v>4658.65745325</v>
      </c>
      <c r="F112" s="9" t="n">
        <f aca="false">(parametros_manuales!$D$21*('Plan mensual'!H46+IF(parametros_manuales!$H$21="Todos",'Plan mensual'!H50,0))+parametros_manuales!$E$21*('Plan mensual'!H47+IF(parametros_manuales!$H$21="Todos",'Plan mensual'!H51,0))+parametros_manuales!$F$21*('Plan mensual'!H48+IF(parametros_manuales!$H$21="Todos",'Plan mensual'!H52,0))+parametros_manuales!$G$21*('Plan mensual'!H49+IF(parametros_manuales!$H$21="Todos",'Plan mensual'!H53,0)))*parametros_manuales!$I$21*parametros_manuales!$J$21</f>
        <v>4348.0802897</v>
      </c>
      <c r="G112" s="9" t="n">
        <f aca="false">(parametros_manuales!$D$21*('Plan mensual'!I46+IF(parametros_manuales!$H$21="Todos",'Plan mensual'!I50,0))+parametros_manuales!$E$21*('Plan mensual'!I47+IF(parametros_manuales!$H$21="Todos",'Plan mensual'!I51,0))+parametros_manuales!$F$21*('Plan mensual'!I48+IF(parametros_manuales!$H$21="Todos",'Plan mensual'!I52,0))+parametros_manuales!$G$21*('Plan mensual'!I49+IF(parametros_manuales!$H$21="Todos",'Plan mensual'!I53,0)))*parametros_manuales!$I$21*parametros_manuales!$J$21</f>
        <v>4348.0802897</v>
      </c>
      <c r="H112" s="9" t="n">
        <f aca="false">(parametros_manuales!$D$21*('Plan mensual'!J46+IF(parametros_manuales!$H$21="Todos",'Plan mensual'!J50,0))+parametros_manuales!$E$21*('Plan mensual'!J47+IF(parametros_manuales!$H$21="Todos",'Plan mensual'!J51,0))+parametros_manuales!$F$21*('Plan mensual'!J48+IF(parametros_manuales!$H$21="Todos",'Plan mensual'!J52,0))+parametros_manuales!$G$21*('Plan mensual'!J49+IF(parametros_manuales!$H$21="Todos",'Plan mensual'!J53,0)))*parametros_manuales!$I$21*parametros_manuales!$J$21</f>
        <v>4658.65745325</v>
      </c>
      <c r="I112" s="9" t="n">
        <f aca="false">(parametros_manuales!$D$21*('Plan mensual'!K46+IF(parametros_manuales!$H$21="Todos",'Plan mensual'!K50,0))+parametros_manuales!$E$21*('Plan mensual'!K47+IF(parametros_manuales!$H$21="Todos",'Plan mensual'!K51,0))+parametros_manuales!$F$21*('Plan mensual'!K48+IF(parametros_manuales!$H$21="Todos",'Plan mensual'!K52,0))+parametros_manuales!$G$21*('Plan mensual'!K49+IF(parametros_manuales!$H$21="Todos",'Plan mensual'!K53,0)))*parametros_manuales!$I$21*parametros_manuales!$J$21</f>
        <v>4658.65745325</v>
      </c>
      <c r="J112" s="9" t="n">
        <f aca="false">(parametros_manuales!$D$21*('Plan mensual'!L46+IF(parametros_manuales!$H$21="Todos",'Plan mensual'!L50,0))+parametros_manuales!$E$21*('Plan mensual'!L47+IF(parametros_manuales!$H$21="Todos",'Plan mensual'!L51,0))+parametros_manuales!$F$21*('Plan mensual'!L48+IF(parametros_manuales!$H$21="Todos",'Plan mensual'!L52,0))+parametros_manuales!$G$21*('Plan mensual'!L49+IF(parametros_manuales!$H$21="Todos",'Plan mensual'!L53,0)))*parametros_manuales!$I$21*parametros_manuales!$J$21</f>
        <v>4658.65745325</v>
      </c>
      <c r="K112" s="9" t="n">
        <f aca="false">(parametros_manuales!$D$21*('Plan mensual'!M46+IF(parametros_manuales!$H$21="Todos",'Plan mensual'!M50,0))+parametros_manuales!$E$21*('Plan mensual'!M47+IF(parametros_manuales!$H$21="Todos",'Plan mensual'!M51,0))+parametros_manuales!$F$21*('Plan mensual'!M48+IF(parametros_manuales!$H$21="Todos",'Plan mensual'!M52,0))+parametros_manuales!$G$21*('Plan mensual'!M49+IF(parametros_manuales!$H$21="Todos",'Plan mensual'!M53,0)))*parametros_manuales!$I$21*parametros_manuales!$J$21</f>
        <v>4658.65745325</v>
      </c>
      <c r="L112" s="9" t="n">
        <f aca="false">(parametros_manuales!$D$21*('Plan mensual'!N46+IF(parametros_manuales!$H$21="Todos",'Plan mensual'!N50,0))+parametros_manuales!$E$21*('Plan mensual'!N47+IF(parametros_manuales!$H$21="Todos",'Plan mensual'!N51,0))+parametros_manuales!$F$21*('Plan mensual'!N48+IF(parametros_manuales!$H$21="Todos",'Plan mensual'!N52,0))+parametros_manuales!$G$21*('Plan mensual'!N49+IF(parametros_manuales!$H$21="Todos",'Plan mensual'!N53,0)))*parametros_manuales!$I$21*parametros_manuales!$J$21</f>
        <v>4658.65745325</v>
      </c>
      <c r="M112" s="9" t="n">
        <f aca="false">(parametros_manuales!$D$21*('Plan mensual'!O46+IF(parametros_manuales!$H$21="Todos",'Plan mensual'!O50,0))+parametros_manuales!$E$21*('Plan mensual'!O47+IF(parametros_manuales!$H$21="Todos",'Plan mensual'!O51,0))+parametros_manuales!$F$21*('Plan mensual'!O48+IF(parametros_manuales!$H$21="Todos",'Plan mensual'!O52,0))+parametros_manuales!$G$21*('Plan mensual'!O49+IF(parametros_manuales!$H$21="Todos",'Plan mensual'!O53,0)))*parametros_manuales!$I$21*parametros_manuales!$J$21</f>
        <v>7453.8519252</v>
      </c>
      <c r="N112" s="9" t="n">
        <f aca="false">SUM(B112:M112)</f>
        <v>62115.43271</v>
      </c>
      <c r="O112" s="9" t="n">
        <f aca="false">MAX(B112:M112)</f>
        <v>7453.8519252</v>
      </c>
      <c r="P112" s="43" t="n">
        <f aca="false">O112/(parametros_manuales!$B$7)</f>
        <v>49.692346168</v>
      </c>
      <c r="Q112" s="8" t="str">
        <f aca="false">IF(O112=0,"-",INDEX($B$109:$M$109,MATCH(O112,B112:M112,0)))</f>
        <v>Ene</v>
      </c>
    </row>
    <row r="113" customFormat="false" ht="14.25" hidden="false" customHeight="true" outlineLevel="0" collapsed="false">
      <c r="A113" s="8" t="str">
        <f aca="false">parametros_manuales!$B$22</f>
        <v>Corte de disco y embutido (cúpula y fondo)</v>
      </c>
      <c r="B113" s="9" t="n">
        <f aca="false">(parametros_manuales!$D$22*('Plan mensual'!D46+IF(parametros_manuales!$H$22="Todos",'Plan mensual'!D50,0))+parametros_manuales!$E$22*('Plan mensual'!D47+IF(parametros_manuales!$H$22="Todos",'Plan mensual'!D51,0))+parametros_manuales!$F$22*('Plan mensual'!D48+IF(parametros_manuales!$H$22="Todos",'Plan mensual'!D52,0))+parametros_manuales!$G$22*('Plan mensual'!D49+IF(parametros_manuales!$H$22="Todos",'Plan mensual'!D53,0)))*parametros_manuales!$I$22*parametros_manuales!$J$22</f>
        <v>20134.15441398</v>
      </c>
      <c r="C113" s="9" t="n">
        <f aca="false">(parametros_manuales!$D$22*('Plan mensual'!E46+IF(parametros_manuales!$H$22="Todos",'Plan mensual'!E50,0))+parametros_manuales!$E$22*('Plan mensual'!E47+IF(parametros_manuales!$H$22="Todos",'Plan mensual'!E51,0))+parametros_manuales!$F$22*('Plan mensual'!E48+IF(parametros_manuales!$H$22="Todos",'Plan mensual'!E52,0))+parametros_manuales!$G$22*('Plan mensual'!E49+IF(parametros_manuales!$H$22="Todos",'Plan mensual'!E53,0)))*parametros_manuales!$I$22*parametros_manuales!$J$22</f>
        <v>15361.938338664</v>
      </c>
      <c r="D113" s="9" t="n">
        <f aca="false">(parametros_manuales!$D$22*('Plan mensual'!F46+IF(parametros_manuales!$H$22="Todos",'Plan mensual'!F50,0))+parametros_manuales!$E$22*('Plan mensual'!F47+IF(parametros_manuales!$H$22="Todos",'Plan mensual'!F51,0))+parametros_manuales!$F$22*('Plan mensual'!F48+IF(parametros_manuales!$H$22="Todos",'Plan mensual'!F52,0))+parametros_manuales!$G$22*('Plan mensual'!F49+IF(parametros_manuales!$H$22="Todos",'Plan mensual'!F53,0)))*parametros_manuales!$I$22*parametros_manuales!$J$22</f>
        <v>14380.952212643</v>
      </c>
      <c r="E113" s="9" t="n">
        <f aca="false">(parametros_manuales!$D$22*('Plan mensual'!G46+IF(parametros_manuales!$H$22="Todos",'Plan mensual'!G50,0))+parametros_manuales!$E$22*('Plan mensual'!G47+IF(parametros_manuales!$H$22="Todos",'Plan mensual'!G51,0))+parametros_manuales!$F$22*('Plan mensual'!G48+IF(parametros_manuales!$H$22="Todos",'Plan mensual'!G52,0))+parametros_manuales!$G$22*('Plan mensual'!G49+IF(parametros_manuales!$H$22="Todos",'Plan mensual'!G53,0)))*parametros_manuales!$I$22*parametros_manuales!$J$22</f>
        <v>13759.797885543</v>
      </c>
      <c r="F113" s="9" t="n">
        <f aca="false">(parametros_manuales!$D$22*('Plan mensual'!H46+IF(parametros_manuales!$H$22="Todos",'Plan mensual'!H50,0))+parametros_manuales!$E$22*('Plan mensual'!H47+IF(parametros_manuales!$H$22="Todos",'Plan mensual'!H51,0))+parametros_manuales!$F$22*('Plan mensual'!H48+IF(parametros_manuales!$H$22="Todos",'Plan mensual'!H52,0))+parametros_manuales!$G$22*('Plan mensual'!H49+IF(parametros_manuales!$H$22="Todos",'Plan mensual'!H53,0)))*parametros_manuales!$I$22*parametros_manuales!$J$22</f>
        <v>12877.321030264</v>
      </c>
      <c r="G113" s="9" t="n">
        <f aca="false">(parametros_manuales!$D$22*('Plan mensual'!I46+IF(parametros_manuales!$H$22="Todos",'Plan mensual'!I50,0))+parametros_manuales!$E$22*('Plan mensual'!I47+IF(parametros_manuales!$H$22="Todos",'Plan mensual'!I51,0))+parametros_manuales!$F$22*('Plan mensual'!I48+IF(parametros_manuales!$H$22="Todos",'Plan mensual'!I52,0))+parametros_manuales!$G$22*('Plan mensual'!I49+IF(parametros_manuales!$H$22="Todos",'Plan mensual'!I53,0)))*parametros_manuales!$I$22*parametros_manuales!$J$22</f>
        <v>12615.998502085</v>
      </c>
      <c r="H113" s="9" t="n">
        <f aca="false">(parametros_manuales!$D$22*('Plan mensual'!J46+IF(parametros_manuales!$H$22="Todos",'Plan mensual'!J50,0))+parametros_manuales!$E$22*('Plan mensual'!J47+IF(parametros_manuales!$H$22="Todos",'Plan mensual'!J51,0))+parametros_manuales!$F$22*('Plan mensual'!J48+IF(parametros_manuales!$H$22="Todos",'Plan mensual'!J52,0))+parametros_manuales!$G$22*('Plan mensual'!J49+IF(parametros_manuales!$H$22="Todos",'Plan mensual'!J53,0)))*parametros_manuales!$I$22*parametros_manuales!$J$22</f>
        <v>13498.475357364</v>
      </c>
      <c r="I113" s="9" t="n">
        <f aca="false">(parametros_manuales!$D$22*('Plan mensual'!K46+IF(parametros_manuales!$H$22="Todos",'Plan mensual'!K50,0))+parametros_manuales!$E$22*('Plan mensual'!K47+IF(parametros_manuales!$H$22="Todos",'Plan mensual'!K51,0))+parametros_manuales!$F$22*('Plan mensual'!K48+IF(parametros_manuales!$H$22="Todos",'Plan mensual'!K52,0))+parametros_manuales!$G$22*('Plan mensual'!K49+IF(parametros_manuales!$H$22="Todos",'Plan mensual'!K53,0)))*parametros_manuales!$I$22*parametros_manuales!$J$22</f>
        <v>13498.475357364</v>
      </c>
      <c r="J113" s="9" t="n">
        <f aca="false">(parametros_manuales!$D$22*('Plan mensual'!L46+IF(parametros_manuales!$H$22="Todos",'Plan mensual'!L50,0))+parametros_manuales!$E$22*('Plan mensual'!L47+IF(parametros_manuales!$H$22="Todos",'Plan mensual'!L51,0))+parametros_manuales!$F$22*('Plan mensual'!L48+IF(parametros_manuales!$H$22="Todos",'Plan mensual'!L52,0))+parametros_manuales!$G$22*('Plan mensual'!L49+IF(parametros_manuales!$H$22="Todos",'Plan mensual'!L53,0)))*parametros_manuales!$I$22*parametros_manuales!$J$22</f>
        <v>13498.475357364</v>
      </c>
      <c r="K113" s="9" t="n">
        <f aca="false">(parametros_manuales!$D$22*('Plan mensual'!M46+IF(parametros_manuales!$H$22="Todos",'Plan mensual'!M50,0))+parametros_manuales!$E$22*('Plan mensual'!M47+IF(parametros_manuales!$H$22="Todos",'Plan mensual'!M51,0))+parametros_manuales!$F$22*('Plan mensual'!M48+IF(parametros_manuales!$H$22="Todos",'Plan mensual'!M52,0))+parametros_manuales!$G$22*('Plan mensual'!M49+IF(parametros_manuales!$H$22="Todos",'Plan mensual'!M53,0)))*parametros_manuales!$I$22*parametros_manuales!$J$22</f>
        <v>13237.152829185</v>
      </c>
      <c r="L113" s="9" t="n">
        <f aca="false">(parametros_manuales!$D$22*('Plan mensual'!N46+IF(parametros_manuales!$H$22="Todos",'Plan mensual'!N50,0))+parametros_manuales!$E$22*('Plan mensual'!N47+IF(parametros_manuales!$H$22="Todos",'Plan mensual'!N51,0))+parametros_manuales!$F$22*('Plan mensual'!N48+IF(parametros_manuales!$H$22="Todos",'Plan mensual'!N52,0))+parametros_manuales!$G$22*('Plan mensual'!N49+IF(parametros_manuales!$H$22="Todos",'Plan mensual'!N53,0)))*parametros_manuales!$I$22*parametros_manuales!$J$22</f>
        <v>12975.830301006</v>
      </c>
      <c r="M113" s="9" t="n">
        <f aca="false">(parametros_manuales!$D$22*('Plan mensual'!O46+IF(parametros_manuales!$H$22="Todos",'Plan mensual'!O50,0))+parametros_manuales!$E$22*('Plan mensual'!O47+IF(parametros_manuales!$H$22="Todos",'Plan mensual'!O51,0))+parametros_manuales!$F$22*('Plan mensual'!O48+IF(parametros_manuales!$H$22="Todos",'Plan mensual'!O52,0))+parametros_manuales!$G$22*('Plan mensual'!O49+IF(parametros_manuales!$H$22="Todos",'Plan mensual'!O53,0)))*parametros_manuales!$I$22*parametros_manuales!$J$22</f>
        <v>20656.799470338</v>
      </c>
      <c r="N113" s="9" t="n">
        <f aca="false">SUM(B113:M113)</f>
        <v>176495.3710558</v>
      </c>
      <c r="O113" s="9" t="n">
        <f aca="false">MAX(B113:M113)</f>
        <v>20656.799470338</v>
      </c>
      <c r="P113" s="43" t="n">
        <f aca="false">O113/(parametros_manuales!$B$7)</f>
        <v>137.71199646892</v>
      </c>
      <c r="Q113" s="8" t="str">
        <f aca="false">IF(O113=0,"-",INDEX($B$109:$M$109,MATCH(O113,B113:M113,0)))</f>
        <v>Dic</v>
      </c>
    </row>
    <row r="114" customFormat="false" ht="14.25" hidden="false" customHeight="true" outlineLevel="0" collapsed="false">
      <c r="A114" s="8" t="str">
        <f aca="false">parametros_manuales!$B$23</f>
        <v>Preparación de cuello</v>
      </c>
      <c r="B114" s="9" t="n">
        <f aca="false">(parametros_manuales!$D$23*('Plan mensual'!D46+IF(parametros_manuales!$H$23="Todos",'Plan mensual'!D50,0))+parametros_manuales!$E$23*('Plan mensual'!D47+IF(parametros_manuales!$H$23="Todos",'Plan mensual'!D51,0))+parametros_manuales!$F$23*('Plan mensual'!D48+IF(parametros_manuales!$H$23="Todos",'Plan mensual'!D52,0))+parametros_manuales!$G$23*('Plan mensual'!D49+IF(parametros_manuales!$H$23="Todos",'Plan mensual'!D53,0)))*parametros_manuales!$I$23*parametros_manuales!$J$23</f>
        <v>10067.07720699</v>
      </c>
      <c r="C114" s="9" t="n">
        <f aca="false">(parametros_manuales!$D$23*('Plan mensual'!E46+IF(parametros_manuales!$H$23="Todos",'Plan mensual'!E50,0))+parametros_manuales!$E$23*('Plan mensual'!E47+IF(parametros_manuales!$H$23="Todos",'Plan mensual'!E51,0))+parametros_manuales!$F$23*('Plan mensual'!E48+IF(parametros_manuales!$H$23="Todos",'Plan mensual'!E52,0))+parametros_manuales!$G$23*('Plan mensual'!E49+IF(parametros_manuales!$H$23="Todos",'Plan mensual'!E53,0)))*parametros_manuales!$I$23*parametros_manuales!$J$23</f>
        <v>7680.969169332</v>
      </c>
      <c r="D114" s="9" t="n">
        <f aca="false">(parametros_manuales!$D$23*('Plan mensual'!F46+IF(parametros_manuales!$H$23="Todos",'Plan mensual'!F50,0))+parametros_manuales!$E$23*('Plan mensual'!F47+IF(parametros_manuales!$H$23="Todos",'Plan mensual'!F51,0))+parametros_manuales!$F$23*('Plan mensual'!F48+IF(parametros_manuales!$H$23="Todos",'Plan mensual'!F52,0))+parametros_manuales!$G$23*('Plan mensual'!F49+IF(parametros_manuales!$H$23="Todos",'Plan mensual'!F53,0)))*parametros_manuales!$I$23*parametros_manuales!$J$23</f>
        <v>7190.4761063215</v>
      </c>
      <c r="E114" s="9" t="n">
        <f aca="false">(parametros_manuales!$D$23*('Plan mensual'!G46+IF(parametros_manuales!$H$23="Todos",'Plan mensual'!G50,0))+parametros_manuales!$E$23*('Plan mensual'!G47+IF(parametros_manuales!$H$23="Todos",'Plan mensual'!G51,0))+parametros_manuales!$F$23*('Plan mensual'!G48+IF(parametros_manuales!$H$23="Todos",'Plan mensual'!G52,0))+parametros_manuales!$G$23*('Plan mensual'!G49+IF(parametros_manuales!$H$23="Todos",'Plan mensual'!G53,0)))*parametros_manuales!$I$23*parametros_manuales!$J$23</f>
        <v>6879.8989427715</v>
      </c>
      <c r="F114" s="9" t="n">
        <f aca="false">(parametros_manuales!$D$23*('Plan mensual'!H46+IF(parametros_manuales!$H$23="Todos",'Plan mensual'!H50,0))+parametros_manuales!$E$23*('Plan mensual'!H47+IF(parametros_manuales!$H$23="Todos",'Plan mensual'!H51,0))+parametros_manuales!$F$23*('Plan mensual'!H48+IF(parametros_manuales!$H$23="Todos",'Plan mensual'!H52,0))+parametros_manuales!$G$23*('Plan mensual'!H49+IF(parametros_manuales!$H$23="Todos",'Plan mensual'!H53,0)))*parametros_manuales!$I$23*parametros_manuales!$J$23</f>
        <v>6438.660515132</v>
      </c>
      <c r="G114" s="9" t="n">
        <f aca="false">(parametros_manuales!$D$23*('Plan mensual'!I46+IF(parametros_manuales!$H$23="Todos",'Plan mensual'!I50,0))+parametros_manuales!$E$23*('Plan mensual'!I47+IF(parametros_manuales!$H$23="Todos",'Plan mensual'!I51,0))+parametros_manuales!$F$23*('Plan mensual'!I48+IF(parametros_manuales!$H$23="Todos",'Plan mensual'!I52,0))+parametros_manuales!$G$23*('Plan mensual'!I49+IF(parametros_manuales!$H$23="Todos",'Plan mensual'!I53,0)))*parametros_manuales!$I$23*parametros_manuales!$J$23</f>
        <v>6307.9992510425</v>
      </c>
      <c r="H114" s="9" t="n">
        <f aca="false">(parametros_manuales!$D$23*('Plan mensual'!J46+IF(parametros_manuales!$H$23="Todos",'Plan mensual'!J50,0))+parametros_manuales!$E$23*('Plan mensual'!J47+IF(parametros_manuales!$H$23="Todos",'Plan mensual'!J51,0))+parametros_manuales!$F$23*('Plan mensual'!J48+IF(parametros_manuales!$H$23="Todos",'Plan mensual'!J52,0))+parametros_manuales!$G$23*('Plan mensual'!J49+IF(parametros_manuales!$H$23="Todos",'Plan mensual'!J53,0)))*parametros_manuales!$I$23*parametros_manuales!$J$23</f>
        <v>6749.237678682</v>
      </c>
      <c r="I114" s="9" t="n">
        <f aca="false">(parametros_manuales!$D$23*('Plan mensual'!K46+IF(parametros_manuales!$H$23="Todos",'Plan mensual'!K50,0))+parametros_manuales!$E$23*('Plan mensual'!K47+IF(parametros_manuales!$H$23="Todos",'Plan mensual'!K51,0))+parametros_manuales!$F$23*('Plan mensual'!K48+IF(parametros_manuales!$H$23="Todos",'Plan mensual'!K52,0))+parametros_manuales!$G$23*('Plan mensual'!K49+IF(parametros_manuales!$H$23="Todos",'Plan mensual'!K53,0)))*parametros_manuales!$I$23*parametros_manuales!$J$23</f>
        <v>6749.237678682</v>
      </c>
      <c r="J114" s="9" t="n">
        <f aca="false">(parametros_manuales!$D$23*('Plan mensual'!L46+IF(parametros_manuales!$H$23="Todos",'Plan mensual'!L50,0))+parametros_manuales!$E$23*('Plan mensual'!L47+IF(parametros_manuales!$H$23="Todos",'Plan mensual'!L51,0))+parametros_manuales!$F$23*('Plan mensual'!L48+IF(parametros_manuales!$H$23="Todos",'Plan mensual'!L52,0))+parametros_manuales!$G$23*('Plan mensual'!L49+IF(parametros_manuales!$H$23="Todos",'Plan mensual'!L53,0)))*parametros_manuales!$I$23*parametros_manuales!$J$23</f>
        <v>6749.237678682</v>
      </c>
      <c r="K114" s="9" t="n">
        <f aca="false">(parametros_manuales!$D$23*('Plan mensual'!M46+IF(parametros_manuales!$H$23="Todos",'Plan mensual'!M50,0))+parametros_manuales!$E$23*('Plan mensual'!M47+IF(parametros_manuales!$H$23="Todos",'Plan mensual'!M51,0))+parametros_manuales!$F$23*('Plan mensual'!M48+IF(parametros_manuales!$H$23="Todos",'Plan mensual'!M52,0))+parametros_manuales!$G$23*('Plan mensual'!M49+IF(parametros_manuales!$H$23="Todos",'Plan mensual'!M53,0)))*parametros_manuales!$I$23*parametros_manuales!$J$23</f>
        <v>6618.5764145925</v>
      </c>
      <c r="L114" s="9" t="n">
        <f aca="false">(parametros_manuales!$D$23*('Plan mensual'!N46+IF(parametros_manuales!$H$23="Todos",'Plan mensual'!N50,0))+parametros_manuales!$E$23*('Plan mensual'!N47+IF(parametros_manuales!$H$23="Todos",'Plan mensual'!N51,0))+parametros_manuales!$F$23*('Plan mensual'!N48+IF(parametros_manuales!$H$23="Todos",'Plan mensual'!N52,0))+parametros_manuales!$G$23*('Plan mensual'!N49+IF(parametros_manuales!$H$23="Todos",'Plan mensual'!N53,0)))*parametros_manuales!$I$23*parametros_manuales!$J$23</f>
        <v>6487.915150503</v>
      </c>
      <c r="M114" s="9" t="n">
        <f aca="false">(parametros_manuales!$D$23*('Plan mensual'!O46+IF(parametros_manuales!$H$23="Todos",'Plan mensual'!O50,0))+parametros_manuales!$E$23*('Plan mensual'!O47+IF(parametros_manuales!$H$23="Todos",'Plan mensual'!O51,0))+parametros_manuales!$F$23*('Plan mensual'!O48+IF(parametros_manuales!$H$23="Todos",'Plan mensual'!O52,0))+parametros_manuales!$G$23*('Plan mensual'!O49+IF(parametros_manuales!$H$23="Todos",'Plan mensual'!O53,0)))*parametros_manuales!$I$23*parametros_manuales!$J$23</f>
        <v>10328.399735169</v>
      </c>
      <c r="N114" s="9" t="n">
        <f aca="false">SUM(B114:M114)</f>
        <v>88247.6855279</v>
      </c>
      <c r="O114" s="9" t="n">
        <f aca="false">MAX(B114:M114)</f>
        <v>10328.399735169</v>
      </c>
      <c r="P114" s="43" t="n">
        <f aca="false">O114/(parametros_manuales!$B$7)</f>
        <v>68.85599823446</v>
      </c>
      <c r="Q114" s="8" t="str">
        <f aca="false">IF(O114=0,"-",INDEX($B$109:$M$109,MATCH(O114,B114:M114,0)))</f>
        <v>Dic</v>
      </c>
    </row>
    <row r="115" customFormat="false" ht="14.25" hidden="false" customHeight="true" outlineLevel="0" collapsed="false">
      <c r="A115" s="8" t="str">
        <f aca="false">parametros_manuales!$B$24</f>
        <v>Numerado de cúpula</v>
      </c>
      <c r="B115" s="9" t="n">
        <f aca="false">(parametros_manuales!$D$24*('Plan mensual'!D46+IF(parametros_manuales!$H$24="Todos",'Plan mensual'!D50,0))+parametros_manuales!$E$24*('Plan mensual'!D47+IF(parametros_manuales!$H$24="Todos",'Plan mensual'!D51,0))+parametros_manuales!$F$24*('Plan mensual'!D48+IF(parametros_manuales!$H$24="Todos",'Plan mensual'!D52,0))+parametros_manuales!$G$24*('Plan mensual'!D49+IF(parametros_manuales!$H$24="Todos",'Plan mensual'!D53,0)))*parametros_manuales!$I$24*parametros_manuales!$J$24</f>
        <v>10067.07720699</v>
      </c>
      <c r="C115" s="9" t="n">
        <f aca="false">(parametros_manuales!$D$24*('Plan mensual'!E46+IF(parametros_manuales!$H$24="Todos",'Plan mensual'!E50,0))+parametros_manuales!$E$24*('Plan mensual'!E47+IF(parametros_manuales!$H$24="Todos",'Plan mensual'!E51,0))+parametros_manuales!$F$24*('Plan mensual'!E48+IF(parametros_manuales!$H$24="Todos",'Plan mensual'!E52,0))+parametros_manuales!$G$24*('Plan mensual'!E49+IF(parametros_manuales!$H$24="Todos",'Plan mensual'!E53,0)))*parametros_manuales!$I$24*parametros_manuales!$J$24</f>
        <v>7680.969169332</v>
      </c>
      <c r="D115" s="9" t="n">
        <f aca="false">(parametros_manuales!$D$24*('Plan mensual'!F46+IF(parametros_manuales!$H$24="Todos",'Plan mensual'!F50,0))+parametros_manuales!$E$24*('Plan mensual'!F47+IF(parametros_manuales!$H$24="Todos",'Plan mensual'!F51,0))+parametros_manuales!$F$24*('Plan mensual'!F48+IF(parametros_manuales!$H$24="Todos",'Plan mensual'!F52,0))+parametros_manuales!$G$24*('Plan mensual'!F49+IF(parametros_manuales!$H$24="Todos",'Plan mensual'!F53,0)))*parametros_manuales!$I$24*parametros_manuales!$J$24</f>
        <v>7190.4761063215</v>
      </c>
      <c r="E115" s="9" t="n">
        <f aca="false">(parametros_manuales!$D$24*('Plan mensual'!G46+IF(parametros_manuales!$H$24="Todos",'Plan mensual'!G50,0))+parametros_manuales!$E$24*('Plan mensual'!G47+IF(parametros_manuales!$H$24="Todos",'Plan mensual'!G51,0))+parametros_manuales!$F$24*('Plan mensual'!G48+IF(parametros_manuales!$H$24="Todos",'Plan mensual'!G52,0))+parametros_manuales!$G$24*('Plan mensual'!G49+IF(parametros_manuales!$H$24="Todos",'Plan mensual'!G53,0)))*parametros_manuales!$I$24*parametros_manuales!$J$24</f>
        <v>6879.8989427715</v>
      </c>
      <c r="F115" s="9" t="n">
        <f aca="false">(parametros_manuales!$D$24*('Plan mensual'!H46+IF(parametros_manuales!$H$24="Todos",'Plan mensual'!H50,0))+parametros_manuales!$E$24*('Plan mensual'!H47+IF(parametros_manuales!$H$24="Todos",'Plan mensual'!H51,0))+parametros_manuales!$F$24*('Plan mensual'!H48+IF(parametros_manuales!$H$24="Todos",'Plan mensual'!H52,0))+parametros_manuales!$G$24*('Plan mensual'!H49+IF(parametros_manuales!$H$24="Todos",'Plan mensual'!H53,0)))*parametros_manuales!$I$24*parametros_manuales!$J$24</f>
        <v>6438.660515132</v>
      </c>
      <c r="G115" s="9" t="n">
        <f aca="false">(parametros_manuales!$D$24*('Plan mensual'!I46+IF(parametros_manuales!$H$24="Todos",'Plan mensual'!I50,0))+parametros_manuales!$E$24*('Plan mensual'!I47+IF(parametros_manuales!$H$24="Todos",'Plan mensual'!I51,0))+parametros_manuales!$F$24*('Plan mensual'!I48+IF(parametros_manuales!$H$24="Todos",'Plan mensual'!I52,0))+parametros_manuales!$G$24*('Plan mensual'!I49+IF(parametros_manuales!$H$24="Todos",'Plan mensual'!I53,0)))*parametros_manuales!$I$24*parametros_manuales!$J$24</f>
        <v>6307.9992510425</v>
      </c>
      <c r="H115" s="9" t="n">
        <f aca="false">(parametros_manuales!$D$24*('Plan mensual'!J46+IF(parametros_manuales!$H$24="Todos",'Plan mensual'!J50,0))+parametros_manuales!$E$24*('Plan mensual'!J47+IF(parametros_manuales!$H$24="Todos",'Plan mensual'!J51,0))+parametros_manuales!$F$24*('Plan mensual'!J48+IF(parametros_manuales!$H$24="Todos",'Plan mensual'!J52,0))+parametros_manuales!$G$24*('Plan mensual'!J49+IF(parametros_manuales!$H$24="Todos",'Plan mensual'!J53,0)))*parametros_manuales!$I$24*parametros_manuales!$J$24</f>
        <v>6749.237678682</v>
      </c>
      <c r="I115" s="9" t="n">
        <f aca="false">(parametros_manuales!$D$24*('Plan mensual'!K46+IF(parametros_manuales!$H$24="Todos",'Plan mensual'!K50,0))+parametros_manuales!$E$24*('Plan mensual'!K47+IF(parametros_manuales!$H$24="Todos",'Plan mensual'!K51,0))+parametros_manuales!$F$24*('Plan mensual'!K48+IF(parametros_manuales!$H$24="Todos",'Plan mensual'!K52,0))+parametros_manuales!$G$24*('Plan mensual'!K49+IF(parametros_manuales!$H$24="Todos",'Plan mensual'!K53,0)))*parametros_manuales!$I$24*parametros_manuales!$J$24</f>
        <v>6749.237678682</v>
      </c>
      <c r="J115" s="9" t="n">
        <f aca="false">(parametros_manuales!$D$24*('Plan mensual'!L46+IF(parametros_manuales!$H$24="Todos",'Plan mensual'!L50,0))+parametros_manuales!$E$24*('Plan mensual'!L47+IF(parametros_manuales!$H$24="Todos",'Plan mensual'!L51,0))+parametros_manuales!$F$24*('Plan mensual'!L48+IF(parametros_manuales!$H$24="Todos",'Plan mensual'!L52,0))+parametros_manuales!$G$24*('Plan mensual'!L49+IF(parametros_manuales!$H$24="Todos",'Plan mensual'!L53,0)))*parametros_manuales!$I$24*parametros_manuales!$J$24</f>
        <v>6749.237678682</v>
      </c>
      <c r="K115" s="9" t="n">
        <f aca="false">(parametros_manuales!$D$24*('Plan mensual'!M46+IF(parametros_manuales!$H$24="Todos",'Plan mensual'!M50,0))+parametros_manuales!$E$24*('Plan mensual'!M47+IF(parametros_manuales!$H$24="Todos",'Plan mensual'!M51,0))+parametros_manuales!$F$24*('Plan mensual'!M48+IF(parametros_manuales!$H$24="Todos",'Plan mensual'!M52,0))+parametros_manuales!$G$24*('Plan mensual'!M49+IF(parametros_manuales!$H$24="Todos",'Plan mensual'!M53,0)))*parametros_manuales!$I$24*parametros_manuales!$J$24</f>
        <v>6618.5764145925</v>
      </c>
      <c r="L115" s="9" t="n">
        <f aca="false">(parametros_manuales!$D$24*('Plan mensual'!N46+IF(parametros_manuales!$H$24="Todos",'Plan mensual'!N50,0))+parametros_manuales!$E$24*('Plan mensual'!N47+IF(parametros_manuales!$H$24="Todos",'Plan mensual'!N51,0))+parametros_manuales!$F$24*('Plan mensual'!N48+IF(parametros_manuales!$H$24="Todos",'Plan mensual'!N52,0))+parametros_manuales!$G$24*('Plan mensual'!N49+IF(parametros_manuales!$H$24="Todos",'Plan mensual'!N53,0)))*parametros_manuales!$I$24*parametros_manuales!$J$24</f>
        <v>6487.915150503</v>
      </c>
      <c r="M115" s="9" t="n">
        <f aca="false">(parametros_manuales!$D$24*('Plan mensual'!O46+IF(parametros_manuales!$H$24="Todos",'Plan mensual'!O50,0))+parametros_manuales!$E$24*('Plan mensual'!O47+IF(parametros_manuales!$H$24="Todos",'Plan mensual'!O51,0))+parametros_manuales!$F$24*('Plan mensual'!O48+IF(parametros_manuales!$H$24="Todos",'Plan mensual'!O52,0))+parametros_manuales!$G$24*('Plan mensual'!O49+IF(parametros_manuales!$H$24="Todos",'Plan mensual'!O53,0)))*parametros_manuales!$I$24*parametros_manuales!$J$24</f>
        <v>10328.399735169</v>
      </c>
      <c r="N115" s="9" t="n">
        <f aca="false">SUM(B115:M115)</f>
        <v>88247.6855279</v>
      </c>
      <c r="O115" s="9" t="n">
        <f aca="false">MAX(B115:M115)</f>
        <v>10328.399735169</v>
      </c>
      <c r="P115" s="43" t="n">
        <f aca="false">O115/(parametros_manuales!$B$7)</f>
        <v>68.85599823446</v>
      </c>
      <c r="Q115" s="8" t="str">
        <f aca="false">IF(O115=0,"-",INDEX($B$109:$M$109,MATCH(O115,B115:M115,0)))</f>
        <v>Dic</v>
      </c>
    </row>
    <row r="116" customFormat="false" ht="14.25" hidden="false" customHeight="true" outlineLevel="0" collapsed="false">
      <c r="A116" s="8" t="str">
        <f aca="false">parametros_manuales!$B$25</f>
        <v>Soldadura del cuello a la cúpula</v>
      </c>
      <c r="B116" s="9" t="n">
        <f aca="false">(parametros_manuales!$D$25*('Plan mensual'!D46+IF(parametros_manuales!$H$25="Todos",'Plan mensual'!D50,0))+parametros_manuales!$E$25*('Plan mensual'!D47+IF(parametros_manuales!$H$25="Todos",'Plan mensual'!D51,0))+parametros_manuales!$F$25*('Plan mensual'!D48+IF(parametros_manuales!$H$25="Todos",'Plan mensual'!D52,0))+parametros_manuales!$G$25*('Plan mensual'!D49+IF(parametros_manuales!$H$25="Todos",'Plan mensual'!D53,0)))*parametros_manuales!$I$25*parametros_manuales!$J$25</f>
        <v>10067.07720699</v>
      </c>
      <c r="C116" s="9" t="n">
        <f aca="false">(parametros_manuales!$D$25*('Plan mensual'!E46+IF(parametros_manuales!$H$25="Todos",'Plan mensual'!E50,0))+parametros_manuales!$E$25*('Plan mensual'!E47+IF(parametros_manuales!$H$25="Todos",'Plan mensual'!E51,0))+parametros_manuales!$F$25*('Plan mensual'!E48+IF(parametros_manuales!$H$25="Todos",'Plan mensual'!E52,0))+parametros_manuales!$G$25*('Plan mensual'!E49+IF(parametros_manuales!$H$25="Todos",'Plan mensual'!E53,0)))*parametros_manuales!$I$25*parametros_manuales!$J$25</f>
        <v>7680.969169332</v>
      </c>
      <c r="D116" s="9" t="n">
        <f aca="false">(parametros_manuales!$D$25*('Plan mensual'!F46+IF(parametros_manuales!$H$25="Todos",'Plan mensual'!F50,0))+parametros_manuales!$E$25*('Plan mensual'!F47+IF(parametros_manuales!$H$25="Todos",'Plan mensual'!F51,0))+parametros_manuales!$F$25*('Plan mensual'!F48+IF(parametros_manuales!$H$25="Todos",'Plan mensual'!F52,0))+parametros_manuales!$G$25*('Plan mensual'!F49+IF(parametros_manuales!$H$25="Todos",'Plan mensual'!F53,0)))*parametros_manuales!$I$25*parametros_manuales!$J$25</f>
        <v>7190.4761063215</v>
      </c>
      <c r="E116" s="9" t="n">
        <f aca="false">(parametros_manuales!$D$25*('Plan mensual'!G46+IF(parametros_manuales!$H$25="Todos",'Plan mensual'!G50,0))+parametros_manuales!$E$25*('Plan mensual'!G47+IF(parametros_manuales!$H$25="Todos",'Plan mensual'!G51,0))+parametros_manuales!$F$25*('Plan mensual'!G48+IF(parametros_manuales!$H$25="Todos",'Plan mensual'!G52,0))+parametros_manuales!$G$25*('Plan mensual'!G49+IF(parametros_manuales!$H$25="Todos",'Plan mensual'!G53,0)))*parametros_manuales!$I$25*parametros_manuales!$J$25</f>
        <v>6879.8989427715</v>
      </c>
      <c r="F116" s="9" t="n">
        <f aca="false">(parametros_manuales!$D$25*('Plan mensual'!H46+IF(parametros_manuales!$H$25="Todos",'Plan mensual'!H50,0))+parametros_manuales!$E$25*('Plan mensual'!H47+IF(parametros_manuales!$H$25="Todos",'Plan mensual'!H51,0))+parametros_manuales!$F$25*('Plan mensual'!H48+IF(parametros_manuales!$H$25="Todos",'Plan mensual'!H52,0))+parametros_manuales!$G$25*('Plan mensual'!H49+IF(parametros_manuales!$H$25="Todos",'Plan mensual'!H53,0)))*parametros_manuales!$I$25*parametros_manuales!$J$25</f>
        <v>6438.660515132</v>
      </c>
      <c r="G116" s="9" t="n">
        <f aca="false">(parametros_manuales!$D$25*('Plan mensual'!I46+IF(parametros_manuales!$H$25="Todos",'Plan mensual'!I50,0))+parametros_manuales!$E$25*('Plan mensual'!I47+IF(parametros_manuales!$H$25="Todos",'Plan mensual'!I51,0))+parametros_manuales!$F$25*('Plan mensual'!I48+IF(parametros_manuales!$H$25="Todos",'Plan mensual'!I52,0))+parametros_manuales!$G$25*('Plan mensual'!I49+IF(parametros_manuales!$H$25="Todos",'Plan mensual'!I53,0)))*parametros_manuales!$I$25*parametros_manuales!$J$25</f>
        <v>6307.9992510425</v>
      </c>
      <c r="H116" s="9" t="n">
        <f aca="false">(parametros_manuales!$D$25*('Plan mensual'!J46+IF(parametros_manuales!$H$25="Todos",'Plan mensual'!J50,0))+parametros_manuales!$E$25*('Plan mensual'!J47+IF(parametros_manuales!$H$25="Todos",'Plan mensual'!J51,0))+parametros_manuales!$F$25*('Plan mensual'!J48+IF(parametros_manuales!$H$25="Todos",'Plan mensual'!J52,0))+parametros_manuales!$G$25*('Plan mensual'!J49+IF(parametros_manuales!$H$25="Todos",'Plan mensual'!J53,0)))*parametros_manuales!$I$25*parametros_manuales!$J$25</f>
        <v>6749.237678682</v>
      </c>
      <c r="I116" s="9" t="n">
        <f aca="false">(parametros_manuales!$D$25*('Plan mensual'!K46+IF(parametros_manuales!$H$25="Todos",'Plan mensual'!K50,0))+parametros_manuales!$E$25*('Plan mensual'!K47+IF(parametros_manuales!$H$25="Todos",'Plan mensual'!K51,0))+parametros_manuales!$F$25*('Plan mensual'!K48+IF(parametros_manuales!$H$25="Todos",'Plan mensual'!K52,0))+parametros_manuales!$G$25*('Plan mensual'!K49+IF(parametros_manuales!$H$25="Todos",'Plan mensual'!K53,0)))*parametros_manuales!$I$25*parametros_manuales!$J$25</f>
        <v>6749.237678682</v>
      </c>
      <c r="J116" s="9" t="n">
        <f aca="false">(parametros_manuales!$D$25*('Plan mensual'!L46+IF(parametros_manuales!$H$25="Todos",'Plan mensual'!L50,0))+parametros_manuales!$E$25*('Plan mensual'!L47+IF(parametros_manuales!$H$25="Todos",'Plan mensual'!L51,0))+parametros_manuales!$F$25*('Plan mensual'!L48+IF(parametros_manuales!$H$25="Todos",'Plan mensual'!L52,0))+parametros_manuales!$G$25*('Plan mensual'!L49+IF(parametros_manuales!$H$25="Todos",'Plan mensual'!L53,0)))*parametros_manuales!$I$25*parametros_manuales!$J$25</f>
        <v>6749.237678682</v>
      </c>
      <c r="K116" s="9" t="n">
        <f aca="false">(parametros_manuales!$D$25*('Plan mensual'!M46+IF(parametros_manuales!$H$25="Todos",'Plan mensual'!M50,0))+parametros_manuales!$E$25*('Plan mensual'!M47+IF(parametros_manuales!$H$25="Todos",'Plan mensual'!M51,0))+parametros_manuales!$F$25*('Plan mensual'!M48+IF(parametros_manuales!$H$25="Todos",'Plan mensual'!M52,0))+parametros_manuales!$G$25*('Plan mensual'!M49+IF(parametros_manuales!$H$25="Todos",'Plan mensual'!M53,0)))*parametros_manuales!$I$25*parametros_manuales!$J$25</f>
        <v>6618.5764145925</v>
      </c>
      <c r="L116" s="9" t="n">
        <f aca="false">(parametros_manuales!$D$25*('Plan mensual'!N46+IF(parametros_manuales!$H$25="Todos",'Plan mensual'!N50,0))+parametros_manuales!$E$25*('Plan mensual'!N47+IF(parametros_manuales!$H$25="Todos",'Plan mensual'!N51,0))+parametros_manuales!$F$25*('Plan mensual'!N48+IF(parametros_manuales!$H$25="Todos",'Plan mensual'!N52,0))+parametros_manuales!$G$25*('Plan mensual'!N49+IF(parametros_manuales!$H$25="Todos",'Plan mensual'!N53,0)))*parametros_manuales!$I$25*parametros_manuales!$J$25</f>
        <v>6487.915150503</v>
      </c>
      <c r="M116" s="9" t="n">
        <f aca="false">(parametros_manuales!$D$25*('Plan mensual'!O46+IF(parametros_manuales!$H$25="Todos",'Plan mensual'!O50,0))+parametros_manuales!$E$25*('Plan mensual'!O47+IF(parametros_manuales!$H$25="Todos",'Plan mensual'!O51,0))+parametros_manuales!$F$25*('Plan mensual'!O48+IF(parametros_manuales!$H$25="Todos",'Plan mensual'!O52,0))+parametros_manuales!$G$25*('Plan mensual'!O49+IF(parametros_manuales!$H$25="Todos",'Plan mensual'!O53,0)))*parametros_manuales!$I$25*parametros_manuales!$J$25</f>
        <v>10328.399735169</v>
      </c>
      <c r="N116" s="9" t="n">
        <f aca="false">SUM(B116:M116)</f>
        <v>88247.6855279</v>
      </c>
      <c r="O116" s="9" t="n">
        <f aca="false">MAX(B116:M116)</f>
        <v>10328.399735169</v>
      </c>
      <c r="P116" s="43" t="n">
        <f aca="false">O116/(parametros_manuales!$B$7)</f>
        <v>68.85599823446</v>
      </c>
      <c r="Q116" s="8" t="str">
        <f aca="false">IF(O116=0,"-",INDEX($B$109:$M$109,MATCH(O116,B116:M116,0)))</f>
        <v>Dic</v>
      </c>
    </row>
    <row r="117" customFormat="false" ht="14.25" hidden="false" customHeight="true" outlineLevel="0" collapsed="false">
      <c r="A117" s="8" t="str">
        <f aca="false">parametros_manuales!$B$26</f>
        <v>Cilindrado</v>
      </c>
      <c r="B117" s="9" t="n">
        <f aca="false">(parametros_manuales!$D$26*('Plan mensual'!D46+IF(parametros_manuales!$H$26="Todos",'Plan mensual'!D50,0))+parametros_manuales!$E$26*('Plan mensual'!D47+IF(parametros_manuales!$H$26="Todos",'Plan mensual'!D51,0))+parametros_manuales!$F$26*('Plan mensual'!D48+IF(parametros_manuales!$H$26="Todos",'Plan mensual'!D52,0))+parametros_manuales!$G$26*('Plan mensual'!D49+IF(parametros_manuales!$H$26="Todos",'Plan mensual'!D53,0)))*parametros_manuales!$I$26*parametros_manuales!$J$26</f>
        <v>2613.22528179</v>
      </c>
      <c r="C117" s="9" t="n">
        <f aca="false">(parametros_manuales!$D$26*('Plan mensual'!E46+IF(parametros_manuales!$H$26="Todos",'Plan mensual'!E50,0))+parametros_manuales!$E$26*('Plan mensual'!E47+IF(parametros_manuales!$H$26="Todos",'Plan mensual'!E51,0))+parametros_manuales!$F$26*('Plan mensual'!E48+IF(parametros_manuales!$H$26="Todos",'Plan mensual'!E52,0))+parametros_manuales!$G$26*('Plan mensual'!E49+IF(parametros_manuales!$H$26="Todos",'Plan mensual'!E53,0)))*parametros_manuales!$I$26*parametros_manuales!$J$26</f>
        <v>2090.580225432</v>
      </c>
      <c r="D117" s="9" t="n">
        <f aca="false">(parametros_manuales!$D$26*('Plan mensual'!F46+IF(parametros_manuales!$H$26="Todos",'Plan mensual'!F50,0))+parametros_manuales!$E$26*('Plan mensual'!F47+IF(parametros_manuales!$H$26="Todos",'Plan mensual'!F51,0))+parametros_manuales!$F$26*('Plan mensual'!F48+IF(parametros_manuales!$H$26="Todos",'Plan mensual'!F52,0))+parametros_manuales!$G$26*('Plan mensual'!F49+IF(parametros_manuales!$H$26="Todos",'Plan mensual'!F53,0)))*parametros_manuales!$I$26*parametros_manuales!$J$26</f>
        <v>2221.2414895215</v>
      </c>
      <c r="E117" s="9" t="n">
        <f aca="false">(parametros_manuales!$D$26*('Plan mensual'!G46+IF(parametros_manuales!$H$26="Todos",'Plan mensual'!G50,0))+parametros_manuales!$E$26*('Plan mensual'!G47+IF(parametros_manuales!$H$26="Todos",'Plan mensual'!G51,0))+parametros_manuales!$F$26*('Plan mensual'!G48+IF(parametros_manuales!$H$26="Todos",'Plan mensual'!G52,0))+parametros_manuales!$G$26*('Plan mensual'!G49+IF(parametros_manuales!$H$26="Todos",'Plan mensual'!G53,0)))*parametros_manuales!$I$26*parametros_manuales!$J$26</f>
        <v>2221.2414895215</v>
      </c>
      <c r="F117" s="9" t="n">
        <f aca="false">(parametros_manuales!$D$26*('Plan mensual'!H46+IF(parametros_manuales!$H$26="Todos",'Plan mensual'!H50,0))+parametros_manuales!$E$26*('Plan mensual'!H47+IF(parametros_manuales!$H$26="Todos",'Plan mensual'!H51,0))+parametros_manuales!$F$26*('Plan mensual'!H48+IF(parametros_manuales!$H$26="Todos",'Plan mensual'!H52,0))+parametros_manuales!$G$26*('Plan mensual'!H49+IF(parametros_manuales!$H$26="Todos",'Plan mensual'!H53,0)))*parametros_manuales!$I$26*parametros_manuales!$J$26</f>
        <v>2090.580225432</v>
      </c>
      <c r="G117" s="9" t="n">
        <f aca="false">(parametros_manuales!$D$26*('Plan mensual'!I46+IF(parametros_manuales!$H$26="Todos",'Plan mensual'!I50,0))+parametros_manuales!$E$26*('Plan mensual'!I47+IF(parametros_manuales!$H$26="Todos",'Plan mensual'!I51,0))+parametros_manuales!$F$26*('Plan mensual'!I48+IF(parametros_manuales!$H$26="Todos",'Plan mensual'!I52,0))+parametros_manuales!$G$26*('Plan mensual'!I49+IF(parametros_manuales!$H$26="Todos",'Plan mensual'!I53,0)))*parametros_manuales!$I$26*parametros_manuales!$J$26</f>
        <v>1959.9189613425</v>
      </c>
      <c r="H117" s="9" t="n">
        <f aca="false">(parametros_manuales!$D$26*('Plan mensual'!J46+IF(parametros_manuales!$H$26="Todos",'Plan mensual'!J50,0))+parametros_manuales!$E$26*('Plan mensual'!J47+IF(parametros_manuales!$H$26="Todos",'Plan mensual'!J51,0))+parametros_manuales!$F$26*('Plan mensual'!J48+IF(parametros_manuales!$H$26="Todos",'Plan mensual'!J52,0))+parametros_manuales!$G$26*('Plan mensual'!J49+IF(parametros_manuales!$H$26="Todos",'Plan mensual'!J53,0)))*parametros_manuales!$I$26*parametros_manuales!$J$26</f>
        <v>2090.580225432</v>
      </c>
      <c r="I117" s="9" t="n">
        <f aca="false">(parametros_manuales!$D$26*('Plan mensual'!K46+IF(parametros_manuales!$H$26="Todos",'Plan mensual'!K50,0))+parametros_manuales!$E$26*('Plan mensual'!K47+IF(parametros_manuales!$H$26="Todos",'Plan mensual'!K51,0))+parametros_manuales!$F$26*('Plan mensual'!K48+IF(parametros_manuales!$H$26="Todos",'Plan mensual'!K52,0))+parametros_manuales!$G$26*('Plan mensual'!K49+IF(parametros_manuales!$H$26="Todos",'Plan mensual'!K53,0)))*parametros_manuales!$I$26*parametros_manuales!$J$26</f>
        <v>2090.580225432</v>
      </c>
      <c r="J117" s="9" t="n">
        <f aca="false">(parametros_manuales!$D$26*('Plan mensual'!L46+IF(parametros_manuales!$H$26="Todos",'Plan mensual'!L50,0))+parametros_manuales!$E$26*('Plan mensual'!L47+IF(parametros_manuales!$H$26="Todos",'Plan mensual'!L51,0))+parametros_manuales!$F$26*('Plan mensual'!L48+IF(parametros_manuales!$H$26="Todos",'Plan mensual'!L52,0))+parametros_manuales!$G$26*('Plan mensual'!L49+IF(parametros_manuales!$H$26="Todos",'Plan mensual'!L53,0)))*parametros_manuales!$I$26*parametros_manuales!$J$26</f>
        <v>2090.580225432</v>
      </c>
      <c r="K117" s="9" t="n">
        <f aca="false">(parametros_manuales!$D$26*('Plan mensual'!M46+IF(parametros_manuales!$H$26="Todos",'Plan mensual'!M50,0))+parametros_manuales!$E$26*('Plan mensual'!M47+IF(parametros_manuales!$H$26="Todos",'Plan mensual'!M51,0))+parametros_manuales!$F$26*('Plan mensual'!M48+IF(parametros_manuales!$H$26="Todos",'Plan mensual'!M52,0))+parametros_manuales!$G$26*('Plan mensual'!M49+IF(parametros_manuales!$H$26="Todos",'Plan mensual'!M53,0)))*parametros_manuales!$I$26*parametros_manuales!$J$26</f>
        <v>1959.9189613425</v>
      </c>
      <c r="L117" s="9" t="n">
        <f aca="false">(parametros_manuales!$D$26*('Plan mensual'!N46+IF(parametros_manuales!$H$26="Todos",'Plan mensual'!N50,0))+parametros_manuales!$E$26*('Plan mensual'!N47+IF(parametros_manuales!$H$26="Todos",'Plan mensual'!N51,0))+parametros_manuales!$F$26*('Plan mensual'!N48+IF(parametros_manuales!$H$26="Todos",'Plan mensual'!N52,0))+parametros_manuales!$G$26*('Plan mensual'!N49+IF(parametros_manuales!$H$26="Todos",'Plan mensual'!N53,0)))*parametros_manuales!$I$26*parametros_manuales!$J$26</f>
        <v>1829.257697253</v>
      </c>
      <c r="M117" s="9" t="n">
        <f aca="false">(parametros_manuales!$D$26*('Plan mensual'!O46+IF(parametros_manuales!$H$26="Todos",'Plan mensual'!O50,0))+parametros_manuales!$E$26*('Plan mensual'!O47+IF(parametros_manuales!$H$26="Todos",'Plan mensual'!O51,0))+parametros_manuales!$F$26*('Plan mensual'!O48+IF(parametros_manuales!$H$26="Todos",'Plan mensual'!O52,0))+parametros_manuales!$G$26*('Plan mensual'!O49+IF(parametros_manuales!$H$26="Todos",'Plan mensual'!O53,0)))*parametros_manuales!$I$26*parametros_manuales!$J$26</f>
        <v>2874.547809969</v>
      </c>
      <c r="N117" s="9" t="n">
        <f aca="false">SUM(B117:M117)</f>
        <v>26132.2528179</v>
      </c>
      <c r="O117" s="9" t="n">
        <f aca="false">MAX(B117:M117)</f>
        <v>2874.547809969</v>
      </c>
      <c r="P117" s="43" t="n">
        <f aca="false">O117/(parametros_manuales!$B$7)</f>
        <v>19.16365206646</v>
      </c>
      <c r="Q117" s="8" t="str">
        <f aca="false">IF(O117=0,"-",INDEX($B$109:$M$109,MATCH(O117,B117:M117,0)))</f>
        <v>Dic</v>
      </c>
    </row>
    <row r="118" customFormat="false" ht="14.25" hidden="false" customHeight="true" outlineLevel="0" collapsed="false">
      <c r="A118" s="8" t="str">
        <f aca="false">parametros_manuales!$B$27</f>
        <v>Soldadura longitudinal</v>
      </c>
      <c r="B118" s="9" t="n">
        <f aca="false">(parametros_manuales!$D$27*('Plan mensual'!D46+IF(parametros_manuales!$H$27="Todos",'Plan mensual'!D50,0))+parametros_manuales!$E$27*('Plan mensual'!D47+IF(parametros_manuales!$H$27="Todos",'Plan mensual'!D51,0))+parametros_manuales!$F$27*('Plan mensual'!D48+IF(parametros_manuales!$H$27="Todos",'Plan mensual'!D52,0))+parametros_manuales!$G$27*('Plan mensual'!D49+IF(parametros_manuales!$H$27="Todos",'Plan mensual'!D53,0)))*parametros_manuales!$I$27*parametros_manuales!$J$27</f>
        <v>2613.22528179</v>
      </c>
      <c r="C118" s="9" t="n">
        <f aca="false">(parametros_manuales!$D$27*('Plan mensual'!E46+IF(parametros_manuales!$H$27="Todos",'Plan mensual'!E50,0))+parametros_manuales!$E$27*('Plan mensual'!E47+IF(parametros_manuales!$H$27="Todos",'Plan mensual'!E51,0))+parametros_manuales!$F$27*('Plan mensual'!E48+IF(parametros_manuales!$H$27="Todos",'Plan mensual'!E52,0))+parametros_manuales!$G$27*('Plan mensual'!E49+IF(parametros_manuales!$H$27="Todos",'Plan mensual'!E53,0)))*parametros_manuales!$I$27*parametros_manuales!$J$27</f>
        <v>2090.580225432</v>
      </c>
      <c r="D118" s="9" t="n">
        <f aca="false">(parametros_manuales!$D$27*('Plan mensual'!F46+IF(parametros_manuales!$H$27="Todos",'Plan mensual'!F50,0))+parametros_manuales!$E$27*('Plan mensual'!F47+IF(parametros_manuales!$H$27="Todos",'Plan mensual'!F51,0))+parametros_manuales!$F$27*('Plan mensual'!F48+IF(parametros_manuales!$H$27="Todos",'Plan mensual'!F52,0))+parametros_manuales!$G$27*('Plan mensual'!F49+IF(parametros_manuales!$H$27="Todos",'Plan mensual'!F53,0)))*parametros_manuales!$I$27*parametros_manuales!$J$27</f>
        <v>2221.2414895215</v>
      </c>
      <c r="E118" s="9" t="n">
        <f aca="false">(parametros_manuales!$D$27*('Plan mensual'!G46+IF(parametros_manuales!$H$27="Todos",'Plan mensual'!G50,0))+parametros_manuales!$E$27*('Plan mensual'!G47+IF(parametros_manuales!$H$27="Todos",'Plan mensual'!G51,0))+parametros_manuales!$F$27*('Plan mensual'!G48+IF(parametros_manuales!$H$27="Todos",'Plan mensual'!G52,0))+parametros_manuales!$G$27*('Plan mensual'!G49+IF(parametros_manuales!$H$27="Todos",'Plan mensual'!G53,0)))*parametros_manuales!$I$27*parametros_manuales!$J$27</f>
        <v>2221.2414895215</v>
      </c>
      <c r="F118" s="9" t="n">
        <f aca="false">(parametros_manuales!$D$27*('Plan mensual'!H46+IF(parametros_manuales!$H$27="Todos",'Plan mensual'!H50,0))+parametros_manuales!$E$27*('Plan mensual'!H47+IF(parametros_manuales!$H$27="Todos",'Plan mensual'!H51,0))+parametros_manuales!$F$27*('Plan mensual'!H48+IF(parametros_manuales!$H$27="Todos",'Plan mensual'!H52,0))+parametros_manuales!$G$27*('Plan mensual'!H49+IF(parametros_manuales!$H$27="Todos",'Plan mensual'!H53,0)))*parametros_manuales!$I$27*parametros_manuales!$J$27</f>
        <v>2090.580225432</v>
      </c>
      <c r="G118" s="9" t="n">
        <f aca="false">(parametros_manuales!$D$27*('Plan mensual'!I46+IF(parametros_manuales!$H$27="Todos",'Plan mensual'!I50,0))+parametros_manuales!$E$27*('Plan mensual'!I47+IF(parametros_manuales!$H$27="Todos",'Plan mensual'!I51,0))+parametros_manuales!$F$27*('Plan mensual'!I48+IF(parametros_manuales!$H$27="Todos",'Plan mensual'!I52,0))+parametros_manuales!$G$27*('Plan mensual'!I49+IF(parametros_manuales!$H$27="Todos",'Plan mensual'!I53,0)))*parametros_manuales!$I$27*parametros_manuales!$J$27</f>
        <v>1959.9189613425</v>
      </c>
      <c r="H118" s="9" t="n">
        <f aca="false">(parametros_manuales!$D$27*('Plan mensual'!J46+IF(parametros_manuales!$H$27="Todos",'Plan mensual'!J50,0))+parametros_manuales!$E$27*('Plan mensual'!J47+IF(parametros_manuales!$H$27="Todos",'Plan mensual'!J51,0))+parametros_manuales!$F$27*('Plan mensual'!J48+IF(parametros_manuales!$H$27="Todos",'Plan mensual'!J52,0))+parametros_manuales!$G$27*('Plan mensual'!J49+IF(parametros_manuales!$H$27="Todos",'Plan mensual'!J53,0)))*parametros_manuales!$I$27*parametros_manuales!$J$27</f>
        <v>2090.580225432</v>
      </c>
      <c r="I118" s="9" t="n">
        <f aca="false">(parametros_manuales!$D$27*('Plan mensual'!K46+IF(parametros_manuales!$H$27="Todos",'Plan mensual'!K50,0))+parametros_manuales!$E$27*('Plan mensual'!K47+IF(parametros_manuales!$H$27="Todos",'Plan mensual'!K51,0))+parametros_manuales!$F$27*('Plan mensual'!K48+IF(parametros_manuales!$H$27="Todos",'Plan mensual'!K52,0))+parametros_manuales!$G$27*('Plan mensual'!K49+IF(parametros_manuales!$H$27="Todos",'Plan mensual'!K53,0)))*parametros_manuales!$I$27*parametros_manuales!$J$27</f>
        <v>2090.580225432</v>
      </c>
      <c r="J118" s="9" t="n">
        <f aca="false">(parametros_manuales!$D$27*('Plan mensual'!L46+IF(parametros_manuales!$H$27="Todos",'Plan mensual'!L50,0))+parametros_manuales!$E$27*('Plan mensual'!L47+IF(parametros_manuales!$H$27="Todos",'Plan mensual'!L51,0))+parametros_manuales!$F$27*('Plan mensual'!L48+IF(parametros_manuales!$H$27="Todos",'Plan mensual'!L52,0))+parametros_manuales!$G$27*('Plan mensual'!L49+IF(parametros_manuales!$H$27="Todos",'Plan mensual'!L53,0)))*parametros_manuales!$I$27*parametros_manuales!$J$27</f>
        <v>2090.580225432</v>
      </c>
      <c r="K118" s="9" t="n">
        <f aca="false">(parametros_manuales!$D$27*('Plan mensual'!M46+IF(parametros_manuales!$H$27="Todos",'Plan mensual'!M50,0))+parametros_manuales!$E$27*('Plan mensual'!M47+IF(parametros_manuales!$H$27="Todos",'Plan mensual'!M51,0))+parametros_manuales!$F$27*('Plan mensual'!M48+IF(parametros_manuales!$H$27="Todos",'Plan mensual'!M52,0))+parametros_manuales!$G$27*('Plan mensual'!M49+IF(parametros_manuales!$H$27="Todos",'Plan mensual'!M53,0)))*parametros_manuales!$I$27*parametros_manuales!$J$27</f>
        <v>1959.9189613425</v>
      </c>
      <c r="L118" s="9" t="n">
        <f aca="false">(parametros_manuales!$D$27*('Plan mensual'!N46+IF(parametros_manuales!$H$27="Todos",'Plan mensual'!N50,0))+parametros_manuales!$E$27*('Plan mensual'!N47+IF(parametros_manuales!$H$27="Todos",'Plan mensual'!N51,0))+parametros_manuales!$F$27*('Plan mensual'!N48+IF(parametros_manuales!$H$27="Todos",'Plan mensual'!N52,0))+parametros_manuales!$G$27*('Plan mensual'!N49+IF(parametros_manuales!$H$27="Todos",'Plan mensual'!N53,0)))*parametros_manuales!$I$27*parametros_manuales!$J$27</f>
        <v>1829.257697253</v>
      </c>
      <c r="M118" s="9" t="n">
        <f aca="false">(parametros_manuales!$D$27*('Plan mensual'!O46+IF(parametros_manuales!$H$27="Todos",'Plan mensual'!O50,0))+parametros_manuales!$E$27*('Plan mensual'!O47+IF(parametros_manuales!$H$27="Todos",'Plan mensual'!O51,0))+parametros_manuales!$F$27*('Plan mensual'!O48+IF(parametros_manuales!$H$27="Todos",'Plan mensual'!O52,0))+parametros_manuales!$G$27*('Plan mensual'!O49+IF(parametros_manuales!$H$27="Todos",'Plan mensual'!O53,0)))*parametros_manuales!$I$27*parametros_manuales!$J$27</f>
        <v>2874.547809969</v>
      </c>
      <c r="N118" s="9" t="n">
        <f aca="false">SUM(B118:M118)</f>
        <v>26132.2528179</v>
      </c>
      <c r="O118" s="9" t="n">
        <f aca="false">MAX(B118:M118)</f>
        <v>2874.547809969</v>
      </c>
      <c r="P118" s="43" t="n">
        <f aca="false">O118/(parametros_manuales!$B$7)</f>
        <v>19.16365206646</v>
      </c>
      <c r="Q118" s="8" t="str">
        <f aca="false">IF(O118=0,"-",INDEX($B$109:$M$109,MATCH(O118,B118:M118,0)))</f>
        <v>Dic</v>
      </c>
    </row>
    <row r="119" customFormat="false" ht="14.25" hidden="false" customHeight="true" outlineLevel="0" collapsed="false">
      <c r="A119" s="8" t="str">
        <f aca="false">parametros_manuales!$B$28</f>
        <v>Encastre de fondo</v>
      </c>
      <c r="B119" s="9" t="n">
        <f aca="false">(parametros_manuales!$D$28*('Plan mensual'!D46+IF(parametros_manuales!$H$28="Todos",'Plan mensual'!D50,0))+parametros_manuales!$E$28*('Plan mensual'!D47+IF(parametros_manuales!$H$28="Todos",'Plan mensual'!D51,0))+parametros_manuales!$F$28*('Plan mensual'!D48+IF(parametros_manuales!$H$28="Todos",'Plan mensual'!D52,0))+parametros_manuales!$G$28*('Plan mensual'!D49+IF(parametros_manuales!$H$28="Todos",'Plan mensual'!D53,0)))*parametros_manuales!$I$28*parametros_manuales!$J$28</f>
        <v>10067.07720699</v>
      </c>
      <c r="C119" s="9" t="n">
        <f aca="false">(parametros_manuales!$D$28*('Plan mensual'!E46+IF(parametros_manuales!$H$28="Todos",'Plan mensual'!E50,0))+parametros_manuales!$E$28*('Plan mensual'!E47+IF(parametros_manuales!$H$28="Todos",'Plan mensual'!E51,0))+parametros_manuales!$F$28*('Plan mensual'!E48+IF(parametros_manuales!$H$28="Todos",'Plan mensual'!E52,0))+parametros_manuales!$G$28*('Plan mensual'!E49+IF(parametros_manuales!$H$28="Todos",'Plan mensual'!E53,0)))*parametros_manuales!$I$28*parametros_manuales!$J$28</f>
        <v>7680.969169332</v>
      </c>
      <c r="D119" s="9" t="n">
        <f aca="false">(parametros_manuales!$D$28*('Plan mensual'!F46+IF(parametros_manuales!$H$28="Todos",'Plan mensual'!F50,0))+parametros_manuales!$E$28*('Plan mensual'!F47+IF(parametros_manuales!$H$28="Todos",'Plan mensual'!F51,0))+parametros_manuales!$F$28*('Plan mensual'!F48+IF(parametros_manuales!$H$28="Todos",'Plan mensual'!F52,0))+parametros_manuales!$G$28*('Plan mensual'!F49+IF(parametros_manuales!$H$28="Todos",'Plan mensual'!F53,0)))*parametros_manuales!$I$28*parametros_manuales!$J$28</f>
        <v>7190.4761063215</v>
      </c>
      <c r="E119" s="9" t="n">
        <f aca="false">(parametros_manuales!$D$28*('Plan mensual'!G46+IF(parametros_manuales!$H$28="Todos",'Plan mensual'!G50,0))+parametros_manuales!$E$28*('Plan mensual'!G47+IF(parametros_manuales!$H$28="Todos",'Plan mensual'!G51,0))+parametros_manuales!$F$28*('Plan mensual'!G48+IF(parametros_manuales!$H$28="Todos",'Plan mensual'!G52,0))+parametros_manuales!$G$28*('Plan mensual'!G49+IF(parametros_manuales!$H$28="Todos",'Plan mensual'!G53,0)))*parametros_manuales!$I$28*parametros_manuales!$J$28</f>
        <v>6879.8989427715</v>
      </c>
      <c r="F119" s="9" t="n">
        <f aca="false">(parametros_manuales!$D$28*('Plan mensual'!H46+IF(parametros_manuales!$H$28="Todos",'Plan mensual'!H50,0))+parametros_manuales!$E$28*('Plan mensual'!H47+IF(parametros_manuales!$H$28="Todos",'Plan mensual'!H51,0))+parametros_manuales!$F$28*('Plan mensual'!H48+IF(parametros_manuales!$H$28="Todos",'Plan mensual'!H52,0))+parametros_manuales!$G$28*('Plan mensual'!H49+IF(parametros_manuales!$H$28="Todos",'Plan mensual'!H53,0)))*parametros_manuales!$I$28*parametros_manuales!$J$28</f>
        <v>6438.660515132</v>
      </c>
      <c r="G119" s="9" t="n">
        <f aca="false">(parametros_manuales!$D$28*('Plan mensual'!I46+IF(parametros_manuales!$H$28="Todos",'Plan mensual'!I50,0))+parametros_manuales!$E$28*('Plan mensual'!I47+IF(parametros_manuales!$H$28="Todos",'Plan mensual'!I51,0))+parametros_manuales!$F$28*('Plan mensual'!I48+IF(parametros_manuales!$H$28="Todos",'Plan mensual'!I52,0))+parametros_manuales!$G$28*('Plan mensual'!I49+IF(parametros_manuales!$H$28="Todos",'Plan mensual'!I53,0)))*parametros_manuales!$I$28*parametros_manuales!$J$28</f>
        <v>6307.9992510425</v>
      </c>
      <c r="H119" s="9" t="n">
        <f aca="false">(parametros_manuales!$D$28*('Plan mensual'!J46+IF(parametros_manuales!$H$28="Todos",'Plan mensual'!J50,0))+parametros_manuales!$E$28*('Plan mensual'!J47+IF(parametros_manuales!$H$28="Todos",'Plan mensual'!J51,0))+parametros_manuales!$F$28*('Plan mensual'!J48+IF(parametros_manuales!$H$28="Todos",'Plan mensual'!J52,0))+parametros_manuales!$G$28*('Plan mensual'!J49+IF(parametros_manuales!$H$28="Todos",'Plan mensual'!J53,0)))*parametros_manuales!$I$28*parametros_manuales!$J$28</f>
        <v>6749.237678682</v>
      </c>
      <c r="I119" s="9" t="n">
        <f aca="false">(parametros_manuales!$D$28*('Plan mensual'!K46+IF(parametros_manuales!$H$28="Todos",'Plan mensual'!K50,0))+parametros_manuales!$E$28*('Plan mensual'!K47+IF(parametros_manuales!$H$28="Todos",'Plan mensual'!K51,0))+parametros_manuales!$F$28*('Plan mensual'!K48+IF(parametros_manuales!$H$28="Todos",'Plan mensual'!K52,0))+parametros_manuales!$G$28*('Plan mensual'!K49+IF(parametros_manuales!$H$28="Todos",'Plan mensual'!K53,0)))*parametros_manuales!$I$28*parametros_manuales!$J$28</f>
        <v>6749.237678682</v>
      </c>
      <c r="J119" s="9" t="n">
        <f aca="false">(parametros_manuales!$D$28*('Plan mensual'!L46+IF(parametros_manuales!$H$28="Todos",'Plan mensual'!L50,0))+parametros_manuales!$E$28*('Plan mensual'!L47+IF(parametros_manuales!$H$28="Todos",'Plan mensual'!L51,0))+parametros_manuales!$F$28*('Plan mensual'!L48+IF(parametros_manuales!$H$28="Todos",'Plan mensual'!L52,0))+parametros_manuales!$G$28*('Plan mensual'!L49+IF(parametros_manuales!$H$28="Todos",'Plan mensual'!L53,0)))*parametros_manuales!$I$28*parametros_manuales!$J$28</f>
        <v>6749.237678682</v>
      </c>
      <c r="K119" s="9" t="n">
        <f aca="false">(parametros_manuales!$D$28*('Plan mensual'!M46+IF(parametros_manuales!$H$28="Todos",'Plan mensual'!M50,0))+parametros_manuales!$E$28*('Plan mensual'!M47+IF(parametros_manuales!$H$28="Todos",'Plan mensual'!M51,0))+parametros_manuales!$F$28*('Plan mensual'!M48+IF(parametros_manuales!$H$28="Todos",'Plan mensual'!M52,0))+parametros_manuales!$G$28*('Plan mensual'!M49+IF(parametros_manuales!$H$28="Todos",'Plan mensual'!M53,0)))*parametros_manuales!$I$28*parametros_manuales!$J$28</f>
        <v>6618.5764145925</v>
      </c>
      <c r="L119" s="9" t="n">
        <f aca="false">(parametros_manuales!$D$28*('Plan mensual'!N46+IF(parametros_manuales!$H$28="Todos",'Plan mensual'!N50,0))+parametros_manuales!$E$28*('Plan mensual'!N47+IF(parametros_manuales!$H$28="Todos",'Plan mensual'!N51,0))+parametros_manuales!$F$28*('Plan mensual'!N48+IF(parametros_manuales!$H$28="Todos",'Plan mensual'!N52,0))+parametros_manuales!$G$28*('Plan mensual'!N49+IF(parametros_manuales!$H$28="Todos",'Plan mensual'!N53,0)))*parametros_manuales!$I$28*parametros_manuales!$J$28</f>
        <v>6487.915150503</v>
      </c>
      <c r="M119" s="9" t="n">
        <f aca="false">(parametros_manuales!$D$28*('Plan mensual'!O46+IF(parametros_manuales!$H$28="Todos",'Plan mensual'!O50,0))+parametros_manuales!$E$28*('Plan mensual'!O47+IF(parametros_manuales!$H$28="Todos",'Plan mensual'!O51,0))+parametros_manuales!$F$28*('Plan mensual'!O48+IF(parametros_manuales!$H$28="Todos",'Plan mensual'!O52,0))+parametros_manuales!$G$28*('Plan mensual'!O49+IF(parametros_manuales!$H$28="Todos",'Plan mensual'!O53,0)))*parametros_manuales!$I$28*parametros_manuales!$J$28</f>
        <v>10328.399735169</v>
      </c>
      <c r="N119" s="9" t="n">
        <f aca="false">SUM(B119:M119)</f>
        <v>88247.6855279</v>
      </c>
      <c r="O119" s="9" t="n">
        <f aca="false">MAX(B119:M119)</f>
        <v>10328.399735169</v>
      </c>
      <c r="P119" s="43" t="n">
        <f aca="false">O119/(parametros_manuales!$B$7)</f>
        <v>68.85599823446</v>
      </c>
      <c r="Q119" s="8" t="str">
        <f aca="false">IF(O119=0,"-",INDEX($B$109:$M$109,MATCH(O119,B119:M119,0)))</f>
        <v>Dic</v>
      </c>
    </row>
    <row r="120" customFormat="false" ht="14.25" hidden="false" customHeight="true" outlineLevel="0" collapsed="false">
      <c r="A120" s="8" t="str">
        <f aca="false">parametros_manuales!$B$29</f>
        <v>Bordoneado</v>
      </c>
      <c r="B120" s="9" t="n">
        <f aca="false">(parametros_manuales!$D$29*('Plan mensual'!D46+IF(parametros_manuales!$H$29="Todos",'Plan mensual'!D50,0))+parametros_manuales!$E$29*('Plan mensual'!D47+IF(parametros_manuales!$H$29="Todos",'Plan mensual'!D51,0))+parametros_manuales!$F$29*('Plan mensual'!D48+IF(parametros_manuales!$H$29="Todos",'Plan mensual'!D52,0))+parametros_manuales!$G$29*('Plan mensual'!D49+IF(parametros_manuales!$H$29="Todos",'Plan mensual'!D53,0)))*parametros_manuales!$I$29*parametros_manuales!$J$29</f>
        <v>10067.07720699</v>
      </c>
      <c r="C120" s="9" t="n">
        <f aca="false">(parametros_manuales!$D$29*('Plan mensual'!E46+IF(parametros_manuales!$H$29="Todos",'Plan mensual'!E50,0))+parametros_manuales!$E$29*('Plan mensual'!E47+IF(parametros_manuales!$H$29="Todos",'Plan mensual'!E51,0))+parametros_manuales!$F$29*('Plan mensual'!E48+IF(parametros_manuales!$H$29="Todos",'Plan mensual'!E52,0))+parametros_manuales!$G$29*('Plan mensual'!E49+IF(parametros_manuales!$H$29="Todos",'Plan mensual'!E53,0)))*parametros_manuales!$I$29*parametros_manuales!$J$29</f>
        <v>7680.969169332</v>
      </c>
      <c r="D120" s="9" t="n">
        <f aca="false">(parametros_manuales!$D$29*('Plan mensual'!F46+IF(parametros_manuales!$H$29="Todos",'Plan mensual'!F50,0))+parametros_manuales!$E$29*('Plan mensual'!F47+IF(parametros_manuales!$H$29="Todos",'Plan mensual'!F51,0))+parametros_manuales!$F$29*('Plan mensual'!F48+IF(parametros_manuales!$H$29="Todos",'Plan mensual'!F52,0))+parametros_manuales!$G$29*('Plan mensual'!F49+IF(parametros_manuales!$H$29="Todos",'Plan mensual'!F53,0)))*parametros_manuales!$I$29*parametros_manuales!$J$29</f>
        <v>7190.4761063215</v>
      </c>
      <c r="E120" s="9" t="n">
        <f aca="false">(parametros_manuales!$D$29*('Plan mensual'!G46+IF(parametros_manuales!$H$29="Todos",'Plan mensual'!G50,0))+parametros_manuales!$E$29*('Plan mensual'!G47+IF(parametros_manuales!$H$29="Todos",'Plan mensual'!G51,0))+parametros_manuales!$F$29*('Plan mensual'!G48+IF(parametros_manuales!$H$29="Todos",'Plan mensual'!G52,0))+parametros_manuales!$G$29*('Plan mensual'!G49+IF(parametros_manuales!$H$29="Todos",'Plan mensual'!G53,0)))*parametros_manuales!$I$29*parametros_manuales!$J$29</f>
        <v>6879.8989427715</v>
      </c>
      <c r="F120" s="9" t="n">
        <f aca="false">(parametros_manuales!$D$29*('Plan mensual'!H46+IF(parametros_manuales!$H$29="Todos",'Plan mensual'!H50,0))+parametros_manuales!$E$29*('Plan mensual'!H47+IF(parametros_manuales!$H$29="Todos",'Plan mensual'!H51,0))+parametros_manuales!$F$29*('Plan mensual'!H48+IF(parametros_manuales!$H$29="Todos",'Plan mensual'!H52,0))+parametros_manuales!$G$29*('Plan mensual'!H49+IF(parametros_manuales!$H$29="Todos",'Plan mensual'!H53,0)))*parametros_manuales!$I$29*parametros_manuales!$J$29</f>
        <v>6438.660515132</v>
      </c>
      <c r="G120" s="9" t="n">
        <f aca="false">(parametros_manuales!$D$29*('Plan mensual'!I46+IF(parametros_manuales!$H$29="Todos",'Plan mensual'!I50,0))+parametros_manuales!$E$29*('Plan mensual'!I47+IF(parametros_manuales!$H$29="Todos",'Plan mensual'!I51,0))+parametros_manuales!$F$29*('Plan mensual'!I48+IF(parametros_manuales!$H$29="Todos",'Plan mensual'!I52,0))+parametros_manuales!$G$29*('Plan mensual'!I49+IF(parametros_manuales!$H$29="Todos",'Plan mensual'!I53,0)))*parametros_manuales!$I$29*parametros_manuales!$J$29</f>
        <v>6307.9992510425</v>
      </c>
      <c r="H120" s="9" t="n">
        <f aca="false">(parametros_manuales!$D$29*('Plan mensual'!J46+IF(parametros_manuales!$H$29="Todos",'Plan mensual'!J50,0))+parametros_manuales!$E$29*('Plan mensual'!J47+IF(parametros_manuales!$H$29="Todos",'Plan mensual'!J51,0))+parametros_manuales!$F$29*('Plan mensual'!J48+IF(parametros_manuales!$H$29="Todos",'Plan mensual'!J52,0))+parametros_manuales!$G$29*('Plan mensual'!J49+IF(parametros_manuales!$H$29="Todos",'Plan mensual'!J53,0)))*parametros_manuales!$I$29*parametros_manuales!$J$29</f>
        <v>6749.237678682</v>
      </c>
      <c r="I120" s="9" t="n">
        <f aca="false">(parametros_manuales!$D$29*('Plan mensual'!K46+IF(parametros_manuales!$H$29="Todos",'Plan mensual'!K50,0))+parametros_manuales!$E$29*('Plan mensual'!K47+IF(parametros_manuales!$H$29="Todos",'Plan mensual'!K51,0))+parametros_manuales!$F$29*('Plan mensual'!K48+IF(parametros_manuales!$H$29="Todos",'Plan mensual'!K52,0))+parametros_manuales!$G$29*('Plan mensual'!K49+IF(parametros_manuales!$H$29="Todos",'Plan mensual'!K53,0)))*parametros_manuales!$I$29*parametros_manuales!$J$29</f>
        <v>6749.237678682</v>
      </c>
      <c r="J120" s="9" t="n">
        <f aca="false">(parametros_manuales!$D$29*('Plan mensual'!L46+IF(parametros_manuales!$H$29="Todos",'Plan mensual'!L50,0))+parametros_manuales!$E$29*('Plan mensual'!L47+IF(parametros_manuales!$H$29="Todos",'Plan mensual'!L51,0))+parametros_manuales!$F$29*('Plan mensual'!L48+IF(parametros_manuales!$H$29="Todos",'Plan mensual'!L52,0))+parametros_manuales!$G$29*('Plan mensual'!L49+IF(parametros_manuales!$H$29="Todos",'Plan mensual'!L53,0)))*parametros_manuales!$I$29*parametros_manuales!$J$29</f>
        <v>6749.237678682</v>
      </c>
      <c r="K120" s="9" t="n">
        <f aca="false">(parametros_manuales!$D$29*('Plan mensual'!M46+IF(parametros_manuales!$H$29="Todos",'Plan mensual'!M50,0))+parametros_manuales!$E$29*('Plan mensual'!M47+IF(parametros_manuales!$H$29="Todos",'Plan mensual'!M51,0))+parametros_manuales!$F$29*('Plan mensual'!M48+IF(parametros_manuales!$H$29="Todos",'Plan mensual'!M52,0))+parametros_manuales!$G$29*('Plan mensual'!M49+IF(parametros_manuales!$H$29="Todos",'Plan mensual'!M53,0)))*parametros_manuales!$I$29*parametros_manuales!$J$29</f>
        <v>6618.5764145925</v>
      </c>
      <c r="L120" s="9" t="n">
        <f aca="false">(parametros_manuales!$D$29*('Plan mensual'!N46+IF(parametros_manuales!$H$29="Todos",'Plan mensual'!N50,0))+parametros_manuales!$E$29*('Plan mensual'!N47+IF(parametros_manuales!$H$29="Todos",'Plan mensual'!N51,0))+parametros_manuales!$F$29*('Plan mensual'!N48+IF(parametros_manuales!$H$29="Todos",'Plan mensual'!N52,0))+parametros_manuales!$G$29*('Plan mensual'!N49+IF(parametros_manuales!$H$29="Todos",'Plan mensual'!N53,0)))*parametros_manuales!$I$29*parametros_manuales!$J$29</f>
        <v>6487.915150503</v>
      </c>
      <c r="M120" s="9" t="n">
        <f aca="false">(parametros_manuales!$D$29*('Plan mensual'!O46+IF(parametros_manuales!$H$29="Todos",'Plan mensual'!O50,0))+parametros_manuales!$E$29*('Plan mensual'!O47+IF(parametros_manuales!$H$29="Todos",'Plan mensual'!O51,0))+parametros_manuales!$F$29*('Plan mensual'!O48+IF(parametros_manuales!$H$29="Todos",'Plan mensual'!O52,0))+parametros_manuales!$G$29*('Plan mensual'!O49+IF(parametros_manuales!$H$29="Todos",'Plan mensual'!O53,0)))*parametros_manuales!$I$29*parametros_manuales!$J$29</f>
        <v>10328.399735169</v>
      </c>
      <c r="N120" s="9" t="n">
        <f aca="false">SUM(B120:M120)</f>
        <v>88247.6855279</v>
      </c>
      <c r="O120" s="9" t="n">
        <f aca="false">MAX(B120:M120)</f>
        <v>10328.399735169</v>
      </c>
      <c r="P120" s="43" t="n">
        <f aca="false">O120/(parametros_manuales!$B$7)</f>
        <v>68.85599823446</v>
      </c>
      <c r="Q120" s="8" t="str">
        <f aca="false">IF(O120=0,"-",INDEX($B$109:$M$109,MATCH(O120,B120:M120,0)))</f>
        <v>Dic</v>
      </c>
    </row>
    <row r="121" customFormat="false" ht="14.25" hidden="false" customHeight="true" outlineLevel="0" collapsed="false">
      <c r="A121" s="8" t="str">
        <f aca="false">parametros_manuales!$B$30</f>
        <v>Soldadura circunferencial de cúpula y fondo</v>
      </c>
      <c r="B121" s="9" t="n">
        <f aca="false">(parametros_manuales!$D$30*('Plan mensual'!D46+IF(parametros_manuales!$H$30="Todos",'Plan mensual'!D50,0))+parametros_manuales!$E$30*('Plan mensual'!D47+IF(parametros_manuales!$H$30="Todos",'Plan mensual'!D51,0))+parametros_manuales!$F$30*('Plan mensual'!D48+IF(parametros_manuales!$H$30="Todos",'Plan mensual'!D52,0))+parametros_manuales!$G$30*('Plan mensual'!D49+IF(parametros_manuales!$H$30="Todos",'Plan mensual'!D53,0)))*parametros_manuales!$I$30*parametros_manuales!$J$30</f>
        <v>10067.07720699</v>
      </c>
      <c r="C121" s="9" t="n">
        <f aca="false">(parametros_manuales!$D$30*('Plan mensual'!E46+IF(parametros_manuales!$H$30="Todos",'Plan mensual'!E50,0))+parametros_manuales!$E$30*('Plan mensual'!E47+IF(parametros_manuales!$H$30="Todos",'Plan mensual'!E51,0))+parametros_manuales!$F$30*('Plan mensual'!E48+IF(parametros_manuales!$H$30="Todos",'Plan mensual'!E52,0))+parametros_manuales!$G$30*('Plan mensual'!E49+IF(parametros_manuales!$H$30="Todos",'Plan mensual'!E53,0)))*parametros_manuales!$I$30*parametros_manuales!$J$30</f>
        <v>7680.969169332</v>
      </c>
      <c r="D121" s="9" t="n">
        <f aca="false">(parametros_manuales!$D$30*('Plan mensual'!F46+IF(parametros_manuales!$H$30="Todos",'Plan mensual'!F50,0))+parametros_manuales!$E$30*('Plan mensual'!F47+IF(parametros_manuales!$H$30="Todos",'Plan mensual'!F51,0))+parametros_manuales!$F$30*('Plan mensual'!F48+IF(parametros_manuales!$H$30="Todos",'Plan mensual'!F52,0))+parametros_manuales!$G$30*('Plan mensual'!F49+IF(parametros_manuales!$H$30="Todos",'Plan mensual'!F53,0)))*parametros_manuales!$I$30*parametros_manuales!$J$30</f>
        <v>7190.4761063215</v>
      </c>
      <c r="E121" s="9" t="n">
        <f aca="false">(parametros_manuales!$D$30*('Plan mensual'!G46+IF(parametros_manuales!$H$30="Todos",'Plan mensual'!G50,0))+parametros_manuales!$E$30*('Plan mensual'!G47+IF(parametros_manuales!$H$30="Todos",'Plan mensual'!G51,0))+parametros_manuales!$F$30*('Plan mensual'!G48+IF(parametros_manuales!$H$30="Todos",'Plan mensual'!G52,0))+parametros_manuales!$G$30*('Plan mensual'!G49+IF(parametros_manuales!$H$30="Todos",'Plan mensual'!G53,0)))*parametros_manuales!$I$30*parametros_manuales!$J$30</f>
        <v>6879.8989427715</v>
      </c>
      <c r="F121" s="9" t="n">
        <f aca="false">(parametros_manuales!$D$30*('Plan mensual'!H46+IF(parametros_manuales!$H$30="Todos",'Plan mensual'!H50,0))+parametros_manuales!$E$30*('Plan mensual'!H47+IF(parametros_manuales!$H$30="Todos",'Plan mensual'!H51,0))+parametros_manuales!$F$30*('Plan mensual'!H48+IF(parametros_manuales!$H$30="Todos",'Plan mensual'!H52,0))+parametros_manuales!$G$30*('Plan mensual'!H49+IF(parametros_manuales!$H$30="Todos",'Plan mensual'!H53,0)))*parametros_manuales!$I$30*parametros_manuales!$J$30</f>
        <v>6438.660515132</v>
      </c>
      <c r="G121" s="9" t="n">
        <f aca="false">(parametros_manuales!$D$30*('Plan mensual'!I46+IF(parametros_manuales!$H$30="Todos",'Plan mensual'!I50,0))+parametros_manuales!$E$30*('Plan mensual'!I47+IF(parametros_manuales!$H$30="Todos",'Plan mensual'!I51,0))+parametros_manuales!$F$30*('Plan mensual'!I48+IF(parametros_manuales!$H$30="Todos",'Plan mensual'!I52,0))+parametros_manuales!$G$30*('Plan mensual'!I49+IF(parametros_manuales!$H$30="Todos",'Plan mensual'!I53,0)))*parametros_manuales!$I$30*parametros_manuales!$J$30</f>
        <v>6307.9992510425</v>
      </c>
      <c r="H121" s="9" t="n">
        <f aca="false">(parametros_manuales!$D$30*('Plan mensual'!J46+IF(parametros_manuales!$H$30="Todos",'Plan mensual'!J50,0))+parametros_manuales!$E$30*('Plan mensual'!J47+IF(parametros_manuales!$H$30="Todos",'Plan mensual'!J51,0))+parametros_manuales!$F$30*('Plan mensual'!J48+IF(parametros_manuales!$H$30="Todos",'Plan mensual'!J52,0))+parametros_manuales!$G$30*('Plan mensual'!J49+IF(parametros_manuales!$H$30="Todos",'Plan mensual'!J53,0)))*parametros_manuales!$I$30*parametros_manuales!$J$30</f>
        <v>6749.237678682</v>
      </c>
      <c r="I121" s="9" t="n">
        <f aca="false">(parametros_manuales!$D$30*('Plan mensual'!K46+IF(parametros_manuales!$H$30="Todos",'Plan mensual'!K50,0))+parametros_manuales!$E$30*('Plan mensual'!K47+IF(parametros_manuales!$H$30="Todos",'Plan mensual'!K51,0))+parametros_manuales!$F$30*('Plan mensual'!K48+IF(parametros_manuales!$H$30="Todos",'Plan mensual'!K52,0))+parametros_manuales!$G$30*('Plan mensual'!K49+IF(parametros_manuales!$H$30="Todos",'Plan mensual'!K53,0)))*parametros_manuales!$I$30*parametros_manuales!$J$30</f>
        <v>6749.237678682</v>
      </c>
      <c r="J121" s="9" t="n">
        <f aca="false">(parametros_manuales!$D$30*('Plan mensual'!L46+IF(parametros_manuales!$H$30="Todos",'Plan mensual'!L50,0))+parametros_manuales!$E$30*('Plan mensual'!L47+IF(parametros_manuales!$H$30="Todos",'Plan mensual'!L51,0))+parametros_manuales!$F$30*('Plan mensual'!L48+IF(parametros_manuales!$H$30="Todos",'Plan mensual'!L52,0))+parametros_manuales!$G$30*('Plan mensual'!L49+IF(parametros_manuales!$H$30="Todos",'Plan mensual'!L53,0)))*parametros_manuales!$I$30*parametros_manuales!$J$30</f>
        <v>6749.237678682</v>
      </c>
      <c r="K121" s="9" t="n">
        <f aca="false">(parametros_manuales!$D$30*('Plan mensual'!M46+IF(parametros_manuales!$H$30="Todos",'Plan mensual'!M50,0))+parametros_manuales!$E$30*('Plan mensual'!M47+IF(parametros_manuales!$H$30="Todos",'Plan mensual'!M51,0))+parametros_manuales!$F$30*('Plan mensual'!M48+IF(parametros_manuales!$H$30="Todos",'Plan mensual'!M52,0))+parametros_manuales!$G$30*('Plan mensual'!M49+IF(parametros_manuales!$H$30="Todos",'Plan mensual'!M53,0)))*parametros_manuales!$I$30*parametros_manuales!$J$30</f>
        <v>6618.5764145925</v>
      </c>
      <c r="L121" s="9" t="n">
        <f aca="false">(parametros_manuales!$D$30*('Plan mensual'!N46+IF(parametros_manuales!$H$30="Todos",'Plan mensual'!N50,0))+parametros_manuales!$E$30*('Plan mensual'!N47+IF(parametros_manuales!$H$30="Todos",'Plan mensual'!N51,0))+parametros_manuales!$F$30*('Plan mensual'!N48+IF(parametros_manuales!$H$30="Todos",'Plan mensual'!N52,0))+parametros_manuales!$G$30*('Plan mensual'!N49+IF(parametros_manuales!$H$30="Todos",'Plan mensual'!N53,0)))*parametros_manuales!$I$30*parametros_manuales!$J$30</f>
        <v>6487.915150503</v>
      </c>
      <c r="M121" s="9" t="n">
        <f aca="false">(parametros_manuales!$D$30*('Plan mensual'!O46+IF(parametros_manuales!$H$30="Todos",'Plan mensual'!O50,0))+parametros_manuales!$E$30*('Plan mensual'!O47+IF(parametros_manuales!$H$30="Todos",'Plan mensual'!O51,0))+parametros_manuales!$F$30*('Plan mensual'!O48+IF(parametros_manuales!$H$30="Todos",'Plan mensual'!O52,0))+parametros_manuales!$G$30*('Plan mensual'!O49+IF(parametros_manuales!$H$30="Todos",'Plan mensual'!O53,0)))*parametros_manuales!$I$30*parametros_manuales!$J$30</f>
        <v>10328.399735169</v>
      </c>
      <c r="N121" s="9" t="n">
        <f aca="false">SUM(B121:M121)</f>
        <v>88247.6855279</v>
      </c>
      <c r="O121" s="9" t="n">
        <f aca="false">MAX(B121:M121)</f>
        <v>10328.399735169</v>
      </c>
      <c r="P121" s="43" t="n">
        <f aca="false">O121/(parametros_manuales!$B$7)</f>
        <v>68.85599823446</v>
      </c>
      <c r="Q121" s="8" t="str">
        <f aca="false">IF(O121=0,"-",INDEX($B$109:$M$109,MATCH(O121,B121:M121,0)))</f>
        <v>Dic</v>
      </c>
    </row>
    <row r="122" customFormat="false" ht="14.25" hidden="false" customHeight="true" outlineLevel="0" collapsed="false">
      <c r="A122" s="8" t="str">
        <f aca="false">parametros_manuales!$B$31</f>
        <v>Control de calidad — Espesor</v>
      </c>
      <c r="B122" s="9" t="n">
        <f aca="false">(parametros_manuales!$D$31*('Plan mensual'!D46+IF(parametros_manuales!$H$31="Todos",'Plan mensual'!D50,0))+parametros_manuales!$E$31*('Plan mensual'!D47+IF(parametros_manuales!$H$31="Todos",'Plan mensual'!D51,0))+parametros_manuales!$F$31*('Plan mensual'!D48+IF(parametros_manuales!$H$31="Todos",'Plan mensual'!D52,0))+parametros_manuales!$G$31*('Plan mensual'!D49+IF(parametros_manuales!$H$31="Todos",'Plan mensual'!D53,0)))*parametros_manuales!$I$31*parametros_manuales!$J$31</f>
        <v>201.3415441398</v>
      </c>
      <c r="C122" s="9" t="n">
        <f aca="false">(parametros_manuales!$D$31*('Plan mensual'!E46+IF(parametros_manuales!$H$31="Todos",'Plan mensual'!E50,0))+parametros_manuales!$E$31*('Plan mensual'!E47+IF(parametros_manuales!$H$31="Todos",'Plan mensual'!E51,0))+parametros_manuales!$F$31*('Plan mensual'!E48+IF(parametros_manuales!$H$31="Todos",'Plan mensual'!E52,0))+parametros_manuales!$G$31*('Plan mensual'!E49+IF(parametros_manuales!$H$31="Todos",'Plan mensual'!E53,0)))*parametros_manuales!$I$31*parametros_manuales!$J$31</f>
        <v>153.61938338664</v>
      </c>
      <c r="D122" s="9" t="n">
        <f aca="false">(parametros_manuales!$D$31*('Plan mensual'!F46+IF(parametros_manuales!$H$31="Todos",'Plan mensual'!F50,0))+parametros_manuales!$E$31*('Plan mensual'!F47+IF(parametros_manuales!$H$31="Todos",'Plan mensual'!F51,0))+parametros_manuales!$F$31*('Plan mensual'!F48+IF(parametros_manuales!$H$31="Todos",'Plan mensual'!F52,0))+parametros_manuales!$G$31*('Plan mensual'!F49+IF(parametros_manuales!$H$31="Todos",'Plan mensual'!F53,0)))*parametros_manuales!$I$31*parametros_manuales!$J$31</f>
        <v>143.80952212643</v>
      </c>
      <c r="E122" s="9" t="n">
        <f aca="false">(parametros_manuales!$D$31*('Plan mensual'!G46+IF(parametros_manuales!$H$31="Todos",'Plan mensual'!G50,0))+parametros_manuales!$E$31*('Plan mensual'!G47+IF(parametros_manuales!$H$31="Todos",'Plan mensual'!G51,0))+parametros_manuales!$F$31*('Plan mensual'!G48+IF(parametros_manuales!$H$31="Todos",'Plan mensual'!G52,0))+parametros_manuales!$G$31*('Plan mensual'!G49+IF(parametros_manuales!$H$31="Todos",'Plan mensual'!G53,0)))*parametros_manuales!$I$31*parametros_manuales!$J$31</f>
        <v>137.59797885543</v>
      </c>
      <c r="F122" s="9" t="n">
        <f aca="false">(parametros_manuales!$D$31*('Plan mensual'!H46+IF(parametros_manuales!$H$31="Todos",'Plan mensual'!H50,0))+parametros_manuales!$E$31*('Plan mensual'!H47+IF(parametros_manuales!$H$31="Todos",'Plan mensual'!H51,0))+parametros_manuales!$F$31*('Plan mensual'!H48+IF(parametros_manuales!$H$31="Todos",'Plan mensual'!H52,0))+parametros_manuales!$G$31*('Plan mensual'!H49+IF(parametros_manuales!$H$31="Todos",'Plan mensual'!H53,0)))*parametros_manuales!$I$31*parametros_manuales!$J$31</f>
        <v>128.77321030264</v>
      </c>
      <c r="G122" s="9" t="n">
        <f aca="false">(parametros_manuales!$D$31*('Plan mensual'!I46+IF(parametros_manuales!$H$31="Todos",'Plan mensual'!I50,0))+parametros_manuales!$E$31*('Plan mensual'!I47+IF(parametros_manuales!$H$31="Todos",'Plan mensual'!I51,0))+parametros_manuales!$F$31*('Plan mensual'!I48+IF(parametros_manuales!$H$31="Todos",'Plan mensual'!I52,0))+parametros_manuales!$G$31*('Plan mensual'!I49+IF(parametros_manuales!$H$31="Todos",'Plan mensual'!I53,0)))*parametros_manuales!$I$31*parametros_manuales!$J$31</f>
        <v>126.15998502085</v>
      </c>
      <c r="H122" s="9" t="n">
        <f aca="false">(parametros_manuales!$D$31*('Plan mensual'!J46+IF(parametros_manuales!$H$31="Todos",'Plan mensual'!J50,0))+parametros_manuales!$E$31*('Plan mensual'!J47+IF(parametros_manuales!$H$31="Todos",'Plan mensual'!J51,0))+parametros_manuales!$F$31*('Plan mensual'!J48+IF(parametros_manuales!$H$31="Todos",'Plan mensual'!J52,0))+parametros_manuales!$G$31*('Plan mensual'!J49+IF(parametros_manuales!$H$31="Todos",'Plan mensual'!J53,0)))*parametros_manuales!$I$31*parametros_manuales!$J$31</f>
        <v>134.98475357364</v>
      </c>
      <c r="I122" s="9" t="n">
        <f aca="false">(parametros_manuales!$D$31*('Plan mensual'!K46+IF(parametros_manuales!$H$31="Todos",'Plan mensual'!K50,0))+parametros_manuales!$E$31*('Plan mensual'!K47+IF(parametros_manuales!$H$31="Todos",'Plan mensual'!K51,0))+parametros_manuales!$F$31*('Plan mensual'!K48+IF(parametros_manuales!$H$31="Todos",'Plan mensual'!K52,0))+parametros_manuales!$G$31*('Plan mensual'!K49+IF(parametros_manuales!$H$31="Todos",'Plan mensual'!K53,0)))*parametros_manuales!$I$31*parametros_manuales!$J$31</f>
        <v>134.98475357364</v>
      </c>
      <c r="J122" s="9" t="n">
        <f aca="false">(parametros_manuales!$D$31*('Plan mensual'!L46+IF(parametros_manuales!$H$31="Todos",'Plan mensual'!L50,0))+parametros_manuales!$E$31*('Plan mensual'!L47+IF(parametros_manuales!$H$31="Todos",'Plan mensual'!L51,0))+parametros_manuales!$F$31*('Plan mensual'!L48+IF(parametros_manuales!$H$31="Todos",'Plan mensual'!L52,0))+parametros_manuales!$G$31*('Plan mensual'!L49+IF(parametros_manuales!$H$31="Todos",'Plan mensual'!L53,0)))*parametros_manuales!$I$31*parametros_manuales!$J$31</f>
        <v>134.98475357364</v>
      </c>
      <c r="K122" s="9" t="n">
        <f aca="false">(parametros_manuales!$D$31*('Plan mensual'!M46+IF(parametros_manuales!$H$31="Todos",'Plan mensual'!M50,0))+parametros_manuales!$E$31*('Plan mensual'!M47+IF(parametros_manuales!$H$31="Todos",'Plan mensual'!M51,0))+parametros_manuales!$F$31*('Plan mensual'!M48+IF(parametros_manuales!$H$31="Todos",'Plan mensual'!M52,0))+parametros_manuales!$G$31*('Plan mensual'!M49+IF(parametros_manuales!$H$31="Todos",'Plan mensual'!M53,0)))*parametros_manuales!$I$31*parametros_manuales!$J$31</f>
        <v>132.37152829185</v>
      </c>
      <c r="L122" s="9" t="n">
        <f aca="false">(parametros_manuales!$D$31*('Plan mensual'!N46+IF(parametros_manuales!$H$31="Todos",'Plan mensual'!N50,0))+parametros_manuales!$E$31*('Plan mensual'!N47+IF(parametros_manuales!$H$31="Todos",'Plan mensual'!N51,0))+parametros_manuales!$F$31*('Plan mensual'!N48+IF(parametros_manuales!$H$31="Todos",'Plan mensual'!N52,0))+parametros_manuales!$G$31*('Plan mensual'!N49+IF(parametros_manuales!$H$31="Todos",'Plan mensual'!N53,0)))*parametros_manuales!$I$31*parametros_manuales!$J$31</f>
        <v>129.75830301006</v>
      </c>
      <c r="M122" s="9" t="n">
        <f aca="false">(parametros_manuales!$D$31*('Plan mensual'!O46+IF(parametros_manuales!$H$31="Todos",'Plan mensual'!O50,0))+parametros_manuales!$E$31*('Plan mensual'!O47+IF(parametros_manuales!$H$31="Todos",'Plan mensual'!O51,0))+parametros_manuales!$F$31*('Plan mensual'!O48+IF(parametros_manuales!$H$31="Todos",'Plan mensual'!O52,0))+parametros_manuales!$G$31*('Plan mensual'!O49+IF(parametros_manuales!$H$31="Todos",'Plan mensual'!O53,0)))*parametros_manuales!$I$31*parametros_manuales!$J$31</f>
        <v>206.56799470338</v>
      </c>
      <c r="N122" s="9" t="n">
        <f aca="false">SUM(B122:M122)</f>
        <v>1764.953710558</v>
      </c>
      <c r="O122" s="9" t="n">
        <f aca="false">MAX(B122:M122)</f>
        <v>206.56799470338</v>
      </c>
      <c r="P122" s="43" t="n">
        <f aca="false">O122/(parametros_manuales!$B$7)</f>
        <v>1.3771199646892</v>
      </c>
      <c r="Q122" s="8" t="str">
        <f aca="false">IF(O122=0,"-",INDEX($B$109:$M$109,MATCH(O122,B122:M122,0)))</f>
        <v>Dic</v>
      </c>
    </row>
    <row r="123" customFormat="false" ht="14.25" hidden="false" customHeight="true" outlineLevel="0" collapsed="false">
      <c r="A123" s="8" t="str">
        <f aca="false">parametros_manuales!$B$32</f>
        <v>Prueba hidráulica</v>
      </c>
      <c r="B123" s="9" t="n">
        <f aca="false">(parametros_manuales!$D$32*('Plan mensual'!D46+IF(parametros_manuales!$H$32="Todos",'Plan mensual'!D50,0))+parametros_manuales!$E$32*('Plan mensual'!D47+IF(parametros_manuales!$H$32="Todos",'Plan mensual'!D51,0))+parametros_manuales!$F$32*('Plan mensual'!D48+IF(parametros_manuales!$H$32="Todos",'Plan mensual'!D52,0))+parametros_manuales!$G$32*('Plan mensual'!D49+IF(parametros_manuales!$H$32="Todos",'Plan mensual'!D53,0)))*parametros_manuales!$I$32*parametros_manuales!$J$32</f>
        <v>10067.07720699</v>
      </c>
      <c r="C123" s="9" t="n">
        <f aca="false">(parametros_manuales!$D$32*('Plan mensual'!E46+IF(parametros_manuales!$H$32="Todos",'Plan mensual'!E50,0))+parametros_manuales!$E$32*('Plan mensual'!E47+IF(parametros_manuales!$H$32="Todos",'Plan mensual'!E51,0))+parametros_manuales!$F$32*('Plan mensual'!E48+IF(parametros_manuales!$H$32="Todos",'Plan mensual'!E52,0))+parametros_manuales!$G$32*('Plan mensual'!E49+IF(parametros_manuales!$H$32="Todos",'Plan mensual'!E53,0)))*parametros_manuales!$I$32*parametros_manuales!$J$32</f>
        <v>7680.969169332</v>
      </c>
      <c r="D123" s="9" t="n">
        <f aca="false">(parametros_manuales!$D$32*('Plan mensual'!F46+IF(parametros_manuales!$H$32="Todos",'Plan mensual'!F50,0))+parametros_manuales!$E$32*('Plan mensual'!F47+IF(parametros_manuales!$H$32="Todos",'Plan mensual'!F51,0))+parametros_manuales!$F$32*('Plan mensual'!F48+IF(parametros_manuales!$H$32="Todos",'Plan mensual'!F52,0))+parametros_manuales!$G$32*('Plan mensual'!F49+IF(parametros_manuales!$H$32="Todos",'Plan mensual'!F53,0)))*parametros_manuales!$I$32*parametros_manuales!$J$32</f>
        <v>7190.4761063215</v>
      </c>
      <c r="E123" s="9" t="n">
        <f aca="false">(parametros_manuales!$D$32*('Plan mensual'!G46+IF(parametros_manuales!$H$32="Todos",'Plan mensual'!G50,0))+parametros_manuales!$E$32*('Plan mensual'!G47+IF(parametros_manuales!$H$32="Todos",'Plan mensual'!G51,0))+parametros_manuales!$F$32*('Plan mensual'!G48+IF(parametros_manuales!$H$32="Todos",'Plan mensual'!G52,0))+parametros_manuales!$G$32*('Plan mensual'!G49+IF(parametros_manuales!$H$32="Todos",'Plan mensual'!G53,0)))*parametros_manuales!$I$32*parametros_manuales!$J$32</f>
        <v>6879.8989427715</v>
      </c>
      <c r="F123" s="9" t="n">
        <f aca="false">(parametros_manuales!$D$32*('Plan mensual'!H46+IF(parametros_manuales!$H$32="Todos",'Plan mensual'!H50,0))+parametros_manuales!$E$32*('Plan mensual'!H47+IF(parametros_manuales!$H$32="Todos",'Plan mensual'!H51,0))+parametros_manuales!$F$32*('Plan mensual'!H48+IF(parametros_manuales!$H$32="Todos",'Plan mensual'!H52,0))+parametros_manuales!$G$32*('Plan mensual'!H49+IF(parametros_manuales!$H$32="Todos",'Plan mensual'!H53,0)))*parametros_manuales!$I$32*parametros_manuales!$J$32</f>
        <v>6438.660515132</v>
      </c>
      <c r="G123" s="9" t="n">
        <f aca="false">(parametros_manuales!$D$32*('Plan mensual'!I46+IF(parametros_manuales!$H$32="Todos",'Plan mensual'!I50,0))+parametros_manuales!$E$32*('Plan mensual'!I47+IF(parametros_manuales!$H$32="Todos",'Plan mensual'!I51,0))+parametros_manuales!$F$32*('Plan mensual'!I48+IF(parametros_manuales!$H$32="Todos",'Plan mensual'!I52,0))+parametros_manuales!$G$32*('Plan mensual'!I49+IF(parametros_manuales!$H$32="Todos",'Plan mensual'!I53,0)))*parametros_manuales!$I$32*parametros_manuales!$J$32</f>
        <v>6307.9992510425</v>
      </c>
      <c r="H123" s="9" t="n">
        <f aca="false">(parametros_manuales!$D$32*('Plan mensual'!J46+IF(parametros_manuales!$H$32="Todos",'Plan mensual'!J50,0))+parametros_manuales!$E$32*('Plan mensual'!J47+IF(parametros_manuales!$H$32="Todos",'Plan mensual'!J51,0))+parametros_manuales!$F$32*('Plan mensual'!J48+IF(parametros_manuales!$H$32="Todos",'Plan mensual'!J52,0))+parametros_manuales!$G$32*('Plan mensual'!J49+IF(parametros_manuales!$H$32="Todos",'Plan mensual'!J53,0)))*parametros_manuales!$I$32*parametros_manuales!$J$32</f>
        <v>6749.237678682</v>
      </c>
      <c r="I123" s="9" t="n">
        <f aca="false">(parametros_manuales!$D$32*('Plan mensual'!K46+IF(parametros_manuales!$H$32="Todos",'Plan mensual'!K50,0))+parametros_manuales!$E$32*('Plan mensual'!K47+IF(parametros_manuales!$H$32="Todos",'Plan mensual'!K51,0))+parametros_manuales!$F$32*('Plan mensual'!K48+IF(parametros_manuales!$H$32="Todos",'Plan mensual'!K52,0))+parametros_manuales!$G$32*('Plan mensual'!K49+IF(parametros_manuales!$H$32="Todos",'Plan mensual'!K53,0)))*parametros_manuales!$I$32*parametros_manuales!$J$32</f>
        <v>6749.237678682</v>
      </c>
      <c r="J123" s="9" t="n">
        <f aca="false">(parametros_manuales!$D$32*('Plan mensual'!L46+IF(parametros_manuales!$H$32="Todos",'Plan mensual'!L50,0))+parametros_manuales!$E$32*('Plan mensual'!L47+IF(parametros_manuales!$H$32="Todos",'Plan mensual'!L51,0))+parametros_manuales!$F$32*('Plan mensual'!L48+IF(parametros_manuales!$H$32="Todos",'Plan mensual'!L52,0))+parametros_manuales!$G$32*('Plan mensual'!L49+IF(parametros_manuales!$H$32="Todos",'Plan mensual'!L53,0)))*parametros_manuales!$I$32*parametros_manuales!$J$32</f>
        <v>6749.237678682</v>
      </c>
      <c r="K123" s="9" t="n">
        <f aca="false">(parametros_manuales!$D$32*('Plan mensual'!M46+IF(parametros_manuales!$H$32="Todos",'Plan mensual'!M50,0))+parametros_manuales!$E$32*('Plan mensual'!M47+IF(parametros_manuales!$H$32="Todos",'Plan mensual'!M51,0))+parametros_manuales!$F$32*('Plan mensual'!M48+IF(parametros_manuales!$H$32="Todos",'Plan mensual'!M52,0))+parametros_manuales!$G$32*('Plan mensual'!M49+IF(parametros_manuales!$H$32="Todos",'Plan mensual'!M53,0)))*parametros_manuales!$I$32*parametros_manuales!$J$32</f>
        <v>6618.5764145925</v>
      </c>
      <c r="L123" s="9" t="n">
        <f aca="false">(parametros_manuales!$D$32*('Plan mensual'!N46+IF(parametros_manuales!$H$32="Todos",'Plan mensual'!N50,0))+parametros_manuales!$E$32*('Plan mensual'!N47+IF(parametros_manuales!$H$32="Todos",'Plan mensual'!N51,0))+parametros_manuales!$F$32*('Plan mensual'!N48+IF(parametros_manuales!$H$32="Todos",'Plan mensual'!N52,0))+parametros_manuales!$G$32*('Plan mensual'!N49+IF(parametros_manuales!$H$32="Todos",'Plan mensual'!N53,0)))*parametros_manuales!$I$32*parametros_manuales!$J$32</f>
        <v>6487.915150503</v>
      </c>
      <c r="M123" s="9" t="n">
        <f aca="false">(parametros_manuales!$D$32*('Plan mensual'!O46+IF(parametros_manuales!$H$32="Todos",'Plan mensual'!O50,0))+parametros_manuales!$E$32*('Plan mensual'!O47+IF(parametros_manuales!$H$32="Todos",'Plan mensual'!O51,0))+parametros_manuales!$F$32*('Plan mensual'!O48+IF(parametros_manuales!$H$32="Todos",'Plan mensual'!O52,0))+parametros_manuales!$G$32*('Plan mensual'!O49+IF(parametros_manuales!$H$32="Todos",'Plan mensual'!O53,0)))*parametros_manuales!$I$32*parametros_manuales!$J$32</f>
        <v>10328.399735169</v>
      </c>
      <c r="N123" s="9" t="n">
        <f aca="false">SUM(B123:M123)</f>
        <v>88247.6855279</v>
      </c>
      <c r="O123" s="9" t="n">
        <f aca="false">MAX(B123:M123)</f>
        <v>10328.399735169</v>
      </c>
      <c r="P123" s="43" t="n">
        <f aca="false">O123/(parametros_manuales!$B$7)</f>
        <v>68.85599823446</v>
      </c>
      <c r="Q123" s="8" t="str">
        <f aca="false">IF(O123=0,"-",INDEX($B$109:$M$109,MATCH(O123,B123:M123,0)))</f>
        <v>Dic</v>
      </c>
    </row>
    <row r="124" customFormat="false" ht="14.25" hidden="false" customHeight="true" outlineLevel="0" collapsed="false">
      <c r="A124" s="8" t="str">
        <f aca="false">parametros_manuales!$B$33</f>
        <v>Secado</v>
      </c>
      <c r="B124" s="9" t="n">
        <f aca="false">(parametros_manuales!$D$33*('Plan mensual'!D46+IF(parametros_manuales!$H$33="Todos",'Plan mensual'!D50,0))+parametros_manuales!$E$33*('Plan mensual'!D47+IF(parametros_manuales!$H$33="Todos",'Plan mensual'!D51,0))+parametros_manuales!$F$33*('Plan mensual'!D48+IF(parametros_manuales!$H$33="Todos",'Plan mensual'!D52,0))+parametros_manuales!$G$33*('Plan mensual'!D49+IF(parametros_manuales!$H$33="Todos",'Plan mensual'!D53,0)))*parametros_manuales!$I$33*parametros_manuales!$J$33</f>
        <v>10067.07720699</v>
      </c>
      <c r="C124" s="9" t="n">
        <f aca="false">(parametros_manuales!$D$33*('Plan mensual'!E46+IF(parametros_manuales!$H$33="Todos",'Plan mensual'!E50,0))+parametros_manuales!$E$33*('Plan mensual'!E47+IF(parametros_manuales!$H$33="Todos",'Plan mensual'!E51,0))+parametros_manuales!$F$33*('Plan mensual'!E48+IF(parametros_manuales!$H$33="Todos",'Plan mensual'!E52,0))+parametros_manuales!$G$33*('Plan mensual'!E49+IF(parametros_manuales!$H$33="Todos",'Plan mensual'!E53,0)))*parametros_manuales!$I$33*parametros_manuales!$J$33</f>
        <v>7680.969169332</v>
      </c>
      <c r="D124" s="9" t="n">
        <f aca="false">(parametros_manuales!$D$33*('Plan mensual'!F46+IF(parametros_manuales!$H$33="Todos",'Plan mensual'!F50,0))+parametros_manuales!$E$33*('Plan mensual'!F47+IF(parametros_manuales!$H$33="Todos",'Plan mensual'!F51,0))+parametros_manuales!$F$33*('Plan mensual'!F48+IF(parametros_manuales!$H$33="Todos",'Plan mensual'!F52,0))+parametros_manuales!$G$33*('Plan mensual'!F49+IF(parametros_manuales!$H$33="Todos",'Plan mensual'!F53,0)))*parametros_manuales!$I$33*parametros_manuales!$J$33</f>
        <v>7190.4761063215</v>
      </c>
      <c r="E124" s="9" t="n">
        <f aca="false">(parametros_manuales!$D$33*('Plan mensual'!G46+IF(parametros_manuales!$H$33="Todos",'Plan mensual'!G50,0))+parametros_manuales!$E$33*('Plan mensual'!G47+IF(parametros_manuales!$H$33="Todos",'Plan mensual'!G51,0))+parametros_manuales!$F$33*('Plan mensual'!G48+IF(parametros_manuales!$H$33="Todos",'Plan mensual'!G52,0))+parametros_manuales!$G$33*('Plan mensual'!G49+IF(parametros_manuales!$H$33="Todos",'Plan mensual'!G53,0)))*parametros_manuales!$I$33*parametros_manuales!$J$33</f>
        <v>6879.8989427715</v>
      </c>
      <c r="F124" s="9" t="n">
        <f aca="false">(parametros_manuales!$D$33*('Plan mensual'!H46+IF(parametros_manuales!$H$33="Todos",'Plan mensual'!H50,0))+parametros_manuales!$E$33*('Plan mensual'!H47+IF(parametros_manuales!$H$33="Todos",'Plan mensual'!H51,0))+parametros_manuales!$F$33*('Plan mensual'!H48+IF(parametros_manuales!$H$33="Todos",'Plan mensual'!H52,0))+parametros_manuales!$G$33*('Plan mensual'!H49+IF(parametros_manuales!$H$33="Todos",'Plan mensual'!H53,0)))*parametros_manuales!$I$33*parametros_manuales!$J$33</f>
        <v>6438.660515132</v>
      </c>
      <c r="G124" s="9" t="n">
        <f aca="false">(parametros_manuales!$D$33*('Plan mensual'!I46+IF(parametros_manuales!$H$33="Todos",'Plan mensual'!I50,0))+parametros_manuales!$E$33*('Plan mensual'!I47+IF(parametros_manuales!$H$33="Todos",'Plan mensual'!I51,0))+parametros_manuales!$F$33*('Plan mensual'!I48+IF(parametros_manuales!$H$33="Todos",'Plan mensual'!I52,0))+parametros_manuales!$G$33*('Plan mensual'!I49+IF(parametros_manuales!$H$33="Todos",'Plan mensual'!I53,0)))*parametros_manuales!$I$33*parametros_manuales!$J$33</f>
        <v>6307.9992510425</v>
      </c>
      <c r="H124" s="9" t="n">
        <f aca="false">(parametros_manuales!$D$33*('Plan mensual'!J46+IF(parametros_manuales!$H$33="Todos",'Plan mensual'!J50,0))+parametros_manuales!$E$33*('Plan mensual'!J47+IF(parametros_manuales!$H$33="Todos",'Plan mensual'!J51,0))+parametros_manuales!$F$33*('Plan mensual'!J48+IF(parametros_manuales!$H$33="Todos",'Plan mensual'!J52,0))+parametros_manuales!$G$33*('Plan mensual'!J49+IF(parametros_manuales!$H$33="Todos",'Plan mensual'!J53,0)))*parametros_manuales!$I$33*parametros_manuales!$J$33</f>
        <v>6749.237678682</v>
      </c>
      <c r="I124" s="9" t="n">
        <f aca="false">(parametros_manuales!$D$33*('Plan mensual'!K46+IF(parametros_manuales!$H$33="Todos",'Plan mensual'!K50,0))+parametros_manuales!$E$33*('Plan mensual'!K47+IF(parametros_manuales!$H$33="Todos",'Plan mensual'!K51,0))+parametros_manuales!$F$33*('Plan mensual'!K48+IF(parametros_manuales!$H$33="Todos",'Plan mensual'!K52,0))+parametros_manuales!$G$33*('Plan mensual'!K49+IF(parametros_manuales!$H$33="Todos",'Plan mensual'!K53,0)))*parametros_manuales!$I$33*parametros_manuales!$J$33</f>
        <v>6749.237678682</v>
      </c>
      <c r="J124" s="9" t="n">
        <f aca="false">(parametros_manuales!$D$33*('Plan mensual'!L46+IF(parametros_manuales!$H$33="Todos",'Plan mensual'!L50,0))+parametros_manuales!$E$33*('Plan mensual'!L47+IF(parametros_manuales!$H$33="Todos",'Plan mensual'!L51,0))+parametros_manuales!$F$33*('Plan mensual'!L48+IF(parametros_manuales!$H$33="Todos",'Plan mensual'!L52,0))+parametros_manuales!$G$33*('Plan mensual'!L49+IF(parametros_manuales!$H$33="Todos",'Plan mensual'!L53,0)))*parametros_manuales!$I$33*parametros_manuales!$J$33</f>
        <v>6749.237678682</v>
      </c>
      <c r="K124" s="9" t="n">
        <f aca="false">(parametros_manuales!$D$33*('Plan mensual'!M46+IF(parametros_manuales!$H$33="Todos",'Plan mensual'!M50,0))+parametros_manuales!$E$33*('Plan mensual'!M47+IF(parametros_manuales!$H$33="Todos",'Plan mensual'!M51,0))+parametros_manuales!$F$33*('Plan mensual'!M48+IF(parametros_manuales!$H$33="Todos",'Plan mensual'!M52,0))+parametros_manuales!$G$33*('Plan mensual'!M49+IF(parametros_manuales!$H$33="Todos",'Plan mensual'!M53,0)))*parametros_manuales!$I$33*parametros_manuales!$J$33</f>
        <v>6618.5764145925</v>
      </c>
      <c r="L124" s="9" t="n">
        <f aca="false">(parametros_manuales!$D$33*('Plan mensual'!N46+IF(parametros_manuales!$H$33="Todos",'Plan mensual'!N50,0))+parametros_manuales!$E$33*('Plan mensual'!N47+IF(parametros_manuales!$H$33="Todos",'Plan mensual'!N51,0))+parametros_manuales!$F$33*('Plan mensual'!N48+IF(parametros_manuales!$H$33="Todos",'Plan mensual'!N52,0))+parametros_manuales!$G$33*('Plan mensual'!N49+IF(parametros_manuales!$H$33="Todos",'Plan mensual'!N53,0)))*parametros_manuales!$I$33*parametros_manuales!$J$33</f>
        <v>6487.915150503</v>
      </c>
      <c r="M124" s="9" t="n">
        <f aca="false">(parametros_manuales!$D$33*('Plan mensual'!O46+IF(parametros_manuales!$H$33="Todos",'Plan mensual'!O50,0))+parametros_manuales!$E$33*('Plan mensual'!O47+IF(parametros_manuales!$H$33="Todos",'Plan mensual'!O51,0))+parametros_manuales!$F$33*('Plan mensual'!O48+IF(parametros_manuales!$H$33="Todos",'Plan mensual'!O52,0))+parametros_manuales!$G$33*('Plan mensual'!O49+IF(parametros_manuales!$H$33="Todos",'Plan mensual'!O53,0)))*parametros_manuales!$I$33*parametros_manuales!$J$33</f>
        <v>10328.399735169</v>
      </c>
      <c r="N124" s="9" t="n">
        <f aca="false">SUM(B124:M124)</f>
        <v>88247.6855279</v>
      </c>
      <c r="O124" s="9" t="n">
        <f aca="false">MAX(B124:M124)</f>
        <v>10328.399735169</v>
      </c>
      <c r="P124" s="43" t="n">
        <f aca="false">O124/(parametros_manuales!$B$7)</f>
        <v>68.85599823446</v>
      </c>
      <c r="Q124" s="8" t="str">
        <f aca="false">IF(O124=0,"-",INDEX($B$109:$M$109,MATCH(O124,B124:M124,0)))</f>
        <v>Dic</v>
      </c>
    </row>
    <row r="125" customFormat="false" ht="14.25" hidden="false" customHeight="true" outlineLevel="0" collapsed="false">
      <c r="A125" s="8" t="str">
        <f aca="false">parametros_manuales!$B$34</f>
        <v>Granallado</v>
      </c>
      <c r="B125" s="9" t="n">
        <f aca="false">(parametros_manuales!$D$34*('Plan mensual'!D46+IF(parametros_manuales!$H$34="Todos",'Plan mensual'!D50,0))+parametros_manuales!$E$34*('Plan mensual'!D47+IF(parametros_manuales!$H$34="Todos",'Plan mensual'!D51,0))+parametros_manuales!$F$34*('Plan mensual'!D48+IF(parametros_manuales!$H$34="Todos",'Plan mensual'!D52,0))+parametros_manuales!$G$34*('Plan mensual'!D49+IF(parametros_manuales!$H$34="Todos",'Plan mensual'!D53,0)))*parametros_manuales!$I$34*parametros_manuales!$J$34</f>
        <v>10067.07720699</v>
      </c>
      <c r="C125" s="9" t="n">
        <f aca="false">(parametros_manuales!$D$34*('Plan mensual'!E46+IF(parametros_manuales!$H$34="Todos",'Plan mensual'!E50,0))+parametros_manuales!$E$34*('Plan mensual'!E47+IF(parametros_manuales!$H$34="Todos",'Plan mensual'!E51,0))+parametros_manuales!$F$34*('Plan mensual'!E48+IF(parametros_manuales!$H$34="Todos",'Plan mensual'!E52,0))+parametros_manuales!$G$34*('Plan mensual'!E49+IF(parametros_manuales!$H$34="Todos",'Plan mensual'!E53,0)))*parametros_manuales!$I$34*parametros_manuales!$J$34</f>
        <v>7680.969169332</v>
      </c>
      <c r="D125" s="9" t="n">
        <f aca="false">(parametros_manuales!$D$34*('Plan mensual'!F46+IF(parametros_manuales!$H$34="Todos",'Plan mensual'!F50,0))+parametros_manuales!$E$34*('Plan mensual'!F47+IF(parametros_manuales!$H$34="Todos",'Plan mensual'!F51,0))+parametros_manuales!$F$34*('Plan mensual'!F48+IF(parametros_manuales!$H$34="Todos",'Plan mensual'!F52,0))+parametros_manuales!$G$34*('Plan mensual'!F49+IF(parametros_manuales!$H$34="Todos",'Plan mensual'!F53,0)))*parametros_manuales!$I$34*parametros_manuales!$J$34</f>
        <v>7190.4761063215</v>
      </c>
      <c r="E125" s="9" t="n">
        <f aca="false">(parametros_manuales!$D$34*('Plan mensual'!G46+IF(parametros_manuales!$H$34="Todos",'Plan mensual'!G50,0))+parametros_manuales!$E$34*('Plan mensual'!G47+IF(parametros_manuales!$H$34="Todos",'Plan mensual'!G51,0))+parametros_manuales!$F$34*('Plan mensual'!G48+IF(parametros_manuales!$H$34="Todos",'Plan mensual'!G52,0))+parametros_manuales!$G$34*('Plan mensual'!G49+IF(parametros_manuales!$H$34="Todos",'Plan mensual'!G53,0)))*parametros_manuales!$I$34*parametros_manuales!$J$34</f>
        <v>6879.8989427715</v>
      </c>
      <c r="F125" s="9" t="n">
        <f aca="false">(parametros_manuales!$D$34*('Plan mensual'!H46+IF(parametros_manuales!$H$34="Todos",'Plan mensual'!H50,0))+parametros_manuales!$E$34*('Plan mensual'!H47+IF(parametros_manuales!$H$34="Todos",'Plan mensual'!H51,0))+parametros_manuales!$F$34*('Plan mensual'!H48+IF(parametros_manuales!$H$34="Todos",'Plan mensual'!H52,0))+parametros_manuales!$G$34*('Plan mensual'!H49+IF(parametros_manuales!$H$34="Todos",'Plan mensual'!H53,0)))*parametros_manuales!$I$34*parametros_manuales!$J$34</f>
        <v>6438.660515132</v>
      </c>
      <c r="G125" s="9" t="n">
        <f aca="false">(parametros_manuales!$D$34*('Plan mensual'!I46+IF(parametros_manuales!$H$34="Todos",'Plan mensual'!I50,0))+parametros_manuales!$E$34*('Plan mensual'!I47+IF(parametros_manuales!$H$34="Todos",'Plan mensual'!I51,0))+parametros_manuales!$F$34*('Plan mensual'!I48+IF(parametros_manuales!$H$34="Todos",'Plan mensual'!I52,0))+parametros_manuales!$G$34*('Plan mensual'!I49+IF(parametros_manuales!$H$34="Todos",'Plan mensual'!I53,0)))*parametros_manuales!$I$34*parametros_manuales!$J$34</f>
        <v>6307.9992510425</v>
      </c>
      <c r="H125" s="9" t="n">
        <f aca="false">(parametros_manuales!$D$34*('Plan mensual'!J46+IF(parametros_manuales!$H$34="Todos",'Plan mensual'!J50,0))+parametros_manuales!$E$34*('Plan mensual'!J47+IF(parametros_manuales!$H$34="Todos",'Plan mensual'!J51,0))+parametros_manuales!$F$34*('Plan mensual'!J48+IF(parametros_manuales!$H$34="Todos",'Plan mensual'!J52,0))+parametros_manuales!$G$34*('Plan mensual'!J49+IF(parametros_manuales!$H$34="Todos",'Plan mensual'!J53,0)))*parametros_manuales!$I$34*parametros_manuales!$J$34</f>
        <v>6749.237678682</v>
      </c>
      <c r="I125" s="9" t="n">
        <f aca="false">(parametros_manuales!$D$34*('Plan mensual'!K46+IF(parametros_manuales!$H$34="Todos",'Plan mensual'!K50,0))+parametros_manuales!$E$34*('Plan mensual'!K47+IF(parametros_manuales!$H$34="Todos",'Plan mensual'!K51,0))+parametros_manuales!$F$34*('Plan mensual'!K48+IF(parametros_manuales!$H$34="Todos",'Plan mensual'!K52,0))+parametros_manuales!$G$34*('Plan mensual'!K49+IF(parametros_manuales!$H$34="Todos",'Plan mensual'!K53,0)))*parametros_manuales!$I$34*parametros_manuales!$J$34</f>
        <v>6749.237678682</v>
      </c>
      <c r="J125" s="9" t="n">
        <f aca="false">(parametros_manuales!$D$34*('Plan mensual'!L46+IF(parametros_manuales!$H$34="Todos",'Plan mensual'!L50,0))+parametros_manuales!$E$34*('Plan mensual'!L47+IF(parametros_manuales!$H$34="Todos",'Plan mensual'!L51,0))+parametros_manuales!$F$34*('Plan mensual'!L48+IF(parametros_manuales!$H$34="Todos",'Plan mensual'!L52,0))+parametros_manuales!$G$34*('Plan mensual'!L49+IF(parametros_manuales!$H$34="Todos",'Plan mensual'!L53,0)))*parametros_manuales!$I$34*parametros_manuales!$J$34</f>
        <v>6749.237678682</v>
      </c>
      <c r="K125" s="9" t="n">
        <f aca="false">(parametros_manuales!$D$34*('Plan mensual'!M46+IF(parametros_manuales!$H$34="Todos",'Plan mensual'!M50,0))+parametros_manuales!$E$34*('Plan mensual'!M47+IF(parametros_manuales!$H$34="Todos",'Plan mensual'!M51,0))+parametros_manuales!$F$34*('Plan mensual'!M48+IF(parametros_manuales!$H$34="Todos",'Plan mensual'!M52,0))+parametros_manuales!$G$34*('Plan mensual'!M49+IF(parametros_manuales!$H$34="Todos",'Plan mensual'!M53,0)))*parametros_manuales!$I$34*parametros_manuales!$J$34</f>
        <v>6618.5764145925</v>
      </c>
      <c r="L125" s="9" t="n">
        <f aca="false">(parametros_manuales!$D$34*('Plan mensual'!N46+IF(parametros_manuales!$H$34="Todos",'Plan mensual'!N50,0))+parametros_manuales!$E$34*('Plan mensual'!N47+IF(parametros_manuales!$H$34="Todos",'Plan mensual'!N51,0))+parametros_manuales!$F$34*('Plan mensual'!N48+IF(parametros_manuales!$H$34="Todos",'Plan mensual'!N52,0))+parametros_manuales!$G$34*('Plan mensual'!N49+IF(parametros_manuales!$H$34="Todos",'Plan mensual'!N53,0)))*parametros_manuales!$I$34*parametros_manuales!$J$34</f>
        <v>6487.915150503</v>
      </c>
      <c r="M125" s="9" t="n">
        <f aca="false">(parametros_manuales!$D$34*('Plan mensual'!O46+IF(parametros_manuales!$H$34="Todos",'Plan mensual'!O50,0))+parametros_manuales!$E$34*('Plan mensual'!O47+IF(parametros_manuales!$H$34="Todos",'Plan mensual'!O51,0))+parametros_manuales!$F$34*('Plan mensual'!O48+IF(parametros_manuales!$H$34="Todos",'Plan mensual'!O52,0))+parametros_manuales!$G$34*('Plan mensual'!O49+IF(parametros_manuales!$H$34="Todos",'Plan mensual'!O53,0)))*parametros_manuales!$I$34*parametros_manuales!$J$34</f>
        <v>10328.399735169</v>
      </c>
      <c r="N125" s="9" t="n">
        <f aca="false">SUM(B125:M125)</f>
        <v>88247.6855279</v>
      </c>
      <c r="O125" s="9" t="n">
        <f aca="false">MAX(B125:M125)</f>
        <v>10328.399735169</v>
      </c>
      <c r="P125" s="43" t="n">
        <f aca="false">O125/(parametros_manuales!$B$7)</f>
        <v>68.85599823446</v>
      </c>
      <c r="Q125" s="8" t="str">
        <f aca="false">IF(O125=0,"-",INDEX($B$109:$M$109,MATCH(O125,B125:M125,0)))</f>
        <v>Dic</v>
      </c>
    </row>
    <row r="126" customFormat="false" ht="14.25" hidden="false" customHeight="true" outlineLevel="0" collapsed="false">
      <c r="A126" s="8" t="str">
        <f aca="false">parametros_manuales!$B$35</f>
        <v>Detección de defectos</v>
      </c>
      <c r="B126" s="9" t="n">
        <f aca="false">(parametros_manuales!$D$35*('Plan mensual'!D46+IF(parametros_manuales!$H$35="Todos",'Plan mensual'!D50,0))+parametros_manuales!$E$35*('Plan mensual'!D47+IF(parametros_manuales!$H$35="Todos",'Plan mensual'!D51,0))+parametros_manuales!$F$35*('Plan mensual'!D48+IF(parametros_manuales!$H$35="Todos",'Plan mensual'!D52,0))+parametros_manuales!$G$35*('Plan mensual'!D49+IF(parametros_manuales!$H$35="Todos",'Plan mensual'!D53,0)))*parametros_manuales!$I$35*parametros_manuales!$J$35</f>
        <v>10067.07720699</v>
      </c>
      <c r="C126" s="9" t="n">
        <f aca="false">(parametros_manuales!$D$35*('Plan mensual'!E46+IF(parametros_manuales!$H$35="Todos",'Plan mensual'!E50,0))+parametros_manuales!$E$35*('Plan mensual'!E47+IF(parametros_manuales!$H$35="Todos",'Plan mensual'!E51,0))+parametros_manuales!$F$35*('Plan mensual'!E48+IF(parametros_manuales!$H$35="Todos",'Plan mensual'!E52,0))+parametros_manuales!$G$35*('Plan mensual'!E49+IF(parametros_manuales!$H$35="Todos",'Plan mensual'!E53,0)))*parametros_manuales!$I$35*parametros_manuales!$J$35</f>
        <v>7680.969169332</v>
      </c>
      <c r="D126" s="9" t="n">
        <f aca="false">(parametros_manuales!$D$35*('Plan mensual'!F46+IF(parametros_manuales!$H$35="Todos",'Plan mensual'!F50,0))+parametros_manuales!$E$35*('Plan mensual'!F47+IF(parametros_manuales!$H$35="Todos",'Plan mensual'!F51,0))+parametros_manuales!$F$35*('Plan mensual'!F48+IF(parametros_manuales!$H$35="Todos",'Plan mensual'!F52,0))+parametros_manuales!$G$35*('Plan mensual'!F49+IF(parametros_manuales!$H$35="Todos",'Plan mensual'!F53,0)))*parametros_manuales!$I$35*parametros_manuales!$J$35</f>
        <v>7190.4761063215</v>
      </c>
      <c r="E126" s="9" t="n">
        <f aca="false">(parametros_manuales!$D$35*('Plan mensual'!G46+IF(parametros_manuales!$H$35="Todos",'Plan mensual'!G50,0))+parametros_manuales!$E$35*('Plan mensual'!G47+IF(parametros_manuales!$H$35="Todos",'Plan mensual'!G51,0))+parametros_manuales!$F$35*('Plan mensual'!G48+IF(parametros_manuales!$H$35="Todos",'Plan mensual'!G52,0))+parametros_manuales!$G$35*('Plan mensual'!G49+IF(parametros_manuales!$H$35="Todos",'Plan mensual'!G53,0)))*parametros_manuales!$I$35*parametros_manuales!$J$35</f>
        <v>6879.8989427715</v>
      </c>
      <c r="F126" s="9" t="n">
        <f aca="false">(parametros_manuales!$D$35*('Plan mensual'!H46+IF(parametros_manuales!$H$35="Todos",'Plan mensual'!H50,0))+parametros_manuales!$E$35*('Plan mensual'!H47+IF(parametros_manuales!$H$35="Todos",'Plan mensual'!H51,0))+parametros_manuales!$F$35*('Plan mensual'!H48+IF(parametros_manuales!$H$35="Todos",'Plan mensual'!H52,0))+parametros_manuales!$G$35*('Plan mensual'!H49+IF(parametros_manuales!$H$35="Todos",'Plan mensual'!H53,0)))*parametros_manuales!$I$35*parametros_manuales!$J$35</f>
        <v>6438.660515132</v>
      </c>
      <c r="G126" s="9" t="n">
        <f aca="false">(parametros_manuales!$D$35*('Plan mensual'!I46+IF(parametros_manuales!$H$35="Todos",'Plan mensual'!I50,0))+parametros_manuales!$E$35*('Plan mensual'!I47+IF(parametros_manuales!$H$35="Todos",'Plan mensual'!I51,0))+parametros_manuales!$F$35*('Plan mensual'!I48+IF(parametros_manuales!$H$35="Todos",'Plan mensual'!I52,0))+parametros_manuales!$G$35*('Plan mensual'!I49+IF(parametros_manuales!$H$35="Todos",'Plan mensual'!I53,0)))*parametros_manuales!$I$35*parametros_manuales!$J$35</f>
        <v>6307.9992510425</v>
      </c>
      <c r="H126" s="9" t="n">
        <f aca="false">(parametros_manuales!$D$35*('Plan mensual'!J46+IF(parametros_manuales!$H$35="Todos",'Plan mensual'!J50,0))+parametros_manuales!$E$35*('Plan mensual'!J47+IF(parametros_manuales!$H$35="Todos",'Plan mensual'!J51,0))+parametros_manuales!$F$35*('Plan mensual'!J48+IF(parametros_manuales!$H$35="Todos",'Plan mensual'!J52,0))+parametros_manuales!$G$35*('Plan mensual'!J49+IF(parametros_manuales!$H$35="Todos",'Plan mensual'!J53,0)))*parametros_manuales!$I$35*parametros_manuales!$J$35</f>
        <v>6749.237678682</v>
      </c>
      <c r="I126" s="9" t="n">
        <f aca="false">(parametros_manuales!$D$35*('Plan mensual'!K46+IF(parametros_manuales!$H$35="Todos",'Plan mensual'!K50,0))+parametros_manuales!$E$35*('Plan mensual'!K47+IF(parametros_manuales!$H$35="Todos",'Plan mensual'!K51,0))+parametros_manuales!$F$35*('Plan mensual'!K48+IF(parametros_manuales!$H$35="Todos",'Plan mensual'!K52,0))+parametros_manuales!$G$35*('Plan mensual'!K49+IF(parametros_manuales!$H$35="Todos",'Plan mensual'!K53,0)))*parametros_manuales!$I$35*parametros_manuales!$J$35</f>
        <v>6749.237678682</v>
      </c>
      <c r="J126" s="9" t="n">
        <f aca="false">(parametros_manuales!$D$35*('Plan mensual'!L46+IF(parametros_manuales!$H$35="Todos",'Plan mensual'!L50,0))+parametros_manuales!$E$35*('Plan mensual'!L47+IF(parametros_manuales!$H$35="Todos",'Plan mensual'!L51,0))+parametros_manuales!$F$35*('Plan mensual'!L48+IF(parametros_manuales!$H$35="Todos",'Plan mensual'!L52,0))+parametros_manuales!$G$35*('Plan mensual'!L49+IF(parametros_manuales!$H$35="Todos",'Plan mensual'!L53,0)))*parametros_manuales!$I$35*parametros_manuales!$J$35</f>
        <v>6749.237678682</v>
      </c>
      <c r="K126" s="9" t="n">
        <f aca="false">(parametros_manuales!$D$35*('Plan mensual'!M46+IF(parametros_manuales!$H$35="Todos",'Plan mensual'!M50,0))+parametros_manuales!$E$35*('Plan mensual'!M47+IF(parametros_manuales!$H$35="Todos",'Plan mensual'!M51,0))+parametros_manuales!$F$35*('Plan mensual'!M48+IF(parametros_manuales!$H$35="Todos",'Plan mensual'!M52,0))+parametros_manuales!$G$35*('Plan mensual'!M49+IF(parametros_manuales!$H$35="Todos",'Plan mensual'!M53,0)))*parametros_manuales!$I$35*parametros_manuales!$J$35</f>
        <v>6618.5764145925</v>
      </c>
      <c r="L126" s="9" t="n">
        <f aca="false">(parametros_manuales!$D$35*('Plan mensual'!N46+IF(parametros_manuales!$H$35="Todos",'Plan mensual'!N50,0))+parametros_manuales!$E$35*('Plan mensual'!N47+IF(parametros_manuales!$H$35="Todos",'Plan mensual'!N51,0))+parametros_manuales!$F$35*('Plan mensual'!N48+IF(parametros_manuales!$H$35="Todos",'Plan mensual'!N52,0))+parametros_manuales!$G$35*('Plan mensual'!N49+IF(parametros_manuales!$H$35="Todos",'Plan mensual'!N53,0)))*parametros_manuales!$I$35*parametros_manuales!$J$35</f>
        <v>6487.915150503</v>
      </c>
      <c r="M126" s="9" t="n">
        <f aca="false">(parametros_manuales!$D$35*('Plan mensual'!O46+IF(parametros_manuales!$H$35="Todos",'Plan mensual'!O50,0))+parametros_manuales!$E$35*('Plan mensual'!O47+IF(parametros_manuales!$H$35="Todos",'Plan mensual'!O51,0))+parametros_manuales!$F$35*('Plan mensual'!O48+IF(parametros_manuales!$H$35="Todos",'Plan mensual'!O52,0))+parametros_manuales!$G$35*('Plan mensual'!O49+IF(parametros_manuales!$H$35="Todos",'Plan mensual'!O53,0)))*parametros_manuales!$I$35*parametros_manuales!$J$35</f>
        <v>10328.399735169</v>
      </c>
      <c r="N126" s="9" t="n">
        <f aca="false">SUM(B126:M126)</f>
        <v>88247.6855279</v>
      </c>
      <c r="O126" s="9" t="n">
        <f aca="false">MAX(B126:M126)</f>
        <v>10328.399735169</v>
      </c>
      <c r="P126" s="43" t="n">
        <f aca="false">O126/(parametros_manuales!$B$7)</f>
        <v>68.85599823446</v>
      </c>
      <c r="Q126" s="8" t="str">
        <f aca="false">IF(O126=0,"-",INDEX($B$109:$M$109,MATCH(O126,B126:M126,0)))</f>
        <v>Dic</v>
      </c>
    </row>
    <row r="127" customFormat="false" ht="14.25" hidden="false" customHeight="true" outlineLevel="0" collapsed="false">
      <c r="A127" s="8" t="str">
        <f aca="false">parametros_manuales!$B$36</f>
        <v>Corrección de defectos</v>
      </c>
      <c r="B127" s="9" t="n">
        <f aca="false">(parametros_manuales!$D$36*('Plan mensual'!D46+IF(parametros_manuales!$H$36="Todos",'Plan mensual'!D50,0))+parametros_manuales!$E$36*('Plan mensual'!D47+IF(parametros_manuales!$H$36="Todos",'Plan mensual'!D51,0))+parametros_manuales!$F$36*('Plan mensual'!D48+IF(parametros_manuales!$H$36="Todos",'Plan mensual'!D52,0))+parametros_manuales!$G$36*('Plan mensual'!D49+IF(parametros_manuales!$H$36="Todos",'Plan mensual'!D53,0)))*parametros_manuales!$I$36*parametros_manuales!$J$36</f>
        <v>503.3538603495</v>
      </c>
      <c r="C127" s="9" t="n">
        <f aca="false">(parametros_manuales!$D$36*('Plan mensual'!E46+IF(parametros_manuales!$H$36="Todos",'Plan mensual'!E50,0))+parametros_manuales!$E$36*('Plan mensual'!E47+IF(parametros_manuales!$H$36="Todos",'Plan mensual'!E51,0))+parametros_manuales!$F$36*('Plan mensual'!E48+IF(parametros_manuales!$H$36="Todos",'Plan mensual'!E52,0))+parametros_manuales!$G$36*('Plan mensual'!E49+IF(parametros_manuales!$H$36="Todos",'Plan mensual'!E53,0)))*parametros_manuales!$I$36*parametros_manuales!$J$36</f>
        <v>384.0484584666</v>
      </c>
      <c r="D127" s="9" t="n">
        <f aca="false">(parametros_manuales!$D$36*('Plan mensual'!F46+IF(parametros_manuales!$H$36="Todos",'Plan mensual'!F50,0))+parametros_manuales!$E$36*('Plan mensual'!F47+IF(parametros_manuales!$H$36="Todos",'Plan mensual'!F51,0))+parametros_manuales!$F$36*('Plan mensual'!F48+IF(parametros_manuales!$H$36="Todos",'Plan mensual'!F52,0))+parametros_manuales!$G$36*('Plan mensual'!F49+IF(parametros_manuales!$H$36="Todos",'Plan mensual'!F53,0)))*parametros_manuales!$I$36*parametros_manuales!$J$36</f>
        <v>359.523805316075</v>
      </c>
      <c r="E127" s="9" t="n">
        <f aca="false">(parametros_manuales!$D$36*('Plan mensual'!G46+IF(parametros_manuales!$H$36="Todos",'Plan mensual'!G50,0))+parametros_manuales!$E$36*('Plan mensual'!G47+IF(parametros_manuales!$H$36="Todos",'Plan mensual'!G51,0))+parametros_manuales!$F$36*('Plan mensual'!G48+IF(parametros_manuales!$H$36="Todos",'Plan mensual'!G52,0))+parametros_manuales!$G$36*('Plan mensual'!G49+IF(parametros_manuales!$H$36="Todos",'Plan mensual'!G53,0)))*parametros_manuales!$I$36*parametros_manuales!$J$36</f>
        <v>343.994947138575</v>
      </c>
      <c r="F127" s="9" t="n">
        <f aca="false">(parametros_manuales!$D$36*('Plan mensual'!H46+IF(parametros_manuales!$H$36="Todos",'Plan mensual'!H50,0))+parametros_manuales!$E$36*('Plan mensual'!H47+IF(parametros_manuales!$H$36="Todos",'Plan mensual'!H51,0))+parametros_manuales!$F$36*('Plan mensual'!H48+IF(parametros_manuales!$H$36="Todos",'Plan mensual'!H52,0))+parametros_manuales!$G$36*('Plan mensual'!H49+IF(parametros_manuales!$H$36="Todos",'Plan mensual'!H53,0)))*parametros_manuales!$I$36*parametros_manuales!$J$36</f>
        <v>321.9330257566</v>
      </c>
      <c r="G127" s="9" t="n">
        <f aca="false">(parametros_manuales!$D$36*('Plan mensual'!I46+IF(parametros_manuales!$H$36="Todos",'Plan mensual'!I50,0))+parametros_manuales!$E$36*('Plan mensual'!I47+IF(parametros_manuales!$H$36="Todos",'Plan mensual'!I51,0))+parametros_manuales!$F$36*('Plan mensual'!I48+IF(parametros_manuales!$H$36="Todos",'Plan mensual'!I52,0))+parametros_manuales!$G$36*('Plan mensual'!I49+IF(parametros_manuales!$H$36="Todos",'Plan mensual'!I53,0)))*parametros_manuales!$I$36*parametros_manuales!$J$36</f>
        <v>315.399962552125</v>
      </c>
      <c r="H127" s="9" t="n">
        <f aca="false">(parametros_manuales!$D$36*('Plan mensual'!J46+IF(parametros_manuales!$H$36="Todos",'Plan mensual'!J50,0))+parametros_manuales!$E$36*('Plan mensual'!J47+IF(parametros_manuales!$H$36="Todos",'Plan mensual'!J51,0))+parametros_manuales!$F$36*('Plan mensual'!J48+IF(parametros_manuales!$H$36="Todos",'Plan mensual'!J52,0))+parametros_manuales!$G$36*('Plan mensual'!J49+IF(parametros_manuales!$H$36="Todos",'Plan mensual'!J53,0)))*parametros_manuales!$I$36*parametros_manuales!$J$36</f>
        <v>337.4618839341</v>
      </c>
      <c r="I127" s="9" t="n">
        <f aca="false">(parametros_manuales!$D$36*('Plan mensual'!K46+IF(parametros_manuales!$H$36="Todos",'Plan mensual'!K50,0))+parametros_manuales!$E$36*('Plan mensual'!K47+IF(parametros_manuales!$H$36="Todos",'Plan mensual'!K51,0))+parametros_manuales!$F$36*('Plan mensual'!K48+IF(parametros_manuales!$H$36="Todos",'Plan mensual'!K52,0))+parametros_manuales!$G$36*('Plan mensual'!K49+IF(parametros_manuales!$H$36="Todos",'Plan mensual'!K53,0)))*parametros_manuales!$I$36*parametros_manuales!$J$36</f>
        <v>337.4618839341</v>
      </c>
      <c r="J127" s="9" t="n">
        <f aca="false">(parametros_manuales!$D$36*('Plan mensual'!L46+IF(parametros_manuales!$H$36="Todos",'Plan mensual'!L50,0))+parametros_manuales!$E$36*('Plan mensual'!L47+IF(parametros_manuales!$H$36="Todos",'Plan mensual'!L51,0))+parametros_manuales!$F$36*('Plan mensual'!L48+IF(parametros_manuales!$H$36="Todos",'Plan mensual'!L52,0))+parametros_manuales!$G$36*('Plan mensual'!L49+IF(parametros_manuales!$H$36="Todos",'Plan mensual'!L53,0)))*parametros_manuales!$I$36*parametros_manuales!$J$36</f>
        <v>337.4618839341</v>
      </c>
      <c r="K127" s="9" t="n">
        <f aca="false">(parametros_manuales!$D$36*('Plan mensual'!M46+IF(parametros_manuales!$H$36="Todos",'Plan mensual'!M50,0))+parametros_manuales!$E$36*('Plan mensual'!M47+IF(parametros_manuales!$H$36="Todos",'Plan mensual'!M51,0))+parametros_manuales!$F$36*('Plan mensual'!M48+IF(parametros_manuales!$H$36="Todos",'Plan mensual'!M52,0))+parametros_manuales!$G$36*('Plan mensual'!M49+IF(parametros_manuales!$H$36="Todos",'Plan mensual'!M53,0)))*parametros_manuales!$I$36*parametros_manuales!$J$36</f>
        <v>330.928820729625</v>
      </c>
      <c r="L127" s="9" t="n">
        <f aca="false">(parametros_manuales!$D$36*('Plan mensual'!N46+IF(parametros_manuales!$H$36="Todos",'Plan mensual'!N50,0))+parametros_manuales!$E$36*('Plan mensual'!N47+IF(parametros_manuales!$H$36="Todos",'Plan mensual'!N51,0))+parametros_manuales!$F$36*('Plan mensual'!N48+IF(parametros_manuales!$H$36="Todos",'Plan mensual'!N52,0))+parametros_manuales!$G$36*('Plan mensual'!N49+IF(parametros_manuales!$H$36="Todos",'Plan mensual'!N53,0)))*parametros_manuales!$I$36*parametros_manuales!$J$36</f>
        <v>324.39575752515</v>
      </c>
      <c r="M127" s="9" t="n">
        <f aca="false">(parametros_manuales!$D$36*('Plan mensual'!O46+IF(parametros_manuales!$H$36="Todos",'Plan mensual'!O50,0))+parametros_manuales!$E$36*('Plan mensual'!O47+IF(parametros_manuales!$H$36="Todos",'Plan mensual'!O51,0))+parametros_manuales!$F$36*('Plan mensual'!O48+IF(parametros_manuales!$H$36="Todos",'Plan mensual'!O52,0))+parametros_manuales!$G$36*('Plan mensual'!O49+IF(parametros_manuales!$H$36="Todos",'Plan mensual'!O53,0)))*parametros_manuales!$I$36*parametros_manuales!$J$36</f>
        <v>516.41998675845</v>
      </c>
      <c r="N127" s="9" t="n">
        <f aca="false">SUM(B127:M127)</f>
        <v>4412.384276395</v>
      </c>
      <c r="O127" s="9" t="n">
        <f aca="false">MAX(B127:M127)</f>
        <v>516.41998675845</v>
      </c>
      <c r="P127" s="43" t="n">
        <f aca="false">O127/(parametros_manuales!$B$7)</f>
        <v>3.442799911723</v>
      </c>
      <c r="Q127" s="8" t="str">
        <f aca="false">IF(O127=0,"-",INDEX($B$109:$M$109,MATCH(O127,B127:M127,0)))</f>
        <v>Dic</v>
      </c>
    </row>
    <row r="128" customFormat="false" ht="14.25" hidden="false" customHeight="true" outlineLevel="0" collapsed="false">
      <c r="A128" s="8" t="str">
        <f aca="false">parametros_manuales!$B$37</f>
        <v>Pintura en polvo + horno</v>
      </c>
      <c r="B128" s="9" t="n">
        <f aca="false">(parametros_manuales!$D$37*('Plan mensual'!D46+IF(parametros_manuales!$H$37="Todos",'Plan mensual'!D50,0))+parametros_manuales!$E$37*('Plan mensual'!D47+IF(parametros_manuales!$H$37="Todos",'Plan mensual'!D51,0))+parametros_manuales!$F$37*('Plan mensual'!D48+IF(parametros_manuales!$H$37="Todos",'Plan mensual'!D52,0))+parametros_manuales!$G$37*('Plan mensual'!D49+IF(parametros_manuales!$H$37="Todos",'Plan mensual'!D53,0)))*parametros_manuales!$I$37*parametros_manuales!$J$37</f>
        <v>10067.07720699</v>
      </c>
      <c r="C128" s="9" t="n">
        <f aca="false">(parametros_manuales!$D$37*('Plan mensual'!E46+IF(parametros_manuales!$H$37="Todos",'Plan mensual'!E50,0))+parametros_manuales!$E$37*('Plan mensual'!E47+IF(parametros_manuales!$H$37="Todos",'Plan mensual'!E51,0))+parametros_manuales!$F$37*('Plan mensual'!E48+IF(parametros_manuales!$H$37="Todos",'Plan mensual'!E52,0))+parametros_manuales!$G$37*('Plan mensual'!E49+IF(parametros_manuales!$H$37="Todos",'Plan mensual'!E53,0)))*parametros_manuales!$I$37*parametros_manuales!$J$37</f>
        <v>7680.969169332</v>
      </c>
      <c r="D128" s="9" t="n">
        <f aca="false">(parametros_manuales!$D$37*('Plan mensual'!F46+IF(parametros_manuales!$H$37="Todos",'Plan mensual'!F50,0))+parametros_manuales!$E$37*('Plan mensual'!F47+IF(parametros_manuales!$H$37="Todos",'Plan mensual'!F51,0))+parametros_manuales!$F$37*('Plan mensual'!F48+IF(parametros_manuales!$H$37="Todos",'Plan mensual'!F52,0))+parametros_manuales!$G$37*('Plan mensual'!F49+IF(parametros_manuales!$H$37="Todos",'Plan mensual'!F53,0)))*parametros_manuales!$I$37*parametros_manuales!$J$37</f>
        <v>7190.4761063215</v>
      </c>
      <c r="E128" s="9" t="n">
        <f aca="false">(parametros_manuales!$D$37*('Plan mensual'!G46+IF(parametros_manuales!$H$37="Todos",'Plan mensual'!G50,0))+parametros_manuales!$E$37*('Plan mensual'!G47+IF(parametros_manuales!$H$37="Todos",'Plan mensual'!G51,0))+parametros_manuales!$F$37*('Plan mensual'!G48+IF(parametros_manuales!$H$37="Todos",'Plan mensual'!G52,0))+parametros_manuales!$G$37*('Plan mensual'!G49+IF(parametros_manuales!$H$37="Todos",'Plan mensual'!G53,0)))*parametros_manuales!$I$37*parametros_manuales!$J$37</f>
        <v>6879.8989427715</v>
      </c>
      <c r="F128" s="9" t="n">
        <f aca="false">(parametros_manuales!$D$37*('Plan mensual'!H46+IF(parametros_manuales!$H$37="Todos",'Plan mensual'!H50,0))+parametros_manuales!$E$37*('Plan mensual'!H47+IF(parametros_manuales!$H$37="Todos",'Plan mensual'!H51,0))+parametros_manuales!$F$37*('Plan mensual'!H48+IF(parametros_manuales!$H$37="Todos",'Plan mensual'!H52,0))+parametros_manuales!$G$37*('Plan mensual'!H49+IF(parametros_manuales!$H$37="Todos",'Plan mensual'!H53,0)))*parametros_manuales!$I$37*parametros_manuales!$J$37</f>
        <v>6438.660515132</v>
      </c>
      <c r="G128" s="9" t="n">
        <f aca="false">(parametros_manuales!$D$37*('Plan mensual'!I46+IF(parametros_manuales!$H$37="Todos",'Plan mensual'!I50,0))+parametros_manuales!$E$37*('Plan mensual'!I47+IF(parametros_manuales!$H$37="Todos",'Plan mensual'!I51,0))+parametros_manuales!$F$37*('Plan mensual'!I48+IF(parametros_manuales!$H$37="Todos",'Plan mensual'!I52,0))+parametros_manuales!$G$37*('Plan mensual'!I49+IF(parametros_manuales!$H$37="Todos",'Plan mensual'!I53,0)))*parametros_manuales!$I$37*parametros_manuales!$J$37</f>
        <v>6307.9992510425</v>
      </c>
      <c r="H128" s="9" t="n">
        <f aca="false">(parametros_manuales!$D$37*('Plan mensual'!J46+IF(parametros_manuales!$H$37="Todos",'Plan mensual'!J50,0))+parametros_manuales!$E$37*('Plan mensual'!J47+IF(parametros_manuales!$H$37="Todos",'Plan mensual'!J51,0))+parametros_manuales!$F$37*('Plan mensual'!J48+IF(parametros_manuales!$H$37="Todos",'Plan mensual'!J52,0))+parametros_manuales!$G$37*('Plan mensual'!J49+IF(parametros_manuales!$H$37="Todos",'Plan mensual'!J53,0)))*parametros_manuales!$I$37*parametros_manuales!$J$37</f>
        <v>6749.237678682</v>
      </c>
      <c r="I128" s="9" t="n">
        <f aca="false">(parametros_manuales!$D$37*('Plan mensual'!K46+IF(parametros_manuales!$H$37="Todos",'Plan mensual'!K50,0))+parametros_manuales!$E$37*('Plan mensual'!K47+IF(parametros_manuales!$H$37="Todos",'Plan mensual'!K51,0))+parametros_manuales!$F$37*('Plan mensual'!K48+IF(parametros_manuales!$H$37="Todos",'Plan mensual'!K52,0))+parametros_manuales!$G$37*('Plan mensual'!K49+IF(parametros_manuales!$H$37="Todos",'Plan mensual'!K53,0)))*parametros_manuales!$I$37*parametros_manuales!$J$37</f>
        <v>6749.237678682</v>
      </c>
      <c r="J128" s="9" t="n">
        <f aca="false">(parametros_manuales!$D$37*('Plan mensual'!L46+IF(parametros_manuales!$H$37="Todos",'Plan mensual'!L50,0))+parametros_manuales!$E$37*('Plan mensual'!L47+IF(parametros_manuales!$H$37="Todos",'Plan mensual'!L51,0))+parametros_manuales!$F$37*('Plan mensual'!L48+IF(parametros_manuales!$H$37="Todos",'Plan mensual'!L52,0))+parametros_manuales!$G$37*('Plan mensual'!L49+IF(parametros_manuales!$H$37="Todos",'Plan mensual'!L53,0)))*parametros_manuales!$I$37*parametros_manuales!$J$37</f>
        <v>6749.237678682</v>
      </c>
      <c r="K128" s="9" t="n">
        <f aca="false">(parametros_manuales!$D$37*('Plan mensual'!M46+IF(parametros_manuales!$H$37="Todos",'Plan mensual'!M50,0))+parametros_manuales!$E$37*('Plan mensual'!M47+IF(parametros_manuales!$H$37="Todos",'Plan mensual'!M51,0))+parametros_manuales!$F$37*('Plan mensual'!M48+IF(parametros_manuales!$H$37="Todos",'Plan mensual'!M52,0))+parametros_manuales!$G$37*('Plan mensual'!M49+IF(parametros_manuales!$H$37="Todos",'Plan mensual'!M53,0)))*parametros_manuales!$I$37*parametros_manuales!$J$37</f>
        <v>6618.5764145925</v>
      </c>
      <c r="L128" s="9" t="n">
        <f aca="false">(parametros_manuales!$D$37*('Plan mensual'!N46+IF(parametros_manuales!$H$37="Todos",'Plan mensual'!N50,0))+parametros_manuales!$E$37*('Plan mensual'!N47+IF(parametros_manuales!$H$37="Todos",'Plan mensual'!N51,0))+parametros_manuales!$F$37*('Plan mensual'!N48+IF(parametros_manuales!$H$37="Todos",'Plan mensual'!N52,0))+parametros_manuales!$G$37*('Plan mensual'!N49+IF(parametros_manuales!$H$37="Todos",'Plan mensual'!N53,0)))*parametros_manuales!$I$37*parametros_manuales!$J$37</f>
        <v>6487.915150503</v>
      </c>
      <c r="M128" s="9" t="n">
        <f aca="false">(parametros_manuales!$D$37*('Plan mensual'!O46+IF(parametros_manuales!$H$37="Todos",'Plan mensual'!O50,0))+parametros_manuales!$E$37*('Plan mensual'!O47+IF(parametros_manuales!$H$37="Todos",'Plan mensual'!O51,0))+parametros_manuales!$F$37*('Plan mensual'!O48+IF(parametros_manuales!$H$37="Todos",'Plan mensual'!O52,0))+parametros_manuales!$G$37*('Plan mensual'!O49+IF(parametros_manuales!$H$37="Todos",'Plan mensual'!O53,0)))*parametros_manuales!$I$37*parametros_manuales!$J$37</f>
        <v>10328.399735169</v>
      </c>
      <c r="N128" s="9" t="n">
        <f aca="false">SUM(B128:M128)</f>
        <v>88247.6855279</v>
      </c>
      <c r="O128" s="9" t="n">
        <f aca="false">MAX(B128:M128)</f>
        <v>10328.399735169</v>
      </c>
      <c r="P128" s="43" t="n">
        <f aca="false">O128/(parametros_manuales!$B$7)</f>
        <v>68.85599823446</v>
      </c>
      <c r="Q128" s="8" t="str">
        <f aca="false">IF(O128=0,"-",INDEX($B$109:$M$109,MATCH(O128,B128:M128,0)))</f>
        <v>Dic</v>
      </c>
    </row>
    <row r="129" customFormat="false" ht="14.25" hidden="false" customHeight="true" outlineLevel="0" collapsed="false">
      <c r="A129" s="8" t="str">
        <f aca="false">parametros_manuales!$B$38</f>
        <v>Carga de polvo</v>
      </c>
      <c r="B129" s="9" t="n">
        <f aca="false">(parametros_manuales!$D$38*('Plan mensual'!D46+IF(parametros_manuales!$H$38="Todos",'Plan mensual'!D50,0))+parametros_manuales!$E$38*('Plan mensual'!D47+IF(parametros_manuales!$H$38="Todos",'Plan mensual'!D51,0))+parametros_manuales!$F$38*('Plan mensual'!D48+IF(parametros_manuales!$H$38="Todos",'Plan mensual'!D52,0))+parametros_manuales!$G$38*('Plan mensual'!D49+IF(parametros_manuales!$H$38="Todos",'Plan mensual'!D53,0)))*parametros_manuales!$I$38*parametros_manuales!$J$38</f>
        <v>2907.32920699</v>
      </c>
      <c r="C129" s="9" t="n">
        <f aca="false">(parametros_manuales!$D$38*('Plan mensual'!E46+IF(parametros_manuales!$H$38="Todos",'Plan mensual'!E50,0))+parametros_manuales!$E$38*('Plan mensual'!E47+IF(parametros_manuales!$H$38="Todos",'Plan mensual'!E51,0))+parametros_manuales!$F$38*('Plan mensual'!E48+IF(parametros_manuales!$H$38="Todos",'Plan mensual'!E52,0))+parametros_manuales!$G$38*('Plan mensual'!E49+IF(parametros_manuales!$H$38="Todos",'Plan mensual'!E53,0)))*parametros_manuales!$I$38*parametros_manuales!$J$38</f>
        <v>2249.779569332</v>
      </c>
      <c r="D129" s="9" t="n">
        <f aca="false">(parametros_manuales!$D$38*('Plan mensual'!F46+IF(parametros_manuales!$H$38="Todos",'Plan mensual'!F50,0))+parametros_manuales!$E$38*('Plan mensual'!F47+IF(parametros_manuales!$H$38="Todos",'Plan mensual'!F51,0))+parametros_manuales!$F$38*('Plan mensual'!F48+IF(parametros_manuales!$H$38="Todos",'Plan mensual'!F52,0))+parametros_manuales!$G$38*('Plan mensual'!F49+IF(parametros_manuales!$H$38="Todos",'Plan mensual'!F53,0)))*parametros_manuales!$I$38*parametros_manuales!$J$38</f>
        <v>2192.2559063215</v>
      </c>
      <c r="E129" s="9" t="n">
        <f aca="false">(parametros_manuales!$D$38*('Plan mensual'!G46+IF(parametros_manuales!$H$38="Todos",'Plan mensual'!G50,0))+parametros_manuales!$E$38*('Plan mensual'!G47+IF(parametros_manuales!$H$38="Todos",'Plan mensual'!G51,0))+parametros_manuales!$F$38*('Plan mensual'!G48+IF(parametros_manuales!$H$38="Todos",'Plan mensual'!G52,0))+parametros_manuales!$G$38*('Plan mensual'!G49+IF(parametros_manuales!$H$38="Todos",'Plan mensual'!G53,0)))*parametros_manuales!$I$38*parametros_manuales!$J$38</f>
        <v>2128.8527427715</v>
      </c>
      <c r="F129" s="9" t="n">
        <f aca="false">(parametros_manuales!$D$38*('Plan mensual'!H46+IF(parametros_manuales!$H$38="Todos",'Plan mensual'!H50,0))+parametros_manuales!$E$38*('Plan mensual'!H47+IF(parametros_manuales!$H$38="Todos",'Plan mensual'!H51,0))+parametros_manuales!$F$38*('Plan mensual'!H48+IF(parametros_manuales!$H$38="Todos",'Plan mensual'!H52,0))+parametros_manuales!$G$38*('Plan mensual'!H49+IF(parametros_manuales!$H$38="Todos",'Plan mensual'!H53,0)))*parametros_manuales!$I$38*parametros_manuales!$J$38</f>
        <v>1996.166915132</v>
      </c>
      <c r="G129" s="9" t="n">
        <f aca="false">(parametros_manuales!$D$38*('Plan mensual'!I46+IF(parametros_manuales!$H$38="Todos",'Plan mensual'!I50,0))+parametros_manuales!$E$38*('Plan mensual'!I47+IF(parametros_manuales!$H$38="Todos",'Plan mensual'!I51,0))+parametros_manuales!$F$38*('Plan mensual'!I48+IF(parametros_manuales!$H$38="Todos",'Plan mensual'!I52,0))+parametros_manuales!$G$38*('Plan mensual'!I49+IF(parametros_manuales!$H$38="Todos",'Plan mensual'!I53,0)))*parametros_manuales!$I$38*parametros_manuales!$J$38</f>
        <v>1926.8842510425</v>
      </c>
      <c r="H129" s="9" t="n">
        <f aca="false">(parametros_manuales!$D$38*('Plan mensual'!J46+IF(parametros_manuales!$H$38="Todos",'Plan mensual'!J50,0))+parametros_manuales!$E$38*('Plan mensual'!J47+IF(parametros_manuales!$H$38="Todos",'Plan mensual'!J51,0))+parametros_manuales!$F$38*('Plan mensual'!J48+IF(parametros_manuales!$H$38="Todos",'Plan mensual'!J52,0))+parametros_manuales!$G$38*('Plan mensual'!J49+IF(parametros_manuales!$H$38="Todos",'Plan mensual'!J53,0)))*parametros_manuales!$I$38*parametros_manuales!$J$38</f>
        <v>2059.570078682</v>
      </c>
      <c r="I129" s="9" t="n">
        <f aca="false">(parametros_manuales!$D$38*('Plan mensual'!K46+IF(parametros_manuales!$H$38="Todos",'Plan mensual'!K50,0))+parametros_manuales!$E$38*('Plan mensual'!K47+IF(parametros_manuales!$H$38="Todos",'Plan mensual'!K51,0))+parametros_manuales!$F$38*('Plan mensual'!K48+IF(parametros_manuales!$H$38="Todos",'Plan mensual'!K52,0))+parametros_manuales!$G$38*('Plan mensual'!K49+IF(parametros_manuales!$H$38="Todos",'Plan mensual'!K53,0)))*parametros_manuales!$I$38*parametros_manuales!$J$38</f>
        <v>2059.570078682</v>
      </c>
      <c r="J129" s="9" t="n">
        <f aca="false">(parametros_manuales!$D$38*('Plan mensual'!L46+IF(parametros_manuales!$H$38="Todos",'Plan mensual'!L50,0))+parametros_manuales!$E$38*('Plan mensual'!L47+IF(parametros_manuales!$H$38="Todos",'Plan mensual'!L51,0))+parametros_manuales!$F$38*('Plan mensual'!L48+IF(parametros_manuales!$H$38="Todos",'Plan mensual'!L52,0))+parametros_manuales!$G$38*('Plan mensual'!L49+IF(parametros_manuales!$H$38="Todos",'Plan mensual'!L53,0)))*parametros_manuales!$I$38*parametros_manuales!$J$38</f>
        <v>2059.570078682</v>
      </c>
      <c r="K129" s="9" t="n">
        <f aca="false">(parametros_manuales!$D$38*('Plan mensual'!M46+IF(parametros_manuales!$H$38="Todos",'Plan mensual'!M50,0))+parametros_manuales!$E$38*('Plan mensual'!M47+IF(parametros_manuales!$H$38="Todos",'Plan mensual'!M51,0))+parametros_manuales!$F$38*('Plan mensual'!M48+IF(parametros_manuales!$H$38="Todos",'Plan mensual'!M52,0))+parametros_manuales!$G$38*('Plan mensual'!M49+IF(parametros_manuales!$H$38="Todos",'Plan mensual'!M53,0)))*parametros_manuales!$I$38*parametros_manuales!$J$38</f>
        <v>1990.2874145925</v>
      </c>
      <c r="L129" s="9" t="n">
        <f aca="false">(parametros_manuales!$D$38*('Plan mensual'!N46+IF(parametros_manuales!$H$38="Todos",'Plan mensual'!N50,0))+parametros_manuales!$E$38*('Plan mensual'!N47+IF(parametros_manuales!$H$38="Todos",'Plan mensual'!N51,0))+parametros_manuales!$F$38*('Plan mensual'!N48+IF(parametros_manuales!$H$38="Todos",'Plan mensual'!N52,0))+parametros_manuales!$G$38*('Plan mensual'!N49+IF(parametros_manuales!$H$38="Todos",'Plan mensual'!N53,0)))*parametros_manuales!$I$38*parametros_manuales!$J$38</f>
        <v>1921.004750503</v>
      </c>
      <c r="M129" s="9" t="n">
        <f aca="false">(parametros_manuales!$D$38*('Plan mensual'!O46+IF(parametros_manuales!$H$38="Todos",'Plan mensual'!O50,0))+parametros_manuales!$E$38*('Plan mensual'!O47+IF(parametros_manuales!$H$38="Todos",'Plan mensual'!O51,0))+parametros_manuales!$F$38*('Plan mensual'!O48+IF(parametros_manuales!$H$38="Todos",'Plan mensual'!O52,0))+parametros_manuales!$G$38*('Plan mensual'!O49+IF(parametros_manuales!$H$38="Todos",'Plan mensual'!O53,0)))*parametros_manuales!$I$38*parametros_manuales!$J$38</f>
        <v>3045.894535169</v>
      </c>
      <c r="N129" s="9" t="n">
        <f aca="false">SUM(B129:M129)</f>
        <v>26537.1655279</v>
      </c>
      <c r="O129" s="9" t="n">
        <f aca="false">MAX(B129:M129)</f>
        <v>3045.894535169</v>
      </c>
      <c r="P129" s="43" t="n">
        <f aca="false">O129/(parametros_manuales!$B$7)</f>
        <v>20.3059635677933</v>
      </c>
      <c r="Q129" s="8" t="str">
        <f aca="false">IF(O129=0,"-",INDEX($B$109:$M$109,MATCH(O129,B129:M129,0)))</f>
        <v>Dic</v>
      </c>
    </row>
    <row r="130" customFormat="false" ht="14.25" hidden="false" customHeight="true" outlineLevel="0" collapsed="false">
      <c r="A130" s="8" t="str">
        <f aca="false">parametros_manuales!$B$39</f>
        <v>Ensamblaje</v>
      </c>
      <c r="B130" s="9" t="n">
        <f aca="false">(parametros_manuales!$D$39*('Plan mensual'!D46+IF(parametros_manuales!$H$39="Todos",'Plan mensual'!D50,0))+parametros_manuales!$E$39*('Plan mensual'!D47+IF(parametros_manuales!$H$39="Todos",'Plan mensual'!D51,0))+parametros_manuales!$F$39*('Plan mensual'!D48+IF(parametros_manuales!$H$39="Todos",'Plan mensual'!D52,0))+parametros_manuales!$G$39*('Plan mensual'!D49+IF(parametros_manuales!$H$39="Todos",'Plan mensual'!D53,0)))*parametros_manuales!$I$39*parametros_manuales!$J$39</f>
        <v>2907.32920699</v>
      </c>
      <c r="C130" s="9" t="n">
        <f aca="false">(parametros_manuales!$D$39*('Plan mensual'!E46+IF(parametros_manuales!$H$39="Todos",'Plan mensual'!E50,0))+parametros_manuales!$E$39*('Plan mensual'!E47+IF(parametros_manuales!$H$39="Todos",'Plan mensual'!E51,0))+parametros_manuales!$F$39*('Plan mensual'!E48+IF(parametros_manuales!$H$39="Todos",'Plan mensual'!E52,0))+parametros_manuales!$G$39*('Plan mensual'!E49+IF(parametros_manuales!$H$39="Todos",'Plan mensual'!E53,0)))*parametros_manuales!$I$39*parametros_manuales!$J$39</f>
        <v>2249.779569332</v>
      </c>
      <c r="D130" s="9" t="n">
        <f aca="false">(parametros_manuales!$D$39*('Plan mensual'!F46+IF(parametros_manuales!$H$39="Todos",'Plan mensual'!F50,0))+parametros_manuales!$E$39*('Plan mensual'!F47+IF(parametros_manuales!$H$39="Todos",'Plan mensual'!F51,0))+parametros_manuales!$F$39*('Plan mensual'!F48+IF(parametros_manuales!$H$39="Todos",'Plan mensual'!F52,0))+parametros_manuales!$G$39*('Plan mensual'!F49+IF(parametros_manuales!$H$39="Todos",'Plan mensual'!F53,0)))*parametros_manuales!$I$39*parametros_manuales!$J$39</f>
        <v>2192.2559063215</v>
      </c>
      <c r="E130" s="9" t="n">
        <f aca="false">(parametros_manuales!$D$39*('Plan mensual'!G46+IF(parametros_manuales!$H$39="Todos",'Plan mensual'!G50,0))+parametros_manuales!$E$39*('Plan mensual'!G47+IF(parametros_manuales!$H$39="Todos",'Plan mensual'!G51,0))+parametros_manuales!$F$39*('Plan mensual'!G48+IF(parametros_manuales!$H$39="Todos",'Plan mensual'!G52,0))+parametros_manuales!$G$39*('Plan mensual'!G49+IF(parametros_manuales!$H$39="Todos",'Plan mensual'!G53,0)))*parametros_manuales!$I$39*parametros_manuales!$J$39</f>
        <v>2128.8527427715</v>
      </c>
      <c r="F130" s="9" t="n">
        <f aca="false">(parametros_manuales!$D$39*('Plan mensual'!H46+IF(parametros_manuales!$H$39="Todos",'Plan mensual'!H50,0))+parametros_manuales!$E$39*('Plan mensual'!H47+IF(parametros_manuales!$H$39="Todos",'Plan mensual'!H51,0))+parametros_manuales!$F$39*('Plan mensual'!H48+IF(parametros_manuales!$H$39="Todos",'Plan mensual'!H52,0))+parametros_manuales!$G$39*('Plan mensual'!H49+IF(parametros_manuales!$H$39="Todos",'Plan mensual'!H53,0)))*parametros_manuales!$I$39*parametros_manuales!$J$39</f>
        <v>1996.166915132</v>
      </c>
      <c r="G130" s="9" t="n">
        <f aca="false">(parametros_manuales!$D$39*('Plan mensual'!I46+IF(parametros_manuales!$H$39="Todos",'Plan mensual'!I50,0))+parametros_manuales!$E$39*('Plan mensual'!I47+IF(parametros_manuales!$H$39="Todos",'Plan mensual'!I51,0))+parametros_manuales!$F$39*('Plan mensual'!I48+IF(parametros_manuales!$H$39="Todos",'Plan mensual'!I52,0))+parametros_manuales!$G$39*('Plan mensual'!I49+IF(parametros_manuales!$H$39="Todos",'Plan mensual'!I53,0)))*parametros_manuales!$I$39*parametros_manuales!$J$39</f>
        <v>1926.8842510425</v>
      </c>
      <c r="H130" s="9" t="n">
        <f aca="false">(parametros_manuales!$D$39*('Plan mensual'!J46+IF(parametros_manuales!$H$39="Todos",'Plan mensual'!J50,0))+parametros_manuales!$E$39*('Plan mensual'!J47+IF(parametros_manuales!$H$39="Todos",'Plan mensual'!J51,0))+parametros_manuales!$F$39*('Plan mensual'!J48+IF(parametros_manuales!$H$39="Todos",'Plan mensual'!J52,0))+parametros_manuales!$G$39*('Plan mensual'!J49+IF(parametros_manuales!$H$39="Todos",'Plan mensual'!J53,0)))*parametros_manuales!$I$39*parametros_manuales!$J$39</f>
        <v>2059.570078682</v>
      </c>
      <c r="I130" s="9" t="n">
        <f aca="false">(parametros_manuales!$D$39*('Plan mensual'!K46+IF(parametros_manuales!$H$39="Todos",'Plan mensual'!K50,0))+parametros_manuales!$E$39*('Plan mensual'!K47+IF(parametros_manuales!$H$39="Todos",'Plan mensual'!K51,0))+parametros_manuales!$F$39*('Plan mensual'!K48+IF(parametros_manuales!$H$39="Todos",'Plan mensual'!K52,0))+parametros_manuales!$G$39*('Plan mensual'!K49+IF(parametros_manuales!$H$39="Todos",'Plan mensual'!K53,0)))*parametros_manuales!$I$39*parametros_manuales!$J$39</f>
        <v>2059.570078682</v>
      </c>
      <c r="J130" s="9" t="n">
        <f aca="false">(parametros_manuales!$D$39*('Plan mensual'!L46+IF(parametros_manuales!$H$39="Todos",'Plan mensual'!L50,0))+parametros_manuales!$E$39*('Plan mensual'!L47+IF(parametros_manuales!$H$39="Todos",'Plan mensual'!L51,0))+parametros_manuales!$F$39*('Plan mensual'!L48+IF(parametros_manuales!$H$39="Todos",'Plan mensual'!L52,0))+parametros_manuales!$G$39*('Plan mensual'!L49+IF(parametros_manuales!$H$39="Todos",'Plan mensual'!L53,0)))*parametros_manuales!$I$39*parametros_manuales!$J$39</f>
        <v>2059.570078682</v>
      </c>
      <c r="K130" s="9" t="n">
        <f aca="false">(parametros_manuales!$D$39*('Plan mensual'!M46+IF(parametros_manuales!$H$39="Todos",'Plan mensual'!M50,0))+parametros_manuales!$E$39*('Plan mensual'!M47+IF(parametros_manuales!$H$39="Todos",'Plan mensual'!M51,0))+parametros_manuales!$F$39*('Plan mensual'!M48+IF(parametros_manuales!$H$39="Todos",'Plan mensual'!M52,0))+parametros_manuales!$G$39*('Plan mensual'!M49+IF(parametros_manuales!$H$39="Todos",'Plan mensual'!M53,0)))*parametros_manuales!$I$39*parametros_manuales!$J$39</f>
        <v>1990.2874145925</v>
      </c>
      <c r="L130" s="9" t="n">
        <f aca="false">(parametros_manuales!$D$39*('Plan mensual'!N46+IF(parametros_manuales!$H$39="Todos",'Plan mensual'!N50,0))+parametros_manuales!$E$39*('Plan mensual'!N47+IF(parametros_manuales!$H$39="Todos",'Plan mensual'!N51,0))+parametros_manuales!$F$39*('Plan mensual'!N48+IF(parametros_manuales!$H$39="Todos",'Plan mensual'!N52,0))+parametros_manuales!$G$39*('Plan mensual'!N49+IF(parametros_manuales!$H$39="Todos",'Plan mensual'!N53,0)))*parametros_manuales!$I$39*parametros_manuales!$J$39</f>
        <v>1921.004750503</v>
      </c>
      <c r="M130" s="9" t="n">
        <f aca="false">(parametros_manuales!$D$39*('Plan mensual'!O46+IF(parametros_manuales!$H$39="Todos",'Plan mensual'!O50,0))+parametros_manuales!$E$39*('Plan mensual'!O47+IF(parametros_manuales!$H$39="Todos",'Plan mensual'!O51,0))+parametros_manuales!$F$39*('Plan mensual'!O48+IF(parametros_manuales!$H$39="Todos",'Plan mensual'!O52,0))+parametros_manuales!$G$39*('Plan mensual'!O49+IF(parametros_manuales!$H$39="Todos",'Plan mensual'!O53,0)))*parametros_manuales!$I$39*parametros_manuales!$J$39</f>
        <v>3045.894535169</v>
      </c>
      <c r="N130" s="9" t="n">
        <f aca="false">SUM(B130:M130)</f>
        <v>26537.1655279</v>
      </c>
      <c r="O130" s="9" t="n">
        <f aca="false">MAX(B130:M130)</f>
        <v>3045.894535169</v>
      </c>
      <c r="P130" s="43" t="n">
        <f aca="false">O130/(parametros_manuales!$B$7)</f>
        <v>20.3059635677933</v>
      </c>
      <c r="Q130" s="8" t="str">
        <f aca="false">IF(O130=0,"-",INDEX($B$109:$M$109,MATCH(O130,B130:M130,0)))</f>
        <v>Dic</v>
      </c>
    </row>
    <row r="131" customFormat="false" ht="14.25" hidden="false" customHeight="true" outlineLevel="0" collapsed="false">
      <c r="A131" s="8" t="str">
        <f aca="false">parametros_manuales!$B$40</f>
        <v>Presurización</v>
      </c>
      <c r="B131" s="9" t="n">
        <f aca="false">(parametros_manuales!$D$40*('Plan mensual'!D46+IF(parametros_manuales!$H$40="Todos",'Plan mensual'!D50,0))+parametros_manuales!$E$40*('Plan mensual'!D47+IF(parametros_manuales!$H$40="Todos",'Plan mensual'!D51,0))+parametros_manuales!$F$40*('Plan mensual'!D48+IF(parametros_manuales!$H$40="Todos",'Plan mensual'!D52,0))+parametros_manuales!$G$40*('Plan mensual'!D49+IF(parametros_manuales!$H$40="Todos",'Plan mensual'!D53,0)))*parametros_manuales!$I$40*parametros_manuales!$J$40</f>
        <v>2907.32920699</v>
      </c>
      <c r="C131" s="9" t="n">
        <f aca="false">(parametros_manuales!$D$40*('Plan mensual'!E46+IF(parametros_manuales!$H$40="Todos",'Plan mensual'!E50,0))+parametros_manuales!$E$40*('Plan mensual'!E47+IF(parametros_manuales!$H$40="Todos",'Plan mensual'!E51,0))+parametros_manuales!$F$40*('Plan mensual'!E48+IF(parametros_manuales!$H$40="Todos",'Plan mensual'!E52,0))+parametros_manuales!$G$40*('Plan mensual'!E49+IF(parametros_manuales!$H$40="Todos",'Plan mensual'!E53,0)))*parametros_manuales!$I$40*parametros_manuales!$J$40</f>
        <v>2249.779569332</v>
      </c>
      <c r="D131" s="9" t="n">
        <f aca="false">(parametros_manuales!$D$40*('Plan mensual'!F46+IF(parametros_manuales!$H$40="Todos",'Plan mensual'!F50,0))+parametros_manuales!$E$40*('Plan mensual'!F47+IF(parametros_manuales!$H$40="Todos",'Plan mensual'!F51,0))+parametros_manuales!$F$40*('Plan mensual'!F48+IF(parametros_manuales!$H$40="Todos",'Plan mensual'!F52,0))+parametros_manuales!$G$40*('Plan mensual'!F49+IF(parametros_manuales!$H$40="Todos",'Plan mensual'!F53,0)))*parametros_manuales!$I$40*parametros_manuales!$J$40</f>
        <v>2192.2559063215</v>
      </c>
      <c r="E131" s="9" t="n">
        <f aca="false">(parametros_manuales!$D$40*('Plan mensual'!G46+IF(parametros_manuales!$H$40="Todos",'Plan mensual'!G50,0))+parametros_manuales!$E$40*('Plan mensual'!G47+IF(parametros_manuales!$H$40="Todos",'Plan mensual'!G51,0))+parametros_manuales!$F$40*('Plan mensual'!G48+IF(parametros_manuales!$H$40="Todos",'Plan mensual'!G52,0))+parametros_manuales!$G$40*('Plan mensual'!G49+IF(parametros_manuales!$H$40="Todos",'Plan mensual'!G53,0)))*parametros_manuales!$I$40*parametros_manuales!$J$40</f>
        <v>2128.8527427715</v>
      </c>
      <c r="F131" s="9" t="n">
        <f aca="false">(parametros_manuales!$D$40*('Plan mensual'!H46+IF(parametros_manuales!$H$40="Todos",'Plan mensual'!H50,0))+parametros_manuales!$E$40*('Plan mensual'!H47+IF(parametros_manuales!$H$40="Todos",'Plan mensual'!H51,0))+parametros_manuales!$F$40*('Plan mensual'!H48+IF(parametros_manuales!$H$40="Todos",'Plan mensual'!H52,0))+parametros_manuales!$G$40*('Plan mensual'!H49+IF(parametros_manuales!$H$40="Todos",'Plan mensual'!H53,0)))*parametros_manuales!$I$40*parametros_manuales!$J$40</f>
        <v>1996.166915132</v>
      </c>
      <c r="G131" s="9" t="n">
        <f aca="false">(parametros_manuales!$D$40*('Plan mensual'!I46+IF(parametros_manuales!$H$40="Todos",'Plan mensual'!I50,0))+parametros_manuales!$E$40*('Plan mensual'!I47+IF(parametros_manuales!$H$40="Todos",'Plan mensual'!I51,0))+parametros_manuales!$F$40*('Plan mensual'!I48+IF(parametros_manuales!$H$40="Todos",'Plan mensual'!I52,0))+parametros_manuales!$G$40*('Plan mensual'!I49+IF(parametros_manuales!$H$40="Todos",'Plan mensual'!I53,0)))*parametros_manuales!$I$40*parametros_manuales!$J$40</f>
        <v>1926.8842510425</v>
      </c>
      <c r="H131" s="9" t="n">
        <f aca="false">(parametros_manuales!$D$40*('Plan mensual'!J46+IF(parametros_manuales!$H$40="Todos",'Plan mensual'!J50,0))+parametros_manuales!$E$40*('Plan mensual'!J47+IF(parametros_manuales!$H$40="Todos",'Plan mensual'!J51,0))+parametros_manuales!$F$40*('Plan mensual'!J48+IF(parametros_manuales!$H$40="Todos",'Plan mensual'!J52,0))+parametros_manuales!$G$40*('Plan mensual'!J49+IF(parametros_manuales!$H$40="Todos",'Plan mensual'!J53,0)))*parametros_manuales!$I$40*parametros_manuales!$J$40</f>
        <v>2059.570078682</v>
      </c>
      <c r="I131" s="9" t="n">
        <f aca="false">(parametros_manuales!$D$40*('Plan mensual'!K46+IF(parametros_manuales!$H$40="Todos",'Plan mensual'!K50,0))+parametros_manuales!$E$40*('Plan mensual'!K47+IF(parametros_manuales!$H$40="Todos",'Plan mensual'!K51,0))+parametros_manuales!$F$40*('Plan mensual'!K48+IF(parametros_manuales!$H$40="Todos",'Plan mensual'!K52,0))+parametros_manuales!$G$40*('Plan mensual'!K49+IF(parametros_manuales!$H$40="Todos",'Plan mensual'!K53,0)))*parametros_manuales!$I$40*parametros_manuales!$J$40</f>
        <v>2059.570078682</v>
      </c>
      <c r="J131" s="9" t="n">
        <f aca="false">(parametros_manuales!$D$40*('Plan mensual'!L46+IF(parametros_manuales!$H$40="Todos",'Plan mensual'!L50,0))+parametros_manuales!$E$40*('Plan mensual'!L47+IF(parametros_manuales!$H$40="Todos",'Plan mensual'!L51,0))+parametros_manuales!$F$40*('Plan mensual'!L48+IF(parametros_manuales!$H$40="Todos",'Plan mensual'!L52,0))+parametros_manuales!$G$40*('Plan mensual'!L49+IF(parametros_manuales!$H$40="Todos",'Plan mensual'!L53,0)))*parametros_manuales!$I$40*parametros_manuales!$J$40</f>
        <v>2059.570078682</v>
      </c>
      <c r="K131" s="9" t="n">
        <f aca="false">(parametros_manuales!$D$40*('Plan mensual'!M46+IF(parametros_manuales!$H$40="Todos",'Plan mensual'!M50,0))+parametros_manuales!$E$40*('Plan mensual'!M47+IF(parametros_manuales!$H$40="Todos",'Plan mensual'!M51,0))+parametros_manuales!$F$40*('Plan mensual'!M48+IF(parametros_manuales!$H$40="Todos",'Plan mensual'!M52,0))+parametros_manuales!$G$40*('Plan mensual'!M49+IF(parametros_manuales!$H$40="Todos",'Plan mensual'!M53,0)))*parametros_manuales!$I$40*parametros_manuales!$J$40</f>
        <v>1990.2874145925</v>
      </c>
      <c r="L131" s="9" t="n">
        <f aca="false">(parametros_manuales!$D$40*('Plan mensual'!N46+IF(parametros_manuales!$H$40="Todos",'Plan mensual'!N50,0))+parametros_manuales!$E$40*('Plan mensual'!N47+IF(parametros_manuales!$H$40="Todos",'Plan mensual'!N51,0))+parametros_manuales!$F$40*('Plan mensual'!N48+IF(parametros_manuales!$H$40="Todos",'Plan mensual'!N52,0))+parametros_manuales!$G$40*('Plan mensual'!N49+IF(parametros_manuales!$H$40="Todos",'Plan mensual'!N53,0)))*parametros_manuales!$I$40*parametros_manuales!$J$40</f>
        <v>1921.004750503</v>
      </c>
      <c r="M131" s="9" t="n">
        <f aca="false">(parametros_manuales!$D$40*('Plan mensual'!O46+IF(parametros_manuales!$H$40="Todos",'Plan mensual'!O50,0))+parametros_manuales!$E$40*('Plan mensual'!O47+IF(parametros_manuales!$H$40="Todos",'Plan mensual'!O51,0))+parametros_manuales!$F$40*('Plan mensual'!O48+IF(parametros_manuales!$H$40="Todos",'Plan mensual'!O52,0))+parametros_manuales!$G$40*('Plan mensual'!O49+IF(parametros_manuales!$H$40="Todos",'Plan mensual'!O53,0)))*parametros_manuales!$I$40*parametros_manuales!$J$40</f>
        <v>3045.894535169</v>
      </c>
      <c r="N131" s="9" t="n">
        <f aca="false">SUM(B131:M131)</f>
        <v>26537.1655279</v>
      </c>
      <c r="O131" s="9" t="n">
        <f aca="false">MAX(B131:M131)</f>
        <v>3045.894535169</v>
      </c>
      <c r="P131" s="43" t="n">
        <f aca="false">O131/(parametros_manuales!$B$7)</f>
        <v>20.3059635677933</v>
      </c>
      <c r="Q131" s="8" t="str">
        <f aca="false">IF(O131=0,"-",INDEX($B$109:$M$109,MATCH(O131,B131:M131,0)))</f>
        <v>Dic</v>
      </c>
    </row>
    <row r="132" customFormat="false" ht="14.25" hidden="false" customHeight="true" outlineLevel="0" collapsed="false">
      <c r="A132" s="8" t="str">
        <f aca="false">parametros_manuales!$B$41</f>
        <v>Control de calidad — Ensayo de pérdidas</v>
      </c>
      <c r="B132" s="9" t="n">
        <f aca="false">(parametros_manuales!$D$41*('Plan mensual'!D46+IF(parametros_manuales!$H$41="Todos",'Plan mensual'!D50,0))+parametros_manuales!$E$41*('Plan mensual'!D47+IF(parametros_manuales!$H$41="Todos",'Plan mensual'!D51,0))+parametros_manuales!$F$41*('Plan mensual'!D48+IF(parametros_manuales!$H$41="Todos",'Plan mensual'!D52,0))+parametros_manuales!$G$41*('Plan mensual'!D49+IF(parametros_manuales!$H$41="Todos",'Plan mensual'!D53,0)))*parametros_manuales!$I$41*parametros_manuales!$J$41</f>
        <v>2907.32920699</v>
      </c>
      <c r="C132" s="9" t="n">
        <f aca="false">(parametros_manuales!$D$41*('Plan mensual'!E46+IF(parametros_manuales!$H$41="Todos",'Plan mensual'!E50,0))+parametros_manuales!$E$41*('Plan mensual'!E47+IF(parametros_manuales!$H$41="Todos",'Plan mensual'!E51,0))+parametros_manuales!$F$41*('Plan mensual'!E48+IF(parametros_manuales!$H$41="Todos",'Plan mensual'!E52,0))+parametros_manuales!$G$41*('Plan mensual'!E49+IF(parametros_manuales!$H$41="Todos",'Plan mensual'!E53,0)))*parametros_manuales!$I$41*parametros_manuales!$J$41</f>
        <v>2249.779569332</v>
      </c>
      <c r="D132" s="9" t="n">
        <f aca="false">(parametros_manuales!$D$41*('Plan mensual'!F46+IF(parametros_manuales!$H$41="Todos",'Plan mensual'!F50,0))+parametros_manuales!$E$41*('Plan mensual'!F47+IF(parametros_manuales!$H$41="Todos",'Plan mensual'!F51,0))+parametros_manuales!$F$41*('Plan mensual'!F48+IF(parametros_manuales!$H$41="Todos",'Plan mensual'!F52,0))+parametros_manuales!$G$41*('Plan mensual'!F49+IF(parametros_manuales!$H$41="Todos",'Plan mensual'!F53,0)))*parametros_manuales!$I$41*parametros_manuales!$J$41</f>
        <v>2192.2559063215</v>
      </c>
      <c r="E132" s="9" t="n">
        <f aca="false">(parametros_manuales!$D$41*('Plan mensual'!G46+IF(parametros_manuales!$H$41="Todos",'Plan mensual'!G50,0))+parametros_manuales!$E$41*('Plan mensual'!G47+IF(parametros_manuales!$H$41="Todos",'Plan mensual'!G51,0))+parametros_manuales!$F$41*('Plan mensual'!G48+IF(parametros_manuales!$H$41="Todos",'Plan mensual'!G52,0))+parametros_manuales!$G$41*('Plan mensual'!G49+IF(parametros_manuales!$H$41="Todos",'Plan mensual'!G53,0)))*parametros_manuales!$I$41*parametros_manuales!$J$41</f>
        <v>2128.8527427715</v>
      </c>
      <c r="F132" s="9" t="n">
        <f aca="false">(parametros_manuales!$D$41*('Plan mensual'!H46+IF(parametros_manuales!$H$41="Todos",'Plan mensual'!H50,0))+parametros_manuales!$E$41*('Plan mensual'!H47+IF(parametros_manuales!$H$41="Todos",'Plan mensual'!H51,0))+parametros_manuales!$F$41*('Plan mensual'!H48+IF(parametros_manuales!$H$41="Todos",'Plan mensual'!H52,0))+parametros_manuales!$G$41*('Plan mensual'!H49+IF(parametros_manuales!$H$41="Todos",'Plan mensual'!H53,0)))*parametros_manuales!$I$41*parametros_manuales!$J$41</f>
        <v>1996.166915132</v>
      </c>
      <c r="G132" s="9" t="n">
        <f aca="false">(parametros_manuales!$D$41*('Plan mensual'!I46+IF(parametros_manuales!$H$41="Todos",'Plan mensual'!I50,0))+parametros_manuales!$E$41*('Plan mensual'!I47+IF(parametros_manuales!$H$41="Todos",'Plan mensual'!I51,0))+parametros_manuales!$F$41*('Plan mensual'!I48+IF(parametros_manuales!$H$41="Todos",'Plan mensual'!I52,0))+parametros_manuales!$G$41*('Plan mensual'!I49+IF(parametros_manuales!$H$41="Todos",'Plan mensual'!I53,0)))*parametros_manuales!$I$41*parametros_manuales!$J$41</f>
        <v>1926.8842510425</v>
      </c>
      <c r="H132" s="9" t="n">
        <f aca="false">(parametros_manuales!$D$41*('Plan mensual'!J46+IF(parametros_manuales!$H$41="Todos",'Plan mensual'!J50,0))+parametros_manuales!$E$41*('Plan mensual'!J47+IF(parametros_manuales!$H$41="Todos",'Plan mensual'!J51,0))+parametros_manuales!$F$41*('Plan mensual'!J48+IF(parametros_manuales!$H$41="Todos",'Plan mensual'!J52,0))+parametros_manuales!$G$41*('Plan mensual'!J49+IF(parametros_manuales!$H$41="Todos",'Plan mensual'!J53,0)))*parametros_manuales!$I$41*parametros_manuales!$J$41</f>
        <v>2059.570078682</v>
      </c>
      <c r="I132" s="9" t="n">
        <f aca="false">(parametros_manuales!$D$41*('Plan mensual'!K46+IF(parametros_manuales!$H$41="Todos",'Plan mensual'!K50,0))+parametros_manuales!$E$41*('Plan mensual'!K47+IF(parametros_manuales!$H$41="Todos",'Plan mensual'!K51,0))+parametros_manuales!$F$41*('Plan mensual'!K48+IF(parametros_manuales!$H$41="Todos",'Plan mensual'!K52,0))+parametros_manuales!$G$41*('Plan mensual'!K49+IF(parametros_manuales!$H$41="Todos",'Plan mensual'!K53,0)))*parametros_manuales!$I$41*parametros_manuales!$J$41</f>
        <v>2059.570078682</v>
      </c>
      <c r="J132" s="9" t="n">
        <f aca="false">(parametros_manuales!$D$41*('Plan mensual'!L46+IF(parametros_manuales!$H$41="Todos",'Plan mensual'!L50,0))+parametros_manuales!$E$41*('Plan mensual'!L47+IF(parametros_manuales!$H$41="Todos",'Plan mensual'!L51,0))+parametros_manuales!$F$41*('Plan mensual'!L48+IF(parametros_manuales!$H$41="Todos",'Plan mensual'!L52,0))+parametros_manuales!$G$41*('Plan mensual'!L49+IF(parametros_manuales!$H$41="Todos",'Plan mensual'!L53,0)))*parametros_manuales!$I$41*parametros_manuales!$J$41</f>
        <v>2059.570078682</v>
      </c>
      <c r="K132" s="9" t="n">
        <f aca="false">(parametros_manuales!$D$41*('Plan mensual'!M46+IF(parametros_manuales!$H$41="Todos",'Plan mensual'!M50,0))+parametros_manuales!$E$41*('Plan mensual'!M47+IF(parametros_manuales!$H$41="Todos",'Plan mensual'!M51,0))+parametros_manuales!$F$41*('Plan mensual'!M48+IF(parametros_manuales!$H$41="Todos",'Plan mensual'!M52,0))+parametros_manuales!$G$41*('Plan mensual'!M49+IF(parametros_manuales!$H$41="Todos",'Plan mensual'!M53,0)))*parametros_manuales!$I$41*parametros_manuales!$J$41</f>
        <v>1990.2874145925</v>
      </c>
      <c r="L132" s="9" t="n">
        <f aca="false">(parametros_manuales!$D$41*('Plan mensual'!N46+IF(parametros_manuales!$H$41="Todos",'Plan mensual'!N50,0))+parametros_manuales!$E$41*('Plan mensual'!N47+IF(parametros_manuales!$H$41="Todos",'Plan mensual'!N51,0))+parametros_manuales!$F$41*('Plan mensual'!N48+IF(parametros_manuales!$H$41="Todos",'Plan mensual'!N52,0))+parametros_manuales!$G$41*('Plan mensual'!N49+IF(parametros_manuales!$H$41="Todos",'Plan mensual'!N53,0)))*parametros_manuales!$I$41*parametros_manuales!$J$41</f>
        <v>1921.004750503</v>
      </c>
      <c r="M132" s="9" t="n">
        <f aca="false">(parametros_manuales!$D$41*('Plan mensual'!O46+IF(parametros_manuales!$H$41="Todos",'Plan mensual'!O50,0))+parametros_manuales!$E$41*('Plan mensual'!O47+IF(parametros_manuales!$H$41="Todos",'Plan mensual'!O51,0))+parametros_manuales!$F$41*('Plan mensual'!O48+IF(parametros_manuales!$H$41="Todos",'Plan mensual'!O52,0))+parametros_manuales!$G$41*('Plan mensual'!O49+IF(parametros_manuales!$H$41="Todos",'Plan mensual'!O53,0)))*parametros_manuales!$I$41*parametros_manuales!$J$41</f>
        <v>3045.894535169</v>
      </c>
      <c r="N132" s="9" t="n">
        <f aca="false">SUM(B132:M132)</f>
        <v>26537.1655279</v>
      </c>
      <c r="O132" s="9" t="n">
        <f aca="false">MAX(B132:M132)</f>
        <v>3045.894535169</v>
      </c>
      <c r="P132" s="43" t="n">
        <f aca="false">O132/(parametros_manuales!$B$7)</f>
        <v>20.3059635677933</v>
      </c>
      <c r="Q132" s="8" t="str">
        <f aca="false">IF(O132=0,"-",INDEX($B$109:$M$109,MATCH(O132,B132:M132,0)))</f>
        <v>Dic</v>
      </c>
    </row>
    <row r="133" customFormat="false" ht="14.25" hidden="false" customHeight="true" outlineLevel="0" collapsed="false">
      <c r="A133" s="8" t="str">
        <f aca="false">parametros_manuales!$B$42</f>
        <v>Etiquetado</v>
      </c>
      <c r="B133" s="9" t="n">
        <f aca="false">(parametros_manuales!$D$42*('Plan mensual'!D46+IF(parametros_manuales!$H$42="Todos",'Plan mensual'!D50,0))+parametros_manuales!$E$42*('Plan mensual'!D47+IF(parametros_manuales!$H$42="Todos",'Plan mensual'!D51,0))+parametros_manuales!$F$42*('Plan mensual'!D48+IF(parametros_manuales!$H$42="Todos",'Plan mensual'!D52,0))+parametros_manuales!$G$42*('Plan mensual'!D49+IF(parametros_manuales!$H$42="Todos",'Plan mensual'!D53,0)))*parametros_manuales!$I$42*parametros_manuales!$J$42</f>
        <v>2907.32920699</v>
      </c>
      <c r="C133" s="9" t="n">
        <f aca="false">(parametros_manuales!$D$42*('Plan mensual'!E46+IF(parametros_manuales!$H$42="Todos",'Plan mensual'!E50,0))+parametros_manuales!$E$42*('Plan mensual'!E47+IF(parametros_manuales!$H$42="Todos",'Plan mensual'!E51,0))+parametros_manuales!$F$42*('Plan mensual'!E48+IF(parametros_manuales!$H$42="Todos",'Plan mensual'!E52,0))+parametros_manuales!$G$42*('Plan mensual'!E49+IF(parametros_manuales!$H$42="Todos",'Plan mensual'!E53,0)))*parametros_manuales!$I$42*parametros_manuales!$J$42</f>
        <v>2249.779569332</v>
      </c>
      <c r="D133" s="9" t="n">
        <f aca="false">(parametros_manuales!$D$42*('Plan mensual'!F46+IF(parametros_manuales!$H$42="Todos",'Plan mensual'!F50,0))+parametros_manuales!$E$42*('Plan mensual'!F47+IF(parametros_manuales!$H$42="Todos",'Plan mensual'!F51,0))+parametros_manuales!$F$42*('Plan mensual'!F48+IF(parametros_manuales!$H$42="Todos",'Plan mensual'!F52,0))+parametros_manuales!$G$42*('Plan mensual'!F49+IF(parametros_manuales!$H$42="Todos",'Plan mensual'!F53,0)))*parametros_manuales!$I$42*parametros_manuales!$J$42</f>
        <v>2192.2559063215</v>
      </c>
      <c r="E133" s="9" t="n">
        <f aca="false">(parametros_manuales!$D$42*('Plan mensual'!G46+IF(parametros_manuales!$H$42="Todos",'Plan mensual'!G50,0))+parametros_manuales!$E$42*('Plan mensual'!G47+IF(parametros_manuales!$H$42="Todos",'Plan mensual'!G51,0))+parametros_manuales!$F$42*('Plan mensual'!G48+IF(parametros_manuales!$H$42="Todos",'Plan mensual'!G52,0))+parametros_manuales!$G$42*('Plan mensual'!G49+IF(parametros_manuales!$H$42="Todos",'Plan mensual'!G53,0)))*parametros_manuales!$I$42*parametros_manuales!$J$42</f>
        <v>2128.8527427715</v>
      </c>
      <c r="F133" s="9" t="n">
        <f aca="false">(parametros_manuales!$D$42*('Plan mensual'!H46+IF(parametros_manuales!$H$42="Todos",'Plan mensual'!H50,0))+parametros_manuales!$E$42*('Plan mensual'!H47+IF(parametros_manuales!$H$42="Todos",'Plan mensual'!H51,0))+parametros_manuales!$F$42*('Plan mensual'!H48+IF(parametros_manuales!$H$42="Todos",'Plan mensual'!H52,0))+parametros_manuales!$G$42*('Plan mensual'!H49+IF(parametros_manuales!$H$42="Todos",'Plan mensual'!H53,0)))*parametros_manuales!$I$42*parametros_manuales!$J$42</f>
        <v>1996.166915132</v>
      </c>
      <c r="G133" s="9" t="n">
        <f aca="false">(parametros_manuales!$D$42*('Plan mensual'!I46+IF(parametros_manuales!$H$42="Todos",'Plan mensual'!I50,0))+parametros_manuales!$E$42*('Plan mensual'!I47+IF(parametros_manuales!$H$42="Todos",'Plan mensual'!I51,0))+parametros_manuales!$F$42*('Plan mensual'!I48+IF(parametros_manuales!$H$42="Todos",'Plan mensual'!I52,0))+parametros_manuales!$G$42*('Plan mensual'!I49+IF(parametros_manuales!$H$42="Todos",'Plan mensual'!I53,0)))*parametros_manuales!$I$42*parametros_manuales!$J$42</f>
        <v>1926.8842510425</v>
      </c>
      <c r="H133" s="9" t="n">
        <f aca="false">(parametros_manuales!$D$42*('Plan mensual'!J46+IF(parametros_manuales!$H$42="Todos",'Plan mensual'!J50,0))+parametros_manuales!$E$42*('Plan mensual'!J47+IF(parametros_manuales!$H$42="Todos",'Plan mensual'!J51,0))+parametros_manuales!$F$42*('Plan mensual'!J48+IF(parametros_manuales!$H$42="Todos",'Plan mensual'!J52,0))+parametros_manuales!$G$42*('Plan mensual'!J49+IF(parametros_manuales!$H$42="Todos",'Plan mensual'!J53,0)))*parametros_manuales!$I$42*parametros_manuales!$J$42</f>
        <v>2059.570078682</v>
      </c>
      <c r="I133" s="9" t="n">
        <f aca="false">(parametros_manuales!$D$42*('Plan mensual'!K46+IF(parametros_manuales!$H$42="Todos",'Plan mensual'!K50,0))+parametros_manuales!$E$42*('Plan mensual'!K47+IF(parametros_manuales!$H$42="Todos",'Plan mensual'!K51,0))+parametros_manuales!$F$42*('Plan mensual'!K48+IF(parametros_manuales!$H$42="Todos",'Plan mensual'!K52,0))+parametros_manuales!$G$42*('Plan mensual'!K49+IF(parametros_manuales!$H$42="Todos",'Plan mensual'!K53,0)))*parametros_manuales!$I$42*parametros_manuales!$J$42</f>
        <v>2059.570078682</v>
      </c>
      <c r="J133" s="9" t="n">
        <f aca="false">(parametros_manuales!$D$42*('Plan mensual'!L46+IF(parametros_manuales!$H$42="Todos",'Plan mensual'!L50,0))+parametros_manuales!$E$42*('Plan mensual'!L47+IF(parametros_manuales!$H$42="Todos",'Plan mensual'!L51,0))+parametros_manuales!$F$42*('Plan mensual'!L48+IF(parametros_manuales!$H$42="Todos",'Plan mensual'!L52,0))+parametros_manuales!$G$42*('Plan mensual'!L49+IF(parametros_manuales!$H$42="Todos",'Plan mensual'!L53,0)))*parametros_manuales!$I$42*parametros_manuales!$J$42</f>
        <v>2059.570078682</v>
      </c>
      <c r="K133" s="9" t="n">
        <f aca="false">(parametros_manuales!$D$42*('Plan mensual'!M46+IF(parametros_manuales!$H$42="Todos",'Plan mensual'!M50,0))+parametros_manuales!$E$42*('Plan mensual'!M47+IF(parametros_manuales!$H$42="Todos",'Plan mensual'!M51,0))+parametros_manuales!$F$42*('Plan mensual'!M48+IF(parametros_manuales!$H$42="Todos",'Plan mensual'!M52,0))+parametros_manuales!$G$42*('Plan mensual'!M49+IF(parametros_manuales!$H$42="Todos",'Plan mensual'!M53,0)))*parametros_manuales!$I$42*parametros_manuales!$J$42</f>
        <v>1990.2874145925</v>
      </c>
      <c r="L133" s="9" t="n">
        <f aca="false">(parametros_manuales!$D$42*('Plan mensual'!N46+IF(parametros_manuales!$H$42="Todos",'Plan mensual'!N50,0))+parametros_manuales!$E$42*('Plan mensual'!N47+IF(parametros_manuales!$H$42="Todos",'Plan mensual'!N51,0))+parametros_manuales!$F$42*('Plan mensual'!N48+IF(parametros_manuales!$H$42="Todos",'Plan mensual'!N52,0))+parametros_manuales!$G$42*('Plan mensual'!N49+IF(parametros_manuales!$H$42="Todos",'Plan mensual'!N53,0)))*parametros_manuales!$I$42*parametros_manuales!$J$42</f>
        <v>1921.004750503</v>
      </c>
      <c r="M133" s="9" t="n">
        <f aca="false">(parametros_manuales!$D$42*('Plan mensual'!O46+IF(parametros_manuales!$H$42="Todos",'Plan mensual'!O50,0))+parametros_manuales!$E$42*('Plan mensual'!O47+IF(parametros_manuales!$H$42="Todos",'Plan mensual'!O51,0))+parametros_manuales!$F$42*('Plan mensual'!O48+IF(parametros_manuales!$H$42="Todos",'Plan mensual'!O52,0))+parametros_manuales!$G$42*('Plan mensual'!O49+IF(parametros_manuales!$H$42="Todos",'Plan mensual'!O53,0)))*parametros_manuales!$I$42*parametros_manuales!$J$42</f>
        <v>3045.894535169</v>
      </c>
      <c r="N133" s="9" t="n">
        <f aca="false">SUM(B133:M133)</f>
        <v>26537.1655279</v>
      </c>
      <c r="O133" s="9" t="n">
        <f aca="false">MAX(B133:M133)</f>
        <v>3045.894535169</v>
      </c>
      <c r="P133" s="43" t="n">
        <f aca="false">O133/(parametros_manuales!$B$7)</f>
        <v>20.3059635677933</v>
      </c>
      <c r="Q133" s="8" t="str">
        <f aca="false">IF(O133=0,"-",INDEX($B$109:$M$109,MATCH(O133,B133:M133,0)))</f>
        <v>Dic</v>
      </c>
    </row>
    <row r="134" customFormat="false" ht="14.25" hidden="false" customHeight="true" outlineLevel="0" collapsed="false">
      <c r="A134" s="8" t="str">
        <f aca="false">parametros_manuales!$B$43</f>
        <v>Embalaje y paletizado</v>
      </c>
      <c r="B134" s="9" t="n">
        <f aca="false">(parametros_manuales!$D$43*('Plan mensual'!D46+IF(parametros_manuales!$H$43="Todos",'Plan mensual'!D50,0))+parametros_manuales!$E$43*('Plan mensual'!D47+IF(parametros_manuales!$H$43="Todos",'Plan mensual'!D51,0))+parametros_manuales!$F$43*('Plan mensual'!D48+IF(parametros_manuales!$H$43="Todos",'Plan mensual'!D52,0))+parametros_manuales!$G$43*('Plan mensual'!D49+IF(parametros_manuales!$H$43="Todos",'Plan mensual'!D53,0)))*parametros_manuales!$I$43*parametros_manuales!$J$43</f>
        <v>10067.07720699</v>
      </c>
      <c r="C134" s="9" t="n">
        <f aca="false">(parametros_manuales!$D$43*('Plan mensual'!E46+IF(parametros_manuales!$H$43="Todos",'Plan mensual'!E50,0))+parametros_manuales!$E$43*('Plan mensual'!E47+IF(parametros_manuales!$H$43="Todos",'Plan mensual'!E51,0))+parametros_manuales!$F$43*('Plan mensual'!E48+IF(parametros_manuales!$H$43="Todos",'Plan mensual'!E52,0))+parametros_manuales!$G$43*('Plan mensual'!E49+IF(parametros_manuales!$H$43="Todos",'Plan mensual'!E53,0)))*parametros_manuales!$I$43*parametros_manuales!$J$43</f>
        <v>7680.969169332</v>
      </c>
      <c r="D134" s="9" t="n">
        <f aca="false">(parametros_manuales!$D$43*('Plan mensual'!F46+IF(parametros_manuales!$H$43="Todos",'Plan mensual'!F50,0))+parametros_manuales!$E$43*('Plan mensual'!F47+IF(parametros_manuales!$H$43="Todos",'Plan mensual'!F51,0))+parametros_manuales!$F$43*('Plan mensual'!F48+IF(parametros_manuales!$H$43="Todos",'Plan mensual'!F52,0))+parametros_manuales!$G$43*('Plan mensual'!F49+IF(parametros_manuales!$H$43="Todos",'Plan mensual'!F53,0)))*parametros_manuales!$I$43*parametros_manuales!$J$43</f>
        <v>7190.4761063215</v>
      </c>
      <c r="E134" s="9" t="n">
        <f aca="false">(parametros_manuales!$D$43*('Plan mensual'!G46+IF(parametros_manuales!$H$43="Todos",'Plan mensual'!G50,0))+parametros_manuales!$E$43*('Plan mensual'!G47+IF(parametros_manuales!$H$43="Todos",'Plan mensual'!G51,0))+parametros_manuales!$F$43*('Plan mensual'!G48+IF(parametros_manuales!$H$43="Todos",'Plan mensual'!G52,0))+parametros_manuales!$G$43*('Plan mensual'!G49+IF(parametros_manuales!$H$43="Todos",'Plan mensual'!G53,0)))*parametros_manuales!$I$43*parametros_manuales!$J$43</f>
        <v>6879.8989427715</v>
      </c>
      <c r="F134" s="9" t="n">
        <f aca="false">(parametros_manuales!$D$43*('Plan mensual'!H46+IF(parametros_manuales!$H$43="Todos",'Plan mensual'!H50,0))+parametros_manuales!$E$43*('Plan mensual'!H47+IF(parametros_manuales!$H$43="Todos",'Plan mensual'!H51,0))+parametros_manuales!$F$43*('Plan mensual'!H48+IF(parametros_manuales!$H$43="Todos",'Plan mensual'!H52,0))+parametros_manuales!$G$43*('Plan mensual'!H49+IF(parametros_manuales!$H$43="Todos",'Plan mensual'!H53,0)))*parametros_manuales!$I$43*parametros_manuales!$J$43</f>
        <v>6438.660515132</v>
      </c>
      <c r="G134" s="9" t="n">
        <f aca="false">(parametros_manuales!$D$43*('Plan mensual'!I46+IF(parametros_manuales!$H$43="Todos",'Plan mensual'!I50,0))+parametros_manuales!$E$43*('Plan mensual'!I47+IF(parametros_manuales!$H$43="Todos",'Plan mensual'!I51,0))+parametros_manuales!$F$43*('Plan mensual'!I48+IF(parametros_manuales!$H$43="Todos",'Plan mensual'!I52,0))+parametros_manuales!$G$43*('Plan mensual'!I49+IF(parametros_manuales!$H$43="Todos",'Plan mensual'!I53,0)))*parametros_manuales!$I$43*parametros_manuales!$J$43</f>
        <v>6307.9992510425</v>
      </c>
      <c r="H134" s="9" t="n">
        <f aca="false">(parametros_manuales!$D$43*('Plan mensual'!J46+IF(parametros_manuales!$H$43="Todos",'Plan mensual'!J50,0))+parametros_manuales!$E$43*('Plan mensual'!J47+IF(parametros_manuales!$H$43="Todos",'Plan mensual'!J51,0))+parametros_manuales!$F$43*('Plan mensual'!J48+IF(parametros_manuales!$H$43="Todos",'Plan mensual'!J52,0))+parametros_manuales!$G$43*('Plan mensual'!J49+IF(parametros_manuales!$H$43="Todos",'Plan mensual'!J53,0)))*parametros_manuales!$I$43*parametros_manuales!$J$43</f>
        <v>6749.237678682</v>
      </c>
      <c r="I134" s="9" t="n">
        <f aca="false">(parametros_manuales!$D$43*('Plan mensual'!K46+IF(parametros_manuales!$H$43="Todos",'Plan mensual'!K50,0))+parametros_manuales!$E$43*('Plan mensual'!K47+IF(parametros_manuales!$H$43="Todos",'Plan mensual'!K51,0))+parametros_manuales!$F$43*('Plan mensual'!K48+IF(parametros_manuales!$H$43="Todos",'Plan mensual'!K52,0))+parametros_manuales!$G$43*('Plan mensual'!K49+IF(parametros_manuales!$H$43="Todos",'Plan mensual'!K53,0)))*parametros_manuales!$I$43*parametros_manuales!$J$43</f>
        <v>6749.237678682</v>
      </c>
      <c r="J134" s="9" t="n">
        <f aca="false">(parametros_manuales!$D$43*('Plan mensual'!L46+IF(parametros_manuales!$H$43="Todos",'Plan mensual'!L50,0))+parametros_manuales!$E$43*('Plan mensual'!L47+IF(parametros_manuales!$H$43="Todos",'Plan mensual'!L51,0))+parametros_manuales!$F$43*('Plan mensual'!L48+IF(parametros_manuales!$H$43="Todos",'Plan mensual'!L52,0))+parametros_manuales!$G$43*('Plan mensual'!L49+IF(parametros_manuales!$H$43="Todos",'Plan mensual'!L53,0)))*parametros_manuales!$I$43*parametros_manuales!$J$43</f>
        <v>6749.237678682</v>
      </c>
      <c r="K134" s="9" t="n">
        <f aca="false">(parametros_manuales!$D$43*('Plan mensual'!M46+IF(parametros_manuales!$H$43="Todos",'Plan mensual'!M50,0))+parametros_manuales!$E$43*('Plan mensual'!M47+IF(parametros_manuales!$H$43="Todos",'Plan mensual'!M51,0))+parametros_manuales!$F$43*('Plan mensual'!M48+IF(parametros_manuales!$H$43="Todos",'Plan mensual'!M52,0))+parametros_manuales!$G$43*('Plan mensual'!M49+IF(parametros_manuales!$H$43="Todos",'Plan mensual'!M53,0)))*parametros_manuales!$I$43*parametros_manuales!$J$43</f>
        <v>6618.5764145925</v>
      </c>
      <c r="L134" s="9" t="n">
        <f aca="false">(parametros_manuales!$D$43*('Plan mensual'!N46+IF(parametros_manuales!$H$43="Todos",'Plan mensual'!N50,0))+parametros_manuales!$E$43*('Plan mensual'!N47+IF(parametros_manuales!$H$43="Todos",'Plan mensual'!N51,0))+parametros_manuales!$F$43*('Plan mensual'!N48+IF(parametros_manuales!$H$43="Todos",'Plan mensual'!N52,0))+parametros_manuales!$G$43*('Plan mensual'!N49+IF(parametros_manuales!$H$43="Todos",'Plan mensual'!N53,0)))*parametros_manuales!$I$43*parametros_manuales!$J$43</f>
        <v>6487.915150503</v>
      </c>
      <c r="M134" s="9" t="n">
        <f aca="false">(parametros_manuales!$D$43*('Plan mensual'!O46+IF(parametros_manuales!$H$43="Todos",'Plan mensual'!O50,0))+parametros_manuales!$E$43*('Plan mensual'!O47+IF(parametros_manuales!$H$43="Todos",'Plan mensual'!O51,0))+parametros_manuales!$F$43*('Plan mensual'!O48+IF(parametros_manuales!$H$43="Todos",'Plan mensual'!O52,0))+parametros_manuales!$G$43*('Plan mensual'!O49+IF(parametros_manuales!$H$43="Todos",'Plan mensual'!O53,0)))*parametros_manuales!$I$43*parametros_manuales!$J$43</f>
        <v>10328.399735169</v>
      </c>
      <c r="N134" s="9" t="n">
        <f aca="false">SUM(B134:M134)</f>
        <v>88247.6855279</v>
      </c>
      <c r="O134" s="9" t="n">
        <f aca="false">MAX(B134:M134)</f>
        <v>10328.399735169</v>
      </c>
      <c r="P134" s="43" t="n">
        <f aca="false">O134/(parametros_manuales!$B$7)</f>
        <v>68.85599823446</v>
      </c>
      <c r="Q134" s="8" t="str">
        <f aca="false">IF(O134=0,"-",INDEX($B$109:$M$109,MATCH(O134,B134:M134,0)))</f>
        <v>Dic</v>
      </c>
    </row>
    <row r="135" customFormat="false" ht="14.25" hidden="false" customHeight="true" outlineLevel="0" collapsed="false"/>
    <row r="136" customFormat="false" ht="14.25" hidden="false" customHeight="true" outlineLevel="0" collapsed="false">
      <c r="A136" s="7" t="s">
        <v>195</v>
      </c>
      <c r="B136" s="7" t="s">
        <v>61</v>
      </c>
      <c r="C136" s="7" t="s">
        <v>62</v>
      </c>
      <c r="D136" s="7" t="s">
        <v>63</v>
      </c>
      <c r="E136" s="7" t="s">
        <v>64</v>
      </c>
      <c r="F136" s="7" t="s">
        <v>65</v>
      </c>
      <c r="G136" s="7" t="s">
        <v>66</v>
      </c>
      <c r="H136" s="7" t="s">
        <v>67</v>
      </c>
      <c r="I136" s="7" t="s">
        <v>68</v>
      </c>
      <c r="J136" s="7" t="s">
        <v>69</v>
      </c>
      <c r="K136" s="7" t="s">
        <v>70</v>
      </c>
      <c r="L136" s="7" t="s">
        <v>71</v>
      </c>
      <c r="M136" s="7" t="s">
        <v>72</v>
      </c>
      <c r="N136" s="7" t="s">
        <v>183</v>
      </c>
      <c r="O136" s="7" t="s">
        <v>188</v>
      </c>
      <c r="P136" s="7" t="s">
        <v>189</v>
      </c>
      <c r="Q136" s="7" t="s">
        <v>190</v>
      </c>
    </row>
    <row r="137" customFormat="false" ht="14.25" hidden="false" customHeight="true" outlineLevel="0" collapsed="false">
      <c r="A137" s="8" t="str">
        <f aca="false">parametros_manuales!$B$19</f>
        <v>Recepción de materia prima</v>
      </c>
      <c r="B137" s="9" t="n">
        <f aca="false">(parametros_manuales!$D$19*('Plan mensual'!D57+IF(parametros_manuales!$H$19="Todos",'Plan mensual'!D61,0))+parametros_manuales!$E$19*('Plan mensual'!D58+IF(parametros_manuales!$H$19="Todos",'Plan mensual'!D62,0))+parametros_manuales!$F$19*('Plan mensual'!D59+IF(parametros_manuales!$H$19="Todos",'Plan mensual'!D63,0))+parametros_manuales!$G$19*('Plan mensual'!D60+IF(parametros_manuales!$H$19="Todos",'Plan mensual'!D64,0)))*parametros_manuales!$I$19*parametros_manuales!$J$19</f>
        <v>14136.1422713</v>
      </c>
      <c r="C137" s="9" t="n">
        <f aca="false">(parametros_manuales!$D$19*('Plan mensual'!E57+IF(parametros_manuales!$H$19="Todos",'Plan mensual'!E61,0))+parametros_manuales!$E$19*('Plan mensual'!E58+IF(parametros_manuales!$H$19="Todos",'Plan mensual'!E62,0))+parametros_manuales!$F$19*('Plan mensual'!E59+IF(parametros_manuales!$H$19="Todos",'Plan mensual'!E63,0))+parametros_manuales!$G$19*('Plan mensual'!E60+IF(parametros_manuales!$H$19="Todos",'Plan mensual'!E64,0)))*parametros_manuales!$I$19*parametros_manuales!$J$19</f>
        <v>10785.11109862</v>
      </c>
      <c r="D137" s="9" t="n">
        <f aca="false">(parametros_manuales!$D$19*('Plan mensual'!F57+IF(parametros_manuales!$H$19="Todos",'Plan mensual'!F61,0))+parametros_manuales!$E$19*('Plan mensual'!F58+IF(parametros_manuales!$H$19="Todos",'Plan mensual'!F62,0))+parametros_manuales!$F$19*('Plan mensual'!F59+IF(parametros_manuales!$H$19="Todos",'Plan mensual'!F63,0))+parametros_manuales!$G$19*('Plan mensual'!F60+IF(parametros_manuales!$H$19="Todos",'Plan mensual'!F64,0)))*parametros_manuales!$I$19*parametros_manuales!$J$19</f>
        <v>10095.110963065</v>
      </c>
      <c r="E137" s="9" t="n">
        <f aca="false">(parametros_manuales!$D$19*('Plan mensual'!G57+IF(parametros_manuales!$H$19="Todos",'Plan mensual'!G61,0))+parametros_manuales!$E$19*('Plan mensual'!G58+IF(parametros_manuales!$H$19="Todos",'Plan mensual'!G62,0))+parametros_manuales!$F$19*('Plan mensual'!G59+IF(parametros_manuales!$H$19="Todos",'Plan mensual'!G63,0))+parametros_manuales!$G$19*('Plan mensual'!G60+IF(parametros_manuales!$H$19="Todos",'Plan mensual'!G64,0)))*parametros_manuales!$I$19*parametros_manuales!$J$19</f>
        <v>9658.608697715</v>
      </c>
      <c r="F137" s="9" t="n">
        <f aca="false">(parametros_manuales!$D$19*('Plan mensual'!H57+IF(parametros_manuales!$H$19="Todos",'Plan mensual'!H61,0))+parametros_manuales!$E$19*('Plan mensual'!H58+IF(parametros_manuales!$H$19="Todos",'Plan mensual'!H62,0))+parametros_manuales!$F$19*('Plan mensual'!H59+IF(parametros_manuales!$H$19="Todos",'Plan mensual'!H63,0))+parametros_manuales!$G$19*('Plan mensual'!H60+IF(parametros_manuales!$H$19="Todos",'Plan mensual'!H64,0)))*parametros_manuales!$I$19*parametros_manuales!$J$19</f>
        <v>9039.10203722</v>
      </c>
      <c r="G137" s="9" t="n">
        <f aca="false">(parametros_manuales!$D$19*('Plan mensual'!I57+IF(parametros_manuales!$H$19="Todos",'Plan mensual'!I61,0))+parametros_manuales!$E$19*('Plan mensual'!I58+IF(parametros_manuales!$H$19="Todos",'Plan mensual'!I62,0))+parametros_manuales!$F$19*('Plan mensual'!I59+IF(parametros_manuales!$H$19="Todos",'Plan mensual'!I63,0))+parametros_manuales!$G$19*('Plan mensual'!I60+IF(parametros_manuales!$H$19="Todos",'Plan mensual'!I64,0)))*parametros_manuales!$I$19*parametros_manuales!$J$19</f>
        <v>8856.097642075</v>
      </c>
      <c r="H137" s="9" t="n">
        <f aca="false">(parametros_manuales!$D$19*('Plan mensual'!J57+IF(parametros_manuales!$H$19="Todos",'Plan mensual'!J61,0))+parametros_manuales!$E$19*('Plan mensual'!J58+IF(parametros_manuales!$H$19="Todos",'Plan mensual'!J62,0))+parametros_manuales!$F$19*('Plan mensual'!J59+IF(parametros_manuales!$H$19="Todos",'Plan mensual'!J63,0))+parametros_manuales!$G$19*('Plan mensual'!J60+IF(parametros_manuales!$H$19="Todos",'Plan mensual'!J64,0)))*parametros_manuales!$I$19*parametros_manuales!$J$19</f>
        <v>9475.60430257</v>
      </c>
      <c r="I137" s="9" t="n">
        <f aca="false">(parametros_manuales!$D$19*('Plan mensual'!K57+IF(parametros_manuales!$H$19="Todos",'Plan mensual'!K61,0))+parametros_manuales!$E$19*('Plan mensual'!K58+IF(parametros_manuales!$H$19="Todos",'Plan mensual'!K62,0))+parametros_manuales!$F$19*('Plan mensual'!K59+IF(parametros_manuales!$H$19="Todos",'Plan mensual'!K63,0))+parametros_manuales!$G$19*('Plan mensual'!K60+IF(parametros_manuales!$H$19="Todos",'Plan mensual'!K64,0)))*parametros_manuales!$I$19*parametros_manuales!$J$19</f>
        <v>9475.60430257</v>
      </c>
      <c r="J137" s="9" t="n">
        <f aca="false">(parametros_manuales!$D$19*('Plan mensual'!L57+IF(parametros_manuales!$H$19="Todos",'Plan mensual'!L61,0))+parametros_manuales!$E$19*('Plan mensual'!L58+IF(parametros_manuales!$H$19="Todos",'Plan mensual'!L62,0))+parametros_manuales!$F$19*('Plan mensual'!L59+IF(parametros_manuales!$H$19="Todos",'Plan mensual'!L63,0))+parametros_manuales!$G$19*('Plan mensual'!L60+IF(parametros_manuales!$H$19="Todos",'Plan mensual'!L64,0)))*parametros_manuales!$I$19*parametros_manuales!$J$19</f>
        <v>9475.60430257</v>
      </c>
      <c r="K137" s="9" t="n">
        <f aca="false">(parametros_manuales!$D$19*('Plan mensual'!M57+IF(parametros_manuales!$H$19="Todos",'Plan mensual'!M61,0))+parametros_manuales!$E$19*('Plan mensual'!M58+IF(parametros_manuales!$H$19="Todos",'Plan mensual'!M62,0))+parametros_manuales!$F$19*('Plan mensual'!M59+IF(parametros_manuales!$H$19="Todos",'Plan mensual'!M63,0))+parametros_manuales!$G$19*('Plan mensual'!M60+IF(parametros_manuales!$H$19="Todos",'Plan mensual'!M64,0)))*parametros_manuales!$I$19*parametros_manuales!$J$19</f>
        <v>9292.599907425</v>
      </c>
      <c r="L137" s="9" t="n">
        <f aca="false">(parametros_manuales!$D$19*('Plan mensual'!N57+IF(parametros_manuales!$H$19="Todos",'Plan mensual'!N61,0))+parametros_manuales!$E$19*('Plan mensual'!N58+IF(parametros_manuales!$H$19="Todos",'Plan mensual'!N62,0))+parametros_manuales!$F$19*('Plan mensual'!N59+IF(parametros_manuales!$H$19="Todos",'Plan mensual'!N63,0))+parametros_manuales!$G$19*('Plan mensual'!N60+IF(parametros_manuales!$H$19="Todos",'Plan mensual'!N64,0)))*parametros_manuales!$I$19*parametros_manuales!$J$19</f>
        <v>9109.59551228</v>
      </c>
      <c r="M137" s="9" t="n">
        <f aca="false">(parametros_manuales!$D$19*('Plan mensual'!O57+IF(parametros_manuales!$H$19="Todos",'Plan mensual'!O61,0))+parametros_manuales!$E$19*('Plan mensual'!O58+IF(parametros_manuales!$H$19="Todos",'Plan mensual'!O62,0))+parametros_manuales!$F$19*('Plan mensual'!O59+IF(parametros_manuales!$H$19="Todos",'Plan mensual'!O63,0))+parametros_manuales!$G$19*('Plan mensual'!O60+IF(parametros_manuales!$H$19="Todos",'Plan mensual'!O64,0)))*parametros_manuales!$I$19*parametros_manuales!$J$19</f>
        <v>14502.15106159</v>
      </c>
      <c r="N137" s="9" t="n">
        <f aca="false">SUM(B137:M137)</f>
        <v>123901.332099</v>
      </c>
      <c r="O137" s="9" t="n">
        <f aca="false">MAX(B137:M137)</f>
        <v>14502.15106159</v>
      </c>
      <c r="P137" s="43" t="n">
        <f aca="false">O137/(parametros_manuales!$B$7)</f>
        <v>96.6810070772667</v>
      </c>
      <c r="Q137" s="8" t="str">
        <f aca="false">IF(O137=0,"-",INDEX($B$136:$M$136,MATCH(O137,B137:M137,0)))</f>
        <v>Dic</v>
      </c>
    </row>
    <row r="138" customFormat="false" ht="14.25" hidden="false" customHeight="true" outlineLevel="0" collapsed="false">
      <c r="A138" s="8" t="str">
        <f aca="false">parametros_manuales!$B$20</f>
        <v>Corte de chapa (guillotina) — 2,5 a 10 kg</v>
      </c>
      <c r="B138" s="9" t="n">
        <f aca="false">(parametros_manuales!$D$20*('Plan mensual'!D57+IF(parametros_manuales!$H$20="Todos",'Plan mensual'!D61,0))+parametros_manuales!$E$20*('Plan mensual'!D58+IF(parametros_manuales!$H$20="Todos",'Plan mensual'!D62,0))+parametros_manuales!$F$20*('Plan mensual'!D59+IF(parametros_manuales!$H$20="Todos",'Plan mensual'!D63,0))+parametros_manuales!$G$20*('Plan mensual'!D60+IF(parametros_manuales!$H$20="Todos",'Plan mensual'!D64,0)))*parametros_manuales!$I$20*parametros_manuales!$J$20</f>
        <v>3660.0879029</v>
      </c>
      <c r="C138" s="9" t="n">
        <f aca="false">(parametros_manuales!$D$20*('Plan mensual'!E57+IF(parametros_manuales!$H$20="Todos",'Plan mensual'!E61,0))+parametros_manuales!$E$20*('Plan mensual'!E58+IF(parametros_manuales!$H$20="Todos",'Plan mensual'!E62,0))+parametros_manuales!$F$20*('Plan mensual'!E59+IF(parametros_manuales!$H$20="Todos",'Plan mensual'!E63,0))+parametros_manuales!$G$20*('Plan mensual'!E60+IF(parametros_manuales!$H$20="Todos",'Plan mensual'!E64,0)))*parametros_manuales!$I$20*parametros_manuales!$J$20</f>
        <v>2928.07032232</v>
      </c>
      <c r="D138" s="9" t="n">
        <f aca="false">(parametros_manuales!$D$20*('Plan mensual'!F57+IF(parametros_manuales!$H$20="Todos",'Plan mensual'!F61,0))+parametros_manuales!$E$20*('Plan mensual'!F58+IF(parametros_manuales!$H$20="Todos",'Plan mensual'!F62,0))+parametros_manuales!$F$20*('Plan mensual'!F59+IF(parametros_manuales!$H$20="Todos",'Plan mensual'!F63,0))+parametros_manuales!$G$20*('Plan mensual'!F60+IF(parametros_manuales!$H$20="Todos",'Plan mensual'!F64,0)))*parametros_manuales!$I$20*parametros_manuales!$J$20</f>
        <v>3111.074717465</v>
      </c>
      <c r="E138" s="9" t="n">
        <f aca="false">(parametros_manuales!$D$20*('Plan mensual'!G57+IF(parametros_manuales!$H$20="Todos",'Plan mensual'!G61,0))+parametros_manuales!$E$20*('Plan mensual'!G58+IF(parametros_manuales!$H$20="Todos",'Plan mensual'!G62,0))+parametros_manuales!$F$20*('Plan mensual'!G59+IF(parametros_manuales!$H$20="Todos",'Plan mensual'!G63,0))+parametros_manuales!$G$20*('Plan mensual'!G60+IF(parametros_manuales!$H$20="Todos",'Plan mensual'!G64,0)))*parametros_manuales!$I$20*parametros_manuales!$J$20</f>
        <v>3111.074717465</v>
      </c>
      <c r="F138" s="9" t="n">
        <f aca="false">(parametros_manuales!$D$20*('Plan mensual'!H57+IF(parametros_manuales!$H$20="Todos",'Plan mensual'!H61,0))+parametros_manuales!$E$20*('Plan mensual'!H58+IF(parametros_manuales!$H$20="Todos",'Plan mensual'!H62,0))+parametros_manuales!$F$20*('Plan mensual'!H59+IF(parametros_manuales!$H$20="Todos",'Plan mensual'!H63,0))+parametros_manuales!$G$20*('Plan mensual'!H60+IF(parametros_manuales!$H$20="Todos",'Plan mensual'!H64,0)))*parametros_manuales!$I$20*parametros_manuales!$J$20</f>
        <v>2928.07032232</v>
      </c>
      <c r="G138" s="9" t="n">
        <f aca="false">(parametros_manuales!$D$20*('Plan mensual'!I57+IF(parametros_manuales!$H$20="Todos",'Plan mensual'!I61,0))+parametros_manuales!$E$20*('Plan mensual'!I58+IF(parametros_manuales!$H$20="Todos",'Plan mensual'!I62,0))+parametros_manuales!$F$20*('Plan mensual'!I59+IF(parametros_manuales!$H$20="Todos",'Plan mensual'!I63,0))+parametros_manuales!$G$20*('Plan mensual'!I60+IF(parametros_manuales!$H$20="Todos",'Plan mensual'!I64,0)))*parametros_manuales!$I$20*parametros_manuales!$J$20</f>
        <v>2745.065927175</v>
      </c>
      <c r="H138" s="9" t="n">
        <f aca="false">(parametros_manuales!$D$20*('Plan mensual'!J57+IF(parametros_manuales!$H$20="Todos",'Plan mensual'!J61,0))+parametros_manuales!$E$20*('Plan mensual'!J58+IF(parametros_manuales!$H$20="Todos",'Plan mensual'!J62,0))+parametros_manuales!$F$20*('Plan mensual'!J59+IF(parametros_manuales!$H$20="Todos",'Plan mensual'!J63,0))+parametros_manuales!$G$20*('Plan mensual'!J60+IF(parametros_manuales!$H$20="Todos",'Plan mensual'!J64,0)))*parametros_manuales!$I$20*parametros_manuales!$J$20</f>
        <v>2928.07032232</v>
      </c>
      <c r="I138" s="9" t="n">
        <f aca="false">(parametros_manuales!$D$20*('Plan mensual'!K57+IF(parametros_manuales!$H$20="Todos",'Plan mensual'!K61,0))+parametros_manuales!$E$20*('Plan mensual'!K58+IF(parametros_manuales!$H$20="Todos",'Plan mensual'!K62,0))+parametros_manuales!$F$20*('Plan mensual'!K59+IF(parametros_manuales!$H$20="Todos",'Plan mensual'!K63,0))+parametros_manuales!$G$20*('Plan mensual'!K60+IF(parametros_manuales!$H$20="Todos",'Plan mensual'!K64,0)))*parametros_manuales!$I$20*parametros_manuales!$J$20</f>
        <v>2928.07032232</v>
      </c>
      <c r="J138" s="9" t="n">
        <f aca="false">(parametros_manuales!$D$20*('Plan mensual'!L57+IF(parametros_manuales!$H$20="Todos",'Plan mensual'!L61,0))+parametros_manuales!$E$20*('Plan mensual'!L58+IF(parametros_manuales!$H$20="Todos",'Plan mensual'!L62,0))+parametros_manuales!$F$20*('Plan mensual'!L59+IF(parametros_manuales!$H$20="Todos",'Plan mensual'!L63,0))+parametros_manuales!$G$20*('Plan mensual'!L60+IF(parametros_manuales!$H$20="Todos",'Plan mensual'!L64,0)))*parametros_manuales!$I$20*parametros_manuales!$J$20</f>
        <v>2928.07032232</v>
      </c>
      <c r="K138" s="9" t="n">
        <f aca="false">(parametros_manuales!$D$20*('Plan mensual'!M57+IF(parametros_manuales!$H$20="Todos",'Plan mensual'!M61,0))+parametros_manuales!$E$20*('Plan mensual'!M58+IF(parametros_manuales!$H$20="Todos",'Plan mensual'!M62,0))+parametros_manuales!$F$20*('Plan mensual'!M59+IF(parametros_manuales!$H$20="Todos",'Plan mensual'!M63,0))+parametros_manuales!$G$20*('Plan mensual'!M60+IF(parametros_manuales!$H$20="Todos",'Plan mensual'!M64,0)))*parametros_manuales!$I$20*parametros_manuales!$J$20</f>
        <v>2745.065927175</v>
      </c>
      <c r="L138" s="9" t="n">
        <f aca="false">(parametros_manuales!$D$20*('Plan mensual'!N57+IF(parametros_manuales!$H$20="Todos",'Plan mensual'!N61,0))+parametros_manuales!$E$20*('Plan mensual'!N58+IF(parametros_manuales!$H$20="Todos",'Plan mensual'!N62,0))+parametros_manuales!$F$20*('Plan mensual'!N59+IF(parametros_manuales!$H$20="Todos",'Plan mensual'!N63,0))+parametros_manuales!$G$20*('Plan mensual'!N60+IF(parametros_manuales!$H$20="Todos",'Plan mensual'!N64,0)))*parametros_manuales!$I$20*parametros_manuales!$J$20</f>
        <v>2562.06153203</v>
      </c>
      <c r="M138" s="9" t="n">
        <f aca="false">(parametros_manuales!$D$20*('Plan mensual'!O57+IF(parametros_manuales!$H$20="Todos",'Plan mensual'!O61,0))+parametros_manuales!$E$20*('Plan mensual'!O58+IF(parametros_manuales!$H$20="Todos",'Plan mensual'!O62,0))+parametros_manuales!$F$20*('Plan mensual'!O59+IF(parametros_manuales!$H$20="Todos",'Plan mensual'!O63,0))+parametros_manuales!$G$20*('Plan mensual'!O60+IF(parametros_manuales!$H$20="Todos",'Plan mensual'!O64,0)))*parametros_manuales!$I$20*parametros_manuales!$J$20</f>
        <v>4026.09669319</v>
      </c>
      <c r="N138" s="9" t="n">
        <f aca="false">SUM(B138:M138)</f>
        <v>36600.879029</v>
      </c>
      <c r="O138" s="9" t="n">
        <f aca="false">MAX(B138:M138)</f>
        <v>4026.09669319</v>
      </c>
      <c r="P138" s="43" t="n">
        <f aca="false">O138/(parametros_manuales!$B$7)</f>
        <v>26.8406446212667</v>
      </c>
      <c r="Q138" s="8" t="str">
        <f aca="false">IF(O138=0,"-",INDEX($B$136:$M$136,MATCH(O138,B138:M138,0)))</f>
        <v>Dic</v>
      </c>
    </row>
    <row r="139" customFormat="false" ht="14.25" hidden="false" customHeight="true" outlineLevel="0" collapsed="false">
      <c r="A139" s="8" t="str">
        <f aca="false">parametros_manuales!$B$21</f>
        <v>Corte de tubo — 1 kg</v>
      </c>
      <c r="B139" s="9" t="n">
        <f aca="false">(parametros_manuales!$D$21*('Plan mensual'!D57+IF(parametros_manuales!$H$21="Todos",'Plan mensual'!D61,0))+parametros_manuales!$E$21*('Plan mensual'!D58+IF(parametros_manuales!$H$21="Todos",'Plan mensual'!D62,0))+parametros_manuales!$F$21*('Plan mensual'!D59+IF(parametros_manuales!$H$21="Todos",'Plan mensual'!D63,0))+parametros_manuales!$G$21*('Plan mensual'!D60+IF(parametros_manuales!$H$21="Todos",'Plan mensual'!D64,0)))*parametros_manuales!$I$21*parametros_manuales!$J$21</f>
        <v>10476.0543684</v>
      </c>
      <c r="C139" s="9" t="n">
        <f aca="false">(parametros_manuales!$D$21*('Plan mensual'!E57+IF(parametros_manuales!$H$21="Todos",'Plan mensual'!E61,0))+parametros_manuales!$E$21*('Plan mensual'!E58+IF(parametros_manuales!$H$21="Todos",'Plan mensual'!E62,0))+parametros_manuales!$F$21*('Plan mensual'!E59+IF(parametros_manuales!$H$21="Todos",'Plan mensual'!E63,0))+parametros_manuales!$G$21*('Plan mensual'!E60+IF(parametros_manuales!$H$21="Todos",'Plan mensual'!E64,0)))*parametros_manuales!$I$21*parametros_manuales!$J$21</f>
        <v>7857.0407763</v>
      </c>
      <c r="D139" s="9" t="n">
        <f aca="false">(parametros_manuales!$D$21*('Plan mensual'!F57+IF(parametros_manuales!$H$21="Todos",'Plan mensual'!F61,0))+parametros_manuales!$E$21*('Plan mensual'!F58+IF(parametros_manuales!$H$21="Todos",'Plan mensual'!F62,0))+parametros_manuales!$F$21*('Plan mensual'!F59+IF(parametros_manuales!$H$21="Todos",'Plan mensual'!F63,0))+parametros_manuales!$G$21*('Plan mensual'!F60+IF(parametros_manuales!$H$21="Todos",'Plan mensual'!F64,0)))*parametros_manuales!$I$21*parametros_manuales!$J$21</f>
        <v>6984.0362456</v>
      </c>
      <c r="E139" s="9" t="n">
        <f aca="false">(parametros_manuales!$D$21*('Plan mensual'!G57+IF(parametros_manuales!$H$21="Todos",'Plan mensual'!G61,0))+parametros_manuales!$E$21*('Plan mensual'!G58+IF(parametros_manuales!$H$21="Todos",'Plan mensual'!G62,0))+parametros_manuales!$F$21*('Plan mensual'!G59+IF(parametros_manuales!$H$21="Todos",'Plan mensual'!G63,0))+parametros_manuales!$G$21*('Plan mensual'!G60+IF(parametros_manuales!$H$21="Todos",'Plan mensual'!G64,0)))*parametros_manuales!$I$21*parametros_manuales!$J$21</f>
        <v>6547.53398025</v>
      </c>
      <c r="F139" s="9" t="n">
        <f aca="false">(parametros_manuales!$D$21*('Plan mensual'!H57+IF(parametros_manuales!$H$21="Todos",'Plan mensual'!H61,0))+parametros_manuales!$E$21*('Plan mensual'!H58+IF(parametros_manuales!$H$21="Todos",'Plan mensual'!H62,0))+parametros_manuales!$F$21*('Plan mensual'!H59+IF(parametros_manuales!$H$21="Todos",'Plan mensual'!H63,0))+parametros_manuales!$G$21*('Plan mensual'!H60+IF(parametros_manuales!$H$21="Todos",'Plan mensual'!H64,0)))*parametros_manuales!$I$21*parametros_manuales!$J$21</f>
        <v>6111.0317149</v>
      </c>
      <c r="G139" s="9" t="n">
        <f aca="false">(parametros_manuales!$D$21*('Plan mensual'!I57+IF(parametros_manuales!$H$21="Todos",'Plan mensual'!I61,0))+parametros_manuales!$E$21*('Plan mensual'!I58+IF(parametros_manuales!$H$21="Todos",'Plan mensual'!I62,0))+parametros_manuales!$F$21*('Plan mensual'!I59+IF(parametros_manuales!$H$21="Todos",'Plan mensual'!I63,0))+parametros_manuales!$G$21*('Plan mensual'!I60+IF(parametros_manuales!$H$21="Todos",'Plan mensual'!I64,0)))*parametros_manuales!$I$21*parametros_manuales!$J$21</f>
        <v>6111.0317149</v>
      </c>
      <c r="H139" s="9" t="n">
        <f aca="false">(parametros_manuales!$D$21*('Plan mensual'!J57+IF(parametros_manuales!$H$21="Todos",'Plan mensual'!J61,0))+parametros_manuales!$E$21*('Plan mensual'!J58+IF(parametros_manuales!$H$21="Todos",'Plan mensual'!J62,0))+parametros_manuales!$F$21*('Plan mensual'!J59+IF(parametros_manuales!$H$21="Todos",'Plan mensual'!J63,0))+parametros_manuales!$G$21*('Plan mensual'!J60+IF(parametros_manuales!$H$21="Todos",'Plan mensual'!J64,0)))*parametros_manuales!$I$21*parametros_manuales!$J$21</f>
        <v>6547.53398025</v>
      </c>
      <c r="I139" s="9" t="n">
        <f aca="false">(parametros_manuales!$D$21*('Plan mensual'!K57+IF(parametros_manuales!$H$21="Todos",'Plan mensual'!K61,0))+parametros_manuales!$E$21*('Plan mensual'!K58+IF(parametros_manuales!$H$21="Todos",'Plan mensual'!K62,0))+parametros_manuales!$F$21*('Plan mensual'!K59+IF(parametros_manuales!$H$21="Todos",'Plan mensual'!K63,0))+parametros_manuales!$G$21*('Plan mensual'!K60+IF(parametros_manuales!$H$21="Todos",'Plan mensual'!K64,0)))*parametros_manuales!$I$21*parametros_manuales!$J$21</f>
        <v>6547.53398025</v>
      </c>
      <c r="J139" s="9" t="n">
        <f aca="false">(parametros_manuales!$D$21*('Plan mensual'!L57+IF(parametros_manuales!$H$21="Todos",'Plan mensual'!L61,0))+parametros_manuales!$E$21*('Plan mensual'!L58+IF(parametros_manuales!$H$21="Todos",'Plan mensual'!L62,0))+parametros_manuales!$F$21*('Plan mensual'!L59+IF(parametros_manuales!$H$21="Todos",'Plan mensual'!L63,0))+parametros_manuales!$G$21*('Plan mensual'!L60+IF(parametros_manuales!$H$21="Todos",'Plan mensual'!L64,0)))*parametros_manuales!$I$21*parametros_manuales!$J$21</f>
        <v>6547.53398025</v>
      </c>
      <c r="K139" s="9" t="n">
        <f aca="false">(parametros_manuales!$D$21*('Plan mensual'!M57+IF(parametros_manuales!$H$21="Todos",'Plan mensual'!M61,0))+parametros_manuales!$E$21*('Plan mensual'!M58+IF(parametros_manuales!$H$21="Todos",'Plan mensual'!M62,0))+parametros_manuales!$F$21*('Plan mensual'!M59+IF(parametros_manuales!$H$21="Todos",'Plan mensual'!M63,0))+parametros_manuales!$G$21*('Plan mensual'!M60+IF(parametros_manuales!$H$21="Todos",'Plan mensual'!M64,0)))*parametros_manuales!$I$21*parametros_manuales!$J$21</f>
        <v>6547.53398025</v>
      </c>
      <c r="L139" s="9" t="n">
        <f aca="false">(parametros_manuales!$D$21*('Plan mensual'!N57+IF(parametros_manuales!$H$21="Todos",'Plan mensual'!N61,0))+parametros_manuales!$E$21*('Plan mensual'!N58+IF(parametros_manuales!$H$21="Todos",'Plan mensual'!N62,0))+parametros_manuales!$F$21*('Plan mensual'!N59+IF(parametros_manuales!$H$21="Todos",'Plan mensual'!N63,0))+parametros_manuales!$G$21*('Plan mensual'!N60+IF(parametros_manuales!$H$21="Todos",'Plan mensual'!N64,0)))*parametros_manuales!$I$21*parametros_manuales!$J$21</f>
        <v>6547.53398025</v>
      </c>
      <c r="M139" s="9" t="n">
        <f aca="false">(parametros_manuales!$D$21*('Plan mensual'!O57+IF(parametros_manuales!$H$21="Todos",'Plan mensual'!O61,0))+parametros_manuales!$E$21*('Plan mensual'!O58+IF(parametros_manuales!$H$21="Todos",'Plan mensual'!O62,0))+parametros_manuales!$F$21*('Plan mensual'!O59+IF(parametros_manuales!$H$21="Todos",'Plan mensual'!O63,0))+parametros_manuales!$G$21*('Plan mensual'!O60+IF(parametros_manuales!$H$21="Todos",'Plan mensual'!O64,0)))*parametros_manuales!$I$21*parametros_manuales!$J$21</f>
        <v>10476.0543684</v>
      </c>
      <c r="N139" s="9" t="n">
        <f aca="false">SUM(B139:M139)</f>
        <v>87300.45307</v>
      </c>
      <c r="O139" s="9" t="n">
        <f aca="false">MAX(B139:M139)</f>
        <v>10476.0543684</v>
      </c>
      <c r="P139" s="43" t="n">
        <f aca="false">O139/(parametros_manuales!$B$7)</f>
        <v>69.840362456</v>
      </c>
      <c r="Q139" s="8" t="str">
        <f aca="false">IF(O139=0,"-",INDEX($B$136:$M$136,MATCH(O139,B139:M139,0)))</f>
        <v>Ene</v>
      </c>
    </row>
    <row r="140" customFormat="false" ht="14.25" hidden="false" customHeight="true" outlineLevel="0" collapsed="false">
      <c r="A140" s="8" t="str">
        <f aca="false">parametros_manuales!$B$22</f>
        <v>Corte de disco y embutido (cúpula y fondo)</v>
      </c>
      <c r="B140" s="9" t="n">
        <f aca="false">(parametros_manuales!$D$22*('Plan mensual'!D57+IF(parametros_manuales!$H$22="Todos",'Plan mensual'!D61,0))+parametros_manuales!$E$22*('Plan mensual'!D58+IF(parametros_manuales!$H$22="Todos",'Plan mensual'!D62,0))+parametros_manuales!$F$22*('Plan mensual'!D59+IF(parametros_manuales!$H$22="Todos",'Plan mensual'!D63,0))+parametros_manuales!$G$22*('Plan mensual'!D60+IF(parametros_manuales!$H$22="Todos",'Plan mensual'!D64,0)))*parametros_manuales!$I$22*parametros_manuales!$J$22</f>
        <v>28272.2845426</v>
      </c>
      <c r="C140" s="9" t="n">
        <f aca="false">(parametros_manuales!$D$22*('Plan mensual'!E57+IF(parametros_manuales!$H$22="Todos",'Plan mensual'!E61,0))+parametros_manuales!$E$22*('Plan mensual'!E58+IF(parametros_manuales!$H$22="Todos",'Plan mensual'!E62,0))+parametros_manuales!$F$22*('Plan mensual'!E59+IF(parametros_manuales!$H$22="Todos",'Plan mensual'!E63,0))+parametros_manuales!$G$22*('Plan mensual'!E60+IF(parametros_manuales!$H$22="Todos",'Plan mensual'!E64,0)))*parametros_manuales!$I$22*parametros_manuales!$J$22</f>
        <v>21570.22219724</v>
      </c>
      <c r="D140" s="9" t="n">
        <f aca="false">(parametros_manuales!$D$22*('Plan mensual'!F57+IF(parametros_manuales!$H$22="Todos",'Plan mensual'!F61,0))+parametros_manuales!$E$22*('Plan mensual'!F58+IF(parametros_manuales!$H$22="Todos",'Plan mensual'!F62,0))+parametros_manuales!$F$22*('Plan mensual'!F59+IF(parametros_manuales!$H$22="Todos",'Plan mensual'!F63,0))+parametros_manuales!$G$22*('Plan mensual'!F60+IF(parametros_manuales!$H$22="Todos",'Plan mensual'!F64,0)))*parametros_manuales!$I$22*parametros_manuales!$J$22</f>
        <v>20190.22192613</v>
      </c>
      <c r="E140" s="9" t="n">
        <f aca="false">(parametros_manuales!$D$22*('Plan mensual'!G57+IF(parametros_manuales!$H$22="Todos",'Plan mensual'!G61,0))+parametros_manuales!$E$22*('Plan mensual'!G58+IF(parametros_manuales!$H$22="Todos",'Plan mensual'!G62,0))+parametros_manuales!$F$22*('Plan mensual'!G59+IF(parametros_manuales!$H$22="Todos",'Plan mensual'!G63,0))+parametros_manuales!$G$22*('Plan mensual'!G60+IF(parametros_manuales!$H$22="Todos",'Plan mensual'!G64,0)))*parametros_manuales!$I$22*parametros_manuales!$J$22</f>
        <v>19317.21739543</v>
      </c>
      <c r="F140" s="9" t="n">
        <f aca="false">(parametros_manuales!$D$22*('Plan mensual'!H57+IF(parametros_manuales!$H$22="Todos",'Plan mensual'!H61,0))+parametros_manuales!$E$22*('Plan mensual'!H58+IF(parametros_manuales!$H$22="Todos",'Plan mensual'!H62,0))+parametros_manuales!$F$22*('Plan mensual'!H59+IF(parametros_manuales!$H$22="Todos",'Plan mensual'!H63,0))+parametros_manuales!$G$22*('Plan mensual'!H60+IF(parametros_manuales!$H$22="Todos",'Plan mensual'!H64,0)))*parametros_manuales!$I$22*parametros_manuales!$J$22</f>
        <v>18078.20407444</v>
      </c>
      <c r="G140" s="9" t="n">
        <f aca="false">(parametros_manuales!$D$22*('Plan mensual'!I57+IF(parametros_manuales!$H$22="Todos",'Plan mensual'!I61,0))+parametros_manuales!$E$22*('Plan mensual'!I58+IF(parametros_manuales!$H$22="Todos",'Plan mensual'!I62,0))+parametros_manuales!$F$22*('Plan mensual'!I59+IF(parametros_manuales!$H$22="Todos",'Plan mensual'!I63,0))+parametros_manuales!$G$22*('Plan mensual'!I60+IF(parametros_manuales!$H$22="Todos",'Plan mensual'!I64,0)))*parametros_manuales!$I$22*parametros_manuales!$J$22</f>
        <v>17712.19528415</v>
      </c>
      <c r="H140" s="9" t="n">
        <f aca="false">(parametros_manuales!$D$22*('Plan mensual'!J57+IF(parametros_manuales!$H$22="Todos",'Plan mensual'!J61,0))+parametros_manuales!$E$22*('Plan mensual'!J58+IF(parametros_manuales!$H$22="Todos",'Plan mensual'!J62,0))+parametros_manuales!$F$22*('Plan mensual'!J59+IF(parametros_manuales!$H$22="Todos",'Plan mensual'!J63,0))+parametros_manuales!$G$22*('Plan mensual'!J60+IF(parametros_manuales!$H$22="Todos",'Plan mensual'!J64,0)))*parametros_manuales!$I$22*parametros_manuales!$J$22</f>
        <v>18951.20860514</v>
      </c>
      <c r="I140" s="9" t="n">
        <f aca="false">(parametros_manuales!$D$22*('Plan mensual'!K57+IF(parametros_manuales!$H$22="Todos",'Plan mensual'!K61,0))+parametros_manuales!$E$22*('Plan mensual'!K58+IF(parametros_manuales!$H$22="Todos",'Plan mensual'!K62,0))+parametros_manuales!$F$22*('Plan mensual'!K59+IF(parametros_manuales!$H$22="Todos",'Plan mensual'!K63,0))+parametros_manuales!$G$22*('Plan mensual'!K60+IF(parametros_manuales!$H$22="Todos",'Plan mensual'!K64,0)))*parametros_manuales!$I$22*parametros_manuales!$J$22</f>
        <v>18951.20860514</v>
      </c>
      <c r="J140" s="9" t="n">
        <f aca="false">(parametros_manuales!$D$22*('Plan mensual'!L57+IF(parametros_manuales!$H$22="Todos",'Plan mensual'!L61,0))+parametros_manuales!$E$22*('Plan mensual'!L58+IF(parametros_manuales!$H$22="Todos",'Plan mensual'!L62,0))+parametros_manuales!$F$22*('Plan mensual'!L59+IF(parametros_manuales!$H$22="Todos",'Plan mensual'!L63,0))+parametros_manuales!$G$22*('Plan mensual'!L60+IF(parametros_manuales!$H$22="Todos",'Plan mensual'!L64,0)))*parametros_manuales!$I$22*parametros_manuales!$J$22</f>
        <v>18951.20860514</v>
      </c>
      <c r="K140" s="9" t="n">
        <f aca="false">(parametros_manuales!$D$22*('Plan mensual'!M57+IF(parametros_manuales!$H$22="Todos",'Plan mensual'!M61,0))+parametros_manuales!$E$22*('Plan mensual'!M58+IF(parametros_manuales!$H$22="Todos",'Plan mensual'!M62,0))+parametros_manuales!$F$22*('Plan mensual'!M59+IF(parametros_manuales!$H$22="Todos",'Plan mensual'!M63,0))+parametros_manuales!$G$22*('Plan mensual'!M60+IF(parametros_manuales!$H$22="Todos",'Plan mensual'!M64,0)))*parametros_manuales!$I$22*parametros_manuales!$J$22</f>
        <v>18585.19981485</v>
      </c>
      <c r="L140" s="9" t="n">
        <f aca="false">(parametros_manuales!$D$22*('Plan mensual'!N57+IF(parametros_manuales!$H$22="Todos",'Plan mensual'!N61,0))+parametros_manuales!$E$22*('Plan mensual'!N58+IF(parametros_manuales!$H$22="Todos",'Plan mensual'!N62,0))+parametros_manuales!$F$22*('Plan mensual'!N59+IF(parametros_manuales!$H$22="Todos",'Plan mensual'!N63,0))+parametros_manuales!$G$22*('Plan mensual'!N60+IF(parametros_manuales!$H$22="Todos",'Plan mensual'!N64,0)))*parametros_manuales!$I$22*parametros_manuales!$J$22</f>
        <v>18219.19102456</v>
      </c>
      <c r="M140" s="9" t="n">
        <f aca="false">(parametros_manuales!$D$22*('Plan mensual'!O57+IF(parametros_manuales!$H$22="Todos",'Plan mensual'!O61,0))+parametros_manuales!$E$22*('Plan mensual'!O58+IF(parametros_manuales!$H$22="Todos",'Plan mensual'!O62,0))+parametros_manuales!$F$22*('Plan mensual'!O59+IF(parametros_manuales!$H$22="Todos",'Plan mensual'!O63,0))+parametros_manuales!$G$22*('Plan mensual'!O60+IF(parametros_manuales!$H$22="Todos",'Plan mensual'!O64,0)))*parametros_manuales!$I$22*parametros_manuales!$J$22</f>
        <v>29004.30212318</v>
      </c>
      <c r="N140" s="9" t="n">
        <f aca="false">SUM(B140:M140)</f>
        <v>247802.664198</v>
      </c>
      <c r="O140" s="9" t="n">
        <f aca="false">MAX(B140:M140)</f>
        <v>29004.30212318</v>
      </c>
      <c r="P140" s="43" t="n">
        <f aca="false">O140/(parametros_manuales!$B$7)</f>
        <v>193.362014154533</v>
      </c>
      <c r="Q140" s="8" t="str">
        <f aca="false">IF(O140=0,"-",INDEX($B$136:$M$136,MATCH(O140,B140:M140,0)))</f>
        <v>Dic</v>
      </c>
    </row>
    <row r="141" customFormat="false" ht="14.25" hidden="false" customHeight="true" outlineLevel="0" collapsed="false">
      <c r="A141" s="8" t="str">
        <f aca="false">parametros_manuales!$B$23</f>
        <v>Preparación de cuello</v>
      </c>
      <c r="B141" s="9" t="n">
        <f aca="false">(parametros_manuales!$D$23*('Plan mensual'!D57+IF(parametros_manuales!$H$23="Todos",'Plan mensual'!D61,0))+parametros_manuales!$E$23*('Plan mensual'!D58+IF(parametros_manuales!$H$23="Todos",'Plan mensual'!D62,0))+parametros_manuales!$F$23*('Plan mensual'!D59+IF(parametros_manuales!$H$23="Todos",'Plan mensual'!D63,0))+parametros_manuales!$G$23*('Plan mensual'!D60+IF(parametros_manuales!$H$23="Todos",'Plan mensual'!D64,0)))*parametros_manuales!$I$23*parametros_manuales!$J$23</f>
        <v>14136.1422713</v>
      </c>
      <c r="C141" s="9" t="n">
        <f aca="false">(parametros_manuales!$D$23*('Plan mensual'!E57+IF(parametros_manuales!$H$23="Todos",'Plan mensual'!E61,0))+parametros_manuales!$E$23*('Plan mensual'!E58+IF(parametros_manuales!$H$23="Todos",'Plan mensual'!E62,0))+parametros_manuales!$F$23*('Plan mensual'!E59+IF(parametros_manuales!$H$23="Todos",'Plan mensual'!E63,0))+parametros_manuales!$G$23*('Plan mensual'!E60+IF(parametros_manuales!$H$23="Todos",'Plan mensual'!E64,0)))*parametros_manuales!$I$23*parametros_manuales!$J$23</f>
        <v>10785.11109862</v>
      </c>
      <c r="D141" s="9" t="n">
        <f aca="false">(parametros_manuales!$D$23*('Plan mensual'!F57+IF(parametros_manuales!$H$23="Todos",'Plan mensual'!F61,0))+parametros_manuales!$E$23*('Plan mensual'!F58+IF(parametros_manuales!$H$23="Todos",'Plan mensual'!F62,0))+parametros_manuales!$F$23*('Plan mensual'!F59+IF(parametros_manuales!$H$23="Todos",'Plan mensual'!F63,0))+parametros_manuales!$G$23*('Plan mensual'!F60+IF(parametros_manuales!$H$23="Todos",'Plan mensual'!F64,0)))*parametros_manuales!$I$23*parametros_manuales!$J$23</f>
        <v>10095.110963065</v>
      </c>
      <c r="E141" s="9" t="n">
        <f aca="false">(parametros_manuales!$D$23*('Plan mensual'!G57+IF(parametros_manuales!$H$23="Todos",'Plan mensual'!G61,0))+parametros_manuales!$E$23*('Plan mensual'!G58+IF(parametros_manuales!$H$23="Todos",'Plan mensual'!G62,0))+parametros_manuales!$F$23*('Plan mensual'!G59+IF(parametros_manuales!$H$23="Todos",'Plan mensual'!G63,0))+parametros_manuales!$G$23*('Plan mensual'!G60+IF(parametros_manuales!$H$23="Todos",'Plan mensual'!G64,0)))*parametros_manuales!$I$23*parametros_manuales!$J$23</f>
        <v>9658.608697715</v>
      </c>
      <c r="F141" s="9" t="n">
        <f aca="false">(parametros_manuales!$D$23*('Plan mensual'!H57+IF(parametros_manuales!$H$23="Todos",'Plan mensual'!H61,0))+parametros_manuales!$E$23*('Plan mensual'!H58+IF(parametros_manuales!$H$23="Todos",'Plan mensual'!H62,0))+parametros_manuales!$F$23*('Plan mensual'!H59+IF(parametros_manuales!$H$23="Todos",'Plan mensual'!H63,0))+parametros_manuales!$G$23*('Plan mensual'!H60+IF(parametros_manuales!$H$23="Todos",'Plan mensual'!H64,0)))*parametros_manuales!$I$23*parametros_manuales!$J$23</f>
        <v>9039.10203722</v>
      </c>
      <c r="G141" s="9" t="n">
        <f aca="false">(parametros_manuales!$D$23*('Plan mensual'!I57+IF(parametros_manuales!$H$23="Todos",'Plan mensual'!I61,0))+parametros_manuales!$E$23*('Plan mensual'!I58+IF(parametros_manuales!$H$23="Todos",'Plan mensual'!I62,0))+parametros_manuales!$F$23*('Plan mensual'!I59+IF(parametros_manuales!$H$23="Todos",'Plan mensual'!I63,0))+parametros_manuales!$G$23*('Plan mensual'!I60+IF(parametros_manuales!$H$23="Todos",'Plan mensual'!I64,0)))*parametros_manuales!$I$23*parametros_manuales!$J$23</f>
        <v>8856.097642075</v>
      </c>
      <c r="H141" s="9" t="n">
        <f aca="false">(parametros_manuales!$D$23*('Plan mensual'!J57+IF(parametros_manuales!$H$23="Todos",'Plan mensual'!J61,0))+parametros_manuales!$E$23*('Plan mensual'!J58+IF(parametros_manuales!$H$23="Todos",'Plan mensual'!J62,0))+parametros_manuales!$F$23*('Plan mensual'!J59+IF(parametros_manuales!$H$23="Todos",'Plan mensual'!J63,0))+parametros_manuales!$G$23*('Plan mensual'!J60+IF(parametros_manuales!$H$23="Todos",'Plan mensual'!J64,0)))*parametros_manuales!$I$23*parametros_manuales!$J$23</f>
        <v>9475.60430257</v>
      </c>
      <c r="I141" s="9" t="n">
        <f aca="false">(parametros_manuales!$D$23*('Plan mensual'!K57+IF(parametros_manuales!$H$23="Todos",'Plan mensual'!K61,0))+parametros_manuales!$E$23*('Plan mensual'!K58+IF(parametros_manuales!$H$23="Todos",'Plan mensual'!K62,0))+parametros_manuales!$F$23*('Plan mensual'!K59+IF(parametros_manuales!$H$23="Todos",'Plan mensual'!K63,0))+parametros_manuales!$G$23*('Plan mensual'!K60+IF(parametros_manuales!$H$23="Todos",'Plan mensual'!K64,0)))*parametros_manuales!$I$23*parametros_manuales!$J$23</f>
        <v>9475.60430257</v>
      </c>
      <c r="J141" s="9" t="n">
        <f aca="false">(parametros_manuales!$D$23*('Plan mensual'!L57+IF(parametros_manuales!$H$23="Todos",'Plan mensual'!L61,0))+parametros_manuales!$E$23*('Plan mensual'!L58+IF(parametros_manuales!$H$23="Todos",'Plan mensual'!L62,0))+parametros_manuales!$F$23*('Plan mensual'!L59+IF(parametros_manuales!$H$23="Todos",'Plan mensual'!L63,0))+parametros_manuales!$G$23*('Plan mensual'!L60+IF(parametros_manuales!$H$23="Todos",'Plan mensual'!L64,0)))*parametros_manuales!$I$23*parametros_manuales!$J$23</f>
        <v>9475.60430257</v>
      </c>
      <c r="K141" s="9" t="n">
        <f aca="false">(parametros_manuales!$D$23*('Plan mensual'!M57+IF(parametros_manuales!$H$23="Todos",'Plan mensual'!M61,0))+parametros_manuales!$E$23*('Plan mensual'!M58+IF(parametros_manuales!$H$23="Todos",'Plan mensual'!M62,0))+parametros_manuales!$F$23*('Plan mensual'!M59+IF(parametros_manuales!$H$23="Todos",'Plan mensual'!M63,0))+parametros_manuales!$G$23*('Plan mensual'!M60+IF(parametros_manuales!$H$23="Todos",'Plan mensual'!M64,0)))*parametros_manuales!$I$23*parametros_manuales!$J$23</f>
        <v>9292.599907425</v>
      </c>
      <c r="L141" s="9" t="n">
        <f aca="false">(parametros_manuales!$D$23*('Plan mensual'!N57+IF(parametros_manuales!$H$23="Todos",'Plan mensual'!N61,0))+parametros_manuales!$E$23*('Plan mensual'!N58+IF(parametros_manuales!$H$23="Todos",'Plan mensual'!N62,0))+parametros_manuales!$F$23*('Plan mensual'!N59+IF(parametros_manuales!$H$23="Todos",'Plan mensual'!N63,0))+parametros_manuales!$G$23*('Plan mensual'!N60+IF(parametros_manuales!$H$23="Todos",'Plan mensual'!N64,0)))*parametros_manuales!$I$23*parametros_manuales!$J$23</f>
        <v>9109.59551228</v>
      </c>
      <c r="M141" s="9" t="n">
        <f aca="false">(parametros_manuales!$D$23*('Plan mensual'!O57+IF(parametros_manuales!$H$23="Todos",'Plan mensual'!O61,0))+parametros_manuales!$E$23*('Plan mensual'!O58+IF(parametros_manuales!$H$23="Todos",'Plan mensual'!O62,0))+parametros_manuales!$F$23*('Plan mensual'!O59+IF(parametros_manuales!$H$23="Todos",'Plan mensual'!O63,0))+parametros_manuales!$G$23*('Plan mensual'!O60+IF(parametros_manuales!$H$23="Todos",'Plan mensual'!O64,0)))*parametros_manuales!$I$23*parametros_manuales!$J$23</f>
        <v>14502.15106159</v>
      </c>
      <c r="N141" s="9" t="n">
        <f aca="false">SUM(B141:M141)</f>
        <v>123901.332099</v>
      </c>
      <c r="O141" s="9" t="n">
        <f aca="false">MAX(B141:M141)</f>
        <v>14502.15106159</v>
      </c>
      <c r="P141" s="43" t="n">
        <f aca="false">O141/(parametros_manuales!$B$7)</f>
        <v>96.6810070772667</v>
      </c>
      <c r="Q141" s="8" t="str">
        <f aca="false">IF(O141=0,"-",INDEX($B$136:$M$136,MATCH(O141,B141:M141,0)))</f>
        <v>Dic</v>
      </c>
    </row>
    <row r="142" customFormat="false" ht="14.25" hidden="false" customHeight="true" outlineLevel="0" collapsed="false">
      <c r="A142" s="8" t="str">
        <f aca="false">parametros_manuales!$B$24</f>
        <v>Numerado de cúpula</v>
      </c>
      <c r="B142" s="9" t="n">
        <f aca="false">(parametros_manuales!$D$24*('Plan mensual'!D57+IF(parametros_manuales!$H$24="Todos",'Plan mensual'!D61,0))+parametros_manuales!$E$24*('Plan mensual'!D58+IF(parametros_manuales!$H$24="Todos",'Plan mensual'!D62,0))+parametros_manuales!$F$24*('Plan mensual'!D59+IF(parametros_manuales!$H$24="Todos",'Plan mensual'!D63,0))+parametros_manuales!$G$24*('Plan mensual'!D60+IF(parametros_manuales!$H$24="Todos",'Plan mensual'!D64,0)))*parametros_manuales!$I$24*parametros_manuales!$J$24</f>
        <v>14136.1422713</v>
      </c>
      <c r="C142" s="9" t="n">
        <f aca="false">(parametros_manuales!$D$24*('Plan mensual'!E57+IF(parametros_manuales!$H$24="Todos",'Plan mensual'!E61,0))+parametros_manuales!$E$24*('Plan mensual'!E58+IF(parametros_manuales!$H$24="Todos",'Plan mensual'!E62,0))+parametros_manuales!$F$24*('Plan mensual'!E59+IF(parametros_manuales!$H$24="Todos",'Plan mensual'!E63,0))+parametros_manuales!$G$24*('Plan mensual'!E60+IF(parametros_manuales!$H$24="Todos",'Plan mensual'!E64,0)))*parametros_manuales!$I$24*parametros_manuales!$J$24</f>
        <v>10785.11109862</v>
      </c>
      <c r="D142" s="9" t="n">
        <f aca="false">(parametros_manuales!$D$24*('Plan mensual'!F57+IF(parametros_manuales!$H$24="Todos",'Plan mensual'!F61,0))+parametros_manuales!$E$24*('Plan mensual'!F58+IF(parametros_manuales!$H$24="Todos",'Plan mensual'!F62,0))+parametros_manuales!$F$24*('Plan mensual'!F59+IF(parametros_manuales!$H$24="Todos",'Plan mensual'!F63,0))+parametros_manuales!$G$24*('Plan mensual'!F60+IF(parametros_manuales!$H$24="Todos",'Plan mensual'!F64,0)))*parametros_manuales!$I$24*parametros_manuales!$J$24</f>
        <v>10095.110963065</v>
      </c>
      <c r="E142" s="9" t="n">
        <f aca="false">(parametros_manuales!$D$24*('Plan mensual'!G57+IF(parametros_manuales!$H$24="Todos",'Plan mensual'!G61,0))+parametros_manuales!$E$24*('Plan mensual'!G58+IF(parametros_manuales!$H$24="Todos",'Plan mensual'!G62,0))+parametros_manuales!$F$24*('Plan mensual'!G59+IF(parametros_manuales!$H$24="Todos",'Plan mensual'!G63,0))+parametros_manuales!$G$24*('Plan mensual'!G60+IF(parametros_manuales!$H$24="Todos",'Plan mensual'!G64,0)))*parametros_manuales!$I$24*parametros_manuales!$J$24</f>
        <v>9658.608697715</v>
      </c>
      <c r="F142" s="9" t="n">
        <f aca="false">(parametros_manuales!$D$24*('Plan mensual'!H57+IF(parametros_manuales!$H$24="Todos",'Plan mensual'!H61,0))+parametros_manuales!$E$24*('Plan mensual'!H58+IF(parametros_manuales!$H$24="Todos",'Plan mensual'!H62,0))+parametros_manuales!$F$24*('Plan mensual'!H59+IF(parametros_manuales!$H$24="Todos",'Plan mensual'!H63,0))+parametros_manuales!$G$24*('Plan mensual'!H60+IF(parametros_manuales!$H$24="Todos",'Plan mensual'!H64,0)))*parametros_manuales!$I$24*parametros_manuales!$J$24</f>
        <v>9039.10203722</v>
      </c>
      <c r="G142" s="9" t="n">
        <f aca="false">(parametros_manuales!$D$24*('Plan mensual'!I57+IF(parametros_manuales!$H$24="Todos",'Plan mensual'!I61,0))+parametros_manuales!$E$24*('Plan mensual'!I58+IF(parametros_manuales!$H$24="Todos",'Plan mensual'!I62,0))+parametros_manuales!$F$24*('Plan mensual'!I59+IF(parametros_manuales!$H$24="Todos",'Plan mensual'!I63,0))+parametros_manuales!$G$24*('Plan mensual'!I60+IF(parametros_manuales!$H$24="Todos",'Plan mensual'!I64,0)))*parametros_manuales!$I$24*parametros_manuales!$J$24</f>
        <v>8856.097642075</v>
      </c>
      <c r="H142" s="9" t="n">
        <f aca="false">(parametros_manuales!$D$24*('Plan mensual'!J57+IF(parametros_manuales!$H$24="Todos",'Plan mensual'!J61,0))+parametros_manuales!$E$24*('Plan mensual'!J58+IF(parametros_manuales!$H$24="Todos",'Plan mensual'!J62,0))+parametros_manuales!$F$24*('Plan mensual'!J59+IF(parametros_manuales!$H$24="Todos",'Plan mensual'!J63,0))+parametros_manuales!$G$24*('Plan mensual'!J60+IF(parametros_manuales!$H$24="Todos",'Plan mensual'!J64,0)))*parametros_manuales!$I$24*parametros_manuales!$J$24</f>
        <v>9475.60430257</v>
      </c>
      <c r="I142" s="9" t="n">
        <f aca="false">(parametros_manuales!$D$24*('Plan mensual'!K57+IF(parametros_manuales!$H$24="Todos",'Plan mensual'!K61,0))+parametros_manuales!$E$24*('Plan mensual'!K58+IF(parametros_manuales!$H$24="Todos",'Plan mensual'!K62,0))+parametros_manuales!$F$24*('Plan mensual'!K59+IF(parametros_manuales!$H$24="Todos",'Plan mensual'!K63,0))+parametros_manuales!$G$24*('Plan mensual'!K60+IF(parametros_manuales!$H$24="Todos",'Plan mensual'!K64,0)))*parametros_manuales!$I$24*parametros_manuales!$J$24</f>
        <v>9475.60430257</v>
      </c>
      <c r="J142" s="9" t="n">
        <f aca="false">(parametros_manuales!$D$24*('Plan mensual'!L57+IF(parametros_manuales!$H$24="Todos",'Plan mensual'!L61,0))+parametros_manuales!$E$24*('Plan mensual'!L58+IF(parametros_manuales!$H$24="Todos",'Plan mensual'!L62,0))+parametros_manuales!$F$24*('Plan mensual'!L59+IF(parametros_manuales!$H$24="Todos",'Plan mensual'!L63,0))+parametros_manuales!$G$24*('Plan mensual'!L60+IF(parametros_manuales!$H$24="Todos",'Plan mensual'!L64,0)))*parametros_manuales!$I$24*parametros_manuales!$J$24</f>
        <v>9475.60430257</v>
      </c>
      <c r="K142" s="9" t="n">
        <f aca="false">(parametros_manuales!$D$24*('Plan mensual'!M57+IF(parametros_manuales!$H$24="Todos",'Plan mensual'!M61,0))+parametros_manuales!$E$24*('Plan mensual'!M58+IF(parametros_manuales!$H$24="Todos",'Plan mensual'!M62,0))+parametros_manuales!$F$24*('Plan mensual'!M59+IF(parametros_manuales!$H$24="Todos",'Plan mensual'!M63,0))+parametros_manuales!$G$24*('Plan mensual'!M60+IF(parametros_manuales!$H$24="Todos",'Plan mensual'!M64,0)))*parametros_manuales!$I$24*parametros_manuales!$J$24</f>
        <v>9292.599907425</v>
      </c>
      <c r="L142" s="9" t="n">
        <f aca="false">(parametros_manuales!$D$24*('Plan mensual'!N57+IF(parametros_manuales!$H$24="Todos",'Plan mensual'!N61,0))+parametros_manuales!$E$24*('Plan mensual'!N58+IF(parametros_manuales!$H$24="Todos",'Plan mensual'!N62,0))+parametros_manuales!$F$24*('Plan mensual'!N59+IF(parametros_manuales!$H$24="Todos",'Plan mensual'!N63,0))+parametros_manuales!$G$24*('Plan mensual'!N60+IF(parametros_manuales!$H$24="Todos",'Plan mensual'!N64,0)))*parametros_manuales!$I$24*parametros_manuales!$J$24</f>
        <v>9109.59551228</v>
      </c>
      <c r="M142" s="9" t="n">
        <f aca="false">(parametros_manuales!$D$24*('Plan mensual'!O57+IF(parametros_manuales!$H$24="Todos",'Plan mensual'!O61,0))+parametros_manuales!$E$24*('Plan mensual'!O58+IF(parametros_manuales!$H$24="Todos",'Plan mensual'!O62,0))+parametros_manuales!$F$24*('Plan mensual'!O59+IF(parametros_manuales!$H$24="Todos",'Plan mensual'!O63,0))+parametros_manuales!$G$24*('Plan mensual'!O60+IF(parametros_manuales!$H$24="Todos",'Plan mensual'!O64,0)))*parametros_manuales!$I$24*parametros_manuales!$J$24</f>
        <v>14502.15106159</v>
      </c>
      <c r="N142" s="9" t="n">
        <f aca="false">SUM(B142:M142)</f>
        <v>123901.332099</v>
      </c>
      <c r="O142" s="9" t="n">
        <f aca="false">MAX(B142:M142)</f>
        <v>14502.15106159</v>
      </c>
      <c r="P142" s="43" t="n">
        <f aca="false">O142/(parametros_manuales!$B$7)</f>
        <v>96.6810070772667</v>
      </c>
      <c r="Q142" s="8" t="str">
        <f aca="false">IF(O142=0,"-",INDEX($B$136:$M$136,MATCH(O142,B142:M142,0)))</f>
        <v>Dic</v>
      </c>
    </row>
    <row r="143" customFormat="false" ht="14.25" hidden="false" customHeight="true" outlineLevel="0" collapsed="false">
      <c r="A143" s="8" t="str">
        <f aca="false">parametros_manuales!$B$25</f>
        <v>Soldadura del cuello a la cúpula</v>
      </c>
      <c r="B143" s="9" t="n">
        <f aca="false">(parametros_manuales!$D$25*('Plan mensual'!D57+IF(parametros_manuales!$H$25="Todos",'Plan mensual'!D61,0))+parametros_manuales!$E$25*('Plan mensual'!D58+IF(parametros_manuales!$H$25="Todos",'Plan mensual'!D62,0))+parametros_manuales!$F$25*('Plan mensual'!D59+IF(parametros_manuales!$H$25="Todos",'Plan mensual'!D63,0))+parametros_manuales!$G$25*('Plan mensual'!D60+IF(parametros_manuales!$H$25="Todos",'Plan mensual'!D64,0)))*parametros_manuales!$I$25*parametros_manuales!$J$25</f>
        <v>14136.1422713</v>
      </c>
      <c r="C143" s="9" t="n">
        <f aca="false">(parametros_manuales!$D$25*('Plan mensual'!E57+IF(parametros_manuales!$H$25="Todos",'Plan mensual'!E61,0))+parametros_manuales!$E$25*('Plan mensual'!E58+IF(parametros_manuales!$H$25="Todos",'Plan mensual'!E62,0))+parametros_manuales!$F$25*('Plan mensual'!E59+IF(parametros_manuales!$H$25="Todos",'Plan mensual'!E63,0))+parametros_manuales!$G$25*('Plan mensual'!E60+IF(parametros_manuales!$H$25="Todos",'Plan mensual'!E64,0)))*parametros_manuales!$I$25*parametros_manuales!$J$25</f>
        <v>10785.11109862</v>
      </c>
      <c r="D143" s="9" t="n">
        <f aca="false">(parametros_manuales!$D$25*('Plan mensual'!F57+IF(parametros_manuales!$H$25="Todos",'Plan mensual'!F61,0))+parametros_manuales!$E$25*('Plan mensual'!F58+IF(parametros_manuales!$H$25="Todos",'Plan mensual'!F62,0))+parametros_manuales!$F$25*('Plan mensual'!F59+IF(parametros_manuales!$H$25="Todos",'Plan mensual'!F63,0))+parametros_manuales!$G$25*('Plan mensual'!F60+IF(parametros_manuales!$H$25="Todos",'Plan mensual'!F64,0)))*parametros_manuales!$I$25*parametros_manuales!$J$25</f>
        <v>10095.110963065</v>
      </c>
      <c r="E143" s="9" t="n">
        <f aca="false">(parametros_manuales!$D$25*('Plan mensual'!G57+IF(parametros_manuales!$H$25="Todos",'Plan mensual'!G61,0))+parametros_manuales!$E$25*('Plan mensual'!G58+IF(parametros_manuales!$H$25="Todos",'Plan mensual'!G62,0))+parametros_manuales!$F$25*('Plan mensual'!G59+IF(parametros_manuales!$H$25="Todos",'Plan mensual'!G63,0))+parametros_manuales!$G$25*('Plan mensual'!G60+IF(parametros_manuales!$H$25="Todos",'Plan mensual'!G64,0)))*parametros_manuales!$I$25*parametros_manuales!$J$25</f>
        <v>9658.608697715</v>
      </c>
      <c r="F143" s="9" t="n">
        <f aca="false">(parametros_manuales!$D$25*('Plan mensual'!H57+IF(parametros_manuales!$H$25="Todos",'Plan mensual'!H61,0))+parametros_manuales!$E$25*('Plan mensual'!H58+IF(parametros_manuales!$H$25="Todos",'Plan mensual'!H62,0))+parametros_manuales!$F$25*('Plan mensual'!H59+IF(parametros_manuales!$H$25="Todos",'Plan mensual'!H63,0))+parametros_manuales!$G$25*('Plan mensual'!H60+IF(parametros_manuales!$H$25="Todos",'Plan mensual'!H64,0)))*parametros_manuales!$I$25*parametros_manuales!$J$25</f>
        <v>9039.10203722</v>
      </c>
      <c r="G143" s="9" t="n">
        <f aca="false">(parametros_manuales!$D$25*('Plan mensual'!I57+IF(parametros_manuales!$H$25="Todos",'Plan mensual'!I61,0))+parametros_manuales!$E$25*('Plan mensual'!I58+IF(parametros_manuales!$H$25="Todos",'Plan mensual'!I62,0))+parametros_manuales!$F$25*('Plan mensual'!I59+IF(parametros_manuales!$H$25="Todos",'Plan mensual'!I63,0))+parametros_manuales!$G$25*('Plan mensual'!I60+IF(parametros_manuales!$H$25="Todos",'Plan mensual'!I64,0)))*parametros_manuales!$I$25*parametros_manuales!$J$25</f>
        <v>8856.097642075</v>
      </c>
      <c r="H143" s="9" t="n">
        <f aca="false">(parametros_manuales!$D$25*('Plan mensual'!J57+IF(parametros_manuales!$H$25="Todos",'Plan mensual'!J61,0))+parametros_manuales!$E$25*('Plan mensual'!J58+IF(parametros_manuales!$H$25="Todos",'Plan mensual'!J62,0))+parametros_manuales!$F$25*('Plan mensual'!J59+IF(parametros_manuales!$H$25="Todos",'Plan mensual'!J63,0))+parametros_manuales!$G$25*('Plan mensual'!J60+IF(parametros_manuales!$H$25="Todos",'Plan mensual'!J64,0)))*parametros_manuales!$I$25*parametros_manuales!$J$25</f>
        <v>9475.60430257</v>
      </c>
      <c r="I143" s="9" t="n">
        <f aca="false">(parametros_manuales!$D$25*('Plan mensual'!K57+IF(parametros_manuales!$H$25="Todos",'Plan mensual'!K61,0))+parametros_manuales!$E$25*('Plan mensual'!K58+IF(parametros_manuales!$H$25="Todos",'Plan mensual'!K62,0))+parametros_manuales!$F$25*('Plan mensual'!K59+IF(parametros_manuales!$H$25="Todos",'Plan mensual'!K63,0))+parametros_manuales!$G$25*('Plan mensual'!K60+IF(parametros_manuales!$H$25="Todos",'Plan mensual'!K64,0)))*parametros_manuales!$I$25*parametros_manuales!$J$25</f>
        <v>9475.60430257</v>
      </c>
      <c r="J143" s="9" t="n">
        <f aca="false">(parametros_manuales!$D$25*('Plan mensual'!L57+IF(parametros_manuales!$H$25="Todos",'Plan mensual'!L61,0))+parametros_manuales!$E$25*('Plan mensual'!L58+IF(parametros_manuales!$H$25="Todos",'Plan mensual'!L62,0))+parametros_manuales!$F$25*('Plan mensual'!L59+IF(parametros_manuales!$H$25="Todos",'Plan mensual'!L63,0))+parametros_manuales!$G$25*('Plan mensual'!L60+IF(parametros_manuales!$H$25="Todos",'Plan mensual'!L64,0)))*parametros_manuales!$I$25*parametros_manuales!$J$25</f>
        <v>9475.60430257</v>
      </c>
      <c r="K143" s="9" t="n">
        <f aca="false">(parametros_manuales!$D$25*('Plan mensual'!M57+IF(parametros_manuales!$H$25="Todos",'Plan mensual'!M61,0))+parametros_manuales!$E$25*('Plan mensual'!M58+IF(parametros_manuales!$H$25="Todos",'Plan mensual'!M62,0))+parametros_manuales!$F$25*('Plan mensual'!M59+IF(parametros_manuales!$H$25="Todos",'Plan mensual'!M63,0))+parametros_manuales!$G$25*('Plan mensual'!M60+IF(parametros_manuales!$H$25="Todos",'Plan mensual'!M64,0)))*parametros_manuales!$I$25*parametros_manuales!$J$25</f>
        <v>9292.599907425</v>
      </c>
      <c r="L143" s="9" t="n">
        <f aca="false">(parametros_manuales!$D$25*('Plan mensual'!N57+IF(parametros_manuales!$H$25="Todos",'Plan mensual'!N61,0))+parametros_manuales!$E$25*('Plan mensual'!N58+IF(parametros_manuales!$H$25="Todos",'Plan mensual'!N62,0))+parametros_manuales!$F$25*('Plan mensual'!N59+IF(parametros_manuales!$H$25="Todos",'Plan mensual'!N63,0))+parametros_manuales!$G$25*('Plan mensual'!N60+IF(parametros_manuales!$H$25="Todos",'Plan mensual'!N64,0)))*parametros_manuales!$I$25*parametros_manuales!$J$25</f>
        <v>9109.59551228</v>
      </c>
      <c r="M143" s="9" t="n">
        <f aca="false">(parametros_manuales!$D$25*('Plan mensual'!O57+IF(parametros_manuales!$H$25="Todos",'Plan mensual'!O61,0))+parametros_manuales!$E$25*('Plan mensual'!O58+IF(parametros_manuales!$H$25="Todos",'Plan mensual'!O62,0))+parametros_manuales!$F$25*('Plan mensual'!O59+IF(parametros_manuales!$H$25="Todos",'Plan mensual'!O63,0))+parametros_manuales!$G$25*('Plan mensual'!O60+IF(parametros_manuales!$H$25="Todos",'Plan mensual'!O64,0)))*parametros_manuales!$I$25*parametros_manuales!$J$25</f>
        <v>14502.15106159</v>
      </c>
      <c r="N143" s="9" t="n">
        <f aca="false">SUM(B143:M143)</f>
        <v>123901.332099</v>
      </c>
      <c r="O143" s="9" t="n">
        <f aca="false">MAX(B143:M143)</f>
        <v>14502.15106159</v>
      </c>
      <c r="P143" s="43" t="n">
        <f aca="false">O143/(parametros_manuales!$B$7)</f>
        <v>96.6810070772667</v>
      </c>
      <c r="Q143" s="8" t="str">
        <f aca="false">IF(O143=0,"-",INDEX($B$136:$M$136,MATCH(O143,B143:M143,0)))</f>
        <v>Dic</v>
      </c>
    </row>
    <row r="144" customFormat="false" ht="14.25" hidden="false" customHeight="true" outlineLevel="0" collapsed="false">
      <c r="A144" s="8" t="str">
        <f aca="false">parametros_manuales!$B$26</f>
        <v>Cilindrado</v>
      </c>
      <c r="B144" s="9" t="n">
        <f aca="false">(parametros_manuales!$D$26*('Plan mensual'!D57+IF(parametros_manuales!$H$26="Todos",'Plan mensual'!D61,0))+parametros_manuales!$E$26*('Plan mensual'!D58+IF(parametros_manuales!$H$26="Todos",'Plan mensual'!D62,0))+parametros_manuales!$F$26*('Plan mensual'!D59+IF(parametros_manuales!$H$26="Todos",'Plan mensual'!D63,0))+parametros_manuales!$G$26*('Plan mensual'!D60+IF(parametros_manuales!$H$26="Todos",'Plan mensual'!D64,0)))*parametros_manuales!$I$26*parametros_manuales!$J$26</f>
        <v>3660.0879029</v>
      </c>
      <c r="C144" s="9" t="n">
        <f aca="false">(parametros_manuales!$D$26*('Plan mensual'!E57+IF(parametros_manuales!$H$26="Todos",'Plan mensual'!E61,0))+parametros_manuales!$E$26*('Plan mensual'!E58+IF(parametros_manuales!$H$26="Todos",'Plan mensual'!E62,0))+parametros_manuales!$F$26*('Plan mensual'!E59+IF(parametros_manuales!$H$26="Todos",'Plan mensual'!E63,0))+parametros_manuales!$G$26*('Plan mensual'!E60+IF(parametros_manuales!$H$26="Todos",'Plan mensual'!E64,0)))*parametros_manuales!$I$26*parametros_manuales!$J$26</f>
        <v>2928.07032232</v>
      </c>
      <c r="D144" s="9" t="n">
        <f aca="false">(parametros_manuales!$D$26*('Plan mensual'!F57+IF(parametros_manuales!$H$26="Todos",'Plan mensual'!F61,0))+parametros_manuales!$E$26*('Plan mensual'!F58+IF(parametros_manuales!$H$26="Todos",'Plan mensual'!F62,0))+parametros_manuales!$F$26*('Plan mensual'!F59+IF(parametros_manuales!$H$26="Todos",'Plan mensual'!F63,0))+parametros_manuales!$G$26*('Plan mensual'!F60+IF(parametros_manuales!$H$26="Todos",'Plan mensual'!F64,0)))*parametros_manuales!$I$26*parametros_manuales!$J$26</f>
        <v>3111.074717465</v>
      </c>
      <c r="E144" s="9" t="n">
        <f aca="false">(parametros_manuales!$D$26*('Plan mensual'!G57+IF(parametros_manuales!$H$26="Todos",'Plan mensual'!G61,0))+parametros_manuales!$E$26*('Plan mensual'!G58+IF(parametros_manuales!$H$26="Todos",'Plan mensual'!G62,0))+parametros_manuales!$F$26*('Plan mensual'!G59+IF(parametros_manuales!$H$26="Todos",'Plan mensual'!G63,0))+parametros_manuales!$G$26*('Plan mensual'!G60+IF(parametros_manuales!$H$26="Todos",'Plan mensual'!G64,0)))*parametros_manuales!$I$26*parametros_manuales!$J$26</f>
        <v>3111.074717465</v>
      </c>
      <c r="F144" s="9" t="n">
        <f aca="false">(parametros_manuales!$D$26*('Plan mensual'!H57+IF(parametros_manuales!$H$26="Todos",'Plan mensual'!H61,0))+parametros_manuales!$E$26*('Plan mensual'!H58+IF(parametros_manuales!$H$26="Todos",'Plan mensual'!H62,0))+parametros_manuales!$F$26*('Plan mensual'!H59+IF(parametros_manuales!$H$26="Todos",'Plan mensual'!H63,0))+parametros_manuales!$G$26*('Plan mensual'!H60+IF(parametros_manuales!$H$26="Todos",'Plan mensual'!H64,0)))*parametros_manuales!$I$26*parametros_manuales!$J$26</f>
        <v>2928.07032232</v>
      </c>
      <c r="G144" s="9" t="n">
        <f aca="false">(parametros_manuales!$D$26*('Plan mensual'!I57+IF(parametros_manuales!$H$26="Todos",'Plan mensual'!I61,0))+parametros_manuales!$E$26*('Plan mensual'!I58+IF(parametros_manuales!$H$26="Todos",'Plan mensual'!I62,0))+parametros_manuales!$F$26*('Plan mensual'!I59+IF(parametros_manuales!$H$26="Todos",'Plan mensual'!I63,0))+parametros_manuales!$G$26*('Plan mensual'!I60+IF(parametros_manuales!$H$26="Todos",'Plan mensual'!I64,0)))*parametros_manuales!$I$26*parametros_manuales!$J$26</f>
        <v>2745.065927175</v>
      </c>
      <c r="H144" s="9" t="n">
        <f aca="false">(parametros_manuales!$D$26*('Plan mensual'!J57+IF(parametros_manuales!$H$26="Todos",'Plan mensual'!J61,0))+parametros_manuales!$E$26*('Plan mensual'!J58+IF(parametros_manuales!$H$26="Todos",'Plan mensual'!J62,0))+parametros_manuales!$F$26*('Plan mensual'!J59+IF(parametros_manuales!$H$26="Todos",'Plan mensual'!J63,0))+parametros_manuales!$G$26*('Plan mensual'!J60+IF(parametros_manuales!$H$26="Todos",'Plan mensual'!J64,0)))*parametros_manuales!$I$26*parametros_manuales!$J$26</f>
        <v>2928.07032232</v>
      </c>
      <c r="I144" s="9" t="n">
        <f aca="false">(parametros_manuales!$D$26*('Plan mensual'!K57+IF(parametros_manuales!$H$26="Todos",'Plan mensual'!K61,0))+parametros_manuales!$E$26*('Plan mensual'!K58+IF(parametros_manuales!$H$26="Todos",'Plan mensual'!K62,0))+parametros_manuales!$F$26*('Plan mensual'!K59+IF(parametros_manuales!$H$26="Todos",'Plan mensual'!K63,0))+parametros_manuales!$G$26*('Plan mensual'!K60+IF(parametros_manuales!$H$26="Todos",'Plan mensual'!K64,0)))*parametros_manuales!$I$26*parametros_manuales!$J$26</f>
        <v>2928.07032232</v>
      </c>
      <c r="J144" s="9" t="n">
        <f aca="false">(parametros_manuales!$D$26*('Plan mensual'!L57+IF(parametros_manuales!$H$26="Todos",'Plan mensual'!L61,0))+parametros_manuales!$E$26*('Plan mensual'!L58+IF(parametros_manuales!$H$26="Todos",'Plan mensual'!L62,0))+parametros_manuales!$F$26*('Plan mensual'!L59+IF(parametros_manuales!$H$26="Todos",'Plan mensual'!L63,0))+parametros_manuales!$G$26*('Plan mensual'!L60+IF(parametros_manuales!$H$26="Todos",'Plan mensual'!L64,0)))*parametros_manuales!$I$26*parametros_manuales!$J$26</f>
        <v>2928.07032232</v>
      </c>
      <c r="K144" s="9" t="n">
        <f aca="false">(parametros_manuales!$D$26*('Plan mensual'!M57+IF(parametros_manuales!$H$26="Todos",'Plan mensual'!M61,0))+parametros_manuales!$E$26*('Plan mensual'!M58+IF(parametros_manuales!$H$26="Todos",'Plan mensual'!M62,0))+parametros_manuales!$F$26*('Plan mensual'!M59+IF(parametros_manuales!$H$26="Todos",'Plan mensual'!M63,0))+parametros_manuales!$G$26*('Plan mensual'!M60+IF(parametros_manuales!$H$26="Todos",'Plan mensual'!M64,0)))*parametros_manuales!$I$26*parametros_manuales!$J$26</f>
        <v>2745.065927175</v>
      </c>
      <c r="L144" s="9" t="n">
        <f aca="false">(parametros_manuales!$D$26*('Plan mensual'!N57+IF(parametros_manuales!$H$26="Todos",'Plan mensual'!N61,0))+parametros_manuales!$E$26*('Plan mensual'!N58+IF(parametros_manuales!$H$26="Todos",'Plan mensual'!N62,0))+parametros_manuales!$F$26*('Plan mensual'!N59+IF(parametros_manuales!$H$26="Todos",'Plan mensual'!N63,0))+parametros_manuales!$G$26*('Plan mensual'!N60+IF(parametros_manuales!$H$26="Todos",'Plan mensual'!N64,0)))*parametros_manuales!$I$26*parametros_manuales!$J$26</f>
        <v>2562.06153203</v>
      </c>
      <c r="M144" s="9" t="n">
        <f aca="false">(parametros_manuales!$D$26*('Plan mensual'!O57+IF(parametros_manuales!$H$26="Todos",'Plan mensual'!O61,0))+parametros_manuales!$E$26*('Plan mensual'!O58+IF(parametros_manuales!$H$26="Todos",'Plan mensual'!O62,0))+parametros_manuales!$F$26*('Plan mensual'!O59+IF(parametros_manuales!$H$26="Todos",'Plan mensual'!O63,0))+parametros_manuales!$G$26*('Plan mensual'!O60+IF(parametros_manuales!$H$26="Todos",'Plan mensual'!O64,0)))*parametros_manuales!$I$26*parametros_manuales!$J$26</f>
        <v>4026.09669319</v>
      </c>
      <c r="N144" s="9" t="n">
        <f aca="false">SUM(B144:M144)</f>
        <v>36600.879029</v>
      </c>
      <c r="O144" s="9" t="n">
        <f aca="false">MAX(B144:M144)</f>
        <v>4026.09669319</v>
      </c>
      <c r="P144" s="43" t="n">
        <f aca="false">O144/(parametros_manuales!$B$7)</f>
        <v>26.8406446212667</v>
      </c>
      <c r="Q144" s="8" t="str">
        <f aca="false">IF(O144=0,"-",INDEX($B$136:$M$136,MATCH(O144,B144:M144,0)))</f>
        <v>Dic</v>
      </c>
    </row>
    <row r="145" customFormat="false" ht="14.25" hidden="false" customHeight="true" outlineLevel="0" collapsed="false">
      <c r="A145" s="8" t="str">
        <f aca="false">parametros_manuales!$B$27</f>
        <v>Soldadura longitudinal</v>
      </c>
      <c r="B145" s="9" t="n">
        <f aca="false">(parametros_manuales!$D$27*('Plan mensual'!D57+IF(parametros_manuales!$H$27="Todos",'Plan mensual'!D61,0))+parametros_manuales!$E$27*('Plan mensual'!D58+IF(parametros_manuales!$H$27="Todos",'Plan mensual'!D62,0))+parametros_manuales!$F$27*('Plan mensual'!D59+IF(parametros_manuales!$H$27="Todos",'Plan mensual'!D63,0))+parametros_manuales!$G$27*('Plan mensual'!D60+IF(parametros_manuales!$H$27="Todos",'Plan mensual'!D64,0)))*parametros_manuales!$I$27*parametros_manuales!$J$27</f>
        <v>3660.0879029</v>
      </c>
      <c r="C145" s="9" t="n">
        <f aca="false">(parametros_manuales!$D$27*('Plan mensual'!E57+IF(parametros_manuales!$H$27="Todos",'Plan mensual'!E61,0))+parametros_manuales!$E$27*('Plan mensual'!E58+IF(parametros_manuales!$H$27="Todos",'Plan mensual'!E62,0))+parametros_manuales!$F$27*('Plan mensual'!E59+IF(parametros_manuales!$H$27="Todos",'Plan mensual'!E63,0))+parametros_manuales!$G$27*('Plan mensual'!E60+IF(parametros_manuales!$H$27="Todos",'Plan mensual'!E64,0)))*parametros_manuales!$I$27*parametros_manuales!$J$27</f>
        <v>2928.07032232</v>
      </c>
      <c r="D145" s="9" t="n">
        <f aca="false">(parametros_manuales!$D$27*('Plan mensual'!F57+IF(parametros_manuales!$H$27="Todos",'Plan mensual'!F61,0))+parametros_manuales!$E$27*('Plan mensual'!F58+IF(parametros_manuales!$H$27="Todos",'Plan mensual'!F62,0))+parametros_manuales!$F$27*('Plan mensual'!F59+IF(parametros_manuales!$H$27="Todos",'Plan mensual'!F63,0))+parametros_manuales!$G$27*('Plan mensual'!F60+IF(parametros_manuales!$H$27="Todos",'Plan mensual'!F64,0)))*parametros_manuales!$I$27*parametros_manuales!$J$27</f>
        <v>3111.074717465</v>
      </c>
      <c r="E145" s="9" t="n">
        <f aca="false">(parametros_manuales!$D$27*('Plan mensual'!G57+IF(parametros_manuales!$H$27="Todos",'Plan mensual'!G61,0))+parametros_manuales!$E$27*('Plan mensual'!G58+IF(parametros_manuales!$H$27="Todos",'Plan mensual'!G62,0))+parametros_manuales!$F$27*('Plan mensual'!G59+IF(parametros_manuales!$H$27="Todos",'Plan mensual'!G63,0))+parametros_manuales!$G$27*('Plan mensual'!G60+IF(parametros_manuales!$H$27="Todos",'Plan mensual'!G64,0)))*parametros_manuales!$I$27*parametros_manuales!$J$27</f>
        <v>3111.074717465</v>
      </c>
      <c r="F145" s="9" t="n">
        <f aca="false">(parametros_manuales!$D$27*('Plan mensual'!H57+IF(parametros_manuales!$H$27="Todos",'Plan mensual'!H61,0))+parametros_manuales!$E$27*('Plan mensual'!H58+IF(parametros_manuales!$H$27="Todos",'Plan mensual'!H62,0))+parametros_manuales!$F$27*('Plan mensual'!H59+IF(parametros_manuales!$H$27="Todos",'Plan mensual'!H63,0))+parametros_manuales!$G$27*('Plan mensual'!H60+IF(parametros_manuales!$H$27="Todos",'Plan mensual'!H64,0)))*parametros_manuales!$I$27*parametros_manuales!$J$27</f>
        <v>2928.07032232</v>
      </c>
      <c r="G145" s="9" t="n">
        <f aca="false">(parametros_manuales!$D$27*('Plan mensual'!I57+IF(parametros_manuales!$H$27="Todos",'Plan mensual'!I61,0))+parametros_manuales!$E$27*('Plan mensual'!I58+IF(parametros_manuales!$H$27="Todos",'Plan mensual'!I62,0))+parametros_manuales!$F$27*('Plan mensual'!I59+IF(parametros_manuales!$H$27="Todos",'Plan mensual'!I63,0))+parametros_manuales!$G$27*('Plan mensual'!I60+IF(parametros_manuales!$H$27="Todos",'Plan mensual'!I64,0)))*parametros_manuales!$I$27*parametros_manuales!$J$27</f>
        <v>2745.065927175</v>
      </c>
      <c r="H145" s="9" t="n">
        <f aca="false">(parametros_manuales!$D$27*('Plan mensual'!J57+IF(parametros_manuales!$H$27="Todos",'Plan mensual'!J61,0))+parametros_manuales!$E$27*('Plan mensual'!J58+IF(parametros_manuales!$H$27="Todos",'Plan mensual'!J62,0))+parametros_manuales!$F$27*('Plan mensual'!J59+IF(parametros_manuales!$H$27="Todos",'Plan mensual'!J63,0))+parametros_manuales!$G$27*('Plan mensual'!J60+IF(parametros_manuales!$H$27="Todos",'Plan mensual'!J64,0)))*parametros_manuales!$I$27*parametros_manuales!$J$27</f>
        <v>2928.07032232</v>
      </c>
      <c r="I145" s="9" t="n">
        <f aca="false">(parametros_manuales!$D$27*('Plan mensual'!K57+IF(parametros_manuales!$H$27="Todos",'Plan mensual'!K61,0))+parametros_manuales!$E$27*('Plan mensual'!K58+IF(parametros_manuales!$H$27="Todos",'Plan mensual'!K62,0))+parametros_manuales!$F$27*('Plan mensual'!K59+IF(parametros_manuales!$H$27="Todos",'Plan mensual'!K63,0))+parametros_manuales!$G$27*('Plan mensual'!K60+IF(parametros_manuales!$H$27="Todos",'Plan mensual'!K64,0)))*parametros_manuales!$I$27*parametros_manuales!$J$27</f>
        <v>2928.07032232</v>
      </c>
      <c r="J145" s="9" t="n">
        <f aca="false">(parametros_manuales!$D$27*('Plan mensual'!L57+IF(parametros_manuales!$H$27="Todos",'Plan mensual'!L61,0))+parametros_manuales!$E$27*('Plan mensual'!L58+IF(parametros_manuales!$H$27="Todos",'Plan mensual'!L62,0))+parametros_manuales!$F$27*('Plan mensual'!L59+IF(parametros_manuales!$H$27="Todos",'Plan mensual'!L63,0))+parametros_manuales!$G$27*('Plan mensual'!L60+IF(parametros_manuales!$H$27="Todos",'Plan mensual'!L64,0)))*parametros_manuales!$I$27*parametros_manuales!$J$27</f>
        <v>2928.07032232</v>
      </c>
      <c r="K145" s="9" t="n">
        <f aca="false">(parametros_manuales!$D$27*('Plan mensual'!M57+IF(parametros_manuales!$H$27="Todos",'Plan mensual'!M61,0))+parametros_manuales!$E$27*('Plan mensual'!M58+IF(parametros_manuales!$H$27="Todos",'Plan mensual'!M62,0))+parametros_manuales!$F$27*('Plan mensual'!M59+IF(parametros_manuales!$H$27="Todos",'Plan mensual'!M63,0))+parametros_manuales!$G$27*('Plan mensual'!M60+IF(parametros_manuales!$H$27="Todos",'Plan mensual'!M64,0)))*parametros_manuales!$I$27*parametros_manuales!$J$27</f>
        <v>2745.065927175</v>
      </c>
      <c r="L145" s="9" t="n">
        <f aca="false">(parametros_manuales!$D$27*('Plan mensual'!N57+IF(parametros_manuales!$H$27="Todos",'Plan mensual'!N61,0))+parametros_manuales!$E$27*('Plan mensual'!N58+IF(parametros_manuales!$H$27="Todos",'Plan mensual'!N62,0))+parametros_manuales!$F$27*('Plan mensual'!N59+IF(parametros_manuales!$H$27="Todos",'Plan mensual'!N63,0))+parametros_manuales!$G$27*('Plan mensual'!N60+IF(parametros_manuales!$H$27="Todos",'Plan mensual'!N64,0)))*parametros_manuales!$I$27*parametros_manuales!$J$27</f>
        <v>2562.06153203</v>
      </c>
      <c r="M145" s="9" t="n">
        <f aca="false">(parametros_manuales!$D$27*('Plan mensual'!O57+IF(parametros_manuales!$H$27="Todos",'Plan mensual'!O61,0))+parametros_manuales!$E$27*('Plan mensual'!O58+IF(parametros_manuales!$H$27="Todos",'Plan mensual'!O62,0))+parametros_manuales!$F$27*('Plan mensual'!O59+IF(parametros_manuales!$H$27="Todos",'Plan mensual'!O63,0))+parametros_manuales!$G$27*('Plan mensual'!O60+IF(parametros_manuales!$H$27="Todos",'Plan mensual'!O64,0)))*parametros_manuales!$I$27*parametros_manuales!$J$27</f>
        <v>4026.09669319</v>
      </c>
      <c r="N145" s="9" t="n">
        <f aca="false">SUM(B145:M145)</f>
        <v>36600.879029</v>
      </c>
      <c r="O145" s="9" t="n">
        <f aca="false">MAX(B145:M145)</f>
        <v>4026.09669319</v>
      </c>
      <c r="P145" s="43" t="n">
        <f aca="false">O145/(parametros_manuales!$B$7)</f>
        <v>26.8406446212667</v>
      </c>
      <c r="Q145" s="8" t="str">
        <f aca="false">IF(O145=0,"-",INDEX($B$136:$M$136,MATCH(O145,B145:M145,0)))</f>
        <v>Dic</v>
      </c>
    </row>
    <row r="146" customFormat="false" ht="14.25" hidden="false" customHeight="true" outlineLevel="0" collapsed="false">
      <c r="A146" s="8" t="str">
        <f aca="false">parametros_manuales!$B$28</f>
        <v>Encastre de fondo</v>
      </c>
      <c r="B146" s="9" t="n">
        <f aca="false">(parametros_manuales!$D$28*('Plan mensual'!D57+IF(parametros_manuales!$H$28="Todos",'Plan mensual'!D61,0))+parametros_manuales!$E$28*('Plan mensual'!D58+IF(parametros_manuales!$H$28="Todos",'Plan mensual'!D62,0))+parametros_manuales!$F$28*('Plan mensual'!D59+IF(parametros_manuales!$H$28="Todos",'Plan mensual'!D63,0))+parametros_manuales!$G$28*('Plan mensual'!D60+IF(parametros_manuales!$H$28="Todos",'Plan mensual'!D64,0)))*parametros_manuales!$I$28*parametros_manuales!$J$28</f>
        <v>14136.1422713</v>
      </c>
      <c r="C146" s="9" t="n">
        <f aca="false">(parametros_manuales!$D$28*('Plan mensual'!E57+IF(parametros_manuales!$H$28="Todos",'Plan mensual'!E61,0))+parametros_manuales!$E$28*('Plan mensual'!E58+IF(parametros_manuales!$H$28="Todos",'Plan mensual'!E62,0))+parametros_manuales!$F$28*('Plan mensual'!E59+IF(parametros_manuales!$H$28="Todos",'Plan mensual'!E63,0))+parametros_manuales!$G$28*('Plan mensual'!E60+IF(parametros_manuales!$H$28="Todos",'Plan mensual'!E64,0)))*parametros_manuales!$I$28*parametros_manuales!$J$28</f>
        <v>10785.11109862</v>
      </c>
      <c r="D146" s="9" t="n">
        <f aca="false">(parametros_manuales!$D$28*('Plan mensual'!F57+IF(parametros_manuales!$H$28="Todos",'Plan mensual'!F61,0))+parametros_manuales!$E$28*('Plan mensual'!F58+IF(parametros_manuales!$H$28="Todos",'Plan mensual'!F62,0))+parametros_manuales!$F$28*('Plan mensual'!F59+IF(parametros_manuales!$H$28="Todos",'Plan mensual'!F63,0))+parametros_manuales!$G$28*('Plan mensual'!F60+IF(parametros_manuales!$H$28="Todos",'Plan mensual'!F64,0)))*parametros_manuales!$I$28*parametros_manuales!$J$28</f>
        <v>10095.110963065</v>
      </c>
      <c r="E146" s="9" t="n">
        <f aca="false">(parametros_manuales!$D$28*('Plan mensual'!G57+IF(parametros_manuales!$H$28="Todos",'Plan mensual'!G61,0))+parametros_manuales!$E$28*('Plan mensual'!G58+IF(parametros_manuales!$H$28="Todos",'Plan mensual'!G62,0))+parametros_manuales!$F$28*('Plan mensual'!G59+IF(parametros_manuales!$H$28="Todos",'Plan mensual'!G63,0))+parametros_manuales!$G$28*('Plan mensual'!G60+IF(parametros_manuales!$H$28="Todos",'Plan mensual'!G64,0)))*parametros_manuales!$I$28*parametros_manuales!$J$28</f>
        <v>9658.608697715</v>
      </c>
      <c r="F146" s="9" t="n">
        <f aca="false">(parametros_manuales!$D$28*('Plan mensual'!H57+IF(parametros_manuales!$H$28="Todos",'Plan mensual'!H61,0))+parametros_manuales!$E$28*('Plan mensual'!H58+IF(parametros_manuales!$H$28="Todos",'Plan mensual'!H62,0))+parametros_manuales!$F$28*('Plan mensual'!H59+IF(parametros_manuales!$H$28="Todos",'Plan mensual'!H63,0))+parametros_manuales!$G$28*('Plan mensual'!H60+IF(parametros_manuales!$H$28="Todos",'Plan mensual'!H64,0)))*parametros_manuales!$I$28*parametros_manuales!$J$28</f>
        <v>9039.10203722</v>
      </c>
      <c r="G146" s="9" t="n">
        <f aca="false">(parametros_manuales!$D$28*('Plan mensual'!I57+IF(parametros_manuales!$H$28="Todos",'Plan mensual'!I61,0))+parametros_manuales!$E$28*('Plan mensual'!I58+IF(parametros_manuales!$H$28="Todos",'Plan mensual'!I62,0))+parametros_manuales!$F$28*('Plan mensual'!I59+IF(parametros_manuales!$H$28="Todos",'Plan mensual'!I63,0))+parametros_manuales!$G$28*('Plan mensual'!I60+IF(parametros_manuales!$H$28="Todos",'Plan mensual'!I64,0)))*parametros_manuales!$I$28*parametros_manuales!$J$28</f>
        <v>8856.097642075</v>
      </c>
      <c r="H146" s="9" t="n">
        <f aca="false">(parametros_manuales!$D$28*('Plan mensual'!J57+IF(parametros_manuales!$H$28="Todos",'Plan mensual'!J61,0))+parametros_manuales!$E$28*('Plan mensual'!J58+IF(parametros_manuales!$H$28="Todos",'Plan mensual'!J62,0))+parametros_manuales!$F$28*('Plan mensual'!J59+IF(parametros_manuales!$H$28="Todos",'Plan mensual'!J63,0))+parametros_manuales!$G$28*('Plan mensual'!J60+IF(parametros_manuales!$H$28="Todos",'Plan mensual'!J64,0)))*parametros_manuales!$I$28*parametros_manuales!$J$28</f>
        <v>9475.60430257</v>
      </c>
      <c r="I146" s="9" t="n">
        <f aca="false">(parametros_manuales!$D$28*('Plan mensual'!K57+IF(parametros_manuales!$H$28="Todos",'Plan mensual'!K61,0))+parametros_manuales!$E$28*('Plan mensual'!K58+IF(parametros_manuales!$H$28="Todos",'Plan mensual'!K62,0))+parametros_manuales!$F$28*('Plan mensual'!K59+IF(parametros_manuales!$H$28="Todos",'Plan mensual'!K63,0))+parametros_manuales!$G$28*('Plan mensual'!K60+IF(parametros_manuales!$H$28="Todos",'Plan mensual'!K64,0)))*parametros_manuales!$I$28*parametros_manuales!$J$28</f>
        <v>9475.60430257</v>
      </c>
      <c r="J146" s="9" t="n">
        <f aca="false">(parametros_manuales!$D$28*('Plan mensual'!L57+IF(parametros_manuales!$H$28="Todos",'Plan mensual'!L61,0))+parametros_manuales!$E$28*('Plan mensual'!L58+IF(parametros_manuales!$H$28="Todos",'Plan mensual'!L62,0))+parametros_manuales!$F$28*('Plan mensual'!L59+IF(parametros_manuales!$H$28="Todos",'Plan mensual'!L63,0))+parametros_manuales!$G$28*('Plan mensual'!L60+IF(parametros_manuales!$H$28="Todos",'Plan mensual'!L64,0)))*parametros_manuales!$I$28*parametros_manuales!$J$28</f>
        <v>9475.60430257</v>
      </c>
      <c r="K146" s="9" t="n">
        <f aca="false">(parametros_manuales!$D$28*('Plan mensual'!M57+IF(parametros_manuales!$H$28="Todos",'Plan mensual'!M61,0))+parametros_manuales!$E$28*('Plan mensual'!M58+IF(parametros_manuales!$H$28="Todos",'Plan mensual'!M62,0))+parametros_manuales!$F$28*('Plan mensual'!M59+IF(parametros_manuales!$H$28="Todos",'Plan mensual'!M63,0))+parametros_manuales!$G$28*('Plan mensual'!M60+IF(parametros_manuales!$H$28="Todos",'Plan mensual'!M64,0)))*parametros_manuales!$I$28*parametros_manuales!$J$28</f>
        <v>9292.599907425</v>
      </c>
      <c r="L146" s="9" t="n">
        <f aca="false">(parametros_manuales!$D$28*('Plan mensual'!N57+IF(parametros_manuales!$H$28="Todos",'Plan mensual'!N61,0))+parametros_manuales!$E$28*('Plan mensual'!N58+IF(parametros_manuales!$H$28="Todos",'Plan mensual'!N62,0))+parametros_manuales!$F$28*('Plan mensual'!N59+IF(parametros_manuales!$H$28="Todos",'Plan mensual'!N63,0))+parametros_manuales!$G$28*('Plan mensual'!N60+IF(parametros_manuales!$H$28="Todos",'Plan mensual'!N64,0)))*parametros_manuales!$I$28*parametros_manuales!$J$28</f>
        <v>9109.59551228</v>
      </c>
      <c r="M146" s="9" t="n">
        <f aca="false">(parametros_manuales!$D$28*('Plan mensual'!O57+IF(parametros_manuales!$H$28="Todos",'Plan mensual'!O61,0))+parametros_manuales!$E$28*('Plan mensual'!O58+IF(parametros_manuales!$H$28="Todos",'Plan mensual'!O62,0))+parametros_manuales!$F$28*('Plan mensual'!O59+IF(parametros_manuales!$H$28="Todos",'Plan mensual'!O63,0))+parametros_manuales!$G$28*('Plan mensual'!O60+IF(parametros_manuales!$H$28="Todos",'Plan mensual'!O64,0)))*parametros_manuales!$I$28*parametros_manuales!$J$28</f>
        <v>14502.15106159</v>
      </c>
      <c r="N146" s="9" t="n">
        <f aca="false">SUM(B146:M146)</f>
        <v>123901.332099</v>
      </c>
      <c r="O146" s="9" t="n">
        <f aca="false">MAX(B146:M146)</f>
        <v>14502.15106159</v>
      </c>
      <c r="P146" s="43" t="n">
        <f aca="false">O146/(parametros_manuales!$B$7)</f>
        <v>96.6810070772667</v>
      </c>
      <c r="Q146" s="8" t="str">
        <f aca="false">IF(O146=0,"-",INDEX($B$136:$M$136,MATCH(O146,B146:M146,0)))</f>
        <v>Dic</v>
      </c>
    </row>
    <row r="147" customFormat="false" ht="14.25" hidden="false" customHeight="true" outlineLevel="0" collapsed="false">
      <c r="A147" s="8" t="str">
        <f aca="false">parametros_manuales!$B$29</f>
        <v>Bordoneado</v>
      </c>
      <c r="B147" s="9" t="n">
        <f aca="false">(parametros_manuales!$D$29*('Plan mensual'!D57+IF(parametros_manuales!$H$29="Todos",'Plan mensual'!D61,0))+parametros_manuales!$E$29*('Plan mensual'!D58+IF(parametros_manuales!$H$29="Todos",'Plan mensual'!D62,0))+parametros_manuales!$F$29*('Plan mensual'!D59+IF(parametros_manuales!$H$29="Todos",'Plan mensual'!D63,0))+parametros_manuales!$G$29*('Plan mensual'!D60+IF(parametros_manuales!$H$29="Todos",'Plan mensual'!D64,0)))*parametros_manuales!$I$29*parametros_manuales!$J$29</f>
        <v>14136.1422713</v>
      </c>
      <c r="C147" s="9" t="n">
        <f aca="false">(parametros_manuales!$D$29*('Plan mensual'!E57+IF(parametros_manuales!$H$29="Todos",'Plan mensual'!E61,0))+parametros_manuales!$E$29*('Plan mensual'!E58+IF(parametros_manuales!$H$29="Todos",'Plan mensual'!E62,0))+parametros_manuales!$F$29*('Plan mensual'!E59+IF(parametros_manuales!$H$29="Todos",'Plan mensual'!E63,0))+parametros_manuales!$G$29*('Plan mensual'!E60+IF(parametros_manuales!$H$29="Todos",'Plan mensual'!E64,0)))*parametros_manuales!$I$29*parametros_manuales!$J$29</f>
        <v>10785.11109862</v>
      </c>
      <c r="D147" s="9" t="n">
        <f aca="false">(parametros_manuales!$D$29*('Plan mensual'!F57+IF(parametros_manuales!$H$29="Todos",'Plan mensual'!F61,0))+parametros_manuales!$E$29*('Plan mensual'!F58+IF(parametros_manuales!$H$29="Todos",'Plan mensual'!F62,0))+parametros_manuales!$F$29*('Plan mensual'!F59+IF(parametros_manuales!$H$29="Todos",'Plan mensual'!F63,0))+parametros_manuales!$G$29*('Plan mensual'!F60+IF(parametros_manuales!$H$29="Todos",'Plan mensual'!F64,0)))*parametros_manuales!$I$29*parametros_manuales!$J$29</f>
        <v>10095.110963065</v>
      </c>
      <c r="E147" s="9" t="n">
        <f aca="false">(parametros_manuales!$D$29*('Plan mensual'!G57+IF(parametros_manuales!$H$29="Todos",'Plan mensual'!G61,0))+parametros_manuales!$E$29*('Plan mensual'!G58+IF(parametros_manuales!$H$29="Todos",'Plan mensual'!G62,0))+parametros_manuales!$F$29*('Plan mensual'!G59+IF(parametros_manuales!$H$29="Todos",'Plan mensual'!G63,0))+parametros_manuales!$G$29*('Plan mensual'!G60+IF(parametros_manuales!$H$29="Todos",'Plan mensual'!G64,0)))*parametros_manuales!$I$29*parametros_manuales!$J$29</f>
        <v>9658.608697715</v>
      </c>
      <c r="F147" s="9" t="n">
        <f aca="false">(parametros_manuales!$D$29*('Plan mensual'!H57+IF(parametros_manuales!$H$29="Todos",'Plan mensual'!H61,0))+parametros_manuales!$E$29*('Plan mensual'!H58+IF(parametros_manuales!$H$29="Todos",'Plan mensual'!H62,0))+parametros_manuales!$F$29*('Plan mensual'!H59+IF(parametros_manuales!$H$29="Todos",'Plan mensual'!H63,0))+parametros_manuales!$G$29*('Plan mensual'!H60+IF(parametros_manuales!$H$29="Todos",'Plan mensual'!H64,0)))*parametros_manuales!$I$29*parametros_manuales!$J$29</f>
        <v>9039.10203722</v>
      </c>
      <c r="G147" s="9" t="n">
        <f aca="false">(parametros_manuales!$D$29*('Plan mensual'!I57+IF(parametros_manuales!$H$29="Todos",'Plan mensual'!I61,0))+parametros_manuales!$E$29*('Plan mensual'!I58+IF(parametros_manuales!$H$29="Todos",'Plan mensual'!I62,0))+parametros_manuales!$F$29*('Plan mensual'!I59+IF(parametros_manuales!$H$29="Todos",'Plan mensual'!I63,0))+parametros_manuales!$G$29*('Plan mensual'!I60+IF(parametros_manuales!$H$29="Todos",'Plan mensual'!I64,0)))*parametros_manuales!$I$29*parametros_manuales!$J$29</f>
        <v>8856.097642075</v>
      </c>
      <c r="H147" s="9" t="n">
        <f aca="false">(parametros_manuales!$D$29*('Plan mensual'!J57+IF(parametros_manuales!$H$29="Todos",'Plan mensual'!J61,0))+parametros_manuales!$E$29*('Plan mensual'!J58+IF(parametros_manuales!$H$29="Todos",'Plan mensual'!J62,0))+parametros_manuales!$F$29*('Plan mensual'!J59+IF(parametros_manuales!$H$29="Todos",'Plan mensual'!J63,0))+parametros_manuales!$G$29*('Plan mensual'!J60+IF(parametros_manuales!$H$29="Todos",'Plan mensual'!J64,0)))*parametros_manuales!$I$29*parametros_manuales!$J$29</f>
        <v>9475.60430257</v>
      </c>
      <c r="I147" s="9" t="n">
        <f aca="false">(parametros_manuales!$D$29*('Plan mensual'!K57+IF(parametros_manuales!$H$29="Todos",'Plan mensual'!K61,0))+parametros_manuales!$E$29*('Plan mensual'!K58+IF(parametros_manuales!$H$29="Todos",'Plan mensual'!K62,0))+parametros_manuales!$F$29*('Plan mensual'!K59+IF(parametros_manuales!$H$29="Todos",'Plan mensual'!K63,0))+parametros_manuales!$G$29*('Plan mensual'!K60+IF(parametros_manuales!$H$29="Todos",'Plan mensual'!K64,0)))*parametros_manuales!$I$29*parametros_manuales!$J$29</f>
        <v>9475.60430257</v>
      </c>
      <c r="J147" s="9" t="n">
        <f aca="false">(parametros_manuales!$D$29*('Plan mensual'!L57+IF(parametros_manuales!$H$29="Todos",'Plan mensual'!L61,0))+parametros_manuales!$E$29*('Plan mensual'!L58+IF(parametros_manuales!$H$29="Todos",'Plan mensual'!L62,0))+parametros_manuales!$F$29*('Plan mensual'!L59+IF(parametros_manuales!$H$29="Todos",'Plan mensual'!L63,0))+parametros_manuales!$G$29*('Plan mensual'!L60+IF(parametros_manuales!$H$29="Todos",'Plan mensual'!L64,0)))*parametros_manuales!$I$29*parametros_manuales!$J$29</f>
        <v>9475.60430257</v>
      </c>
      <c r="K147" s="9" t="n">
        <f aca="false">(parametros_manuales!$D$29*('Plan mensual'!M57+IF(parametros_manuales!$H$29="Todos",'Plan mensual'!M61,0))+parametros_manuales!$E$29*('Plan mensual'!M58+IF(parametros_manuales!$H$29="Todos",'Plan mensual'!M62,0))+parametros_manuales!$F$29*('Plan mensual'!M59+IF(parametros_manuales!$H$29="Todos",'Plan mensual'!M63,0))+parametros_manuales!$G$29*('Plan mensual'!M60+IF(parametros_manuales!$H$29="Todos",'Plan mensual'!M64,0)))*parametros_manuales!$I$29*parametros_manuales!$J$29</f>
        <v>9292.599907425</v>
      </c>
      <c r="L147" s="9" t="n">
        <f aca="false">(parametros_manuales!$D$29*('Plan mensual'!N57+IF(parametros_manuales!$H$29="Todos",'Plan mensual'!N61,0))+parametros_manuales!$E$29*('Plan mensual'!N58+IF(parametros_manuales!$H$29="Todos",'Plan mensual'!N62,0))+parametros_manuales!$F$29*('Plan mensual'!N59+IF(parametros_manuales!$H$29="Todos",'Plan mensual'!N63,0))+parametros_manuales!$G$29*('Plan mensual'!N60+IF(parametros_manuales!$H$29="Todos",'Plan mensual'!N64,0)))*parametros_manuales!$I$29*parametros_manuales!$J$29</f>
        <v>9109.59551228</v>
      </c>
      <c r="M147" s="9" t="n">
        <f aca="false">(parametros_manuales!$D$29*('Plan mensual'!O57+IF(parametros_manuales!$H$29="Todos",'Plan mensual'!O61,0))+parametros_manuales!$E$29*('Plan mensual'!O58+IF(parametros_manuales!$H$29="Todos",'Plan mensual'!O62,0))+parametros_manuales!$F$29*('Plan mensual'!O59+IF(parametros_manuales!$H$29="Todos",'Plan mensual'!O63,0))+parametros_manuales!$G$29*('Plan mensual'!O60+IF(parametros_manuales!$H$29="Todos",'Plan mensual'!O64,0)))*parametros_manuales!$I$29*parametros_manuales!$J$29</f>
        <v>14502.15106159</v>
      </c>
      <c r="N147" s="9" t="n">
        <f aca="false">SUM(B147:M147)</f>
        <v>123901.332099</v>
      </c>
      <c r="O147" s="9" t="n">
        <f aca="false">MAX(B147:M147)</f>
        <v>14502.15106159</v>
      </c>
      <c r="P147" s="43" t="n">
        <f aca="false">O147/(parametros_manuales!$B$7)</f>
        <v>96.6810070772667</v>
      </c>
      <c r="Q147" s="8" t="str">
        <f aca="false">IF(O147=0,"-",INDEX($B$136:$M$136,MATCH(O147,B147:M147,0)))</f>
        <v>Dic</v>
      </c>
    </row>
    <row r="148" customFormat="false" ht="14.25" hidden="false" customHeight="true" outlineLevel="0" collapsed="false">
      <c r="A148" s="8" t="str">
        <f aca="false">parametros_manuales!$B$30</f>
        <v>Soldadura circunferencial de cúpula y fondo</v>
      </c>
      <c r="B148" s="9" t="n">
        <f aca="false">(parametros_manuales!$D$30*('Plan mensual'!D57+IF(parametros_manuales!$H$30="Todos",'Plan mensual'!D61,0))+parametros_manuales!$E$30*('Plan mensual'!D58+IF(parametros_manuales!$H$30="Todos",'Plan mensual'!D62,0))+parametros_manuales!$F$30*('Plan mensual'!D59+IF(parametros_manuales!$H$30="Todos",'Plan mensual'!D63,0))+parametros_manuales!$G$30*('Plan mensual'!D60+IF(parametros_manuales!$H$30="Todos",'Plan mensual'!D64,0)))*parametros_manuales!$I$30*parametros_manuales!$J$30</f>
        <v>14136.1422713</v>
      </c>
      <c r="C148" s="9" t="n">
        <f aca="false">(parametros_manuales!$D$30*('Plan mensual'!E57+IF(parametros_manuales!$H$30="Todos",'Plan mensual'!E61,0))+parametros_manuales!$E$30*('Plan mensual'!E58+IF(parametros_manuales!$H$30="Todos",'Plan mensual'!E62,0))+parametros_manuales!$F$30*('Plan mensual'!E59+IF(parametros_manuales!$H$30="Todos",'Plan mensual'!E63,0))+parametros_manuales!$G$30*('Plan mensual'!E60+IF(parametros_manuales!$H$30="Todos",'Plan mensual'!E64,0)))*parametros_manuales!$I$30*parametros_manuales!$J$30</f>
        <v>10785.11109862</v>
      </c>
      <c r="D148" s="9" t="n">
        <f aca="false">(parametros_manuales!$D$30*('Plan mensual'!F57+IF(parametros_manuales!$H$30="Todos",'Plan mensual'!F61,0))+parametros_manuales!$E$30*('Plan mensual'!F58+IF(parametros_manuales!$H$30="Todos",'Plan mensual'!F62,0))+parametros_manuales!$F$30*('Plan mensual'!F59+IF(parametros_manuales!$H$30="Todos",'Plan mensual'!F63,0))+parametros_manuales!$G$30*('Plan mensual'!F60+IF(parametros_manuales!$H$30="Todos",'Plan mensual'!F64,0)))*parametros_manuales!$I$30*parametros_manuales!$J$30</f>
        <v>10095.110963065</v>
      </c>
      <c r="E148" s="9" t="n">
        <f aca="false">(parametros_manuales!$D$30*('Plan mensual'!G57+IF(parametros_manuales!$H$30="Todos",'Plan mensual'!G61,0))+parametros_manuales!$E$30*('Plan mensual'!G58+IF(parametros_manuales!$H$30="Todos",'Plan mensual'!G62,0))+parametros_manuales!$F$30*('Plan mensual'!G59+IF(parametros_manuales!$H$30="Todos",'Plan mensual'!G63,0))+parametros_manuales!$G$30*('Plan mensual'!G60+IF(parametros_manuales!$H$30="Todos",'Plan mensual'!G64,0)))*parametros_manuales!$I$30*parametros_manuales!$J$30</f>
        <v>9658.608697715</v>
      </c>
      <c r="F148" s="9" t="n">
        <f aca="false">(parametros_manuales!$D$30*('Plan mensual'!H57+IF(parametros_manuales!$H$30="Todos",'Plan mensual'!H61,0))+parametros_manuales!$E$30*('Plan mensual'!H58+IF(parametros_manuales!$H$30="Todos",'Plan mensual'!H62,0))+parametros_manuales!$F$30*('Plan mensual'!H59+IF(parametros_manuales!$H$30="Todos",'Plan mensual'!H63,0))+parametros_manuales!$G$30*('Plan mensual'!H60+IF(parametros_manuales!$H$30="Todos",'Plan mensual'!H64,0)))*parametros_manuales!$I$30*parametros_manuales!$J$30</f>
        <v>9039.10203722</v>
      </c>
      <c r="G148" s="9" t="n">
        <f aca="false">(parametros_manuales!$D$30*('Plan mensual'!I57+IF(parametros_manuales!$H$30="Todos",'Plan mensual'!I61,0))+parametros_manuales!$E$30*('Plan mensual'!I58+IF(parametros_manuales!$H$30="Todos",'Plan mensual'!I62,0))+parametros_manuales!$F$30*('Plan mensual'!I59+IF(parametros_manuales!$H$30="Todos",'Plan mensual'!I63,0))+parametros_manuales!$G$30*('Plan mensual'!I60+IF(parametros_manuales!$H$30="Todos",'Plan mensual'!I64,0)))*parametros_manuales!$I$30*parametros_manuales!$J$30</f>
        <v>8856.097642075</v>
      </c>
      <c r="H148" s="9" t="n">
        <f aca="false">(parametros_manuales!$D$30*('Plan mensual'!J57+IF(parametros_manuales!$H$30="Todos",'Plan mensual'!J61,0))+parametros_manuales!$E$30*('Plan mensual'!J58+IF(parametros_manuales!$H$30="Todos",'Plan mensual'!J62,0))+parametros_manuales!$F$30*('Plan mensual'!J59+IF(parametros_manuales!$H$30="Todos",'Plan mensual'!J63,0))+parametros_manuales!$G$30*('Plan mensual'!J60+IF(parametros_manuales!$H$30="Todos",'Plan mensual'!J64,0)))*parametros_manuales!$I$30*parametros_manuales!$J$30</f>
        <v>9475.60430257</v>
      </c>
      <c r="I148" s="9" t="n">
        <f aca="false">(parametros_manuales!$D$30*('Plan mensual'!K57+IF(parametros_manuales!$H$30="Todos",'Plan mensual'!K61,0))+parametros_manuales!$E$30*('Plan mensual'!K58+IF(parametros_manuales!$H$30="Todos",'Plan mensual'!K62,0))+parametros_manuales!$F$30*('Plan mensual'!K59+IF(parametros_manuales!$H$30="Todos",'Plan mensual'!K63,0))+parametros_manuales!$G$30*('Plan mensual'!K60+IF(parametros_manuales!$H$30="Todos",'Plan mensual'!K64,0)))*parametros_manuales!$I$30*parametros_manuales!$J$30</f>
        <v>9475.60430257</v>
      </c>
      <c r="J148" s="9" t="n">
        <f aca="false">(parametros_manuales!$D$30*('Plan mensual'!L57+IF(parametros_manuales!$H$30="Todos",'Plan mensual'!L61,0))+parametros_manuales!$E$30*('Plan mensual'!L58+IF(parametros_manuales!$H$30="Todos",'Plan mensual'!L62,0))+parametros_manuales!$F$30*('Plan mensual'!L59+IF(parametros_manuales!$H$30="Todos",'Plan mensual'!L63,0))+parametros_manuales!$G$30*('Plan mensual'!L60+IF(parametros_manuales!$H$30="Todos",'Plan mensual'!L64,0)))*parametros_manuales!$I$30*parametros_manuales!$J$30</f>
        <v>9475.60430257</v>
      </c>
      <c r="K148" s="9" t="n">
        <f aca="false">(parametros_manuales!$D$30*('Plan mensual'!M57+IF(parametros_manuales!$H$30="Todos",'Plan mensual'!M61,0))+parametros_manuales!$E$30*('Plan mensual'!M58+IF(parametros_manuales!$H$30="Todos",'Plan mensual'!M62,0))+parametros_manuales!$F$30*('Plan mensual'!M59+IF(parametros_manuales!$H$30="Todos",'Plan mensual'!M63,0))+parametros_manuales!$G$30*('Plan mensual'!M60+IF(parametros_manuales!$H$30="Todos",'Plan mensual'!M64,0)))*parametros_manuales!$I$30*parametros_manuales!$J$30</f>
        <v>9292.599907425</v>
      </c>
      <c r="L148" s="9" t="n">
        <f aca="false">(parametros_manuales!$D$30*('Plan mensual'!N57+IF(parametros_manuales!$H$30="Todos",'Plan mensual'!N61,0))+parametros_manuales!$E$30*('Plan mensual'!N58+IF(parametros_manuales!$H$30="Todos",'Plan mensual'!N62,0))+parametros_manuales!$F$30*('Plan mensual'!N59+IF(parametros_manuales!$H$30="Todos",'Plan mensual'!N63,0))+parametros_manuales!$G$30*('Plan mensual'!N60+IF(parametros_manuales!$H$30="Todos",'Plan mensual'!N64,0)))*parametros_manuales!$I$30*parametros_manuales!$J$30</f>
        <v>9109.59551228</v>
      </c>
      <c r="M148" s="9" t="n">
        <f aca="false">(parametros_manuales!$D$30*('Plan mensual'!O57+IF(parametros_manuales!$H$30="Todos",'Plan mensual'!O61,0))+parametros_manuales!$E$30*('Plan mensual'!O58+IF(parametros_manuales!$H$30="Todos",'Plan mensual'!O62,0))+parametros_manuales!$F$30*('Plan mensual'!O59+IF(parametros_manuales!$H$30="Todos",'Plan mensual'!O63,0))+parametros_manuales!$G$30*('Plan mensual'!O60+IF(parametros_manuales!$H$30="Todos",'Plan mensual'!O64,0)))*parametros_manuales!$I$30*parametros_manuales!$J$30</f>
        <v>14502.15106159</v>
      </c>
      <c r="N148" s="9" t="n">
        <f aca="false">SUM(B148:M148)</f>
        <v>123901.332099</v>
      </c>
      <c r="O148" s="9" t="n">
        <f aca="false">MAX(B148:M148)</f>
        <v>14502.15106159</v>
      </c>
      <c r="P148" s="43" t="n">
        <f aca="false">O148/(parametros_manuales!$B$7)</f>
        <v>96.6810070772667</v>
      </c>
      <c r="Q148" s="8" t="str">
        <f aca="false">IF(O148=0,"-",INDEX($B$136:$M$136,MATCH(O148,B148:M148,0)))</f>
        <v>Dic</v>
      </c>
    </row>
    <row r="149" customFormat="false" ht="14.25" hidden="false" customHeight="true" outlineLevel="0" collapsed="false">
      <c r="A149" s="8" t="str">
        <f aca="false">parametros_manuales!$B$31</f>
        <v>Control de calidad — Espesor</v>
      </c>
      <c r="B149" s="9" t="n">
        <f aca="false">(parametros_manuales!$D$31*('Plan mensual'!D57+IF(parametros_manuales!$H$31="Todos",'Plan mensual'!D61,0))+parametros_manuales!$E$31*('Plan mensual'!D58+IF(parametros_manuales!$H$31="Todos",'Plan mensual'!D62,0))+parametros_manuales!$F$31*('Plan mensual'!D59+IF(parametros_manuales!$H$31="Todos",'Plan mensual'!D63,0))+parametros_manuales!$G$31*('Plan mensual'!D60+IF(parametros_manuales!$H$31="Todos",'Plan mensual'!D64,0)))*parametros_manuales!$I$31*parametros_manuales!$J$31</f>
        <v>282.722845426</v>
      </c>
      <c r="C149" s="9" t="n">
        <f aca="false">(parametros_manuales!$D$31*('Plan mensual'!E57+IF(parametros_manuales!$H$31="Todos",'Plan mensual'!E61,0))+parametros_manuales!$E$31*('Plan mensual'!E58+IF(parametros_manuales!$H$31="Todos",'Plan mensual'!E62,0))+parametros_manuales!$F$31*('Plan mensual'!E59+IF(parametros_manuales!$H$31="Todos",'Plan mensual'!E63,0))+parametros_manuales!$G$31*('Plan mensual'!E60+IF(parametros_manuales!$H$31="Todos",'Plan mensual'!E64,0)))*parametros_manuales!$I$31*parametros_manuales!$J$31</f>
        <v>215.7022219724</v>
      </c>
      <c r="D149" s="9" t="n">
        <f aca="false">(parametros_manuales!$D$31*('Plan mensual'!F57+IF(parametros_manuales!$H$31="Todos",'Plan mensual'!F61,0))+parametros_manuales!$E$31*('Plan mensual'!F58+IF(parametros_manuales!$H$31="Todos",'Plan mensual'!F62,0))+parametros_manuales!$F$31*('Plan mensual'!F59+IF(parametros_manuales!$H$31="Todos",'Plan mensual'!F63,0))+parametros_manuales!$G$31*('Plan mensual'!F60+IF(parametros_manuales!$H$31="Todos",'Plan mensual'!F64,0)))*parametros_manuales!$I$31*parametros_manuales!$J$31</f>
        <v>201.9022192613</v>
      </c>
      <c r="E149" s="9" t="n">
        <f aca="false">(parametros_manuales!$D$31*('Plan mensual'!G57+IF(parametros_manuales!$H$31="Todos",'Plan mensual'!G61,0))+parametros_manuales!$E$31*('Plan mensual'!G58+IF(parametros_manuales!$H$31="Todos",'Plan mensual'!G62,0))+parametros_manuales!$F$31*('Plan mensual'!G59+IF(parametros_manuales!$H$31="Todos",'Plan mensual'!G63,0))+parametros_manuales!$G$31*('Plan mensual'!G60+IF(parametros_manuales!$H$31="Todos",'Plan mensual'!G64,0)))*parametros_manuales!$I$31*parametros_manuales!$J$31</f>
        <v>193.1721739543</v>
      </c>
      <c r="F149" s="9" t="n">
        <f aca="false">(parametros_manuales!$D$31*('Plan mensual'!H57+IF(parametros_manuales!$H$31="Todos",'Plan mensual'!H61,0))+parametros_manuales!$E$31*('Plan mensual'!H58+IF(parametros_manuales!$H$31="Todos",'Plan mensual'!H62,0))+parametros_manuales!$F$31*('Plan mensual'!H59+IF(parametros_manuales!$H$31="Todos",'Plan mensual'!H63,0))+parametros_manuales!$G$31*('Plan mensual'!H60+IF(parametros_manuales!$H$31="Todos",'Plan mensual'!H64,0)))*parametros_manuales!$I$31*parametros_manuales!$J$31</f>
        <v>180.7820407444</v>
      </c>
      <c r="G149" s="9" t="n">
        <f aca="false">(parametros_manuales!$D$31*('Plan mensual'!I57+IF(parametros_manuales!$H$31="Todos",'Plan mensual'!I61,0))+parametros_manuales!$E$31*('Plan mensual'!I58+IF(parametros_manuales!$H$31="Todos",'Plan mensual'!I62,0))+parametros_manuales!$F$31*('Plan mensual'!I59+IF(parametros_manuales!$H$31="Todos",'Plan mensual'!I63,0))+parametros_manuales!$G$31*('Plan mensual'!I60+IF(parametros_manuales!$H$31="Todos",'Plan mensual'!I64,0)))*parametros_manuales!$I$31*parametros_manuales!$J$31</f>
        <v>177.1219528415</v>
      </c>
      <c r="H149" s="9" t="n">
        <f aca="false">(parametros_manuales!$D$31*('Plan mensual'!J57+IF(parametros_manuales!$H$31="Todos",'Plan mensual'!J61,0))+parametros_manuales!$E$31*('Plan mensual'!J58+IF(parametros_manuales!$H$31="Todos",'Plan mensual'!J62,0))+parametros_manuales!$F$31*('Plan mensual'!J59+IF(parametros_manuales!$H$31="Todos",'Plan mensual'!J63,0))+parametros_manuales!$G$31*('Plan mensual'!J60+IF(parametros_manuales!$H$31="Todos",'Plan mensual'!J64,0)))*parametros_manuales!$I$31*parametros_manuales!$J$31</f>
        <v>189.5120860514</v>
      </c>
      <c r="I149" s="9" t="n">
        <f aca="false">(parametros_manuales!$D$31*('Plan mensual'!K57+IF(parametros_manuales!$H$31="Todos",'Plan mensual'!K61,0))+parametros_manuales!$E$31*('Plan mensual'!K58+IF(parametros_manuales!$H$31="Todos",'Plan mensual'!K62,0))+parametros_manuales!$F$31*('Plan mensual'!K59+IF(parametros_manuales!$H$31="Todos",'Plan mensual'!K63,0))+parametros_manuales!$G$31*('Plan mensual'!K60+IF(parametros_manuales!$H$31="Todos",'Plan mensual'!K64,0)))*parametros_manuales!$I$31*parametros_manuales!$J$31</f>
        <v>189.5120860514</v>
      </c>
      <c r="J149" s="9" t="n">
        <f aca="false">(parametros_manuales!$D$31*('Plan mensual'!L57+IF(parametros_manuales!$H$31="Todos",'Plan mensual'!L61,0))+parametros_manuales!$E$31*('Plan mensual'!L58+IF(parametros_manuales!$H$31="Todos",'Plan mensual'!L62,0))+parametros_manuales!$F$31*('Plan mensual'!L59+IF(parametros_manuales!$H$31="Todos",'Plan mensual'!L63,0))+parametros_manuales!$G$31*('Plan mensual'!L60+IF(parametros_manuales!$H$31="Todos",'Plan mensual'!L64,0)))*parametros_manuales!$I$31*parametros_manuales!$J$31</f>
        <v>189.5120860514</v>
      </c>
      <c r="K149" s="9" t="n">
        <f aca="false">(parametros_manuales!$D$31*('Plan mensual'!M57+IF(parametros_manuales!$H$31="Todos",'Plan mensual'!M61,0))+parametros_manuales!$E$31*('Plan mensual'!M58+IF(parametros_manuales!$H$31="Todos",'Plan mensual'!M62,0))+parametros_manuales!$F$31*('Plan mensual'!M59+IF(parametros_manuales!$H$31="Todos",'Plan mensual'!M63,0))+parametros_manuales!$G$31*('Plan mensual'!M60+IF(parametros_manuales!$H$31="Todos",'Plan mensual'!M64,0)))*parametros_manuales!$I$31*parametros_manuales!$J$31</f>
        <v>185.8519981485</v>
      </c>
      <c r="L149" s="9" t="n">
        <f aca="false">(parametros_manuales!$D$31*('Plan mensual'!N57+IF(parametros_manuales!$H$31="Todos",'Plan mensual'!N61,0))+parametros_manuales!$E$31*('Plan mensual'!N58+IF(parametros_manuales!$H$31="Todos",'Plan mensual'!N62,0))+parametros_manuales!$F$31*('Plan mensual'!N59+IF(parametros_manuales!$H$31="Todos",'Plan mensual'!N63,0))+parametros_manuales!$G$31*('Plan mensual'!N60+IF(parametros_manuales!$H$31="Todos",'Plan mensual'!N64,0)))*parametros_manuales!$I$31*parametros_manuales!$J$31</f>
        <v>182.1919102456</v>
      </c>
      <c r="M149" s="9" t="n">
        <f aca="false">(parametros_manuales!$D$31*('Plan mensual'!O57+IF(parametros_manuales!$H$31="Todos",'Plan mensual'!O61,0))+parametros_manuales!$E$31*('Plan mensual'!O58+IF(parametros_manuales!$H$31="Todos",'Plan mensual'!O62,0))+parametros_manuales!$F$31*('Plan mensual'!O59+IF(parametros_manuales!$H$31="Todos",'Plan mensual'!O63,0))+parametros_manuales!$G$31*('Plan mensual'!O60+IF(parametros_manuales!$H$31="Todos",'Plan mensual'!O64,0)))*parametros_manuales!$I$31*parametros_manuales!$J$31</f>
        <v>290.0430212318</v>
      </c>
      <c r="N149" s="9" t="n">
        <f aca="false">SUM(B149:M149)</f>
        <v>2478.02664198</v>
      </c>
      <c r="O149" s="9" t="n">
        <f aca="false">MAX(B149:M149)</f>
        <v>290.0430212318</v>
      </c>
      <c r="P149" s="43" t="n">
        <f aca="false">O149/(parametros_manuales!$B$7)</f>
        <v>1.93362014154533</v>
      </c>
      <c r="Q149" s="8" t="str">
        <f aca="false">IF(O149=0,"-",INDEX($B$136:$M$136,MATCH(O149,B149:M149,0)))</f>
        <v>Dic</v>
      </c>
    </row>
    <row r="150" customFormat="false" ht="14.25" hidden="false" customHeight="true" outlineLevel="0" collapsed="false">
      <c r="A150" s="8" t="str">
        <f aca="false">parametros_manuales!$B$32</f>
        <v>Prueba hidráulica</v>
      </c>
      <c r="B150" s="9" t="n">
        <f aca="false">(parametros_manuales!$D$32*('Plan mensual'!D57+IF(parametros_manuales!$H$32="Todos",'Plan mensual'!D61,0))+parametros_manuales!$E$32*('Plan mensual'!D58+IF(parametros_manuales!$H$32="Todos",'Plan mensual'!D62,0))+parametros_manuales!$F$32*('Plan mensual'!D59+IF(parametros_manuales!$H$32="Todos",'Plan mensual'!D63,0))+parametros_manuales!$G$32*('Plan mensual'!D60+IF(parametros_manuales!$H$32="Todos",'Plan mensual'!D64,0)))*parametros_manuales!$I$32*parametros_manuales!$J$32</f>
        <v>14136.1422713</v>
      </c>
      <c r="C150" s="9" t="n">
        <f aca="false">(parametros_manuales!$D$32*('Plan mensual'!E57+IF(parametros_manuales!$H$32="Todos",'Plan mensual'!E61,0))+parametros_manuales!$E$32*('Plan mensual'!E58+IF(parametros_manuales!$H$32="Todos",'Plan mensual'!E62,0))+parametros_manuales!$F$32*('Plan mensual'!E59+IF(parametros_manuales!$H$32="Todos",'Plan mensual'!E63,0))+parametros_manuales!$G$32*('Plan mensual'!E60+IF(parametros_manuales!$H$32="Todos",'Plan mensual'!E64,0)))*parametros_manuales!$I$32*parametros_manuales!$J$32</f>
        <v>10785.11109862</v>
      </c>
      <c r="D150" s="9" t="n">
        <f aca="false">(parametros_manuales!$D$32*('Plan mensual'!F57+IF(parametros_manuales!$H$32="Todos",'Plan mensual'!F61,0))+parametros_manuales!$E$32*('Plan mensual'!F58+IF(parametros_manuales!$H$32="Todos",'Plan mensual'!F62,0))+parametros_manuales!$F$32*('Plan mensual'!F59+IF(parametros_manuales!$H$32="Todos",'Plan mensual'!F63,0))+parametros_manuales!$G$32*('Plan mensual'!F60+IF(parametros_manuales!$H$32="Todos",'Plan mensual'!F64,0)))*parametros_manuales!$I$32*parametros_manuales!$J$32</f>
        <v>10095.110963065</v>
      </c>
      <c r="E150" s="9" t="n">
        <f aca="false">(parametros_manuales!$D$32*('Plan mensual'!G57+IF(parametros_manuales!$H$32="Todos",'Plan mensual'!G61,0))+parametros_manuales!$E$32*('Plan mensual'!G58+IF(parametros_manuales!$H$32="Todos",'Plan mensual'!G62,0))+parametros_manuales!$F$32*('Plan mensual'!G59+IF(parametros_manuales!$H$32="Todos",'Plan mensual'!G63,0))+parametros_manuales!$G$32*('Plan mensual'!G60+IF(parametros_manuales!$H$32="Todos",'Plan mensual'!G64,0)))*parametros_manuales!$I$32*parametros_manuales!$J$32</f>
        <v>9658.608697715</v>
      </c>
      <c r="F150" s="9" t="n">
        <f aca="false">(parametros_manuales!$D$32*('Plan mensual'!H57+IF(parametros_manuales!$H$32="Todos",'Plan mensual'!H61,0))+parametros_manuales!$E$32*('Plan mensual'!H58+IF(parametros_manuales!$H$32="Todos",'Plan mensual'!H62,0))+parametros_manuales!$F$32*('Plan mensual'!H59+IF(parametros_manuales!$H$32="Todos",'Plan mensual'!H63,0))+parametros_manuales!$G$32*('Plan mensual'!H60+IF(parametros_manuales!$H$32="Todos",'Plan mensual'!H64,0)))*parametros_manuales!$I$32*parametros_manuales!$J$32</f>
        <v>9039.10203722</v>
      </c>
      <c r="G150" s="9" t="n">
        <f aca="false">(parametros_manuales!$D$32*('Plan mensual'!I57+IF(parametros_manuales!$H$32="Todos",'Plan mensual'!I61,0))+parametros_manuales!$E$32*('Plan mensual'!I58+IF(parametros_manuales!$H$32="Todos",'Plan mensual'!I62,0))+parametros_manuales!$F$32*('Plan mensual'!I59+IF(parametros_manuales!$H$32="Todos",'Plan mensual'!I63,0))+parametros_manuales!$G$32*('Plan mensual'!I60+IF(parametros_manuales!$H$32="Todos",'Plan mensual'!I64,0)))*parametros_manuales!$I$32*parametros_manuales!$J$32</f>
        <v>8856.097642075</v>
      </c>
      <c r="H150" s="9" t="n">
        <f aca="false">(parametros_manuales!$D$32*('Plan mensual'!J57+IF(parametros_manuales!$H$32="Todos",'Plan mensual'!J61,0))+parametros_manuales!$E$32*('Plan mensual'!J58+IF(parametros_manuales!$H$32="Todos",'Plan mensual'!J62,0))+parametros_manuales!$F$32*('Plan mensual'!J59+IF(parametros_manuales!$H$32="Todos",'Plan mensual'!J63,0))+parametros_manuales!$G$32*('Plan mensual'!J60+IF(parametros_manuales!$H$32="Todos",'Plan mensual'!J64,0)))*parametros_manuales!$I$32*parametros_manuales!$J$32</f>
        <v>9475.60430257</v>
      </c>
      <c r="I150" s="9" t="n">
        <f aca="false">(parametros_manuales!$D$32*('Plan mensual'!K57+IF(parametros_manuales!$H$32="Todos",'Plan mensual'!K61,0))+parametros_manuales!$E$32*('Plan mensual'!K58+IF(parametros_manuales!$H$32="Todos",'Plan mensual'!K62,0))+parametros_manuales!$F$32*('Plan mensual'!K59+IF(parametros_manuales!$H$32="Todos",'Plan mensual'!K63,0))+parametros_manuales!$G$32*('Plan mensual'!K60+IF(parametros_manuales!$H$32="Todos",'Plan mensual'!K64,0)))*parametros_manuales!$I$32*parametros_manuales!$J$32</f>
        <v>9475.60430257</v>
      </c>
      <c r="J150" s="9" t="n">
        <f aca="false">(parametros_manuales!$D$32*('Plan mensual'!L57+IF(parametros_manuales!$H$32="Todos",'Plan mensual'!L61,0))+parametros_manuales!$E$32*('Plan mensual'!L58+IF(parametros_manuales!$H$32="Todos",'Plan mensual'!L62,0))+parametros_manuales!$F$32*('Plan mensual'!L59+IF(parametros_manuales!$H$32="Todos",'Plan mensual'!L63,0))+parametros_manuales!$G$32*('Plan mensual'!L60+IF(parametros_manuales!$H$32="Todos",'Plan mensual'!L64,0)))*parametros_manuales!$I$32*parametros_manuales!$J$32</f>
        <v>9475.60430257</v>
      </c>
      <c r="K150" s="9" t="n">
        <f aca="false">(parametros_manuales!$D$32*('Plan mensual'!M57+IF(parametros_manuales!$H$32="Todos",'Plan mensual'!M61,0))+parametros_manuales!$E$32*('Plan mensual'!M58+IF(parametros_manuales!$H$32="Todos",'Plan mensual'!M62,0))+parametros_manuales!$F$32*('Plan mensual'!M59+IF(parametros_manuales!$H$32="Todos",'Plan mensual'!M63,0))+parametros_manuales!$G$32*('Plan mensual'!M60+IF(parametros_manuales!$H$32="Todos",'Plan mensual'!M64,0)))*parametros_manuales!$I$32*parametros_manuales!$J$32</f>
        <v>9292.599907425</v>
      </c>
      <c r="L150" s="9" t="n">
        <f aca="false">(parametros_manuales!$D$32*('Plan mensual'!N57+IF(parametros_manuales!$H$32="Todos",'Plan mensual'!N61,0))+parametros_manuales!$E$32*('Plan mensual'!N58+IF(parametros_manuales!$H$32="Todos",'Plan mensual'!N62,0))+parametros_manuales!$F$32*('Plan mensual'!N59+IF(parametros_manuales!$H$32="Todos",'Plan mensual'!N63,0))+parametros_manuales!$G$32*('Plan mensual'!N60+IF(parametros_manuales!$H$32="Todos",'Plan mensual'!N64,0)))*parametros_manuales!$I$32*parametros_manuales!$J$32</f>
        <v>9109.59551228</v>
      </c>
      <c r="M150" s="9" t="n">
        <f aca="false">(parametros_manuales!$D$32*('Plan mensual'!O57+IF(parametros_manuales!$H$32="Todos",'Plan mensual'!O61,0))+parametros_manuales!$E$32*('Plan mensual'!O58+IF(parametros_manuales!$H$32="Todos",'Plan mensual'!O62,0))+parametros_manuales!$F$32*('Plan mensual'!O59+IF(parametros_manuales!$H$32="Todos",'Plan mensual'!O63,0))+parametros_manuales!$G$32*('Plan mensual'!O60+IF(parametros_manuales!$H$32="Todos",'Plan mensual'!O64,0)))*parametros_manuales!$I$32*parametros_manuales!$J$32</f>
        <v>14502.15106159</v>
      </c>
      <c r="N150" s="9" t="n">
        <f aca="false">SUM(B150:M150)</f>
        <v>123901.332099</v>
      </c>
      <c r="O150" s="9" t="n">
        <f aca="false">MAX(B150:M150)</f>
        <v>14502.15106159</v>
      </c>
      <c r="P150" s="43" t="n">
        <f aca="false">O150/(parametros_manuales!$B$7)</f>
        <v>96.6810070772667</v>
      </c>
      <c r="Q150" s="8" t="str">
        <f aca="false">IF(O150=0,"-",INDEX($B$136:$M$136,MATCH(O150,B150:M150,0)))</f>
        <v>Dic</v>
      </c>
    </row>
    <row r="151" customFormat="false" ht="14.25" hidden="false" customHeight="true" outlineLevel="0" collapsed="false">
      <c r="A151" s="8" t="str">
        <f aca="false">parametros_manuales!$B$33</f>
        <v>Secado</v>
      </c>
      <c r="B151" s="9" t="n">
        <f aca="false">(parametros_manuales!$D$33*('Plan mensual'!D57+IF(parametros_manuales!$H$33="Todos",'Plan mensual'!D61,0))+parametros_manuales!$E$33*('Plan mensual'!D58+IF(parametros_manuales!$H$33="Todos",'Plan mensual'!D62,0))+parametros_manuales!$F$33*('Plan mensual'!D59+IF(parametros_manuales!$H$33="Todos",'Plan mensual'!D63,0))+parametros_manuales!$G$33*('Plan mensual'!D60+IF(parametros_manuales!$H$33="Todos",'Plan mensual'!D64,0)))*parametros_manuales!$I$33*parametros_manuales!$J$33</f>
        <v>14136.1422713</v>
      </c>
      <c r="C151" s="9" t="n">
        <f aca="false">(parametros_manuales!$D$33*('Plan mensual'!E57+IF(parametros_manuales!$H$33="Todos",'Plan mensual'!E61,0))+parametros_manuales!$E$33*('Plan mensual'!E58+IF(parametros_manuales!$H$33="Todos",'Plan mensual'!E62,0))+parametros_manuales!$F$33*('Plan mensual'!E59+IF(parametros_manuales!$H$33="Todos",'Plan mensual'!E63,0))+parametros_manuales!$G$33*('Plan mensual'!E60+IF(parametros_manuales!$H$33="Todos",'Plan mensual'!E64,0)))*parametros_manuales!$I$33*parametros_manuales!$J$33</f>
        <v>10785.11109862</v>
      </c>
      <c r="D151" s="9" t="n">
        <f aca="false">(parametros_manuales!$D$33*('Plan mensual'!F57+IF(parametros_manuales!$H$33="Todos",'Plan mensual'!F61,0))+parametros_manuales!$E$33*('Plan mensual'!F58+IF(parametros_manuales!$H$33="Todos",'Plan mensual'!F62,0))+parametros_manuales!$F$33*('Plan mensual'!F59+IF(parametros_manuales!$H$33="Todos",'Plan mensual'!F63,0))+parametros_manuales!$G$33*('Plan mensual'!F60+IF(parametros_manuales!$H$33="Todos",'Plan mensual'!F64,0)))*parametros_manuales!$I$33*parametros_manuales!$J$33</f>
        <v>10095.110963065</v>
      </c>
      <c r="E151" s="9" t="n">
        <f aca="false">(parametros_manuales!$D$33*('Plan mensual'!G57+IF(parametros_manuales!$H$33="Todos",'Plan mensual'!G61,0))+parametros_manuales!$E$33*('Plan mensual'!G58+IF(parametros_manuales!$H$33="Todos",'Plan mensual'!G62,0))+parametros_manuales!$F$33*('Plan mensual'!G59+IF(parametros_manuales!$H$33="Todos",'Plan mensual'!G63,0))+parametros_manuales!$G$33*('Plan mensual'!G60+IF(parametros_manuales!$H$33="Todos",'Plan mensual'!G64,0)))*parametros_manuales!$I$33*parametros_manuales!$J$33</f>
        <v>9658.608697715</v>
      </c>
      <c r="F151" s="9" t="n">
        <f aca="false">(parametros_manuales!$D$33*('Plan mensual'!H57+IF(parametros_manuales!$H$33="Todos",'Plan mensual'!H61,0))+parametros_manuales!$E$33*('Plan mensual'!H58+IF(parametros_manuales!$H$33="Todos",'Plan mensual'!H62,0))+parametros_manuales!$F$33*('Plan mensual'!H59+IF(parametros_manuales!$H$33="Todos",'Plan mensual'!H63,0))+parametros_manuales!$G$33*('Plan mensual'!H60+IF(parametros_manuales!$H$33="Todos",'Plan mensual'!H64,0)))*parametros_manuales!$I$33*parametros_manuales!$J$33</f>
        <v>9039.10203722</v>
      </c>
      <c r="G151" s="9" t="n">
        <f aca="false">(parametros_manuales!$D$33*('Plan mensual'!I57+IF(parametros_manuales!$H$33="Todos",'Plan mensual'!I61,0))+parametros_manuales!$E$33*('Plan mensual'!I58+IF(parametros_manuales!$H$33="Todos",'Plan mensual'!I62,0))+parametros_manuales!$F$33*('Plan mensual'!I59+IF(parametros_manuales!$H$33="Todos",'Plan mensual'!I63,0))+parametros_manuales!$G$33*('Plan mensual'!I60+IF(parametros_manuales!$H$33="Todos",'Plan mensual'!I64,0)))*parametros_manuales!$I$33*parametros_manuales!$J$33</f>
        <v>8856.097642075</v>
      </c>
      <c r="H151" s="9" t="n">
        <f aca="false">(parametros_manuales!$D$33*('Plan mensual'!J57+IF(parametros_manuales!$H$33="Todos",'Plan mensual'!J61,0))+parametros_manuales!$E$33*('Plan mensual'!J58+IF(parametros_manuales!$H$33="Todos",'Plan mensual'!J62,0))+parametros_manuales!$F$33*('Plan mensual'!J59+IF(parametros_manuales!$H$33="Todos",'Plan mensual'!J63,0))+parametros_manuales!$G$33*('Plan mensual'!J60+IF(parametros_manuales!$H$33="Todos",'Plan mensual'!J64,0)))*parametros_manuales!$I$33*parametros_manuales!$J$33</f>
        <v>9475.60430257</v>
      </c>
      <c r="I151" s="9" t="n">
        <f aca="false">(parametros_manuales!$D$33*('Plan mensual'!K57+IF(parametros_manuales!$H$33="Todos",'Plan mensual'!K61,0))+parametros_manuales!$E$33*('Plan mensual'!K58+IF(parametros_manuales!$H$33="Todos",'Plan mensual'!K62,0))+parametros_manuales!$F$33*('Plan mensual'!K59+IF(parametros_manuales!$H$33="Todos",'Plan mensual'!K63,0))+parametros_manuales!$G$33*('Plan mensual'!K60+IF(parametros_manuales!$H$33="Todos",'Plan mensual'!K64,0)))*parametros_manuales!$I$33*parametros_manuales!$J$33</f>
        <v>9475.60430257</v>
      </c>
      <c r="J151" s="9" t="n">
        <f aca="false">(parametros_manuales!$D$33*('Plan mensual'!L57+IF(parametros_manuales!$H$33="Todos",'Plan mensual'!L61,0))+parametros_manuales!$E$33*('Plan mensual'!L58+IF(parametros_manuales!$H$33="Todos",'Plan mensual'!L62,0))+parametros_manuales!$F$33*('Plan mensual'!L59+IF(parametros_manuales!$H$33="Todos",'Plan mensual'!L63,0))+parametros_manuales!$G$33*('Plan mensual'!L60+IF(parametros_manuales!$H$33="Todos",'Plan mensual'!L64,0)))*parametros_manuales!$I$33*parametros_manuales!$J$33</f>
        <v>9475.60430257</v>
      </c>
      <c r="K151" s="9" t="n">
        <f aca="false">(parametros_manuales!$D$33*('Plan mensual'!M57+IF(parametros_manuales!$H$33="Todos",'Plan mensual'!M61,0))+parametros_manuales!$E$33*('Plan mensual'!M58+IF(parametros_manuales!$H$33="Todos",'Plan mensual'!M62,0))+parametros_manuales!$F$33*('Plan mensual'!M59+IF(parametros_manuales!$H$33="Todos",'Plan mensual'!M63,0))+parametros_manuales!$G$33*('Plan mensual'!M60+IF(parametros_manuales!$H$33="Todos",'Plan mensual'!M64,0)))*parametros_manuales!$I$33*parametros_manuales!$J$33</f>
        <v>9292.599907425</v>
      </c>
      <c r="L151" s="9" t="n">
        <f aca="false">(parametros_manuales!$D$33*('Plan mensual'!N57+IF(parametros_manuales!$H$33="Todos",'Plan mensual'!N61,0))+parametros_manuales!$E$33*('Plan mensual'!N58+IF(parametros_manuales!$H$33="Todos",'Plan mensual'!N62,0))+parametros_manuales!$F$33*('Plan mensual'!N59+IF(parametros_manuales!$H$33="Todos",'Plan mensual'!N63,0))+parametros_manuales!$G$33*('Plan mensual'!N60+IF(parametros_manuales!$H$33="Todos",'Plan mensual'!N64,0)))*parametros_manuales!$I$33*parametros_manuales!$J$33</f>
        <v>9109.59551228</v>
      </c>
      <c r="M151" s="9" t="n">
        <f aca="false">(parametros_manuales!$D$33*('Plan mensual'!O57+IF(parametros_manuales!$H$33="Todos",'Plan mensual'!O61,0))+parametros_manuales!$E$33*('Plan mensual'!O58+IF(parametros_manuales!$H$33="Todos",'Plan mensual'!O62,0))+parametros_manuales!$F$33*('Plan mensual'!O59+IF(parametros_manuales!$H$33="Todos",'Plan mensual'!O63,0))+parametros_manuales!$G$33*('Plan mensual'!O60+IF(parametros_manuales!$H$33="Todos",'Plan mensual'!O64,0)))*parametros_manuales!$I$33*parametros_manuales!$J$33</f>
        <v>14502.15106159</v>
      </c>
      <c r="N151" s="9" t="n">
        <f aca="false">SUM(B151:M151)</f>
        <v>123901.332099</v>
      </c>
      <c r="O151" s="9" t="n">
        <f aca="false">MAX(B151:M151)</f>
        <v>14502.15106159</v>
      </c>
      <c r="P151" s="43" t="n">
        <f aca="false">O151/(parametros_manuales!$B$7)</f>
        <v>96.6810070772667</v>
      </c>
      <c r="Q151" s="8" t="str">
        <f aca="false">IF(O151=0,"-",INDEX($B$136:$M$136,MATCH(O151,B151:M151,0)))</f>
        <v>Dic</v>
      </c>
    </row>
    <row r="152" customFormat="false" ht="14.25" hidden="false" customHeight="true" outlineLevel="0" collapsed="false">
      <c r="A152" s="8" t="str">
        <f aca="false">parametros_manuales!$B$34</f>
        <v>Granallado</v>
      </c>
      <c r="B152" s="9" t="n">
        <f aca="false">(parametros_manuales!$D$34*('Plan mensual'!D57+IF(parametros_manuales!$H$34="Todos",'Plan mensual'!D61,0))+parametros_manuales!$E$34*('Plan mensual'!D58+IF(parametros_manuales!$H$34="Todos",'Plan mensual'!D62,0))+parametros_manuales!$F$34*('Plan mensual'!D59+IF(parametros_manuales!$H$34="Todos",'Plan mensual'!D63,0))+parametros_manuales!$G$34*('Plan mensual'!D60+IF(parametros_manuales!$H$34="Todos",'Plan mensual'!D64,0)))*parametros_manuales!$I$34*parametros_manuales!$J$34</f>
        <v>14136.1422713</v>
      </c>
      <c r="C152" s="9" t="n">
        <f aca="false">(parametros_manuales!$D$34*('Plan mensual'!E57+IF(parametros_manuales!$H$34="Todos",'Plan mensual'!E61,0))+parametros_manuales!$E$34*('Plan mensual'!E58+IF(parametros_manuales!$H$34="Todos",'Plan mensual'!E62,0))+parametros_manuales!$F$34*('Plan mensual'!E59+IF(parametros_manuales!$H$34="Todos",'Plan mensual'!E63,0))+parametros_manuales!$G$34*('Plan mensual'!E60+IF(parametros_manuales!$H$34="Todos",'Plan mensual'!E64,0)))*parametros_manuales!$I$34*parametros_manuales!$J$34</f>
        <v>10785.11109862</v>
      </c>
      <c r="D152" s="9" t="n">
        <f aca="false">(parametros_manuales!$D$34*('Plan mensual'!F57+IF(parametros_manuales!$H$34="Todos",'Plan mensual'!F61,0))+parametros_manuales!$E$34*('Plan mensual'!F58+IF(parametros_manuales!$H$34="Todos",'Plan mensual'!F62,0))+parametros_manuales!$F$34*('Plan mensual'!F59+IF(parametros_manuales!$H$34="Todos",'Plan mensual'!F63,0))+parametros_manuales!$G$34*('Plan mensual'!F60+IF(parametros_manuales!$H$34="Todos",'Plan mensual'!F64,0)))*parametros_manuales!$I$34*parametros_manuales!$J$34</f>
        <v>10095.110963065</v>
      </c>
      <c r="E152" s="9" t="n">
        <f aca="false">(parametros_manuales!$D$34*('Plan mensual'!G57+IF(parametros_manuales!$H$34="Todos",'Plan mensual'!G61,0))+parametros_manuales!$E$34*('Plan mensual'!G58+IF(parametros_manuales!$H$34="Todos",'Plan mensual'!G62,0))+parametros_manuales!$F$34*('Plan mensual'!G59+IF(parametros_manuales!$H$34="Todos",'Plan mensual'!G63,0))+parametros_manuales!$G$34*('Plan mensual'!G60+IF(parametros_manuales!$H$34="Todos",'Plan mensual'!G64,0)))*parametros_manuales!$I$34*parametros_manuales!$J$34</f>
        <v>9658.608697715</v>
      </c>
      <c r="F152" s="9" t="n">
        <f aca="false">(parametros_manuales!$D$34*('Plan mensual'!H57+IF(parametros_manuales!$H$34="Todos",'Plan mensual'!H61,0))+parametros_manuales!$E$34*('Plan mensual'!H58+IF(parametros_manuales!$H$34="Todos",'Plan mensual'!H62,0))+parametros_manuales!$F$34*('Plan mensual'!H59+IF(parametros_manuales!$H$34="Todos",'Plan mensual'!H63,0))+parametros_manuales!$G$34*('Plan mensual'!H60+IF(parametros_manuales!$H$34="Todos",'Plan mensual'!H64,0)))*parametros_manuales!$I$34*parametros_manuales!$J$34</f>
        <v>9039.10203722</v>
      </c>
      <c r="G152" s="9" t="n">
        <f aca="false">(parametros_manuales!$D$34*('Plan mensual'!I57+IF(parametros_manuales!$H$34="Todos",'Plan mensual'!I61,0))+parametros_manuales!$E$34*('Plan mensual'!I58+IF(parametros_manuales!$H$34="Todos",'Plan mensual'!I62,0))+parametros_manuales!$F$34*('Plan mensual'!I59+IF(parametros_manuales!$H$34="Todos",'Plan mensual'!I63,0))+parametros_manuales!$G$34*('Plan mensual'!I60+IF(parametros_manuales!$H$34="Todos",'Plan mensual'!I64,0)))*parametros_manuales!$I$34*parametros_manuales!$J$34</f>
        <v>8856.097642075</v>
      </c>
      <c r="H152" s="9" t="n">
        <f aca="false">(parametros_manuales!$D$34*('Plan mensual'!J57+IF(parametros_manuales!$H$34="Todos",'Plan mensual'!J61,0))+parametros_manuales!$E$34*('Plan mensual'!J58+IF(parametros_manuales!$H$34="Todos",'Plan mensual'!J62,0))+parametros_manuales!$F$34*('Plan mensual'!J59+IF(parametros_manuales!$H$34="Todos",'Plan mensual'!J63,0))+parametros_manuales!$G$34*('Plan mensual'!J60+IF(parametros_manuales!$H$34="Todos",'Plan mensual'!J64,0)))*parametros_manuales!$I$34*parametros_manuales!$J$34</f>
        <v>9475.60430257</v>
      </c>
      <c r="I152" s="9" t="n">
        <f aca="false">(parametros_manuales!$D$34*('Plan mensual'!K57+IF(parametros_manuales!$H$34="Todos",'Plan mensual'!K61,0))+parametros_manuales!$E$34*('Plan mensual'!K58+IF(parametros_manuales!$H$34="Todos",'Plan mensual'!K62,0))+parametros_manuales!$F$34*('Plan mensual'!K59+IF(parametros_manuales!$H$34="Todos",'Plan mensual'!K63,0))+parametros_manuales!$G$34*('Plan mensual'!K60+IF(parametros_manuales!$H$34="Todos",'Plan mensual'!K64,0)))*parametros_manuales!$I$34*parametros_manuales!$J$34</f>
        <v>9475.60430257</v>
      </c>
      <c r="J152" s="9" t="n">
        <f aca="false">(parametros_manuales!$D$34*('Plan mensual'!L57+IF(parametros_manuales!$H$34="Todos",'Plan mensual'!L61,0))+parametros_manuales!$E$34*('Plan mensual'!L58+IF(parametros_manuales!$H$34="Todos",'Plan mensual'!L62,0))+parametros_manuales!$F$34*('Plan mensual'!L59+IF(parametros_manuales!$H$34="Todos",'Plan mensual'!L63,0))+parametros_manuales!$G$34*('Plan mensual'!L60+IF(parametros_manuales!$H$34="Todos",'Plan mensual'!L64,0)))*parametros_manuales!$I$34*parametros_manuales!$J$34</f>
        <v>9475.60430257</v>
      </c>
      <c r="K152" s="9" t="n">
        <f aca="false">(parametros_manuales!$D$34*('Plan mensual'!M57+IF(parametros_manuales!$H$34="Todos",'Plan mensual'!M61,0))+parametros_manuales!$E$34*('Plan mensual'!M58+IF(parametros_manuales!$H$34="Todos",'Plan mensual'!M62,0))+parametros_manuales!$F$34*('Plan mensual'!M59+IF(parametros_manuales!$H$34="Todos",'Plan mensual'!M63,0))+parametros_manuales!$G$34*('Plan mensual'!M60+IF(parametros_manuales!$H$34="Todos",'Plan mensual'!M64,0)))*parametros_manuales!$I$34*parametros_manuales!$J$34</f>
        <v>9292.599907425</v>
      </c>
      <c r="L152" s="9" t="n">
        <f aca="false">(parametros_manuales!$D$34*('Plan mensual'!N57+IF(parametros_manuales!$H$34="Todos",'Plan mensual'!N61,0))+parametros_manuales!$E$34*('Plan mensual'!N58+IF(parametros_manuales!$H$34="Todos",'Plan mensual'!N62,0))+parametros_manuales!$F$34*('Plan mensual'!N59+IF(parametros_manuales!$H$34="Todos",'Plan mensual'!N63,0))+parametros_manuales!$G$34*('Plan mensual'!N60+IF(parametros_manuales!$H$34="Todos",'Plan mensual'!N64,0)))*parametros_manuales!$I$34*parametros_manuales!$J$34</f>
        <v>9109.59551228</v>
      </c>
      <c r="M152" s="9" t="n">
        <f aca="false">(parametros_manuales!$D$34*('Plan mensual'!O57+IF(parametros_manuales!$H$34="Todos",'Plan mensual'!O61,0))+parametros_manuales!$E$34*('Plan mensual'!O58+IF(parametros_manuales!$H$34="Todos",'Plan mensual'!O62,0))+parametros_manuales!$F$34*('Plan mensual'!O59+IF(parametros_manuales!$H$34="Todos",'Plan mensual'!O63,0))+parametros_manuales!$G$34*('Plan mensual'!O60+IF(parametros_manuales!$H$34="Todos",'Plan mensual'!O64,0)))*parametros_manuales!$I$34*parametros_manuales!$J$34</f>
        <v>14502.15106159</v>
      </c>
      <c r="N152" s="9" t="n">
        <f aca="false">SUM(B152:M152)</f>
        <v>123901.332099</v>
      </c>
      <c r="O152" s="9" t="n">
        <f aca="false">MAX(B152:M152)</f>
        <v>14502.15106159</v>
      </c>
      <c r="P152" s="43" t="n">
        <f aca="false">O152/(parametros_manuales!$B$7)</f>
        <v>96.6810070772667</v>
      </c>
      <c r="Q152" s="8" t="str">
        <f aca="false">IF(O152=0,"-",INDEX($B$136:$M$136,MATCH(O152,B152:M152,0)))</f>
        <v>Dic</v>
      </c>
    </row>
    <row r="153" customFormat="false" ht="14.25" hidden="false" customHeight="true" outlineLevel="0" collapsed="false">
      <c r="A153" s="8" t="str">
        <f aca="false">parametros_manuales!$B$35</f>
        <v>Detección de defectos</v>
      </c>
      <c r="B153" s="9" t="n">
        <f aca="false">(parametros_manuales!$D$35*('Plan mensual'!D57+IF(parametros_manuales!$H$35="Todos",'Plan mensual'!D61,0))+parametros_manuales!$E$35*('Plan mensual'!D58+IF(parametros_manuales!$H$35="Todos",'Plan mensual'!D62,0))+parametros_manuales!$F$35*('Plan mensual'!D59+IF(parametros_manuales!$H$35="Todos",'Plan mensual'!D63,0))+parametros_manuales!$G$35*('Plan mensual'!D60+IF(parametros_manuales!$H$35="Todos",'Plan mensual'!D64,0)))*parametros_manuales!$I$35*parametros_manuales!$J$35</f>
        <v>14136.1422713</v>
      </c>
      <c r="C153" s="9" t="n">
        <f aca="false">(parametros_manuales!$D$35*('Plan mensual'!E57+IF(parametros_manuales!$H$35="Todos",'Plan mensual'!E61,0))+parametros_manuales!$E$35*('Plan mensual'!E58+IF(parametros_manuales!$H$35="Todos",'Plan mensual'!E62,0))+parametros_manuales!$F$35*('Plan mensual'!E59+IF(parametros_manuales!$H$35="Todos",'Plan mensual'!E63,0))+parametros_manuales!$G$35*('Plan mensual'!E60+IF(parametros_manuales!$H$35="Todos",'Plan mensual'!E64,0)))*parametros_manuales!$I$35*parametros_manuales!$J$35</f>
        <v>10785.11109862</v>
      </c>
      <c r="D153" s="9" t="n">
        <f aca="false">(parametros_manuales!$D$35*('Plan mensual'!F57+IF(parametros_manuales!$H$35="Todos",'Plan mensual'!F61,0))+parametros_manuales!$E$35*('Plan mensual'!F58+IF(parametros_manuales!$H$35="Todos",'Plan mensual'!F62,0))+parametros_manuales!$F$35*('Plan mensual'!F59+IF(parametros_manuales!$H$35="Todos",'Plan mensual'!F63,0))+parametros_manuales!$G$35*('Plan mensual'!F60+IF(parametros_manuales!$H$35="Todos",'Plan mensual'!F64,0)))*parametros_manuales!$I$35*parametros_manuales!$J$35</f>
        <v>10095.110963065</v>
      </c>
      <c r="E153" s="9" t="n">
        <f aca="false">(parametros_manuales!$D$35*('Plan mensual'!G57+IF(parametros_manuales!$H$35="Todos",'Plan mensual'!G61,0))+parametros_manuales!$E$35*('Plan mensual'!G58+IF(parametros_manuales!$H$35="Todos",'Plan mensual'!G62,0))+parametros_manuales!$F$35*('Plan mensual'!G59+IF(parametros_manuales!$H$35="Todos",'Plan mensual'!G63,0))+parametros_manuales!$G$35*('Plan mensual'!G60+IF(parametros_manuales!$H$35="Todos",'Plan mensual'!G64,0)))*parametros_manuales!$I$35*parametros_manuales!$J$35</f>
        <v>9658.608697715</v>
      </c>
      <c r="F153" s="9" t="n">
        <f aca="false">(parametros_manuales!$D$35*('Plan mensual'!H57+IF(parametros_manuales!$H$35="Todos",'Plan mensual'!H61,0))+parametros_manuales!$E$35*('Plan mensual'!H58+IF(parametros_manuales!$H$35="Todos",'Plan mensual'!H62,0))+parametros_manuales!$F$35*('Plan mensual'!H59+IF(parametros_manuales!$H$35="Todos",'Plan mensual'!H63,0))+parametros_manuales!$G$35*('Plan mensual'!H60+IF(parametros_manuales!$H$35="Todos",'Plan mensual'!H64,0)))*parametros_manuales!$I$35*parametros_manuales!$J$35</f>
        <v>9039.10203722</v>
      </c>
      <c r="G153" s="9" t="n">
        <f aca="false">(parametros_manuales!$D$35*('Plan mensual'!I57+IF(parametros_manuales!$H$35="Todos",'Plan mensual'!I61,0))+parametros_manuales!$E$35*('Plan mensual'!I58+IF(parametros_manuales!$H$35="Todos",'Plan mensual'!I62,0))+parametros_manuales!$F$35*('Plan mensual'!I59+IF(parametros_manuales!$H$35="Todos",'Plan mensual'!I63,0))+parametros_manuales!$G$35*('Plan mensual'!I60+IF(parametros_manuales!$H$35="Todos",'Plan mensual'!I64,0)))*parametros_manuales!$I$35*parametros_manuales!$J$35</f>
        <v>8856.097642075</v>
      </c>
      <c r="H153" s="9" t="n">
        <f aca="false">(parametros_manuales!$D$35*('Plan mensual'!J57+IF(parametros_manuales!$H$35="Todos",'Plan mensual'!J61,0))+parametros_manuales!$E$35*('Plan mensual'!J58+IF(parametros_manuales!$H$35="Todos",'Plan mensual'!J62,0))+parametros_manuales!$F$35*('Plan mensual'!J59+IF(parametros_manuales!$H$35="Todos",'Plan mensual'!J63,0))+parametros_manuales!$G$35*('Plan mensual'!J60+IF(parametros_manuales!$H$35="Todos",'Plan mensual'!J64,0)))*parametros_manuales!$I$35*parametros_manuales!$J$35</f>
        <v>9475.60430257</v>
      </c>
      <c r="I153" s="9" t="n">
        <f aca="false">(parametros_manuales!$D$35*('Plan mensual'!K57+IF(parametros_manuales!$H$35="Todos",'Plan mensual'!K61,0))+parametros_manuales!$E$35*('Plan mensual'!K58+IF(parametros_manuales!$H$35="Todos",'Plan mensual'!K62,0))+parametros_manuales!$F$35*('Plan mensual'!K59+IF(parametros_manuales!$H$35="Todos",'Plan mensual'!K63,0))+parametros_manuales!$G$35*('Plan mensual'!K60+IF(parametros_manuales!$H$35="Todos",'Plan mensual'!K64,0)))*parametros_manuales!$I$35*parametros_manuales!$J$35</f>
        <v>9475.60430257</v>
      </c>
      <c r="J153" s="9" t="n">
        <f aca="false">(parametros_manuales!$D$35*('Plan mensual'!L57+IF(parametros_manuales!$H$35="Todos",'Plan mensual'!L61,0))+parametros_manuales!$E$35*('Plan mensual'!L58+IF(parametros_manuales!$H$35="Todos",'Plan mensual'!L62,0))+parametros_manuales!$F$35*('Plan mensual'!L59+IF(parametros_manuales!$H$35="Todos",'Plan mensual'!L63,0))+parametros_manuales!$G$35*('Plan mensual'!L60+IF(parametros_manuales!$H$35="Todos",'Plan mensual'!L64,0)))*parametros_manuales!$I$35*parametros_manuales!$J$35</f>
        <v>9475.60430257</v>
      </c>
      <c r="K153" s="9" t="n">
        <f aca="false">(parametros_manuales!$D$35*('Plan mensual'!M57+IF(parametros_manuales!$H$35="Todos",'Plan mensual'!M61,0))+parametros_manuales!$E$35*('Plan mensual'!M58+IF(parametros_manuales!$H$35="Todos",'Plan mensual'!M62,0))+parametros_manuales!$F$35*('Plan mensual'!M59+IF(parametros_manuales!$H$35="Todos",'Plan mensual'!M63,0))+parametros_manuales!$G$35*('Plan mensual'!M60+IF(parametros_manuales!$H$35="Todos",'Plan mensual'!M64,0)))*parametros_manuales!$I$35*parametros_manuales!$J$35</f>
        <v>9292.599907425</v>
      </c>
      <c r="L153" s="9" t="n">
        <f aca="false">(parametros_manuales!$D$35*('Plan mensual'!N57+IF(parametros_manuales!$H$35="Todos",'Plan mensual'!N61,0))+parametros_manuales!$E$35*('Plan mensual'!N58+IF(parametros_manuales!$H$35="Todos",'Plan mensual'!N62,0))+parametros_manuales!$F$35*('Plan mensual'!N59+IF(parametros_manuales!$H$35="Todos",'Plan mensual'!N63,0))+parametros_manuales!$G$35*('Plan mensual'!N60+IF(parametros_manuales!$H$35="Todos",'Plan mensual'!N64,0)))*parametros_manuales!$I$35*parametros_manuales!$J$35</f>
        <v>9109.59551228</v>
      </c>
      <c r="M153" s="9" t="n">
        <f aca="false">(parametros_manuales!$D$35*('Plan mensual'!O57+IF(parametros_manuales!$H$35="Todos",'Plan mensual'!O61,0))+parametros_manuales!$E$35*('Plan mensual'!O58+IF(parametros_manuales!$H$35="Todos",'Plan mensual'!O62,0))+parametros_manuales!$F$35*('Plan mensual'!O59+IF(parametros_manuales!$H$35="Todos",'Plan mensual'!O63,0))+parametros_manuales!$G$35*('Plan mensual'!O60+IF(parametros_manuales!$H$35="Todos",'Plan mensual'!O64,0)))*parametros_manuales!$I$35*parametros_manuales!$J$35</f>
        <v>14502.15106159</v>
      </c>
      <c r="N153" s="9" t="n">
        <f aca="false">SUM(B153:M153)</f>
        <v>123901.332099</v>
      </c>
      <c r="O153" s="9" t="n">
        <f aca="false">MAX(B153:M153)</f>
        <v>14502.15106159</v>
      </c>
      <c r="P153" s="43" t="n">
        <f aca="false">O153/(parametros_manuales!$B$7)</f>
        <v>96.6810070772667</v>
      </c>
      <c r="Q153" s="8" t="str">
        <f aca="false">IF(O153=0,"-",INDEX($B$136:$M$136,MATCH(O153,B153:M153,0)))</f>
        <v>Dic</v>
      </c>
    </row>
    <row r="154" customFormat="false" ht="14.25" hidden="false" customHeight="true" outlineLevel="0" collapsed="false">
      <c r="A154" s="8" t="str">
        <f aca="false">parametros_manuales!$B$36</f>
        <v>Corrección de defectos</v>
      </c>
      <c r="B154" s="9" t="n">
        <f aca="false">(parametros_manuales!$D$36*('Plan mensual'!D57+IF(parametros_manuales!$H$36="Todos",'Plan mensual'!D61,0))+parametros_manuales!$E$36*('Plan mensual'!D58+IF(parametros_manuales!$H$36="Todos",'Plan mensual'!D62,0))+parametros_manuales!$F$36*('Plan mensual'!D59+IF(parametros_manuales!$H$36="Todos",'Plan mensual'!D63,0))+parametros_manuales!$G$36*('Plan mensual'!D60+IF(parametros_manuales!$H$36="Todos",'Plan mensual'!D64,0)))*parametros_manuales!$I$36*parametros_manuales!$J$36</f>
        <v>706.807113565</v>
      </c>
      <c r="C154" s="9" t="n">
        <f aca="false">(parametros_manuales!$D$36*('Plan mensual'!E57+IF(parametros_manuales!$H$36="Todos",'Plan mensual'!E61,0))+parametros_manuales!$E$36*('Plan mensual'!E58+IF(parametros_manuales!$H$36="Todos",'Plan mensual'!E62,0))+parametros_manuales!$F$36*('Plan mensual'!E59+IF(parametros_manuales!$H$36="Todos",'Plan mensual'!E63,0))+parametros_manuales!$G$36*('Plan mensual'!E60+IF(parametros_manuales!$H$36="Todos",'Plan mensual'!E64,0)))*parametros_manuales!$I$36*parametros_manuales!$J$36</f>
        <v>539.255554931</v>
      </c>
      <c r="D154" s="9" t="n">
        <f aca="false">(parametros_manuales!$D$36*('Plan mensual'!F57+IF(parametros_manuales!$H$36="Todos",'Plan mensual'!F61,0))+parametros_manuales!$E$36*('Plan mensual'!F58+IF(parametros_manuales!$H$36="Todos",'Plan mensual'!F62,0))+parametros_manuales!$F$36*('Plan mensual'!F59+IF(parametros_manuales!$H$36="Todos",'Plan mensual'!F63,0))+parametros_manuales!$G$36*('Plan mensual'!F60+IF(parametros_manuales!$H$36="Todos",'Plan mensual'!F64,0)))*parametros_manuales!$I$36*parametros_manuales!$J$36</f>
        <v>504.75554815325</v>
      </c>
      <c r="E154" s="9" t="n">
        <f aca="false">(parametros_manuales!$D$36*('Plan mensual'!G57+IF(parametros_manuales!$H$36="Todos",'Plan mensual'!G61,0))+parametros_manuales!$E$36*('Plan mensual'!G58+IF(parametros_manuales!$H$36="Todos",'Plan mensual'!G62,0))+parametros_manuales!$F$36*('Plan mensual'!G59+IF(parametros_manuales!$H$36="Todos",'Plan mensual'!G63,0))+parametros_manuales!$G$36*('Plan mensual'!G60+IF(parametros_manuales!$H$36="Todos",'Plan mensual'!G64,0)))*parametros_manuales!$I$36*parametros_manuales!$J$36</f>
        <v>482.93043488575</v>
      </c>
      <c r="F154" s="9" t="n">
        <f aca="false">(parametros_manuales!$D$36*('Plan mensual'!H57+IF(parametros_manuales!$H$36="Todos",'Plan mensual'!H61,0))+parametros_manuales!$E$36*('Plan mensual'!H58+IF(parametros_manuales!$H$36="Todos",'Plan mensual'!H62,0))+parametros_manuales!$F$36*('Plan mensual'!H59+IF(parametros_manuales!$H$36="Todos",'Plan mensual'!H63,0))+parametros_manuales!$G$36*('Plan mensual'!H60+IF(parametros_manuales!$H$36="Todos",'Plan mensual'!H64,0)))*parametros_manuales!$I$36*parametros_manuales!$J$36</f>
        <v>451.955101861</v>
      </c>
      <c r="G154" s="9" t="n">
        <f aca="false">(parametros_manuales!$D$36*('Plan mensual'!I57+IF(parametros_manuales!$H$36="Todos",'Plan mensual'!I61,0))+parametros_manuales!$E$36*('Plan mensual'!I58+IF(parametros_manuales!$H$36="Todos",'Plan mensual'!I62,0))+parametros_manuales!$F$36*('Plan mensual'!I59+IF(parametros_manuales!$H$36="Todos",'Plan mensual'!I63,0))+parametros_manuales!$G$36*('Plan mensual'!I60+IF(parametros_manuales!$H$36="Todos",'Plan mensual'!I64,0)))*parametros_manuales!$I$36*parametros_manuales!$J$36</f>
        <v>442.80488210375</v>
      </c>
      <c r="H154" s="9" t="n">
        <f aca="false">(parametros_manuales!$D$36*('Plan mensual'!J57+IF(parametros_manuales!$H$36="Todos",'Plan mensual'!J61,0))+parametros_manuales!$E$36*('Plan mensual'!J58+IF(parametros_manuales!$H$36="Todos",'Plan mensual'!J62,0))+parametros_manuales!$F$36*('Plan mensual'!J59+IF(parametros_manuales!$H$36="Todos",'Plan mensual'!J63,0))+parametros_manuales!$G$36*('Plan mensual'!J60+IF(parametros_manuales!$H$36="Todos",'Plan mensual'!J64,0)))*parametros_manuales!$I$36*parametros_manuales!$J$36</f>
        <v>473.7802151285</v>
      </c>
      <c r="I154" s="9" t="n">
        <f aca="false">(parametros_manuales!$D$36*('Plan mensual'!K57+IF(parametros_manuales!$H$36="Todos",'Plan mensual'!K61,0))+parametros_manuales!$E$36*('Plan mensual'!K58+IF(parametros_manuales!$H$36="Todos",'Plan mensual'!K62,0))+parametros_manuales!$F$36*('Plan mensual'!K59+IF(parametros_manuales!$H$36="Todos",'Plan mensual'!K63,0))+parametros_manuales!$G$36*('Plan mensual'!K60+IF(parametros_manuales!$H$36="Todos",'Plan mensual'!K64,0)))*parametros_manuales!$I$36*parametros_manuales!$J$36</f>
        <v>473.7802151285</v>
      </c>
      <c r="J154" s="9" t="n">
        <f aca="false">(parametros_manuales!$D$36*('Plan mensual'!L57+IF(parametros_manuales!$H$36="Todos",'Plan mensual'!L61,0))+parametros_manuales!$E$36*('Plan mensual'!L58+IF(parametros_manuales!$H$36="Todos",'Plan mensual'!L62,0))+parametros_manuales!$F$36*('Plan mensual'!L59+IF(parametros_manuales!$H$36="Todos",'Plan mensual'!L63,0))+parametros_manuales!$G$36*('Plan mensual'!L60+IF(parametros_manuales!$H$36="Todos",'Plan mensual'!L64,0)))*parametros_manuales!$I$36*parametros_manuales!$J$36</f>
        <v>473.7802151285</v>
      </c>
      <c r="K154" s="9" t="n">
        <f aca="false">(parametros_manuales!$D$36*('Plan mensual'!M57+IF(parametros_manuales!$H$36="Todos",'Plan mensual'!M61,0))+parametros_manuales!$E$36*('Plan mensual'!M58+IF(parametros_manuales!$H$36="Todos",'Plan mensual'!M62,0))+parametros_manuales!$F$36*('Plan mensual'!M59+IF(parametros_manuales!$H$36="Todos",'Plan mensual'!M63,0))+parametros_manuales!$G$36*('Plan mensual'!M60+IF(parametros_manuales!$H$36="Todos",'Plan mensual'!M64,0)))*parametros_manuales!$I$36*parametros_manuales!$J$36</f>
        <v>464.62999537125</v>
      </c>
      <c r="L154" s="9" t="n">
        <f aca="false">(parametros_manuales!$D$36*('Plan mensual'!N57+IF(parametros_manuales!$H$36="Todos",'Plan mensual'!N61,0))+parametros_manuales!$E$36*('Plan mensual'!N58+IF(parametros_manuales!$H$36="Todos",'Plan mensual'!N62,0))+parametros_manuales!$F$36*('Plan mensual'!N59+IF(parametros_manuales!$H$36="Todos",'Plan mensual'!N63,0))+parametros_manuales!$G$36*('Plan mensual'!N60+IF(parametros_manuales!$H$36="Todos",'Plan mensual'!N64,0)))*parametros_manuales!$I$36*parametros_manuales!$J$36</f>
        <v>455.479775614</v>
      </c>
      <c r="M154" s="9" t="n">
        <f aca="false">(parametros_manuales!$D$36*('Plan mensual'!O57+IF(parametros_manuales!$H$36="Todos",'Plan mensual'!O61,0))+parametros_manuales!$E$36*('Plan mensual'!O58+IF(parametros_manuales!$H$36="Todos",'Plan mensual'!O62,0))+parametros_manuales!$F$36*('Plan mensual'!O59+IF(parametros_manuales!$H$36="Todos",'Plan mensual'!O63,0))+parametros_manuales!$G$36*('Plan mensual'!O60+IF(parametros_manuales!$H$36="Todos",'Plan mensual'!O64,0)))*parametros_manuales!$I$36*parametros_manuales!$J$36</f>
        <v>725.1075530795</v>
      </c>
      <c r="N154" s="9" t="n">
        <f aca="false">SUM(B154:M154)</f>
        <v>6195.06660495</v>
      </c>
      <c r="O154" s="9" t="n">
        <f aca="false">MAX(B154:M154)</f>
        <v>725.1075530795</v>
      </c>
      <c r="P154" s="43" t="n">
        <f aca="false">O154/(parametros_manuales!$B$7)</f>
        <v>4.83405035386333</v>
      </c>
      <c r="Q154" s="8" t="str">
        <f aca="false">IF(O154=0,"-",INDEX($B$136:$M$136,MATCH(O154,B154:M154,0)))</f>
        <v>Dic</v>
      </c>
    </row>
    <row r="155" customFormat="false" ht="14.25" hidden="false" customHeight="true" outlineLevel="0" collapsed="false">
      <c r="A155" s="8" t="str">
        <f aca="false">parametros_manuales!$B$37</f>
        <v>Pintura en polvo + horno</v>
      </c>
      <c r="B155" s="9" t="n">
        <f aca="false">(parametros_manuales!$D$37*('Plan mensual'!D57+IF(parametros_manuales!$H$37="Todos",'Plan mensual'!D61,0))+parametros_manuales!$E$37*('Plan mensual'!D58+IF(parametros_manuales!$H$37="Todos",'Plan mensual'!D62,0))+parametros_manuales!$F$37*('Plan mensual'!D59+IF(parametros_manuales!$H$37="Todos",'Plan mensual'!D63,0))+parametros_manuales!$G$37*('Plan mensual'!D60+IF(parametros_manuales!$H$37="Todos",'Plan mensual'!D64,0)))*parametros_manuales!$I$37*parametros_manuales!$J$37</f>
        <v>14136.1422713</v>
      </c>
      <c r="C155" s="9" t="n">
        <f aca="false">(parametros_manuales!$D$37*('Plan mensual'!E57+IF(parametros_manuales!$H$37="Todos",'Plan mensual'!E61,0))+parametros_manuales!$E$37*('Plan mensual'!E58+IF(parametros_manuales!$H$37="Todos",'Plan mensual'!E62,0))+parametros_manuales!$F$37*('Plan mensual'!E59+IF(parametros_manuales!$H$37="Todos",'Plan mensual'!E63,0))+parametros_manuales!$G$37*('Plan mensual'!E60+IF(parametros_manuales!$H$37="Todos",'Plan mensual'!E64,0)))*parametros_manuales!$I$37*parametros_manuales!$J$37</f>
        <v>10785.11109862</v>
      </c>
      <c r="D155" s="9" t="n">
        <f aca="false">(parametros_manuales!$D$37*('Plan mensual'!F57+IF(parametros_manuales!$H$37="Todos",'Plan mensual'!F61,0))+parametros_manuales!$E$37*('Plan mensual'!F58+IF(parametros_manuales!$H$37="Todos",'Plan mensual'!F62,0))+parametros_manuales!$F$37*('Plan mensual'!F59+IF(parametros_manuales!$H$37="Todos",'Plan mensual'!F63,0))+parametros_manuales!$G$37*('Plan mensual'!F60+IF(parametros_manuales!$H$37="Todos",'Plan mensual'!F64,0)))*parametros_manuales!$I$37*parametros_manuales!$J$37</f>
        <v>10095.110963065</v>
      </c>
      <c r="E155" s="9" t="n">
        <f aca="false">(parametros_manuales!$D$37*('Plan mensual'!G57+IF(parametros_manuales!$H$37="Todos",'Plan mensual'!G61,0))+parametros_manuales!$E$37*('Plan mensual'!G58+IF(parametros_manuales!$H$37="Todos",'Plan mensual'!G62,0))+parametros_manuales!$F$37*('Plan mensual'!G59+IF(parametros_manuales!$H$37="Todos",'Plan mensual'!G63,0))+parametros_manuales!$G$37*('Plan mensual'!G60+IF(parametros_manuales!$H$37="Todos",'Plan mensual'!G64,0)))*parametros_manuales!$I$37*parametros_manuales!$J$37</f>
        <v>9658.608697715</v>
      </c>
      <c r="F155" s="9" t="n">
        <f aca="false">(parametros_manuales!$D$37*('Plan mensual'!H57+IF(parametros_manuales!$H$37="Todos",'Plan mensual'!H61,0))+parametros_manuales!$E$37*('Plan mensual'!H58+IF(parametros_manuales!$H$37="Todos",'Plan mensual'!H62,0))+parametros_manuales!$F$37*('Plan mensual'!H59+IF(parametros_manuales!$H$37="Todos",'Plan mensual'!H63,0))+parametros_manuales!$G$37*('Plan mensual'!H60+IF(parametros_manuales!$H$37="Todos",'Plan mensual'!H64,0)))*parametros_manuales!$I$37*parametros_manuales!$J$37</f>
        <v>9039.10203722</v>
      </c>
      <c r="G155" s="9" t="n">
        <f aca="false">(parametros_manuales!$D$37*('Plan mensual'!I57+IF(parametros_manuales!$H$37="Todos",'Plan mensual'!I61,0))+parametros_manuales!$E$37*('Plan mensual'!I58+IF(parametros_manuales!$H$37="Todos",'Plan mensual'!I62,0))+parametros_manuales!$F$37*('Plan mensual'!I59+IF(parametros_manuales!$H$37="Todos",'Plan mensual'!I63,0))+parametros_manuales!$G$37*('Plan mensual'!I60+IF(parametros_manuales!$H$37="Todos",'Plan mensual'!I64,0)))*parametros_manuales!$I$37*parametros_manuales!$J$37</f>
        <v>8856.097642075</v>
      </c>
      <c r="H155" s="9" t="n">
        <f aca="false">(parametros_manuales!$D$37*('Plan mensual'!J57+IF(parametros_manuales!$H$37="Todos",'Plan mensual'!J61,0))+parametros_manuales!$E$37*('Plan mensual'!J58+IF(parametros_manuales!$H$37="Todos",'Plan mensual'!J62,0))+parametros_manuales!$F$37*('Plan mensual'!J59+IF(parametros_manuales!$H$37="Todos",'Plan mensual'!J63,0))+parametros_manuales!$G$37*('Plan mensual'!J60+IF(parametros_manuales!$H$37="Todos",'Plan mensual'!J64,0)))*parametros_manuales!$I$37*parametros_manuales!$J$37</f>
        <v>9475.60430257</v>
      </c>
      <c r="I155" s="9" t="n">
        <f aca="false">(parametros_manuales!$D$37*('Plan mensual'!K57+IF(parametros_manuales!$H$37="Todos",'Plan mensual'!K61,0))+parametros_manuales!$E$37*('Plan mensual'!K58+IF(parametros_manuales!$H$37="Todos",'Plan mensual'!K62,0))+parametros_manuales!$F$37*('Plan mensual'!K59+IF(parametros_manuales!$H$37="Todos",'Plan mensual'!K63,0))+parametros_manuales!$G$37*('Plan mensual'!K60+IF(parametros_manuales!$H$37="Todos",'Plan mensual'!K64,0)))*parametros_manuales!$I$37*parametros_manuales!$J$37</f>
        <v>9475.60430257</v>
      </c>
      <c r="J155" s="9" t="n">
        <f aca="false">(parametros_manuales!$D$37*('Plan mensual'!L57+IF(parametros_manuales!$H$37="Todos",'Plan mensual'!L61,0))+parametros_manuales!$E$37*('Plan mensual'!L58+IF(parametros_manuales!$H$37="Todos",'Plan mensual'!L62,0))+parametros_manuales!$F$37*('Plan mensual'!L59+IF(parametros_manuales!$H$37="Todos",'Plan mensual'!L63,0))+parametros_manuales!$G$37*('Plan mensual'!L60+IF(parametros_manuales!$H$37="Todos",'Plan mensual'!L64,0)))*parametros_manuales!$I$37*parametros_manuales!$J$37</f>
        <v>9475.60430257</v>
      </c>
      <c r="K155" s="9" t="n">
        <f aca="false">(parametros_manuales!$D$37*('Plan mensual'!M57+IF(parametros_manuales!$H$37="Todos",'Plan mensual'!M61,0))+parametros_manuales!$E$37*('Plan mensual'!M58+IF(parametros_manuales!$H$37="Todos",'Plan mensual'!M62,0))+parametros_manuales!$F$37*('Plan mensual'!M59+IF(parametros_manuales!$H$37="Todos",'Plan mensual'!M63,0))+parametros_manuales!$G$37*('Plan mensual'!M60+IF(parametros_manuales!$H$37="Todos",'Plan mensual'!M64,0)))*parametros_manuales!$I$37*parametros_manuales!$J$37</f>
        <v>9292.599907425</v>
      </c>
      <c r="L155" s="9" t="n">
        <f aca="false">(parametros_manuales!$D$37*('Plan mensual'!N57+IF(parametros_manuales!$H$37="Todos",'Plan mensual'!N61,0))+parametros_manuales!$E$37*('Plan mensual'!N58+IF(parametros_manuales!$H$37="Todos",'Plan mensual'!N62,0))+parametros_manuales!$F$37*('Plan mensual'!N59+IF(parametros_manuales!$H$37="Todos",'Plan mensual'!N63,0))+parametros_manuales!$G$37*('Plan mensual'!N60+IF(parametros_manuales!$H$37="Todos",'Plan mensual'!N64,0)))*parametros_manuales!$I$37*parametros_manuales!$J$37</f>
        <v>9109.59551228</v>
      </c>
      <c r="M155" s="9" t="n">
        <f aca="false">(parametros_manuales!$D$37*('Plan mensual'!O57+IF(parametros_manuales!$H$37="Todos",'Plan mensual'!O61,0))+parametros_manuales!$E$37*('Plan mensual'!O58+IF(parametros_manuales!$H$37="Todos",'Plan mensual'!O62,0))+parametros_manuales!$F$37*('Plan mensual'!O59+IF(parametros_manuales!$H$37="Todos",'Plan mensual'!O63,0))+parametros_manuales!$G$37*('Plan mensual'!O60+IF(parametros_manuales!$H$37="Todos",'Plan mensual'!O64,0)))*parametros_manuales!$I$37*parametros_manuales!$J$37</f>
        <v>14502.15106159</v>
      </c>
      <c r="N155" s="9" t="n">
        <f aca="false">SUM(B155:M155)</f>
        <v>123901.332099</v>
      </c>
      <c r="O155" s="9" t="n">
        <f aca="false">MAX(B155:M155)</f>
        <v>14502.15106159</v>
      </c>
      <c r="P155" s="43" t="n">
        <f aca="false">O155/(parametros_manuales!$B$7)</f>
        <v>96.6810070772667</v>
      </c>
      <c r="Q155" s="8" t="str">
        <f aca="false">IF(O155=0,"-",INDEX($B$136:$M$136,MATCH(O155,B155:M155,0)))</f>
        <v>Dic</v>
      </c>
    </row>
    <row r="156" customFormat="false" ht="14.25" hidden="false" customHeight="true" outlineLevel="0" collapsed="false">
      <c r="A156" s="8" t="str">
        <f aca="false">parametros_manuales!$B$38</f>
        <v>Carga de polvo</v>
      </c>
      <c r="B156" s="9" t="n">
        <f aca="false">(parametros_manuales!$D$38*('Plan mensual'!D57+IF(parametros_manuales!$H$38="Todos",'Plan mensual'!D61,0))+parametros_manuales!$E$38*('Plan mensual'!D58+IF(parametros_manuales!$H$38="Todos",'Plan mensual'!D62,0))+parametros_manuales!$F$38*('Plan mensual'!D59+IF(parametros_manuales!$H$38="Todos",'Plan mensual'!D63,0))+parametros_manuales!$G$38*('Plan mensual'!D60+IF(parametros_manuales!$H$38="Todos",'Plan mensual'!D64,0)))*parametros_manuales!$I$38*parametros_manuales!$J$38</f>
        <v>3761.4862713</v>
      </c>
      <c r="C156" s="9" t="n">
        <f aca="false">(parametros_manuales!$D$38*('Plan mensual'!E57+IF(parametros_manuales!$H$38="Todos",'Plan mensual'!E61,0))+parametros_manuales!$E$38*('Plan mensual'!E58+IF(parametros_manuales!$H$38="Todos",'Plan mensual'!E62,0))+parametros_manuales!$F$38*('Plan mensual'!E59+IF(parametros_manuales!$H$38="Todos",'Plan mensual'!E63,0))+parametros_manuales!$G$38*('Plan mensual'!E60+IF(parametros_manuales!$H$38="Todos",'Plan mensual'!E64,0)))*parametros_manuales!$I$38*parametros_manuales!$J$38</f>
        <v>2915.46749862</v>
      </c>
      <c r="D156" s="9" t="n">
        <f aca="false">(parametros_manuales!$D$38*('Plan mensual'!F57+IF(parametros_manuales!$H$38="Todos",'Plan mensual'!F61,0))+parametros_manuales!$E$38*('Plan mensual'!F58+IF(parametros_manuales!$H$38="Todos",'Plan mensual'!F62,0))+parametros_manuales!$F$38*('Plan mensual'!F59+IF(parametros_manuales!$H$38="Todos",'Plan mensual'!F63,0))+parametros_manuales!$G$38*('Plan mensual'!F60+IF(parametros_manuales!$H$38="Todos",'Plan mensual'!F64,0)))*parametros_manuales!$I$38*parametros_manuales!$J$38</f>
        <v>2853.617763065</v>
      </c>
      <c r="E156" s="9" t="n">
        <f aca="false">(parametros_manuales!$D$38*('Plan mensual'!G57+IF(parametros_manuales!$H$38="Todos",'Plan mensual'!G61,0))+parametros_manuales!$E$38*('Plan mensual'!G58+IF(parametros_manuales!$H$38="Todos",'Plan mensual'!G62,0))+parametros_manuales!$F$38*('Plan mensual'!G59+IF(parametros_manuales!$H$38="Todos",'Plan mensual'!G63,0))+parametros_manuales!$G$38*('Plan mensual'!G60+IF(parametros_manuales!$H$38="Todos",'Plan mensual'!G64,0)))*parametros_manuales!$I$38*parametros_manuales!$J$38</f>
        <v>2775.516497715</v>
      </c>
      <c r="F156" s="9" t="n">
        <f aca="false">(parametros_manuales!$D$38*('Plan mensual'!H57+IF(parametros_manuales!$H$38="Todos",'Plan mensual'!H61,0))+parametros_manuales!$E$38*('Plan mensual'!H58+IF(parametros_manuales!$H$38="Todos",'Plan mensual'!H62,0))+parametros_manuales!$F$38*('Plan mensual'!H59+IF(parametros_manuales!$H$38="Todos",'Plan mensual'!H63,0))+parametros_manuales!$G$38*('Plan mensual'!H60+IF(parametros_manuales!$H$38="Todos",'Plan mensual'!H64,0)))*parametros_manuales!$I$38*parametros_manuales!$J$38</f>
        <v>2603.06243722</v>
      </c>
      <c r="G156" s="9" t="n">
        <f aca="false">(parametros_manuales!$D$38*('Plan mensual'!I57+IF(parametros_manuales!$H$38="Todos",'Plan mensual'!I61,0))+parametros_manuales!$E$38*('Plan mensual'!I58+IF(parametros_manuales!$H$38="Todos",'Plan mensual'!I62,0))+parametros_manuales!$F$38*('Plan mensual'!I59+IF(parametros_manuales!$H$38="Todos",'Plan mensual'!I63,0))+parametros_manuales!$G$38*('Plan mensual'!I60+IF(parametros_manuales!$H$38="Todos",'Plan mensual'!I64,0)))*parametros_manuales!$I$38*parametros_manuales!$J$38</f>
        <v>2508.709642075</v>
      </c>
      <c r="H156" s="9" t="n">
        <f aca="false">(parametros_manuales!$D$38*('Plan mensual'!J57+IF(parametros_manuales!$H$38="Todos",'Plan mensual'!J61,0))+parametros_manuales!$E$38*('Plan mensual'!J58+IF(parametros_manuales!$H$38="Todos",'Plan mensual'!J62,0))+parametros_manuales!$F$38*('Plan mensual'!J59+IF(parametros_manuales!$H$38="Todos",'Plan mensual'!J63,0))+parametros_manuales!$G$38*('Plan mensual'!J60+IF(parametros_manuales!$H$38="Todos",'Plan mensual'!J64,0)))*parametros_manuales!$I$38*parametros_manuales!$J$38</f>
        <v>2681.16370257</v>
      </c>
      <c r="I156" s="9" t="n">
        <f aca="false">(parametros_manuales!$D$38*('Plan mensual'!K57+IF(parametros_manuales!$H$38="Todos",'Plan mensual'!K61,0))+parametros_manuales!$E$38*('Plan mensual'!K58+IF(parametros_manuales!$H$38="Todos",'Plan mensual'!K62,0))+parametros_manuales!$F$38*('Plan mensual'!K59+IF(parametros_manuales!$H$38="Todos",'Plan mensual'!K63,0))+parametros_manuales!$G$38*('Plan mensual'!K60+IF(parametros_manuales!$H$38="Todos",'Plan mensual'!K64,0)))*parametros_manuales!$I$38*parametros_manuales!$J$38</f>
        <v>2681.16370257</v>
      </c>
      <c r="J156" s="9" t="n">
        <f aca="false">(parametros_manuales!$D$38*('Plan mensual'!L57+IF(parametros_manuales!$H$38="Todos",'Plan mensual'!L61,0))+parametros_manuales!$E$38*('Plan mensual'!L58+IF(parametros_manuales!$H$38="Todos",'Plan mensual'!L62,0))+parametros_manuales!$F$38*('Plan mensual'!L59+IF(parametros_manuales!$H$38="Todos",'Plan mensual'!L63,0))+parametros_manuales!$G$38*('Plan mensual'!L60+IF(parametros_manuales!$H$38="Todos",'Plan mensual'!L64,0)))*parametros_manuales!$I$38*parametros_manuales!$J$38</f>
        <v>2681.16370257</v>
      </c>
      <c r="K156" s="9" t="n">
        <f aca="false">(parametros_manuales!$D$38*('Plan mensual'!M57+IF(parametros_manuales!$H$38="Todos",'Plan mensual'!M61,0))+parametros_manuales!$E$38*('Plan mensual'!M58+IF(parametros_manuales!$H$38="Todos",'Plan mensual'!M62,0))+parametros_manuales!$F$38*('Plan mensual'!M59+IF(parametros_manuales!$H$38="Todos",'Plan mensual'!M63,0))+parametros_manuales!$G$38*('Plan mensual'!M60+IF(parametros_manuales!$H$38="Todos",'Plan mensual'!M64,0)))*parametros_manuales!$I$38*parametros_manuales!$J$38</f>
        <v>2586.810907425</v>
      </c>
      <c r="L156" s="9" t="n">
        <f aca="false">(parametros_manuales!$D$38*('Plan mensual'!N57+IF(parametros_manuales!$H$38="Todos",'Plan mensual'!N61,0))+parametros_manuales!$E$38*('Plan mensual'!N58+IF(parametros_manuales!$H$38="Todos",'Plan mensual'!N62,0))+parametros_manuales!$F$38*('Plan mensual'!N59+IF(parametros_manuales!$H$38="Todos",'Plan mensual'!N63,0))+parametros_manuales!$G$38*('Plan mensual'!N60+IF(parametros_manuales!$H$38="Todos",'Plan mensual'!N64,0)))*parametros_manuales!$I$38*parametros_manuales!$J$38</f>
        <v>2492.45811228</v>
      </c>
      <c r="M156" s="9" t="n">
        <f aca="false">(parametros_manuales!$D$38*('Plan mensual'!O57+IF(parametros_manuales!$H$38="Todos",'Plan mensual'!O61,0))+parametros_manuales!$E$38*('Plan mensual'!O58+IF(parametros_manuales!$H$38="Todos",'Plan mensual'!O62,0))+parametros_manuales!$F$38*('Plan mensual'!O59+IF(parametros_manuales!$H$38="Todos",'Plan mensual'!O63,0))+parametros_manuales!$G$38*('Plan mensual'!O60+IF(parametros_manuales!$H$38="Todos",'Plan mensual'!O64,0)))*parametros_manuales!$I$38*parametros_manuales!$J$38</f>
        <v>3950.19186159</v>
      </c>
      <c r="N156" s="9" t="n">
        <f aca="false">SUM(B156:M156)</f>
        <v>34490.812099</v>
      </c>
      <c r="O156" s="9" t="n">
        <f aca="false">MAX(B156:M156)</f>
        <v>3950.19186159</v>
      </c>
      <c r="P156" s="43" t="n">
        <f aca="false">O156/(parametros_manuales!$B$7)</f>
        <v>26.3346124106</v>
      </c>
      <c r="Q156" s="8" t="str">
        <f aca="false">IF(O156=0,"-",INDEX($B$136:$M$136,MATCH(O156,B156:M156,0)))</f>
        <v>Dic</v>
      </c>
    </row>
    <row r="157" customFormat="false" ht="14.25" hidden="false" customHeight="true" outlineLevel="0" collapsed="false">
      <c r="A157" s="8" t="str">
        <f aca="false">parametros_manuales!$B$39</f>
        <v>Ensamblaje</v>
      </c>
      <c r="B157" s="9" t="n">
        <f aca="false">(parametros_manuales!$D$39*('Plan mensual'!D57+IF(parametros_manuales!$H$39="Todos",'Plan mensual'!D61,0))+parametros_manuales!$E$39*('Plan mensual'!D58+IF(parametros_manuales!$H$39="Todos",'Plan mensual'!D62,0))+parametros_manuales!$F$39*('Plan mensual'!D59+IF(parametros_manuales!$H$39="Todos",'Plan mensual'!D63,0))+parametros_manuales!$G$39*('Plan mensual'!D60+IF(parametros_manuales!$H$39="Todos",'Plan mensual'!D64,0)))*parametros_manuales!$I$39*parametros_manuales!$J$39</f>
        <v>3761.4862713</v>
      </c>
      <c r="C157" s="9" t="n">
        <f aca="false">(parametros_manuales!$D$39*('Plan mensual'!E57+IF(parametros_manuales!$H$39="Todos",'Plan mensual'!E61,0))+parametros_manuales!$E$39*('Plan mensual'!E58+IF(parametros_manuales!$H$39="Todos",'Plan mensual'!E62,0))+parametros_manuales!$F$39*('Plan mensual'!E59+IF(parametros_manuales!$H$39="Todos",'Plan mensual'!E63,0))+parametros_manuales!$G$39*('Plan mensual'!E60+IF(parametros_manuales!$H$39="Todos",'Plan mensual'!E64,0)))*parametros_manuales!$I$39*parametros_manuales!$J$39</f>
        <v>2915.46749862</v>
      </c>
      <c r="D157" s="9" t="n">
        <f aca="false">(parametros_manuales!$D$39*('Plan mensual'!F57+IF(parametros_manuales!$H$39="Todos",'Plan mensual'!F61,0))+parametros_manuales!$E$39*('Plan mensual'!F58+IF(parametros_manuales!$H$39="Todos",'Plan mensual'!F62,0))+parametros_manuales!$F$39*('Plan mensual'!F59+IF(parametros_manuales!$H$39="Todos",'Plan mensual'!F63,0))+parametros_manuales!$G$39*('Plan mensual'!F60+IF(parametros_manuales!$H$39="Todos",'Plan mensual'!F64,0)))*parametros_manuales!$I$39*parametros_manuales!$J$39</f>
        <v>2853.617763065</v>
      </c>
      <c r="E157" s="9" t="n">
        <f aca="false">(parametros_manuales!$D$39*('Plan mensual'!G57+IF(parametros_manuales!$H$39="Todos",'Plan mensual'!G61,0))+parametros_manuales!$E$39*('Plan mensual'!G58+IF(parametros_manuales!$H$39="Todos",'Plan mensual'!G62,0))+parametros_manuales!$F$39*('Plan mensual'!G59+IF(parametros_manuales!$H$39="Todos",'Plan mensual'!G63,0))+parametros_manuales!$G$39*('Plan mensual'!G60+IF(parametros_manuales!$H$39="Todos",'Plan mensual'!G64,0)))*parametros_manuales!$I$39*parametros_manuales!$J$39</f>
        <v>2775.516497715</v>
      </c>
      <c r="F157" s="9" t="n">
        <f aca="false">(parametros_manuales!$D$39*('Plan mensual'!H57+IF(parametros_manuales!$H$39="Todos",'Plan mensual'!H61,0))+parametros_manuales!$E$39*('Plan mensual'!H58+IF(parametros_manuales!$H$39="Todos",'Plan mensual'!H62,0))+parametros_manuales!$F$39*('Plan mensual'!H59+IF(parametros_manuales!$H$39="Todos",'Plan mensual'!H63,0))+parametros_manuales!$G$39*('Plan mensual'!H60+IF(parametros_manuales!$H$39="Todos",'Plan mensual'!H64,0)))*parametros_manuales!$I$39*parametros_manuales!$J$39</f>
        <v>2603.06243722</v>
      </c>
      <c r="G157" s="9" t="n">
        <f aca="false">(parametros_manuales!$D$39*('Plan mensual'!I57+IF(parametros_manuales!$H$39="Todos",'Plan mensual'!I61,0))+parametros_manuales!$E$39*('Plan mensual'!I58+IF(parametros_manuales!$H$39="Todos",'Plan mensual'!I62,0))+parametros_manuales!$F$39*('Plan mensual'!I59+IF(parametros_manuales!$H$39="Todos",'Plan mensual'!I63,0))+parametros_manuales!$G$39*('Plan mensual'!I60+IF(parametros_manuales!$H$39="Todos",'Plan mensual'!I64,0)))*parametros_manuales!$I$39*parametros_manuales!$J$39</f>
        <v>2508.709642075</v>
      </c>
      <c r="H157" s="9" t="n">
        <f aca="false">(parametros_manuales!$D$39*('Plan mensual'!J57+IF(parametros_manuales!$H$39="Todos",'Plan mensual'!J61,0))+parametros_manuales!$E$39*('Plan mensual'!J58+IF(parametros_manuales!$H$39="Todos",'Plan mensual'!J62,0))+parametros_manuales!$F$39*('Plan mensual'!J59+IF(parametros_manuales!$H$39="Todos",'Plan mensual'!J63,0))+parametros_manuales!$G$39*('Plan mensual'!J60+IF(parametros_manuales!$H$39="Todos",'Plan mensual'!J64,0)))*parametros_manuales!$I$39*parametros_manuales!$J$39</f>
        <v>2681.16370257</v>
      </c>
      <c r="I157" s="9" t="n">
        <f aca="false">(parametros_manuales!$D$39*('Plan mensual'!K57+IF(parametros_manuales!$H$39="Todos",'Plan mensual'!K61,0))+parametros_manuales!$E$39*('Plan mensual'!K58+IF(parametros_manuales!$H$39="Todos",'Plan mensual'!K62,0))+parametros_manuales!$F$39*('Plan mensual'!K59+IF(parametros_manuales!$H$39="Todos",'Plan mensual'!K63,0))+parametros_manuales!$G$39*('Plan mensual'!K60+IF(parametros_manuales!$H$39="Todos",'Plan mensual'!K64,0)))*parametros_manuales!$I$39*parametros_manuales!$J$39</f>
        <v>2681.16370257</v>
      </c>
      <c r="J157" s="9" t="n">
        <f aca="false">(parametros_manuales!$D$39*('Plan mensual'!L57+IF(parametros_manuales!$H$39="Todos",'Plan mensual'!L61,0))+parametros_manuales!$E$39*('Plan mensual'!L58+IF(parametros_manuales!$H$39="Todos",'Plan mensual'!L62,0))+parametros_manuales!$F$39*('Plan mensual'!L59+IF(parametros_manuales!$H$39="Todos",'Plan mensual'!L63,0))+parametros_manuales!$G$39*('Plan mensual'!L60+IF(parametros_manuales!$H$39="Todos",'Plan mensual'!L64,0)))*parametros_manuales!$I$39*parametros_manuales!$J$39</f>
        <v>2681.16370257</v>
      </c>
      <c r="K157" s="9" t="n">
        <f aca="false">(parametros_manuales!$D$39*('Plan mensual'!M57+IF(parametros_manuales!$H$39="Todos",'Plan mensual'!M61,0))+parametros_manuales!$E$39*('Plan mensual'!M58+IF(parametros_manuales!$H$39="Todos",'Plan mensual'!M62,0))+parametros_manuales!$F$39*('Plan mensual'!M59+IF(parametros_manuales!$H$39="Todos",'Plan mensual'!M63,0))+parametros_manuales!$G$39*('Plan mensual'!M60+IF(parametros_manuales!$H$39="Todos",'Plan mensual'!M64,0)))*parametros_manuales!$I$39*parametros_manuales!$J$39</f>
        <v>2586.810907425</v>
      </c>
      <c r="L157" s="9" t="n">
        <f aca="false">(parametros_manuales!$D$39*('Plan mensual'!N57+IF(parametros_manuales!$H$39="Todos",'Plan mensual'!N61,0))+parametros_manuales!$E$39*('Plan mensual'!N58+IF(parametros_manuales!$H$39="Todos",'Plan mensual'!N62,0))+parametros_manuales!$F$39*('Plan mensual'!N59+IF(parametros_manuales!$H$39="Todos",'Plan mensual'!N63,0))+parametros_manuales!$G$39*('Plan mensual'!N60+IF(parametros_manuales!$H$39="Todos",'Plan mensual'!N64,0)))*parametros_manuales!$I$39*parametros_manuales!$J$39</f>
        <v>2492.45811228</v>
      </c>
      <c r="M157" s="9" t="n">
        <f aca="false">(parametros_manuales!$D$39*('Plan mensual'!O57+IF(parametros_manuales!$H$39="Todos",'Plan mensual'!O61,0))+parametros_manuales!$E$39*('Plan mensual'!O58+IF(parametros_manuales!$H$39="Todos",'Plan mensual'!O62,0))+parametros_manuales!$F$39*('Plan mensual'!O59+IF(parametros_manuales!$H$39="Todos",'Plan mensual'!O63,0))+parametros_manuales!$G$39*('Plan mensual'!O60+IF(parametros_manuales!$H$39="Todos",'Plan mensual'!O64,0)))*parametros_manuales!$I$39*parametros_manuales!$J$39</f>
        <v>3950.19186159</v>
      </c>
      <c r="N157" s="9" t="n">
        <f aca="false">SUM(B157:M157)</f>
        <v>34490.812099</v>
      </c>
      <c r="O157" s="9" t="n">
        <f aca="false">MAX(B157:M157)</f>
        <v>3950.19186159</v>
      </c>
      <c r="P157" s="43" t="n">
        <f aca="false">O157/(parametros_manuales!$B$7)</f>
        <v>26.3346124106</v>
      </c>
      <c r="Q157" s="8" t="str">
        <f aca="false">IF(O157=0,"-",INDEX($B$136:$M$136,MATCH(O157,B157:M157,0)))</f>
        <v>Dic</v>
      </c>
    </row>
    <row r="158" customFormat="false" ht="14.25" hidden="false" customHeight="true" outlineLevel="0" collapsed="false">
      <c r="A158" s="8" t="str">
        <f aca="false">parametros_manuales!$B$40</f>
        <v>Presurización</v>
      </c>
      <c r="B158" s="9" t="n">
        <f aca="false">(parametros_manuales!$D$40*('Plan mensual'!D57+IF(parametros_manuales!$H$40="Todos",'Plan mensual'!D61,0))+parametros_manuales!$E$40*('Plan mensual'!D58+IF(parametros_manuales!$H$40="Todos",'Plan mensual'!D62,0))+parametros_manuales!$F$40*('Plan mensual'!D59+IF(parametros_manuales!$H$40="Todos",'Plan mensual'!D63,0))+parametros_manuales!$G$40*('Plan mensual'!D60+IF(parametros_manuales!$H$40="Todos",'Plan mensual'!D64,0)))*parametros_manuales!$I$40*parametros_manuales!$J$40</f>
        <v>3761.4862713</v>
      </c>
      <c r="C158" s="9" t="n">
        <f aca="false">(parametros_manuales!$D$40*('Plan mensual'!E57+IF(parametros_manuales!$H$40="Todos",'Plan mensual'!E61,0))+parametros_manuales!$E$40*('Plan mensual'!E58+IF(parametros_manuales!$H$40="Todos",'Plan mensual'!E62,0))+parametros_manuales!$F$40*('Plan mensual'!E59+IF(parametros_manuales!$H$40="Todos",'Plan mensual'!E63,0))+parametros_manuales!$G$40*('Plan mensual'!E60+IF(parametros_manuales!$H$40="Todos",'Plan mensual'!E64,0)))*parametros_manuales!$I$40*parametros_manuales!$J$40</f>
        <v>2915.46749862</v>
      </c>
      <c r="D158" s="9" t="n">
        <f aca="false">(parametros_manuales!$D$40*('Plan mensual'!F57+IF(parametros_manuales!$H$40="Todos",'Plan mensual'!F61,0))+parametros_manuales!$E$40*('Plan mensual'!F58+IF(parametros_manuales!$H$40="Todos",'Plan mensual'!F62,0))+parametros_manuales!$F$40*('Plan mensual'!F59+IF(parametros_manuales!$H$40="Todos",'Plan mensual'!F63,0))+parametros_manuales!$G$40*('Plan mensual'!F60+IF(parametros_manuales!$H$40="Todos",'Plan mensual'!F64,0)))*parametros_manuales!$I$40*parametros_manuales!$J$40</f>
        <v>2853.617763065</v>
      </c>
      <c r="E158" s="9" t="n">
        <f aca="false">(parametros_manuales!$D$40*('Plan mensual'!G57+IF(parametros_manuales!$H$40="Todos",'Plan mensual'!G61,0))+parametros_manuales!$E$40*('Plan mensual'!G58+IF(parametros_manuales!$H$40="Todos",'Plan mensual'!G62,0))+parametros_manuales!$F$40*('Plan mensual'!G59+IF(parametros_manuales!$H$40="Todos",'Plan mensual'!G63,0))+parametros_manuales!$G$40*('Plan mensual'!G60+IF(parametros_manuales!$H$40="Todos",'Plan mensual'!G64,0)))*parametros_manuales!$I$40*parametros_manuales!$J$40</f>
        <v>2775.516497715</v>
      </c>
      <c r="F158" s="9" t="n">
        <f aca="false">(parametros_manuales!$D$40*('Plan mensual'!H57+IF(parametros_manuales!$H$40="Todos",'Plan mensual'!H61,0))+parametros_manuales!$E$40*('Plan mensual'!H58+IF(parametros_manuales!$H$40="Todos",'Plan mensual'!H62,0))+parametros_manuales!$F$40*('Plan mensual'!H59+IF(parametros_manuales!$H$40="Todos",'Plan mensual'!H63,0))+parametros_manuales!$G$40*('Plan mensual'!H60+IF(parametros_manuales!$H$40="Todos",'Plan mensual'!H64,0)))*parametros_manuales!$I$40*parametros_manuales!$J$40</f>
        <v>2603.06243722</v>
      </c>
      <c r="G158" s="9" t="n">
        <f aca="false">(parametros_manuales!$D$40*('Plan mensual'!I57+IF(parametros_manuales!$H$40="Todos",'Plan mensual'!I61,0))+parametros_manuales!$E$40*('Plan mensual'!I58+IF(parametros_manuales!$H$40="Todos",'Plan mensual'!I62,0))+parametros_manuales!$F$40*('Plan mensual'!I59+IF(parametros_manuales!$H$40="Todos",'Plan mensual'!I63,0))+parametros_manuales!$G$40*('Plan mensual'!I60+IF(parametros_manuales!$H$40="Todos",'Plan mensual'!I64,0)))*parametros_manuales!$I$40*parametros_manuales!$J$40</f>
        <v>2508.709642075</v>
      </c>
      <c r="H158" s="9" t="n">
        <f aca="false">(parametros_manuales!$D$40*('Plan mensual'!J57+IF(parametros_manuales!$H$40="Todos",'Plan mensual'!J61,0))+parametros_manuales!$E$40*('Plan mensual'!J58+IF(parametros_manuales!$H$40="Todos",'Plan mensual'!J62,0))+parametros_manuales!$F$40*('Plan mensual'!J59+IF(parametros_manuales!$H$40="Todos",'Plan mensual'!J63,0))+parametros_manuales!$G$40*('Plan mensual'!J60+IF(parametros_manuales!$H$40="Todos",'Plan mensual'!J64,0)))*parametros_manuales!$I$40*parametros_manuales!$J$40</f>
        <v>2681.16370257</v>
      </c>
      <c r="I158" s="9" t="n">
        <f aca="false">(parametros_manuales!$D$40*('Plan mensual'!K57+IF(parametros_manuales!$H$40="Todos",'Plan mensual'!K61,0))+parametros_manuales!$E$40*('Plan mensual'!K58+IF(parametros_manuales!$H$40="Todos",'Plan mensual'!K62,0))+parametros_manuales!$F$40*('Plan mensual'!K59+IF(parametros_manuales!$H$40="Todos",'Plan mensual'!K63,0))+parametros_manuales!$G$40*('Plan mensual'!K60+IF(parametros_manuales!$H$40="Todos",'Plan mensual'!K64,0)))*parametros_manuales!$I$40*parametros_manuales!$J$40</f>
        <v>2681.16370257</v>
      </c>
      <c r="J158" s="9" t="n">
        <f aca="false">(parametros_manuales!$D$40*('Plan mensual'!L57+IF(parametros_manuales!$H$40="Todos",'Plan mensual'!L61,0))+parametros_manuales!$E$40*('Plan mensual'!L58+IF(parametros_manuales!$H$40="Todos",'Plan mensual'!L62,0))+parametros_manuales!$F$40*('Plan mensual'!L59+IF(parametros_manuales!$H$40="Todos",'Plan mensual'!L63,0))+parametros_manuales!$G$40*('Plan mensual'!L60+IF(parametros_manuales!$H$40="Todos",'Plan mensual'!L64,0)))*parametros_manuales!$I$40*parametros_manuales!$J$40</f>
        <v>2681.16370257</v>
      </c>
      <c r="K158" s="9" t="n">
        <f aca="false">(parametros_manuales!$D$40*('Plan mensual'!M57+IF(parametros_manuales!$H$40="Todos",'Plan mensual'!M61,0))+parametros_manuales!$E$40*('Plan mensual'!M58+IF(parametros_manuales!$H$40="Todos",'Plan mensual'!M62,0))+parametros_manuales!$F$40*('Plan mensual'!M59+IF(parametros_manuales!$H$40="Todos",'Plan mensual'!M63,0))+parametros_manuales!$G$40*('Plan mensual'!M60+IF(parametros_manuales!$H$40="Todos",'Plan mensual'!M64,0)))*parametros_manuales!$I$40*parametros_manuales!$J$40</f>
        <v>2586.810907425</v>
      </c>
      <c r="L158" s="9" t="n">
        <f aca="false">(parametros_manuales!$D$40*('Plan mensual'!N57+IF(parametros_manuales!$H$40="Todos",'Plan mensual'!N61,0))+parametros_manuales!$E$40*('Plan mensual'!N58+IF(parametros_manuales!$H$40="Todos",'Plan mensual'!N62,0))+parametros_manuales!$F$40*('Plan mensual'!N59+IF(parametros_manuales!$H$40="Todos",'Plan mensual'!N63,0))+parametros_manuales!$G$40*('Plan mensual'!N60+IF(parametros_manuales!$H$40="Todos",'Plan mensual'!N64,0)))*parametros_manuales!$I$40*parametros_manuales!$J$40</f>
        <v>2492.45811228</v>
      </c>
      <c r="M158" s="9" t="n">
        <f aca="false">(parametros_manuales!$D$40*('Plan mensual'!O57+IF(parametros_manuales!$H$40="Todos",'Plan mensual'!O61,0))+parametros_manuales!$E$40*('Plan mensual'!O58+IF(parametros_manuales!$H$40="Todos",'Plan mensual'!O62,0))+parametros_manuales!$F$40*('Plan mensual'!O59+IF(parametros_manuales!$H$40="Todos",'Plan mensual'!O63,0))+parametros_manuales!$G$40*('Plan mensual'!O60+IF(parametros_manuales!$H$40="Todos",'Plan mensual'!O64,0)))*parametros_manuales!$I$40*parametros_manuales!$J$40</f>
        <v>3950.19186159</v>
      </c>
      <c r="N158" s="9" t="n">
        <f aca="false">SUM(B158:M158)</f>
        <v>34490.812099</v>
      </c>
      <c r="O158" s="9" t="n">
        <f aca="false">MAX(B158:M158)</f>
        <v>3950.19186159</v>
      </c>
      <c r="P158" s="43" t="n">
        <f aca="false">O158/(parametros_manuales!$B$7)</f>
        <v>26.3346124106</v>
      </c>
      <c r="Q158" s="8" t="str">
        <f aca="false">IF(O158=0,"-",INDEX($B$136:$M$136,MATCH(O158,B158:M158,0)))</f>
        <v>Dic</v>
      </c>
    </row>
    <row r="159" customFormat="false" ht="14.25" hidden="false" customHeight="true" outlineLevel="0" collapsed="false">
      <c r="A159" s="8" t="str">
        <f aca="false">parametros_manuales!$B$41</f>
        <v>Control de calidad — Ensayo de pérdidas</v>
      </c>
      <c r="B159" s="9" t="n">
        <f aca="false">(parametros_manuales!$D$41*('Plan mensual'!D57+IF(parametros_manuales!$H$41="Todos",'Plan mensual'!D61,0))+parametros_manuales!$E$41*('Plan mensual'!D58+IF(parametros_manuales!$H$41="Todos",'Plan mensual'!D62,0))+parametros_manuales!$F$41*('Plan mensual'!D59+IF(parametros_manuales!$H$41="Todos",'Plan mensual'!D63,0))+parametros_manuales!$G$41*('Plan mensual'!D60+IF(parametros_manuales!$H$41="Todos",'Plan mensual'!D64,0)))*parametros_manuales!$I$41*parametros_manuales!$J$41</f>
        <v>3761.4862713</v>
      </c>
      <c r="C159" s="9" t="n">
        <f aca="false">(parametros_manuales!$D$41*('Plan mensual'!E57+IF(parametros_manuales!$H$41="Todos",'Plan mensual'!E61,0))+parametros_manuales!$E$41*('Plan mensual'!E58+IF(parametros_manuales!$H$41="Todos",'Plan mensual'!E62,0))+parametros_manuales!$F$41*('Plan mensual'!E59+IF(parametros_manuales!$H$41="Todos",'Plan mensual'!E63,0))+parametros_manuales!$G$41*('Plan mensual'!E60+IF(parametros_manuales!$H$41="Todos",'Plan mensual'!E64,0)))*parametros_manuales!$I$41*parametros_manuales!$J$41</f>
        <v>2915.46749862</v>
      </c>
      <c r="D159" s="9" t="n">
        <f aca="false">(parametros_manuales!$D$41*('Plan mensual'!F57+IF(parametros_manuales!$H$41="Todos",'Plan mensual'!F61,0))+parametros_manuales!$E$41*('Plan mensual'!F58+IF(parametros_manuales!$H$41="Todos",'Plan mensual'!F62,0))+parametros_manuales!$F$41*('Plan mensual'!F59+IF(parametros_manuales!$H$41="Todos",'Plan mensual'!F63,0))+parametros_manuales!$G$41*('Plan mensual'!F60+IF(parametros_manuales!$H$41="Todos",'Plan mensual'!F64,0)))*parametros_manuales!$I$41*parametros_manuales!$J$41</f>
        <v>2853.617763065</v>
      </c>
      <c r="E159" s="9" t="n">
        <f aca="false">(parametros_manuales!$D$41*('Plan mensual'!G57+IF(parametros_manuales!$H$41="Todos",'Plan mensual'!G61,0))+parametros_manuales!$E$41*('Plan mensual'!G58+IF(parametros_manuales!$H$41="Todos",'Plan mensual'!G62,0))+parametros_manuales!$F$41*('Plan mensual'!G59+IF(parametros_manuales!$H$41="Todos",'Plan mensual'!G63,0))+parametros_manuales!$G$41*('Plan mensual'!G60+IF(parametros_manuales!$H$41="Todos",'Plan mensual'!G64,0)))*parametros_manuales!$I$41*parametros_manuales!$J$41</f>
        <v>2775.516497715</v>
      </c>
      <c r="F159" s="9" t="n">
        <f aca="false">(parametros_manuales!$D$41*('Plan mensual'!H57+IF(parametros_manuales!$H$41="Todos",'Plan mensual'!H61,0))+parametros_manuales!$E$41*('Plan mensual'!H58+IF(parametros_manuales!$H$41="Todos",'Plan mensual'!H62,0))+parametros_manuales!$F$41*('Plan mensual'!H59+IF(parametros_manuales!$H$41="Todos",'Plan mensual'!H63,0))+parametros_manuales!$G$41*('Plan mensual'!H60+IF(parametros_manuales!$H$41="Todos",'Plan mensual'!H64,0)))*parametros_manuales!$I$41*parametros_manuales!$J$41</f>
        <v>2603.06243722</v>
      </c>
      <c r="G159" s="9" t="n">
        <f aca="false">(parametros_manuales!$D$41*('Plan mensual'!I57+IF(parametros_manuales!$H$41="Todos",'Plan mensual'!I61,0))+parametros_manuales!$E$41*('Plan mensual'!I58+IF(parametros_manuales!$H$41="Todos",'Plan mensual'!I62,0))+parametros_manuales!$F$41*('Plan mensual'!I59+IF(parametros_manuales!$H$41="Todos",'Plan mensual'!I63,0))+parametros_manuales!$G$41*('Plan mensual'!I60+IF(parametros_manuales!$H$41="Todos",'Plan mensual'!I64,0)))*parametros_manuales!$I$41*parametros_manuales!$J$41</f>
        <v>2508.709642075</v>
      </c>
      <c r="H159" s="9" t="n">
        <f aca="false">(parametros_manuales!$D$41*('Plan mensual'!J57+IF(parametros_manuales!$H$41="Todos",'Plan mensual'!J61,0))+parametros_manuales!$E$41*('Plan mensual'!J58+IF(parametros_manuales!$H$41="Todos",'Plan mensual'!J62,0))+parametros_manuales!$F$41*('Plan mensual'!J59+IF(parametros_manuales!$H$41="Todos",'Plan mensual'!J63,0))+parametros_manuales!$G$41*('Plan mensual'!J60+IF(parametros_manuales!$H$41="Todos",'Plan mensual'!J64,0)))*parametros_manuales!$I$41*parametros_manuales!$J$41</f>
        <v>2681.16370257</v>
      </c>
      <c r="I159" s="9" t="n">
        <f aca="false">(parametros_manuales!$D$41*('Plan mensual'!K57+IF(parametros_manuales!$H$41="Todos",'Plan mensual'!K61,0))+parametros_manuales!$E$41*('Plan mensual'!K58+IF(parametros_manuales!$H$41="Todos",'Plan mensual'!K62,0))+parametros_manuales!$F$41*('Plan mensual'!K59+IF(parametros_manuales!$H$41="Todos",'Plan mensual'!K63,0))+parametros_manuales!$G$41*('Plan mensual'!K60+IF(parametros_manuales!$H$41="Todos",'Plan mensual'!K64,0)))*parametros_manuales!$I$41*parametros_manuales!$J$41</f>
        <v>2681.16370257</v>
      </c>
      <c r="J159" s="9" t="n">
        <f aca="false">(parametros_manuales!$D$41*('Plan mensual'!L57+IF(parametros_manuales!$H$41="Todos",'Plan mensual'!L61,0))+parametros_manuales!$E$41*('Plan mensual'!L58+IF(parametros_manuales!$H$41="Todos",'Plan mensual'!L62,0))+parametros_manuales!$F$41*('Plan mensual'!L59+IF(parametros_manuales!$H$41="Todos",'Plan mensual'!L63,0))+parametros_manuales!$G$41*('Plan mensual'!L60+IF(parametros_manuales!$H$41="Todos",'Plan mensual'!L64,0)))*parametros_manuales!$I$41*parametros_manuales!$J$41</f>
        <v>2681.16370257</v>
      </c>
      <c r="K159" s="9" t="n">
        <f aca="false">(parametros_manuales!$D$41*('Plan mensual'!M57+IF(parametros_manuales!$H$41="Todos",'Plan mensual'!M61,0))+parametros_manuales!$E$41*('Plan mensual'!M58+IF(parametros_manuales!$H$41="Todos",'Plan mensual'!M62,0))+parametros_manuales!$F$41*('Plan mensual'!M59+IF(parametros_manuales!$H$41="Todos",'Plan mensual'!M63,0))+parametros_manuales!$G$41*('Plan mensual'!M60+IF(parametros_manuales!$H$41="Todos",'Plan mensual'!M64,0)))*parametros_manuales!$I$41*parametros_manuales!$J$41</f>
        <v>2586.810907425</v>
      </c>
      <c r="L159" s="9" t="n">
        <f aca="false">(parametros_manuales!$D$41*('Plan mensual'!N57+IF(parametros_manuales!$H$41="Todos",'Plan mensual'!N61,0))+parametros_manuales!$E$41*('Plan mensual'!N58+IF(parametros_manuales!$H$41="Todos",'Plan mensual'!N62,0))+parametros_manuales!$F$41*('Plan mensual'!N59+IF(parametros_manuales!$H$41="Todos",'Plan mensual'!N63,0))+parametros_manuales!$G$41*('Plan mensual'!N60+IF(parametros_manuales!$H$41="Todos",'Plan mensual'!N64,0)))*parametros_manuales!$I$41*parametros_manuales!$J$41</f>
        <v>2492.45811228</v>
      </c>
      <c r="M159" s="9" t="n">
        <f aca="false">(parametros_manuales!$D$41*('Plan mensual'!O57+IF(parametros_manuales!$H$41="Todos",'Plan mensual'!O61,0))+parametros_manuales!$E$41*('Plan mensual'!O58+IF(parametros_manuales!$H$41="Todos",'Plan mensual'!O62,0))+parametros_manuales!$F$41*('Plan mensual'!O59+IF(parametros_manuales!$H$41="Todos",'Plan mensual'!O63,0))+parametros_manuales!$G$41*('Plan mensual'!O60+IF(parametros_manuales!$H$41="Todos",'Plan mensual'!O64,0)))*parametros_manuales!$I$41*parametros_manuales!$J$41</f>
        <v>3950.19186159</v>
      </c>
      <c r="N159" s="9" t="n">
        <f aca="false">SUM(B159:M159)</f>
        <v>34490.812099</v>
      </c>
      <c r="O159" s="9" t="n">
        <f aca="false">MAX(B159:M159)</f>
        <v>3950.19186159</v>
      </c>
      <c r="P159" s="43" t="n">
        <f aca="false">O159/(parametros_manuales!$B$7)</f>
        <v>26.3346124106</v>
      </c>
      <c r="Q159" s="8" t="str">
        <f aca="false">IF(O159=0,"-",INDEX($B$136:$M$136,MATCH(O159,B159:M159,0)))</f>
        <v>Dic</v>
      </c>
    </row>
    <row r="160" customFormat="false" ht="14.25" hidden="false" customHeight="true" outlineLevel="0" collapsed="false">
      <c r="A160" s="8" t="str">
        <f aca="false">parametros_manuales!$B$42</f>
        <v>Etiquetado</v>
      </c>
      <c r="B160" s="9" t="n">
        <f aca="false">(parametros_manuales!$D$42*('Plan mensual'!D57+IF(parametros_manuales!$H$42="Todos",'Plan mensual'!D61,0))+parametros_manuales!$E$42*('Plan mensual'!D58+IF(parametros_manuales!$H$42="Todos",'Plan mensual'!D62,0))+parametros_manuales!$F$42*('Plan mensual'!D59+IF(parametros_manuales!$H$42="Todos",'Plan mensual'!D63,0))+parametros_manuales!$G$42*('Plan mensual'!D60+IF(parametros_manuales!$H$42="Todos",'Plan mensual'!D64,0)))*parametros_manuales!$I$42*parametros_manuales!$J$42</f>
        <v>3761.4862713</v>
      </c>
      <c r="C160" s="9" t="n">
        <f aca="false">(parametros_manuales!$D$42*('Plan mensual'!E57+IF(parametros_manuales!$H$42="Todos",'Plan mensual'!E61,0))+parametros_manuales!$E$42*('Plan mensual'!E58+IF(parametros_manuales!$H$42="Todos",'Plan mensual'!E62,0))+parametros_manuales!$F$42*('Plan mensual'!E59+IF(parametros_manuales!$H$42="Todos",'Plan mensual'!E63,0))+parametros_manuales!$G$42*('Plan mensual'!E60+IF(parametros_manuales!$H$42="Todos",'Plan mensual'!E64,0)))*parametros_manuales!$I$42*parametros_manuales!$J$42</f>
        <v>2915.46749862</v>
      </c>
      <c r="D160" s="9" t="n">
        <f aca="false">(parametros_manuales!$D$42*('Plan mensual'!F57+IF(parametros_manuales!$H$42="Todos",'Plan mensual'!F61,0))+parametros_manuales!$E$42*('Plan mensual'!F58+IF(parametros_manuales!$H$42="Todos",'Plan mensual'!F62,0))+parametros_manuales!$F$42*('Plan mensual'!F59+IF(parametros_manuales!$H$42="Todos",'Plan mensual'!F63,0))+parametros_manuales!$G$42*('Plan mensual'!F60+IF(parametros_manuales!$H$42="Todos",'Plan mensual'!F64,0)))*parametros_manuales!$I$42*parametros_manuales!$J$42</f>
        <v>2853.617763065</v>
      </c>
      <c r="E160" s="9" t="n">
        <f aca="false">(parametros_manuales!$D$42*('Plan mensual'!G57+IF(parametros_manuales!$H$42="Todos",'Plan mensual'!G61,0))+parametros_manuales!$E$42*('Plan mensual'!G58+IF(parametros_manuales!$H$42="Todos",'Plan mensual'!G62,0))+parametros_manuales!$F$42*('Plan mensual'!G59+IF(parametros_manuales!$H$42="Todos",'Plan mensual'!G63,0))+parametros_manuales!$G$42*('Plan mensual'!G60+IF(parametros_manuales!$H$42="Todos",'Plan mensual'!G64,0)))*parametros_manuales!$I$42*parametros_manuales!$J$42</f>
        <v>2775.516497715</v>
      </c>
      <c r="F160" s="9" t="n">
        <f aca="false">(parametros_manuales!$D$42*('Plan mensual'!H57+IF(parametros_manuales!$H$42="Todos",'Plan mensual'!H61,0))+parametros_manuales!$E$42*('Plan mensual'!H58+IF(parametros_manuales!$H$42="Todos",'Plan mensual'!H62,0))+parametros_manuales!$F$42*('Plan mensual'!H59+IF(parametros_manuales!$H$42="Todos",'Plan mensual'!H63,0))+parametros_manuales!$G$42*('Plan mensual'!H60+IF(parametros_manuales!$H$42="Todos",'Plan mensual'!H64,0)))*parametros_manuales!$I$42*parametros_manuales!$J$42</f>
        <v>2603.06243722</v>
      </c>
      <c r="G160" s="9" t="n">
        <f aca="false">(parametros_manuales!$D$42*('Plan mensual'!I57+IF(parametros_manuales!$H$42="Todos",'Plan mensual'!I61,0))+parametros_manuales!$E$42*('Plan mensual'!I58+IF(parametros_manuales!$H$42="Todos",'Plan mensual'!I62,0))+parametros_manuales!$F$42*('Plan mensual'!I59+IF(parametros_manuales!$H$42="Todos",'Plan mensual'!I63,0))+parametros_manuales!$G$42*('Plan mensual'!I60+IF(parametros_manuales!$H$42="Todos",'Plan mensual'!I64,0)))*parametros_manuales!$I$42*parametros_manuales!$J$42</f>
        <v>2508.709642075</v>
      </c>
      <c r="H160" s="9" t="n">
        <f aca="false">(parametros_manuales!$D$42*('Plan mensual'!J57+IF(parametros_manuales!$H$42="Todos",'Plan mensual'!J61,0))+parametros_manuales!$E$42*('Plan mensual'!J58+IF(parametros_manuales!$H$42="Todos",'Plan mensual'!J62,0))+parametros_manuales!$F$42*('Plan mensual'!J59+IF(parametros_manuales!$H$42="Todos",'Plan mensual'!J63,0))+parametros_manuales!$G$42*('Plan mensual'!J60+IF(parametros_manuales!$H$42="Todos",'Plan mensual'!J64,0)))*parametros_manuales!$I$42*parametros_manuales!$J$42</f>
        <v>2681.16370257</v>
      </c>
      <c r="I160" s="9" t="n">
        <f aca="false">(parametros_manuales!$D$42*('Plan mensual'!K57+IF(parametros_manuales!$H$42="Todos",'Plan mensual'!K61,0))+parametros_manuales!$E$42*('Plan mensual'!K58+IF(parametros_manuales!$H$42="Todos",'Plan mensual'!K62,0))+parametros_manuales!$F$42*('Plan mensual'!K59+IF(parametros_manuales!$H$42="Todos",'Plan mensual'!K63,0))+parametros_manuales!$G$42*('Plan mensual'!K60+IF(parametros_manuales!$H$42="Todos",'Plan mensual'!K64,0)))*parametros_manuales!$I$42*parametros_manuales!$J$42</f>
        <v>2681.16370257</v>
      </c>
      <c r="J160" s="9" t="n">
        <f aca="false">(parametros_manuales!$D$42*('Plan mensual'!L57+IF(parametros_manuales!$H$42="Todos",'Plan mensual'!L61,0))+parametros_manuales!$E$42*('Plan mensual'!L58+IF(parametros_manuales!$H$42="Todos",'Plan mensual'!L62,0))+parametros_manuales!$F$42*('Plan mensual'!L59+IF(parametros_manuales!$H$42="Todos",'Plan mensual'!L63,0))+parametros_manuales!$G$42*('Plan mensual'!L60+IF(parametros_manuales!$H$42="Todos",'Plan mensual'!L64,0)))*parametros_manuales!$I$42*parametros_manuales!$J$42</f>
        <v>2681.16370257</v>
      </c>
      <c r="K160" s="9" t="n">
        <f aca="false">(parametros_manuales!$D$42*('Plan mensual'!M57+IF(parametros_manuales!$H$42="Todos",'Plan mensual'!M61,0))+parametros_manuales!$E$42*('Plan mensual'!M58+IF(parametros_manuales!$H$42="Todos",'Plan mensual'!M62,0))+parametros_manuales!$F$42*('Plan mensual'!M59+IF(parametros_manuales!$H$42="Todos",'Plan mensual'!M63,0))+parametros_manuales!$G$42*('Plan mensual'!M60+IF(parametros_manuales!$H$42="Todos",'Plan mensual'!M64,0)))*parametros_manuales!$I$42*parametros_manuales!$J$42</f>
        <v>2586.810907425</v>
      </c>
      <c r="L160" s="9" t="n">
        <f aca="false">(parametros_manuales!$D$42*('Plan mensual'!N57+IF(parametros_manuales!$H$42="Todos",'Plan mensual'!N61,0))+parametros_manuales!$E$42*('Plan mensual'!N58+IF(parametros_manuales!$H$42="Todos",'Plan mensual'!N62,0))+parametros_manuales!$F$42*('Plan mensual'!N59+IF(parametros_manuales!$H$42="Todos",'Plan mensual'!N63,0))+parametros_manuales!$G$42*('Plan mensual'!N60+IF(parametros_manuales!$H$42="Todos",'Plan mensual'!N64,0)))*parametros_manuales!$I$42*parametros_manuales!$J$42</f>
        <v>2492.45811228</v>
      </c>
      <c r="M160" s="9" t="n">
        <f aca="false">(parametros_manuales!$D$42*('Plan mensual'!O57+IF(parametros_manuales!$H$42="Todos",'Plan mensual'!O61,0))+parametros_manuales!$E$42*('Plan mensual'!O58+IF(parametros_manuales!$H$42="Todos",'Plan mensual'!O62,0))+parametros_manuales!$F$42*('Plan mensual'!O59+IF(parametros_manuales!$H$42="Todos",'Plan mensual'!O63,0))+parametros_manuales!$G$42*('Plan mensual'!O60+IF(parametros_manuales!$H$42="Todos",'Plan mensual'!O64,0)))*parametros_manuales!$I$42*parametros_manuales!$J$42</f>
        <v>3950.19186159</v>
      </c>
      <c r="N160" s="9" t="n">
        <f aca="false">SUM(B160:M160)</f>
        <v>34490.812099</v>
      </c>
      <c r="O160" s="9" t="n">
        <f aca="false">MAX(B160:M160)</f>
        <v>3950.19186159</v>
      </c>
      <c r="P160" s="43" t="n">
        <f aca="false">O160/(parametros_manuales!$B$7)</f>
        <v>26.3346124106</v>
      </c>
      <c r="Q160" s="8" t="str">
        <f aca="false">IF(O160=0,"-",INDEX($B$136:$M$136,MATCH(O160,B160:M160,0)))</f>
        <v>Dic</v>
      </c>
    </row>
    <row r="161" customFormat="false" ht="14.25" hidden="false" customHeight="true" outlineLevel="0" collapsed="false">
      <c r="A161" s="8" t="str">
        <f aca="false">parametros_manuales!$B$43</f>
        <v>Embalaje y paletizado</v>
      </c>
      <c r="B161" s="9" t="n">
        <f aca="false">(parametros_manuales!$D$43*('Plan mensual'!D57+IF(parametros_manuales!$H$43="Todos",'Plan mensual'!D61,0))+parametros_manuales!$E$43*('Plan mensual'!D58+IF(parametros_manuales!$H$43="Todos",'Plan mensual'!D62,0))+parametros_manuales!$F$43*('Plan mensual'!D59+IF(parametros_manuales!$H$43="Todos",'Plan mensual'!D63,0))+parametros_manuales!$G$43*('Plan mensual'!D60+IF(parametros_manuales!$H$43="Todos",'Plan mensual'!D64,0)))*parametros_manuales!$I$43*parametros_manuales!$J$43</f>
        <v>14136.1422713</v>
      </c>
      <c r="C161" s="9" t="n">
        <f aca="false">(parametros_manuales!$D$43*('Plan mensual'!E57+IF(parametros_manuales!$H$43="Todos",'Plan mensual'!E61,0))+parametros_manuales!$E$43*('Plan mensual'!E58+IF(parametros_manuales!$H$43="Todos",'Plan mensual'!E62,0))+parametros_manuales!$F$43*('Plan mensual'!E59+IF(parametros_manuales!$H$43="Todos",'Plan mensual'!E63,0))+parametros_manuales!$G$43*('Plan mensual'!E60+IF(parametros_manuales!$H$43="Todos",'Plan mensual'!E64,0)))*parametros_manuales!$I$43*parametros_manuales!$J$43</f>
        <v>10785.11109862</v>
      </c>
      <c r="D161" s="9" t="n">
        <f aca="false">(parametros_manuales!$D$43*('Plan mensual'!F57+IF(parametros_manuales!$H$43="Todos",'Plan mensual'!F61,0))+parametros_manuales!$E$43*('Plan mensual'!F58+IF(parametros_manuales!$H$43="Todos",'Plan mensual'!F62,0))+parametros_manuales!$F$43*('Plan mensual'!F59+IF(parametros_manuales!$H$43="Todos",'Plan mensual'!F63,0))+parametros_manuales!$G$43*('Plan mensual'!F60+IF(parametros_manuales!$H$43="Todos",'Plan mensual'!F64,0)))*parametros_manuales!$I$43*parametros_manuales!$J$43</f>
        <v>10095.110963065</v>
      </c>
      <c r="E161" s="9" t="n">
        <f aca="false">(parametros_manuales!$D$43*('Plan mensual'!G57+IF(parametros_manuales!$H$43="Todos",'Plan mensual'!G61,0))+parametros_manuales!$E$43*('Plan mensual'!G58+IF(parametros_manuales!$H$43="Todos",'Plan mensual'!G62,0))+parametros_manuales!$F$43*('Plan mensual'!G59+IF(parametros_manuales!$H$43="Todos",'Plan mensual'!G63,0))+parametros_manuales!$G$43*('Plan mensual'!G60+IF(parametros_manuales!$H$43="Todos",'Plan mensual'!G64,0)))*parametros_manuales!$I$43*parametros_manuales!$J$43</f>
        <v>9658.608697715</v>
      </c>
      <c r="F161" s="9" t="n">
        <f aca="false">(parametros_manuales!$D$43*('Plan mensual'!H57+IF(parametros_manuales!$H$43="Todos",'Plan mensual'!H61,0))+parametros_manuales!$E$43*('Plan mensual'!H58+IF(parametros_manuales!$H$43="Todos",'Plan mensual'!H62,0))+parametros_manuales!$F$43*('Plan mensual'!H59+IF(parametros_manuales!$H$43="Todos",'Plan mensual'!H63,0))+parametros_manuales!$G$43*('Plan mensual'!H60+IF(parametros_manuales!$H$43="Todos",'Plan mensual'!H64,0)))*parametros_manuales!$I$43*parametros_manuales!$J$43</f>
        <v>9039.10203722</v>
      </c>
      <c r="G161" s="9" t="n">
        <f aca="false">(parametros_manuales!$D$43*('Plan mensual'!I57+IF(parametros_manuales!$H$43="Todos",'Plan mensual'!I61,0))+parametros_manuales!$E$43*('Plan mensual'!I58+IF(parametros_manuales!$H$43="Todos",'Plan mensual'!I62,0))+parametros_manuales!$F$43*('Plan mensual'!I59+IF(parametros_manuales!$H$43="Todos",'Plan mensual'!I63,0))+parametros_manuales!$G$43*('Plan mensual'!I60+IF(parametros_manuales!$H$43="Todos",'Plan mensual'!I64,0)))*parametros_manuales!$I$43*parametros_manuales!$J$43</f>
        <v>8856.097642075</v>
      </c>
      <c r="H161" s="9" t="n">
        <f aca="false">(parametros_manuales!$D$43*('Plan mensual'!J57+IF(parametros_manuales!$H$43="Todos",'Plan mensual'!J61,0))+parametros_manuales!$E$43*('Plan mensual'!J58+IF(parametros_manuales!$H$43="Todos",'Plan mensual'!J62,0))+parametros_manuales!$F$43*('Plan mensual'!J59+IF(parametros_manuales!$H$43="Todos",'Plan mensual'!J63,0))+parametros_manuales!$G$43*('Plan mensual'!J60+IF(parametros_manuales!$H$43="Todos",'Plan mensual'!J64,0)))*parametros_manuales!$I$43*parametros_manuales!$J$43</f>
        <v>9475.60430257</v>
      </c>
      <c r="I161" s="9" t="n">
        <f aca="false">(parametros_manuales!$D$43*('Plan mensual'!K57+IF(parametros_manuales!$H$43="Todos",'Plan mensual'!K61,0))+parametros_manuales!$E$43*('Plan mensual'!K58+IF(parametros_manuales!$H$43="Todos",'Plan mensual'!K62,0))+parametros_manuales!$F$43*('Plan mensual'!K59+IF(parametros_manuales!$H$43="Todos",'Plan mensual'!K63,0))+parametros_manuales!$G$43*('Plan mensual'!K60+IF(parametros_manuales!$H$43="Todos",'Plan mensual'!K64,0)))*parametros_manuales!$I$43*parametros_manuales!$J$43</f>
        <v>9475.60430257</v>
      </c>
      <c r="J161" s="9" t="n">
        <f aca="false">(parametros_manuales!$D$43*('Plan mensual'!L57+IF(parametros_manuales!$H$43="Todos",'Plan mensual'!L61,0))+parametros_manuales!$E$43*('Plan mensual'!L58+IF(parametros_manuales!$H$43="Todos",'Plan mensual'!L62,0))+parametros_manuales!$F$43*('Plan mensual'!L59+IF(parametros_manuales!$H$43="Todos",'Plan mensual'!L63,0))+parametros_manuales!$G$43*('Plan mensual'!L60+IF(parametros_manuales!$H$43="Todos",'Plan mensual'!L64,0)))*parametros_manuales!$I$43*parametros_manuales!$J$43</f>
        <v>9475.60430257</v>
      </c>
      <c r="K161" s="9" t="n">
        <f aca="false">(parametros_manuales!$D$43*('Plan mensual'!M57+IF(parametros_manuales!$H$43="Todos",'Plan mensual'!M61,0))+parametros_manuales!$E$43*('Plan mensual'!M58+IF(parametros_manuales!$H$43="Todos",'Plan mensual'!M62,0))+parametros_manuales!$F$43*('Plan mensual'!M59+IF(parametros_manuales!$H$43="Todos",'Plan mensual'!M63,0))+parametros_manuales!$G$43*('Plan mensual'!M60+IF(parametros_manuales!$H$43="Todos",'Plan mensual'!M64,0)))*parametros_manuales!$I$43*parametros_manuales!$J$43</f>
        <v>9292.599907425</v>
      </c>
      <c r="L161" s="9" t="n">
        <f aca="false">(parametros_manuales!$D$43*('Plan mensual'!N57+IF(parametros_manuales!$H$43="Todos",'Plan mensual'!N61,0))+parametros_manuales!$E$43*('Plan mensual'!N58+IF(parametros_manuales!$H$43="Todos",'Plan mensual'!N62,0))+parametros_manuales!$F$43*('Plan mensual'!N59+IF(parametros_manuales!$H$43="Todos",'Plan mensual'!N63,0))+parametros_manuales!$G$43*('Plan mensual'!N60+IF(parametros_manuales!$H$43="Todos",'Plan mensual'!N64,0)))*parametros_manuales!$I$43*parametros_manuales!$J$43</f>
        <v>9109.59551228</v>
      </c>
      <c r="M161" s="9" t="n">
        <f aca="false">(parametros_manuales!$D$43*('Plan mensual'!O57+IF(parametros_manuales!$H$43="Todos",'Plan mensual'!O61,0))+parametros_manuales!$E$43*('Plan mensual'!O58+IF(parametros_manuales!$H$43="Todos",'Plan mensual'!O62,0))+parametros_manuales!$F$43*('Plan mensual'!O59+IF(parametros_manuales!$H$43="Todos",'Plan mensual'!O63,0))+parametros_manuales!$G$43*('Plan mensual'!O60+IF(parametros_manuales!$H$43="Todos",'Plan mensual'!O64,0)))*parametros_manuales!$I$43*parametros_manuales!$J$43</f>
        <v>14502.15106159</v>
      </c>
      <c r="N161" s="9" t="n">
        <f aca="false">SUM(B161:M161)</f>
        <v>123901.332099</v>
      </c>
      <c r="O161" s="9" t="n">
        <f aca="false">MAX(B161:M161)</f>
        <v>14502.15106159</v>
      </c>
      <c r="P161" s="43" t="n">
        <f aca="false">O161/(parametros_manuales!$B$7)</f>
        <v>96.6810070772667</v>
      </c>
      <c r="Q161" s="8" t="str">
        <f aca="false">IF(O161=0,"-",INDEX($B$136:$M$136,MATCH(O161,B161:M161,0)))</f>
        <v>Dic</v>
      </c>
    </row>
    <row r="162" customFormat="false" ht="14.25" hidden="false" customHeight="true" outlineLevel="0" collapsed="false"/>
    <row r="163" customFormat="false" ht="14.25" hidden="false" customHeight="true" outlineLevel="0" collapsed="false">
      <c r="A163" s="7" t="s">
        <v>196</v>
      </c>
      <c r="B163" s="7" t="s">
        <v>61</v>
      </c>
      <c r="C163" s="7" t="s">
        <v>62</v>
      </c>
      <c r="D163" s="7" t="s">
        <v>63</v>
      </c>
      <c r="E163" s="7" t="s">
        <v>64</v>
      </c>
      <c r="F163" s="7" t="s">
        <v>65</v>
      </c>
      <c r="G163" s="7" t="s">
        <v>66</v>
      </c>
      <c r="H163" s="7" t="s">
        <v>67</v>
      </c>
      <c r="I163" s="7" t="s">
        <v>68</v>
      </c>
      <c r="J163" s="7" t="s">
        <v>69</v>
      </c>
      <c r="K163" s="7" t="s">
        <v>70</v>
      </c>
      <c r="L163" s="7" t="s">
        <v>71</v>
      </c>
      <c r="M163" s="7" t="s">
        <v>72</v>
      </c>
      <c r="N163" s="7" t="s">
        <v>183</v>
      </c>
      <c r="O163" s="7" t="s">
        <v>188</v>
      </c>
      <c r="P163" s="7" t="s">
        <v>189</v>
      </c>
      <c r="Q163" s="7" t="s">
        <v>190</v>
      </c>
    </row>
    <row r="164" customFormat="false" ht="14.25" hidden="false" customHeight="true" outlineLevel="0" collapsed="false">
      <c r="A164" s="8" t="str">
        <f aca="false">parametros_manuales!$B$19</f>
        <v>Recepción de materia prima</v>
      </c>
      <c r="B164" s="9" t="n">
        <f aca="false">(parametros_manuales!$D$19*('Plan mensual'!D68+IF(parametros_manuales!$H$19="Todos",'Plan mensual'!D72,0))+parametros_manuales!$E$19*('Plan mensual'!D69+IF(parametros_manuales!$H$19="Todos",'Plan mensual'!D73,0))+parametros_manuales!$F$19*('Plan mensual'!D70+IF(parametros_manuales!$H$19="Todos",'Plan mensual'!D74,0))+parametros_manuales!$G$19*('Plan mensual'!D71+IF(parametros_manuales!$H$19="Todos",'Plan mensual'!D75,0)))*parametros_manuales!$I$19*parametros_manuales!$J$19</f>
        <v>19516.4339821</v>
      </c>
      <c r="C164" s="9" t="n">
        <f aca="false">(parametros_manuales!$D$19*('Plan mensual'!E68+IF(parametros_manuales!$H$19="Todos",'Plan mensual'!E72,0))+parametros_manuales!$E$19*('Plan mensual'!E69+IF(parametros_manuales!$H$19="Todos",'Plan mensual'!E73,0))+parametros_manuales!$F$19*('Plan mensual'!E70+IF(parametros_manuales!$H$19="Todos",'Plan mensual'!E74,0))+parametros_manuales!$G$19*('Plan mensual'!E71+IF(parametros_manuales!$H$19="Todos",'Plan mensual'!E75,0)))*parametros_manuales!$I$19*parametros_manuales!$J$19</f>
        <v>14883.10826612</v>
      </c>
      <c r="D164" s="9" t="n">
        <f aca="false">(parametros_manuales!$D$19*('Plan mensual'!F68+IF(parametros_manuales!$H$19="Todos",'Plan mensual'!F72,0))+parametros_manuales!$E$19*('Plan mensual'!F69+IF(parametros_manuales!$H$19="Todos",'Plan mensual'!F73,0))+parametros_manuales!$F$19*('Plan mensual'!F70+IF(parametros_manuales!$H$19="Todos",'Plan mensual'!F74,0))+parametros_manuales!$G$19*('Plan mensual'!F71+IF(parametros_manuales!$H$19="Todos",'Plan mensual'!F75,0)))*parametros_manuales!$I$19*parametros_manuales!$J$19</f>
        <v>13912.159513065</v>
      </c>
      <c r="E164" s="9" t="n">
        <f aca="false">(parametros_manuales!$D$19*('Plan mensual'!G68+IF(parametros_manuales!$H$19="Todos",'Plan mensual'!G72,0))+parametros_manuales!$E$19*('Plan mensual'!G69+IF(parametros_manuales!$H$19="Todos",'Plan mensual'!G73,0))+parametros_manuales!$F$19*('Plan mensual'!G70+IF(parametros_manuales!$H$19="Todos",'Plan mensual'!G74,0))+parametros_manuales!$G$19*('Plan mensual'!G71+IF(parametros_manuales!$H$19="Todos",'Plan mensual'!G75,0)))*parametros_manuales!$I$19*parametros_manuales!$J$19</f>
        <v>13303.793746765</v>
      </c>
      <c r="F164" s="9" t="n">
        <f aca="false">(parametros_manuales!$D$19*('Plan mensual'!H68+IF(parametros_manuales!$H$19="Todos",'Plan mensual'!H72,0))+parametros_manuales!$E$19*('Plan mensual'!H69+IF(parametros_manuales!$H$19="Todos",'Plan mensual'!H73,0))+parametros_manuales!$F$19*('Plan mensual'!H70+IF(parametros_manuales!$H$19="Todos",'Plan mensual'!H74,0))+parametros_manuales!$G$19*('Plan mensual'!H71+IF(parametros_manuales!$H$19="Todos",'Plan mensual'!H75,0)))*parametros_manuales!$I$19*parametros_manuales!$J$19</f>
        <v>12449.64520092</v>
      </c>
      <c r="G164" s="9" t="n">
        <f aca="false">(parametros_manuales!$D$19*('Plan mensual'!I68+IF(parametros_manuales!$H$19="Todos",'Plan mensual'!I72,0))+parametros_manuales!$E$19*('Plan mensual'!I69+IF(parametros_manuales!$H$19="Todos",'Plan mensual'!I73,0))+parametros_manuales!$F$19*('Plan mensual'!I70+IF(parametros_manuales!$H$19="Todos",'Plan mensual'!I74,0))+parametros_manuales!$G$19*('Plan mensual'!I71+IF(parametros_manuales!$H$19="Todos",'Plan mensual'!I75,0)))*parametros_manuales!$I$19*parametros_manuales!$J$19</f>
        <v>12203.862421375</v>
      </c>
      <c r="H164" s="9" t="n">
        <f aca="false">(parametros_manuales!$D$19*('Plan mensual'!J68+IF(parametros_manuales!$H$19="Todos",'Plan mensual'!J72,0))+parametros_manuales!$E$19*('Plan mensual'!J69+IF(parametros_manuales!$H$19="Todos",'Plan mensual'!J73,0))+parametros_manuales!$F$19*('Plan mensual'!J70+IF(parametros_manuales!$H$19="Todos",'Plan mensual'!J74,0))+parametros_manuales!$G$19*('Plan mensual'!J71+IF(parametros_manuales!$H$19="Todos",'Plan mensual'!J75,0)))*parametros_manuales!$I$19*parametros_manuales!$J$19</f>
        <v>13058.01096722</v>
      </c>
      <c r="I164" s="9" t="n">
        <f aca="false">(parametros_manuales!$D$19*('Plan mensual'!K68+IF(parametros_manuales!$H$19="Todos",'Plan mensual'!K72,0))+parametros_manuales!$E$19*('Plan mensual'!K69+IF(parametros_manuales!$H$19="Todos",'Plan mensual'!K73,0))+parametros_manuales!$F$19*('Plan mensual'!K70+IF(parametros_manuales!$H$19="Todos",'Plan mensual'!K74,0))+parametros_manuales!$G$19*('Plan mensual'!K71+IF(parametros_manuales!$H$19="Todos",'Plan mensual'!K75,0)))*parametros_manuales!$I$19*parametros_manuales!$J$19</f>
        <v>13058.01096722</v>
      </c>
      <c r="J164" s="9" t="n">
        <f aca="false">(parametros_manuales!$D$19*('Plan mensual'!L68+IF(parametros_manuales!$H$19="Todos",'Plan mensual'!L72,0))+parametros_manuales!$E$19*('Plan mensual'!L69+IF(parametros_manuales!$H$19="Todos",'Plan mensual'!L73,0))+parametros_manuales!$F$19*('Plan mensual'!L70+IF(parametros_manuales!$H$19="Todos",'Plan mensual'!L74,0))+parametros_manuales!$G$19*('Plan mensual'!L71+IF(parametros_manuales!$H$19="Todos",'Plan mensual'!L75,0)))*parametros_manuales!$I$19*parametros_manuales!$J$19</f>
        <v>13058.01096722</v>
      </c>
      <c r="K164" s="9" t="n">
        <f aca="false">(parametros_manuales!$D$19*('Plan mensual'!M68+IF(parametros_manuales!$H$19="Todos",'Plan mensual'!M72,0))+parametros_manuales!$E$19*('Plan mensual'!M69+IF(parametros_manuales!$H$19="Todos",'Plan mensual'!M73,0))+parametros_manuales!$F$19*('Plan mensual'!M70+IF(parametros_manuales!$H$19="Todos",'Plan mensual'!M74,0))+parametros_manuales!$G$19*('Plan mensual'!M71+IF(parametros_manuales!$H$19="Todos",'Plan mensual'!M75,0)))*parametros_manuales!$I$19*parametros_manuales!$J$19</f>
        <v>12812.228187675</v>
      </c>
      <c r="L164" s="9" t="n">
        <f aca="false">(parametros_manuales!$D$19*('Plan mensual'!N68+IF(parametros_manuales!$H$19="Todos",'Plan mensual'!N72,0))+parametros_manuales!$E$19*('Plan mensual'!N69+IF(parametros_manuales!$H$19="Todos",'Plan mensual'!N73,0))+parametros_manuales!$F$19*('Plan mensual'!N70+IF(parametros_manuales!$H$19="Todos",'Plan mensual'!N74,0))+parametros_manuales!$G$19*('Plan mensual'!N71+IF(parametros_manuales!$H$19="Todos",'Plan mensual'!N75,0)))*parametros_manuales!$I$19*parametros_manuales!$J$19</f>
        <v>12566.44540813</v>
      </c>
      <c r="M164" s="9" t="n">
        <f aca="false">(parametros_manuales!$D$19*('Plan mensual'!O68+IF(parametros_manuales!$H$19="Todos",'Plan mensual'!O72,0))+parametros_manuales!$E$19*('Plan mensual'!O69+IF(parametros_manuales!$H$19="Todos",'Plan mensual'!O73,0))+parametros_manuales!$F$19*('Plan mensual'!O70+IF(parametros_manuales!$H$19="Todos",'Plan mensual'!O74,0))+parametros_manuales!$G$19*('Plan mensual'!O71+IF(parametros_manuales!$H$19="Todos",'Plan mensual'!O75,0)))*parametros_manuales!$I$19*parametros_manuales!$J$19</f>
        <v>20007.99954119</v>
      </c>
      <c r="N164" s="9" t="n">
        <f aca="false">SUM(B164:M164)</f>
        <v>170829.709169</v>
      </c>
      <c r="O164" s="9" t="n">
        <f aca="false">MAX(B164:M164)</f>
        <v>20007.99954119</v>
      </c>
      <c r="P164" s="43" t="n">
        <f aca="false">O164/(parametros_manuales!$B$7)</f>
        <v>133.386663607933</v>
      </c>
      <c r="Q164" s="8" t="str">
        <f aca="false">IF(O164=0,"-",INDEX($B$163:$M$163,MATCH(O164,B164:M164,0)))</f>
        <v>Dic</v>
      </c>
    </row>
    <row r="165" customFormat="false" ht="14.25" hidden="false" customHeight="true" outlineLevel="0" collapsed="false">
      <c r="A165" s="8" t="str">
        <f aca="false">parametros_manuales!$B$20</f>
        <v>Corte de chapa (guillotina) — 2,5 a 10 kg</v>
      </c>
      <c r="B165" s="9" t="n">
        <f aca="false">(parametros_manuales!$D$20*('Plan mensual'!D68+IF(parametros_manuales!$H$20="Todos",'Plan mensual'!D72,0))+parametros_manuales!$E$20*('Plan mensual'!D69+IF(parametros_manuales!$H$20="Todos",'Plan mensual'!D73,0))+parametros_manuales!$F$20*('Plan mensual'!D70+IF(parametros_manuales!$H$20="Todos",'Plan mensual'!D74,0))+parametros_manuales!$G$20*('Plan mensual'!D71+IF(parametros_manuales!$H$20="Todos",'Plan mensual'!D75,0)))*parametros_manuales!$I$20*parametros_manuales!$J$20</f>
        <v>4915.6555909</v>
      </c>
      <c r="C165" s="9" t="n">
        <f aca="false">(parametros_manuales!$D$20*('Plan mensual'!E68+IF(parametros_manuales!$H$20="Todos",'Plan mensual'!E72,0))+parametros_manuales!$E$20*('Plan mensual'!E69+IF(parametros_manuales!$H$20="Todos",'Plan mensual'!E73,0))+parametros_manuales!$F$20*('Plan mensual'!E70+IF(parametros_manuales!$H$20="Todos",'Plan mensual'!E74,0))+parametros_manuales!$G$20*('Plan mensual'!E71+IF(parametros_manuales!$H$20="Todos",'Plan mensual'!E75,0)))*parametros_manuales!$I$20*parametros_manuales!$J$20</f>
        <v>3932.52447272</v>
      </c>
      <c r="D165" s="9" t="n">
        <f aca="false">(parametros_manuales!$D$20*('Plan mensual'!F68+IF(parametros_manuales!$H$20="Todos",'Plan mensual'!F72,0))+parametros_manuales!$E$20*('Plan mensual'!F69+IF(parametros_manuales!$H$20="Todos",'Plan mensual'!F73,0))+parametros_manuales!$F$20*('Plan mensual'!F70+IF(parametros_manuales!$H$20="Todos",'Plan mensual'!F74,0))+parametros_manuales!$G$20*('Plan mensual'!F71+IF(parametros_manuales!$H$20="Todos",'Plan mensual'!F75,0)))*parametros_manuales!$I$20*parametros_manuales!$J$20</f>
        <v>4178.307252265</v>
      </c>
      <c r="E165" s="9" t="n">
        <f aca="false">(parametros_manuales!$D$20*('Plan mensual'!G68+IF(parametros_manuales!$H$20="Todos",'Plan mensual'!G72,0))+parametros_manuales!$E$20*('Plan mensual'!G69+IF(parametros_manuales!$H$20="Todos",'Plan mensual'!G73,0))+parametros_manuales!$F$20*('Plan mensual'!G70+IF(parametros_manuales!$H$20="Todos",'Plan mensual'!G74,0))+parametros_manuales!$G$20*('Plan mensual'!G71+IF(parametros_manuales!$H$20="Todos",'Plan mensual'!G75,0)))*parametros_manuales!$I$20*parametros_manuales!$J$20</f>
        <v>4178.307252265</v>
      </c>
      <c r="F165" s="9" t="n">
        <f aca="false">(parametros_manuales!$D$20*('Plan mensual'!H68+IF(parametros_manuales!$H$20="Todos",'Plan mensual'!H72,0))+parametros_manuales!$E$20*('Plan mensual'!H69+IF(parametros_manuales!$H$20="Todos",'Plan mensual'!H73,0))+parametros_manuales!$F$20*('Plan mensual'!H70+IF(parametros_manuales!$H$20="Todos",'Plan mensual'!H74,0))+parametros_manuales!$G$20*('Plan mensual'!H71+IF(parametros_manuales!$H$20="Todos",'Plan mensual'!H75,0)))*parametros_manuales!$I$20*parametros_manuales!$J$20</f>
        <v>3932.52447272</v>
      </c>
      <c r="G165" s="9" t="n">
        <f aca="false">(parametros_manuales!$D$20*('Plan mensual'!I68+IF(parametros_manuales!$H$20="Todos",'Plan mensual'!I72,0))+parametros_manuales!$E$20*('Plan mensual'!I69+IF(parametros_manuales!$H$20="Todos",'Plan mensual'!I73,0))+parametros_manuales!$F$20*('Plan mensual'!I70+IF(parametros_manuales!$H$20="Todos",'Plan mensual'!I74,0))+parametros_manuales!$G$20*('Plan mensual'!I71+IF(parametros_manuales!$H$20="Todos",'Plan mensual'!I75,0)))*parametros_manuales!$I$20*parametros_manuales!$J$20</f>
        <v>3686.741693175</v>
      </c>
      <c r="H165" s="9" t="n">
        <f aca="false">(parametros_manuales!$D$20*('Plan mensual'!J68+IF(parametros_manuales!$H$20="Todos",'Plan mensual'!J72,0))+parametros_manuales!$E$20*('Plan mensual'!J69+IF(parametros_manuales!$H$20="Todos",'Plan mensual'!J73,0))+parametros_manuales!$F$20*('Plan mensual'!J70+IF(parametros_manuales!$H$20="Todos",'Plan mensual'!J74,0))+parametros_manuales!$G$20*('Plan mensual'!J71+IF(parametros_manuales!$H$20="Todos",'Plan mensual'!J75,0)))*parametros_manuales!$I$20*parametros_manuales!$J$20</f>
        <v>3932.52447272</v>
      </c>
      <c r="I165" s="9" t="n">
        <f aca="false">(parametros_manuales!$D$20*('Plan mensual'!K68+IF(parametros_manuales!$H$20="Todos",'Plan mensual'!K72,0))+parametros_manuales!$E$20*('Plan mensual'!K69+IF(parametros_manuales!$H$20="Todos",'Plan mensual'!K73,0))+parametros_manuales!$F$20*('Plan mensual'!K70+IF(parametros_manuales!$H$20="Todos",'Plan mensual'!K74,0))+parametros_manuales!$G$20*('Plan mensual'!K71+IF(parametros_manuales!$H$20="Todos",'Plan mensual'!K75,0)))*parametros_manuales!$I$20*parametros_manuales!$J$20</f>
        <v>3932.52447272</v>
      </c>
      <c r="J165" s="9" t="n">
        <f aca="false">(parametros_manuales!$D$20*('Plan mensual'!L68+IF(parametros_manuales!$H$20="Todos",'Plan mensual'!L72,0))+parametros_manuales!$E$20*('Plan mensual'!L69+IF(parametros_manuales!$H$20="Todos",'Plan mensual'!L73,0))+parametros_manuales!$F$20*('Plan mensual'!L70+IF(parametros_manuales!$H$20="Todos",'Plan mensual'!L74,0))+parametros_manuales!$G$20*('Plan mensual'!L71+IF(parametros_manuales!$H$20="Todos",'Plan mensual'!L75,0)))*parametros_manuales!$I$20*parametros_manuales!$J$20</f>
        <v>3932.52447272</v>
      </c>
      <c r="K165" s="9" t="n">
        <f aca="false">(parametros_manuales!$D$20*('Plan mensual'!M68+IF(parametros_manuales!$H$20="Todos",'Plan mensual'!M72,0))+parametros_manuales!$E$20*('Plan mensual'!M69+IF(parametros_manuales!$H$20="Todos",'Plan mensual'!M73,0))+parametros_manuales!$F$20*('Plan mensual'!M70+IF(parametros_manuales!$H$20="Todos",'Plan mensual'!M74,0))+parametros_manuales!$G$20*('Plan mensual'!M71+IF(parametros_manuales!$H$20="Todos",'Plan mensual'!M75,0)))*parametros_manuales!$I$20*parametros_manuales!$J$20</f>
        <v>3686.741693175</v>
      </c>
      <c r="L165" s="9" t="n">
        <f aca="false">(parametros_manuales!$D$20*('Plan mensual'!N68+IF(parametros_manuales!$H$20="Todos",'Plan mensual'!N72,0))+parametros_manuales!$E$20*('Plan mensual'!N69+IF(parametros_manuales!$H$20="Todos",'Plan mensual'!N73,0))+parametros_manuales!$F$20*('Plan mensual'!N70+IF(parametros_manuales!$H$20="Todos",'Plan mensual'!N74,0))+parametros_manuales!$G$20*('Plan mensual'!N71+IF(parametros_manuales!$H$20="Todos",'Plan mensual'!N75,0)))*parametros_manuales!$I$20*parametros_manuales!$J$20</f>
        <v>3440.95891363</v>
      </c>
      <c r="M165" s="9" t="n">
        <f aca="false">(parametros_manuales!$D$20*('Plan mensual'!O68+IF(parametros_manuales!$H$20="Todos",'Plan mensual'!O72,0))+parametros_manuales!$E$20*('Plan mensual'!O69+IF(parametros_manuales!$H$20="Todos",'Plan mensual'!O73,0))+parametros_manuales!$F$20*('Plan mensual'!O70+IF(parametros_manuales!$H$20="Todos",'Plan mensual'!O74,0))+parametros_manuales!$G$20*('Plan mensual'!O71+IF(parametros_manuales!$H$20="Todos",'Plan mensual'!O75,0)))*parametros_manuales!$I$20*parametros_manuales!$J$20</f>
        <v>5407.22114999</v>
      </c>
      <c r="N165" s="9" t="n">
        <f aca="false">SUM(B165:M165)</f>
        <v>49156.555909</v>
      </c>
      <c r="O165" s="9" t="n">
        <f aca="false">MAX(B165:M165)</f>
        <v>5407.22114999</v>
      </c>
      <c r="P165" s="43" t="n">
        <f aca="false">O165/(parametros_manuales!$B$7)</f>
        <v>36.0481409999333</v>
      </c>
      <c r="Q165" s="8" t="str">
        <f aca="false">IF(O165=0,"-",INDEX($B$163:$M$163,MATCH(O165,B165:M165,0)))</f>
        <v>Dic</v>
      </c>
    </row>
    <row r="166" customFormat="false" ht="14.25" hidden="false" customHeight="true" outlineLevel="0" collapsed="false">
      <c r="A166" s="8" t="str">
        <f aca="false">parametros_manuales!$B$21</f>
        <v>Corte de tubo — 1 kg</v>
      </c>
      <c r="B166" s="9" t="n">
        <f aca="false">(parametros_manuales!$D$21*('Plan mensual'!D68+IF(parametros_manuales!$H$21="Todos",'Plan mensual'!D72,0))+parametros_manuales!$E$21*('Plan mensual'!D69+IF(parametros_manuales!$H$21="Todos",'Plan mensual'!D73,0))+parametros_manuales!$F$21*('Plan mensual'!D70+IF(parametros_manuales!$H$21="Todos",'Plan mensual'!D74,0))+parametros_manuales!$G$21*('Plan mensual'!D71+IF(parametros_manuales!$H$21="Todos",'Plan mensual'!D75,0)))*parametros_manuales!$I$21*parametros_manuales!$J$21</f>
        <v>14600.7783912</v>
      </c>
      <c r="C166" s="9" t="n">
        <f aca="false">(parametros_manuales!$D$21*('Plan mensual'!E68+IF(parametros_manuales!$H$21="Todos",'Plan mensual'!E72,0))+parametros_manuales!$E$21*('Plan mensual'!E69+IF(parametros_manuales!$H$21="Todos",'Plan mensual'!E73,0))+parametros_manuales!$F$21*('Plan mensual'!E70+IF(parametros_manuales!$H$21="Todos",'Plan mensual'!E74,0))+parametros_manuales!$G$21*('Plan mensual'!E71+IF(parametros_manuales!$H$21="Todos",'Plan mensual'!E75,0)))*parametros_manuales!$I$21*parametros_manuales!$J$21</f>
        <v>10950.5837934</v>
      </c>
      <c r="D166" s="9" t="n">
        <f aca="false">(parametros_manuales!$D$21*('Plan mensual'!F68+IF(parametros_manuales!$H$21="Todos",'Plan mensual'!F72,0))+parametros_manuales!$E$21*('Plan mensual'!F69+IF(parametros_manuales!$H$21="Todos",'Plan mensual'!F73,0))+parametros_manuales!$F$21*('Plan mensual'!F70+IF(parametros_manuales!$H$21="Todos",'Plan mensual'!F74,0))+parametros_manuales!$G$21*('Plan mensual'!F71+IF(parametros_manuales!$H$21="Todos",'Plan mensual'!F75,0)))*parametros_manuales!$I$21*parametros_manuales!$J$21</f>
        <v>9733.8522608</v>
      </c>
      <c r="E166" s="9" t="n">
        <f aca="false">(parametros_manuales!$D$21*('Plan mensual'!G68+IF(parametros_manuales!$H$21="Todos",'Plan mensual'!G72,0))+parametros_manuales!$E$21*('Plan mensual'!G69+IF(parametros_manuales!$H$21="Todos",'Plan mensual'!G73,0))+parametros_manuales!$F$21*('Plan mensual'!G70+IF(parametros_manuales!$H$21="Todos",'Plan mensual'!G74,0))+parametros_manuales!$G$21*('Plan mensual'!G71+IF(parametros_manuales!$H$21="Todos",'Plan mensual'!G75,0)))*parametros_manuales!$I$21*parametros_manuales!$J$21</f>
        <v>9125.4864945</v>
      </c>
      <c r="F166" s="9" t="n">
        <f aca="false">(parametros_manuales!$D$21*('Plan mensual'!H68+IF(parametros_manuales!$H$21="Todos",'Plan mensual'!H72,0))+parametros_manuales!$E$21*('Plan mensual'!H69+IF(parametros_manuales!$H$21="Todos",'Plan mensual'!H73,0))+parametros_manuales!$F$21*('Plan mensual'!H70+IF(parametros_manuales!$H$21="Todos",'Plan mensual'!H74,0))+parametros_manuales!$G$21*('Plan mensual'!H71+IF(parametros_manuales!$H$21="Todos",'Plan mensual'!H75,0)))*parametros_manuales!$I$21*parametros_manuales!$J$21</f>
        <v>8517.1207282</v>
      </c>
      <c r="G166" s="9" t="n">
        <f aca="false">(parametros_manuales!$D$21*('Plan mensual'!I68+IF(parametros_manuales!$H$21="Todos",'Plan mensual'!I72,0))+parametros_manuales!$E$21*('Plan mensual'!I69+IF(parametros_manuales!$H$21="Todos",'Plan mensual'!I73,0))+parametros_manuales!$F$21*('Plan mensual'!I70+IF(parametros_manuales!$H$21="Todos",'Plan mensual'!I74,0))+parametros_manuales!$G$21*('Plan mensual'!I71+IF(parametros_manuales!$H$21="Todos",'Plan mensual'!I75,0)))*parametros_manuales!$I$21*parametros_manuales!$J$21</f>
        <v>8517.1207282</v>
      </c>
      <c r="H166" s="9" t="n">
        <f aca="false">(parametros_manuales!$D$21*('Plan mensual'!J68+IF(parametros_manuales!$H$21="Todos",'Plan mensual'!J72,0))+parametros_manuales!$E$21*('Plan mensual'!J69+IF(parametros_manuales!$H$21="Todos",'Plan mensual'!J73,0))+parametros_manuales!$F$21*('Plan mensual'!J70+IF(parametros_manuales!$H$21="Todos",'Plan mensual'!J74,0))+parametros_manuales!$G$21*('Plan mensual'!J71+IF(parametros_manuales!$H$21="Todos",'Plan mensual'!J75,0)))*parametros_manuales!$I$21*parametros_manuales!$J$21</f>
        <v>9125.4864945</v>
      </c>
      <c r="I166" s="9" t="n">
        <f aca="false">(parametros_manuales!$D$21*('Plan mensual'!K68+IF(parametros_manuales!$H$21="Todos",'Plan mensual'!K72,0))+parametros_manuales!$E$21*('Plan mensual'!K69+IF(parametros_manuales!$H$21="Todos",'Plan mensual'!K73,0))+parametros_manuales!$F$21*('Plan mensual'!K70+IF(parametros_manuales!$H$21="Todos",'Plan mensual'!K74,0))+parametros_manuales!$G$21*('Plan mensual'!K71+IF(parametros_manuales!$H$21="Todos",'Plan mensual'!K75,0)))*parametros_manuales!$I$21*parametros_manuales!$J$21</f>
        <v>9125.4864945</v>
      </c>
      <c r="J166" s="9" t="n">
        <f aca="false">(parametros_manuales!$D$21*('Plan mensual'!L68+IF(parametros_manuales!$H$21="Todos",'Plan mensual'!L72,0))+parametros_manuales!$E$21*('Plan mensual'!L69+IF(parametros_manuales!$H$21="Todos",'Plan mensual'!L73,0))+parametros_manuales!$F$21*('Plan mensual'!L70+IF(parametros_manuales!$H$21="Todos",'Plan mensual'!L74,0))+parametros_manuales!$G$21*('Plan mensual'!L71+IF(parametros_manuales!$H$21="Todos",'Plan mensual'!L75,0)))*parametros_manuales!$I$21*parametros_manuales!$J$21</f>
        <v>9125.4864945</v>
      </c>
      <c r="K166" s="9" t="n">
        <f aca="false">(parametros_manuales!$D$21*('Plan mensual'!M68+IF(parametros_manuales!$H$21="Todos",'Plan mensual'!M72,0))+parametros_manuales!$E$21*('Plan mensual'!M69+IF(parametros_manuales!$H$21="Todos",'Plan mensual'!M73,0))+parametros_manuales!$F$21*('Plan mensual'!M70+IF(parametros_manuales!$H$21="Todos",'Plan mensual'!M74,0))+parametros_manuales!$G$21*('Plan mensual'!M71+IF(parametros_manuales!$H$21="Todos",'Plan mensual'!M75,0)))*parametros_manuales!$I$21*parametros_manuales!$J$21</f>
        <v>9125.4864945</v>
      </c>
      <c r="L166" s="9" t="n">
        <f aca="false">(parametros_manuales!$D$21*('Plan mensual'!N68+IF(parametros_manuales!$H$21="Todos",'Plan mensual'!N72,0))+parametros_manuales!$E$21*('Plan mensual'!N69+IF(parametros_manuales!$H$21="Todos",'Plan mensual'!N73,0))+parametros_manuales!$F$21*('Plan mensual'!N70+IF(parametros_manuales!$H$21="Todos",'Plan mensual'!N74,0))+parametros_manuales!$G$21*('Plan mensual'!N71+IF(parametros_manuales!$H$21="Todos",'Plan mensual'!N75,0)))*parametros_manuales!$I$21*parametros_manuales!$J$21</f>
        <v>9125.4864945</v>
      </c>
      <c r="M166" s="9" t="n">
        <f aca="false">(parametros_manuales!$D$21*('Plan mensual'!O68+IF(parametros_manuales!$H$21="Todos",'Plan mensual'!O72,0))+parametros_manuales!$E$21*('Plan mensual'!O69+IF(parametros_manuales!$H$21="Todos",'Plan mensual'!O73,0))+parametros_manuales!$F$21*('Plan mensual'!O70+IF(parametros_manuales!$H$21="Todos",'Plan mensual'!O74,0))+parametros_manuales!$G$21*('Plan mensual'!O71+IF(parametros_manuales!$H$21="Todos",'Plan mensual'!O75,0)))*parametros_manuales!$I$21*parametros_manuales!$J$21</f>
        <v>14600.7783912</v>
      </c>
      <c r="N166" s="9" t="n">
        <f aca="false">SUM(B166:M166)</f>
        <v>121673.15326</v>
      </c>
      <c r="O166" s="9" t="n">
        <f aca="false">MAX(B166:M166)</f>
        <v>14600.7783912</v>
      </c>
      <c r="P166" s="43" t="n">
        <f aca="false">O166/(parametros_manuales!$B$7)</f>
        <v>97.338522608</v>
      </c>
      <c r="Q166" s="8" t="str">
        <f aca="false">IF(O166=0,"-",INDEX($B$163:$M$163,MATCH(O166,B166:M166,0)))</f>
        <v>Ene</v>
      </c>
    </row>
    <row r="167" customFormat="false" ht="14.25" hidden="false" customHeight="true" outlineLevel="0" collapsed="false">
      <c r="A167" s="8" t="str">
        <f aca="false">parametros_manuales!$B$22</f>
        <v>Corte de disco y embutido (cúpula y fondo)</v>
      </c>
      <c r="B167" s="9" t="n">
        <f aca="false">(parametros_manuales!$D$22*('Plan mensual'!D68+IF(parametros_manuales!$H$22="Todos",'Plan mensual'!D72,0))+parametros_manuales!$E$22*('Plan mensual'!D69+IF(parametros_manuales!$H$22="Todos",'Plan mensual'!D73,0))+parametros_manuales!$F$22*('Plan mensual'!D70+IF(parametros_manuales!$H$22="Todos",'Plan mensual'!D74,0))+parametros_manuales!$G$22*('Plan mensual'!D71+IF(parametros_manuales!$H$22="Todos",'Plan mensual'!D75,0)))*parametros_manuales!$I$22*parametros_manuales!$J$22</f>
        <v>39032.8679642</v>
      </c>
      <c r="C167" s="9" t="n">
        <f aca="false">(parametros_manuales!$D$22*('Plan mensual'!E68+IF(parametros_manuales!$H$22="Todos",'Plan mensual'!E72,0))+parametros_manuales!$E$22*('Plan mensual'!E69+IF(parametros_manuales!$H$22="Todos",'Plan mensual'!E73,0))+parametros_manuales!$F$22*('Plan mensual'!E70+IF(parametros_manuales!$H$22="Todos",'Plan mensual'!E74,0))+parametros_manuales!$G$22*('Plan mensual'!E71+IF(parametros_manuales!$H$22="Todos",'Plan mensual'!E75,0)))*parametros_manuales!$I$22*parametros_manuales!$J$22</f>
        <v>29766.21653224</v>
      </c>
      <c r="D167" s="9" t="n">
        <f aca="false">(parametros_manuales!$D$22*('Plan mensual'!F68+IF(parametros_manuales!$H$22="Todos",'Plan mensual'!F72,0))+parametros_manuales!$E$22*('Plan mensual'!F69+IF(parametros_manuales!$H$22="Todos",'Plan mensual'!F73,0))+parametros_manuales!$F$22*('Plan mensual'!F70+IF(parametros_manuales!$H$22="Todos",'Plan mensual'!F74,0))+parametros_manuales!$G$22*('Plan mensual'!F71+IF(parametros_manuales!$H$22="Todos",'Plan mensual'!F75,0)))*parametros_manuales!$I$22*parametros_manuales!$J$22</f>
        <v>27824.31902613</v>
      </c>
      <c r="E167" s="9" t="n">
        <f aca="false">(parametros_manuales!$D$22*('Plan mensual'!G68+IF(parametros_manuales!$H$22="Todos",'Plan mensual'!G72,0))+parametros_manuales!$E$22*('Plan mensual'!G69+IF(parametros_manuales!$H$22="Todos",'Plan mensual'!G73,0))+parametros_manuales!$F$22*('Plan mensual'!G70+IF(parametros_manuales!$H$22="Todos",'Plan mensual'!G74,0))+parametros_manuales!$G$22*('Plan mensual'!G71+IF(parametros_manuales!$H$22="Todos",'Plan mensual'!G75,0)))*parametros_manuales!$I$22*parametros_manuales!$J$22</f>
        <v>26607.58749353</v>
      </c>
      <c r="F167" s="9" t="n">
        <f aca="false">(parametros_manuales!$D$22*('Plan mensual'!H68+IF(parametros_manuales!$H$22="Todos",'Plan mensual'!H72,0))+parametros_manuales!$E$22*('Plan mensual'!H69+IF(parametros_manuales!$H$22="Todos",'Plan mensual'!H73,0))+parametros_manuales!$F$22*('Plan mensual'!H70+IF(parametros_manuales!$H$22="Todos",'Plan mensual'!H74,0))+parametros_manuales!$G$22*('Plan mensual'!H71+IF(parametros_manuales!$H$22="Todos",'Plan mensual'!H75,0)))*parametros_manuales!$I$22*parametros_manuales!$J$22</f>
        <v>24899.29040184</v>
      </c>
      <c r="G167" s="9" t="n">
        <f aca="false">(parametros_manuales!$D$22*('Plan mensual'!I68+IF(parametros_manuales!$H$22="Todos",'Plan mensual'!I72,0))+parametros_manuales!$E$22*('Plan mensual'!I69+IF(parametros_manuales!$H$22="Todos",'Plan mensual'!I73,0))+parametros_manuales!$F$22*('Plan mensual'!I70+IF(parametros_manuales!$H$22="Todos",'Plan mensual'!I74,0))+parametros_manuales!$G$22*('Plan mensual'!I71+IF(parametros_manuales!$H$22="Todos",'Plan mensual'!I75,0)))*parametros_manuales!$I$22*parametros_manuales!$J$22</f>
        <v>24407.72484275</v>
      </c>
      <c r="H167" s="9" t="n">
        <f aca="false">(parametros_manuales!$D$22*('Plan mensual'!J68+IF(parametros_manuales!$H$22="Todos",'Plan mensual'!J72,0))+parametros_manuales!$E$22*('Plan mensual'!J69+IF(parametros_manuales!$H$22="Todos",'Plan mensual'!J73,0))+parametros_manuales!$F$22*('Plan mensual'!J70+IF(parametros_manuales!$H$22="Todos",'Plan mensual'!J74,0))+parametros_manuales!$G$22*('Plan mensual'!J71+IF(parametros_manuales!$H$22="Todos",'Plan mensual'!J75,0)))*parametros_manuales!$I$22*parametros_manuales!$J$22</f>
        <v>26116.02193444</v>
      </c>
      <c r="I167" s="9" t="n">
        <f aca="false">(parametros_manuales!$D$22*('Plan mensual'!K68+IF(parametros_manuales!$H$22="Todos",'Plan mensual'!K72,0))+parametros_manuales!$E$22*('Plan mensual'!K69+IF(parametros_manuales!$H$22="Todos",'Plan mensual'!K73,0))+parametros_manuales!$F$22*('Plan mensual'!K70+IF(parametros_manuales!$H$22="Todos",'Plan mensual'!K74,0))+parametros_manuales!$G$22*('Plan mensual'!K71+IF(parametros_manuales!$H$22="Todos",'Plan mensual'!K75,0)))*parametros_manuales!$I$22*parametros_manuales!$J$22</f>
        <v>26116.02193444</v>
      </c>
      <c r="J167" s="9" t="n">
        <f aca="false">(parametros_manuales!$D$22*('Plan mensual'!L68+IF(parametros_manuales!$H$22="Todos",'Plan mensual'!L72,0))+parametros_manuales!$E$22*('Plan mensual'!L69+IF(parametros_manuales!$H$22="Todos",'Plan mensual'!L73,0))+parametros_manuales!$F$22*('Plan mensual'!L70+IF(parametros_manuales!$H$22="Todos",'Plan mensual'!L74,0))+parametros_manuales!$G$22*('Plan mensual'!L71+IF(parametros_manuales!$H$22="Todos",'Plan mensual'!L75,0)))*parametros_manuales!$I$22*parametros_manuales!$J$22</f>
        <v>26116.02193444</v>
      </c>
      <c r="K167" s="9" t="n">
        <f aca="false">(parametros_manuales!$D$22*('Plan mensual'!M68+IF(parametros_manuales!$H$22="Todos",'Plan mensual'!M72,0))+parametros_manuales!$E$22*('Plan mensual'!M69+IF(parametros_manuales!$H$22="Todos",'Plan mensual'!M73,0))+parametros_manuales!$F$22*('Plan mensual'!M70+IF(parametros_manuales!$H$22="Todos",'Plan mensual'!M74,0))+parametros_manuales!$G$22*('Plan mensual'!M71+IF(parametros_manuales!$H$22="Todos",'Plan mensual'!M75,0)))*parametros_manuales!$I$22*parametros_manuales!$J$22</f>
        <v>25624.45637535</v>
      </c>
      <c r="L167" s="9" t="n">
        <f aca="false">(parametros_manuales!$D$22*('Plan mensual'!N68+IF(parametros_manuales!$H$22="Todos",'Plan mensual'!N72,0))+parametros_manuales!$E$22*('Plan mensual'!N69+IF(parametros_manuales!$H$22="Todos",'Plan mensual'!N73,0))+parametros_manuales!$F$22*('Plan mensual'!N70+IF(parametros_manuales!$H$22="Todos",'Plan mensual'!N74,0))+parametros_manuales!$G$22*('Plan mensual'!N71+IF(parametros_manuales!$H$22="Todos",'Plan mensual'!N75,0)))*parametros_manuales!$I$22*parametros_manuales!$J$22</f>
        <v>25132.89081626</v>
      </c>
      <c r="M167" s="9" t="n">
        <f aca="false">(parametros_manuales!$D$22*('Plan mensual'!O68+IF(parametros_manuales!$H$22="Todos",'Plan mensual'!O72,0))+parametros_manuales!$E$22*('Plan mensual'!O69+IF(parametros_manuales!$H$22="Todos",'Plan mensual'!O73,0))+parametros_manuales!$F$22*('Plan mensual'!O70+IF(parametros_manuales!$H$22="Todos",'Plan mensual'!O74,0))+parametros_manuales!$G$22*('Plan mensual'!O71+IF(parametros_manuales!$H$22="Todos",'Plan mensual'!O75,0)))*parametros_manuales!$I$22*parametros_manuales!$J$22</f>
        <v>40015.99908238</v>
      </c>
      <c r="N167" s="9" t="n">
        <f aca="false">SUM(B167:M167)</f>
        <v>341659.418338</v>
      </c>
      <c r="O167" s="9" t="n">
        <f aca="false">MAX(B167:M167)</f>
        <v>40015.99908238</v>
      </c>
      <c r="P167" s="43" t="n">
        <f aca="false">O167/(parametros_manuales!$B$7)</f>
        <v>266.773327215867</v>
      </c>
      <c r="Q167" s="8" t="str">
        <f aca="false">IF(O167=0,"-",INDEX($B$163:$M$163,MATCH(O167,B167:M167,0)))</f>
        <v>Dic</v>
      </c>
    </row>
    <row r="168" customFormat="false" ht="14.25" hidden="false" customHeight="true" outlineLevel="0" collapsed="false">
      <c r="A168" s="8" t="str">
        <f aca="false">parametros_manuales!$B$23</f>
        <v>Preparación de cuello</v>
      </c>
      <c r="B168" s="9" t="n">
        <f aca="false">(parametros_manuales!$D$23*('Plan mensual'!D68+IF(parametros_manuales!$H$23="Todos",'Plan mensual'!D72,0))+parametros_manuales!$E$23*('Plan mensual'!D69+IF(parametros_manuales!$H$23="Todos",'Plan mensual'!D73,0))+parametros_manuales!$F$23*('Plan mensual'!D70+IF(parametros_manuales!$H$23="Todos",'Plan mensual'!D74,0))+parametros_manuales!$G$23*('Plan mensual'!D71+IF(parametros_manuales!$H$23="Todos",'Plan mensual'!D75,0)))*parametros_manuales!$I$23*parametros_manuales!$J$23</f>
        <v>19516.4339821</v>
      </c>
      <c r="C168" s="9" t="n">
        <f aca="false">(parametros_manuales!$D$23*('Plan mensual'!E68+IF(parametros_manuales!$H$23="Todos",'Plan mensual'!E72,0))+parametros_manuales!$E$23*('Plan mensual'!E69+IF(parametros_manuales!$H$23="Todos",'Plan mensual'!E73,0))+parametros_manuales!$F$23*('Plan mensual'!E70+IF(parametros_manuales!$H$23="Todos",'Plan mensual'!E74,0))+parametros_manuales!$G$23*('Plan mensual'!E71+IF(parametros_manuales!$H$23="Todos",'Plan mensual'!E75,0)))*parametros_manuales!$I$23*parametros_manuales!$J$23</f>
        <v>14883.10826612</v>
      </c>
      <c r="D168" s="9" t="n">
        <f aca="false">(parametros_manuales!$D$23*('Plan mensual'!F68+IF(parametros_manuales!$H$23="Todos",'Plan mensual'!F72,0))+parametros_manuales!$E$23*('Plan mensual'!F69+IF(parametros_manuales!$H$23="Todos",'Plan mensual'!F73,0))+parametros_manuales!$F$23*('Plan mensual'!F70+IF(parametros_manuales!$H$23="Todos",'Plan mensual'!F74,0))+parametros_manuales!$G$23*('Plan mensual'!F71+IF(parametros_manuales!$H$23="Todos",'Plan mensual'!F75,0)))*parametros_manuales!$I$23*parametros_manuales!$J$23</f>
        <v>13912.159513065</v>
      </c>
      <c r="E168" s="9" t="n">
        <f aca="false">(parametros_manuales!$D$23*('Plan mensual'!G68+IF(parametros_manuales!$H$23="Todos",'Plan mensual'!G72,0))+parametros_manuales!$E$23*('Plan mensual'!G69+IF(parametros_manuales!$H$23="Todos",'Plan mensual'!G73,0))+parametros_manuales!$F$23*('Plan mensual'!G70+IF(parametros_manuales!$H$23="Todos",'Plan mensual'!G74,0))+parametros_manuales!$G$23*('Plan mensual'!G71+IF(parametros_manuales!$H$23="Todos",'Plan mensual'!G75,0)))*parametros_manuales!$I$23*parametros_manuales!$J$23</f>
        <v>13303.793746765</v>
      </c>
      <c r="F168" s="9" t="n">
        <f aca="false">(parametros_manuales!$D$23*('Plan mensual'!H68+IF(parametros_manuales!$H$23="Todos",'Plan mensual'!H72,0))+parametros_manuales!$E$23*('Plan mensual'!H69+IF(parametros_manuales!$H$23="Todos",'Plan mensual'!H73,0))+parametros_manuales!$F$23*('Plan mensual'!H70+IF(parametros_manuales!$H$23="Todos",'Plan mensual'!H74,0))+parametros_manuales!$G$23*('Plan mensual'!H71+IF(parametros_manuales!$H$23="Todos",'Plan mensual'!H75,0)))*parametros_manuales!$I$23*parametros_manuales!$J$23</f>
        <v>12449.64520092</v>
      </c>
      <c r="G168" s="9" t="n">
        <f aca="false">(parametros_manuales!$D$23*('Plan mensual'!I68+IF(parametros_manuales!$H$23="Todos",'Plan mensual'!I72,0))+parametros_manuales!$E$23*('Plan mensual'!I69+IF(parametros_manuales!$H$23="Todos",'Plan mensual'!I73,0))+parametros_manuales!$F$23*('Plan mensual'!I70+IF(parametros_manuales!$H$23="Todos",'Plan mensual'!I74,0))+parametros_manuales!$G$23*('Plan mensual'!I71+IF(parametros_manuales!$H$23="Todos",'Plan mensual'!I75,0)))*parametros_manuales!$I$23*parametros_manuales!$J$23</f>
        <v>12203.862421375</v>
      </c>
      <c r="H168" s="9" t="n">
        <f aca="false">(parametros_manuales!$D$23*('Plan mensual'!J68+IF(parametros_manuales!$H$23="Todos",'Plan mensual'!J72,0))+parametros_manuales!$E$23*('Plan mensual'!J69+IF(parametros_manuales!$H$23="Todos",'Plan mensual'!J73,0))+parametros_manuales!$F$23*('Plan mensual'!J70+IF(parametros_manuales!$H$23="Todos",'Plan mensual'!J74,0))+parametros_manuales!$G$23*('Plan mensual'!J71+IF(parametros_manuales!$H$23="Todos",'Plan mensual'!J75,0)))*parametros_manuales!$I$23*parametros_manuales!$J$23</f>
        <v>13058.01096722</v>
      </c>
      <c r="I168" s="9" t="n">
        <f aca="false">(parametros_manuales!$D$23*('Plan mensual'!K68+IF(parametros_manuales!$H$23="Todos",'Plan mensual'!K72,0))+parametros_manuales!$E$23*('Plan mensual'!K69+IF(parametros_manuales!$H$23="Todos",'Plan mensual'!K73,0))+parametros_manuales!$F$23*('Plan mensual'!K70+IF(parametros_manuales!$H$23="Todos",'Plan mensual'!K74,0))+parametros_manuales!$G$23*('Plan mensual'!K71+IF(parametros_manuales!$H$23="Todos",'Plan mensual'!K75,0)))*parametros_manuales!$I$23*parametros_manuales!$J$23</f>
        <v>13058.01096722</v>
      </c>
      <c r="J168" s="9" t="n">
        <f aca="false">(parametros_manuales!$D$23*('Plan mensual'!L68+IF(parametros_manuales!$H$23="Todos",'Plan mensual'!L72,0))+parametros_manuales!$E$23*('Plan mensual'!L69+IF(parametros_manuales!$H$23="Todos",'Plan mensual'!L73,0))+parametros_manuales!$F$23*('Plan mensual'!L70+IF(parametros_manuales!$H$23="Todos",'Plan mensual'!L74,0))+parametros_manuales!$G$23*('Plan mensual'!L71+IF(parametros_manuales!$H$23="Todos",'Plan mensual'!L75,0)))*parametros_manuales!$I$23*parametros_manuales!$J$23</f>
        <v>13058.01096722</v>
      </c>
      <c r="K168" s="9" t="n">
        <f aca="false">(parametros_manuales!$D$23*('Plan mensual'!M68+IF(parametros_manuales!$H$23="Todos",'Plan mensual'!M72,0))+parametros_manuales!$E$23*('Plan mensual'!M69+IF(parametros_manuales!$H$23="Todos",'Plan mensual'!M73,0))+parametros_manuales!$F$23*('Plan mensual'!M70+IF(parametros_manuales!$H$23="Todos",'Plan mensual'!M74,0))+parametros_manuales!$G$23*('Plan mensual'!M71+IF(parametros_manuales!$H$23="Todos",'Plan mensual'!M75,0)))*parametros_manuales!$I$23*parametros_manuales!$J$23</f>
        <v>12812.228187675</v>
      </c>
      <c r="L168" s="9" t="n">
        <f aca="false">(parametros_manuales!$D$23*('Plan mensual'!N68+IF(parametros_manuales!$H$23="Todos",'Plan mensual'!N72,0))+parametros_manuales!$E$23*('Plan mensual'!N69+IF(parametros_manuales!$H$23="Todos",'Plan mensual'!N73,0))+parametros_manuales!$F$23*('Plan mensual'!N70+IF(parametros_manuales!$H$23="Todos",'Plan mensual'!N74,0))+parametros_manuales!$G$23*('Plan mensual'!N71+IF(parametros_manuales!$H$23="Todos",'Plan mensual'!N75,0)))*parametros_manuales!$I$23*parametros_manuales!$J$23</f>
        <v>12566.44540813</v>
      </c>
      <c r="M168" s="9" t="n">
        <f aca="false">(parametros_manuales!$D$23*('Plan mensual'!O68+IF(parametros_manuales!$H$23="Todos",'Plan mensual'!O72,0))+parametros_manuales!$E$23*('Plan mensual'!O69+IF(parametros_manuales!$H$23="Todos",'Plan mensual'!O73,0))+parametros_manuales!$F$23*('Plan mensual'!O70+IF(parametros_manuales!$H$23="Todos",'Plan mensual'!O74,0))+parametros_manuales!$G$23*('Plan mensual'!O71+IF(parametros_manuales!$H$23="Todos",'Plan mensual'!O75,0)))*parametros_manuales!$I$23*parametros_manuales!$J$23</f>
        <v>20007.99954119</v>
      </c>
      <c r="N168" s="9" t="n">
        <f aca="false">SUM(B168:M168)</f>
        <v>170829.709169</v>
      </c>
      <c r="O168" s="9" t="n">
        <f aca="false">MAX(B168:M168)</f>
        <v>20007.99954119</v>
      </c>
      <c r="P168" s="43" t="n">
        <f aca="false">O168/(parametros_manuales!$B$7)</f>
        <v>133.386663607933</v>
      </c>
      <c r="Q168" s="8" t="str">
        <f aca="false">IF(O168=0,"-",INDEX($B$163:$M$163,MATCH(O168,B168:M168,0)))</f>
        <v>Dic</v>
      </c>
    </row>
    <row r="169" customFormat="false" ht="14.25" hidden="false" customHeight="true" outlineLevel="0" collapsed="false">
      <c r="A169" s="8" t="str">
        <f aca="false">parametros_manuales!$B$24</f>
        <v>Numerado de cúpula</v>
      </c>
      <c r="B169" s="9" t="n">
        <f aca="false">(parametros_manuales!$D$24*('Plan mensual'!D68+IF(parametros_manuales!$H$24="Todos",'Plan mensual'!D72,0))+parametros_manuales!$E$24*('Plan mensual'!D69+IF(parametros_manuales!$H$24="Todos",'Plan mensual'!D73,0))+parametros_manuales!$F$24*('Plan mensual'!D70+IF(parametros_manuales!$H$24="Todos",'Plan mensual'!D74,0))+parametros_manuales!$G$24*('Plan mensual'!D71+IF(parametros_manuales!$H$24="Todos",'Plan mensual'!D75,0)))*parametros_manuales!$I$24*parametros_manuales!$J$24</f>
        <v>19516.4339821</v>
      </c>
      <c r="C169" s="9" t="n">
        <f aca="false">(parametros_manuales!$D$24*('Plan mensual'!E68+IF(parametros_manuales!$H$24="Todos",'Plan mensual'!E72,0))+parametros_manuales!$E$24*('Plan mensual'!E69+IF(parametros_manuales!$H$24="Todos",'Plan mensual'!E73,0))+parametros_manuales!$F$24*('Plan mensual'!E70+IF(parametros_manuales!$H$24="Todos",'Plan mensual'!E74,0))+parametros_manuales!$G$24*('Plan mensual'!E71+IF(parametros_manuales!$H$24="Todos",'Plan mensual'!E75,0)))*parametros_manuales!$I$24*parametros_manuales!$J$24</f>
        <v>14883.10826612</v>
      </c>
      <c r="D169" s="9" t="n">
        <f aca="false">(parametros_manuales!$D$24*('Plan mensual'!F68+IF(parametros_manuales!$H$24="Todos",'Plan mensual'!F72,0))+parametros_manuales!$E$24*('Plan mensual'!F69+IF(parametros_manuales!$H$24="Todos",'Plan mensual'!F73,0))+parametros_manuales!$F$24*('Plan mensual'!F70+IF(parametros_manuales!$H$24="Todos",'Plan mensual'!F74,0))+parametros_manuales!$G$24*('Plan mensual'!F71+IF(parametros_manuales!$H$24="Todos",'Plan mensual'!F75,0)))*parametros_manuales!$I$24*parametros_manuales!$J$24</f>
        <v>13912.159513065</v>
      </c>
      <c r="E169" s="9" t="n">
        <f aca="false">(parametros_manuales!$D$24*('Plan mensual'!G68+IF(parametros_manuales!$H$24="Todos",'Plan mensual'!G72,0))+parametros_manuales!$E$24*('Plan mensual'!G69+IF(parametros_manuales!$H$24="Todos",'Plan mensual'!G73,0))+parametros_manuales!$F$24*('Plan mensual'!G70+IF(parametros_manuales!$H$24="Todos",'Plan mensual'!G74,0))+parametros_manuales!$G$24*('Plan mensual'!G71+IF(parametros_manuales!$H$24="Todos",'Plan mensual'!G75,0)))*parametros_manuales!$I$24*parametros_manuales!$J$24</f>
        <v>13303.793746765</v>
      </c>
      <c r="F169" s="9" t="n">
        <f aca="false">(parametros_manuales!$D$24*('Plan mensual'!H68+IF(parametros_manuales!$H$24="Todos",'Plan mensual'!H72,0))+parametros_manuales!$E$24*('Plan mensual'!H69+IF(parametros_manuales!$H$24="Todos",'Plan mensual'!H73,0))+parametros_manuales!$F$24*('Plan mensual'!H70+IF(parametros_manuales!$H$24="Todos",'Plan mensual'!H74,0))+parametros_manuales!$G$24*('Plan mensual'!H71+IF(parametros_manuales!$H$24="Todos",'Plan mensual'!H75,0)))*parametros_manuales!$I$24*parametros_manuales!$J$24</f>
        <v>12449.64520092</v>
      </c>
      <c r="G169" s="9" t="n">
        <f aca="false">(parametros_manuales!$D$24*('Plan mensual'!I68+IF(parametros_manuales!$H$24="Todos",'Plan mensual'!I72,0))+parametros_manuales!$E$24*('Plan mensual'!I69+IF(parametros_manuales!$H$24="Todos",'Plan mensual'!I73,0))+parametros_manuales!$F$24*('Plan mensual'!I70+IF(parametros_manuales!$H$24="Todos",'Plan mensual'!I74,0))+parametros_manuales!$G$24*('Plan mensual'!I71+IF(parametros_manuales!$H$24="Todos",'Plan mensual'!I75,0)))*parametros_manuales!$I$24*parametros_manuales!$J$24</f>
        <v>12203.862421375</v>
      </c>
      <c r="H169" s="9" t="n">
        <f aca="false">(parametros_manuales!$D$24*('Plan mensual'!J68+IF(parametros_manuales!$H$24="Todos",'Plan mensual'!J72,0))+parametros_manuales!$E$24*('Plan mensual'!J69+IF(parametros_manuales!$H$24="Todos",'Plan mensual'!J73,0))+parametros_manuales!$F$24*('Plan mensual'!J70+IF(parametros_manuales!$H$24="Todos",'Plan mensual'!J74,0))+parametros_manuales!$G$24*('Plan mensual'!J71+IF(parametros_manuales!$H$24="Todos",'Plan mensual'!J75,0)))*parametros_manuales!$I$24*parametros_manuales!$J$24</f>
        <v>13058.01096722</v>
      </c>
      <c r="I169" s="9" t="n">
        <f aca="false">(parametros_manuales!$D$24*('Plan mensual'!K68+IF(parametros_manuales!$H$24="Todos",'Plan mensual'!K72,0))+parametros_manuales!$E$24*('Plan mensual'!K69+IF(parametros_manuales!$H$24="Todos",'Plan mensual'!K73,0))+parametros_manuales!$F$24*('Plan mensual'!K70+IF(parametros_manuales!$H$24="Todos",'Plan mensual'!K74,0))+parametros_manuales!$G$24*('Plan mensual'!K71+IF(parametros_manuales!$H$24="Todos",'Plan mensual'!K75,0)))*parametros_manuales!$I$24*parametros_manuales!$J$24</f>
        <v>13058.01096722</v>
      </c>
      <c r="J169" s="9" t="n">
        <f aca="false">(parametros_manuales!$D$24*('Plan mensual'!L68+IF(parametros_manuales!$H$24="Todos",'Plan mensual'!L72,0))+parametros_manuales!$E$24*('Plan mensual'!L69+IF(parametros_manuales!$H$24="Todos",'Plan mensual'!L73,0))+parametros_manuales!$F$24*('Plan mensual'!L70+IF(parametros_manuales!$H$24="Todos",'Plan mensual'!L74,0))+parametros_manuales!$G$24*('Plan mensual'!L71+IF(parametros_manuales!$H$24="Todos",'Plan mensual'!L75,0)))*parametros_manuales!$I$24*parametros_manuales!$J$24</f>
        <v>13058.01096722</v>
      </c>
      <c r="K169" s="9" t="n">
        <f aca="false">(parametros_manuales!$D$24*('Plan mensual'!M68+IF(parametros_manuales!$H$24="Todos",'Plan mensual'!M72,0))+parametros_manuales!$E$24*('Plan mensual'!M69+IF(parametros_manuales!$H$24="Todos",'Plan mensual'!M73,0))+parametros_manuales!$F$24*('Plan mensual'!M70+IF(parametros_manuales!$H$24="Todos",'Plan mensual'!M74,0))+parametros_manuales!$G$24*('Plan mensual'!M71+IF(parametros_manuales!$H$24="Todos",'Plan mensual'!M75,0)))*parametros_manuales!$I$24*parametros_manuales!$J$24</f>
        <v>12812.228187675</v>
      </c>
      <c r="L169" s="9" t="n">
        <f aca="false">(parametros_manuales!$D$24*('Plan mensual'!N68+IF(parametros_manuales!$H$24="Todos",'Plan mensual'!N72,0))+parametros_manuales!$E$24*('Plan mensual'!N69+IF(parametros_manuales!$H$24="Todos",'Plan mensual'!N73,0))+parametros_manuales!$F$24*('Plan mensual'!N70+IF(parametros_manuales!$H$24="Todos",'Plan mensual'!N74,0))+parametros_manuales!$G$24*('Plan mensual'!N71+IF(parametros_manuales!$H$24="Todos",'Plan mensual'!N75,0)))*parametros_manuales!$I$24*parametros_manuales!$J$24</f>
        <v>12566.44540813</v>
      </c>
      <c r="M169" s="9" t="n">
        <f aca="false">(parametros_manuales!$D$24*('Plan mensual'!O68+IF(parametros_manuales!$H$24="Todos",'Plan mensual'!O72,0))+parametros_manuales!$E$24*('Plan mensual'!O69+IF(parametros_manuales!$H$24="Todos",'Plan mensual'!O73,0))+parametros_manuales!$F$24*('Plan mensual'!O70+IF(parametros_manuales!$H$24="Todos",'Plan mensual'!O74,0))+parametros_manuales!$G$24*('Plan mensual'!O71+IF(parametros_manuales!$H$24="Todos",'Plan mensual'!O75,0)))*parametros_manuales!$I$24*parametros_manuales!$J$24</f>
        <v>20007.99954119</v>
      </c>
      <c r="N169" s="9" t="n">
        <f aca="false">SUM(B169:M169)</f>
        <v>170829.709169</v>
      </c>
      <c r="O169" s="9" t="n">
        <f aca="false">MAX(B169:M169)</f>
        <v>20007.99954119</v>
      </c>
      <c r="P169" s="43" t="n">
        <f aca="false">O169/(parametros_manuales!$B$7)</f>
        <v>133.386663607933</v>
      </c>
      <c r="Q169" s="8" t="str">
        <f aca="false">IF(O169=0,"-",INDEX($B$163:$M$163,MATCH(O169,B169:M169,0)))</f>
        <v>Dic</v>
      </c>
    </row>
    <row r="170" customFormat="false" ht="14.25" hidden="false" customHeight="true" outlineLevel="0" collapsed="false">
      <c r="A170" s="8" t="str">
        <f aca="false">parametros_manuales!$B$25</f>
        <v>Soldadura del cuello a la cúpula</v>
      </c>
      <c r="B170" s="9" t="n">
        <f aca="false">(parametros_manuales!$D$25*('Plan mensual'!D68+IF(parametros_manuales!$H$25="Todos",'Plan mensual'!D72,0))+parametros_manuales!$E$25*('Plan mensual'!D69+IF(parametros_manuales!$H$25="Todos",'Plan mensual'!D73,0))+parametros_manuales!$F$25*('Plan mensual'!D70+IF(parametros_manuales!$H$25="Todos",'Plan mensual'!D74,0))+parametros_manuales!$G$25*('Plan mensual'!D71+IF(parametros_manuales!$H$25="Todos",'Plan mensual'!D75,0)))*parametros_manuales!$I$25*parametros_manuales!$J$25</f>
        <v>19516.4339821</v>
      </c>
      <c r="C170" s="9" t="n">
        <f aca="false">(parametros_manuales!$D$25*('Plan mensual'!E68+IF(parametros_manuales!$H$25="Todos",'Plan mensual'!E72,0))+parametros_manuales!$E$25*('Plan mensual'!E69+IF(parametros_manuales!$H$25="Todos",'Plan mensual'!E73,0))+parametros_manuales!$F$25*('Plan mensual'!E70+IF(parametros_manuales!$H$25="Todos",'Plan mensual'!E74,0))+parametros_manuales!$G$25*('Plan mensual'!E71+IF(parametros_manuales!$H$25="Todos",'Plan mensual'!E75,0)))*parametros_manuales!$I$25*parametros_manuales!$J$25</f>
        <v>14883.10826612</v>
      </c>
      <c r="D170" s="9" t="n">
        <f aca="false">(parametros_manuales!$D$25*('Plan mensual'!F68+IF(parametros_manuales!$H$25="Todos",'Plan mensual'!F72,0))+parametros_manuales!$E$25*('Plan mensual'!F69+IF(parametros_manuales!$H$25="Todos",'Plan mensual'!F73,0))+parametros_manuales!$F$25*('Plan mensual'!F70+IF(parametros_manuales!$H$25="Todos",'Plan mensual'!F74,0))+parametros_manuales!$G$25*('Plan mensual'!F71+IF(parametros_manuales!$H$25="Todos",'Plan mensual'!F75,0)))*parametros_manuales!$I$25*parametros_manuales!$J$25</f>
        <v>13912.159513065</v>
      </c>
      <c r="E170" s="9" t="n">
        <f aca="false">(parametros_manuales!$D$25*('Plan mensual'!G68+IF(parametros_manuales!$H$25="Todos",'Plan mensual'!G72,0))+parametros_manuales!$E$25*('Plan mensual'!G69+IF(parametros_manuales!$H$25="Todos",'Plan mensual'!G73,0))+parametros_manuales!$F$25*('Plan mensual'!G70+IF(parametros_manuales!$H$25="Todos",'Plan mensual'!G74,0))+parametros_manuales!$G$25*('Plan mensual'!G71+IF(parametros_manuales!$H$25="Todos",'Plan mensual'!G75,0)))*parametros_manuales!$I$25*parametros_manuales!$J$25</f>
        <v>13303.793746765</v>
      </c>
      <c r="F170" s="9" t="n">
        <f aca="false">(parametros_manuales!$D$25*('Plan mensual'!H68+IF(parametros_manuales!$H$25="Todos",'Plan mensual'!H72,0))+parametros_manuales!$E$25*('Plan mensual'!H69+IF(parametros_manuales!$H$25="Todos",'Plan mensual'!H73,0))+parametros_manuales!$F$25*('Plan mensual'!H70+IF(parametros_manuales!$H$25="Todos",'Plan mensual'!H74,0))+parametros_manuales!$G$25*('Plan mensual'!H71+IF(parametros_manuales!$H$25="Todos",'Plan mensual'!H75,0)))*parametros_manuales!$I$25*parametros_manuales!$J$25</f>
        <v>12449.64520092</v>
      </c>
      <c r="G170" s="9" t="n">
        <f aca="false">(parametros_manuales!$D$25*('Plan mensual'!I68+IF(parametros_manuales!$H$25="Todos",'Plan mensual'!I72,0))+parametros_manuales!$E$25*('Plan mensual'!I69+IF(parametros_manuales!$H$25="Todos",'Plan mensual'!I73,0))+parametros_manuales!$F$25*('Plan mensual'!I70+IF(parametros_manuales!$H$25="Todos",'Plan mensual'!I74,0))+parametros_manuales!$G$25*('Plan mensual'!I71+IF(parametros_manuales!$H$25="Todos",'Plan mensual'!I75,0)))*parametros_manuales!$I$25*parametros_manuales!$J$25</f>
        <v>12203.862421375</v>
      </c>
      <c r="H170" s="9" t="n">
        <f aca="false">(parametros_manuales!$D$25*('Plan mensual'!J68+IF(parametros_manuales!$H$25="Todos",'Plan mensual'!J72,0))+parametros_manuales!$E$25*('Plan mensual'!J69+IF(parametros_manuales!$H$25="Todos",'Plan mensual'!J73,0))+parametros_manuales!$F$25*('Plan mensual'!J70+IF(parametros_manuales!$H$25="Todos",'Plan mensual'!J74,0))+parametros_manuales!$G$25*('Plan mensual'!J71+IF(parametros_manuales!$H$25="Todos",'Plan mensual'!J75,0)))*parametros_manuales!$I$25*parametros_manuales!$J$25</f>
        <v>13058.01096722</v>
      </c>
      <c r="I170" s="9" t="n">
        <f aca="false">(parametros_manuales!$D$25*('Plan mensual'!K68+IF(parametros_manuales!$H$25="Todos",'Plan mensual'!K72,0))+parametros_manuales!$E$25*('Plan mensual'!K69+IF(parametros_manuales!$H$25="Todos",'Plan mensual'!K73,0))+parametros_manuales!$F$25*('Plan mensual'!K70+IF(parametros_manuales!$H$25="Todos",'Plan mensual'!K74,0))+parametros_manuales!$G$25*('Plan mensual'!K71+IF(parametros_manuales!$H$25="Todos",'Plan mensual'!K75,0)))*parametros_manuales!$I$25*parametros_manuales!$J$25</f>
        <v>13058.01096722</v>
      </c>
      <c r="J170" s="9" t="n">
        <f aca="false">(parametros_manuales!$D$25*('Plan mensual'!L68+IF(parametros_manuales!$H$25="Todos",'Plan mensual'!L72,0))+parametros_manuales!$E$25*('Plan mensual'!L69+IF(parametros_manuales!$H$25="Todos",'Plan mensual'!L73,0))+parametros_manuales!$F$25*('Plan mensual'!L70+IF(parametros_manuales!$H$25="Todos",'Plan mensual'!L74,0))+parametros_manuales!$G$25*('Plan mensual'!L71+IF(parametros_manuales!$H$25="Todos",'Plan mensual'!L75,0)))*parametros_manuales!$I$25*parametros_manuales!$J$25</f>
        <v>13058.01096722</v>
      </c>
      <c r="K170" s="9" t="n">
        <f aca="false">(parametros_manuales!$D$25*('Plan mensual'!M68+IF(parametros_manuales!$H$25="Todos",'Plan mensual'!M72,0))+parametros_manuales!$E$25*('Plan mensual'!M69+IF(parametros_manuales!$H$25="Todos",'Plan mensual'!M73,0))+parametros_manuales!$F$25*('Plan mensual'!M70+IF(parametros_manuales!$H$25="Todos",'Plan mensual'!M74,0))+parametros_manuales!$G$25*('Plan mensual'!M71+IF(parametros_manuales!$H$25="Todos",'Plan mensual'!M75,0)))*parametros_manuales!$I$25*parametros_manuales!$J$25</f>
        <v>12812.228187675</v>
      </c>
      <c r="L170" s="9" t="n">
        <f aca="false">(parametros_manuales!$D$25*('Plan mensual'!N68+IF(parametros_manuales!$H$25="Todos",'Plan mensual'!N72,0))+parametros_manuales!$E$25*('Plan mensual'!N69+IF(parametros_manuales!$H$25="Todos",'Plan mensual'!N73,0))+parametros_manuales!$F$25*('Plan mensual'!N70+IF(parametros_manuales!$H$25="Todos",'Plan mensual'!N74,0))+parametros_manuales!$G$25*('Plan mensual'!N71+IF(parametros_manuales!$H$25="Todos",'Plan mensual'!N75,0)))*parametros_manuales!$I$25*parametros_manuales!$J$25</f>
        <v>12566.44540813</v>
      </c>
      <c r="M170" s="9" t="n">
        <f aca="false">(parametros_manuales!$D$25*('Plan mensual'!O68+IF(parametros_manuales!$H$25="Todos",'Plan mensual'!O72,0))+parametros_manuales!$E$25*('Plan mensual'!O69+IF(parametros_manuales!$H$25="Todos",'Plan mensual'!O73,0))+parametros_manuales!$F$25*('Plan mensual'!O70+IF(parametros_manuales!$H$25="Todos",'Plan mensual'!O74,0))+parametros_manuales!$G$25*('Plan mensual'!O71+IF(parametros_manuales!$H$25="Todos",'Plan mensual'!O75,0)))*parametros_manuales!$I$25*parametros_manuales!$J$25</f>
        <v>20007.99954119</v>
      </c>
      <c r="N170" s="9" t="n">
        <f aca="false">SUM(B170:M170)</f>
        <v>170829.709169</v>
      </c>
      <c r="O170" s="9" t="n">
        <f aca="false">MAX(B170:M170)</f>
        <v>20007.99954119</v>
      </c>
      <c r="P170" s="43" t="n">
        <f aca="false">O170/(parametros_manuales!$B$7)</f>
        <v>133.386663607933</v>
      </c>
      <c r="Q170" s="8" t="str">
        <f aca="false">IF(O170=0,"-",INDEX($B$163:$M$163,MATCH(O170,B170:M170,0)))</f>
        <v>Dic</v>
      </c>
    </row>
    <row r="171" customFormat="false" ht="14.25" hidden="false" customHeight="true" outlineLevel="0" collapsed="false">
      <c r="A171" s="8" t="str">
        <f aca="false">parametros_manuales!$B$26</f>
        <v>Cilindrado</v>
      </c>
      <c r="B171" s="9" t="n">
        <f aca="false">(parametros_manuales!$D$26*('Plan mensual'!D68+IF(parametros_manuales!$H$26="Todos",'Plan mensual'!D72,0))+parametros_manuales!$E$26*('Plan mensual'!D69+IF(parametros_manuales!$H$26="Todos",'Plan mensual'!D73,0))+parametros_manuales!$F$26*('Plan mensual'!D70+IF(parametros_manuales!$H$26="Todos",'Plan mensual'!D74,0))+parametros_manuales!$G$26*('Plan mensual'!D71+IF(parametros_manuales!$H$26="Todos",'Plan mensual'!D75,0)))*parametros_manuales!$I$26*parametros_manuales!$J$26</f>
        <v>4915.6555909</v>
      </c>
      <c r="C171" s="9" t="n">
        <f aca="false">(parametros_manuales!$D$26*('Plan mensual'!E68+IF(parametros_manuales!$H$26="Todos",'Plan mensual'!E72,0))+parametros_manuales!$E$26*('Plan mensual'!E69+IF(parametros_manuales!$H$26="Todos",'Plan mensual'!E73,0))+parametros_manuales!$F$26*('Plan mensual'!E70+IF(parametros_manuales!$H$26="Todos",'Plan mensual'!E74,0))+parametros_manuales!$G$26*('Plan mensual'!E71+IF(parametros_manuales!$H$26="Todos",'Plan mensual'!E75,0)))*parametros_manuales!$I$26*parametros_manuales!$J$26</f>
        <v>3932.52447272</v>
      </c>
      <c r="D171" s="9" t="n">
        <f aca="false">(parametros_manuales!$D$26*('Plan mensual'!F68+IF(parametros_manuales!$H$26="Todos",'Plan mensual'!F72,0))+parametros_manuales!$E$26*('Plan mensual'!F69+IF(parametros_manuales!$H$26="Todos",'Plan mensual'!F73,0))+parametros_manuales!$F$26*('Plan mensual'!F70+IF(parametros_manuales!$H$26="Todos",'Plan mensual'!F74,0))+parametros_manuales!$G$26*('Plan mensual'!F71+IF(parametros_manuales!$H$26="Todos",'Plan mensual'!F75,0)))*parametros_manuales!$I$26*parametros_manuales!$J$26</f>
        <v>4178.307252265</v>
      </c>
      <c r="E171" s="9" t="n">
        <f aca="false">(parametros_manuales!$D$26*('Plan mensual'!G68+IF(parametros_manuales!$H$26="Todos",'Plan mensual'!G72,0))+parametros_manuales!$E$26*('Plan mensual'!G69+IF(parametros_manuales!$H$26="Todos",'Plan mensual'!G73,0))+parametros_manuales!$F$26*('Plan mensual'!G70+IF(parametros_manuales!$H$26="Todos",'Plan mensual'!G74,0))+parametros_manuales!$G$26*('Plan mensual'!G71+IF(parametros_manuales!$H$26="Todos",'Plan mensual'!G75,0)))*parametros_manuales!$I$26*parametros_manuales!$J$26</f>
        <v>4178.307252265</v>
      </c>
      <c r="F171" s="9" t="n">
        <f aca="false">(parametros_manuales!$D$26*('Plan mensual'!H68+IF(parametros_manuales!$H$26="Todos",'Plan mensual'!H72,0))+parametros_manuales!$E$26*('Plan mensual'!H69+IF(parametros_manuales!$H$26="Todos",'Plan mensual'!H73,0))+parametros_manuales!$F$26*('Plan mensual'!H70+IF(parametros_manuales!$H$26="Todos",'Plan mensual'!H74,0))+parametros_manuales!$G$26*('Plan mensual'!H71+IF(parametros_manuales!$H$26="Todos",'Plan mensual'!H75,0)))*parametros_manuales!$I$26*parametros_manuales!$J$26</f>
        <v>3932.52447272</v>
      </c>
      <c r="G171" s="9" t="n">
        <f aca="false">(parametros_manuales!$D$26*('Plan mensual'!I68+IF(parametros_manuales!$H$26="Todos",'Plan mensual'!I72,0))+parametros_manuales!$E$26*('Plan mensual'!I69+IF(parametros_manuales!$H$26="Todos",'Plan mensual'!I73,0))+parametros_manuales!$F$26*('Plan mensual'!I70+IF(parametros_manuales!$H$26="Todos",'Plan mensual'!I74,0))+parametros_manuales!$G$26*('Plan mensual'!I71+IF(parametros_manuales!$H$26="Todos",'Plan mensual'!I75,0)))*parametros_manuales!$I$26*parametros_manuales!$J$26</f>
        <v>3686.741693175</v>
      </c>
      <c r="H171" s="9" t="n">
        <f aca="false">(parametros_manuales!$D$26*('Plan mensual'!J68+IF(parametros_manuales!$H$26="Todos",'Plan mensual'!J72,0))+parametros_manuales!$E$26*('Plan mensual'!J69+IF(parametros_manuales!$H$26="Todos",'Plan mensual'!J73,0))+parametros_manuales!$F$26*('Plan mensual'!J70+IF(parametros_manuales!$H$26="Todos",'Plan mensual'!J74,0))+parametros_manuales!$G$26*('Plan mensual'!J71+IF(parametros_manuales!$H$26="Todos",'Plan mensual'!J75,0)))*parametros_manuales!$I$26*parametros_manuales!$J$26</f>
        <v>3932.52447272</v>
      </c>
      <c r="I171" s="9" t="n">
        <f aca="false">(parametros_manuales!$D$26*('Plan mensual'!K68+IF(parametros_manuales!$H$26="Todos",'Plan mensual'!K72,0))+parametros_manuales!$E$26*('Plan mensual'!K69+IF(parametros_manuales!$H$26="Todos",'Plan mensual'!K73,0))+parametros_manuales!$F$26*('Plan mensual'!K70+IF(parametros_manuales!$H$26="Todos",'Plan mensual'!K74,0))+parametros_manuales!$G$26*('Plan mensual'!K71+IF(parametros_manuales!$H$26="Todos",'Plan mensual'!K75,0)))*parametros_manuales!$I$26*parametros_manuales!$J$26</f>
        <v>3932.52447272</v>
      </c>
      <c r="J171" s="9" t="n">
        <f aca="false">(parametros_manuales!$D$26*('Plan mensual'!L68+IF(parametros_manuales!$H$26="Todos",'Plan mensual'!L72,0))+parametros_manuales!$E$26*('Plan mensual'!L69+IF(parametros_manuales!$H$26="Todos",'Plan mensual'!L73,0))+parametros_manuales!$F$26*('Plan mensual'!L70+IF(parametros_manuales!$H$26="Todos",'Plan mensual'!L74,0))+parametros_manuales!$G$26*('Plan mensual'!L71+IF(parametros_manuales!$H$26="Todos",'Plan mensual'!L75,0)))*parametros_manuales!$I$26*parametros_manuales!$J$26</f>
        <v>3932.52447272</v>
      </c>
      <c r="K171" s="9" t="n">
        <f aca="false">(parametros_manuales!$D$26*('Plan mensual'!M68+IF(parametros_manuales!$H$26="Todos",'Plan mensual'!M72,0))+parametros_manuales!$E$26*('Plan mensual'!M69+IF(parametros_manuales!$H$26="Todos",'Plan mensual'!M73,0))+parametros_manuales!$F$26*('Plan mensual'!M70+IF(parametros_manuales!$H$26="Todos",'Plan mensual'!M74,0))+parametros_manuales!$G$26*('Plan mensual'!M71+IF(parametros_manuales!$H$26="Todos",'Plan mensual'!M75,0)))*parametros_manuales!$I$26*parametros_manuales!$J$26</f>
        <v>3686.741693175</v>
      </c>
      <c r="L171" s="9" t="n">
        <f aca="false">(parametros_manuales!$D$26*('Plan mensual'!N68+IF(parametros_manuales!$H$26="Todos",'Plan mensual'!N72,0))+parametros_manuales!$E$26*('Plan mensual'!N69+IF(parametros_manuales!$H$26="Todos",'Plan mensual'!N73,0))+parametros_manuales!$F$26*('Plan mensual'!N70+IF(parametros_manuales!$H$26="Todos",'Plan mensual'!N74,0))+parametros_manuales!$G$26*('Plan mensual'!N71+IF(parametros_manuales!$H$26="Todos",'Plan mensual'!N75,0)))*parametros_manuales!$I$26*parametros_manuales!$J$26</f>
        <v>3440.95891363</v>
      </c>
      <c r="M171" s="9" t="n">
        <f aca="false">(parametros_manuales!$D$26*('Plan mensual'!O68+IF(parametros_manuales!$H$26="Todos",'Plan mensual'!O72,0))+parametros_manuales!$E$26*('Plan mensual'!O69+IF(parametros_manuales!$H$26="Todos",'Plan mensual'!O73,0))+parametros_manuales!$F$26*('Plan mensual'!O70+IF(parametros_manuales!$H$26="Todos",'Plan mensual'!O74,0))+parametros_manuales!$G$26*('Plan mensual'!O71+IF(parametros_manuales!$H$26="Todos",'Plan mensual'!O75,0)))*parametros_manuales!$I$26*parametros_manuales!$J$26</f>
        <v>5407.22114999</v>
      </c>
      <c r="N171" s="9" t="n">
        <f aca="false">SUM(B171:M171)</f>
        <v>49156.555909</v>
      </c>
      <c r="O171" s="9" t="n">
        <f aca="false">MAX(B171:M171)</f>
        <v>5407.22114999</v>
      </c>
      <c r="P171" s="43" t="n">
        <f aca="false">O171/(parametros_manuales!$B$7)</f>
        <v>36.0481409999333</v>
      </c>
      <c r="Q171" s="8" t="str">
        <f aca="false">IF(O171=0,"-",INDEX($B$163:$M$163,MATCH(O171,B171:M171,0)))</f>
        <v>Dic</v>
      </c>
    </row>
    <row r="172" customFormat="false" ht="14.25" hidden="false" customHeight="true" outlineLevel="0" collapsed="false">
      <c r="A172" s="8" t="str">
        <f aca="false">parametros_manuales!$B$27</f>
        <v>Soldadura longitudinal</v>
      </c>
      <c r="B172" s="9" t="n">
        <f aca="false">(parametros_manuales!$D$27*('Plan mensual'!D68+IF(parametros_manuales!$H$27="Todos",'Plan mensual'!D72,0))+parametros_manuales!$E$27*('Plan mensual'!D69+IF(parametros_manuales!$H$27="Todos",'Plan mensual'!D73,0))+parametros_manuales!$F$27*('Plan mensual'!D70+IF(parametros_manuales!$H$27="Todos",'Plan mensual'!D74,0))+parametros_manuales!$G$27*('Plan mensual'!D71+IF(parametros_manuales!$H$27="Todos",'Plan mensual'!D75,0)))*parametros_manuales!$I$27*parametros_manuales!$J$27</f>
        <v>4915.6555909</v>
      </c>
      <c r="C172" s="9" t="n">
        <f aca="false">(parametros_manuales!$D$27*('Plan mensual'!E68+IF(parametros_manuales!$H$27="Todos",'Plan mensual'!E72,0))+parametros_manuales!$E$27*('Plan mensual'!E69+IF(parametros_manuales!$H$27="Todos",'Plan mensual'!E73,0))+parametros_manuales!$F$27*('Plan mensual'!E70+IF(parametros_manuales!$H$27="Todos",'Plan mensual'!E74,0))+parametros_manuales!$G$27*('Plan mensual'!E71+IF(parametros_manuales!$H$27="Todos",'Plan mensual'!E75,0)))*parametros_manuales!$I$27*parametros_manuales!$J$27</f>
        <v>3932.52447272</v>
      </c>
      <c r="D172" s="9" t="n">
        <f aca="false">(parametros_manuales!$D$27*('Plan mensual'!F68+IF(parametros_manuales!$H$27="Todos",'Plan mensual'!F72,0))+parametros_manuales!$E$27*('Plan mensual'!F69+IF(parametros_manuales!$H$27="Todos",'Plan mensual'!F73,0))+parametros_manuales!$F$27*('Plan mensual'!F70+IF(parametros_manuales!$H$27="Todos",'Plan mensual'!F74,0))+parametros_manuales!$G$27*('Plan mensual'!F71+IF(parametros_manuales!$H$27="Todos",'Plan mensual'!F75,0)))*parametros_manuales!$I$27*parametros_manuales!$J$27</f>
        <v>4178.307252265</v>
      </c>
      <c r="E172" s="9" t="n">
        <f aca="false">(parametros_manuales!$D$27*('Plan mensual'!G68+IF(parametros_manuales!$H$27="Todos",'Plan mensual'!G72,0))+parametros_manuales!$E$27*('Plan mensual'!G69+IF(parametros_manuales!$H$27="Todos",'Plan mensual'!G73,0))+parametros_manuales!$F$27*('Plan mensual'!G70+IF(parametros_manuales!$H$27="Todos",'Plan mensual'!G74,0))+parametros_manuales!$G$27*('Plan mensual'!G71+IF(parametros_manuales!$H$27="Todos",'Plan mensual'!G75,0)))*parametros_manuales!$I$27*parametros_manuales!$J$27</f>
        <v>4178.307252265</v>
      </c>
      <c r="F172" s="9" t="n">
        <f aca="false">(parametros_manuales!$D$27*('Plan mensual'!H68+IF(parametros_manuales!$H$27="Todos",'Plan mensual'!H72,0))+parametros_manuales!$E$27*('Plan mensual'!H69+IF(parametros_manuales!$H$27="Todos",'Plan mensual'!H73,0))+parametros_manuales!$F$27*('Plan mensual'!H70+IF(parametros_manuales!$H$27="Todos",'Plan mensual'!H74,0))+parametros_manuales!$G$27*('Plan mensual'!H71+IF(parametros_manuales!$H$27="Todos",'Plan mensual'!H75,0)))*parametros_manuales!$I$27*parametros_manuales!$J$27</f>
        <v>3932.52447272</v>
      </c>
      <c r="G172" s="9" t="n">
        <f aca="false">(parametros_manuales!$D$27*('Plan mensual'!I68+IF(parametros_manuales!$H$27="Todos",'Plan mensual'!I72,0))+parametros_manuales!$E$27*('Plan mensual'!I69+IF(parametros_manuales!$H$27="Todos",'Plan mensual'!I73,0))+parametros_manuales!$F$27*('Plan mensual'!I70+IF(parametros_manuales!$H$27="Todos",'Plan mensual'!I74,0))+parametros_manuales!$G$27*('Plan mensual'!I71+IF(parametros_manuales!$H$27="Todos",'Plan mensual'!I75,0)))*parametros_manuales!$I$27*parametros_manuales!$J$27</f>
        <v>3686.741693175</v>
      </c>
      <c r="H172" s="9" t="n">
        <f aca="false">(parametros_manuales!$D$27*('Plan mensual'!J68+IF(parametros_manuales!$H$27="Todos",'Plan mensual'!J72,0))+parametros_manuales!$E$27*('Plan mensual'!J69+IF(parametros_manuales!$H$27="Todos",'Plan mensual'!J73,0))+parametros_manuales!$F$27*('Plan mensual'!J70+IF(parametros_manuales!$H$27="Todos",'Plan mensual'!J74,0))+parametros_manuales!$G$27*('Plan mensual'!J71+IF(parametros_manuales!$H$27="Todos",'Plan mensual'!J75,0)))*parametros_manuales!$I$27*parametros_manuales!$J$27</f>
        <v>3932.52447272</v>
      </c>
      <c r="I172" s="9" t="n">
        <f aca="false">(parametros_manuales!$D$27*('Plan mensual'!K68+IF(parametros_manuales!$H$27="Todos",'Plan mensual'!K72,0))+parametros_manuales!$E$27*('Plan mensual'!K69+IF(parametros_manuales!$H$27="Todos",'Plan mensual'!K73,0))+parametros_manuales!$F$27*('Plan mensual'!K70+IF(parametros_manuales!$H$27="Todos",'Plan mensual'!K74,0))+parametros_manuales!$G$27*('Plan mensual'!K71+IF(parametros_manuales!$H$27="Todos",'Plan mensual'!K75,0)))*parametros_manuales!$I$27*parametros_manuales!$J$27</f>
        <v>3932.52447272</v>
      </c>
      <c r="J172" s="9" t="n">
        <f aca="false">(parametros_manuales!$D$27*('Plan mensual'!L68+IF(parametros_manuales!$H$27="Todos",'Plan mensual'!L72,0))+parametros_manuales!$E$27*('Plan mensual'!L69+IF(parametros_manuales!$H$27="Todos",'Plan mensual'!L73,0))+parametros_manuales!$F$27*('Plan mensual'!L70+IF(parametros_manuales!$H$27="Todos",'Plan mensual'!L74,0))+parametros_manuales!$G$27*('Plan mensual'!L71+IF(parametros_manuales!$H$27="Todos",'Plan mensual'!L75,0)))*parametros_manuales!$I$27*parametros_manuales!$J$27</f>
        <v>3932.52447272</v>
      </c>
      <c r="K172" s="9" t="n">
        <f aca="false">(parametros_manuales!$D$27*('Plan mensual'!M68+IF(parametros_manuales!$H$27="Todos",'Plan mensual'!M72,0))+parametros_manuales!$E$27*('Plan mensual'!M69+IF(parametros_manuales!$H$27="Todos",'Plan mensual'!M73,0))+parametros_manuales!$F$27*('Plan mensual'!M70+IF(parametros_manuales!$H$27="Todos",'Plan mensual'!M74,0))+parametros_manuales!$G$27*('Plan mensual'!M71+IF(parametros_manuales!$H$27="Todos",'Plan mensual'!M75,0)))*parametros_manuales!$I$27*parametros_manuales!$J$27</f>
        <v>3686.741693175</v>
      </c>
      <c r="L172" s="9" t="n">
        <f aca="false">(parametros_manuales!$D$27*('Plan mensual'!N68+IF(parametros_manuales!$H$27="Todos",'Plan mensual'!N72,0))+parametros_manuales!$E$27*('Plan mensual'!N69+IF(parametros_manuales!$H$27="Todos",'Plan mensual'!N73,0))+parametros_manuales!$F$27*('Plan mensual'!N70+IF(parametros_manuales!$H$27="Todos",'Plan mensual'!N74,0))+parametros_manuales!$G$27*('Plan mensual'!N71+IF(parametros_manuales!$H$27="Todos",'Plan mensual'!N75,0)))*parametros_manuales!$I$27*parametros_manuales!$J$27</f>
        <v>3440.95891363</v>
      </c>
      <c r="M172" s="9" t="n">
        <f aca="false">(parametros_manuales!$D$27*('Plan mensual'!O68+IF(parametros_manuales!$H$27="Todos",'Plan mensual'!O72,0))+parametros_manuales!$E$27*('Plan mensual'!O69+IF(parametros_manuales!$H$27="Todos",'Plan mensual'!O73,0))+parametros_manuales!$F$27*('Plan mensual'!O70+IF(parametros_manuales!$H$27="Todos",'Plan mensual'!O74,0))+parametros_manuales!$G$27*('Plan mensual'!O71+IF(parametros_manuales!$H$27="Todos",'Plan mensual'!O75,0)))*parametros_manuales!$I$27*parametros_manuales!$J$27</f>
        <v>5407.22114999</v>
      </c>
      <c r="N172" s="9" t="n">
        <f aca="false">SUM(B172:M172)</f>
        <v>49156.555909</v>
      </c>
      <c r="O172" s="9" t="n">
        <f aca="false">MAX(B172:M172)</f>
        <v>5407.22114999</v>
      </c>
      <c r="P172" s="43" t="n">
        <f aca="false">O172/(parametros_manuales!$B$7)</f>
        <v>36.0481409999333</v>
      </c>
      <c r="Q172" s="8" t="str">
        <f aca="false">IF(O172=0,"-",INDEX($B$163:$M$163,MATCH(O172,B172:M172,0)))</f>
        <v>Dic</v>
      </c>
    </row>
    <row r="173" customFormat="false" ht="14.25" hidden="false" customHeight="true" outlineLevel="0" collapsed="false">
      <c r="A173" s="8" t="str">
        <f aca="false">parametros_manuales!$B$28</f>
        <v>Encastre de fondo</v>
      </c>
      <c r="B173" s="9" t="n">
        <f aca="false">(parametros_manuales!$D$28*('Plan mensual'!D68+IF(parametros_manuales!$H$28="Todos",'Plan mensual'!D72,0))+parametros_manuales!$E$28*('Plan mensual'!D69+IF(parametros_manuales!$H$28="Todos",'Plan mensual'!D73,0))+parametros_manuales!$F$28*('Plan mensual'!D70+IF(parametros_manuales!$H$28="Todos",'Plan mensual'!D74,0))+parametros_manuales!$G$28*('Plan mensual'!D71+IF(parametros_manuales!$H$28="Todos",'Plan mensual'!D75,0)))*parametros_manuales!$I$28*parametros_manuales!$J$28</f>
        <v>19516.4339821</v>
      </c>
      <c r="C173" s="9" t="n">
        <f aca="false">(parametros_manuales!$D$28*('Plan mensual'!E68+IF(parametros_manuales!$H$28="Todos",'Plan mensual'!E72,0))+parametros_manuales!$E$28*('Plan mensual'!E69+IF(parametros_manuales!$H$28="Todos",'Plan mensual'!E73,0))+parametros_manuales!$F$28*('Plan mensual'!E70+IF(parametros_manuales!$H$28="Todos",'Plan mensual'!E74,0))+parametros_manuales!$G$28*('Plan mensual'!E71+IF(parametros_manuales!$H$28="Todos",'Plan mensual'!E75,0)))*parametros_manuales!$I$28*parametros_manuales!$J$28</f>
        <v>14883.10826612</v>
      </c>
      <c r="D173" s="9" t="n">
        <f aca="false">(parametros_manuales!$D$28*('Plan mensual'!F68+IF(parametros_manuales!$H$28="Todos",'Plan mensual'!F72,0))+parametros_manuales!$E$28*('Plan mensual'!F69+IF(parametros_manuales!$H$28="Todos",'Plan mensual'!F73,0))+parametros_manuales!$F$28*('Plan mensual'!F70+IF(parametros_manuales!$H$28="Todos",'Plan mensual'!F74,0))+parametros_manuales!$G$28*('Plan mensual'!F71+IF(parametros_manuales!$H$28="Todos",'Plan mensual'!F75,0)))*parametros_manuales!$I$28*parametros_manuales!$J$28</f>
        <v>13912.159513065</v>
      </c>
      <c r="E173" s="9" t="n">
        <f aca="false">(parametros_manuales!$D$28*('Plan mensual'!G68+IF(parametros_manuales!$H$28="Todos",'Plan mensual'!G72,0))+parametros_manuales!$E$28*('Plan mensual'!G69+IF(parametros_manuales!$H$28="Todos",'Plan mensual'!G73,0))+parametros_manuales!$F$28*('Plan mensual'!G70+IF(parametros_manuales!$H$28="Todos",'Plan mensual'!G74,0))+parametros_manuales!$G$28*('Plan mensual'!G71+IF(parametros_manuales!$H$28="Todos",'Plan mensual'!G75,0)))*parametros_manuales!$I$28*parametros_manuales!$J$28</f>
        <v>13303.793746765</v>
      </c>
      <c r="F173" s="9" t="n">
        <f aca="false">(parametros_manuales!$D$28*('Plan mensual'!H68+IF(parametros_manuales!$H$28="Todos",'Plan mensual'!H72,0))+parametros_manuales!$E$28*('Plan mensual'!H69+IF(parametros_manuales!$H$28="Todos",'Plan mensual'!H73,0))+parametros_manuales!$F$28*('Plan mensual'!H70+IF(parametros_manuales!$H$28="Todos",'Plan mensual'!H74,0))+parametros_manuales!$G$28*('Plan mensual'!H71+IF(parametros_manuales!$H$28="Todos",'Plan mensual'!H75,0)))*parametros_manuales!$I$28*parametros_manuales!$J$28</f>
        <v>12449.64520092</v>
      </c>
      <c r="G173" s="9" t="n">
        <f aca="false">(parametros_manuales!$D$28*('Plan mensual'!I68+IF(parametros_manuales!$H$28="Todos",'Plan mensual'!I72,0))+parametros_manuales!$E$28*('Plan mensual'!I69+IF(parametros_manuales!$H$28="Todos",'Plan mensual'!I73,0))+parametros_manuales!$F$28*('Plan mensual'!I70+IF(parametros_manuales!$H$28="Todos",'Plan mensual'!I74,0))+parametros_manuales!$G$28*('Plan mensual'!I71+IF(parametros_manuales!$H$28="Todos",'Plan mensual'!I75,0)))*parametros_manuales!$I$28*parametros_manuales!$J$28</f>
        <v>12203.862421375</v>
      </c>
      <c r="H173" s="9" t="n">
        <f aca="false">(parametros_manuales!$D$28*('Plan mensual'!J68+IF(parametros_manuales!$H$28="Todos",'Plan mensual'!J72,0))+parametros_manuales!$E$28*('Plan mensual'!J69+IF(parametros_manuales!$H$28="Todos",'Plan mensual'!J73,0))+parametros_manuales!$F$28*('Plan mensual'!J70+IF(parametros_manuales!$H$28="Todos",'Plan mensual'!J74,0))+parametros_manuales!$G$28*('Plan mensual'!J71+IF(parametros_manuales!$H$28="Todos",'Plan mensual'!J75,0)))*parametros_manuales!$I$28*parametros_manuales!$J$28</f>
        <v>13058.01096722</v>
      </c>
      <c r="I173" s="9" t="n">
        <f aca="false">(parametros_manuales!$D$28*('Plan mensual'!K68+IF(parametros_manuales!$H$28="Todos",'Plan mensual'!K72,0))+parametros_manuales!$E$28*('Plan mensual'!K69+IF(parametros_manuales!$H$28="Todos",'Plan mensual'!K73,0))+parametros_manuales!$F$28*('Plan mensual'!K70+IF(parametros_manuales!$H$28="Todos",'Plan mensual'!K74,0))+parametros_manuales!$G$28*('Plan mensual'!K71+IF(parametros_manuales!$H$28="Todos",'Plan mensual'!K75,0)))*parametros_manuales!$I$28*parametros_manuales!$J$28</f>
        <v>13058.01096722</v>
      </c>
      <c r="J173" s="9" t="n">
        <f aca="false">(parametros_manuales!$D$28*('Plan mensual'!L68+IF(parametros_manuales!$H$28="Todos",'Plan mensual'!L72,0))+parametros_manuales!$E$28*('Plan mensual'!L69+IF(parametros_manuales!$H$28="Todos",'Plan mensual'!L73,0))+parametros_manuales!$F$28*('Plan mensual'!L70+IF(parametros_manuales!$H$28="Todos",'Plan mensual'!L74,0))+parametros_manuales!$G$28*('Plan mensual'!L71+IF(parametros_manuales!$H$28="Todos",'Plan mensual'!L75,0)))*parametros_manuales!$I$28*parametros_manuales!$J$28</f>
        <v>13058.01096722</v>
      </c>
      <c r="K173" s="9" t="n">
        <f aca="false">(parametros_manuales!$D$28*('Plan mensual'!M68+IF(parametros_manuales!$H$28="Todos",'Plan mensual'!M72,0))+parametros_manuales!$E$28*('Plan mensual'!M69+IF(parametros_manuales!$H$28="Todos",'Plan mensual'!M73,0))+parametros_manuales!$F$28*('Plan mensual'!M70+IF(parametros_manuales!$H$28="Todos",'Plan mensual'!M74,0))+parametros_manuales!$G$28*('Plan mensual'!M71+IF(parametros_manuales!$H$28="Todos",'Plan mensual'!M75,0)))*parametros_manuales!$I$28*parametros_manuales!$J$28</f>
        <v>12812.228187675</v>
      </c>
      <c r="L173" s="9" t="n">
        <f aca="false">(parametros_manuales!$D$28*('Plan mensual'!N68+IF(parametros_manuales!$H$28="Todos",'Plan mensual'!N72,0))+parametros_manuales!$E$28*('Plan mensual'!N69+IF(parametros_manuales!$H$28="Todos",'Plan mensual'!N73,0))+parametros_manuales!$F$28*('Plan mensual'!N70+IF(parametros_manuales!$H$28="Todos",'Plan mensual'!N74,0))+parametros_manuales!$G$28*('Plan mensual'!N71+IF(parametros_manuales!$H$28="Todos",'Plan mensual'!N75,0)))*parametros_manuales!$I$28*parametros_manuales!$J$28</f>
        <v>12566.44540813</v>
      </c>
      <c r="M173" s="9" t="n">
        <f aca="false">(parametros_manuales!$D$28*('Plan mensual'!O68+IF(parametros_manuales!$H$28="Todos",'Plan mensual'!O72,0))+parametros_manuales!$E$28*('Plan mensual'!O69+IF(parametros_manuales!$H$28="Todos",'Plan mensual'!O73,0))+parametros_manuales!$F$28*('Plan mensual'!O70+IF(parametros_manuales!$H$28="Todos",'Plan mensual'!O74,0))+parametros_manuales!$G$28*('Plan mensual'!O71+IF(parametros_manuales!$H$28="Todos",'Plan mensual'!O75,0)))*parametros_manuales!$I$28*parametros_manuales!$J$28</f>
        <v>20007.99954119</v>
      </c>
      <c r="N173" s="9" t="n">
        <f aca="false">SUM(B173:M173)</f>
        <v>170829.709169</v>
      </c>
      <c r="O173" s="9" t="n">
        <f aca="false">MAX(B173:M173)</f>
        <v>20007.99954119</v>
      </c>
      <c r="P173" s="43" t="n">
        <f aca="false">O173/(parametros_manuales!$B$7)</f>
        <v>133.386663607933</v>
      </c>
      <c r="Q173" s="8" t="str">
        <f aca="false">IF(O173=0,"-",INDEX($B$163:$M$163,MATCH(O173,B173:M173,0)))</f>
        <v>Dic</v>
      </c>
    </row>
    <row r="174" customFormat="false" ht="14.25" hidden="false" customHeight="true" outlineLevel="0" collapsed="false">
      <c r="A174" s="8" t="str">
        <f aca="false">parametros_manuales!$B$29</f>
        <v>Bordoneado</v>
      </c>
      <c r="B174" s="9" t="n">
        <f aca="false">(parametros_manuales!$D$29*('Plan mensual'!D68+IF(parametros_manuales!$H$29="Todos",'Plan mensual'!D72,0))+parametros_manuales!$E$29*('Plan mensual'!D69+IF(parametros_manuales!$H$29="Todos",'Plan mensual'!D73,0))+parametros_manuales!$F$29*('Plan mensual'!D70+IF(parametros_manuales!$H$29="Todos",'Plan mensual'!D74,0))+parametros_manuales!$G$29*('Plan mensual'!D71+IF(parametros_manuales!$H$29="Todos",'Plan mensual'!D75,0)))*parametros_manuales!$I$29*parametros_manuales!$J$29</f>
        <v>19516.4339821</v>
      </c>
      <c r="C174" s="9" t="n">
        <f aca="false">(parametros_manuales!$D$29*('Plan mensual'!E68+IF(parametros_manuales!$H$29="Todos",'Plan mensual'!E72,0))+parametros_manuales!$E$29*('Plan mensual'!E69+IF(parametros_manuales!$H$29="Todos",'Plan mensual'!E73,0))+parametros_manuales!$F$29*('Plan mensual'!E70+IF(parametros_manuales!$H$29="Todos",'Plan mensual'!E74,0))+parametros_manuales!$G$29*('Plan mensual'!E71+IF(parametros_manuales!$H$29="Todos",'Plan mensual'!E75,0)))*parametros_manuales!$I$29*parametros_manuales!$J$29</f>
        <v>14883.10826612</v>
      </c>
      <c r="D174" s="9" t="n">
        <f aca="false">(parametros_manuales!$D$29*('Plan mensual'!F68+IF(parametros_manuales!$H$29="Todos",'Plan mensual'!F72,0))+parametros_manuales!$E$29*('Plan mensual'!F69+IF(parametros_manuales!$H$29="Todos",'Plan mensual'!F73,0))+parametros_manuales!$F$29*('Plan mensual'!F70+IF(parametros_manuales!$H$29="Todos",'Plan mensual'!F74,0))+parametros_manuales!$G$29*('Plan mensual'!F71+IF(parametros_manuales!$H$29="Todos",'Plan mensual'!F75,0)))*parametros_manuales!$I$29*parametros_manuales!$J$29</f>
        <v>13912.159513065</v>
      </c>
      <c r="E174" s="9" t="n">
        <f aca="false">(parametros_manuales!$D$29*('Plan mensual'!G68+IF(parametros_manuales!$H$29="Todos",'Plan mensual'!G72,0))+parametros_manuales!$E$29*('Plan mensual'!G69+IF(parametros_manuales!$H$29="Todos",'Plan mensual'!G73,0))+parametros_manuales!$F$29*('Plan mensual'!G70+IF(parametros_manuales!$H$29="Todos",'Plan mensual'!G74,0))+parametros_manuales!$G$29*('Plan mensual'!G71+IF(parametros_manuales!$H$29="Todos",'Plan mensual'!G75,0)))*parametros_manuales!$I$29*parametros_manuales!$J$29</f>
        <v>13303.793746765</v>
      </c>
      <c r="F174" s="9" t="n">
        <f aca="false">(parametros_manuales!$D$29*('Plan mensual'!H68+IF(parametros_manuales!$H$29="Todos",'Plan mensual'!H72,0))+parametros_manuales!$E$29*('Plan mensual'!H69+IF(parametros_manuales!$H$29="Todos",'Plan mensual'!H73,0))+parametros_manuales!$F$29*('Plan mensual'!H70+IF(parametros_manuales!$H$29="Todos",'Plan mensual'!H74,0))+parametros_manuales!$G$29*('Plan mensual'!H71+IF(parametros_manuales!$H$29="Todos",'Plan mensual'!H75,0)))*parametros_manuales!$I$29*parametros_manuales!$J$29</f>
        <v>12449.64520092</v>
      </c>
      <c r="G174" s="9" t="n">
        <f aca="false">(parametros_manuales!$D$29*('Plan mensual'!I68+IF(parametros_manuales!$H$29="Todos",'Plan mensual'!I72,0))+parametros_manuales!$E$29*('Plan mensual'!I69+IF(parametros_manuales!$H$29="Todos",'Plan mensual'!I73,0))+parametros_manuales!$F$29*('Plan mensual'!I70+IF(parametros_manuales!$H$29="Todos",'Plan mensual'!I74,0))+parametros_manuales!$G$29*('Plan mensual'!I71+IF(parametros_manuales!$H$29="Todos",'Plan mensual'!I75,0)))*parametros_manuales!$I$29*parametros_manuales!$J$29</f>
        <v>12203.862421375</v>
      </c>
      <c r="H174" s="9" t="n">
        <f aca="false">(parametros_manuales!$D$29*('Plan mensual'!J68+IF(parametros_manuales!$H$29="Todos",'Plan mensual'!J72,0))+parametros_manuales!$E$29*('Plan mensual'!J69+IF(parametros_manuales!$H$29="Todos",'Plan mensual'!J73,0))+parametros_manuales!$F$29*('Plan mensual'!J70+IF(parametros_manuales!$H$29="Todos",'Plan mensual'!J74,0))+parametros_manuales!$G$29*('Plan mensual'!J71+IF(parametros_manuales!$H$29="Todos",'Plan mensual'!J75,0)))*parametros_manuales!$I$29*parametros_manuales!$J$29</f>
        <v>13058.01096722</v>
      </c>
      <c r="I174" s="9" t="n">
        <f aca="false">(parametros_manuales!$D$29*('Plan mensual'!K68+IF(parametros_manuales!$H$29="Todos",'Plan mensual'!K72,0))+parametros_manuales!$E$29*('Plan mensual'!K69+IF(parametros_manuales!$H$29="Todos",'Plan mensual'!K73,0))+parametros_manuales!$F$29*('Plan mensual'!K70+IF(parametros_manuales!$H$29="Todos",'Plan mensual'!K74,0))+parametros_manuales!$G$29*('Plan mensual'!K71+IF(parametros_manuales!$H$29="Todos",'Plan mensual'!K75,0)))*parametros_manuales!$I$29*parametros_manuales!$J$29</f>
        <v>13058.01096722</v>
      </c>
      <c r="J174" s="9" t="n">
        <f aca="false">(parametros_manuales!$D$29*('Plan mensual'!L68+IF(parametros_manuales!$H$29="Todos",'Plan mensual'!L72,0))+parametros_manuales!$E$29*('Plan mensual'!L69+IF(parametros_manuales!$H$29="Todos",'Plan mensual'!L73,0))+parametros_manuales!$F$29*('Plan mensual'!L70+IF(parametros_manuales!$H$29="Todos",'Plan mensual'!L74,0))+parametros_manuales!$G$29*('Plan mensual'!L71+IF(parametros_manuales!$H$29="Todos",'Plan mensual'!L75,0)))*parametros_manuales!$I$29*parametros_manuales!$J$29</f>
        <v>13058.01096722</v>
      </c>
      <c r="K174" s="9" t="n">
        <f aca="false">(parametros_manuales!$D$29*('Plan mensual'!M68+IF(parametros_manuales!$H$29="Todos",'Plan mensual'!M72,0))+parametros_manuales!$E$29*('Plan mensual'!M69+IF(parametros_manuales!$H$29="Todos",'Plan mensual'!M73,0))+parametros_manuales!$F$29*('Plan mensual'!M70+IF(parametros_manuales!$H$29="Todos",'Plan mensual'!M74,0))+parametros_manuales!$G$29*('Plan mensual'!M71+IF(parametros_manuales!$H$29="Todos",'Plan mensual'!M75,0)))*parametros_manuales!$I$29*parametros_manuales!$J$29</f>
        <v>12812.228187675</v>
      </c>
      <c r="L174" s="9" t="n">
        <f aca="false">(parametros_manuales!$D$29*('Plan mensual'!N68+IF(parametros_manuales!$H$29="Todos",'Plan mensual'!N72,0))+parametros_manuales!$E$29*('Plan mensual'!N69+IF(parametros_manuales!$H$29="Todos",'Plan mensual'!N73,0))+parametros_manuales!$F$29*('Plan mensual'!N70+IF(parametros_manuales!$H$29="Todos",'Plan mensual'!N74,0))+parametros_manuales!$G$29*('Plan mensual'!N71+IF(parametros_manuales!$H$29="Todos",'Plan mensual'!N75,0)))*parametros_manuales!$I$29*parametros_manuales!$J$29</f>
        <v>12566.44540813</v>
      </c>
      <c r="M174" s="9" t="n">
        <f aca="false">(parametros_manuales!$D$29*('Plan mensual'!O68+IF(parametros_manuales!$H$29="Todos",'Plan mensual'!O72,0))+parametros_manuales!$E$29*('Plan mensual'!O69+IF(parametros_manuales!$H$29="Todos",'Plan mensual'!O73,0))+parametros_manuales!$F$29*('Plan mensual'!O70+IF(parametros_manuales!$H$29="Todos",'Plan mensual'!O74,0))+parametros_manuales!$G$29*('Plan mensual'!O71+IF(parametros_manuales!$H$29="Todos",'Plan mensual'!O75,0)))*parametros_manuales!$I$29*parametros_manuales!$J$29</f>
        <v>20007.99954119</v>
      </c>
      <c r="N174" s="9" t="n">
        <f aca="false">SUM(B174:M174)</f>
        <v>170829.709169</v>
      </c>
      <c r="O174" s="9" t="n">
        <f aca="false">MAX(B174:M174)</f>
        <v>20007.99954119</v>
      </c>
      <c r="P174" s="43" t="n">
        <f aca="false">O174/(parametros_manuales!$B$7)</f>
        <v>133.386663607933</v>
      </c>
      <c r="Q174" s="8" t="str">
        <f aca="false">IF(O174=0,"-",INDEX($B$163:$M$163,MATCH(O174,B174:M174,0)))</f>
        <v>Dic</v>
      </c>
    </row>
    <row r="175" customFormat="false" ht="14.25" hidden="false" customHeight="true" outlineLevel="0" collapsed="false">
      <c r="A175" s="8" t="str">
        <f aca="false">parametros_manuales!$B$30</f>
        <v>Soldadura circunferencial de cúpula y fondo</v>
      </c>
      <c r="B175" s="9" t="n">
        <f aca="false">(parametros_manuales!$D$30*('Plan mensual'!D68+IF(parametros_manuales!$H$30="Todos",'Plan mensual'!D72,0))+parametros_manuales!$E$30*('Plan mensual'!D69+IF(parametros_manuales!$H$30="Todos",'Plan mensual'!D73,0))+parametros_manuales!$F$30*('Plan mensual'!D70+IF(parametros_manuales!$H$30="Todos",'Plan mensual'!D74,0))+parametros_manuales!$G$30*('Plan mensual'!D71+IF(parametros_manuales!$H$30="Todos",'Plan mensual'!D75,0)))*parametros_manuales!$I$30*parametros_manuales!$J$30</f>
        <v>19516.4339821</v>
      </c>
      <c r="C175" s="9" t="n">
        <f aca="false">(parametros_manuales!$D$30*('Plan mensual'!E68+IF(parametros_manuales!$H$30="Todos",'Plan mensual'!E72,0))+parametros_manuales!$E$30*('Plan mensual'!E69+IF(parametros_manuales!$H$30="Todos",'Plan mensual'!E73,0))+parametros_manuales!$F$30*('Plan mensual'!E70+IF(parametros_manuales!$H$30="Todos",'Plan mensual'!E74,0))+parametros_manuales!$G$30*('Plan mensual'!E71+IF(parametros_manuales!$H$30="Todos",'Plan mensual'!E75,0)))*parametros_manuales!$I$30*parametros_manuales!$J$30</f>
        <v>14883.10826612</v>
      </c>
      <c r="D175" s="9" t="n">
        <f aca="false">(parametros_manuales!$D$30*('Plan mensual'!F68+IF(parametros_manuales!$H$30="Todos",'Plan mensual'!F72,0))+parametros_manuales!$E$30*('Plan mensual'!F69+IF(parametros_manuales!$H$30="Todos",'Plan mensual'!F73,0))+parametros_manuales!$F$30*('Plan mensual'!F70+IF(parametros_manuales!$H$30="Todos",'Plan mensual'!F74,0))+parametros_manuales!$G$30*('Plan mensual'!F71+IF(parametros_manuales!$H$30="Todos",'Plan mensual'!F75,0)))*parametros_manuales!$I$30*parametros_manuales!$J$30</f>
        <v>13912.159513065</v>
      </c>
      <c r="E175" s="9" t="n">
        <f aca="false">(parametros_manuales!$D$30*('Plan mensual'!G68+IF(parametros_manuales!$H$30="Todos",'Plan mensual'!G72,0))+parametros_manuales!$E$30*('Plan mensual'!G69+IF(parametros_manuales!$H$30="Todos",'Plan mensual'!G73,0))+parametros_manuales!$F$30*('Plan mensual'!G70+IF(parametros_manuales!$H$30="Todos",'Plan mensual'!G74,0))+parametros_manuales!$G$30*('Plan mensual'!G71+IF(parametros_manuales!$H$30="Todos",'Plan mensual'!G75,0)))*parametros_manuales!$I$30*parametros_manuales!$J$30</f>
        <v>13303.793746765</v>
      </c>
      <c r="F175" s="9" t="n">
        <f aca="false">(parametros_manuales!$D$30*('Plan mensual'!H68+IF(parametros_manuales!$H$30="Todos",'Plan mensual'!H72,0))+parametros_manuales!$E$30*('Plan mensual'!H69+IF(parametros_manuales!$H$30="Todos",'Plan mensual'!H73,0))+parametros_manuales!$F$30*('Plan mensual'!H70+IF(parametros_manuales!$H$30="Todos",'Plan mensual'!H74,0))+parametros_manuales!$G$30*('Plan mensual'!H71+IF(parametros_manuales!$H$30="Todos",'Plan mensual'!H75,0)))*parametros_manuales!$I$30*parametros_manuales!$J$30</f>
        <v>12449.64520092</v>
      </c>
      <c r="G175" s="9" t="n">
        <f aca="false">(parametros_manuales!$D$30*('Plan mensual'!I68+IF(parametros_manuales!$H$30="Todos",'Plan mensual'!I72,0))+parametros_manuales!$E$30*('Plan mensual'!I69+IF(parametros_manuales!$H$30="Todos",'Plan mensual'!I73,0))+parametros_manuales!$F$30*('Plan mensual'!I70+IF(parametros_manuales!$H$30="Todos",'Plan mensual'!I74,0))+parametros_manuales!$G$30*('Plan mensual'!I71+IF(parametros_manuales!$H$30="Todos",'Plan mensual'!I75,0)))*parametros_manuales!$I$30*parametros_manuales!$J$30</f>
        <v>12203.862421375</v>
      </c>
      <c r="H175" s="9" t="n">
        <f aca="false">(parametros_manuales!$D$30*('Plan mensual'!J68+IF(parametros_manuales!$H$30="Todos",'Plan mensual'!J72,0))+parametros_manuales!$E$30*('Plan mensual'!J69+IF(parametros_manuales!$H$30="Todos",'Plan mensual'!J73,0))+parametros_manuales!$F$30*('Plan mensual'!J70+IF(parametros_manuales!$H$30="Todos",'Plan mensual'!J74,0))+parametros_manuales!$G$30*('Plan mensual'!J71+IF(parametros_manuales!$H$30="Todos",'Plan mensual'!J75,0)))*parametros_manuales!$I$30*parametros_manuales!$J$30</f>
        <v>13058.01096722</v>
      </c>
      <c r="I175" s="9" t="n">
        <f aca="false">(parametros_manuales!$D$30*('Plan mensual'!K68+IF(parametros_manuales!$H$30="Todos",'Plan mensual'!K72,0))+parametros_manuales!$E$30*('Plan mensual'!K69+IF(parametros_manuales!$H$30="Todos",'Plan mensual'!K73,0))+parametros_manuales!$F$30*('Plan mensual'!K70+IF(parametros_manuales!$H$30="Todos",'Plan mensual'!K74,0))+parametros_manuales!$G$30*('Plan mensual'!K71+IF(parametros_manuales!$H$30="Todos",'Plan mensual'!K75,0)))*parametros_manuales!$I$30*parametros_manuales!$J$30</f>
        <v>13058.01096722</v>
      </c>
      <c r="J175" s="9" t="n">
        <f aca="false">(parametros_manuales!$D$30*('Plan mensual'!L68+IF(parametros_manuales!$H$30="Todos",'Plan mensual'!L72,0))+parametros_manuales!$E$30*('Plan mensual'!L69+IF(parametros_manuales!$H$30="Todos",'Plan mensual'!L73,0))+parametros_manuales!$F$30*('Plan mensual'!L70+IF(parametros_manuales!$H$30="Todos",'Plan mensual'!L74,0))+parametros_manuales!$G$30*('Plan mensual'!L71+IF(parametros_manuales!$H$30="Todos",'Plan mensual'!L75,0)))*parametros_manuales!$I$30*parametros_manuales!$J$30</f>
        <v>13058.01096722</v>
      </c>
      <c r="K175" s="9" t="n">
        <f aca="false">(parametros_manuales!$D$30*('Plan mensual'!M68+IF(parametros_manuales!$H$30="Todos",'Plan mensual'!M72,0))+parametros_manuales!$E$30*('Plan mensual'!M69+IF(parametros_manuales!$H$30="Todos",'Plan mensual'!M73,0))+parametros_manuales!$F$30*('Plan mensual'!M70+IF(parametros_manuales!$H$30="Todos",'Plan mensual'!M74,0))+parametros_manuales!$G$30*('Plan mensual'!M71+IF(parametros_manuales!$H$30="Todos",'Plan mensual'!M75,0)))*parametros_manuales!$I$30*parametros_manuales!$J$30</f>
        <v>12812.228187675</v>
      </c>
      <c r="L175" s="9" t="n">
        <f aca="false">(parametros_manuales!$D$30*('Plan mensual'!N68+IF(parametros_manuales!$H$30="Todos",'Plan mensual'!N72,0))+parametros_manuales!$E$30*('Plan mensual'!N69+IF(parametros_manuales!$H$30="Todos",'Plan mensual'!N73,0))+parametros_manuales!$F$30*('Plan mensual'!N70+IF(parametros_manuales!$H$30="Todos",'Plan mensual'!N74,0))+parametros_manuales!$G$30*('Plan mensual'!N71+IF(parametros_manuales!$H$30="Todos",'Plan mensual'!N75,0)))*parametros_manuales!$I$30*parametros_manuales!$J$30</f>
        <v>12566.44540813</v>
      </c>
      <c r="M175" s="9" t="n">
        <f aca="false">(parametros_manuales!$D$30*('Plan mensual'!O68+IF(parametros_manuales!$H$30="Todos",'Plan mensual'!O72,0))+parametros_manuales!$E$30*('Plan mensual'!O69+IF(parametros_manuales!$H$30="Todos",'Plan mensual'!O73,0))+parametros_manuales!$F$30*('Plan mensual'!O70+IF(parametros_manuales!$H$30="Todos",'Plan mensual'!O74,0))+parametros_manuales!$G$30*('Plan mensual'!O71+IF(parametros_manuales!$H$30="Todos",'Plan mensual'!O75,0)))*parametros_manuales!$I$30*parametros_manuales!$J$30</f>
        <v>20007.99954119</v>
      </c>
      <c r="N175" s="9" t="n">
        <f aca="false">SUM(B175:M175)</f>
        <v>170829.709169</v>
      </c>
      <c r="O175" s="9" t="n">
        <f aca="false">MAX(B175:M175)</f>
        <v>20007.99954119</v>
      </c>
      <c r="P175" s="43" t="n">
        <f aca="false">O175/(parametros_manuales!$B$7)</f>
        <v>133.386663607933</v>
      </c>
      <c r="Q175" s="8" t="str">
        <f aca="false">IF(O175=0,"-",INDEX($B$163:$M$163,MATCH(O175,B175:M175,0)))</f>
        <v>Dic</v>
      </c>
    </row>
    <row r="176" customFormat="false" ht="14.25" hidden="false" customHeight="true" outlineLevel="0" collapsed="false">
      <c r="A176" s="8" t="str">
        <f aca="false">parametros_manuales!$B$31</f>
        <v>Control de calidad — Espesor</v>
      </c>
      <c r="B176" s="9" t="n">
        <f aca="false">(parametros_manuales!$D$31*('Plan mensual'!D68+IF(parametros_manuales!$H$31="Todos",'Plan mensual'!D72,0))+parametros_manuales!$E$31*('Plan mensual'!D69+IF(parametros_manuales!$H$31="Todos",'Plan mensual'!D73,0))+parametros_manuales!$F$31*('Plan mensual'!D70+IF(parametros_manuales!$H$31="Todos",'Plan mensual'!D74,0))+parametros_manuales!$G$31*('Plan mensual'!D71+IF(parametros_manuales!$H$31="Todos",'Plan mensual'!D75,0)))*parametros_manuales!$I$31*parametros_manuales!$J$31</f>
        <v>390.328679642</v>
      </c>
      <c r="C176" s="9" t="n">
        <f aca="false">(parametros_manuales!$D$31*('Plan mensual'!E68+IF(parametros_manuales!$H$31="Todos",'Plan mensual'!E72,0))+parametros_manuales!$E$31*('Plan mensual'!E69+IF(parametros_manuales!$H$31="Todos",'Plan mensual'!E73,0))+parametros_manuales!$F$31*('Plan mensual'!E70+IF(parametros_manuales!$H$31="Todos",'Plan mensual'!E74,0))+parametros_manuales!$G$31*('Plan mensual'!E71+IF(parametros_manuales!$H$31="Todos",'Plan mensual'!E75,0)))*parametros_manuales!$I$31*parametros_manuales!$J$31</f>
        <v>297.6621653224</v>
      </c>
      <c r="D176" s="9" t="n">
        <f aca="false">(parametros_manuales!$D$31*('Plan mensual'!F68+IF(parametros_manuales!$H$31="Todos",'Plan mensual'!F72,0))+parametros_manuales!$E$31*('Plan mensual'!F69+IF(parametros_manuales!$H$31="Todos",'Plan mensual'!F73,0))+parametros_manuales!$F$31*('Plan mensual'!F70+IF(parametros_manuales!$H$31="Todos",'Plan mensual'!F74,0))+parametros_manuales!$G$31*('Plan mensual'!F71+IF(parametros_manuales!$H$31="Todos",'Plan mensual'!F75,0)))*parametros_manuales!$I$31*parametros_manuales!$J$31</f>
        <v>278.2431902613</v>
      </c>
      <c r="E176" s="9" t="n">
        <f aca="false">(parametros_manuales!$D$31*('Plan mensual'!G68+IF(parametros_manuales!$H$31="Todos",'Plan mensual'!G72,0))+parametros_manuales!$E$31*('Plan mensual'!G69+IF(parametros_manuales!$H$31="Todos",'Plan mensual'!G73,0))+parametros_manuales!$F$31*('Plan mensual'!G70+IF(parametros_manuales!$H$31="Todos",'Plan mensual'!G74,0))+parametros_manuales!$G$31*('Plan mensual'!G71+IF(parametros_manuales!$H$31="Todos",'Plan mensual'!G75,0)))*parametros_manuales!$I$31*parametros_manuales!$J$31</f>
        <v>266.0758749353</v>
      </c>
      <c r="F176" s="9" t="n">
        <f aca="false">(parametros_manuales!$D$31*('Plan mensual'!H68+IF(parametros_manuales!$H$31="Todos",'Plan mensual'!H72,0))+parametros_manuales!$E$31*('Plan mensual'!H69+IF(parametros_manuales!$H$31="Todos",'Plan mensual'!H73,0))+parametros_manuales!$F$31*('Plan mensual'!H70+IF(parametros_manuales!$H$31="Todos",'Plan mensual'!H74,0))+parametros_manuales!$G$31*('Plan mensual'!H71+IF(parametros_manuales!$H$31="Todos",'Plan mensual'!H75,0)))*parametros_manuales!$I$31*parametros_manuales!$J$31</f>
        <v>248.9929040184</v>
      </c>
      <c r="G176" s="9" t="n">
        <f aca="false">(parametros_manuales!$D$31*('Plan mensual'!I68+IF(parametros_manuales!$H$31="Todos",'Plan mensual'!I72,0))+parametros_manuales!$E$31*('Plan mensual'!I69+IF(parametros_manuales!$H$31="Todos",'Plan mensual'!I73,0))+parametros_manuales!$F$31*('Plan mensual'!I70+IF(parametros_manuales!$H$31="Todos",'Plan mensual'!I74,0))+parametros_manuales!$G$31*('Plan mensual'!I71+IF(parametros_manuales!$H$31="Todos",'Plan mensual'!I75,0)))*parametros_manuales!$I$31*parametros_manuales!$J$31</f>
        <v>244.0772484275</v>
      </c>
      <c r="H176" s="9" t="n">
        <f aca="false">(parametros_manuales!$D$31*('Plan mensual'!J68+IF(parametros_manuales!$H$31="Todos",'Plan mensual'!J72,0))+parametros_manuales!$E$31*('Plan mensual'!J69+IF(parametros_manuales!$H$31="Todos",'Plan mensual'!J73,0))+parametros_manuales!$F$31*('Plan mensual'!J70+IF(parametros_manuales!$H$31="Todos",'Plan mensual'!J74,0))+parametros_manuales!$G$31*('Plan mensual'!J71+IF(parametros_manuales!$H$31="Todos",'Plan mensual'!J75,0)))*parametros_manuales!$I$31*parametros_manuales!$J$31</f>
        <v>261.1602193444</v>
      </c>
      <c r="I176" s="9" t="n">
        <f aca="false">(parametros_manuales!$D$31*('Plan mensual'!K68+IF(parametros_manuales!$H$31="Todos",'Plan mensual'!K72,0))+parametros_manuales!$E$31*('Plan mensual'!K69+IF(parametros_manuales!$H$31="Todos",'Plan mensual'!K73,0))+parametros_manuales!$F$31*('Plan mensual'!K70+IF(parametros_manuales!$H$31="Todos",'Plan mensual'!K74,0))+parametros_manuales!$G$31*('Plan mensual'!K71+IF(parametros_manuales!$H$31="Todos",'Plan mensual'!K75,0)))*parametros_manuales!$I$31*parametros_manuales!$J$31</f>
        <v>261.1602193444</v>
      </c>
      <c r="J176" s="9" t="n">
        <f aca="false">(parametros_manuales!$D$31*('Plan mensual'!L68+IF(parametros_manuales!$H$31="Todos",'Plan mensual'!L72,0))+parametros_manuales!$E$31*('Plan mensual'!L69+IF(parametros_manuales!$H$31="Todos",'Plan mensual'!L73,0))+parametros_manuales!$F$31*('Plan mensual'!L70+IF(parametros_manuales!$H$31="Todos",'Plan mensual'!L74,0))+parametros_manuales!$G$31*('Plan mensual'!L71+IF(parametros_manuales!$H$31="Todos",'Plan mensual'!L75,0)))*parametros_manuales!$I$31*parametros_manuales!$J$31</f>
        <v>261.1602193444</v>
      </c>
      <c r="K176" s="9" t="n">
        <f aca="false">(parametros_manuales!$D$31*('Plan mensual'!M68+IF(parametros_manuales!$H$31="Todos",'Plan mensual'!M72,0))+parametros_manuales!$E$31*('Plan mensual'!M69+IF(parametros_manuales!$H$31="Todos",'Plan mensual'!M73,0))+parametros_manuales!$F$31*('Plan mensual'!M70+IF(parametros_manuales!$H$31="Todos",'Plan mensual'!M74,0))+parametros_manuales!$G$31*('Plan mensual'!M71+IF(parametros_manuales!$H$31="Todos",'Plan mensual'!M75,0)))*parametros_manuales!$I$31*parametros_manuales!$J$31</f>
        <v>256.2445637535</v>
      </c>
      <c r="L176" s="9" t="n">
        <f aca="false">(parametros_manuales!$D$31*('Plan mensual'!N68+IF(parametros_manuales!$H$31="Todos",'Plan mensual'!N72,0))+parametros_manuales!$E$31*('Plan mensual'!N69+IF(parametros_manuales!$H$31="Todos",'Plan mensual'!N73,0))+parametros_manuales!$F$31*('Plan mensual'!N70+IF(parametros_manuales!$H$31="Todos",'Plan mensual'!N74,0))+parametros_manuales!$G$31*('Plan mensual'!N71+IF(parametros_manuales!$H$31="Todos",'Plan mensual'!N75,0)))*parametros_manuales!$I$31*parametros_manuales!$J$31</f>
        <v>251.3289081626</v>
      </c>
      <c r="M176" s="9" t="n">
        <f aca="false">(parametros_manuales!$D$31*('Plan mensual'!O68+IF(parametros_manuales!$H$31="Todos",'Plan mensual'!O72,0))+parametros_manuales!$E$31*('Plan mensual'!O69+IF(parametros_manuales!$H$31="Todos",'Plan mensual'!O73,0))+parametros_manuales!$F$31*('Plan mensual'!O70+IF(parametros_manuales!$H$31="Todos",'Plan mensual'!O74,0))+parametros_manuales!$G$31*('Plan mensual'!O71+IF(parametros_manuales!$H$31="Todos",'Plan mensual'!O75,0)))*parametros_manuales!$I$31*parametros_manuales!$J$31</f>
        <v>400.1599908238</v>
      </c>
      <c r="N176" s="9" t="n">
        <f aca="false">SUM(B176:M176)</f>
        <v>3416.59418338</v>
      </c>
      <c r="O176" s="9" t="n">
        <f aca="false">MAX(B176:M176)</f>
        <v>400.1599908238</v>
      </c>
      <c r="P176" s="43" t="n">
        <f aca="false">O176/(parametros_manuales!$B$7)</f>
        <v>2.66773327215867</v>
      </c>
      <c r="Q176" s="8" t="str">
        <f aca="false">IF(O176=0,"-",INDEX($B$163:$M$163,MATCH(O176,B176:M176,0)))</f>
        <v>Dic</v>
      </c>
    </row>
    <row r="177" customFormat="false" ht="14.25" hidden="false" customHeight="true" outlineLevel="0" collapsed="false">
      <c r="A177" s="8" t="str">
        <f aca="false">parametros_manuales!$B$32</f>
        <v>Prueba hidráulica</v>
      </c>
      <c r="B177" s="9" t="n">
        <f aca="false">(parametros_manuales!$D$32*('Plan mensual'!D68+IF(parametros_manuales!$H$32="Todos",'Plan mensual'!D72,0))+parametros_manuales!$E$32*('Plan mensual'!D69+IF(parametros_manuales!$H$32="Todos",'Plan mensual'!D73,0))+parametros_manuales!$F$32*('Plan mensual'!D70+IF(parametros_manuales!$H$32="Todos",'Plan mensual'!D74,0))+parametros_manuales!$G$32*('Plan mensual'!D71+IF(parametros_manuales!$H$32="Todos",'Plan mensual'!D75,0)))*parametros_manuales!$I$32*parametros_manuales!$J$32</f>
        <v>19516.4339821</v>
      </c>
      <c r="C177" s="9" t="n">
        <f aca="false">(parametros_manuales!$D$32*('Plan mensual'!E68+IF(parametros_manuales!$H$32="Todos",'Plan mensual'!E72,0))+parametros_manuales!$E$32*('Plan mensual'!E69+IF(parametros_manuales!$H$32="Todos",'Plan mensual'!E73,0))+parametros_manuales!$F$32*('Plan mensual'!E70+IF(parametros_manuales!$H$32="Todos",'Plan mensual'!E74,0))+parametros_manuales!$G$32*('Plan mensual'!E71+IF(parametros_manuales!$H$32="Todos",'Plan mensual'!E75,0)))*parametros_manuales!$I$32*parametros_manuales!$J$32</f>
        <v>14883.10826612</v>
      </c>
      <c r="D177" s="9" t="n">
        <f aca="false">(parametros_manuales!$D$32*('Plan mensual'!F68+IF(parametros_manuales!$H$32="Todos",'Plan mensual'!F72,0))+parametros_manuales!$E$32*('Plan mensual'!F69+IF(parametros_manuales!$H$32="Todos",'Plan mensual'!F73,0))+parametros_manuales!$F$32*('Plan mensual'!F70+IF(parametros_manuales!$H$32="Todos",'Plan mensual'!F74,0))+parametros_manuales!$G$32*('Plan mensual'!F71+IF(parametros_manuales!$H$32="Todos",'Plan mensual'!F75,0)))*parametros_manuales!$I$32*parametros_manuales!$J$32</f>
        <v>13912.159513065</v>
      </c>
      <c r="E177" s="9" t="n">
        <f aca="false">(parametros_manuales!$D$32*('Plan mensual'!G68+IF(parametros_manuales!$H$32="Todos",'Plan mensual'!G72,0))+parametros_manuales!$E$32*('Plan mensual'!G69+IF(parametros_manuales!$H$32="Todos",'Plan mensual'!G73,0))+parametros_manuales!$F$32*('Plan mensual'!G70+IF(parametros_manuales!$H$32="Todos",'Plan mensual'!G74,0))+parametros_manuales!$G$32*('Plan mensual'!G71+IF(parametros_manuales!$H$32="Todos",'Plan mensual'!G75,0)))*parametros_manuales!$I$32*parametros_manuales!$J$32</f>
        <v>13303.793746765</v>
      </c>
      <c r="F177" s="9" t="n">
        <f aca="false">(parametros_manuales!$D$32*('Plan mensual'!H68+IF(parametros_manuales!$H$32="Todos",'Plan mensual'!H72,0))+parametros_manuales!$E$32*('Plan mensual'!H69+IF(parametros_manuales!$H$32="Todos",'Plan mensual'!H73,0))+parametros_manuales!$F$32*('Plan mensual'!H70+IF(parametros_manuales!$H$32="Todos",'Plan mensual'!H74,0))+parametros_manuales!$G$32*('Plan mensual'!H71+IF(parametros_manuales!$H$32="Todos",'Plan mensual'!H75,0)))*parametros_manuales!$I$32*parametros_manuales!$J$32</f>
        <v>12449.64520092</v>
      </c>
      <c r="G177" s="9" t="n">
        <f aca="false">(parametros_manuales!$D$32*('Plan mensual'!I68+IF(parametros_manuales!$H$32="Todos",'Plan mensual'!I72,0))+parametros_manuales!$E$32*('Plan mensual'!I69+IF(parametros_manuales!$H$32="Todos",'Plan mensual'!I73,0))+parametros_manuales!$F$32*('Plan mensual'!I70+IF(parametros_manuales!$H$32="Todos",'Plan mensual'!I74,0))+parametros_manuales!$G$32*('Plan mensual'!I71+IF(parametros_manuales!$H$32="Todos",'Plan mensual'!I75,0)))*parametros_manuales!$I$32*parametros_manuales!$J$32</f>
        <v>12203.862421375</v>
      </c>
      <c r="H177" s="9" t="n">
        <f aca="false">(parametros_manuales!$D$32*('Plan mensual'!J68+IF(parametros_manuales!$H$32="Todos",'Plan mensual'!J72,0))+parametros_manuales!$E$32*('Plan mensual'!J69+IF(parametros_manuales!$H$32="Todos",'Plan mensual'!J73,0))+parametros_manuales!$F$32*('Plan mensual'!J70+IF(parametros_manuales!$H$32="Todos",'Plan mensual'!J74,0))+parametros_manuales!$G$32*('Plan mensual'!J71+IF(parametros_manuales!$H$32="Todos",'Plan mensual'!J75,0)))*parametros_manuales!$I$32*parametros_manuales!$J$32</f>
        <v>13058.01096722</v>
      </c>
      <c r="I177" s="9" t="n">
        <f aca="false">(parametros_manuales!$D$32*('Plan mensual'!K68+IF(parametros_manuales!$H$32="Todos",'Plan mensual'!K72,0))+parametros_manuales!$E$32*('Plan mensual'!K69+IF(parametros_manuales!$H$32="Todos",'Plan mensual'!K73,0))+parametros_manuales!$F$32*('Plan mensual'!K70+IF(parametros_manuales!$H$32="Todos",'Plan mensual'!K74,0))+parametros_manuales!$G$32*('Plan mensual'!K71+IF(parametros_manuales!$H$32="Todos",'Plan mensual'!K75,0)))*parametros_manuales!$I$32*parametros_manuales!$J$32</f>
        <v>13058.01096722</v>
      </c>
      <c r="J177" s="9" t="n">
        <f aca="false">(parametros_manuales!$D$32*('Plan mensual'!L68+IF(parametros_manuales!$H$32="Todos",'Plan mensual'!L72,0))+parametros_manuales!$E$32*('Plan mensual'!L69+IF(parametros_manuales!$H$32="Todos",'Plan mensual'!L73,0))+parametros_manuales!$F$32*('Plan mensual'!L70+IF(parametros_manuales!$H$32="Todos",'Plan mensual'!L74,0))+parametros_manuales!$G$32*('Plan mensual'!L71+IF(parametros_manuales!$H$32="Todos",'Plan mensual'!L75,0)))*parametros_manuales!$I$32*parametros_manuales!$J$32</f>
        <v>13058.01096722</v>
      </c>
      <c r="K177" s="9" t="n">
        <f aca="false">(parametros_manuales!$D$32*('Plan mensual'!M68+IF(parametros_manuales!$H$32="Todos",'Plan mensual'!M72,0))+parametros_manuales!$E$32*('Plan mensual'!M69+IF(parametros_manuales!$H$32="Todos",'Plan mensual'!M73,0))+parametros_manuales!$F$32*('Plan mensual'!M70+IF(parametros_manuales!$H$32="Todos",'Plan mensual'!M74,0))+parametros_manuales!$G$32*('Plan mensual'!M71+IF(parametros_manuales!$H$32="Todos",'Plan mensual'!M75,0)))*parametros_manuales!$I$32*parametros_manuales!$J$32</f>
        <v>12812.228187675</v>
      </c>
      <c r="L177" s="9" t="n">
        <f aca="false">(parametros_manuales!$D$32*('Plan mensual'!N68+IF(parametros_manuales!$H$32="Todos",'Plan mensual'!N72,0))+parametros_manuales!$E$32*('Plan mensual'!N69+IF(parametros_manuales!$H$32="Todos",'Plan mensual'!N73,0))+parametros_manuales!$F$32*('Plan mensual'!N70+IF(parametros_manuales!$H$32="Todos",'Plan mensual'!N74,0))+parametros_manuales!$G$32*('Plan mensual'!N71+IF(parametros_manuales!$H$32="Todos",'Plan mensual'!N75,0)))*parametros_manuales!$I$32*parametros_manuales!$J$32</f>
        <v>12566.44540813</v>
      </c>
      <c r="M177" s="9" t="n">
        <f aca="false">(parametros_manuales!$D$32*('Plan mensual'!O68+IF(parametros_manuales!$H$32="Todos",'Plan mensual'!O72,0))+parametros_manuales!$E$32*('Plan mensual'!O69+IF(parametros_manuales!$H$32="Todos",'Plan mensual'!O73,0))+parametros_manuales!$F$32*('Plan mensual'!O70+IF(parametros_manuales!$H$32="Todos",'Plan mensual'!O74,0))+parametros_manuales!$G$32*('Plan mensual'!O71+IF(parametros_manuales!$H$32="Todos",'Plan mensual'!O75,0)))*parametros_manuales!$I$32*parametros_manuales!$J$32</f>
        <v>20007.99954119</v>
      </c>
      <c r="N177" s="9" t="n">
        <f aca="false">SUM(B177:M177)</f>
        <v>170829.709169</v>
      </c>
      <c r="O177" s="9" t="n">
        <f aca="false">MAX(B177:M177)</f>
        <v>20007.99954119</v>
      </c>
      <c r="P177" s="43" t="n">
        <f aca="false">O177/(parametros_manuales!$B$7)</f>
        <v>133.386663607933</v>
      </c>
      <c r="Q177" s="8" t="str">
        <f aca="false">IF(O177=0,"-",INDEX($B$163:$M$163,MATCH(O177,B177:M177,0)))</f>
        <v>Dic</v>
      </c>
    </row>
    <row r="178" customFormat="false" ht="14.25" hidden="false" customHeight="true" outlineLevel="0" collapsed="false">
      <c r="A178" s="8" t="str">
        <f aca="false">parametros_manuales!$B$33</f>
        <v>Secado</v>
      </c>
      <c r="B178" s="9" t="n">
        <f aca="false">(parametros_manuales!$D$33*('Plan mensual'!D68+IF(parametros_manuales!$H$33="Todos",'Plan mensual'!D72,0))+parametros_manuales!$E$33*('Plan mensual'!D69+IF(parametros_manuales!$H$33="Todos",'Plan mensual'!D73,0))+parametros_manuales!$F$33*('Plan mensual'!D70+IF(parametros_manuales!$H$33="Todos",'Plan mensual'!D74,0))+parametros_manuales!$G$33*('Plan mensual'!D71+IF(parametros_manuales!$H$33="Todos",'Plan mensual'!D75,0)))*parametros_manuales!$I$33*parametros_manuales!$J$33</f>
        <v>19516.4339821</v>
      </c>
      <c r="C178" s="9" t="n">
        <f aca="false">(parametros_manuales!$D$33*('Plan mensual'!E68+IF(parametros_manuales!$H$33="Todos",'Plan mensual'!E72,0))+parametros_manuales!$E$33*('Plan mensual'!E69+IF(parametros_manuales!$H$33="Todos",'Plan mensual'!E73,0))+parametros_manuales!$F$33*('Plan mensual'!E70+IF(parametros_manuales!$H$33="Todos",'Plan mensual'!E74,0))+parametros_manuales!$G$33*('Plan mensual'!E71+IF(parametros_manuales!$H$33="Todos",'Plan mensual'!E75,0)))*parametros_manuales!$I$33*parametros_manuales!$J$33</f>
        <v>14883.10826612</v>
      </c>
      <c r="D178" s="9" t="n">
        <f aca="false">(parametros_manuales!$D$33*('Plan mensual'!F68+IF(parametros_manuales!$H$33="Todos",'Plan mensual'!F72,0))+parametros_manuales!$E$33*('Plan mensual'!F69+IF(parametros_manuales!$H$33="Todos",'Plan mensual'!F73,0))+parametros_manuales!$F$33*('Plan mensual'!F70+IF(parametros_manuales!$H$33="Todos",'Plan mensual'!F74,0))+parametros_manuales!$G$33*('Plan mensual'!F71+IF(parametros_manuales!$H$33="Todos",'Plan mensual'!F75,0)))*parametros_manuales!$I$33*parametros_manuales!$J$33</f>
        <v>13912.159513065</v>
      </c>
      <c r="E178" s="9" t="n">
        <f aca="false">(parametros_manuales!$D$33*('Plan mensual'!G68+IF(parametros_manuales!$H$33="Todos",'Plan mensual'!G72,0))+parametros_manuales!$E$33*('Plan mensual'!G69+IF(parametros_manuales!$H$33="Todos",'Plan mensual'!G73,0))+parametros_manuales!$F$33*('Plan mensual'!G70+IF(parametros_manuales!$H$33="Todos",'Plan mensual'!G74,0))+parametros_manuales!$G$33*('Plan mensual'!G71+IF(parametros_manuales!$H$33="Todos",'Plan mensual'!G75,0)))*parametros_manuales!$I$33*parametros_manuales!$J$33</f>
        <v>13303.793746765</v>
      </c>
      <c r="F178" s="9" t="n">
        <f aca="false">(parametros_manuales!$D$33*('Plan mensual'!H68+IF(parametros_manuales!$H$33="Todos",'Plan mensual'!H72,0))+parametros_manuales!$E$33*('Plan mensual'!H69+IF(parametros_manuales!$H$33="Todos",'Plan mensual'!H73,0))+parametros_manuales!$F$33*('Plan mensual'!H70+IF(parametros_manuales!$H$33="Todos",'Plan mensual'!H74,0))+parametros_manuales!$G$33*('Plan mensual'!H71+IF(parametros_manuales!$H$33="Todos",'Plan mensual'!H75,0)))*parametros_manuales!$I$33*parametros_manuales!$J$33</f>
        <v>12449.64520092</v>
      </c>
      <c r="G178" s="9" t="n">
        <f aca="false">(parametros_manuales!$D$33*('Plan mensual'!I68+IF(parametros_manuales!$H$33="Todos",'Plan mensual'!I72,0))+parametros_manuales!$E$33*('Plan mensual'!I69+IF(parametros_manuales!$H$33="Todos",'Plan mensual'!I73,0))+parametros_manuales!$F$33*('Plan mensual'!I70+IF(parametros_manuales!$H$33="Todos",'Plan mensual'!I74,0))+parametros_manuales!$G$33*('Plan mensual'!I71+IF(parametros_manuales!$H$33="Todos",'Plan mensual'!I75,0)))*parametros_manuales!$I$33*parametros_manuales!$J$33</f>
        <v>12203.862421375</v>
      </c>
      <c r="H178" s="9" t="n">
        <f aca="false">(parametros_manuales!$D$33*('Plan mensual'!J68+IF(parametros_manuales!$H$33="Todos",'Plan mensual'!J72,0))+parametros_manuales!$E$33*('Plan mensual'!J69+IF(parametros_manuales!$H$33="Todos",'Plan mensual'!J73,0))+parametros_manuales!$F$33*('Plan mensual'!J70+IF(parametros_manuales!$H$33="Todos",'Plan mensual'!J74,0))+parametros_manuales!$G$33*('Plan mensual'!J71+IF(parametros_manuales!$H$33="Todos",'Plan mensual'!J75,0)))*parametros_manuales!$I$33*parametros_manuales!$J$33</f>
        <v>13058.01096722</v>
      </c>
      <c r="I178" s="9" t="n">
        <f aca="false">(parametros_manuales!$D$33*('Plan mensual'!K68+IF(parametros_manuales!$H$33="Todos",'Plan mensual'!K72,0))+parametros_manuales!$E$33*('Plan mensual'!K69+IF(parametros_manuales!$H$33="Todos",'Plan mensual'!K73,0))+parametros_manuales!$F$33*('Plan mensual'!K70+IF(parametros_manuales!$H$33="Todos",'Plan mensual'!K74,0))+parametros_manuales!$G$33*('Plan mensual'!K71+IF(parametros_manuales!$H$33="Todos",'Plan mensual'!K75,0)))*parametros_manuales!$I$33*parametros_manuales!$J$33</f>
        <v>13058.01096722</v>
      </c>
      <c r="J178" s="9" t="n">
        <f aca="false">(parametros_manuales!$D$33*('Plan mensual'!L68+IF(parametros_manuales!$H$33="Todos",'Plan mensual'!L72,0))+parametros_manuales!$E$33*('Plan mensual'!L69+IF(parametros_manuales!$H$33="Todos",'Plan mensual'!L73,0))+parametros_manuales!$F$33*('Plan mensual'!L70+IF(parametros_manuales!$H$33="Todos",'Plan mensual'!L74,0))+parametros_manuales!$G$33*('Plan mensual'!L71+IF(parametros_manuales!$H$33="Todos",'Plan mensual'!L75,0)))*parametros_manuales!$I$33*parametros_manuales!$J$33</f>
        <v>13058.01096722</v>
      </c>
      <c r="K178" s="9" t="n">
        <f aca="false">(parametros_manuales!$D$33*('Plan mensual'!M68+IF(parametros_manuales!$H$33="Todos",'Plan mensual'!M72,0))+parametros_manuales!$E$33*('Plan mensual'!M69+IF(parametros_manuales!$H$33="Todos",'Plan mensual'!M73,0))+parametros_manuales!$F$33*('Plan mensual'!M70+IF(parametros_manuales!$H$33="Todos",'Plan mensual'!M74,0))+parametros_manuales!$G$33*('Plan mensual'!M71+IF(parametros_manuales!$H$33="Todos",'Plan mensual'!M75,0)))*parametros_manuales!$I$33*parametros_manuales!$J$33</f>
        <v>12812.228187675</v>
      </c>
      <c r="L178" s="9" t="n">
        <f aca="false">(parametros_manuales!$D$33*('Plan mensual'!N68+IF(parametros_manuales!$H$33="Todos",'Plan mensual'!N72,0))+parametros_manuales!$E$33*('Plan mensual'!N69+IF(parametros_manuales!$H$33="Todos",'Plan mensual'!N73,0))+parametros_manuales!$F$33*('Plan mensual'!N70+IF(parametros_manuales!$H$33="Todos",'Plan mensual'!N74,0))+parametros_manuales!$G$33*('Plan mensual'!N71+IF(parametros_manuales!$H$33="Todos",'Plan mensual'!N75,0)))*parametros_manuales!$I$33*parametros_manuales!$J$33</f>
        <v>12566.44540813</v>
      </c>
      <c r="M178" s="9" t="n">
        <f aca="false">(parametros_manuales!$D$33*('Plan mensual'!O68+IF(parametros_manuales!$H$33="Todos",'Plan mensual'!O72,0))+parametros_manuales!$E$33*('Plan mensual'!O69+IF(parametros_manuales!$H$33="Todos",'Plan mensual'!O73,0))+parametros_manuales!$F$33*('Plan mensual'!O70+IF(parametros_manuales!$H$33="Todos",'Plan mensual'!O74,0))+parametros_manuales!$G$33*('Plan mensual'!O71+IF(parametros_manuales!$H$33="Todos",'Plan mensual'!O75,0)))*parametros_manuales!$I$33*parametros_manuales!$J$33</f>
        <v>20007.99954119</v>
      </c>
      <c r="N178" s="9" t="n">
        <f aca="false">SUM(B178:M178)</f>
        <v>170829.709169</v>
      </c>
      <c r="O178" s="9" t="n">
        <f aca="false">MAX(B178:M178)</f>
        <v>20007.99954119</v>
      </c>
      <c r="P178" s="43" t="n">
        <f aca="false">O178/(parametros_manuales!$B$7)</f>
        <v>133.386663607933</v>
      </c>
      <c r="Q178" s="8" t="str">
        <f aca="false">IF(O178=0,"-",INDEX($B$163:$M$163,MATCH(O178,B178:M178,0)))</f>
        <v>Dic</v>
      </c>
    </row>
    <row r="179" customFormat="false" ht="14.25" hidden="false" customHeight="true" outlineLevel="0" collapsed="false">
      <c r="A179" s="8" t="str">
        <f aca="false">parametros_manuales!$B$34</f>
        <v>Granallado</v>
      </c>
      <c r="B179" s="9" t="n">
        <f aca="false">(parametros_manuales!$D$34*('Plan mensual'!D68+IF(parametros_manuales!$H$34="Todos",'Plan mensual'!D72,0))+parametros_manuales!$E$34*('Plan mensual'!D69+IF(parametros_manuales!$H$34="Todos",'Plan mensual'!D73,0))+parametros_manuales!$F$34*('Plan mensual'!D70+IF(parametros_manuales!$H$34="Todos",'Plan mensual'!D74,0))+parametros_manuales!$G$34*('Plan mensual'!D71+IF(parametros_manuales!$H$34="Todos",'Plan mensual'!D75,0)))*parametros_manuales!$I$34*parametros_manuales!$J$34</f>
        <v>19516.4339821</v>
      </c>
      <c r="C179" s="9" t="n">
        <f aca="false">(parametros_manuales!$D$34*('Plan mensual'!E68+IF(parametros_manuales!$H$34="Todos",'Plan mensual'!E72,0))+parametros_manuales!$E$34*('Plan mensual'!E69+IF(parametros_manuales!$H$34="Todos",'Plan mensual'!E73,0))+parametros_manuales!$F$34*('Plan mensual'!E70+IF(parametros_manuales!$H$34="Todos",'Plan mensual'!E74,0))+parametros_manuales!$G$34*('Plan mensual'!E71+IF(parametros_manuales!$H$34="Todos",'Plan mensual'!E75,0)))*parametros_manuales!$I$34*parametros_manuales!$J$34</f>
        <v>14883.10826612</v>
      </c>
      <c r="D179" s="9" t="n">
        <f aca="false">(parametros_manuales!$D$34*('Plan mensual'!F68+IF(parametros_manuales!$H$34="Todos",'Plan mensual'!F72,0))+parametros_manuales!$E$34*('Plan mensual'!F69+IF(parametros_manuales!$H$34="Todos",'Plan mensual'!F73,0))+parametros_manuales!$F$34*('Plan mensual'!F70+IF(parametros_manuales!$H$34="Todos",'Plan mensual'!F74,0))+parametros_manuales!$G$34*('Plan mensual'!F71+IF(parametros_manuales!$H$34="Todos",'Plan mensual'!F75,0)))*parametros_manuales!$I$34*parametros_manuales!$J$34</f>
        <v>13912.159513065</v>
      </c>
      <c r="E179" s="9" t="n">
        <f aca="false">(parametros_manuales!$D$34*('Plan mensual'!G68+IF(parametros_manuales!$H$34="Todos",'Plan mensual'!G72,0))+parametros_manuales!$E$34*('Plan mensual'!G69+IF(parametros_manuales!$H$34="Todos",'Plan mensual'!G73,0))+parametros_manuales!$F$34*('Plan mensual'!G70+IF(parametros_manuales!$H$34="Todos",'Plan mensual'!G74,0))+parametros_manuales!$G$34*('Plan mensual'!G71+IF(parametros_manuales!$H$34="Todos",'Plan mensual'!G75,0)))*parametros_manuales!$I$34*parametros_manuales!$J$34</f>
        <v>13303.793746765</v>
      </c>
      <c r="F179" s="9" t="n">
        <f aca="false">(parametros_manuales!$D$34*('Plan mensual'!H68+IF(parametros_manuales!$H$34="Todos",'Plan mensual'!H72,0))+parametros_manuales!$E$34*('Plan mensual'!H69+IF(parametros_manuales!$H$34="Todos",'Plan mensual'!H73,0))+parametros_manuales!$F$34*('Plan mensual'!H70+IF(parametros_manuales!$H$34="Todos",'Plan mensual'!H74,0))+parametros_manuales!$G$34*('Plan mensual'!H71+IF(parametros_manuales!$H$34="Todos",'Plan mensual'!H75,0)))*parametros_manuales!$I$34*parametros_manuales!$J$34</f>
        <v>12449.64520092</v>
      </c>
      <c r="G179" s="9" t="n">
        <f aca="false">(parametros_manuales!$D$34*('Plan mensual'!I68+IF(parametros_manuales!$H$34="Todos",'Plan mensual'!I72,0))+parametros_manuales!$E$34*('Plan mensual'!I69+IF(parametros_manuales!$H$34="Todos",'Plan mensual'!I73,0))+parametros_manuales!$F$34*('Plan mensual'!I70+IF(parametros_manuales!$H$34="Todos",'Plan mensual'!I74,0))+parametros_manuales!$G$34*('Plan mensual'!I71+IF(parametros_manuales!$H$34="Todos",'Plan mensual'!I75,0)))*parametros_manuales!$I$34*parametros_manuales!$J$34</f>
        <v>12203.862421375</v>
      </c>
      <c r="H179" s="9" t="n">
        <f aca="false">(parametros_manuales!$D$34*('Plan mensual'!J68+IF(parametros_manuales!$H$34="Todos",'Plan mensual'!J72,0))+parametros_manuales!$E$34*('Plan mensual'!J69+IF(parametros_manuales!$H$34="Todos",'Plan mensual'!J73,0))+parametros_manuales!$F$34*('Plan mensual'!J70+IF(parametros_manuales!$H$34="Todos",'Plan mensual'!J74,0))+parametros_manuales!$G$34*('Plan mensual'!J71+IF(parametros_manuales!$H$34="Todos",'Plan mensual'!J75,0)))*parametros_manuales!$I$34*parametros_manuales!$J$34</f>
        <v>13058.01096722</v>
      </c>
      <c r="I179" s="9" t="n">
        <f aca="false">(parametros_manuales!$D$34*('Plan mensual'!K68+IF(parametros_manuales!$H$34="Todos",'Plan mensual'!K72,0))+parametros_manuales!$E$34*('Plan mensual'!K69+IF(parametros_manuales!$H$34="Todos",'Plan mensual'!K73,0))+parametros_manuales!$F$34*('Plan mensual'!K70+IF(parametros_manuales!$H$34="Todos",'Plan mensual'!K74,0))+parametros_manuales!$G$34*('Plan mensual'!K71+IF(parametros_manuales!$H$34="Todos",'Plan mensual'!K75,0)))*parametros_manuales!$I$34*parametros_manuales!$J$34</f>
        <v>13058.01096722</v>
      </c>
      <c r="J179" s="9" t="n">
        <f aca="false">(parametros_manuales!$D$34*('Plan mensual'!L68+IF(parametros_manuales!$H$34="Todos",'Plan mensual'!L72,0))+parametros_manuales!$E$34*('Plan mensual'!L69+IF(parametros_manuales!$H$34="Todos",'Plan mensual'!L73,0))+parametros_manuales!$F$34*('Plan mensual'!L70+IF(parametros_manuales!$H$34="Todos",'Plan mensual'!L74,0))+parametros_manuales!$G$34*('Plan mensual'!L71+IF(parametros_manuales!$H$34="Todos",'Plan mensual'!L75,0)))*parametros_manuales!$I$34*parametros_manuales!$J$34</f>
        <v>13058.01096722</v>
      </c>
      <c r="K179" s="9" t="n">
        <f aca="false">(parametros_manuales!$D$34*('Plan mensual'!M68+IF(parametros_manuales!$H$34="Todos",'Plan mensual'!M72,0))+parametros_manuales!$E$34*('Plan mensual'!M69+IF(parametros_manuales!$H$34="Todos",'Plan mensual'!M73,0))+parametros_manuales!$F$34*('Plan mensual'!M70+IF(parametros_manuales!$H$34="Todos",'Plan mensual'!M74,0))+parametros_manuales!$G$34*('Plan mensual'!M71+IF(parametros_manuales!$H$34="Todos",'Plan mensual'!M75,0)))*parametros_manuales!$I$34*parametros_manuales!$J$34</f>
        <v>12812.228187675</v>
      </c>
      <c r="L179" s="9" t="n">
        <f aca="false">(parametros_manuales!$D$34*('Plan mensual'!N68+IF(parametros_manuales!$H$34="Todos",'Plan mensual'!N72,0))+parametros_manuales!$E$34*('Plan mensual'!N69+IF(parametros_manuales!$H$34="Todos",'Plan mensual'!N73,0))+parametros_manuales!$F$34*('Plan mensual'!N70+IF(parametros_manuales!$H$34="Todos",'Plan mensual'!N74,0))+parametros_manuales!$G$34*('Plan mensual'!N71+IF(parametros_manuales!$H$34="Todos",'Plan mensual'!N75,0)))*parametros_manuales!$I$34*parametros_manuales!$J$34</f>
        <v>12566.44540813</v>
      </c>
      <c r="M179" s="9" t="n">
        <f aca="false">(parametros_manuales!$D$34*('Plan mensual'!O68+IF(parametros_manuales!$H$34="Todos",'Plan mensual'!O72,0))+parametros_manuales!$E$34*('Plan mensual'!O69+IF(parametros_manuales!$H$34="Todos",'Plan mensual'!O73,0))+parametros_manuales!$F$34*('Plan mensual'!O70+IF(parametros_manuales!$H$34="Todos",'Plan mensual'!O74,0))+parametros_manuales!$G$34*('Plan mensual'!O71+IF(parametros_manuales!$H$34="Todos",'Plan mensual'!O75,0)))*parametros_manuales!$I$34*parametros_manuales!$J$34</f>
        <v>20007.99954119</v>
      </c>
      <c r="N179" s="9" t="n">
        <f aca="false">SUM(B179:M179)</f>
        <v>170829.709169</v>
      </c>
      <c r="O179" s="9" t="n">
        <f aca="false">MAX(B179:M179)</f>
        <v>20007.99954119</v>
      </c>
      <c r="P179" s="43" t="n">
        <f aca="false">O179/(parametros_manuales!$B$7)</f>
        <v>133.386663607933</v>
      </c>
      <c r="Q179" s="8" t="str">
        <f aca="false">IF(O179=0,"-",INDEX($B$163:$M$163,MATCH(O179,B179:M179,0)))</f>
        <v>Dic</v>
      </c>
    </row>
    <row r="180" customFormat="false" ht="14.25" hidden="false" customHeight="true" outlineLevel="0" collapsed="false">
      <c r="A180" s="8" t="str">
        <f aca="false">parametros_manuales!$B$35</f>
        <v>Detección de defectos</v>
      </c>
      <c r="B180" s="9" t="n">
        <f aca="false">(parametros_manuales!$D$35*('Plan mensual'!D68+IF(parametros_manuales!$H$35="Todos",'Plan mensual'!D72,0))+parametros_manuales!$E$35*('Plan mensual'!D69+IF(parametros_manuales!$H$35="Todos",'Plan mensual'!D73,0))+parametros_manuales!$F$35*('Plan mensual'!D70+IF(parametros_manuales!$H$35="Todos",'Plan mensual'!D74,0))+parametros_manuales!$G$35*('Plan mensual'!D71+IF(parametros_manuales!$H$35="Todos",'Plan mensual'!D75,0)))*parametros_manuales!$I$35*parametros_manuales!$J$35</f>
        <v>19516.4339821</v>
      </c>
      <c r="C180" s="9" t="n">
        <f aca="false">(parametros_manuales!$D$35*('Plan mensual'!E68+IF(parametros_manuales!$H$35="Todos",'Plan mensual'!E72,0))+parametros_manuales!$E$35*('Plan mensual'!E69+IF(parametros_manuales!$H$35="Todos",'Plan mensual'!E73,0))+parametros_manuales!$F$35*('Plan mensual'!E70+IF(parametros_manuales!$H$35="Todos",'Plan mensual'!E74,0))+parametros_manuales!$G$35*('Plan mensual'!E71+IF(parametros_manuales!$H$35="Todos",'Plan mensual'!E75,0)))*parametros_manuales!$I$35*parametros_manuales!$J$35</f>
        <v>14883.10826612</v>
      </c>
      <c r="D180" s="9" t="n">
        <f aca="false">(parametros_manuales!$D$35*('Plan mensual'!F68+IF(parametros_manuales!$H$35="Todos",'Plan mensual'!F72,0))+parametros_manuales!$E$35*('Plan mensual'!F69+IF(parametros_manuales!$H$35="Todos",'Plan mensual'!F73,0))+parametros_manuales!$F$35*('Plan mensual'!F70+IF(parametros_manuales!$H$35="Todos",'Plan mensual'!F74,0))+parametros_manuales!$G$35*('Plan mensual'!F71+IF(parametros_manuales!$H$35="Todos",'Plan mensual'!F75,0)))*parametros_manuales!$I$35*parametros_manuales!$J$35</f>
        <v>13912.159513065</v>
      </c>
      <c r="E180" s="9" t="n">
        <f aca="false">(parametros_manuales!$D$35*('Plan mensual'!G68+IF(parametros_manuales!$H$35="Todos",'Plan mensual'!G72,0))+parametros_manuales!$E$35*('Plan mensual'!G69+IF(parametros_manuales!$H$35="Todos",'Plan mensual'!G73,0))+parametros_manuales!$F$35*('Plan mensual'!G70+IF(parametros_manuales!$H$35="Todos",'Plan mensual'!G74,0))+parametros_manuales!$G$35*('Plan mensual'!G71+IF(parametros_manuales!$H$35="Todos",'Plan mensual'!G75,0)))*parametros_manuales!$I$35*parametros_manuales!$J$35</f>
        <v>13303.793746765</v>
      </c>
      <c r="F180" s="9" t="n">
        <f aca="false">(parametros_manuales!$D$35*('Plan mensual'!H68+IF(parametros_manuales!$H$35="Todos",'Plan mensual'!H72,0))+parametros_manuales!$E$35*('Plan mensual'!H69+IF(parametros_manuales!$H$35="Todos",'Plan mensual'!H73,0))+parametros_manuales!$F$35*('Plan mensual'!H70+IF(parametros_manuales!$H$35="Todos",'Plan mensual'!H74,0))+parametros_manuales!$G$35*('Plan mensual'!H71+IF(parametros_manuales!$H$35="Todos",'Plan mensual'!H75,0)))*parametros_manuales!$I$35*parametros_manuales!$J$35</f>
        <v>12449.64520092</v>
      </c>
      <c r="G180" s="9" t="n">
        <f aca="false">(parametros_manuales!$D$35*('Plan mensual'!I68+IF(parametros_manuales!$H$35="Todos",'Plan mensual'!I72,0))+parametros_manuales!$E$35*('Plan mensual'!I69+IF(parametros_manuales!$H$35="Todos",'Plan mensual'!I73,0))+parametros_manuales!$F$35*('Plan mensual'!I70+IF(parametros_manuales!$H$35="Todos",'Plan mensual'!I74,0))+parametros_manuales!$G$35*('Plan mensual'!I71+IF(parametros_manuales!$H$35="Todos",'Plan mensual'!I75,0)))*parametros_manuales!$I$35*parametros_manuales!$J$35</f>
        <v>12203.862421375</v>
      </c>
      <c r="H180" s="9" t="n">
        <f aca="false">(parametros_manuales!$D$35*('Plan mensual'!J68+IF(parametros_manuales!$H$35="Todos",'Plan mensual'!J72,0))+parametros_manuales!$E$35*('Plan mensual'!J69+IF(parametros_manuales!$H$35="Todos",'Plan mensual'!J73,0))+parametros_manuales!$F$35*('Plan mensual'!J70+IF(parametros_manuales!$H$35="Todos",'Plan mensual'!J74,0))+parametros_manuales!$G$35*('Plan mensual'!J71+IF(parametros_manuales!$H$35="Todos",'Plan mensual'!J75,0)))*parametros_manuales!$I$35*parametros_manuales!$J$35</f>
        <v>13058.01096722</v>
      </c>
      <c r="I180" s="9" t="n">
        <f aca="false">(parametros_manuales!$D$35*('Plan mensual'!K68+IF(parametros_manuales!$H$35="Todos",'Plan mensual'!K72,0))+parametros_manuales!$E$35*('Plan mensual'!K69+IF(parametros_manuales!$H$35="Todos",'Plan mensual'!K73,0))+parametros_manuales!$F$35*('Plan mensual'!K70+IF(parametros_manuales!$H$35="Todos",'Plan mensual'!K74,0))+parametros_manuales!$G$35*('Plan mensual'!K71+IF(parametros_manuales!$H$35="Todos",'Plan mensual'!K75,0)))*parametros_manuales!$I$35*parametros_manuales!$J$35</f>
        <v>13058.01096722</v>
      </c>
      <c r="J180" s="9" t="n">
        <f aca="false">(parametros_manuales!$D$35*('Plan mensual'!L68+IF(parametros_manuales!$H$35="Todos",'Plan mensual'!L72,0))+parametros_manuales!$E$35*('Plan mensual'!L69+IF(parametros_manuales!$H$35="Todos",'Plan mensual'!L73,0))+parametros_manuales!$F$35*('Plan mensual'!L70+IF(parametros_manuales!$H$35="Todos",'Plan mensual'!L74,0))+parametros_manuales!$G$35*('Plan mensual'!L71+IF(parametros_manuales!$H$35="Todos",'Plan mensual'!L75,0)))*parametros_manuales!$I$35*parametros_manuales!$J$35</f>
        <v>13058.01096722</v>
      </c>
      <c r="K180" s="9" t="n">
        <f aca="false">(parametros_manuales!$D$35*('Plan mensual'!M68+IF(parametros_manuales!$H$35="Todos",'Plan mensual'!M72,0))+parametros_manuales!$E$35*('Plan mensual'!M69+IF(parametros_manuales!$H$35="Todos",'Plan mensual'!M73,0))+parametros_manuales!$F$35*('Plan mensual'!M70+IF(parametros_manuales!$H$35="Todos",'Plan mensual'!M74,0))+parametros_manuales!$G$35*('Plan mensual'!M71+IF(parametros_manuales!$H$35="Todos",'Plan mensual'!M75,0)))*parametros_manuales!$I$35*parametros_manuales!$J$35</f>
        <v>12812.228187675</v>
      </c>
      <c r="L180" s="9" t="n">
        <f aca="false">(parametros_manuales!$D$35*('Plan mensual'!N68+IF(parametros_manuales!$H$35="Todos",'Plan mensual'!N72,0))+parametros_manuales!$E$35*('Plan mensual'!N69+IF(parametros_manuales!$H$35="Todos",'Plan mensual'!N73,0))+parametros_manuales!$F$35*('Plan mensual'!N70+IF(parametros_manuales!$H$35="Todos",'Plan mensual'!N74,0))+parametros_manuales!$G$35*('Plan mensual'!N71+IF(parametros_manuales!$H$35="Todos",'Plan mensual'!N75,0)))*parametros_manuales!$I$35*parametros_manuales!$J$35</f>
        <v>12566.44540813</v>
      </c>
      <c r="M180" s="9" t="n">
        <f aca="false">(parametros_manuales!$D$35*('Plan mensual'!O68+IF(parametros_manuales!$H$35="Todos",'Plan mensual'!O72,0))+parametros_manuales!$E$35*('Plan mensual'!O69+IF(parametros_manuales!$H$35="Todos",'Plan mensual'!O73,0))+parametros_manuales!$F$35*('Plan mensual'!O70+IF(parametros_manuales!$H$35="Todos",'Plan mensual'!O74,0))+parametros_manuales!$G$35*('Plan mensual'!O71+IF(parametros_manuales!$H$35="Todos",'Plan mensual'!O75,0)))*parametros_manuales!$I$35*parametros_manuales!$J$35</f>
        <v>20007.99954119</v>
      </c>
      <c r="N180" s="9" t="n">
        <f aca="false">SUM(B180:M180)</f>
        <v>170829.709169</v>
      </c>
      <c r="O180" s="9" t="n">
        <f aca="false">MAX(B180:M180)</f>
        <v>20007.99954119</v>
      </c>
      <c r="P180" s="43" t="n">
        <f aca="false">O180/(parametros_manuales!$B$7)</f>
        <v>133.386663607933</v>
      </c>
      <c r="Q180" s="8" t="str">
        <f aca="false">IF(O180=0,"-",INDEX($B$163:$M$163,MATCH(O180,B180:M180,0)))</f>
        <v>Dic</v>
      </c>
    </row>
    <row r="181" customFormat="false" ht="14.25" hidden="false" customHeight="true" outlineLevel="0" collapsed="false">
      <c r="A181" s="8" t="str">
        <f aca="false">parametros_manuales!$B$36</f>
        <v>Corrección de defectos</v>
      </c>
      <c r="B181" s="9" t="n">
        <f aca="false">(parametros_manuales!$D$36*('Plan mensual'!D68+IF(parametros_manuales!$H$36="Todos",'Plan mensual'!D72,0))+parametros_manuales!$E$36*('Plan mensual'!D69+IF(parametros_manuales!$H$36="Todos",'Plan mensual'!D73,0))+parametros_manuales!$F$36*('Plan mensual'!D70+IF(parametros_manuales!$H$36="Todos",'Plan mensual'!D74,0))+parametros_manuales!$G$36*('Plan mensual'!D71+IF(parametros_manuales!$H$36="Todos",'Plan mensual'!D75,0)))*parametros_manuales!$I$36*parametros_manuales!$J$36</f>
        <v>975.821699105</v>
      </c>
      <c r="C181" s="9" t="n">
        <f aca="false">(parametros_manuales!$D$36*('Plan mensual'!E68+IF(parametros_manuales!$H$36="Todos",'Plan mensual'!E72,0))+parametros_manuales!$E$36*('Plan mensual'!E69+IF(parametros_manuales!$H$36="Todos",'Plan mensual'!E73,0))+parametros_manuales!$F$36*('Plan mensual'!E70+IF(parametros_manuales!$H$36="Todos",'Plan mensual'!E74,0))+parametros_manuales!$G$36*('Plan mensual'!E71+IF(parametros_manuales!$H$36="Todos",'Plan mensual'!E75,0)))*parametros_manuales!$I$36*parametros_manuales!$J$36</f>
        <v>744.155413306</v>
      </c>
      <c r="D181" s="9" t="n">
        <f aca="false">(parametros_manuales!$D$36*('Plan mensual'!F68+IF(parametros_manuales!$H$36="Todos",'Plan mensual'!F72,0))+parametros_manuales!$E$36*('Plan mensual'!F69+IF(parametros_manuales!$H$36="Todos",'Plan mensual'!F73,0))+parametros_manuales!$F$36*('Plan mensual'!F70+IF(parametros_manuales!$H$36="Todos",'Plan mensual'!F74,0))+parametros_manuales!$G$36*('Plan mensual'!F71+IF(parametros_manuales!$H$36="Todos",'Plan mensual'!F75,0)))*parametros_manuales!$I$36*parametros_manuales!$J$36</f>
        <v>695.60797565325</v>
      </c>
      <c r="E181" s="9" t="n">
        <f aca="false">(parametros_manuales!$D$36*('Plan mensual'!G68+IF(parametros_manuales!$H$36="Todos",'Plan mensual'!G72,0))+parametros_manuales!$E$36*('Plan mensual'!G69+IF(parametros_manuales!$H$36="Todos",'Plan mensual'!G73,0))+parametros_manuales!$F$36*('Plan mensual'!G70+IF(parametros_manuales!$H$36="Todos",'Plan mensual'!G74,0))+parametros_manuales!$G$36*('Plan mensual'!G71+IF(parametros_manuales!$H$36="Todos",'Plan mensual'!G75,0)))*parametros_manuales!$I$36*parametros_manuales!$J$36</f>
        <v>665.18968733825</v>
      </c>
      <c r="F181" s="9" t="n">
        <f aca="false">(parametros_manuales!$D$36*('Plan mensual'!H68+IF(parametros_manuales!$H$36="Todos",'Plan mensual'!H72,0))+parametros_manuales!$E$36*('Plan mensual'!H69+IF(parametros_manuales!$H$36="Todos",'Plan mensual'!H73,0))+parametros_manuales!$F$36*('Plan mensual'!H70+IF(parametros_manuales!$H$36="Todos",'Plan mensual'!H74,0))+parametros_manuales!$G$36*('Plan mensual'!H71+IF(parametros_manuales!$H$36="Todos",'Plan mensual'!H75,0)))*parametros_manuales!$I$36*parametros_manuales!$J$36</f>
        <v>622.482260046</v>
      </c>
      <c r="G181" s="9" t="n">
        <f aca="false">(parametros_manuales!$D$36*('Plan mensual'!I68+IF(parametros_manuales!$H$36="Todos",'Plan mensual'!I72,0))+parametros_manuales!$E$36*('Plan mensual'!I69+IF(parametros_manuales!$H$36="Todos",'Plan mensual'!I73,0))+parametros_manuales!$F$36*('Plan mensual'!I70+IF(parametros_manuales!$H$36="Todos",'Plan mensual'!I74,0))+parametros_manuales!$G$36*('Plan mensual'!I71+IF(parametros_manuales!$H$36="Todos",'Plan mensual'!I75,0)))*parametros_manuales!$I$36*parametros_manuales!$J$36</f>
        <v>610.19312106875</v>
      </c>
      <c r="H181" s="9" t="n">
        <f aca="false">(parametros_manuales!$D$36*('Plan mensual'!J68+IF(parametros_manuales!$H$36="Todos",'Plan mensual'!J72,0))+parametros_manuales!$E$36*('Plan mensual'!J69+IF(parametros_manuales!$H$36="Todos",'Plan mensual'!J73,0))+parametros_manuales!$F$36*('Plan mensual'!J70+IF(parametros_manuales!$H$36="Todos",'Plan mensual'!J74,0))+parametros_manuales!$G$36*('Plan mensual'!J71+IF(parametros_manuales!$H$36="Todos",'Plan mensual'!J75,0)))*parametros_manuales!$I$36*parametros_manuales!$J$36</f>
        <v>652.900548361</v>
      </c>
      <c r="I181" s="9" t="n">
        <f aca="false">(parametros_manuales!$D$36*('Plan mensual'!K68+IF(parametros_manuales!$H$36="Todos",'Plan mensual'!K72,0))+parametros_manuales!$E$36*('Plan mensual'!K69+IF(parametros_manuales!$H$36="Todos",'Plan mensual'!K73,0))+parametros_manuales!$F$36*('Plan mensual'!K70+IF(parametros_manuales!$H$36="Todos",'Plan mensual'!K74,0))+parametros_manuales!$G$36*('Plan mensual'!K71+IF(parametros_manuales!$H$36="Todos",'Plan mensual'!K75,0)))*parametros_manuales!$I$36*parametros_manuales!$J$36</f>
        <v>652.900548361</v>
      </c>
      <c r="J181" s="9" t="n">
        <f aca="false">(parametros_manuales!$D$36*('Plan mensual'!L68+IF(parametros_manuales!$H$36="Todos",'Plan mensual'!L72,0))+parametros_manuales!$E$36*('Plan mensual'!L69+IF(parametros_manuales!$H$36="Todos",'Plan mensual'!L73,0))+parametros_manuales!$F$36*('Plan mensual'!L70+IF(parametros_manuales!$H$36="Todos",'Plan mensual'!L74,0))+parametros_manuales!$G$36*('Plan mensual'!L71+IF(parametros_manuales!$H$36="Todos",'Plan mensual'!L75,0)))*parametros_manuales!$I$36*parametros_manuales!$J$36</f>
        <v>652.900548361</v>
      </c>
      <c r="K181" s="9" t="n">
        <f aca="false">(parametros_manuales!$D$36*('Plan mensual'!M68+IF(parametros_manuales!$H$36="Todos",'Plan mensual'!M72,0))+parametros_manuales!$E$36*('Plan mensual'!M69+IF(parametros_manuales!$H$36="Todos",'Plan mensual'!M73,0))+parametros_manuales!$F$36*('Plan mensual'!M70+IF(parametros_manuales!$H$36="Todos",'Plan mensual'!M74,0))+parametros_manuales!$G$36*('Plan mensual'!M71+IF(parametros_manuales!$H$36="Todos",'Plan mensual'!M75,0)))*parametros_manuales!$I$36*parametros_manuales!$J$36</f>
        <v>640.61140938375</v>
      </c>
      <c r="L181" s="9" t="n">
        <f aca="false">(parametros_manuales!$D$36*('Plan mensual'!N68+IF(parametros_manuales!$H$36="Todos",'Plan mensual'!N72,0))+parametros_manuales!$E$36*('Plan mensual'!N69+IF(parametros_manuales!$H$36="Todos",'Plan mensual'!N73,0))+parametros_manuales!$F$36*('Plan mensual'!N70+IF(parametros_manuales!$H$36="Todos",'Plan mensual'!N74,0))+parametros_manuales!$G$36*('Plan mensual'!N71+IF(parametros_manuales!$H$36="Todos",'Plan mensual'!N75,0)))*parametros_manuales!$I$36*parametros_manuales!$J$36</f>
        <v>628.3222704065</v>
      </c>
      <c r="M181" s="9" t="n">
        <f aca="false">(parametros_manuales!$D$36*('Plan mensual'!O68+IF(parametros_manuales!$H$36="Todos",'Plan mensual'!O72,0))+parametros_manuales!$E$36*('Plan mensual'!O69+IF(parametros_manuales!$H$36="Todos",'Plan mensual'!O73,0))+parametros_manuales!$F$36*('Plan mensual'!O70+IF(parametros_manuales!$H$36="Todos",'Plan mensual'!O74,0))+parametros_manuales!$G$36*('Plan mensual'!O71+IF(parametros_manuales!$H$36="Todos",'Plan mensual'!O75,0)))*parametros_manuales!$I$36*parametros_manuales!$J$36</f>
        <v>1000.3999770595</v>
      </c>
      <c r="N181" s="9" t="n">
        <f aca="false">SUM(B181:M181)</f>
        <v>8541.48545845</v>
      </c>
      <c r="O181" s="9" t="n">
        <f aca="false">MAX(B181:M181)</f>
        <v>1000.3999770595</v>
      </c>
      <c r="P181" s="43" t="n">
        <f aca="false">O181/(parametros_manuales!$B$7)</f>
        <v>6.66933318039667</v>
      </c>
      <c r="Q181" s="8" t="str">
        <f aca="false">IF(O181=0,"-",INDEX($B$163:$M$163,MATCH(O181,B181:M181,0)))</f>
        <v>Dic</v>
      </c>
    </row>
    <row r="182" customFormat="false" ht="14.25" hidden="false" customHeight="true" outlineLevel="0" collapsed="false">
      <c r="A182" s="8" t="str">
        <f aca="false">parametros_manuales!$B$37</f>
        <v>Pintura en polvo + horno</v>
      </c>
      <c r="B182" s="9" t="n">
        <f aca="false">(parametros_manuales!$D$37*('Plan mensual'!D68+IF(parametros_manuales!$H$37="Todos",'Plan mensual'!D72,0))+parametros_manuales!$E$37*('Plan mensual'!D69+IF(parametros_manuales!$H$37="Todos",'Plan mensual'!D73,0))+parametros_manuales!$F$37*('Plan mensual'!D70+IF(parametros_manuales!$H$37="Todos",'Plan mensual'!D74,0))+parametros_manuales!$G$37*('Plan mensual'!D71+IF(parametros_manuales!$H$37="Todos",'Plan mensual'!D75,0)))*parametros_manuales!$I$37*parametros_manuales!$J$37</f>
        <v>19516.4339821</v>
      </c>
      <c r="C182" s="9" t="n">
        <f aca="false">(parametros_manuales!$D$37*('Plan mensual'!E68+IF(parametros_manuales!$H$37="Todos",'Plan mensual'!E72,0))+parametros_manuales!$E$37*('Plan mensual'!E69+IF(parametros_manuales!$H$37="Todos",'Plan mensual'!E73,0))+parametros_manuales!$F$37*('Plan mensual'!E70+IF(parametros_manuales!$H$37="Todos",'Plan mensual'!E74,0))+parametros_manuales!$G$37*('Plan mensual'!E71+IF(parametros_manuales!$H$37="Todos",'Plan mensual'!E75,0)))*parametros_manuales!$I$37*parametros_manuales!$J$37</f>
        <v>14883.10826612</v>
      </c>
      <c r="D182" s="9" t="n">
        <f aca="false">(parametros_manuales!$D$37*('Plan mensual'!F68+IF(parametros_manuales!$H$37="Todos",'Plan mensual'!F72,0))+parametros_manuales!$E$37*('Plan mensual'!F69+IF(parametros_manuales!$H$37="Todos",'Plan mensual'!F73,0))+parametros_manuales!$F$37*('Plan mensual'!F70+IF(parametros_manuales!$H$37="Todos",'Plan mensual'!F74,0))+parametros_manuales!$G$37*('Plan mensual'!F71+IF(parametros_manuales!$H$37="Todos",'Plan mensual'!F75,0)))*parametros_manuales!$I$37*parametros_manuales!$J$37</f>
        <v>13912.159513065</v>
      </c>
      <c r="E182" s="9" t="n">
        <f aca="false">(parametros_manuales!$D$37*('Plan mensual'!G68+IF(parametros_manuales!$H$37="Todos",'Plan mensual'!G72,0))+parametros_manuales!$E$37*('Plan mensual'!G69+IF(parametros_manuales!$H$37="Todos",'Plan mensual'!G73,0))+parametros_manuales!$F$37*('Plan mensual'!G70+IF(parametros_manuales!$H$37="Todos",'Plan mensual'!G74,0))+parametros_manuales!$G$37*('Plan mensual'!G71+IF(parametros_manuales!$H$37="Todos",'Plan mensual'!G75,0)))*parametros_manuales!$I$37*parametros_manuales!$J$37</f>
        <v>13303.793746765</v>
      </c>
      <c r="F182" s="9" t="n">
        <f aca="false">(parametros_manuales!$D$37*('Plan mensual'!H68+IF(parametros_manuales!$H$37="Todos",'Plan mensual'!H72,0))+parametros_manuales!$E$37*('Plan mensual'!H69+IF(parametros_manuales!$H$37="Todos",'Plan mensual'!H73,0))+parametros_manuales!$F$37*('Plan mensual'!H70+IF(parametros_manuales!$H$37="Todos",'Plan mensual'!H74,0))+parametros_manuales!$G$37*('Plan mensual'!H71+IF(parametros_manuales!$H$37="Todos",'Plan mensual'!H75,0)))*parametros_manuales!$I$37*parametros_manuales!$J$37</f>
        <v>12449.64520092</v>
      </c>
      <c r="G182" s="9" t="n">
        <f aca="false">(parametros_manuales!$D$37*('Plan mensual'!I68+IF(parametros_manuales!$H$37="Todos",'Plan mensual'!I72,0))+parametros_manuales!$E$37*('Plan mensual'!I69+IF(parametros_manuales!$H$37="Todos",'Plan mensual'!I73,0))+parametros_manuales!$F$37*('Plan mensual'!I70+IF(parametros_manuales!$H$37="Todos",'Plan mensual'!I74,0))+parametros_manuales!$G$37*('Plan mensual'!I71+IF(parametros_manuales!$H$37="Todos",'Plan mensual'!I75,0)))*parametros_manuales!$I$37*parametros_manuales!$J$37</f>
        <v>12203.862421375</v>
      </c>
      <c r="H182" s="9" t="n">
        <f aca="false">(parametros_manuales!$D$37*('Plan mensual'!J68+IF(parametros_manuales!$H$37="Todos",'Plan mensual'!J72,0))+parametros_manuales!$E$37*('Plan mensual'!J69+IF(parametros_manuales!$H$37="Todos",'Plan mensual'!J73,0))+parametros_manuales!$F$37*('Plan mensual'!J70+IF(parametros_manuales!$H$37="Todos",'Plan mensual'!J74,0))+parametros_manuales!$G$37*('Plan mensual'!J71+IF(parametros_manuales!$H$37="Todos",'Plan mensual'!J75,0)))*parametros_manuales!$I$37*parametros_manuales!$J$37</f>
        <v>13058.01096722</v>
      </c>
      <c r="I182" s="9" t="n">
        <f aca="false">(parametros_manuales!$D$37*('Plan mensual'!K68+IF(parametros_manuales!$H$37="Todos",'Plan mensual'!K72,0))+parametros_manuales!$E$37*('Plan mensual'!K69+IF(parametros_manuales!$H$37="Todos",'Plan mensual'!K73,0))+parametros_manuales!$F$37*('Plan mensual'!K70+IF(parametros_manuales!$H$37="Todos",'Plan mensual'!K74,0))+parametros_manuales!$G$37*('Plan mensual'!K71+IF(parametros_manuales!$H$37="Todos",'Plan mensual'!K75,0)))*parametros_manuales!$I$37*parametros_manuales!$J$37</f>
        <v>13058.01096722</v>
      </c>
      <c r="J182" s="9" t="n">
        <f aca="false">(parametros_manuales!$D$37*('Plan mensual'!L68+IF(parametros_manuales!$H$37="Todos",'Plan mensual'!L72,0))+parametros_manuales!$E$37*('Plan mensual'!L69+IF(parametros_manuales!$H$37="Todos",'Plan mensual'!L73,0))+parametros_manuales!$F$37*('Plan mensual'!L70+IF(parametros_manuales!$H$37="Todos",'Plan mensual'!L74,0))+parametros_manuales!$G$37*('Plan mensual'!L71+IF(parametros_manuales!$H$37="Todos",'Plan mensual'!L75,0)))*parametros_manuales!$I$37*parametros_manuales!$J$37</f>
        <v>13058.01096722</v>
      </c>
      <c r="K182" s="9" t="n">
        <f aca="false">(parametros_manuales!$D$37*('Plan mensual'!M68+IF(parametros_manuales!$H$37="Todos",'Plan mensual'!M72,0))+parametros_manuales!$E$37*('Plan mensual'!M69+IF(parametros_manuales!$H$37="Todos",'Plan mensual'!M73,0))+parametros_manuales!$F$37*('Plan mensual'!M70+IF(parametros_manuales!$H$37="Todos",'Plan mensual'!M74,0))+parametros_manuales!$G$37*('Plan mensual'!M71+IF(parametros_manuales!$H$37="Todos",'Plan mensual'!M75,0)))*parametros_manuales!$I$37*parametros_manuales!$J$37</f>
        <v>12812.228187675</v>
      </c>
      <c r="L182" s="9" t="n">
        <f aca="false">(parametros_manuales!$D$37*('Plan mensual'!N68+IF(parametros_manuales!$H$37="Todos",'Plan mensual'!N72,0))+parametros_manuales!$E$37*('Plan mensual'!N69+IF(parametros_manuales!$H$37="Todos",'Plan mensual'!N73,0))+parametros_manuales!$F$37*('Plan mensual'!N70+IF(parametros_manuales!$H$37="Todos",'Plan mensual'!N74,0))+parametros_manuales!$G$37*('Plan mensual'!N71+IF(parametros_manuales!$H$37="Todos",'Plan mensual'!N75,0)))*parametros_manuales!$I$37*parametros_manuales!$J$37</f>
        <v>12566.44540813</v>
      </c>
      <c r="M182" s="9" t="n">
        <f aca="false">(parametros_manuales!$D$37*('Plan mensual'!O68+IF(parametros_manuales!$H$37="Todos",'Plan mensual'!O72,0))+parametros_manuales!$E$37*('Plan mensual'!O69+IF(parametros_manuales!$H$37="Todos",'Plan mensual'!O73,0))+parametros_manuales!$F$37*('Plan mensual'!O70+IF(parametros_manuales!$H$37="Todos",'Plan mensual'!O74,0))+parametros_manuales!$G$37*('Plan mensual'!O71+IF(parametros_manuales!$H$37="Todos",'Plan mensual'!O75,0)))*parametros_manuales!$I$37*parametros_manuales!$J$37</f>
        <v>20007.99954119</v>
      </c>
      <c r="N182" s="9" t="n">
        <f aca="false">SUM(B182:M182)</f>
        <v>170829.709169</v>
      </c>
      <c r="O182" s="9" t="n">
        <f aca="false">MAX(B182:M182)</f>
        <v>20007.99954119</v>
      </c>
      <c r="P182" s="43" t="n">
        <f aca="false">O182/(parametros_manuales!$B$7)</f>
        <v>133.386663607933</v>
      </c>
      <c r="Q182" s="8" t="str">
        <f aca="false">IF(O182=0,"-",INDEX($B$163:$M$163,MATCH(O182,B182:M182,0)))</f>
        <v>Dic</v>
      </c>
    </row>
    <row r="183" customFormat="false" ht="14.25" hidden="false" customHeight="true" outlineLevel="0" collapsed="false">
      <c r="A183" s="8" t="str">
        <f aca="false">parametros_manuales!$B$38</f>
        <v>Carga de polvo</v>
      </c>
      <c r="B183" s="9" t="n">
        <f aca="false">(parametros_manuales!$D$38*('Plan mensual'!D68+IF(parametros_manuales!$H$38="Todos",'Plan mensual'!D72,0))+parametros_manuales!$E$38*('Plan mensual'!D69+IF(parametros_manuales!$H$38="Todos",'Plan mensual'!D73,0))+parametros_manuales!$F$38*('Plan mensual'!D70+IF(parametros_manuales!$H$38="Todos",'Plan mensual'!D74,0))+parametros_manuales!$G$38*('Plan mensual'!D71+IF(parametros_manuales!$H$38="Todos",'Plan mensual'!D75,0)))*parametros_manuales!$I$38*parametros_manuales!$J$38</f>
        <v>4862.4379821</v>
      </c>
      <c r="C183" s="9" t="n">
        <f aca="false">(parametros_manuales!$D$38*('Plan mensual'!E68+IF(parametros_manuales!$H$38="Todos",'Plan mensual'!E72,0))+parametros_manuales!$E$38*('Plan mensual'!E69+IF(parametros_manuales!$H$38="Todos",'Plan mensual'!E73,0))+parametros_manuales!$F$38*('Plan mensual'!E70+IF(parametros_manuales!$H$38="Todos",'Plan mensual'!E74,0))+parametros_manuales!$G$38*('Plan mensual'!E71+IF(parametros_manuales!$H$38="Todos",'Plan mensual'!E75,0)))*parametros_manuales!$I$38*parametros_manuales!$J$38</f>
        <v>3767.95506612</v>
      </c>
      <c r="D183" s="9" t="n">
        <f aca="false">(parametros_manuales!$D$38*('Plan mensual'!F68+IF(parametros_manuales!$H$38="Todos",'Plan mensual'!F72,0))+parametros_manuales!$E$38*('Plan mensual'!F69+IF(parametros_manuales!$H$38="Todos",'Plan mensual'!F73,0))+parametros_manuales!$F$38*('Plan mensual'!F70+IF(parametros_manuales!$H$38="Todos",'Plan mensual'!F74,0))+parametros_manuales!$G$38*('Plan mensual'!F71+IF(parametros_manuales!$H$38="Todos",'Plan mensual'!F75,0)))*parametros_manuales!$I$38*parametros_manuales!$J$38</f>
        <v>3685.756113065</v>
      </c>
      <c r="E183" s="9" t="n">
        <f aca="false">(parametros_manuales!$D$38*('Plan mensual'!G68+IF(parametros_manuales!$H$38="Todos",'Plan mensual'!G72,0))+parametros_manuales!$E$38*('Plan mensual'!G69+IF(parametros_manuales!$H$38="Todos",'Plan mensual'!G73,0))+parametros_manuales!$F$38*('Plan mensual'!G70+IF(parametros_manuales!$H$38="Todos",'Plan mensual'!G74,0))+parametros_manuales!$G$38*('Plan mensual'!G71+IF(parametros_manuales!$H$38="Todos",'Plan mensual'!G75,0)))*parametros_manuales!$I$38*parametros_manuales!$J$38</f>
        <v>3584.093346765</v>
      </c>
      <c r="F183" s="9" t="n">
        <f aca="false">(parametros_manuales!$D$38*('Plan mensual'!H68+IF(parametros_manuales!$H$38="Todos",'Plan mensual'!H72,0))+parametros_manuales!$E$38*('Plan mensual'!H69+IF(parametros_manuales!$H$38="Todos",'Plan mensual'!H73,0))+parametros_manuales!$F$38*('Plan mensual'!H70+IF(parametros_manuales!$H$38="Todos",'Plan mensual'!H74,0))+parametros_manuales!$G$38*('Plan mensual'!H71+IF(parametros_manuales!$H$38="Todos",'Plan mensual'!H75,0)))*parametros_manuales!$I$38*parametros_manuales!$J$38</f>
        <v>3361.30400092</v>
      </c>
      <c r="G183" s="9" t="n">
        <f aca="false">(parametros_manuales!$D$38*('Plan mensual'!I68+IF(parametros_manuales!$H$38="Todos",'Plan mensual'!I72,0))+parametros_manuales!$E$38*('Plan mensual'!I69+IF(parametros_manuales!$H$38="Todos",'Plan mensual'!I73,0))+parametros_manuales!$F$38*('Plan mensual'!I70+IF(parametros_manuales!$H$38="Todos",'Plan mensual'!I74,0))+parametros_manuales!$G$38*('Plan mensual'!I71+IF(parametros_manuales!$H$38="Todos",'Plan mensual'!I75,0)))*parametros_manuales!$I$38*parametros_manuales!$J$38</f>
        <v>3240.177421375</v>
      </c>
      <c r="H183" s="9" t="n">
        <f aca="false">(parametros_manuales!$D$38*('Plan mensual'!J68+IF(parametros_manuales!$H$38="Todos",'Plan mensual'!J72,0))+parametros_manuales!$E$38*('Plan mensual'!J69+IF(parametros_manuales!$H$38="Todos",'Plan mensual'!J73,0))+parametros_manuales!$F$38*('Plan mensual'!J70+IF(parametros_manuales!$H$38="Todos",'Plan mensual'!J74,0))+parametros_manuales!$G$38*('Plan mensual'!J71+IF(parametros_manuales!$H$38="Todos",'Plan mensual'!J75,0)))*parametros_manuales!$I$38*parametros_manuales!$J$38</f>
        <v>3462.96676722</v>
      </c>
      <c r="I183" s="9" t="n">
        <f aca="false">(parametros_manuales!$D$38*('Plan mensual'!K68+IF(parametros_manuales!$H$38="Todos",'Plan mensual'!K72,0))+parametros_manuales!$E$38*('Plan mensual'!K69+IF(parametros_manuales!$H$38="Todos",'Plan mensual'!K73,0))+parametros_manuales!$F$38*('Plan mensual'!K70+IF(parametros_manuales!$H$38="Todos",'Plan mensual'!K74,0))+parametros_manuales!$G$38*('Plan mensual'!K71+IF(parametros_manuales!$H$38="Todos",'Plan mensual'!K75,0)))*parametros_manuales!$I$38*parametros_manuales!$J$38</f>
        <v>3462.96676722</v>
      </c>
      <c r="J183" s="9" t="n">
        <f aca="false">(parametros_manuales!$D$38*('Plan mensual'!L68+IF(parametros_manuales!$H$38="Todos",'Plan mensual'!L72,0))+parametros_manuales!$E$38*('Plan mensual'!L69+IF(parametros_manuales!$H$38="Todos",'Plan mensual'!L73,0))+parametros_manuales!$F$38*('Plan mensual'!L70+IF(parametros_manuales!$H$38="Todos",'Plan mensual'!L74,0))+parametros_manuales!$G$38*('Plan mensual'!L71+IF(parametros_manuales!$H$38="Todos",'Plan mensual'!L75,0)))*parametros_manuales!$I$38*parametros_manuales!$J$38</f>
        <v>3462.96676722</v>
      </c>
      <c r="K183" s="9" t="n">
        <f aca="false">(parametros_manuales!$D$38*('Plan mensual'!M68+IF(parametros_manuales!$H$38="Todos",'Plan mensual'!M72,0))+parametros_manuales!$E$38*('Plan mensual'!M69+IF(parametros_manuales!$H$38="Todos",'Plan mensual'!M73,0))+parametros_manuales!$F$38*('Plan mensual'!M70+IF(parametros_manuales!$H$38="Todos",'Plan mensual'!M74,0))+parametros_manuales!$G$38*('Plan mensual'!M71+IF(parametros_manuales!$H$38="Todos",'Plan mensual'!M75,0)))*parametros_manuales!$I$38*parametros_manuales!$J$38</f>
        <v>3341.840187675</v>
      </c>
      <c r="L183" s="9" t="n">
        <f aca="false">(parametros_manuales!$D$38*('Plan mensual'!N68+IF(parametros_manuales!$H$38="Todos",'Plan mensual'!N72,0))+parametros_manuales!$E$38*('Plan mensual'!N69+IF(parametros_manuales!$H$38="Todos",'Plan mensual'!N73,0))+parametros_manuales!$F$38*('Plan mensual'!N70+IF(parametros_manuales!$H$38="Todos",'Plan mensual'!N74,0))+parametros_manuales!$G$38*('Plan mensual'!N71+IF(parametros_manuales!$H$38="Todos",'Plan mensual'!N75,0)))*parametros_manuales!$I$38*parametros_manuales!$J$38</f>
        <v>3220.71360813</v>
      </c>
      <c r="M183" s="9" t="n">
        <f aca="false">(parametros_manuales!$D$38*('Plan mensual'!O68+IF(parametros_manuales!$H$38="Todos",'Plan mensual'!O72,0))+parametros_manuales!$E$38*('Plan mensual'!O69+IF(parametros_manuales!$H$38="Todos",'Plan mensual'!O73,0))+parametros_manuales!$F$38*('Plan mensual'!O70+IF(parametros_manuales!$H$38="Todos",'Plan mensual'!O74,0))+parametros_manuales!$G$38*('Plan mensual'!O71+IF(parametros_manuales!$H$38="Todos",'Plan mensual'!O75,0)))*parametros_manuales!$I$38*parametros_manuales!$J$38</f>
        <v>5104.69114119</v>
      </c>
      <c r="N183" s="9" t="n">
        <f aca="false">SUM(B183:M183)</f>
        <v>44557.869169</v>
      </c>
      <c r="O183" s="9" t="n">
        <f aca="false">MAX(B183:M183)</f>
        <v>5104.69114119</v>
      </c>
      <c r="P183" s="43" t="n">
        <f aca="false">O183/(parametros_manuales!$B$7)</f>
        <v>34.0312742746</v>
      </c>
      <c r="Q183" s="8" t="str">
        <f aca="false">IF(O183=0,"-",INDEX($B$163:$M$163,MATCH(O183,B183:M183,0)))</f>
        <v>Dic</v>
      </c>
    </row>
    <row r="184" customFormat="false" ht="14.25" hidden="false" customHeight="true" outlineLevel="0" collapsed="false">
      <c r="A184" s="8" t="str">
        <f aca="false">parametros_manuales!$B$39</f>
        <v>Ensamblaje</v>
      </c>
      <c r="B184" s="9" t="n">
        <f aca="false">(parametros_manuales!$D$39*('Plan mensual'!D68+IF(parametros_manuales!$H$39="Todos",'Plan mensual'!D72,0))+parametros_manuales!$E$39*('Plan mensual'!D69+IF(parametros_manuales!$H$39="Todos",'Plan mensual'!D73,0))+parametros_manuales!$F$39*('Plan mensual'!D70+IF(parametros_manuales!$H$39="Todos",'Plan mensual'!D74,0))+parametros_manuales!$G$39*('Plan mensual'!D71+IF(parametros_manuales!$H$39="Todos",'Plan mensual'!D75,0)))*parametros_manuales!$I$39*parametros_manuales!$J$39</f>
        <v>4862.4379821</v>
      </c>
      <c r="C184" s="9" t="n">
        <f aca="false">(parametros_manuales!$D$39*('Plan mensual'!E68+IF(parametros_manuales!$H$39="Todos",'Plan mensual'!E72,0))+parametros_manuales!$E$39*('Plan mensual'!E69+IF(parametros_manuales!$H$39="Todos",'Plan mensual'!E73,0))+parametros_manuales!$F$39*('Plan mensual'!E70+IF(parametros_manuales!$H$39="Todos",'Plan mensual'!E74,0))+parametros_manuales!$G$39*('Plan mensual'!E71+IF(parametros_manuales!$H$39="Todos",'Plan mensual'!E75,0)))*parametros_manuales!$I$39*parametros_manuales!$J$39</f>
        <v>3767.95506612</v>
      </c>
      <c r="D184" s="9" t="n">
        <f aca="false">(parametros_manuales!$D$39*('Plan mensual'!F68+IF(parametros_manuales!$H$39="Todos",'Plan mensual'!F72,0))+parametros_manuales!$E$39*('Plan mensual'!F69+IF(parametros_manuales!$H$39="Todos",'Plan mensual'!F73,0))+parametros_manuales!$F$39*('Plan mensual'!F70+IF(parametros_manuales!$H$39="Todos",'Plan mensual'!F74,0))+parametros_manuales!$G$39*('Plan mensual'!F71+IF(parametros_manuales!$H$39="Todos",'Plan mensual'!F75,0)))*parametros_manuales!$I$39*parametros_manuales!$J$39</f>
        <v>3685.756113065</v>
      </c>
      <c r="E184" s="9" t="n">
        <f aca="false">(parametros_manuales!$D$39*('Plan mensual'!G68+IF(parametros_manuales!$H$39="Todos",'Plan mensual'!G72,0))+parametros_manuales!$E$39*('Plan mensual'!G69+IF(parametros_manuales!$H$39="Todos",'Plan mensual'!G73,0))+parametros_manuales!$F$39*('Plan mensual'!G70+IF(parametros_manuales!$H$39="Todos",'Plan mensual'!G74,0))+parametros_manuales!$G$39*('Plan mensual'!G71+IF(parametros_manuales!$H$39="Todos",'Plan mensual'!G75,0)))*parametros_manuales!$I$39*parametros_manuales!$J$39</f>
        <v>3584.093346765</v>
      </c>
      <c r="F184" s="9" t="n">
        <f aca="false">(parametros_manuales!$D$39*('Plan mensual'!H68+IF(parametros_manuales!$H$39="Todos",'Plan mensual'!H72,0))+parametros_manuales!$E$39*('Plan mensual'!H69+IF(parametros_manuales!$H$39="Todos",'Plan mensual'!H73,0))+parametros_manuales!$F$39*('Plan mensual'!H70+IF(parametros_manuales!$H$39="Todos",'Plan mensual'!H74,0))+parametros_manuales!$G$39*('Plan mensual'!H71+IF(parametros_manuales!$H$39="Todos",'Plan mensual'!H75,0)))*parametros_manuales!$I$39*parametros_manuales!$J$39</f>
        <v>3361.30400092</v>
      </c>
      <c r="G184" s="9" t="n">
        <f aca="false">(parametros_manuales!$D$39*('Plan mensual'!I68+IF(parametros_manuales!$H$39="Todos",'Plan mensual'!I72,0))+parametros_manuales!$E$39*('Plan mensual'!I69+IF(parametros_manuales!$H$39="Todos",'Plan mensual'!I73,0))+parametros_manuales!$F$39*('Plan mensual'!I70+IF(parametros_manuales!$H$39="Todos",'Plan mensual'!I74,0))+parametros_manuales!$G$39*('Plan mensual'!I71+IF(parametros_manuales!$H$39="Todos",'Plan mensual'!I75,0)))*parametros_manuales!$I$39*parametros_manuales!$J$39</f>
        <v>3240.177421375</v>
      </c>
      <c r="H184" s="9" t="n">
        <f aca="false">(parametros_manuales!$D$39*('Plan mensual'!J68+IF(parametros_manuales!$H$39="Todos",'Plan mensual'!J72,0))+parametros_manuales!$E$39*('Plan mensual'!J69+IF(parametros_manuales!$H$39="Todos",'Plan mensual'!J73,0))+parametros_manuales!$F$39*('Plan mensual'!J70+IF(parametros_manuales!$H$39="Todos",'Plan mensual'!J74,0))+parametros_manuales!$G$39*('Plan mensual'!J71+IF(parametros_manuales!$H$39="Todos",'Plan mensual'!J75,0)))*parametros_manuales!$I$39*parametros_manuales!$J$39</f>
        <v>3462.96676722</v>
      </c>
      <c r="I184" s="9" t="n">
        <f aca="false">(parametros_manuales!$D$39*('Plan mensual'!K68+IF(parametros_manuales!$H$39="Todos",'Plan mensual'!K72,0))+parametros_manuales!$E$39*('Plan mensual'!K69+IF(parametros_manuales!$H$39="Todos",'Plan mensual'!K73,0))+parametros_manuales!$F$39*('Plan mensual'!K70+IF(parametros_manuales!$H$39="Todos",'Plan mensual'!K74,0))+parametros_manuales!$G$39*('Plan mensual'!K71+IF(parametros_manuales!$H$39="Todos",'Plan mensual'!K75,0)))*parametros_manuales!$I$39*parametros_manuales!$J$39</f>
        <v>3462.96676722</v>
      </c>
      <c r="J184" s="9" t="n">
        <f aca="false">(parametros_manuales!$D$39*('Plan mensual'!L68+IF(parametros_manuales!$H$39="Todos",'Plan mensual'!L72,0))+parametros_manuales!$E$39*('Plan mensual'!L69+IF(parametros_manuales!$H$39="Todos",'Plan mensual'!L73,0))+parametros_manuales!$F$39*('Plan mensual'!L70+IF(parametros_manuales!$H$39="Todos",'Plan mensual'!L74,0))+parametros_manuales!$G$39*('Plan mensual'!L71+IF(parametros_manuales!$H$39="Todos",'Plan mensual'!L75,0)))*parametros_manuales!$I$39*parametros_manuales!$J$39</f>
        <v>3462.96676722</v>
      </c>
      <c r="K184" s="9" t="n">
        <f aca="false">(parametros_manuales!$D$39*('Plan mensual'!M68+IF(parametros_manuales!$H$39="Todos",'Plan mensual'!M72,0))+parametros_manuales!$E$39*('Plan mensual'!M69+IF(parametros_manuales!$H$39="Todos",'Plan mensual'!M73,0))+parametros_manuales!$F$39*('Plan mensual'!M70+IF(parametros_manuales!$H$39="Todos",'Plan mensual'!M74,0))+parametros_manuales!$G$39*('Plan mensual'!M71+IF(parametros_manuales!$H$39="Todos",'Plan mensual'!M75,0)))*parametros_manuales!$I$39*parametros_manuales!$J$39</f>
        <v>3341.840187675</v>
      </c>
      <c r="L184" s="9" t="n">
        <f aca="false">(parametros_manuales!$D$39*('Plan mensual'!N68+IF(parametros_manuales!$H$39="Todos",'Plan mensual'!N72,0))+parametros_manuales!$E$39*('Plan mensual'!N69+IF(parametros_manuales!$H$39="Todos",'Plan mensual'!N73,0))+parametros_manuales!$F$39*('Plan mensual'!N70+IF(parametros_manuales!$H$39="Todos",'Plan mensual'!N74,0))+parametros_manuales!$G$39*('Plan mensual'!N71+IF(parametros_manuales!$H$39="Todos",'Plan mensual'!N75,0)))*parametros_manuales!$I$39*parametros_manuales!$J$39</f>
        <v>3220.71360813</v>
      </c>
      <c r="M184" s="9" t="n">
        <f aca="false">(parametros_manuales!$D$39*('Plan mensual'!O68+IF(parametros_manuales!$H$39="Todos",'Plan mensual'!O72,0))+parametros_manuales!$E$39*('Plan mensual'!O69+IF(parametros_manuales!$H$39="Todos",'Plan mensual'!O73,0))+parametros_manuales!$F$39*('Plan mensual'!O70+IF(parametros_manuales!$H$39="Todos",'Plan mensual'!O74,0))+parametros_manuales!$G$39*('Plan mensual'!O71+IF(parametros_manuales!$H$39="Todos",'Plan mensual'!O75,0)))*parametros_manuales!$I$39*parametros_manuales!$J$39</f>
        <v>5104.69114119</v>
      </c>
      <c r="N184" s="9" t="n">
        <f aca="false">SUM(B184:M184)</f>
        <v>44557.869169</v>
      </c>
      <c r="O184" s="9" t="n">
        <f aca="false">MAX(B184:M184)</f>
        <v>5104.69114119</v>
      </c>
      <c r="P184" s="43" t="n">
        <f aca="false">O184/(parametros_manuales!$B$7)</f>
        <v>34.0312742746</v>
      </c>
      <c r="Q184" s="8" t="str">
        <f aca="false">IF(O184=0,"-",INDEX($B$163:$M$163,MATCH(O184,B184:M184,0)))</f>
        <v>Dic</v>
      </c>
    </row>
    <row r="185" customFormat="false" ht="14.25" hidden="false" customHeight="true" outlineLevel="0" collapsed="false">
      <c r="A185" s="8" t="str">
        <f aca="false">parametros_manuales!$B$40</f>
        <v>Presurización</v>
      </c>
      <c r="B185" s="9" t="n">
        <f aca="false">(parametros_manuales!$D$40*('Plan mensual'!D68+IF(parametros_manuales!$H$40="Todos",'Plan mensual'!D72,0))+parametros_manuales!$E$40*('Plan mensual'!D69+IF(parametros_manuales!$H$40="Todos",'Plan mensual'!D73,0))+parametros_manuales!$F$40*('Plan mensual'!D70+IF(parametros_manuales!$H$40="Todos",'Plan mensual'!D74,0))+parametros_manuales!$G$40*('Plan mensual'!D71+IF(parametros_manuales!$H$40="Todos",'Plan mensual'!D75,0)))*parametros_manuales!$I$40*parametros_manuales!$J$40</f>
        <v>4862.4379821</v>
      </c>
      <c r="C185" s="9" t="n">
        <f aca="false">(parametros_manuales!$D$40*('Plan mensual'!E68+IF(parametros_manuales!$H$40="Todos",'Plan mensual'!E72,0))+parametros_manuales!$E$40*('Plan mensual'!E69+IF(parametros_manuales!$H$40="Todos",'Plan mensual'!E73,0))+parametros_manuales!$F$40*('Plan mensual'!E70+IF(parametros_manuales!$H$40="Todos",'Plan mensual'!E74,0))+parametros_manuales!$G$40*('Plan mensual'!E71+IF(parametros_manuales!$H$40="Todos",'Plan mensual'!E75,0)))*parametros_manuales!$I$40*parametros_manuales!$J$40</f>
        <v>3767.95506612</v>
      </c>
      <c r="D185" s="9" t="n">
        <f aca="false">(parametros_manuales!$D$40*('Plan mensual'!F68+IF(parametros_manuales!$H$40="Todos",'Plan mensual'!F72,0))+parametros_manuales!$E$40*('Plan mensual'!F69+IF(parametros_manuales!$H$40="Todos",'Plan mensual'!F73,0))+parametros_manuales!$F$40*('Plan mensual'!F70+IF(parametros_manuales!$H$40="Todos",'Plan mensual'!F74,0))+parametros_manuales!$G$40*('Plan mensual'!F71+IF(parametros_manuales!$H$40="Todos",'Plan mensual'!F75,0)))*parametros_manuales!$I$40*parametros_manuales!$J$40</f>
        <v>3685.756113065</v>
      </c>
      <c r="E185" s="9" t="n">
        <f aca="false">(parametros_manuales!$D$40*('Plan mensual'!G68+IF(parametros_manuales!$H$40="Todos",'Plan mensual'!G72,0))+parametros_manuales!$E$40*('Plan mensual'!G69+IF(parametros_manuales!$H$40="Todos",'Plan mensual'!G73,0))+parametros_manuales!$F$40*('Plan mensual'!G70+IF(parametros_manuales!$H$40="Todos",'Plan mensual'!G74,0))+parametros_manuales!$G$40*('Plan mensual'!G71+IF(parametros_manuales!$H$40="Todos",'Plan mensual'!G75,0)))*parametros_manuales!$I$40*parametros_manuales!$J$40</f>
        <v>3584.093346765</v>
      </c>
      <c r="F185" s="9" t="n">
        <f aca="false">(parametros_manuales!$D$40*('Plan mensual'!H68+IF(parametros_manuales!$H$40="Todos",'Plan mensual'!H72,0))+parametros_manuales!$E$40*('Plan mensual'!H69+IF(parametros_manuales!$H$40="Todos",'Plan mensual'!H73,0))+parametros_manuales!$F$40*('Plan mensual'!H70+IF(parametros_manuales!$H$40="Todos",'Plan mensual'!H74,0))+parametros_manuales!$G$40*('Plan mensual'!H71+IF(parametros_manuales!$H$40="Todos",'Plan mensual'!H75,0)))*parametros_manuales!$I$40*parametros_manuales!$J$40</f>
        <v>3361.30400092</v>
      </c>
      <c r="G185" s="9" t="n">
        <f aca="false">(parametros_manuales!$D$40*('Plan mensual'!I68+IF(parametros_manuales!$H$40="Todos",'Plan mensual'!I72,0))+parametros_manuales!$E$40*('Plan mensual'!I69+IF(parametros_manuales!$H$40="Todos",'Plan mensual'!I73,0))+parametros_manuales!$F$40*('Plan mensual'!I70+IF(parametros_manuales!$H$40="Todos",'Plan mensual'!I74,0))+parametros_manuales!$G$40*('Plan mensual'!I71+IF(parametros_manuales!$H$40="Todos",'Plan mensual'!I75,0)))*parametros_manuales!$I$40*parametros_manuales!$J$40</f>
        <v>3240.177421375</v>
      </c>
      <c r="H185" s="9" t="n">
        <f aca="false">(parametros_manuales!$D$40*('Plan mensual'!J68+IF(parametros_manuales!$H$40="Todos",'Plan mensual'!J72,0))+parametros_manuales!$E$40*('Plan mensual'!J69+IF(parametros_manuales!$H$40="Todos",'Plan mensual'!J73,0))+parametros_manuales!$F$40*('Plan mensual'!J70+IF(parametros_manuales!$H$40="Todos",'Plan mensual'!J74,0))+parametros_manuales!$G$40*('Plan mensual'!J71+IF(parametros_manuales!$H$40="Todos",'Plan mensual'!J75,0)))*parametros_manuales!$I$40*parametros_manuales!$J$40</f>
        <v>3462.96676722</v>
      </c>
      <c r="I185" s="9" t="n">
        <f aca="false">(parametros_manuales!$D$40*('Plan mensual'!K68+IF(parametros_manuales!$H$40="Todos",'Plan mensual'!K72,0))+parametros_manuales!$E$40*('Plan mensual'!K69+IF(parametros_manuales!$H$40="Todos",'Plan mensual'!K73,0))+parametros_manuales!$F$40*('Plan mensual'!K70+IF(parametros_manuales!$H$40="Todos",'Plan mensual'!K74,0))+parametros_manuales!$G$40*('Plan mensual'!K71+IF(parametros_manuales!$H$40="Todos",'Plan mensual'!K75,0)))*parametros_manuales!$I$40*parametros_manuales!$J$40</f>
        <v>3462.96676722</v>
      </c>
      <c r="J185" s="9" t="n">
        <f aca="false">(parametros_manuales!$D$40*('Plan mensual'!L68+IF(parametros_manuales!$H$40="Todos",'Plan mensual'!L72,0))+parametros_manuales!$E$40*('Plan mensual'!L69+IF(parametros_manuales!$H$40="Todos",'Plan mensual'!L73,0))+parametros_manuales!$F$40*('Plan mensual'!L70+IF(parametros_manuales!$H$40="Todos",'Plan mensual'!L74,0))+parametros_manuales!$G$40*('Plan mensual'!L71+IF(parametros_manuales!$H$40="Todos",'Plan mensual'!L75,0)))*parametros_manuales!$I$40*parametros_manuales!$J$40</f>
        <v>3462.96676722</v>
      </c>
      <c r="K185" s="9" t="n">
        <f aca="false">(parametros_manuales!$D$40*('Plan mensual'!M68+IF(parametros_manuales!$H$40="Todos",'Plan mensual'!M72,0))+parametros_manuales!$E$40*('Plan mensual'!M69+IF(parametros_manuales!$H$40="Todos",'Plan mensual'!M73,0))+parametros_manuales!$F$40*('Plan mensual'!M70+IF(parametros_manuales!$H$40="Todos",'Plan mensual'!M74,0))+parametros_manuales!$G$40*('Plan mensual'!M71+IF(parametros_manuales!$H$40="Todos",'Plan mensual'!M75,0)))*parametros_manuales!$I$40*parametros_manuales!$J$40</f>
        <v>3341.840187675</v>
      </c>
      <c r="L185" s="9" t="n">
        <f aca="false">(parametros_manuales!$D$40*('Plan mensual'!N68+IF(parametros_manuales!$H$40="Todos",'Plan mensual'!N72,0))+parametros_manuales!$E$40*('Plan mensual'!N69+IF(parametros_manuales!$H$40="Todos",'Plan mensual'!N73,0))+parametros_manuales!$F$40*('Plan mensual'!N70+IF(parametros_manuales!$H$40="Todos",'Plan mensual'!N74,0))+parametros_manuales!$G$40*('Plan mensual'!N71+IF(parametros_manuales!$H$40="Todos",'Plan mensual'!N75,0)))*parametros_manuales!$I$40*parametros_manuales!$J$40</f>
        <v>3220.71360813</v>
      </c>
      <c r="M185" s="9" t="n">
        <f aca="false">(parametros_manuales!$D$40*('Plan mensual'!O68+IF(parametros_manuales!$H$40="Todos",'Plan mensual'!O72,0))+parametros_manuales!$E$40*('Plan mensual'!O69+IF(parametros_manuales!$H$40="Todos",'Plan mensual'!O73,0))+parametros_manuales!$F$40*('Plan mensual'!O70+IF(parametros_manuales!$H$40="Todos",'Plan mensual'!O74,0))+parametros_manuales!$G$40*('Plan mensual'!O71+IF(parametros_manuales!$H$40="Todos",'Plan mensual'!O75,0)))*parametros_manuales!$I$40*parametros_manuales!$J$40</f>
        <v>5104.69114119</v>
      </c>
      <c r="N185" s="9" t="n">
        <f aca="false">SUM(B185:M185)</f>
        <v>44557.869169</v>
      </c>
      <c r="O185" s="9" t="n">
        <f aca="false">MAX(B185:M185)</f>
        <v>5104.69114119</v>
      </c>
      <c r="P185" s="43" t="n">
        <f aca="false">O185/(parametros_manuales!$B$7)</f>
        <v>34.0312742746</v>
      </c>
      <c r="Q185" s="8" t="str">
        <f aca="false">IF(O185=0,"-",INDEX($B$163:$M$163,MATCH(O185,B185:M185,0)))</f>
        <v>Dic</v>
      </c>
    </row>
    <row r="186" customFormat="false" ht="14.25" hidden="false" customHeight="true" outlineLevel="0" collapsed="false">
      <c r="A186" s="8" t="str">
        <f aca="false">parametros_manuales!$B$41</f>
        <v>Control de calidad — Ensayo de pérdidas</v>
      </c>
      <c r="B186" s="9" t="n">
        <f aca="false">(parametros_manuales!$D$41*('Plan mensual'!D68+IF(parametros_manuales!$H$41="Todos",'Plan mensual'!D72,0))+parametros_manuales!$E$41*('Plan mensual'!D69+IF(parametros_manuales!$H$41="Todos",'Plan mensual'!D73,0))+parametros_manuales!$F$41*('Plan mensual'!D70+IF(parametros_manuales!$H$41="Todos",'Plan mensual'!D74,0))+parametros_manuales!$G$41*('Plan mensual'!D71+IF(parametros_manuales!$H$41="Todos",'Plan mensual'!D75,0)))*parametros_manuales!$I$41*parametros_manuales!$J$41</f>
        <v>4862.4379821</v>
      </c>
      <c r="C186" s="9" t="n">
        <f aca="false">(parametros_manuales!$D$41*('Plan mensual'!E68+IF(parametros_manuales!$H$41="Todos",'Plan mensual'!E72,0))+parametros_manuales!$E$41*('Plan mensual'!E69+IF(parametros_manuales!$H$41="Todos",'Plan mensual'!E73,0))+parametros_manuales!$F$41*('Plan mensual'!E70+IF(parametros_manuales!$H$41="Todos",'Plan mensual'!E74,0))+parametros_manuales!$G$41*('Plan mensual'!E71+IF(parametros_manuales!$H$41="Todos",'Plan mensual'!E75,0)))*parametros_manuales!$I$41*parametros_manuales!$J$41</f>
        <v>3767.95506612</v>
      </c>
      <c r="D186" s="9" t="n">
        <f aca="false">(parametros_manuales!$D$41*('Plan mensual'!F68+IF(parametros_manuales!$H$41="Todos",'Plan mensual'!F72,0))+parametros_manuales!$E$41*('Plan mensual'!F69+IF(parametros_manuales!$H$41="Todos",'Plan mensual'!F73,0))+parametros_manuales!$F$41*('Plan mensual'!F70+IF(parametros_manuales!$H$41="Todos",'Plan mensual'!F74,0))+parametros_manuales!$G$41*('Plan mensual'!F71+IF(parametros_manuales!$H$41="Todos",'Plan mensual'!F75,0)))*parametros_manuales!$I$41*parametros_manuales!$J$41</f>
        <v>3685.756113065</v>
      </c>
      <c r="E186" s="9" t="n">
        <f aca="false">(parametros_manuales!$D$41*('Plan mensual'!G68+IF(parametros_manuales!$H$41="Todos",'Plan mensual'!G72,0))+parametros_manuales!$E$41*('Plan mensual'!G69+IF(parametros_manuales!$H$41="Todos",'Plan mensual'!G73,0))+parametros_manuales!$F$41*('Plan mensual'!G70+IF(parametros_manuales!$H$41="Todos",'Plan mensual'!G74,0))+parametros_manuales!$G$41*('Plan mensual'!G71+IF(parametros_manuales!$H$41="Todos",'Plan mensual'!G75,0)))*parametros_manuales!$I$41*parametros_manuales!$J$41</f>
        <v>3584.093346765</v>
      </c>
      <c r="F186" s="9" t="n">
        <f aca="false">(parametros_manuales!$D$41*('Plan mensual'!H68+IF(parametros_manuales!$H$41="Todos",'Plan mensual'!H72,0))+parametros_manuales!$E$41*('Plan mensual'!H69+IF(parametros_manuales!$H$41="Todos",'Plan mensual'!H73,0))+parametros_manuales!$F$41*('Plan mensual'!H70+IF(parametros_manuales!$H$41="Todos",'Plan mensual'!H74,0))+parametros_manuales!$G$41*('Plan mensual'!H71+IF(parametros_manuales!$H$41="Todos",'Plan mensual'!H75,0)))*parametros_manuales!$I$41*parametros_manuales!$J$41</f>
        <v>3361.30400092</v>
      </c>
      <c r="G186" s="9" t="n">
        <f aca="false">(parametros_manuales!$D$41*('Plan mensual'!I68+IF(parametros_manuales!$H$41="Todos",'Plan mensual'!I72,0))+parametros_manuales!$E$41*('Plan mensual'!I69+IF(parametros_manuales!$H$41="Todos",'Plan mensual'!I73,0))+parametros_manuales!$F$41*('Plan mensual'!I70+IF(parametros_manuales!$H$41="Todos",'Plan mensual'!I74,0))+parametros_manuales!$G$41*('Plan mensual'!I71+IF(parametros_manuales!$H$41="Todos",'Plan mensual'!I75,0)))*parametros_manuales!$I$41*parametros_manuales!$J$41</f>
        <v>3240.177421375</v>
      </c>
      <c r="H186" s="9" t="n">
        <f aca="false">(parametros_manuales!$D$41*('Plan mensual'!J68+IF(parametros_manuales!$H$41="Todos",'Plan mensual'!J72,0))+parametros_manuales!$E$41*('Plan mensual'!J69+IF(parametros_manuales!$H$41="Todos",'Plan mensual'!J73,0))+parametros_manuales!$F$41*('Plan mensual'!J70+IF(parametros_manuales!$H$41="Todos",'Plan mensual'!J74,0))+parametros_manuales!$G$41*('Plan mensual'!J71+IF(parametros_manuales!$H$41="Todos",'Plan mensual'!J75,0)))*parametros_manuales!$I$41*parametros_manuales!$J$41</f>
        <v>3462.96676722</v>
      </c>
      <c r="I186" s="9" t="n">
        <f aca="false">(parametros_manuales!$D$41*('Plan mensual'!K68+IF(parametros_manuales!$H$41="Todos",'Plan mensual'!K72,0))+parametros_manuales!$E$41*('Plan mensual'!K69+IF(parametros_manuales!$H$41="Todos",'Plan mensual'!K73,0))+parametros_manuales!$F$41*('Plan mensual'!K70+IF(parametros_manuales!$H$41="Todos",'Plan mensual'!K74,0))+parametros_manuales!$G$41*('Plan mensual'!K71+IF(parametros_manuales!$H$41="Todos",'Plan mensual'!K75,0)))*parametros_manuales!$I$41*parametros_manuales!$J$41</f>
        <v>3462.96676722</v>
      </c>
      <c r="J186" s="9" t="n">
        <f aca="false">(parametros_manuales!$D$41*('Plan mensual'!L68+IF(parametros_manuales!$H$41="Todos",'Plan mensual'!L72,0))+parametros_manuales!$E$41*('Plan mensual'!L69+IF(parametros_manuales!$H$41="Todos",'Plan mensual'!L73,0))+parametros_manuales!$F$41*('Plan mensual'!L70+IF(parametros_manuales!$H$41="Todos",'Plan mensual'!L74,0))+parametros_manuales!$G$41*('Plan mensual'!L71+IF(parametros_manuales!$H$41="Todos",'Plan mensual'!L75,0)))*parametros_manuales!$I$41*parametros_manuales!$J$41</f>
        <v>3462.96676722</v>
      </c>
      <c r="K186" s="9" t="n">
        <f aca="false">(parametros_manuales!$D$41*('Plan mensual'!M68+IF(parametros_manuales!$H$41="Todos",'Plan mensual'!M72,0))+parametros_manuales!$E$41*('Plan mensual'!M69+IF(parametros_manuales!$H$41="Todos",'Plan mensual'!M73,0))+parametros_manuales!$F$41*('Plan mensual'!M70+IF(parametros_manuales!$H$41="Todos",'Plan mensual'!M74,0))+parametros_manuales!$G$41*('Plan mensual'!M71+IF(parametros_manuales!$H$41="Todos",'Plan mensual'!M75,0)))*parametros_manuales!$I$41*parametros_manuales!$J$41</f>
        <v>3341.840187675</v>
      </c>
      <c r="L186" s="9" t="n">
        <f aca="false">(parametros_manuales!$D$41*('Plan mensual'!N68+IF(parametros_manuales!$H$41="Todos",'Plan mensual'!N72,0))+parametros_manuales!$E$41*('Plan mensual'!N69+IF(parametros_manuales!$H$41="Todos",'Plan mensual'!N73,0))+parametros_manuales!$F$41*('Plan mensual'!N70+IF(parametros_manuales!$H$41="Todos",'Plan mensual'!N74,0))+parametros_manuales!$G$41*('Plan mensual'!N71+IF(parametros_manuales!$H$41="Todos",'Plan mensual'!N75,0)))*parametros_manuales!$I$41*parametros_manuales!$J$41</f>
        <v>3220.71360813</v>
      </c>
      <c r="M186" s="9" t="n">
        <f aca="false">(parametros_manuales!$D$41*('Plan mensual'!O68+IF(parametros_manuales!$H$41="Todos",'Plan mensual'!O72,0))+parametros_manuales!$E$41*('Plan mensual'!O69+IF(parametros_manuales!$H$41="Todos",'Plan mensual'!O73,0))+parametros_manuales!$F$41*('Plan mensual'!O70+IF(parametros_manuales!$H$41="Todos",'Plan mensual'!O74,0))+parametros_manuales!$G$41*('Plan mensual'!O71+IF(parametros_manuales!$H$41="Todos",'Plan mensual'!O75,0)))*parametros_manuales!$I$41*parametros_manuales!$J$41</f>
        <v>5104.69114119</v>
      </c>
      <c r="N186" s="9" t="n">
        <f aca="false">SUM(B186:M186)</f>
        <v>44557.869169</v>
      </c>
      <c r="O186" s="9" t="n">
        <f aca="false">MAX(B186:M186)</f>
        <v>5104.69114119</v>
      </c>
      <c r="P186" s="43" t="n">
        <f aca="false">O186/(parametros_manuales!$B$7)</f>
        <v>34.0312742746</v>
      </c>
      <c r="Q186" s="8" t="str">
        <f aca="false">IF(O186=0,"-",INDEX($B$163:$M$163,MATCH(O186,B186:M186,0)))</f>
        <v>Dic</v>
      </c>
    </row>
    <row r="187" customFormat="false" ht="14.25" hidden="false" customHeight="true" outlineLevel="0" collapsed="false">
      <c r="A187" s="8" t="str">
        <f aca="false">parametros_manuales!$B$42</f>
        <v>Etiquetado</v>
      </c>
      <c r="B187" s="9" t="n">
        <f aca="false">(parametros_manuales!$D$42*('Plan mensual'!D68+IF(parametros_manuales!$H$42="Todos",'Plan mensual'!D72,0))+parametros_manuales!$E$42*('Plan mensual'!D69+IF(parametros_manuales!$H$42="Todos",'Plan mensual'!D73,0))+parametros_manuales!$F$42*('Plan mensual'!D70+IF(parametros_manuales!$H$42="Todos",'Plan mensual'!D74,0))+parametros_manuales!$G$42*('Plan mensual'!D71+IF(parametros_manuales!$H$42="Todos",'Plan mensual'!D75,0)))*parametros_manuales!$I$42*parametros_manuales!$J$42</f>
        <v>4862.4379821</v>
      </c>
      <c r="C187" s="9" t="n">
        <f aca="false">(parametros_manuales!$D$42*('Plan mensual'!E68+IF(parametros_manuales!$H$42="Todos",'Plan mensual'!E72,0))+parametros_manuales!$E$42*('Plan mensual'!E69+IF(parametros_manuales!$H$42="Todos",'Plan mensual'!E73,0))+parametros_manuales!$F$42*('Plan mensual'!E70+IF(parametros_manuales!$H$42="Todos",'Plan mensual'!E74,0))+parametros_manuales!$G$42*('Plan mensual'!E71+IF(parametros_manuales!$H$42="Todos",'Plan mensual'!E75,0)))*parametros_manuales!$I$42*parametros_manuales!$J$42</f>
        <v>3767.95506612</v>
      </c>
      <c r="D187" s="9" t="n">
        <f aca="false">(parametros_manuales!$D$42*('Plan mensual'!F68+IF(parametros_manuales!$H$42="Todos",'Plan mensual'!F72,0))+parametros_manuales!$E$42*('Plan mensual'!F69+IF(parametros_manuales!$H$42="Todos",'Plan mensual'!F73,0))+parametros_manuales!$F$42*('Plan mensual'!F70+IF(parametros_manuales!$H$42="Todos",'Plan mensual'!F74,0))+parametros_manuales!$G$42*('Plan mensual'!F71+IF(parametros_manuales!$H$42="Todos",'Plan mensual'!F75,0)))*parametros_manuales!$I$42*parametros_manuales!$J$42</f>
        <v>3685.756113065</v>
      </c>
      <c r="E187" s="9" t="n">
        <f aca="false">(parametros_manuales!$D$42*('Plan mensual'!G68+IF(parametros_manuales!$H$42="Todos",'Plan mensual'!G72,0))+parametros_manuales!$E$42*('Plan mensual'!G69+IF(parametros_manuales!$H$42="Todos",'Plan mensual'!G73,0))+parametros_manuales!$F$42*('Plan mensual'!G70+IF(parametros_manuales!$H$42="Todos",'Plan mensual'!G74,0))+parametros_manuales!$G$42*('Plan mensual'!G71+IF(parametros_manuales!$H$42="Todos",'Plan mensual'!G75,0)))*parametros_manuales!$I$42*parametros_manuales!$J$42</f>
        <v>3584.093346765</v>
      </c>
      <c r="F187" s="9" t="n">
        <f aca="false">(parametros_manuales!$D$42*('Plan mensual'!H68+IF(parametros_manuales!$H$42="Todos",'Plan mensual'!H72,0))+parametros_manuales!$E$42*('Plan mensual'!H69+IF(parametros_manuales!$H$42="Todos",'Plan mensual'!H73,0))+parametros_manuales!$F$42*('Plan mensual'!H70+IF(parametros_manuales!$H$42="Todos",'Plan mensual'!H74,0))+parametros_manuales!$G$42*('Plan mensual'!H71+IF(parametros_manuales!$H$42="Todos",'Plan mensual'!H75,0)))*parametros_manuales!$I$42*parametros_manuales!$J$42</f>
        <v>3361.30400092</v>
      </c>
      <c r="G187" s="9" t="n">
        <f aca="false">(parametros_manuales!$D$42*('Plan mensual'!I68+IF(parametros_manuales!$H$42="Todos",'Plan mensual'!I72,0))+parametros_manuales!$E$42*('Plan mensual'!I69+IF(parametros_manuales!$H$42="Todos",'Plan mensual'!I73,0))+parametros_manuales!$F$42*('Plan mensual'!I70+IF(parametros_manuales!$H$42="Todos",'Plan mensual'!I74,0))+parametros_manuales!$G$42*('Plan mensual'!I71+IF(parametros_manuales!$H$42="Todos",'Plan mensual'!I75,0)))*parametros_manuales!$I$42*parametros_manuales!$J$42</f>
        <v>3240.177421375</v>
      </c>
      <c r="H187" s="9" t="n">
        <f aca="false">(parametros_manuales!$D$42*('Plan mensual'!J68+IF(parametros_manuales!$H$42="Todos",'Plan mensual'!J72,0))+parametros_manuales!$E$42*('Plan mensual'!J69+IF(parametros_manuales!$H$42="Todos",'Plan mensual'!J73,0))+parametros_manuales!$F$42*('Plan mensual'!J70+IF(parametros_manuales!$H$42="Todos",'Plan mensual'!J74,0))+parametros_manuales!$G$42*('Plan mensual'!J71+IF(parametros_manuales!$H$42="Todos",'Plan mensual'!J75,0)))*parametros_manuales!$I$42*parametros_manuales!$J$42</f>
        <v>3462.96676722</v>
      </c>
      <c r="I187" s="9" t="n">
        <f aca="false">(parametros_manuales!$D$42*('Plan mensual'!K68+IF(parametros_manuales!$H$42="Todos",'Plan mensual'!K72,0))+parametros_manuales!$E$42*('Plan mensual'!K69+IF(parametros_manuales!$H$42="Todos",'Plan mensual'!K73,0))+parametros_manuales!$F$42*('Plan mensual'!K70+IF(parametros_manuales!$H$42="Todos",'Plan mensual'!K74,0))+parametros_manuales!$G$42*('Plan mensual'!K71+IF(parametros_manuales!$H$42="Todos",'Plan mensual'!K75,0)))*parametros_manuales!$I$42*parametros_manuales!$J$42</f>
        <v>3462.96676722</v>
      </c>
      <c r="J187" s="9" t="n">
        <f aca="false">(parametros_manuales!$D$42*('Plan mensual'!L68+IF(parametros_manuales!$H$42="Todos",'Plan mensual'!L72,0))+parametros_manuales!$E$42*('Plan mensual'!L69+IF(parametros_manuales!$H$42="Todos",'Plan mensual'!L73,0))+parametros_manuales!$F$42*('Plan mensual'!L70+IF(parametros_manuales!$H$42="Todos",'Plan mensual'!L74,0))+parametros_manuales!$G$42*('Plan mensual'!L71+IF(parametros_manuales!$H$42="Todos",'Plan mensual'!L75,0)))*parametros_manuales!$I$42*parametros_manuales!$J$42</f>
        <v>3462.96676722</v>
      </c>
      <c r="K187" s="9" t="n">
        <f aca="false">(parametros_manuales!$D$42*('Plan mensual'!M68+IF(parametros_manuales!$H$42="Todos",'Plan mensual'!M72,0))+parametros_manuales!$E$42*('Plan mensual'!M69+IF(parametros_manuales!$H$42="Todos",'Plan mensual'!M73,0))+parametros_manuales!$F$42*('Plan mensual'!M70+IF(parametros_manuales!$H$42="Todos",'Plan mensual'!M74,0))+parametros_manuales!$G$42*('Plan mensual'!M71+IF(parametros_manuales!$H$42="Todos",'Plan mensual'!M75,0)))*parametros_manuales!$I$42*parametros_manuales!$J$42</f>
        <v>3341.840187675</v>
      </c>
      <c r="L187" s="9" t="n">
        <f aca="false">(parametros_manuales!$D$42*('Plan mensual'!N68+IF(parametros_manuales!$H$42="Todos",'Plan mensual'!N72,0))+parametros_manuales!$E$42*('Plan mensual'!N69+IF(parametros_manuales!$H$42="Todos",'Plan mensual'!N73,0))+parametros_manuales!$F$42*('Plan mensual'!N70+IF(parametros_manuales!$H$42="Todos",'Plan mensual'!N74,0))+parametros_manuales!$G$42*('Plan mensual'!N71+IF(parametros_manuales!$H$42="Todos",'Plan mensual'!N75,0)))*parametros_manuales!$I$42*parametros_manuales!$J$42</f>
        <v>3220.71360813</v>
      </c>
      <c r="M187" s="9" t="n">
        <f aca="false">(parametros_manuales!$D$42*('Plan mensual'!O68+IF(parametros_manuales!$H$42="Todos",'Plan mensual'!O72,0))+parametros_manuales!$E$42*('Plan mensual'!O69+IF(parametros_manuales!$H$42="Todos",'Plan mensual'!O73,0))+parametros_manuales!$F$42*('Plan mensual'!O70+IF(parametros_manuales!$H$42="Todos",'Plan mensual'!O74,0))+parametros_manuales!$G$42*('Plan mensual'!O71+IF(parametros_manuales!$H$42="Todos",'Plan mensual'!O75,0)))*parametros_manuales!$I$42*parametros_manuales!$J$42</f>
        <v>5104.69114119</v>
      </c>
      <c r="N187" s="9" t="n">
        <f aca="false">SUM(B187:M187)</f>
        <v>44557.869169</v>
      </c>
      <c r="O187" s="9" t="n">
        <f aca="false">MAX(B187:M187)</f>
        <v>5104.69114119</v>
      </c>
      <c r="P187" s="43" t="n">
        <f aca="false">O187/(parametros_manuales!$B$7)</f>
        <v>34.0312742746</v>
      </c>
      <c r="Q187" s="8" t="str">
        <f aca="false">IF(O187=0,"-",INDEX($B$163:$M$163,MATCH(O187,B187:M187,0)))</f>
        <v>Dic</v>
      </c>
    </row>
    <row r="188" customFormat="false" ht="14.25" hidden="false" customHeight="true" outlineLevel="0" collapsed="false">
      <c r="A188" s="8" t="str">
        <f aca="false">parametros_manuales!$B$43</f>
        <v>Embalaje y paletizado</v>
      </c>
      <c r="B188" s="9" t="n">
        <f aca="false">(parametros_manuales!$D$43*('Plan mensual'!D68+IF(parametros_manuales!$H$43="Todos",'Plan mensual'!D72,0))+parametros_manuales!$E$43*('Plan mensual'!D69+IF(parametros_manuales!$H$43="Todos",'Plan mensual'!D73,0))+parametros_manuales!$F$43*('Plan mensual'!D70+IF(parametros_manuales!$H$43="Todos",'Plan mensual'!D74,0))+parametros_manuales!$G$43*('Plan mensual'!D71+IF(parametros_manuales!$H$43="Todos",'Plan mensual'!D75,0)))*parametros_manuales!$I$43*parametros_manuales!$J$43</f>
        <v>19516.4339821</v>
      </c>
      <c r="C188" s="9" t="n">
        <f aca="false">(parametros_manuales!$D$43*('Plan mensual'!E68+IF(parametros_manuales!$H$43="Todos",'Plan mensual'!E72,0))+parametros_manuales!$E$43*('Plan mensual'!E69+IF(parametros_manuales!$H$43="Todos",'Plan mensual'!E73,0))+parametros_manuales!$F$43*('Plan mensual'!E70+IF(parametros_manuales!$H$43="Todos",'Plan mensual'!E74,0))+parametros_manuales!$G$43*('Plan mensual'!E71+IF(parametros_manuales!$H$43="Todos",'Plan mensual'!E75,0)))*parametros_manuales!$I$43*parametros_manuales!$J$43</f>
        <v>14883.10826612</v>
      </c>
      <c r="D188" s="9" t="n">
        <f aca="false">(parametros_manuales!$D$43*('Plan mensual'!F68+IF(parametros_manuales!$H$43="Todos",'Plan mensual'!F72,0))+parametros_manuales!$E$43*('Plan mensual'!F69+IF(parametros_manuales!$H$43="Todos",'Plan mensual'!F73,0))+parametros_manuales!$F$43*('Plan mensual'!F70+IF(parametros_manuales!$H$43="Todos",'Plan mensual'!F74,0))+parametros_manuales!$G$43*('Plan mensual'!F71+IF(parametros_manuales!$H$43="Todos",'Plan mensual'!F75,0)))*parametros_manuales!$I$43*parametros_manuales!$J$43</f>
        <v>13912.159513065</v>
      </c>
      <c r="E188" s="9" t="n">
        <f aca="false">(parametros_manuales!$D$43*('Plan mensual'!G68+IF(parametros_manuales!$H$43="Todos",'Plan mensual'!G72,0))+parametros_manuales!$E$43*('Plan mensual'!G69+IF(parametros_manuales!$H$43="Todos",'Plan mensual'!G73,0))+parametros_manuales!$F$43*('Plan mensual'!G70+IF(parametros_manuales!$H$43="Todos",'Plan mensual'!G74,0))+parametros_manuales!$G$43*('Plan mensual'!G71+IF(parametros_manuales!$H$43="Todos",'Plan mensual'!G75,0)))*parametros_manuales!$I$43*parametros_manuales!$J$43</f>
        <v>13303.793746765</v>
      </c>
      <c r="F188" s="9" t="n">
        <f aca="false">(parametros_manuales!$D$43*('Plan mensual'!H68+IF(parametros_manuales!$H$43="Todos",'Plan mensual'!H72,0))+parametros_manuales!$E$43*('Plan mensual'!H69+IF(parametros_manuales!$H$43="Todos",'Plan mensual'!H73,0))+parametros_manuales!$F$43*('Plan mensual'!H70+IF(parametros_manuales!$H$43="Todos",'Plan mensual'!H74,0))+parametros_manuales!$G$43*('Plan mensual'!H71+IF(parametros_manuales!$H$43="Todos",'Plan mensual'!H75,0)))*parametros_manuales!$I$43*parametros_manuales!$J$43</f>
        <v>12449.64520092</v>
      </c>
      <c r="G188" s="9" t="n">
        <f aca="false">(parametros_manuales!$D$43*('Plan mensual'!I68+IF(parametros_manuales!$H$43="Todos",'Plan mensual'!I72,0))+parametros_manuales!$E$43*('Plan mensual'!I69+IF(parametros_manuales!$H$43="Todos",'Plan mensual'!I73,0))+parametros_manuales!$F$43*('Plan mensual'!I70+IF(parametros_manuales!$H$43="Todos",'Plan mensual'!I74,0))+parametros_manuales!$G$43*('Plan mensual'!I71+IF(parametros_manuales!$H$43="Todos",'Plan mensual'!I75,0)))*parametros_manuales!$I$43*parametros_manuales!$J$43</f>
        <v>12203.862421375</v>
      </c>
      <c r="H188" s="9" t="n">
        <f aca="false">(parametros_manuales!$D$43*('Plan mensual'!J68+IF(parametros_manuales!$H$43="Todos",'Plan mensual'!J72,0))+parametros_manuales!$E$43*('Plan mensual'!J69+IF(parametros_manuales!$H$43="Todos",'Plan mensual'!J73,0))+parametros_manuales!$F$43*('Plan mensual'!J70+IF(parametros_manuales!$H$43="Todos",'Plan mensual'!J74,0))+parametros_manuales!$G$43*('Plan mensual'!J71+IF(parametros_manuales!$H$43="Todos",'Plan mensual'!J75,0)))*parametros_manuales!$I$43*parametros_manuales!$J$43</f>
        <v>13058.01096722</v>
      </c>
      <c r="I188" s="9" t="n">
        <f aca="false">(parametros_manuales!$D$43*('Plan mensual'!K68+IF(parametros_manuales!$H$43="Todos",'Plan mensual'!K72,0))+parametros_manuales!$E$43*('Plan mensual'!K69+IF(parametros_manuales!$H$43="Todos",'Plan mensual'!K73,0))+parametros_manuales!$F$43*('Plan mensual'!K70+IF(parametros_manuales!$H$43="Todos",'Plan mensual'!K74,0))+parametros_manuales!$G$43*('Plan mensual'!K71+IF(parametros_manuales!$H$43="Todos",'Plan mensual'!K75,0)))*parametros_manuales!$I$43*parametros_manuales!$J$43</f>
        <v>13058.01096722</v>
      </c>
      <c r="J188" s="9" t="n">
        <f aca="false">(parametros_manuales!$D$43*('Plan mensual'!L68+IF(parametros_manuales!$H$43="Todos",'Plan mensual'!L72,0))+parametros_manuales!$E$43*('Plan mensual'!L69+IF(parametros_manuales!$H$43="Todos",'Plan mensual'!L73,0))+parametros_manuales!$F$43*('Plan mensual'!L70+IF(parametros_manuales!$H$43="Todos",'Plan mensual'!L74,0))+parametros_manuales!$G$43*('Plan mensual'!L71+IF(parametros_manuales!$H$43="Todos",'Plan mensual'!L75,0)))*parametros_manuales!$I$43*parametros_manuales!$J$43</f>
        <v>13058.01096722</v>
      </c>
      <c r="K188" s="9" t="n">
        <f aca="false">(parametros_manuales!$D$43*('Plan mensual'!M68+IF(parametros_manuales!$H$43="Todos",'Plan mensual'!M72,0))+parametros_manuales!$E$43*('Plan mensual'!M69+IF(parametros_manuales!$H$43="Todos",'Plan mensual'!M73,0))+parametros_manuales!$F$43*('Plan mensual'!M70+IF(parametros_manuales!$H$43="Todos",'Plan mensual'!M74,0))+parametros_manuales!$G$43*('Plan mensual'!M71+IF(parametros_manuales!$H$43="Todos",'Plan mensual'!M75,0)))*parametros_manuales!$I$43*parametros_manuales!$J$43</f>
        <v>12812.228187675</v>
      </c>
      <c r="L188" s="9" t="n">
        <f aca="false">(parametros_manuales!$D$43*('Plan mensual'!N68+IF(parametros_manuales!$H$43="Todos",'Plan mensual'!N72,0))+parametros_manuales!$E$43*('Plan mensual'!N69+IF(parametros_manuales!$H$43="Todos",'Plan mensual'!N73,0))+parametros_manuales!$F$43*('Plan mensual'!N70+IF(parametros_manuales!$H$43="Todos",'Plan mensual'!N74,0))+parametros_manuales!$G$43*('Plan mensual'!N71+IF(parametros_manuales!$H$43="Todos",'Plan mensual'!N75,0)))*parametros_manuales!$I$43*parametros_manuales!$J$43</f>
        <v>12566.44540813</v>
      </c>
      <c r="M188" s="9" t="n">
        <f aca="false">(parametros_manuales!$D$43*('Plan mensual'!O68+IF(parametros_manuales!$H$43="Todos",'Plan mensual'!O72,0))+parametros_manuales!$E$43*('Plan mensual'!O69+IF(parametros_manuales!$H$43="Todos",'Plan mensual'!O73,0))+parametros_manuales!$F$43*('Plan mensual'!O70+IF(parametros_manuales!$H$43="Todos",'Plan mensual'!O74,0))+parametros_manuales!$G$43*('Plan mensual'!O71+IF(parametros_manuales!$H$43="Todos",'Plan mensual'!O75,0)))*parametros_manuales!$I$43*parametros_manuales!$J$43</f>
        <v>20007.99954119</v>
      </c>
      <c r="N188" s="9" t="n">
        <f aca="false">SUM(B188:M188)</f>
        <v>170829.709169</v>
      </c>
      <c r="O188" s="9" t="n">
        <f aca="false">MAX(B188:M188)</f>
        <v>20007.99954119</v>
      </c>
      <c r="P188" s="43" t="n">
        <f aca="false">O188/(parametros_manuales!$B$7)</f>
        <v>133.386663607933</v>
      </c>
      <c r="Q188" s="8" t="str">
        <f aca="false">IF(O188=0,"-",INDEX($B$163:$M$163,MATCH(O188,B188:M188,0)))</f>
        <v>Dic</v>
      </c>
    </row>
    <row r="189" customFormat="false" ht="14.25" hidden="false" customHeight="true" outlineLevel="0" collapsed="false"/>
    <row r="190" customFormat="false" ht="14.25" hidden="false" customHeight="true" outlineLevel="0" collapsed="false">
      <c r="A190" s="7" t="s">
        <v>197</v>
      </c>
      <c r="B190" s="7" t="s">
        <v>61</v>
      </c>
      <c r="C190" s="7" t="s">
        <v>62</v>
      </c>
      <c r="D190" s="7" t="s">
        <v>63</v>
      </c>
      <c r="E190" s="7" t="s">
        <v>64</v>
      </c>
      <c r="F190" s="7" t="s">
        <v>65</v>
      </c>
      <c r="G190" s="7" t="s">
        <v>66</v>
      </c>
      <c r="H190" s="7" t="s">
        <v>67</v>
      </c>
      <c r="I190" s="7" t="s">
        <v>68</v>
      </c>
      <c r="J190" s="7" t="s">
        <v>69</v>
      </c>
      <c r="K190" s="7" t="s">
        <v>70</v>
      </c>
      <c r="L190" s="7" t="s">
        <v>71</v>
      </c>
      <c r="M190" s="7" t="s">
        <v>72</v>
      </c>
      <c r="N190" s="7" t="s">
        <v>183</v>
      </c>
      <c r="O190" s="7" t="s">
        <v>188</v>
      </c>
      <c r="P190" s="7" t="s">
        <v>189</v>
      </c>
      <c r="Q190" s="7" t="s">
        <v>190</v>
      </c>
    </row>
    <row r="191" customFormat="false" ht="14.25" hidden="false" customHeight="true" outlineLevel="0" collapsed="false">
      <c r="A191" s="8" t="str">
        <f aca="false">parametros_manuales!$B$19</f>
        <v>Recepción de materia prima</v>
      </c>
      <c r="B191" s="9" t="n">
        <f aca="false">(parametros_manuales!$D$19*('Plan mensual'!D79+IF(parametros_manuales!$H$19="Todos",'Plan mensual'!D83,0))+parametros_manuales!$E$19*('Plan mensual'!D80+IF(parametros_manuales!$H$19="Todos",'Plan mensual'!D84,0))+parametros_manuales!$F$19*('Plan mensual'!D81+IF(parametros_manuales!$H$19="Todos",'Plan mensual'!D85,0))+parametros_manuales!$G$19*('Plan mensual'!D82+IF(parametros_manuales!$H$19="Todos",'Plan mensual'!D86,0)))*parametros_manuales!$I$19*parametros_manuales!$J$19</f>
        <v>24945.9511945</v>
      </c>
      <c r="C191" s="9" t="n">
        <f aca="false">(parametros_manuales!$D$19*('Plan mensual'!E79+IF(parametros_manuales!$H$19="Todos",'Plan mensual'!E83,0))+parametros_manuales!$E$19*('Plan mensual'!E80+IF(parametros_manuales!$H$19="Todos",'Plan mensual'!E84,0))+parametros_manuales!$F$19*('Plan mensual'!E81+IF(parametros_manuales!$H$19="Todos",'Plan mensual'!E85,0))+parametros_manuales!$G$19*('Plan mensual'!E82+IF(parametros_manuales!$H$19="Todos",'Plan mensual'!E86,0)))*parametros_manuales!$I$19*parametros_manuales!$J$19</f>
        <v>19019.96248472</v>
      </c>
      <c r="D191" s="9" t="n">
        <f aca="false">(parametros_manuales!$D$19*('Plan mensual'!F79+IF(parametros_manuales!$H$19="Todos",'Plan mensual'!F83,0))+parametros_manuales!$E$19*('Plan mensual'!F80+IF(parametros_manuales!$H$19="Todos",'Plan mensual'!F84,0))+parametros_manuales!$F$19*('Plan mensual'!F81+IF(parametros_manuales!$H$19="Todos",'Plan mensual'!F85,0))+parametros_manuales!$G$19*('Plan mensual'!F82+IF(parametros_manuales!$H$19="Todos",'Plan mensual'!F86,0)))*parametros_manuales!$I$19*parametros_manuales!$J$19</f>
        <v>17769.130788765</v>
      </c>
      <c r="E191" s="9" t="n">
        <f aca="false">(parametros_manuales!$D$19*('Plan mensual'!G79+IF(parametros_manuales!$H$19="Todos",'Plan mensual'!G83,0))+parametros_manuales!$E$19*('Plan mensual'!G80+IF(parametros_manuales!$H$19="Todos",'Plan mensual'!G84,0))+parametros_manuales!$F$19*('Plan mensual'!G81+IF(parametros_manuales!$H$19="Todos",'Plan mensual'!G85,0))+parametros_manuales!$G$19*('Plan mensual'!G82+IF(parametros_manuales!$H$19="Todos",'Plan mensual'!G86,0)))*parametros_manuales!$I$19*parametros_manuales!$J$19</f>
        <v>16988.465396365</v>
      </c>
      <c r="F191" s="9" t="n">
        <f aca="false">(parametros_manuales!$D$19*('Plan mensual'!H79+IF(parametros_manuales!$H$19="Todos",'Plan mensual'!H83,0))+parametros_manuales!$E$19*('Plan mensual'!H80+IF(parametros_manuales!$H$19="Todos",'Plan mensual'!H84,0))+parametros_manuales!$F$19*('Plan mensual'!H81+IF(parametros_manuales!$H$19="Todos",'Plan mensual'!H85,0))+parametros_manuales!$G$19*('Plan mensual'!H82+IF(parametros_manuales!$H$19="Todos",'Plan mensual'!H86,0)))*parametros_manuales!$I$19*parametros_manuales!$J$19</f>
        <v>15897.30091512</v>
      </c>
      <c r="G191" s="9" t="n">
        <f aca="false">(parametros_manuales!$D$19*('Plan mensual'!I79+IF(parametros_manuales!$H$19="Todos",'Plan mensual'!I83,0))+parametros_manuales!$E$19*('Plan mensual'!I80+IF(parametros_manuales!$H$19="Todos",'Plan mensual'!I84,0))+parametros_manuales!$F$19*('Plan mensual'!I81+IF(parametros_manuales!$H$19="Todos",'Plan mensual'!I85,0))+parametros_manuales!$G$19*('Plan mensual'!I82+IF(parametros_manuales!$H$19="Todos",'Plan mensual'!I86,0)))*parametros_manuales!$I$19*parametros_manuales!$J$19</f>
        <v>15586.801826275</v>
      </c>
      <c r="H191" s="9" t="n">
        <f aca="false">(parametros_manuales!$D$19*('Plan mensual'!J79+IF(parametros_manuales!$H$19="Todos",'Plan mensual'!J83,0))+parametros_manuales!$E$19*('Plan mensual'!J80+IF(parametros_manuales!$H$19="Todos",'Plan mensual'!J84,0))+parametros_manuales!$F$19*('Plan mensual'!J81+IF(parametros_manuales!$H$19="Todos",'Plan mensual'!J85,0))+parametros_manuales!$G$19*('Plan mensual'!J82+IF(parametros_manuales!$H$19="Todos",'Plan mensual'!J86,0)))*parametros_manuales!$I$19*parametros_manuales!$J$19</f>
        <v>16677.96630752</v>
      </c>
      <c r="I191" s="9" t="n">
        <f aca="false">(parametros_manuales!$D$19*('Plan mensual'!K79+IF(parametros_manuales!$H$19="Todos",'Plan mensual'!K83,0))+parametros_manuales!$E$19*('Plan mensual'!K80+IF(parametros_manuales!$H$19="Todos",'Plan mensual'!K84,0))+parametros_manuales!$F$19*('Plan mensual'!K81+IF(parametros_manuales!$H$19="Todos",'Plan mensual'!K85,0))+parametros_manuales!$G$19*('Plan mensual'!K82+IF(parametros_manuales!$H$19="Todos",'Plan mensual'!K86,0)))*parametros_manuales!$I$19*parametros_manuales!$J$19</f>
        <v>16677.96630752</v>
      </c>
      <c r="J191" s="9" t="n">
        <f aca="false">(parametros_manuales!$D$19*('Plan mensual'!L79+IF(parametros_manuales!$H$19="Todos",'Plan mensual'!L83,0))+parametros_manuales!$E$19*('Plan mensual'!L80+IF(parametros_manuales!$H$19="Todos",'Plan mensual'!L84,0))+parametros_manuales!$F$19*('Plan mensual'!L81+IF(parametros_manuales!$H$19="Todos",'Plan mensual'!L85,0))+parametros_manuales!$G$19*('Plan mensual'!L82+IF(parametros_manuales!$H$19="Todos",'Plan mensual'!L86,0)))*parametros_manuales!$I$19*parametros_manuales!$J$19</f>
        <v>16677.96630752</v>
      </c>
      <c r="K191" s="9" t="n">
        <f aca="false">(parametros_manuales!$D$19*('Plan mensual'!M79+IF(parametros_manuales!$H$19="Todos",'Plan mensual'!M83,0))+parametros_manuales!$E$19*('Plan mensual'!M80+IF(parametros_manuales!$H$19="Todos",'Plan mensual'!M84,0))+parametros_manuales!$F$19*('Plan mensual'!M81+IF(parametros_manuales!$H$19="Todos",'Plan mensual'!M85,0))+parametros_manuales!$G$19*('Plan mensual'!M82+IF(parametros_manuales!$H$19="Todos",'Plan mensual'!M86,0)))*parametros_manuales!$I$19*parametros_manuales!$J$19</f>
        <v>16367.467218675</v>
      </c>
      <c r="L191" s="9" t="n">
        <f aca="false">(parametros_manuales!$D$19*('Plan mensual'!N79+IF(parametros_manuales!$H$19="Todos",'Plan mensual'!N83,0))+parametros_manuales!$E$19*('Plan mensual'!N80+IF(parametros_manuales!$H$19="Todos",'Plan mensual'!N84,0))+parametros_manuales!$F$19*('Plan mensual'!N81+IF(parametros_manuales!$H$19="Todos",'Plan mensual'!N85,0))+parametros_manuales!$G$19*('Plan mensual'!N82+IF(parametros_manuales!$H$19="Todos",'Plan mensual'!N86,0)))*parametros_manuales!$I$19*parametros_manuales!$J$19</f>
        <v>16056.96812983</v>
      </c>
      <c r="M191" s="9" t="n">
        <f aca="false">(parametros_manuales!$D$19*('Plan mensual'!O79+IF(parametros_manuales!$H$19="Todos",'Plan mensual'!O83,0))+parametros_manuales!$E$19*('Plan mensual'!O80+IF(parametros_manuales!$H$19="Todos",'Plan mensual'!O84,0))+parametros_manuales!$F$19*('Plan mensual'!O81+IF(parametros_manuales!$H$19="Todos",'Plan mensual'!O85,0))+parametros_manuales!$G$19*('Plan mensual'!O82+IF(parametros_manuales!$H$19="Todos",'Plan mensual'!O86,0)))*parametros_manuales!$I$19*parametros_manuales!$J$19</f>
        <v>25566.94937219</v>
      </c>
      <c r="N191" s="9" t="n">
        <f aca="false">SUM(B191:M191)</f>
        <v>218232.896249</v>
      </c>
      <c r="O191" s="9" t="n">
        <f aca="false">MAX(B191:M191)</f>
        <v>25566.94937219</v>
      </c>
      <c r="P191" s="43" t="n">
        <f aca="false">O191/(parametros_manuales!$B$7)</f>
        <v>170.446329147933</v>
      </c>
      <c r="Q191" s="8" t="str">
        <f aca="false">IF(O191=0,"-",INDEX($B$190:$M$190,MATCH(O191,B191:M191,0)))</f>
        <v>Dic</v>
      </c>
    </row>
    <row r="192" customFormat="false" ht="14.25" hidden="false" customHeight="true" outlineLevel="0" collapsed="false">
      <c r="A192" s="8" t="str">
        <f aca="false">parametros_manuales!$B$20</f>
        <v>Corte de chapa (guillotina) — 2,5 a 10 kg</v>
      </c>
      <c r="B192" s="9" t="n">
        <f aca="false">(parametros_manuales!$D$20*('Plan mensual'!D79+IF(parametros_manuales!$H$20="Todos",'Plan mensual'!D83,0))+parametros_manuales!$E$20*('Plan mensual'!D80+IF(parametros_manuales!$H$20="Todos",'Plan mensual'!D84,0))+parametros_manuales!$F$20*('Plan mensual'!D81+IF(parametros_manuales!$H$20="Todos",'Plan mensual'!D85,0))+parametros_manuales!$G$20*('Plan mensual'!D82+IF(parametros_manuales!$H$20="Todos",'Plan mensual'!D86,0)))*parametros_manuales!$I$20*parametros_manuales!$J$20</f>
        <v>6209.9817769</v>
      </c>
      <c r="C192" s="9" t="n">
        <f aca="false">(parametros_manuales!$D$20*('Plan mensual'!E79+IF(parametros_manuales!$H$20="Todos",'Plan mensual'!E83,0))+parametros_manuales!$E$20*('Plan mensual'!E80+IF(parametros_manuales!$H$20="Todos",'Plan mensual'!E84,0))+parametros_manuales!$F$20*('Plan mensual'!E81+IF(parametros_manuales!$H$20="Todos",'Plan mensual'!E85,0))+parametros_manuales!$G$20*('Plan mensual'!E82+IF(parametros_manuales!$H$20="Todos",'Plan mensual'!E86,0)))*parametros_manuales!$I$20*parametros_manuales!$J$20</f>
        <v>4967.98542152</v>
      </c>
      <c r="D192" s="9" t="n">
        <f aca="false">(parametros_manuales!$D$20*('Plan mensual'!F79+IF(parametros_manuales!$H$20="Todos",'Plan mensual'!F83,0))+parametros_manuales!$E$20*('Plan mensual'!F80+IF(parametros_manuales!$H$20="Todos",'Plan mensual'!F84,0))+parametros_manuales!$F$20*('Plan mensual'!F81+IF(parametros_manuales!$H$20="Todos",'Plan mensual'!F85,0))+parametros_manuales!$G$20*('Plan mensual'!F82+IF(parametros_manuales!$H$20="Todos",'Plan mensual'!F86,0)))*parametros_manuales!$I$20*parametros_manuales!$J$20</f>
        <v>5278.484510365</v>
      </c>
      <c r="E192" s="9" t="n">
        <f aca="false">(parametros_manuales!$D$20*('Plan mensual'!G79+IF(parametros_manuales!$H$20="Todos",'Plan mensual'!G83,0))+parametros_manuales!$E$20*('Plan mensual'!G80+IF(parametros_manuales!$H$20="Todos",'Plan mensual'!G84,0))+parametros_manuales!$F$20*('Plan mensual'!G81+IF(parametros_manuales!$H$20="Todos",'Plan mensual'!G85,0))+parametros_manuales!$G$20*('Plan mensual'!G82+IF(parametros_manuales!$H$20="Todos",'Plan mensual'!G86,0)))*parametros_manuales!$I$20*parametros_manuales!$J$20</f>
        <v>5278.484510365</v>
      </c>
      <c r="F192" s="9" t="n">
        <f aca="false">(parametros_manuales!$D$20*('Plan mensual'!H79+IF(parametros_manuales!$H$20="Todos",'Plan mensual'!H83,0))+parametros_manuales!$E$20*('Plan mensual'!H80+IF(parametros_manuales!$H$20="Todos",'Plan mensual'!H84,0))+parametros_manuales!$F$20*('Plan mensual'!H81+IF(parametros_manuales!$H$20="Todos",'Plan mensual'!H85,0))+parametros_manuales!$G$20*('Plan mensual'!H82+IF(parametros_manuales!$H$20="Todos",'Plan mensual'!H86,0)))*parametros_manuales!$I$20*parametros_manuales!$J$20</f>
        <v>4967.98542152</v>
      </c>
      <c r="G192" s="9" t="n">
        <f aca="false">(parametros_manuales!$D$20*('Plan mensual'!I79+IF(parametros_manuales!$H$20="Todos",'Plan mensual'!I83,0))+parametros_manuales!$E$20*('Plan mensual'!I80+IF(parametros_manuales!$H$20="Todos",'Plan mensual'!I84,0))+parametros_manuales!$F$20*('Plan mensual'!I81+IF(parametros_manuales!$H$20="Todos",'Plan mensual'!I85,0))+parametros_manuales!$G$20*('Plan mensual'!I82+IF(parametros_manuales!$H$20="Todos",'Plan mensual'!I86,0)))*parametros_manuales!$I$20*parametros_manuales!$J$20</f>
        <v>4657.486332675</v>
      </c>
      <c r="H192" s="9" t="n">
        <f aca="false">(parametros_manuales!$D$20*('Plan mensual'!J79+IF(parametros_manuales!$H$20="Todos",'Plan mensual'!J83,0))+parametros_manuales!$E$20*('Plan mensual'!J80+IF(parametros_manuales!$H$20="Todos",'Plan mensual'!J84,0))+parametros_manuales!$F$20*('Plan mensual'!J81+IF(parametros_manuales!$H$20="Todos",'Plan mensual'!J85,0))+parametros_manuales!$G$20*('Plan mensual'!J82+IF(parametros_manuales!$H$20="Todos",'Plan mensual'!J86,0)))*parametros_manuales!$I$20*parametros_manuales!$J$20</f>
        <v>4967.98542152</v>
      </c>
      <c r="I192" s="9" t="n">
        <f aca="false">(parametros_manuales!$D$20*('Plan mensual'!K79+IF(parametros_manuales!$H$20="Todos",'Plan mensual'!K83,0))+parametros_manuales!$E$20*('Plan mensual'!K80+IF(parametros_manuales!$H$20="Todos",'Plan mensual'!K84,0))+parametros_manuales!$F$20*('Plan mensual'!K81+IF(parametros_manuales!$H$20="Todos",'Plan mensual'!K85,0))+parametros_manuales!$G$20*('Plan mensual'!K82+IF(parametros_manuales!$H$20="Todos",'Plan mensual'!K86,0)))*parametros_manuales!$I$20*parametros_manuales!$J$20</f>
        <v>4967.98542152</v>
      </c>
      <c r="J192" s="9" t="n">
        <f aca="false">(parametros_manuales!$D$20*('Plan mensual'!L79+IF(parametros_manuales!$H$20="Todos",'Plan mensual'!L83,0))+parametros_manuales!$E$20*('Plan mensual'!L80+IF(parametros_manuales!$H$20="Todos",'Plan mensual'!L84,0))+parametros_manuales!$F$20*('Plan mensual'!L81+IF(parametros_manuales!$H$20="Todos",'Plan mensual'!L85,0))+parametros_manuales!$G$20*('Plan mensual'!L82+IF(parametros_manuales!$H$20="Todos",'Plan mensual'!L86,0)))*parametros_manuales!$I$20*parametros_manuales!$J$20</f>
        <v>4967.98542152</v>
      </c>
      <c r="K192" s="9" t="n">
        <f aca="false">(parametros_manuales!$D$20*('Plan mensual'!M79+IF(parametros_manuales!$H$20="Todos",'Plan mensual'!M83,0))+parametros_manuales!$E$20*('Plan mensual'!M80+IF(parametros_manuales!$H$20="Todos",'Plan mensual'!M84,0))+parametros_manuales!$F$20*('Plan mensual'!M81+IF(parametros_manuales!$H$20="Todos",'Plan mensual'!M85,0))+parametros_manuales!$G$20*('Plan mensual'!M82+IF(parametros_manuales!$H$20="Todos",'Plan mensual'!M86,0)))*parametros_manuales!$I$20*parametros_manuales!$J$20</f>
        <v>4657.486332675</v>
      </c>
      <c r="L192" s="9" t="n">
        <f aca="false">(parametros_manuales!$D$20*('Plan mensual'!N79+IF(parametros_manuales!$H$20="Todos",'Plan mensual'!N83,0))+parametros_manuales!$E$20*('Plan mensual'!N80+IF(parametros_manuales!$H$20="Todos",'Plan mensual'!N84,0))+parametros_manuales!$F$20*('Plan mensual'!N81+IF(parametros_manuales!$H$20="Todos",'Plan mensual'!N85,0))+parametros_manuales!$G$20*('Plan mensual'!N82+IF(parametros_manuales!$H$20="Todos",'Plan mensual'!N86,0)))*parametros_manuales!$I$20*parametros_manuales!$J$20</f>
        <v>4346.98724383</v>
      </c>
      <c r="M192" s="9" t="n">
        <f aca="false">(parametros_manuales!$D$20*('Plan mensual'!O79+IF(parametros_manuales!$H$20="Todos",'Plan mensual'!O83,0))+parametros_manuales!$E$20*('Plan mensual'!O80+IF(parametros_manuales!$H$20="Todos",'Plan mensual'!O84,0))+parametros_manuales!$F$20*('Plan mensual'!O81+IF(parametros_manuales!$H$20="Todos",'Plan mensual'!O85,0))+parametros_manuales!$G$20*('Plan mensual'!O82+IF(parametros_manuales!$H$20="Todos",'Plan mensual'!O86,0)))*parametros_manuales!$I$20*parametros_manuales!$J$20</f>
        <v>6830.97995459</v>
      </c>
      <c r="N192" s="9" t="n">
        <f aca="false">SUM(B192:M192)</f>
        <v>62099.817769</v>
      </c>
      <c r="O192" s="9" t="n">
        <f aca="false">MAX(B192:M192)</f>
        <v>6830.97995459</v>
      </c>
      <c r="P192" s="43" t="n">
        <f aca="false">O192/(parametros_manuales!$B$7)</f>
        <v>45.5398663639333</v>
      </c>
      <c r="Q192" s="8" t="str">
        <f aca="false">IF(O192=0,"-",INDEX($B$190:$M$190,MATCH(O192,B192:M192,0)))</f>
        <v>Dic</v>
      </c>
    </row>
    <row r="193" customFormat="false" ht="14.25" hidden="false" customHeight="true" outlineLevel="0" collapsed="false">
      <c r="A193" s="8" t="str">
        <f aca="false">parametros_manuales!$B$21</f>
        <v>Corte de tubo — 1 kg</v>
      </c>
      <c r="B193" s="9" t="n">
        <f aca="false">(parametros_manuales!$D$21*('Plan mensual'!D79+IF(parametros_manuales!$H$21="Todos",'Plan mensual'!D83,0))+parametros_manuales!$E$21*('Plan mensual'!D80+IF(parametros_manuales!$H$21="Todos",'Plan mensual'!D84,0))+parametros_manuales!$F$21*('Plan mensual'!D81+IF(parametros_manuales!$H$21="Todos",'Plan mensual'!D85,0))+parametros_manuales!$G$21*('Plan mensual'!D82+IF(parametros_manuales!$H$21="Todos",'Plan mensual'!D86,0)))*parametros_manuales!$I$21*parametros_manuales!$J$21</f>
        <v>18735.9694176</v>
      </c>
      <c r="C193" s="9" t="n">
        <f aca="false">(parametros_manuales!$D$21*('Plan mensual'!E79+IF(parametros_manuales!$H$21="Todos",'Plan mensual'!E83,0))+parametros_manuales!$E$21*('Plan mensual'!E80+IF(parametros_manuales!$H$21="Todos",'Plan mensual'!E84,0))+parametros_manuales!$F$21*('Plan mensual'!E81+IF(parametros_manuales!$H$21="Todos",'Plan mensual'!E85,0))+parametros_manuales!$G$21*('Plan mensual'!E82+IF(parametros_manuales!$H$21="Todos",'Plan mensual'!E86,0)))*parametros_manuales!$I$21*parametros_manuales!$J$21</f>
        <v>14051.9770632</v>
      </c>
      <c r="D193" s="9" t="n">
        <f aca="false">(parametros_manuales!$D$21*('Plan mensual'!F79+IF(parametros_manuales!$H$21="Todos",'Plan mensual'!F83,0))+parametros_manuales!$E$21*('Plan mensual'!F80+IF(parametros_manuales!$H$21="Todos",'Plan mensual'!F84,0))+parametros_manuales!$F$21*('Plan mensual'!F81+IF(parametros_manuales!$H$21="Todos",'Plan mensual'!F85,0))+parametros_manuales!$G$21*('Plan mensual'!F82+IF(parametros_manuales!$H$21="Todos",'Plan mensual'!F86,0)))*parametros_manuales!$I$21*parametros_manuales!$J$21</f>
        <v>12490.6462784</v>
      </c>
      <c r="E193" s="9" t="n">
        <f aca="false">(parametros_manuales!$D$21*('Plan mensual'!G79+IF(parametros_manuales!$H$21="Todos",'Plan mensual'!G83,0))+parametros_manuales!$E$21*('Plan mensual'!G80+IF(parametros_manuales!$H$21="Todos",'Plan mensual'!G84,0))+parametros_manuales!$F$21*('Plan mensual'!G81+IF(parametros_manuales!$H$21="Todos",'Plan mensual'!G85,0))+parametros_manuales!$G$21*('Plan mensual'!G82+IF(parametros_manuales!$H$21="Todos",'Plan mensual'!G86,0)))*parametros_manuales!$I$21*parametros_manuales!$J$21</f>
        <v>11709.980886</v>
      </c>
      <c r="F193" s="9" t="n">
        <f aca="false">(parametros_manuales!$D$21*('Plan mensual'!H79+IF(parametros_manuales!$H$21="Todos",'Plan mensual'!H83,0))+parametros_manuales!$E$21*('Plan mensual'!H80+IF(parametros_manuales!$H$21="Todos",'Plan mensual'!H84,0))+parametros_manuales!$F$21*('Plan mensual'!H81+IF(parametros_manuales!$H$21="Todos",'Plan mensual'!H85,0))+parametros_manuales!$G$21*('Plan mensual'!H82+IF(parametros_manuales!$H$21="Todos",'Plan mensual'!H86,0)))*parametros_manuales!$I$21*parametros_manuales!$J$21</f>
        <v>10929.3154936</v>
      </c>
      <c r="G193" s="9" t="n">
        <f aca="false">(parametros_manuales!$D$21*('Plan mensual'!I79+IF(parametros_manuales!$H$21="Todos",'Plan mensual'!I83,0))+parametros_manuales!$E$21*('Plan mensual'!I80+IF(parametros_manuales!$H$21="Todos",'Plan mensual'!I84,0))+parametros_manuales!$F$21*('Plan mensual'!I81+IF(parametros_manuales!$H$21="Todos",'Plan mensual'!I85,0))+parametros_manuales!$G$21*('Plan mensual'!I82+IF(parametros_manuales!$H$21="Todos",'Plan mensual'!I86,0)))*parametros_manuales!$I$21*parametros_manuales!$J$21</f>
        <v>10929.3154936</v>
      </c>
      <c r="H193" s="9" t="n">
        <f aca="false">(parametros_manuales!$D$21*('Plan mensual'!J79+IF(parametros_manuales!$H$21="Todos",'Plan mensual'!J83,0))+parametros_manuales!$E$21*('Plan mensual'!J80+IF(parametros_manuales!$H$21="Todos",'Plan mensual'!J84,0))+parametros_manuales!$F$21*('Plan mensual'!J81+IF(parametros_manuales!$H$21="Todos",'Plan mensual'!J85,0))+parametros_manuales!$G$21*('Plan mensual'!J82+IF(parametros_manuales!$H$21="Todos",'Plan mensual'!J86,0)))*parametros_manuales!$I$21*parametros_manuales!$J$21</f>
        <v>11709.980886</v>
      </c>
      <c r="I193" s="9" t="n">
        <f aca="false">(parametros_manuales!$D$21*('Plan mensual'!K79+IF(parametros_manuales!$H$21="Todos",'Plan mensual'!K83,0))+parametros_manuales!$E$21*('Plan mensual'!K80+IF(parametros_manuales!$H$21="Todos",'Plan mensual'!K84,0))+parametros_manuales!$F$21*('Plan mensual'!K81+IF(parametros_manuales!$H$21="Todos",'Plan mensual'!K85,0))+parametros_manuales!$G$21*('Plan mensual'!K82+IF(parametros_manuales!$H$21="Todos",'Plan mensual'!K86,0)))*parametros_manuales!$I$21*parametros_manuales!$J$21</f>
        <v>11709.980886</v>
      </c>
      <c r="J193" s="9" t="n">
        <f aca="false">(parametros_manuales!$D$21*('Plan mensual'!L79+IF(parametros_manuales!$H$21="Todos",'Plan mensual'!L83,0))+parametros_manuales!$E$21*('Plan mensual'!L80+IF(parametros_manuales!$H$21="Todos",'Plan mensual'!L84,0))+parametros_manuales!$F$21*('Plan mensual'!L81+IF(parametros_manuales!$H$21="Todos",'Plan mensual'!L85,0))+parametros_manuales!$G$21*('Plan mensual'!L82+IF(parametros_manuales!$H$21="Todos",'Plan mensual'!L86,0)))*parametros_manuales!$I$21*parametros_manuales!$J$21</f>
        <v>11709.980886</v>
      </c>
      <c r="K193" s="9" t="n">
        <f aca="false">(parametros_manuales!$D$21*('Plan mensual'!M79+IF(parametros_manuales!$H$21="Todos",'Plan mensual'!M83,0))+parametros_manuales!$E$21*('Plan mensual'!M80+IF(parametros_manuales!$H$21="Todos",'Plan mensual'!M84,0))+parametros_manuales!$F$21*('Plan mensual'!M81+IF(parametros_manuales!$H$21="Todos",'Plan mensual'!M85,0))+parametros_manuales!$G$21*('Plan mensual'!M82+IF(parametros_manuales!$H$21="Todos",'Plan mensual'!M86,0)))*parametros_manuales!$I$21*parametros_manuales!$J$21</f>
        <v>11709.980886</v>
      </c>
      <c r="L193" s="9" t="n">
        <f aca="false">(parametros_manuales!$D$21*('Plan mensual'!N79+IF(parametros_manuales!$H$21="Todos",'Plan mensual'!N83,0))+parametros_manuales!$E$21*('Plan mensual'!N80+IF(parametros_manuales!$H$21="Todos",'Plan mensual'!N84,0))+parametros_manuales!$F$21*('Plan mensual'!N81+IF(parametros_manuales!$H$21="Todos",'Plan mensual'!N85,0))+parametros_manuales!$G$21*('Plan mensual'!N82+IF(parametros_manuales!$H$21="Todos",'Plan mensual'!N86,0)))*parametros_manuales!$I$21*parametros_manuales!$J$21</f>
        <v>11709.980886</v>
      </c>
      <c r="M193" s="9" t="n">
        <f aca="false">(parametros_manuales!$D$21*('Plan mensual'!O79+IF(parametros_manuales!$H$21="Todos",'Plan mensual'!O83,0))+parametros_manuales!$E$21*('Plan mensual'!O80+IF(parametros_manuales!$H$21="Todos",'Plan mensual'!O84,0))+parametros_manuales!$F$21*('Plan mensual'!O81+IF(parametros_manuales!$H$21="Todos",'Plan mensual'!O85,0))+parametros_manuales!$G$21*('Plan mensual'!O82+IF(parametros_manuales!$H$21="Todos",'Plan mensual'!O86,0)))*parametros_manuales!$I$21*parametros_manuales!$J$21</f>
        <v>18735.9694176</v>
      </c>
      <c r="N193" s="9" t="n">
        <f aca="false">SUM(B193:M193)</f>
        <v>156133.07848</v>
      </c>
      <c r="O193" s="9" t="n">
        <f aca="false">MAX(B193:M193)</f>
        <v>18735.9694176</v>
      </c>
      <c r="P193" s="43" t="n">
        <f aca="false">O193/(parametros_manuales!$B$7)</f>
        <v>124.906462784</v>
      </c>
      <c r="Q193" s="8" t="str">
        <f aca="false">IF(O193=0,"-",INDEX($B$190:$M$190,MATCH(O193,B193:M193,0)))</f>
        <v>Ene</v>
      </c>
    </row>
    <row r="194" customFormat="false" ht="14.25" hidden="false" customHeight="true" outlineLevel="0" collapsed="false">
      <c r="A194" s="8" t="str">
        <f aca="false">parametros_manuales!$B$22</f>
        <v>Corte de disco y embutido (cúpula y fondo)</v>
      </c>
      <c r="B194" s="9" t="n">
        <f aca="false">(parametros_manuales!$D$22*('Plan mensual'!D79+IF(parametros_manuales!$H$22="Todos",'Plan mensual'!D83,0))+parametros_manuales!$E$22*('Plan mensual'!D80+IF(parametros_manuales!$H$22="Todos",'Plan mensual'!D84,0))+parametros_manuales!$F$22*('Plan mensual'!D81+IF(parametros_manuales!$H$22="Todos",'Plan mensual'!D85,0))+parametros_manuales!$G$22*('Plan mensual'!D82+IF(parametros_manuales!$H$22="Todos",'Plan mensual'!D86,0)))*parametros_manuales!$I$22*parametros_manuales!$J$22</f>
        <v>49891.902389</v>
      </c>
      <c r="C194" s="9" t="n">
        <f aca="false">(parametros_manuales!$D$22*('Plan mensual'!E79+IF(parametros_manuales!$H$22="Todos",'Plan mensual'!E83,0))+parametros_manuales!$E$22*('Plan mensual'!E80+IF(parametros_manuales!$H$22="Todos",'Plan mensual'!E84,0))+parametros_manuales!$F$22*('Plan mensual'!E81+IF(parametros_manuales!$H$22="Todos",'Plan mensual'!E85,0))+parametros_manuales!$G$22*('Plan mensual'!E82+IF(parametros_manuales!$H$22="Todos",'Plan mensual'!E86,0)))*parametros_manuales!$I$22*parametros_manuales!$J$22</f>
        <v>38039.92496944</v>
      </c>
      <c r="D194" s="9" t="n">
        <f aca="false">(parametros_manuales!$D$22*('Plan mensual'!F79+IF(parametros_manuales!$H$22="Todos",'Plan mensual'!F83,0))+parametros_manuales!$E$22*('Plan mensual'!F80+IF(parametros_manuales!$H$22="Todos",'Plan mensual'!F84,0))+parametros_manuales!$F$22*('Plan mensual'!F81+IF(parametros_manuales!$H$22="Todos",'Plan mensual'!F85,0))+parametros_manuales!$G$22*('Plan mensual'!F82+IF(parametros_manuales!$H$22="Todos",'Plan mensual'!F86,0)))*parametros_manuales!$I$22*parametros_manuales!$J$22</f>
        <v>35538.26157753</v>
      </c>
      <c r="E194" s="9" t="n">
        <f aca="false">(parametros_manuales!$D$22*('Plan mensual'!G79+IF(parametros_manuales!$H$22="Todos",'Plan mensual'!G83,0))+parametros_manuales!$E$22*('Plan mensual'!G80+IF(parametros_manuales!$H$22="Todos",'Plan mensual'!G84,0))+parametros_manuales!$F$22*('Plan mensual'!G81+IF(parametros_manuales!$H$22="Todos",'Plan mensual'!G85,0))+parametros_manuales!$G$22*('Plan mensual'!G82+IF(parametros_manuales!$H$22="Todos",'Plan mensual'!G86,0)))*parametros_manuales!$I$22*parametros_manuales!$J$22</f>
        <v>33976.93079273</v>
      </c>
      <c r="F194" s="9" t="n">
        <f aca="false">(parametros_manuales!$D$22*('Plan mensual'!H79+IF(parametros_manuales!$H$22="Todos",'Plan mensual'!H83,0))+parametros_manuales!$E$22*('Plan mensual'!H80+IF(parametros_manuales!$H$22="Todos",'Plan mensual'!H84,0))+parametros_manuales!$F$22*('Plan mensual'!H81+IF(parametros_manuales!$H$22="Todos",'Plan mensual'!H85,0))+parametros_manuales!$G$22*('Plan mensual'!H82+IF(parametros_manuales!$H$22="Todos",'Plan mensual'!H86,0)))*parametros_manuales!$I$22*parametros_manuales!$J$22</f>
        <v>31794.60183024</v>
      </c>
      <c r="G194" s="9" t="n">
        <f aca="false">(parametros_manuales!$D$22*('Plan mensual'!I79+IF(parametros_manuales!$H$22="Todos",'Plan mensual'!I83,0))+parametros_manuales!$E$22*('Plan mensual'!I80+IF(parametros_manuales!$H$22="Todos",'Plan mensual'!I84,0))+parametros_manuales!$F$22*('Plan mensual'!I81+IF(parametros_manuales!$H$22="Todos",'Plan mensual'!I85,0))+parametros_manuales!$G$22*('Plan mensual'!I82+IF(parametros_manuales!$H$22="Todos",'Plan mensual'!I86,0)))*parametros_manuales!$I$22*parametros_manuales!$J$22</f>
        <v>31173.60365255</v>
      </c>
      <c r="H194" s="9" t="n">
        <f aca="false">(parametros_manuales!$D$22*('Plan mensual'!J79+IF(parametros_manuales!$H$22="Todos",'Plan mensual'!J83,0))+parametros_manuales!$E$22*('Plan mensual'!J80+IF(parametros_manuales!$H$22="Todos",'Plan mensual'!J84,0))+parametros_manuales!$F$22*('Plan mensual'!J81+IF(parametros_manuales!$H$22="Todos",'Plan mensual'!J85,0))+parametros_manuales!$G$22*('Plan mensual'!J82+IF(parametros_manuales!$H$22="Todos",'Plan mensual'!J86,0)))*parametros_manuales!$I$22*parametros_manuales!$J$22</f>
        <v>33355.93261504</v>
      </c>
      <c r="I194" s="9" t="n">
        <f aca="false">(parametros_manuales!$D$22*('Plan mensual'!K79+IF(parametros_manuales!$H$22="Todos",'Plan mensual'!K83,0))+parametros_manuales!$E$22*('Plan mensual'!K80+IF(parametros_manuales!$H$22="Todos",'Plan mensual'!K84,0))+parametros_manuales!$F$22*('Plan mensual'!K81+IF(parametros_manuales!$H$22="Todos",'Plan mensual'!K85,0))+parametros_manuales!$G$22*('Plan mensual'!K82+IF(parametros_manuales!$H$22="Todos",'Plan mensual'!K86,0)))*parametros_manuales!$I$22*parametros_manuales!$J$22</f>
        <v>33355.93261504</v>
      </c>
      <c r="J194" s="9" t="n">
        <f aca="false">(parametros_manuales!$D$22*('Plan mensual'!L79+IF(parametros_manuales!$H$22="Todos",'Plan mensual'!L83,0))+parametros_manuales!$E$22*('Plan mensual'!L80+IF(parametros_manuales!$H$22="Todos",'Plan mensual'!L84,0))+parametros_manuales!$F$22*('Plan mensual'!L81+IF(parametros_manuales!$H$22="Todos",'Plan mensual'!L85,0))+parametros_manuales!$G$22*('Plan mensual'!L82+IF(parametros_manuales!$H$22="Todos",'Plan mensual'!L86,0)))*parametros_manuales!$I$22*parametros_manuales!$J$22</f>
        <v>33355.93261504</v>
      </c>
      <c r="K194" s="9" t="n">
        <f aca="false">(parametros_manuales!$D$22*('Plan mensual'!M79+IF(parametros_manuales!$H$22="Todos",'Plan mensual'!M83,0))+parametros_manuales!$E$22*('Plan mensual'!M80+IF(parametros_manuales!$H$22="Todos",'Plan mensual'!M84,0))+parametros_manuales!$F$22*('Plan mensual'!M81+IF(parametros_manuales!$H$22="Todos",'Plan mensual'!M85,0))+parametros_manuales!$G$22*('Plan mensual'!M82+IF(parametros_manuales!$H$22="Todos",'Plan mensual'!M86,0)))*parametros_manuales!$I$22*parametros_manuales!$J$22</f>
        <v>32734.93443735</v>
      </c>
      <c r="L194" s="9" t="n">
        <f aca="false">(parametros_manuales!$D$22*('Plan mensual'!N79+IF(parametros_manuales!$H$22="Todos",'Plan mensual'!N83,0))+parametros_manuales!$E$22*('Plan mensual'!N80+IF(parametros_manuales!$H$22="Todos",'Plan mensual'!N84,0))+parametros_manuales!$F$22*('Plan mensual'!N81+IF(parametros_manuales!$H$22="Todos",'Plan mensual'!N85,0))+parametros_manuales!$G$22*('Plan mensual'!N82+IF(parametros_manuales!$H$22="Todos",'Plan mensual'!N86,0)))*parametros_manuales!$I$22*parametros_manuales!$J$22</f>
        <v>32113.93625966</v>
      </c>
      <c r="M194" s="9" t="n">
        <f aca="false">(parametros_manuales!$D$22*('Plan mensual'!O79+IF(parametros_manuales!$H$22="Todos",'Plan mensual'!O83,0))+parametros_manuales!$E$22*('Plan mensual'!O80+IF(parametros_manuales!$H$22="Todos",'Plan mensual'!O84,0))+parametros_manuales!$F$22*('Plan mensual'!O81+IF(parametros_manuales!$H$22="Todos",'Plan mensual'!O85,0))+parametros_manuales!$G$22*('Plan mensual'!O82+IF(parametros_manuales!$H$22="Todos",'Plan mensual'!O86,0)))*parametros_manuales!$I$22*parametros_manuales!$J$22</f>
        <v>51133.89874438</v>
      </c>
      <c r="N194" s="9" t="n">
        <f aca="false">SUM(B194:M194)</f>
        <v>436465.792498</v>
      </c>
      <c r="O194" s="9" t="n">
        <f aca="false">MAX(B194:M194)</f>
        <v>51133.89874438</v>
      </c>
      <c r="P194" s="43" t="n">
        <f aca="false">O194/(parametros_manuales!$B$7)</f>
        <v>340.892658295867</v>
      </c>
      <c r="Q194" s="8" t="str">
        <f aca="false">IF(O194=0,"-",INDEX($B$190:$M$190,MATCH(O194,B194:M194,0)))</f>
        <v>Dic</v>
      </c>
    </row>
    <row r="195" customFormat="false" ht="14.25" hidden="false" customHeight="true" outlineLevel="0" collapsed="false">
      <c r="A195" s="8" t="str">
        <f aca="false">parametros_manuales!$B$23</f>
        <v>Preparación de cuello</v>
      </c>
      <c r="B195" s="9" t="n">
        <f aca="false">(parametros_manuales!$D$23*('Plan mensual'!D79+IF(parametros_manuales!$H$23="Todos",'Plan mensual'!D83,0))+parametros_manuales!$E$23*('Plan mensual'!D80+IF(parametros_manuales!$H$23="Todos",'Plan mensual'!D84,0))+parametros_manuales!$F$23*('Plan mensual'!D81+IF(parametros_manuales!$H$23="Todos",'Plan mensual'!D85,0))+parametros_manuales!$G$23*('Plan mensual'!D82+IF(parametros_manuales!$H$23="Todos",'Plan mensual'!D86,0)))*parametros_manuales!$I$23*parametros_manuales!$J$23</f>
        <v>24945.9511945</v>
      </c>
      <c r="C195" s="9" t="n">
        <f aca="false">(parametros_manuales!$D$23*('Plan mensual'!E79+IF(parametros_manuales!$H$23="Todos",'Plan mensual'!E83,0))+parametros_manuales!$E$23*('Plan mensual'!E80+IF(parametros_manuales!$H$23="Todos",'Plan mensual'!E84,0))+parametros_manuales!$F$23*('Plan mensual'!E81+IF(parametros_manuales!$H$23="Todos",'Plan mensual'!E85,0))+parametros_manuales!$G$23*('Plan mensual'!E82+IF(parametros_manuales!$H$23="Todos",'Plan mensual'!E86,0)))*parametros_manuales!$I$23*parametros_manuales!$J$23</f>
        <v>19019.96248472</v>
      </c>
      <c r="D195" s="9" t="n">
        <f aca="false">(parametros_manuales!$D$23*('Plan mensual'!F79+IF(parametros_manuales!$H$23="Todos",'Plan mensual'!F83,0))+parametros_manuales!$E$23*('Plan mensual'!F80+IF(parametros_manuales!$H$23="Todos",'Plan mensual'!F84,0))+parametros_manuales!$F$23*('Plan mensual'!F81+IF(parametros_manuales!$H$23="Todos",'Plan mensual'!F85,0))+parametros_manuales!$G$23*('Plan mensual'!F82+IF(parametros_manuales!$H$23="Todos",'Plan mensual'!F86,0)))*parametros_manuales!$I$23*parametros_manuales!$J$23</f>
        <v>17769.130788765</v>
      </c>
      <c r="E195" s="9" t="n">
        <f aca="false">(parametros_manuales!$D$23*('Plan mensual'!G79+IF(parametros_manuales!$H$23="Todos",'Plan mensual'!G83,0))+parametros_manuales!$E$23*('Plan mensual'!G80+IF(parametros_manuales!$H$23="Todos",'Plan mensual'!G84,0))+parametros_manuales!$F$23*('Plan mensual'!G81+IF(parametros_manuales!$H$23="Todos",'Plan mensual'!G85,0))+parametros_manuales!$G$23*('Plan mensual'!G82+IF(parametros_manuales!$H$23="Todos",'Plan mensual'!G86,0)))*parametros_manuales!$I$23*parametros_manuales!$J$23</f>
        <v>16988.465396365</v>
      </c>
      <c r="F195" s="9" t="n">
        <f aca="false">(parametros_manuales!$D$23*('Plan mensual'!H79+IF(parametros_manuales!$H$23="Todos",'Plan mensual'!H83,0))+parametros_manuales!$E$23*('Plan mensual'!H80+IF(parametros_manuales!$H$23="Todos",'Plan mensual'!H84,0))+parametros_manuales!$F$23*('Plan mensual'!H81+IF(parametros_manuales!$H$23="Todos",'Plan mensual'!H85,0))+parametros_manuales!$G$23*('Plan mensual'!H82+IF(parametros_manuales!$H$23="Todos",'Plan mensual'!H86,0)))*parametros_manuales!$I$23*parametros_manuales!$J$23</f>
        <v>15897.30091512</v>
      </c>
      <c r="G195" s="9" t="n">
        <f aca="false">(parametros_manuales!$D$23*('Plan mensual'!I79+IF(parametros_manuales!$H$23="Todos",'Plan mensual'!I83,0))+parametros_manuales!$E$23*('Plan mensual'!I80+IF(parametros_manuales!$H$23="Todos",'Plan mensual'!I84,0))+parametros_manuales!$F$23*('Plan mensual'!I81+IF(parametros_manuales!$H$23="Todos",'Plan mensual'!I85,0))+parametros_manuales!$G$23*('Plan mensual'!I82+IF(parametros_manuales!$H$23="Todos",'Plan mensual'!I86,0)))*parametros_manuales!$I$23*parametros_manuales!$J$23</f>
        <v>15586.801826275</v>
      </c>
      <c r="H195" s="9" t="n">
        <f aca="false">(parametros_manuales!$D$23*('Plan mensual'!J79+IF(parametros_manuales!$H$23="Todos",'Plan mensual'!J83,0))+parametros_manuales!$E$23*('Plan mensual'!J80+IF(parametros_manuales!$H$23="Todos",'Plan mensual'!J84,0))+parametros_manuales!$F$23*('Plan mensual'!J81+IF(parametros_manuales!$H$23="Todos",'Plan mensual'!J85,0))+parametros_manuales!$G$23*('Plan mensual'!J82+IF(parametros_manuales!$H$23="Todos",'Plan mensual'!J86,0)))*parametros_manuales!$I$23*parametros_manuales!$J$23</f>
        <v>16677.96630752</v>
      </c>
      <c r="I195" s="9" t="n">
        <f aca="false">(parametros_manuales!$D$23*('Plan mensual'!K79+IF(parametros_manuales!$H$23="Todos",'Plan mensual'!K83,0))+parametros_manuales!$E$23*('Plan mensual'!K80+IF(parametros_manuales!$H$23="Todos",'Plan mensual'!K84,0))+parametros_manuales!$F$23*('Plan mensual'!K81+IF(parametros_manuales!$H$23="Todos",'Plan mensual'!K85,0))+parametros_manuales!$G$23*('Plan mensual'!K82+IF(parametros_manuales!$H$23="Todos",'Plan mensual'!K86,0)))*parametros_manuales!$I$23*parametros_manuales!$J$23</f>
        <v>16677.96630752</v>
      </c>
      <c r="J195" s="9" t="n">
        <f aca="false">(parametros_manuales!$D$23*('Plan mensual'!L79+IF(parametros_manuales!$H$23="Todos",'Plan mensual'!L83,0))+parametros_manuales!$E$23*('Plan mensual'!L80+IF(parametros_manuales!$H$23="Todos",'Plan mensual'!L84,0))+parametros_manuales!$F$23*('Plan mensual'!L81+IF(parametros_manuales!$H$23="Todos",'Plan mensual'!L85,0))+parametros_manuales!$G$23*('Plan mensual'!L82+IF(parametros_manuales!$H$23="Todos",'Plan mensual'!L86,0)))*parametros_manuales!$I$23*parametros_manuales!$J$23</f>
        <v>16677.96630752</v>
      </c>
      <c r="K195" s="9" t="n">
        <f aca="false">(parametros_manuales!$D$23*('Plan mensual'!M79+IF(parametros_manuales!$H$23="Todos",'Plan mensual'!M83,0))+parametros_manuales!$E$23*('Plan mensual'!M80+IF(parametros_manuales!$H$23="Todos",'Plan mensual'!M84,0))+parametros_manuales!$F$23*('Plan mensual'!M81+IF(parametros_manuales!$H$23="Todos",'Plan mensual'!M85,0))+parametros_manuales!$G$23*('Plan mensual'!M82+IF(parametros_manuales!$H$23="Todos",'Plan mensual'!M86,0)))*parametros_manuales!$I$23*parametros_manuales!$J$23</f>
        <v>16367.467218675</v>
      </c>
      <c r="L195" s="9" t="n">
        <f aca="false">(parametros_manuales!$D$23*('Plan mensual'!N79+IF(parametros_manuales!$H$23="Todos",'Plan mensual'!N83,0))+parametros_manuales!$E$23*('Plan mensual'!N80+IF(parametros_manuales!$H$23="Todos",'Plan mensual'!N84,0))+parametros_manuales!$F$23*('Plan mensual'!N81+IF(parametros_manuales!$H$23="Todos",'Plan mensual'!N85,0))+parametros_manuales!$G$23*('Plan mensual'!N82+IF(parametros_manuales!$H$23="Todos",'Plan mensual'!N86,0)))*parametros_manuales!$I$23*parametros_manuales!$J$23</f>
        <v>16056.96812983</v>
      </c>
      <c r="M195" s="9" t="n">
        <f aca="false">(parametros_manuales!$D$23*('Plan mensual'!O79+IF(parametros_manuales!$H$23="Todos",'Plan mensual'!O83,0))+parametros_manuales!$E$23*('Plan mensual'!O80+IF(parametros_manuales!$H$23="Todos",'Plan mensual'!O84,0))+parametros_manuales!$F$23*('Plan mensual'!O81+IF(parametros_manuales!$H$23="Todos",'Plan mensual'!O85,0))+parametros_manuales!$G$23*('Plan mensual'!O82+IF(parametros_manuales!$H$23="Todos",'Plan mensual'!O86,0)))*parametros_manuales!$I$23*parametros_manuales!$J$23</f>
        <v>25566.94937219</v>
      </c>
      <c r="N195" s="9" t="n">
        <f aca="false">SUM(B195:M195)</f>
        <v>218232.896249</v>
      </c>
      <c r="O195" s="9" t="n">
        <f aca="false">MAX(B195:M195)</f>
        <v>25566.94937219</v>
      </c>
      <c r="P195" s="43" t="n">
        <f aca="false">O195/(parametros_manuales!$B$7)</f>
        <v>170.446329147933</v>
      </c>
      <c r="Q195" s="8" t="str">
        <f aca="false">IF(O195=0,"-",INDEX($B$190:$M$190,MATCH(O195,B195:M195,0)))</f>
        <v>Dic</v>
      </c>
    </row>
    <row r="196" customFormat="false" ht="14.25" hidden="false" customHeight="true" outlineLevel="0" collapsed="false">
      <c r="A196" s="8" t="str">
        <f aca="false">parametros_manuales!$B$24</f>
        <v>Numerado de cúpula</v>
      </c>
      <c r="B196" s="9" t="n">
        <f aca="false">(parametros_manuales!$D$24*('Plan mensual'!D79+IF(parametros_manuales!$H$24="Todos",'Plan mensual'!D83,0))+parametros_manuales!$E$24*('Plan mensual'!D80+IF(parametros_manuales!$H$24="Todos",'Plan mensual'!D84,0))+parametros_manuales!$F$24*('Plan mensual'!D81+IF(parametros_manuales!$H$24="Todos",'Plan mensual'!D85,0))+parametros_manuales!$G$24*('Plan mensual'!D82+IF(parametros_manuales!$H$24="Todos",'Plan mensual'!D86,0)))*parametros_manuales!$I$24*parametros_manuales!$J$24</f>
        <v>24945.9511945</v>
      </c>
      <c r="C196" s="9" t="n">
        <f aca="false">(parametros_manuales!$D$24*('Plan mensual'!E79+IF(parametros_manuales!$H$24="Todos",'Plan mensual'!E83,0))+parametros_manuales!$E$24*('Plan mensual'!E80+IF(parametros_manuales!$H$24="Todos",'Plan mensual'!E84,0))+parametros_manuales!$F$24*('Plan mensual'!E81+IF(parametros_manuales!$H$24="Todos",'Plan mensual'!E85,0))+parametros_manuales!$G$24*('Plan mensual'!E82+IF(parametros_manuales!$H$24="Todos",'Plan mensual'!E86,0)))*parametros_manuales!$I$24*parametros_manuales!$J$24</f>
        <v>19019.96248472</v>
      </c>
      <c r="D196" s="9" t="n">
        <f aca="false">(parametros_manuales!$D$24*('Plan mensual'!F79+IF(parametros_manuales!$H$24="Todos",'Plan mensual'!F83,0))+parametros_manuales!$E$24*('Plan mensual'!F80+IF(parametros_manuales!$H$24="Todos",'Plan mensual'!F84,0))+parametros_manuales!$F$24*('Plan mensual'!F81+IF(parametros_manuales!$H$24="Todos",'Plan mensual'!F85,0))+parametros_manuales!$G$24*('Plan mensual'!F82+IF(parametros_manuales!$H$24="Todos",'Plan mensual'!F86,0)))*parametros_manuales!$I$24*parametros_manuales!$J$24</f>
        <v>17769.130788765</v>
      </c>
      <c r="E196" s="9" t="n">
        <f aca="false">(parametros_manuales!$D$24*('Plan mensual'!G79+IF(parametros_manuales!$H$24="Todos",'Plan mensual'!G83,0))+parametros_manuales!$E$24*('Plan mensual'!G80+IF(parametros_manuales!$H$24="Todos",'Plan mensual'!G84,0))+parametros_manuales!$F$24*('Plan mensual'!G81+IF(parametros_manuales!$H$24="Todos",'Plan mensual'!G85,0))+parametros_manuales!$G$24*('Plan mensual'!G82+IF(parametros_manuales!$H$24="Todos",'Plan mensual'!G86,0)))*parametros_manuales!$I$24*parametros_manuales!$J$24</f>
        <v>16988.465396365</v>
      </c>
      <c r="F196" s="9" t="n">
        <f aca="false">(parametros_manuales!$D$24*('Plan mensual'!H79+IF(parametros_manuales!$H$24="Todos",'Plan mensual'!H83,0))+parametros_manuales!$E$24*('Plan mensual'!H80+IF(parametros_manuales!$H$24="Todos",'Plan mensual'!H84,0))+parametros_manuales!$F$24*('Plan mensual'!H81+IF(parametros_manuales!$H$24="Todos",'Plan mensual'!H85,0))+parametros_manuales!$G$24*('Plan mensual'!H82+IF(parametros_manuales!$H$24="Todos",'Plan mensual'!H86,0)))*parametros_manuales!$I$24*parametros_manuales!$J$24</f>
        <v>15897.30091512</v>
      </c>
      <c r="G196" s="9" t="n">
        <f aca="false">(parametros_manuales!$D$24*('Plan mensual'!I79+IF(parametros_manuales!$H$24="Todos",'Plan mensual'!I83,0))+parametros_manuales!$E$24*('Plan mensual'!I80+IF(parametros_manuales!$H$24="Todos",'Plan mensual'!I84,0))+parametros_manuales!$F$24*('Plan mensual'!I81+IF(parametros_manuales!$H$24="Todos",'Plan mensual'!I85,0))+parametros_manuales!$G$24*('Plan mensual'!I82+IF(parametros_manuales!$H$24="Todos",'Plan mensual'!I86,0)))*parametros_manuales!$I$24*parametros_manuales!$J$24</f>
        <v>15586.801826275</v>
      </c>
      <c r="H196" s="9" t="n">
        <f aca="false">(parametros_manuales!$D$24*('Plan mensual'!J79+IF(parametros_manuales!$H$24="Todos",'Plan mensual'!J83,0))+parametros_manuales!$E$24*('Plan mensual'!J80+IF(parametros_manuales!$H$24="Todos",'Plan mensual'!J84,0))+parametros_manuales!$F$24*('Plan mensual'!J81+IF(parametros_manuales!$H$24="Todos",'Plan mensual'!J85,0))+parametros_manuales!$G$24*('Plan mensual'!J82+IF(parametros_manuales!$H$24="Todos",'Plan mensual'!J86,0)))*parametros_manuales!$I$24*parametros_manuales!$J$24</f>
        <v>16677.96630752</v>
      </c>
      <c r="I196" s="9" t="n">
        <f aca="false">(parametros_manuales!$D$24*('Plan mensual'!K79+IF(parametros_manuales!$H$24="Todos",'Plan mensual'!K83,0))+parametros_manuales!$E$24*('Plan mensual'!K80+IF(parametros_manuales!$H$24="Todos",'Plan mensual'!K84,0))+parametros_manuales!$F$24*('Plan mensual'!K81+IF(parametros_manuales!$H$24="Todos",'Plan mensual'!K85,0))+parametros_manuales!$G$24*('Plan mensual'!K82+IF(parametros_manuales!$H$24="Todos",'Plan mensual'!K86,0)))*parametros_manuales!$I$24*parametros_manuales!$J$24</f>
        <v>16677.96630752</v>
      </c>
      <c r="J196" s="9" t="n">
        <f aca="false">(parametros_manuales!$D$24*('Plan mensual'!L79+IF(parametros_manuales!$H$24="Todos",'Plan mensual'!L83,0))+parametros_manuales!$E$24*('Plan mensual'!L80+IF(parametros_manuales!$H$24="Todos",'Plan mensual'!L84,0))+parametros_manuales!$F$24*('Plan mensual'!L81+IF(parametros_manuales!$H$24="Todos",'Plan mensual'!L85,0))+parametros_manuales!$G$24*('Plan mensual'!L82+IF(parametros_manuales!$H$24="Todos",'Plan mensual'!L86,0)))*parametros_manuales!$I$24*parametros_manuales!$J$24</f>
        <v>16677.96630752</v>
      </c>
      <c r="K196" s="9" t="n">
        <f aca="false">(parametros_manuales!$D$24*('Plan mensual'!M79+IF(parametros_manuales!$H$24="Todos",'Plan mensual'!M83,0))+parametros_manuales!$E$24*('Plan mensual'!M80+IF(parametros_manuales!$H$24="Todos",'Plan mensual'!M84,0))+parametros_manuales!$F$24*('Plan mensual'!M81+IF(parametros_manuales!$H$24="Todos",'Plan mensual'!M85,0))+parametros_manuales!$G$24*('Plan mensual'!M82+IF(parametros_manuales!$H$24="Todos",'Plan mensual'!M86,0)))*parametros_manuales!$I$24*parametros_manuales!$J$24</f>
        <v>16367.467218675</v>
      </c>
      <c r="L196" s="9" t="n">
        <f aca="false">(parametros_manuales!$D$24*('Plan mensual'!N79+IF(parametros_manuales!$H$24="Todos",'Plan mensual'!N83,0))+parametros_manuales!$E$24*('Plan mensual'!N80+IF(parametros_manuales!$H$24="Todos",'Plan mensual'!N84,0))+parametros_manuales!$F$24*('Plan mensual'!N81+IF(parametros_manuales!$H$24="Todos",'Plan mensual'!N85,0))+parametros_manuales!$G$24*('Plan mensual'!N82+IF(parametros_manuales!$H$24="Todos",'Plan mensual'!N86,0)))*parametros_manuales!$I$24*parametros_manuales!$J$24</f>
        <v>16056.96812983</v>
      </c>
      <c r="M196" s="9" t="n">
        <f aca="false">(parametros_manuales!$D$24*('Plan mensual'!O79+IF(parametros_manuales!$H$24="Todos",'Plan mensual'!O83,0))+parametros_manuales!$E$24*('Plan mensual'!O80+IF(parametros_manuales!$H$24="Todos",'Plan mensual'!O84,0))+parametros_manuales!$F$24*('Plan mensual'!O81+IF(parametros_manuales!$H$24="Todos",'Plan mensual'!O85,0))+parametros_manuales!$G$24*('Plan mensual'!O82+IF(parametros_manuales!$H$24="Todos",'Plan mensual'!O86,0)))*parametros_manuales!$I$24*parametros_manuales!$J$24</f>
        <v>25566.94937219</v>
      </c>
      <c r="N196" s="9" t="n">
        <f aca="false">SUM(B196:M196)</f>
        <v>218232.896249</v>
      </c>
      <c r="O196" s="9" t="n">
        <f aca="false">MAX(B196:M196)</f>
        <v>25566.94937219</v>
      </c>
      <c r="P196" s="43" t="n">
        <f aca="false">O196/(parametros_manuales!$B$7)</f>
        <v>170.446329147933</v>
      </c>
      <c r="Q196" s="8" t="str">
        <f aca="false">IF(O196=0,"-",INDEX($B$190:$M$190,MATCH(O196,B196:M196,0)))</f>
        <v>Dic</v>
      </c>
    </row>
    <row r="197" customFormat="false" ht="14.25" hidden="false" customHeight="true" outlineLevel="0" collapsed="false">
      <c r="A197" s="8" t="str">
        <f aca="false">parametros_manuales!$B$25</f>
        <v>Soldadura del cuello a la cúpula</v>
      </c>
      <c r="B197" s="9" t="n">
        <f aca="false">(parametros_manuales!$D$25*('Plan mensual'!D79+IF(parametros_manuales!$H$25="Todos",'Plan mensual'!D83,0))+parametros_manuales!$E$25*('Plan mensual'!D80+IF(parametros_manuales!$H$25="Todos",'Plan mensual'!D84,0))+parametros_manuales!$F$25*('Plan mensual'!D81+IF(parametros_manuales!$H$25="Todos",'Plan mensual'!D85,0))+parametros_manuales!$G$25*('Plan mensual'!D82+IF(parametros_manuales!$H$25="Todos",'Plan mensual'!D86,0)))*parametros_manuales!$I$25*parametros_manuales!$J$25</f>
        <v>24945.9511945</v>
      </c>
      <c r="C197" s="9" t="n">
        <f aca="false">(parametros_manuales!$D$25*('Plan mensual'!E79+IF(parametros_manuales!$H$25="Todos",'Plan mensual'!E83,0))+parametros_manuales!$E$25*('Plan mensual'!E80+IF(parametros_manuales!$H$25="Todos",'Plan mensual'!E84,0))+parametros_manuales!$F$25*('Plan mensual'!E81+IF(parametros_manuales!$H$25="Todos",'Plan mensual'!E85,0))+parametros_manuales!$G$25*('Plan mensual'!E82+IF(parametros_manuales!$H$25="Todos",'Plan mensual'!E86,0)))*parametros_manuales!$I$25*parametros_manuales!$J$25</f>
        <v>19019.96248472</v>
      </c>
      <c r="D197" s="9" t="n">
        <f aca="false">(parametros_manuales!$D$25*('Plan mensual'!F79+IF(parametros_manuales!$H$25="Todos",'Plan mensual'!F83,0))+parametros_manuales!$E$25*('Plan mensual'!F80+IF(parametros_manuales!$H$25="Todos",'Plan mensual'!F84,0))+parametros_manuales!$F$25*('Plan mensual'!F81+IF(parametros_manuales!$H$25="Todos",'Plan mensual'!F85,0))+parametros_manuales!$G$25*('Plan mensual'!F82+IF(parametros_manuales!$H$25="Todos",'Plan mensual'!F86,0)))*parametros_manuales!$I$25*parametros_manuales!$J$25</f>
        <v>17769.130788765</v>
      </c>
      <c r="E197" s="9" t="n">
        <f aca="false">(parametros_manuales!$D$25*('Plan mensual'!G79+IF(parametros_manuales!$H$25="Todos",'Plan mensual'!G83,0))+parametros_manuales!$E$25*('Plan mensual'!G80+IF(parametros_manuales!$H$25="Todos",'Plan mensual'!G84,0))+parametros_manuales!$F$25*('Plan mensual'!G81+IF(parametros_manuales!$H$25="Todos",'Plan mensual'!G85,0))+parametros_manuales!$G$25*('Plan mensual'!G82+IF(parametros_manuales!$H$25="Todos",'Plan mensual'!G86,0)))*parametros_manuales!$I$25*parametros_manuales!$J$25</f>
        <v>16988.465396365</v>
      </c>
      <c r="F197" s="9" t="n">
        <f aca="false">(parametros_manuales!$D$25*('Plan mensual'!H79+IF(parametros_manuales!$H$25="Todos",'Plan mensual'!H83,0))+parametros_manuales!$E$25*('Plan mensual'!H80+IF(parametros_manuales!$H$25="Todos",'Plan mensual'!H84,0))+parametros_manuales!$F$25*('Plan mensual'!H81+IF(parametros_manuales!$H$25="Todos",'Plan mensual'!H85,0))+parametros_manuales!$G$25*('Plan mensual'!H82+IF(parametros_manuales!$H$25="Todos",'Plan mensual'!H86,0)))*parametros_manuales!$I$25*parametros_manuales!$J$25</f>
        <v>15897.30091512</v>
      </c>
      <c r="G197" s="9" t="n">
        <f aca="false">(parametros_manuales!$D$25*('Plan mensual'!I79+IF(parametros_manuales!$H$25="Todos",'Plan mensual'!I83,0))+parametros_manuales!$E$25*('Plan mensual'!I80+IF(parametros_manuales!$H$25="Todos",'Plan mensual'!I84,0))+parametros_manuales!$F$25*('Plan mensual'!I81+IF(parametros_manuales!$H$25="Todos",'Plan mensual'!I85,0))+parametros_manuales!$G$25*('Plan mensual'!I82+IF(parametros_manuales!$H$25="Todos",'Plan mensual'!I86,0)))*parametros_manuales!$I$25*parametros_manuales!$J$25</f>
        <v>15586.801826275</v>
      </c>
      <c r="H197" s="9" t="n">
        <f aca="false">(parametros_manuales!$D$25*('Plan mensual'!J79+IF(parametros_manuales!$H$25="Todos",'Plan mensual'!J83,0))+parametros_manuales!$E$25*('Plan mensual'!J80+IF(parametros_manuales!$H$25="Todos",'Plan mensual'!J84,0))+parametros_manuales!$F$25*('Plan mensual'!J81+IF(parametros_manuales!$H$25="Todos",'Plan mensual'!J85,0))+parametros_manuales!$G$25*('Plan mensual'!J82+IF(parametros_manuales!$H$25="Todos",'Plan mensual'!J86,0)))*parametros_manuales!$I$25*parametros_manuales!$J$25</f>
        <v>16677.96630752</v>
      </c>
      <c r="I197" s="9" t="n">
        <f aca="false">(parametros_manuales!$D$25*('Plan mensual'!K79+IF(parametros_manuales!$H$25="Todos",'Plan mensual'!K83,0))+parametros_manuales!$E$25*('Plan mensual'!K80+IF(parametros_manuales!$H$25="Todos",'Plan mensual'!K84,0))+parametros_manuales!$F$25*('Plan mensual'!K81+IF(parametros_manuales!$H$25="Todos",'Plan mensual'!K85,0))+parametros_manuales!$G$25*('Plan mensual'!K82+IF(parametros_manuales!$H$25="Todos",'Plan mensual'!K86,0)))*parametros_manuales!$I$25*parametros_manuales!$J$25</f>
        <v>16677.96630752</v>
      </c>
      <c r="J197" s="9" t="n">
        <f aca="false">(parametros_manuales!$D$25*('Plan mensual'!L79+IF(parametros_manuales!$H$25="Todos",'Plan mensual'!L83,0))+parametros_manuales!$E$25*('Plan mensual'!L80+IF(parametros_manuales!$H$25="Todos",'Plan mensual'!L84,0))+parametros_manuales!$F$25*('Plan mensual'!L81+IF(parametros_manuales!$H$25="Todos",'Plan mensual'!L85,0))+parametros_manuales!$G$25*('Plan mensual'!L82+IF(parametros_manuales!$H$25="Todos",'Plan mensual'!L86,0)))*parametros_manuales!$I$25*parametros_manuales!$J$25</f>
        <v>16677.96630752</v>
      </c>
      <c r="K197" s="9" t="n">
        <f aca="false">(parametros_manuales!$D$25*('Plan mensual'!M79+IF(parametros_manuales!$H$25="Todos",'Plan mensual'!M83,0))+parametros_manuales!$E$25*('Plan mensual'!M80+IF(parametros_manuales!$H$25="Todos",'Plan mensual'!M84,0))+parametros_manuales!$F$25*('Plan mensual'!M81+IF(parametros_manuales!$H$25="Todos",'Plan mensual'!M85,0))+parametros_manuales!$G$25*('Plan mensual'!M82+IF(parametros_manuales!$H$25="Todos",'Plan mensual'!M86,0)))*parametros_manuales!$I$25*parametros_manuales!$J$25</f>
        <v>16367.467218675</v>
      </c>
      <c r="L197" s="9" t="n">
        <f aca="false">(parametros_manuales!$D$25*('Plan mensual'!N79+IF(parametros_manuales!$H$25="Todos",'Plan mensual'!N83,0))+parametros_manuales!$E$25*('Plan mensual'!N80+IF(parametros_manuales!$H$25="Todos",'Plan mensual'!N84,0))+parametros_manuales!$F$25*('Plan mensual'!N81+IF(parametros_manuales!$H$25="Todos",'Plan mensual'!N85,0))+parametros_manuales!$G$25*('Plan mensual'!N82+IF(parametros_manuales!$H$25="Todos",'Plan mensual'!N86,0)))*parametros_manuales!$I$25*parametros_manuales!$J$25</f>
        <v>16056.96812983</v>
      </c>
      <c r="M197" s="9" t="n">
        <f aca="false">(parametros_manuales!$D$25*('Plan mensual'!O79+IF(parametros_manuales!$H$25="Todos",'Plan mensual'!O83,0))+parametros_manuales!$E$25*('Plan mensual'!O80+IF(parametros_manuales!$H$25="Todos",'Plan mensual'!O84,0))+parametros_manuales!$F$25*('Plan mensual'!O81+IF(parametros_manuales!$H$25="Todos",'Plan mensual'!O85,0))+parametros_manuales!$G$25*('Plan mensual'!O82+IF(parametros_manuales!$H$25="Todos",'Plan mensual'!O86,0)))*parametros_manuales!$I$25*parametros_manuales!$J$25</f>
        <v>25566.94937219</v>
      </c>
      <c r="N197" s="9" t="n">
        <f aca="false">SUM(B197:M197)</f>
        <v>218232.896249</v>
      </c>
      <c r="O197" s="9" t="n">
        <f aca="false">MAX(B197:M197)</f>
        <v>25566.94937219</v>
      </c>
      <c r="P197" s="43" t="n">
        <f aca="false">O197/(parametros_manuales!$B$7)</f>
        <v>170.446329147933</v>
      </c>
      <c r="Q197" s="8" t="str">
        <f aca="false">IF(O197=0,"-",INDEX($B$190:$M$190,MATCH(O197,B197:M197,0)))</f>
        <v>Dic</v>
      </c>
    </row>
    <row r="198" customFormat="false" ht="14.25" hidden="false" customHeight="true" outlineLevel="0" collapsed="false">
      <c r="A198" s="8" t="str">
        <f aca="false">parametros_manuales!$B$26</f>
        <v>Cilindrado</v>
      </c>
      <c r="B198" s="9" t="n">
        <f aca="false">(parametros_manuales!$D$26*('Plan mensual'!D79+IF(parametros_manuales!$H$26="Todos",'Plan mensual'!D83,0))+parametros_manuales!$E$26*('Plan mensual'!D80+IF(parametros_manuales!$H$26="Todos",'Plan mensual'!D84,0))+parametros_manuales!$F$26*('Plan mensual'!D81+IF(parametros_manuales!$H$26="Todos",'Plan mensual'!D85,0))+parametros_manuales!$G$26*('Plan mensual'!D82+IF(parametros_manuales!$H$26="Todos",'Plan mensual'!D86,0)))*parametros_manuales!$I$26*parametros_manuales!$J$26</f>
        <v>6209.9817769</v>
      </c>
      <c r="C198" s="9" t="n">
        <f aca="false">(parametros_manuales!$D$26*('Plan mensual'!E79+IF(parametros_manuales!$H$26="Todos",'Plan mensual'!E83,0))+parametros_manuales!$E$26*('Plan mensual'!E80+IF(parametros_manuales!$H$26="Todos",'Plan mensual'!E84,0))+parametros_manuales!$F$26*('Plan mensual'!E81+IF(parametros_manuales!$H$26="Todos",'Plan mensual'!E85,0))+parametros_manuales!$G$26*('Plan mensual'!E82+IF(parametros_manuales!$H$26="Todos",'Plan mensual'!E86,0)))*parametros_manuales!$I$26*parametros_manuales!$J$26</f>
        <v>4967.98542152</v>
      </c>
      <c r="D198" s="9" t="n">
        <f aca="false">(parametros_manuales!$D$26*('Plan mensual'!F79+IF(parametros_manuales!$H$26="Todos",'Plan mensual'!F83,0))+parametros_manuales!$E$26*('Plan mensual'!F80+IF(parametros_manuales!$H$26="Todos",'Plan mensual'!F84,0))+parametros_manuales!$F$26*('Plan mensual'!F81+IF(parametros_manuales!$H$26="Todos",'Plan mensual'!F85,0))+parametros_manuales!$G$26*('Plan mensual'!F82+IF(parametros_manuales!$H$26="Todos",'Plan mensual'!F86,0)))*parametros_manuales!$I$26*parametros_manuales!$J$26</f>
        <v>5278.484510365</v>
      </c>
      <c r="E198" s="9" t="n">
        <f aca="false">(parametros_manuales!$D$26*('Plan mensual'!G79+IF(parametros_manuales!$H$26="Todos",'Plan mensual'!G83,0))+parametros_manuales!$E$26*('Plan mensual'!G80+IF(parametros_manuales!$H$26="Todos",'Plan mensual'!G84,0))+parametros_manuales!$F$26*('Plan mensual'!G81+IF(parametros_manuales!$H$26="Todos",'Plan mensual'!G85,0))+parametros_manuales!$G$26*('Plan mensual'!G82+IF(parametros_manuales!$H$26="Todos",'Plan mensual'!G86,0)))*parametros_manuales!$I$26*parametros_manuales!$J$26</f>
        <v>5278.484510365</v>
      </c>
      <c r="F198" s="9" t="n">
        <f aca="false">(parametros_manuales!$D$26*('Plan mensual'!H79+IF(parametros_manuales!$H$26="Todos",'Plan mensual'!H83,0))+parametros_manuales!$E$26*('Plan mensual'!H80+IF(parametros_manuales!$H$26="Todos",'Plan mensual'!H84,0))+parametros_manuales!$F$26*('Plan mensual'!H81+IF(parametros_manuales!$H$26="Todos",'Plan mensual'!H85,0))+parametros_manuales!$G$26*('Plan mensual'!H82+IF(parametros_manuales!$H$26="Todos",'Plan mensual'!H86,0)))*parametros_manuales!$I$26*parametros_manuales!$J$26</f>
        <v>4967.98542152</v>
      </c>
      <c r="G198" s="9" t="n">
        <f aca="false">(parametros_manuales!$D$26*('Plan mensual'!I79+IF(parametros_manuales!$H$26="Todos",'Plan mensual'!I83,0))+parametros_manuales!$E$26*('Plan mensual'!I80+IF(parametros_manuales!$H$26="Todos",'Plan mensual'!I84,0))+parametros_manuales!$F$26*('Plan mensual'!I81+IF(parametros_manuales!$H$26="Todos",'Plan mensual'!I85,0))+parametros_manuales!$G$26*('Plan mensual'!I82+IF(parametros_manuales!$H$26="Todos",'Plan mensual'!I86,0)))*parametros_manuales!$I$26*parametros_manuales!$J$26</f>
        <v>4657.486332675</v>
      </c>
      <c r="H198" s="9" t="n">
        <f aca="false">(parametros_manuales!$D$26*('Plan mensual'!J79+IF(parametros_manuales!$H$26="Todos",'Plan mensual'!J83,0))+parametros_manuales!$E$26*('Plan mensual'!J80+IF(parametros_manuales!$H$26="Todos",'Plan mensual'!J84,0))+parametros_manuales!$F$26*('Plan mensual'!J81+IF(parametros_manuales!$H$26="Todos",'Plan mensual'!J85,0))+parametros_manuales!$G$26*('Plan mensual'!J82+IF(parametros_manuales!$H$26="Todos",'Plan mensual'!J86,0)))*parametros_manuales!$I$26*parametros_manuales!$J$26</f>
        <v>4967.98542152</v>
      </c>
      <c r="I198" s="9" t="n">
        <f aca="false">(parametros_manuales!$D$26*('Plan mensual'!K79+IF(parametros_manuales!$H$26="Todos",'Plan mensual'!K83,0))+parametros_manuales!$E$26*('Plan mensual'!K80+IF(parametros_manuales!$H$26="Todos",'Plan mensual'!K84,0))+parametros_manuales!$F$26*('Plan mensual'!K81+IF(parametros_manuales!$H$26="Todos",'Plan mensual'!K85,0))+parametros_manuales!$G$26*('Plan mensual'!K82+IF(parametros_manuales!$H$26="Todos",'Plan mensual'!K86,0)))*parametros_manuales!$I$26*parametros_manuales!$J$26</f>
        <v>4967.98542152</v>
      </c>
      <c r="J198" s="9" t="n">
        <f aca="false">(parametros_manuales!$D$26*('Plan mensual'!L79+IF(parametros_manuales!$H$26="Todos",'Plan mensual'!L83,0))+parametros_manuales!$E$26*('Plan mensual'!L80+IF(parametros_manuales!$H$26="Todos",'Plan mensual'!L84,0))+parametros_manuales!$F$26*('Plan mensual'!L81+IF(parametros_manuales!$H$26="Todos",'Plan mensual'!L85,0))+parametros_manuales!$G$26*('Plan mensual'!L82+IF(parametros_manuales!$H$26="Todos",'Plan mensual'!L86,0)))*parametros_manuales!$I$26*parametros_manuales!$J$26</f>
        <v>4967.98542152</v>
      </c>
      <c r="K198" s="9" t="n">
        <f aca="false">(parametros_manuales!$D$26*('Plan mensual'!M79+IF(parametros_manuales!$H$26="Todos",'Plan mensual'!M83,0))+parametros_manuales!$E$26*('Plan mensual'!M80+IF(parametros_manuales!$H$26="Todos",'Plan mensual'!M84,0))+parametros_manuales!$F$26*('Plan mensual'!M81+IF(parametros_manuales!$H$26="Todos",'Plan mensual'!M85,0))+parametros_manuales!$G$26*('Plan mensual'!M82+IF(parametros_manuales!$H$26="Todos",'Plan mensual'!M86,0)))*parametros_manuales!$I$26*parametros_manuales!$J$26</f>
        <v>4657.486332675</v>
      </c>
      <c r="L198" s="9" t="n">
        <f aca="false">(parametros_manuales!$D$26*('Plan mensual'!N79+IF(parametros_manuales!$H$26="Todos",'Plan mensual'!N83,0))+parametros_manuales!$E$26*('Plan mensual'!N80+IF(parametros_manuales!$H$26="Todos",'Plan mensual'!N84,0))+parametros_manuales!$F$26*('Plan mensual'!N81+IF(parametros_manuales!$H$26="Todos",'Plan mensual'!N85,0))+parametros_manuales!$G$26*('Plan mensual'!N82+IF(parametros_manuales!$H$26="Todos",'Plan mensual'!N86,0)))*parametros_manuales!$I$26*parametros_manuales!$J$26</f>
        <v>4346.98724383</v>
      </c>
      <c r="M198" s="9" t="n">
        <f aca="false">(parametros_manuales!$D$26*('Plan mensual'!O79+IF(parametros_manuales!$H$26="Todos",'Plan mensual'!O83,0))+parametros_manuales!$E$26*('Plan mensual'!O80+IF(parametros_manuales!$H$26="Todos",'Plan mensual'!O84,0))+parametros_manuales!$F$26*('Plan mensual'!O81+IF(parametros_manuales!$H$26="Todos",'Plan mensual'!O85,0))+parametros_manuales!$G$26*('Plan mensual'!O82+IF(parametros_manuales!$H$26="Todos",'Plan mensual'!O86,0)))*parametros_manuales!$I$26*parametros_manuales!$J$26</f>
        <v>6830.97995459</v>
      </c>
      <c r="N198" s="9" t="n">
        <f aca="false">SUM(B198:M198)</f>
        <v>62099.817769</v>
      </c>
      <c r="O198" s="9" t="n">
        <f aca="false">MAX(B198:M198)</f>
        <v>6830.97995459</v>
      </c>
      <c r="P198" s="43" t="n">
        <f aca="false">O198/(parametros_manuales!$B$7)</f>
        <v>45.5398663639333</v>
      </c>
      <c r="Q198" s="8" t="str">
        <f aca="false">IF(O198=0,"-",INDEX($B$190:$M$190,MATCH(O198,B198:M198,0)))</f>
        <v>Dic</v>
      </c>
    </row>
    <row r="199" customFormat="false" ht="14.25" hidden="false" customHeight="true" outlineLevel="0" collapsed="false">
      <c r="A199" s="8" t="str">
        <f aca="false">parametros_manuales!$B$27</f>
        <v>Soldadura longitudinal</v>
      </c>
      <c r="B199" s="9" t="n">
        <f aca="false">(parametros_manuales!$D$27*('Plan mensual'!D79+IF(parametros_manuales!$H$27="Todos",'Plan mensual'!D83,0))+parametros_manuales!$E$27*('Plan mensual'!D80+IF(parametros_manuales!$H$27="Todos",'Plan mensual'!D84,0))+parametros_manuales!$F$27*('Plan mensual'!D81+IF(parametros_manuales!$H$27="Todos",'Plan mensual'!D85,0))+parametros_manuales!$G$27*('Plan mensual'!D82+IF(parametros_manuales!$H$27="Todos",'Plan mensual'!D86,0)))*parametros_manuales!$I$27*parametros_manuales!$J$27</f>
        <v>6209.9817769</v>
      </c>
      <c r="C199" s="9" t="n">
        <f aca="false">(parametros_manuales!$D$27*('Plan mensual'!E79+IF(parametros_manuales!$H$27="Todos",'Plan mensual'!E83,0))+parametros_manuales!$E$27*('Plan mensual'!E80+IF(parametros_manuales!$H$27="Todos",'Plan mensual'!E84,0))+parametros_manuales!$F$27*('Plan mensual'!E81+IF(parametros_manuales!$H$27="Todos",'Plan mensual'!E85,0))+parametros_manuales!$G$27*('Plan mensual'!E82+IF(parametros_manuales!$H$27="Todos",'Plan mensual'!E86,0)))*parametros_manuales!$I$27*parametros_manuales!$J$27</f>
        <v>4967.98542152</v>
      </c>
      <c r="D199" s="9" t="n">
        <f aca="false">(parametros_manuales!$D$27*('Plan mensual'!F79+IF(parametros_manuales!$H$27="Todos",'Plan mensual'!F83,0))+parametros_manuales!$E$27*('Plan mensual'!F80+IF(parametros_manuales!$H$27="Todos",'Plan mensual'!F84,0))+parametros_manuales!$F$27*('Plan mensual'!F81+IF(parametros_manuales!$H$27="Todos",'Plan mensual'!F85,0))+parametros_manuales!$G$27*('Plan mensual'!F82+IF(parametros_manuales!$H$27="Todos",'Plan mensual'!F86,0)))*parametros_manuales!$I$27*parametros_manuales!$J$27</f>
        <v>5278.484510365</v>
      </c>
      <c r="E199" s="9" t="n">
        <f aca="false">(parametros_manuales!$D$27*('Plan mensual'!G79+IF(parametros_manuales!$H$27="Todos",'Plan mensual'!G83,0))+parametros_manuales!$E$27*('Plan mensual'!G80+IF(parametros_manuales!$H$27="Todos",'Plan mensual'!G84,0))+parametros_manuales!$F$27*('Plan mensual'!G81+IF(parametros_manuales!$H$27="Todos",'Plan mensual'!G85,0))+parametros_manuales!$G$27*('Plan mensual'!G82+IF(parametros_manuales!$H$27="Todos",'Plan mensual'!G86,0)))*parametros_manuales!$I$27*parametros_manuales!$J$27</f>
        <v>5278.484510365</v>
      </c>
      <c r="F199" s="9" t="n">
        <f aca="false">(parametros_manuales!$D$27*('Plan mensual'!H79+IF(parametros_manuales!$H$27="Todos",'Plan mensual'!H83,0))+parametros_manuales!$E$27*('Plan mensual'!H80+IF(parametros_manuales!$H$27="Todos",'Plan mensual'!H84,0))+parametros_manuales!$F$27*('Plan mensual'!H81+IF(parametros_manuales!$H$27="Todos",'Plan mensual'!H85,0))+parametros_manuales!$G$27*('Plan mensual'!H82+IF(parametros_manuales!$H$27="Todos",'Plan mensual'!H86,0)))*parametros_manuales!$I$27*parametros_manuales!$J$27</f>
        <v>4967.98542152</v>
      </c>
      <c r="G199" s="9" t="n">
        <f aca="false">(parametros_manuales!$D$27*('Plan mensual'!I79+IF(parametros_manuales!$H$27="Todos",'Plan mensual'!I83,0))+parametros_manuales!$E$27*('Plan mensual'!I80+IF(parametros_manuales!$H$27="Todos",'Plan mensual'!I84,0))+parametros_manuales!$F$27*('Plan mensual'!I81+IF(parametros_manuales!$H$27="Todos",'Plan mensual'!I85,0))+parametros_manuales!$G$27*('Plan mensual'!I82+IF(parametros_manuales!$H$27="Todos",'Plan mensual'!I86,0)))*parametros_manuales!$I$27*parametros_manuales!$J$27</f>
        <v>4657.486332675</v>
      </c>
      <c r="H199" s="9" t="n">
        <f aca="false">(parametros_manuales!$D$27*('Plan mensual'!J79+IF(parametros_manuales!$H$27="Todos",'Plan mensual'!J83,0))+parametros_manuales!$E$27*('Plan mensual'!J80+IF(parametros_manuales!$H$27="Todos",'Plan mensual'!J84,0))+parametros_manuales!$F$27*('Plan mensual'!J81+IF(parametros_manuales!$H$27="Todos",'Plan mensual'!J85,0))+parametros_manuales!$G$27*('Plan mensual'!J82+IF(parametros_manuales!$H$27="Todos",'Plan mensual'!J86,0)))*parametros_manuales!$I$27*parametros_manuales!$J$27</f>
        <v>4967.98542152</v>
      </c>
      <c r="I199" s="9" t="n">
        <f aca="false">(parametros_manuales!$D$27*('Plan mensual'!K79+IF(parametros_manuales!$H$27="Todos",'Plan mensual'!K83,0))+parametros_manuales!$E$27*('Plan mensual'!K80+IF(parametros_manuales!$H$27="Todos",'Plan mensual'!K84,0))+parametros_manuales!$F$27*('Plan mensual'!K81+IF(parametros_manuales!$H$27="Todos",'Plan mensual'!K85,0))+parametros_manuales!$G$27*('Plan mensual'!K82+IF(parametros_manuales!$H$27="Todos",'Plan mensual'!K86,0)))*parametros_manuales!$I$27*parametros_manuales!$J$27</f>
        <v>4967.98542152</v>
      </c>
      <c r="J199" s="9" t="n">
        <f aca="false">(parametros_manuales!$D$27*('Plan mensual'!L79+IF(parametros_manuales!$H$27="Todos",'Plan mensual'!L83,0))+parametros_manuales!$E$27*('Plan mensual'!L80+IF(parametros_manuales!$H$27="Todos",'Plan mensual'!L84,0))+parametros_manuales!$F$27*('Plan mensual'!L81+IF(parametros_manuales!$H$27="Todos",'Plan mensual'!L85,0))+parametros_manuales!$G$27*('Plan mensual'!L82+IF(parametros_manuales!$H$27="Todos",'Plan mensual'!L86,0)))*parametros_manuales!$I$27*parametros_manuales!$J$27</f>
        <v>4967.98542152</v>
      </c>
      <c r="K199" s="9" t="n">
        <f aca="false">(parametros_manuales!$D$27*('Plan mensual'!M79+IF(parametros_manuales!$H$27="Todos",'Plan mensual'!M83,0))+parametros_manuales!$E$27*('Plan mensual'!M80+IF(parametros_manuales!$H$27="Todos",'Plan mensual'!M84,0))+parametros_manuales!$F$27*('Plan mensual'!M81+IF(parametros_manuales!$H$27="Todos",'Plan mensual'!M85,0))+parametros_manuales!$G$27*('Plan mensual'!M82+IF(parametros_manuales!$H$27="Todos",'Plan mensual'!M86,0)))*parametros_manuales!$I$27*parametros_manuales!$J$27</f>
        <v>4657.486332675</v>
      </c>
      <c r="L199" s="9" t="n">
        <f aca="false">(parametros_manuales!$D$27*('Plan mensual'!N79+IF(parametros_manuales!$H$27="Todos",'Plan mensual'!N83,0))+parametros_manuales!$E$27*('Plan mensual'!N80+IF(parametros_manuales!$H$27="Todos",'Plan mensual'!N84,0))+parametros_manuales!$F$27*('Plan mensual'!N81+IF(parametros_manuales!$H$27="Todos",'Plan mensual'!N85,0))+parametros_manuales!$G$27*('Plan mensual'!N82+IF(parametros_manuales!$H$27="Todos",'Plan mensual'!N86,0)))*parametros_manuales!$I$27*parametros_manuales!$J$27</f>
        <v>4346.98724383</v>
      </c>
      <c r="M199" s="9" t="n">
        <f aca="false">(parametros_manuales!$D$27*('Plan mensual'!O79+IF(parametros_manuales!$H$27="Todos",'Plan mensual'!O83,0))+parametros_manuales!$E$27*('Plan mensual'!O80+IF(parametros_manuales!$H$27="Todos",'Plan mensual'!O84,0))+parametros_manuales!$F$27*('Plan mensual'!O81+IF(parametros_manuales!$H$27="Todos",'Plan mensual'!O85,0))+parametros_manuales!$G$27*('Plan mensual'!O82+IF(parametros_manuales!$H$27="Todos",'Plan mensual'!O86,0)))*parametros_manuales!$I$27*parametros_manuales!$J$27</f>
        <v>6830.97995459</v>
      </c>
      <c r="N199" s="9" t="n">
        <f aca="false">SUM(B199:M199)</f>
        <v>62099.817769</v>
      </c>
      <c r="O199" s="9" t="n">
        <f aca="false">MAX(B199:M199)</f>
        <v>6830.97995459</v>
      </c>
      <c r="P199" s="43" t="n">
        <f aca="false">O199/(parametros_manuales!$B$7)</f>
        <v>45.5398663639333</v>
      </c>
      <c r="Q199" s="8" t="str">
        <f aca="false">IF(O199=0,"-",INDEX($B$190:$M$190,MATCH(O199,B199:M199,0)))</f>
        <v>Dic</v>
      </c>
    </row>
    <row r="200" customFormat="false" ht="14.25" hidden="false" customHeight="true" outlineLevel="0" collapsed="false">
      <c r="A200" s="8" t="str">
        <f aca="false">parametros_manuales!$B$28</f>
        <v>Encastre de fondo</v>
      </c>
      <c r="B200" s="9" t="n">
        <f aca="false">(parametros_manuales!$D$28*('Plan mensual'!D79+IF(parametros_manuales!$H$28="Todos",'Plan mensual'!D83,0))+parametros_manuales!$E$28*('Plan mensual'!D80+IF(parametros_manuales!$H$28="Todos",'Plan mensual'!D84,0))+parametros_manuales!$F$28*('Plan mensual'!D81+IF(parametros_manuales!$H$28="Todos",'Plan mensual'!D85,0))+parametros_manuales!$G$28*('Plan mensual'!D82+IF(parametros_manuales!$H$28="Todos",'Plan mensual'!D86,0)))*parametros_manuales!$I$28*parametros_manuales!$J$28</f>
        <v>24945.9511945</v>
      </c>
      <c r="C200" s="9" t="n">
        <f aca="false">(parametros_manuales!$D$28*('Plan mensual'!E79+IF(parametros_manuales!$H$28="Todos",'Plan mensual'!E83,0))+parametros_manuales!$E$28*('Plan mensual'!E80+IF(parametros_manuales!$H$28="Todos",'Plan mensual'!E84,0))+parametros_manuales!$F$28*('Plan mensual'!E81+IF(parametros_manuales!$H$28="Todos",'Plan mensual'!E85,0))+parametros_manuales!$G$28*('Plan mensual'!E82+IF(parametros_manuales!$H$28="Todos",'Plan mensual'!E86,0)))*parametros_manuales!$I$28*parametros_manuales!$J$28</f>
        <v>19019.96248472</v>
      </c>
      <c r="D200" s="9" t="n">
        <f aca="false">(parametros_manuales!$D$28*('Plan mensual'!F79+IF(parametros_manuales!$H$28="Todos",'Plan mensual'!F83,0))+parametros_manuales!$E$28*('Plan mensual'!F80+IF(parametros_manuales!$H$28="Todos",'Plan mensual'!F84,0))+parametros_manuales!$F$28*('Plan mensual'!F81+IF(parametros_manuales!$H$28="Todos",'Plan mensual'!F85,0))+parametros_manuales!$G$28*('Plan mensual'!F82+IF(parametros_manuales!$H$28="Todos",'Plan mensual'!F86,0)))*parametros_manuales!$I$28*parametros_manuales!$J$28</f>
        <v>17769.130788765</v>
      </c>
      <c r="E200" s="9" t="n">
        <f aca="false">(parametros_manuales!$D$28*('Plan mensual'!G79+IF(parametros_manuales!$H$28="Todos",'Plan mensual'!G83,0))+parametros_manuales!$E$28*('Plan mensual'!G80+IF(parametros_manuales!$H$28="Todos",'Plan mensual'!G84,0))+parametros_manuales!$F$28*('Plan mensual'!G81+IF(parametros_manuales!$H$28="Todos",'Plan mensual'!G85,0))+parametros_manuales!$G$28*('Plan mensual'!G82+IF(parametros_manuales!$H$28="Todos",'Plan mensual'!G86,0)))*parametros_manuales!$I$28*parametros_manuales!$J$28</f>
        <v>16988.465396365</v>
      </c>
      <c r="F200" s="9" t="n">
        <f aca="false">(parametros_manuales!$D$28*('Plan mensual'!H79+IF(parametros_manuales!$H$28="Todos",'Plan mensual'!H83,0))+parametros_manuales!$E$28*('Plan mensual'!H80+IF(parametros_manuales!$H$28="Todos",'Plan mensual'!H84,0))+parametros_manuales!$F$28*('Plan mensual'!H81+IF(parametros_manuales!$H$28="Todos",'Plan mensual'!H85,0))+parametros_manuales!$G$28*('Plan mensual'!H82+IF(parametros_manuales!$H$28="Todos",'Plan mensual'!H86,0)))*parametros_manuales!$I$28*parametros_manuales!$J$28</f>
        <v>15897.30091512</v>
      </c>
      <c r="G200" s="9" t="n">
        <f aca="false">(parametros_manuales!$D$28*('Plan mensual'!I79+IF(parametros_manuales!$H$28="Todos",'Plan mensual'!I83,0))+parametros_manuales!$E$28*('Plan mensual'!I80+IF(parametros_manuales!$H$28="Todos",'Plan mensual'!I84,0))+parametros_manuales!$F$28*('Plan mensual'!I81+IF(parametros_manuales!$H$28="Todos",'Plan mensual'!I85,0))+parametros_manuales!$G$28*('Plan mensual'!I82+IF(parametros_manuales!$H$28="Todos",'Plan mensual'!I86,0)))*parametros_manuales!$I$28*parametros_manuales!$J$28</f>
        <v>15586.801826275</v>
      </c>
      <c r="H200" s="9" t="n">
        <f aca="false">(parametros_manuales!$D$28*('Plan mensual'!J79+IF(parametros_manuales!$H$28="Todos",'Plan mensual'!J83,0))+parametros_manuales!$E$28*('Plan mensual'!J80+IF(parametros_manuales!$H$28="Todos",'Plan mensual'!J84,0))+parametros_manuales!$F$28*('Plan mensual'!J81+IF(parametros_manuales!$H$28="Todos",'Plan mensual'!J85,0))+parametros_manuales!$G$28*('Plan mensual'!J82+IF(parametros_manuales!$H$28="Todos",'Plan mensual'!J86,0)))*parametros_manuales!$I$28*parametros_manuales!$J$28</f>
        <v>16677.96630752</v>
      </c>
      <c r="I200" s="9" t="n">
        <f aca="false">(parametros_manuales!$D$28*('Plan mensual'!K79+IF(parametros_manuales!$H$28="Todos",'Plan mensual'!K83,0))+parametros_manuales!$E$28*('Plan mensual'!K80+IF(parametros_manuales!$H$28="Todos",'Plan mensual'!K84,0))+parametros_manuales!$F$28*('Plan mensual'!K81+IF(parametros_manuales!$H$28="Todos",'Plan mensual'!K85,0))+parametros_manuales!$G$28*('Plan mensual'!K82+IF(parametros_manuales!$H$28="Todos",'Plan mensual'!K86,0)))*parametros_manuales!$I$28*parametros_manuales!$J$28</f>
        <v>16677.96630752</v>
      </c>
      <c r="J200" s="9" t="n">
        <f aca="false">(parametros_manuales!$D$28*('Plan mensual'!L79+IF(parametros_manuales!$H$28="Todos",'Plan mensual'!L83,0))+parametros_manuales!$E$28*('Plan mensual'!L80+IF(parametros_manuales!$H$28="Todos",'Plan mensual'!L84,0))+parametros_manuales!$F$28*('Plan mensual'!L81+IF(parametros_manuales!$H$28="Todos",'Plan mensual'!L85,0))+parametros_manuales!$G$28*('Plan mensual'!L82+IF(parametros_manuales!$H$28="Todos",'Plan mensual'!L86,0)))*parametros_manuales!$I$28*parametros_manuales!$J$28</f>
        <v>16677.96630752</v>
      </c>
      <c r="K200" s="9" t="n">
        <f aca="false">(parametros_manuales!$D$28*('Plan mensual'!M79+IF(parametros_manuales!$H$28="Todos",'Plan mensual'!M83,0))+parametros_manuales!$E$28*('Plan mensual'!M80+IF(parametros_manuales!$H$28="Todos",'Plan mensual'!M84,0))+parametros_manuales!$F$28*('Plan mensual'!M81+IF(parametros_manuales!$H$28="Todos",'Plan mensual'!M85,0))+parametros_manuales!$G$28*('Plan mensual'!M82+IF(parametros_manuales!$H$28="Todos",'Plan mensual'!M86,0)))*parametros_manuales!$I$28*parametros_manuales!$J$28</f>
        <v>16367.467218675</v>
      </c>
      <c r="L200" s="9" t="n">
        <f aca="false">(parametros_manuales!$D$28*('Plan mensual'!N79+IF(parametros_manuales!$H$28="Todos",'Plan mensual'!N83,0))+parametros_manuales!$E$28*('Plan mensual'!N80+IF(parametros_manuales!$H$28="Todos",'Plan mensual'!N84,0))+parametros_manuales!$F$28*('Plan mensual'!N81+IF(parametros_manuales!$H$28="Todos",'Plan mensual'!N85,0))+parametros_manuales!$G$28*('Plan mensual'!N82+IF(parametros_manuales!$H$28="Todos",'Plan mensual'!N86,0)))*parametros_manuales!$I$28*parametros_manuales!$J$28</f>
        <v>16056.96812983</v>
      </c>
      <c r="M200" s="9" t="n">
        <f aca="false">(parametros_manuales!$D$28*('Plan mensual'!O79+IF(parametros_manuales!$H$28="Todos",'Plan mensual'!O83,0))+parametros_manuales!$E$28*('Plan mensual'!O80+IF(parametros_manuales!$H$28="Todos",'Plan mensual'!O84,0))+parametros_manuales!$F$28*('Plan mensual'!O81+IF(parametros_manuales!$H$28="Todos",'Plan mensual'!O85,0))+parametros_manuales!$G$28*('Plan mensual'!O82+IF(parametros_manuales!$H$28="Todos",'Plan mensual'!O86,0)))*parametros_manuales!$I$28*parametros_manuales!$J$28</f>
        <v>25566.94937219</v>
      </c>
      <c r="N200" s="9" t="n">
        <f aca="false">SUM(B200:M200)</f>
        <v>218232.896249</v>
      </c>
      <c r="O200" s="9" t="n">
        <f aca="false">MAX(B200:M200)</f>
        <v>25566.94937219</v>
      </c>
      <c r="P200" s="43" t="n">
        <f aca="false">O200/(parametros_manuales!$B$7)</f>
        <v>170.446329147933</v>
      </c>
      <c r="Q200" s="8" t="str">
        <f aca="false">IF(O200=0,"-",INDEX($B$190:$M$190,MATCH(O200,B200:M200,0)))</f>
        <v>Dic</v>
      </c>
    </row>
    <row r="201" customFormat="false" ht="14.25" hidden="false" customHeight="true" outlineLevel="0" collapsed="false">
      <c r="A201" s="8" t="str">
        <f aca="false">parametros_manuales!$B$29</f>
        <v>Bordoneado</v>
      </c>
      <c r="B201" s="9" t="n">
        <f aca="false">(parametros_manuales!$D$29*('Plan mensual'!D79+IF(parametros_manuales!$H$29="Todos",'Plan mensual'!D83,0))+parametros_manuales!$E$29*('Plan mensual'!D80+IF(parametros_manuales!$H$29="Todos",'Plan mensual'!D84,0))+parametros_manuales!$F$29*('Plan mensual'!D81+IF(parametros_manuales!$H$29="Todos",'Plan mensual'!D85,0))+parametros_manuales!$G$29*('Plan mensual'!D82+IF(parametros_manuales!$H$29="Todos",'Plan mensual'!D86,0)))*parametros_manuales!$I$29*parametros_manuales!$J$29</f>
        <v>24945.9511945</v>
      </c>
      <c r="C201" s="9" t="n">
        <f aca="false">(parametros_manuales!$D$29*('Plan mensual'!E79+IF(parametros_manuales!$H$29="Todos",'Plan mensual'!E83,0))+parametros_manuales!$E$29*('Plan mensual'!E80+IF(parametros_manuales!$H$29="Todos",'Plan mensual'!E84,0))+parametros_manuales!$F$29*('Plan mensual'!E81+IF(parametros_manuales!$H$29="Todos",'Plan mensual'!E85,0))+parametros_manuales!$G$29*('Plan mensual'!E82+IF(parametros_manuales!$H$29="Todos",'Plan mensual'!E86,0)))*parametros_manuales!$I$29*parametros_manuales!$J$29</f>
        <v>19019.96248472</v>
      </c>
      <c r="D201" s="9" t="n">
        <f aca="false">(parametros_manuales!$D$29*('Plan mensual'!F79+IF(parametros_manuales!$H$29="Todos",'Plan mensual'!F83,0))+parametros_manuales!$E$29*('Plan mensual'!F80+IF(parametros_manuales!$H$29="Todos",'Plan mensual'!F84,0))+parametros_manuales!$F$29*('Plan mensual'!F81+IF(parametros_manuales!$H$29="Todos",'Plan mensual'!F85,0))+parametros_manuales!$G$29*('Plan mensual'!F82+IF(parametros_manuales!$H$29="Todos",'Plan mensual'!F86,0)))*parametros_manuales!$I$29*parametros_manuales!$J$29</f>
        <v>17769.130788765</v>
      </c>
      <c r="E201" s="9" t="n">
        <f aca="false">(parametros_manuales!$D$29*('Plan mensual'!G79+IF(parametros_manuales!$H$29="Todos",'Plan mensual'!G83,0))+parametros_manuales!$E$29*('Plan mensual'!G80+IF(parametros_manuales!$H$29="Todos",'Plan mensual'!G84,0))+parametros_manuales!$F$29*('Plan mensual'!G81+IF(parametros_manuales!$H$29="Todos",'Plan mensual'!G85,0))+parametros_manuales!$G$29*('Plan mensual'!G82+IF(parametros_manuales!$H$29="Todos",'Plan mensual'!G86,0)))*parametros_manuales!$I$29*parametros_manuales!$J$29</f>
        <v>16988.465396365</v>
      </c>
      <c r="F201" s="9" t="n">
        <f aca="false">(parametros_manuales!$D$29*('Plan mensual'!H79+IF(parametros_manuales!$H$29="Todos",'Plan mensual'!H83,0))+parametros_manuales!$E$29*('Plan mensual'!H80+IF(parametros_manuales!$H$29="Todos",'Plan mensual'!H84,0))+parametros_manuales!$F$29*('Plan mensual'!H81+IF(parametros_manuales!$H$29="Todos",'Plan mensual'!H85,0))+parametros_manuales!$G$29*('Plan mensual'!H82+IF(parametros_manuales!$H$29="Todos",'Plan mensual'!H86,0)))*parametros_manuales!$I$29*parametros_manuales!$J$29</f>
        <v>15897.30091512</v>
      </c>
      <c r="G201" s="9" t="n">
        <f aca="false">(parametros_manuales!$D$29*('Plan mensual'!I79+IF(parametros_manuales!$H$29="Todos",'Plan mensual'!I83,0))+parametros_manuales!$E$29*('Plan mensual'!I80+IF(parametros_manuales!$H$29="Todos",'Plan mensual'!I84,0))+parametros_manuales!$F$29*('Plan mensual'!I81+IF(parametros_manuales!$H$29="Todos",'Plan mensual'!I85,0))+parametros_manuales!$G$29*('Plan mensual'!I82+IF(parametros_manuales!$H$29="Todos",'Plan mensual'!I86,0)))*parametros_manuales!$I$29*parametros_manuales!$J$29</f>
        <v>15586.801826275</v>
      </c>
      <c r="H201" s="9" t="n">
        <f aca="false">(parametros_manuales!$D$29*('Plan mensual'!J79+IF(parametros_manuales!$H$29="Todos",'Plan mensual'!J83,0))+parametros_manuales!$E$29*('Plan mensual'!J80+IF(parametros_manuales!$H$29="Todos",'Plan mensual'!J84,0))+parametros_manuales!$F$29*('Plan mensual'!J81+IF(parametros_manuales!$H$29="Todos",'Plan mensual'!J85,0))+parametros_manuales!$G$29*('Plan mensual'!J82+IF(parametros_manuales!$H$29="Todos",'Plan mensual'!J86,0)))*parametros_manuales!$I$29*parametros_manuales!$J$29</f>
        <v>16677.96630752</v>
      </c>
      <c r="I201" s="9" t="n">
        <f aca="false">(parametros_manuales!$D$29*('Plan mensual'!K79+IF(parametros_manuales!$H$29="Todos",'Plan mensual'!K83,0))+parametros_manuales!$E$29*('Plan mensual'!K80+IF(parametros_manuales!$H$29="Todos",'Plan mensual'!K84,0))+parametros_manuales!$F$29*('Plan mensual'!K81+IF(parametros_manuales!$H$29="Todos",'Plan mensual'!K85,0))+parametros_manuales!$G$29*('Plan mensual'!K82+IF(parametros_manuales!$H$29="Todos",'Plan mensual'!K86,0)))*parametros_manuales!$I$29*parametros_manuales!$J$29</f>
        <v>16677.96630752</v>
      </c>
      <c r="J201" s="9" t="n">
        <f aca="false">(parametros_manuales!$D$29*('Plan mensual'!L79+IF(parametros_manuales!$H$29="Todos",'Plan mensual'!L83,0))+parametros_manuales!$E$29*('Plan mensual'!L80+IF(parametros_manuales!$H$29="Todos",'Plan mensual'!L84,0))+parametros_manuales!$F$29*('Plan mensual'!L81+IF(parametros_manuales!$H$29="Todos",'Plan mensual'!L85,0))+parametros_manuales!$G$29*('Plan mensual'!L82+IF(parametros_manuales!$H$29="Todos",'Plan mensual'!L86,0)))*parametros_manuales!$I$29*parametros_manuales!$J$29</f>
        <v>16677.96630752</v>
      </c>
      <c r="K201" s="9" t="n">
        <f aca="false">(parametros_manuales!$D$29*('Plan mensual'!M79+IF(parametros_manuales!$H$29="Todos",'Plan mensual'!M83,0))+parametros_manuales!$E$29*('Plan mensual'!M80+IF(parametros_manuales!$H$29="Todos",'Plan mensual'!M84,0))+parametros_manuales!$F$29*('Plan mensual'!M81+IF(parametros_manuales!$H$29="Todos",'Plan mensual'!M85,0))+parametros_manuales!$G$29*('Plan mensual'!M82+IF(parametros_manuales!$H$29="Todos",'Plan mensual'!M86,0)))*parametros_manuales!$I$29*parametros_manuales!$J$29</f>
        <v>16367.467218675</v>
      </c>
      <c r="L201" s="9" t="n">
        <f aca="false">(parametros_manuales!$D$29*('Plan mensual'!N79+IF(parametros_manuales!$H$29="Todos",'Plan mensual'!N83,0))+parametros_manuales!$E$29*('Plan mensual'!N80+IF(parametros_manuales!$H$29="Todos",'Plan mensual'!N84,0))+parametros_manuales!$F$29*('Plan mensual'!N81+IF(parametros_manuales!$H$29="Todos",'Plan mensual'!N85,0))+parametros_manuales!$G$29*('Plan mensual'!N82+IF(parametros_manuales!$H$29="Todos",'Plan mensual'!N86,0)))*parametros_manuales!$I$29*parametros_manuales!$J$29</f>
        <v>16056.96812983</v>
      </c>
      <c r="M201" s="9" t="n">
        <f aca="false">(parametros_manuales!$D$29*('Plan mensual'!O79+IF(parametros_manuales!$H$29="Todos",'Plan mensual'!O83,0))+parametros_manuales!$E$29*('Plan mensual'!O80+IF(parametros_manuales!$H$29="Todos",'Plan mensual'!O84,0))+parametros_manuales!$F$29*('Plan mensual'!O81+IF(parametros_manuales!$H$29="Todos",'Plan mensual'!O85,0))+parametros_manuales!$G$29*('Plan mensual'!O82+IF(parametros_manuales!$H$29="Todos",'Plan mensual'!O86,0)))*parametros_manuales!$I$29*parametros_manuales!$J$29</f>
        <v>25566.94937219</v>
      </c>
      <c r="N201" s="9" t="n">
        <f aca="false">SUM(B201:M201)</f>
        <v>218232.896249</v>
      </c>
      <c r="O201" s="9" t="n">
        <f aca="false">MAX(B201:M201)</f>
        <v>25566.94937219</v>
      </c>
      <c r="P201" s="43" t="n">
        <f aca="false">O201/(parametros_manuales!$B$7)</f>
        <v>170.446329147933</v>
      </c>
      <c r="Q201" s="8" t="str">
        <f aca="false">IF(O201=0,"-",INDEX($B$190:$M$190,MATCH(O201,B201:M201,0)))</f>
        <v>Dic</v>
      </c>
    </row>
    <row r="202" customFormat="false" ht="14.25" hidden="false" customHeight="true" outlineLevel="0" collapsed="false">
      <c r="A202" s="8" t="str">
        <f aca="false">parametros_manuales!$B$30</f>
        <v>Soldadura circunferencial de cúpula y fondo</v>
      </c>
      <c r="B202" s="9" t="n">
        <f aca="false">(parametros_manuales!$D$30*('Plan mensual'!D79+IF(parametros_manuales!$H$30="Todos",'Plan mensual'!D83,0))+parametros_manuales!$E$30*('Plan mensual'!D80+IF(parametros_manuales!$H$30="Todos",'Plan mensual'!D84,0))+parametros_manuales!$F$30*('Plan mensual'!D81+IF(parametros_manuales!$H$30="Todos",'Plan mensual'!D85,0))+parametros_manuales!$G$30*('Plan mensual'!D82+IF(parametros_manuales!$H$30="Todos",'Plan mensual'!D86,0)))*parametros_manuales!$I$30*parametros_manuales!$J$30</f>
        <v>24945.9511945</v>
      </c>
      <c r="C202" s="9" t="n">
        <f aca="false">(parametros_manuales!$D$30*('Plan mensual'!E79+IF(parametros_manuales!$H$30="Todos",'Plan mensual'!E83,0))+parametros_manuales!$E$30*('Plan mensual'!E80+IF(parametros_manuales!$H$30="Todos",'Plan mensual'!E84,0))+parametros_manuales!$F$30*('Plan mensual'!E81+IF(parametros_manuales!$H$30="Todos",'Plan mensual'!E85,0))+parametros_manuales!$G$30*('Plan mensual'!E82+IF(parametros_manuales!$H$30="Todos",'Plan mensual'!E86,0)))*parametros_manuales!$I$30*parametros_manuales!$J$30</f>
        <v>19019.96248472</v>
      </c>
      <c r="D202" s="9" t="n">
        <f aca="false">(parametros_manuales!$D$30*('Plan mensual'!F79+IF(parametros_manuales!$H$30="Todos",'Plan mensual'!F83,0))+parametros_manuales!$E$30*('Plan mensual'!F80+IF(parametros_manuales!$H$30="Todos",'Plan mensual'!F84,0))+parametros_manuales!$F$30*('Plan mensual'!F81+IF(parametros_manuales!$H$30="Todos",'Plan mensual'!F85,0))+parametros_manuales!$G$30*('Plan mensual'!F82+IF(parametros_manuales!$H$30="Todos",'Plan mensual'!F86,0)))*parametros_manuales!$I$30*parametros_manuales!$J$30</f>
        <v>17769.130788765</v>
      </c>
      <c r="E202" s="9" t="n">
        <f aca="false">(parametros_manuales!$D$30*('Plan mensual'!G79+IF(parametros_manuales!$H$30="Todos",'Plan mensual'!G83,0))+parametros_manuales!$E$30*('Plan mensual'!G80+IF(parametros_manuales!$H$30="Todos",'Plan mensual'!G84,0))+parametros_manuales!$F$30*('Plan mensual'!G81+IF(parametros_manuales!$H$30="Todos",'Plan mensual'!G85,0))+parametros_manuales!$G$30*('Plan mensual'!G82+IF(parametros_manuales!$H$30="Todos",'Plan mensual'!G86,0)))*parametros_manuales!$I$30*parametros_manuales!$J$30</f>
        <v>16988.465396365</v>
      </c>
      <c r="F202" s="9" t="n">
        <f aca="false">(parametros_manuales!$D$30*('Plan mensual'!H79+IF(parametros_manuales!$H$30="Todos",'Plan mensual'!H83,0))+parametros_manuales!$E$30*('Plan mensual'!H80+IF(parametros_manuales!$H$30="Todos",'Plan mensual'!H84,0))+parametros_manuales!$F$30*('Plan mensual'!H81+IF(parametros_manuales!$H$30="Todos",'Plan mensual'!H85,0))+parametros_manuales!$G$30*('Plan mensual'!H82+IF(parametros_manuales!$H$30="Todos",'Plan mensual'!H86,0)))*parametros_manuales!$I$30*parametros_manuales!$J$30</f>
        <v>15897.30091512</v>
      </c>
      <c r="G202" s="9" t="n">
        <f aca="false">(parametros_manuales!$D$30*('Plan mensual'!I79+IF(parametros_manuales!$H$30="Todos",'Plan mensual'!I83,0))+parametros_manuales!$E$30*('Plan mensual'!I80+IF(parametros_manuales!$H$30="Todos",'Plan mensual'!I84,0))+parametros_manuales!$F$30*('Plan mensual'!I81+IF(parametros_manuales!$H$30="Todos",'Plan mensual'!I85,0))+parametros_manuales!$G$30*('Plan mensual'!I82+IF(parametros_manuales!$H$30="Todos",'Plan mensual'!I86,0)))*parametros_manuales!$I$30*parametros_manuales!$J$30</f>
        <v>15586.801826275</v>
      </c>
      <c r="H202" s="9" t="n">
        <f aca="false">(parametros_manuales!$D$30*('Plan mensual'!J79+IF(parametros_manuales!$H$30="Todos",'Plan mensual'!J83,0))+parametros_manuales!$E$30*('Plan mensual'!J80+IF(parametros_manuales!$H$30="Todos",'Plan mensual'!J84,0))+parametros_manuales!$F$30*('Plan mensual'!J81+IF(parametros_manuales!$H$30="Todos",'Plan mensual'!J85,0))+parametros_manuales!$G$30*('Plan mensual'!J82+IF(parametros_manuales!$H$30="Todos",'Plan mensual'!J86,0)))*parametros_manuales!$I$30*parametros_manuales!$J$30</f>
        <v>16677.96630752</v>
      </c>
      <c r="I202" s="9" t="n">
        <f aca="false">(parametros_manuales!$D$30*('Plan mensual'!K79+IF(parametros_manuales!$H$30="Todos",'Plan mensual'!K83,0))+parametros_manuales!$E$30*('Plan mensual'!K80+IF(parametros_manuales!$H$30="Todos",'Plan mensual'!K84,0))+parametros_manuales!$F$30*('Plan mensual'!K81+IF(parametros_manuales!$H$30="Todos",'Plan mensual'!K85,0))+parametros_manuales!$G$30*('Plan mensual'!K82+IF(parametros_manuales!$H$30="Todos",'Plan mensual'!K86,0)))*parametros_manuales!$I$30*parametros_manuales!$J$30</f>
        <v>16677.96630752</v>
      </c>
      <c r="J202" s="9" t="n">
        <f aca="false">(parametros_manuales!$D$30*('Plan mensual'!L79+IF(parametros_manuales!$H$30="Todos",'Plan mensual'!L83,0))+parametros_manuales!$E$30*('Plan mensual'!L80+IF(parametros_manuales!$H$30="Todos",'Plan mensual'!L84,0))+parametros_manuales!$F$30*('Plan mensual'!L81+IF(parametros_manuales!$H$30="Todos",'Plan mensual'!L85,0))+parametros_manuales!$G$30*('Plan mensual'!L82+IF(parametros_manuales!$H$30="Todos",'Plan mensual'!L86,0)))*parametros_manuales!$I$30*parametros_manuales!$J$30</f>
        <v>16677.96630752</v>
      </c>
      <c r="K202" s="9" t="n">
        <f aca="false">(parametros_manuales!$D$30*('Plan mensual'!M79+IF(parametros_manuales!$H$30="Todos",'Plan mensual'!M83,0))+parametros_manuales!$E$30*('Plan mensual'!M80+IF(parametros_manuales!$H$30="Todos",'Plan mensual'!M84,0))+parametros_manuales!$F$30*('Plan mensual'!M81+IF(parametros_manuales!$H$30="Todos",'Plan mensual'!M85,0))+parametros_manuales!$G$30*('Plan mensual'!M82+IF(parametros_manuales!$H$30="Todos",'Plan mensual'!M86,0)))*parametros_manuales!$I$30*parametros_manuales!$J$30</f>
        <v>16367.467218675</v>
      </c>
      <c r="L202" s="9" t="n">
        <f aca="false">(parametros_manuales!$D$30*('Plan mensual'!N79+IF(parametros_manuales!$H$30="Todos",'Plan mensual'!N83,0))+parametros_manuales!$E$30*('Plan mensual'!N80+IF(parametros_manuales!$H$30="Todos",'Plan mensual'!N84,0))+parametros_manuales!$F$30*('Plan mensual'!N81+IF(parametros_manuales!$H$30="Todos",'Plan mensual'!N85,0))+parametros_manuales!$G$30*('Plan mensual'!N82+IF(parametros_manuales!$H$30="Todos",'Plan mensual'!N86,0)))*parametros_manuales!$I$30*parametros_manuales!$J$30</f>
        <v>16056.96812983</v>
      </c>
      <c r="M202" s="9" t="n">
        <f aca="false">(parametros_manuales!$D$30*('Plan mensual'!O79+IF(parametros_manuales!$H$30="Todos",'Plan mensual'!O83,0))+parametros_manuales!$E$30*('Plan mensual'!O80+IF(parametros_manuales!$H$30="Todos",'Plan mensual'!O84,0))+parametros_manuales!$F$30*('Plan mensual'!O81+IF(parametros_manuales!$H$30="Todos",'Plan mensual'!O85,0))+parametros_manuales!$G$30*('Plan mensual'!O82+IF(parametros_manuales!$H$30="Todos",'Plan mensual'!O86,0)))*parametros_manuales!$I$30*parametros_manuales!$J$30</f>
        <v>25566.94937219</v>
      </c>
      <c r="N202" s="9" t="n">
        <f aca="false">SUM(B202:M202)</f>
        <v>218232.896249</v>
      </c>
      <c r="O202" s="9" t="n">
        <f aca="false">MAX(B202:M202)</f>
        <v>25566.94937219</v>
      </c>
      <c r="P202" s="43" t="n">
        <f aca="false">O202/(parametros_manuales!$B$7)</f>
        <v>170.446329147933</v>
      </c>
      <c r="Q202" s="8" t="str">
        <f aca="false">IF(O202=0,"-",INDEX($B$190:$M$190,MATCH(O202,B202:M202,0)))</f>
        <v>Dic</v>
      </c>
    </row>
    <row r="203" customFormat="false" ht="14.25" hidden="false" customHeight="true" outlineLevel="0" collapsed="false">
      <c r="A203" s="8" t="str">
        <f aca="false">parametros_manuales!$B$31</f>
        <v>Control de calidad — Espesor</v>
      </c>
      <c r="B203" s="9" t="n">
        <f aca="false">(parametros_manuales!$D$31*('Plan mensual'!D79+IF(parametros_manuales!$H$31="Todos",'Plan mensual'!D83,0))+parametros_manuales!$E$31*('Plan mensual'!D80+IF(parametros_manuales!$H$31="Todos",'Plan mensual'!D84,0))+parametros_manuales!$F$31*('Plan mensual'!D81+IF(parametros_manuales!$H$31="Todos",'Plan mensual'!D85,0))+parametros_manuales!$G$31*('Plan mensual'!D82+IF(parametros_manuales!$H$31="Todos",'Plan mensual'!D86,0)))*parametros_manuales!$I$31*parametros_manuales!$J$31</f>
        <v>498.91902389</v>
      </c>
      <c r="C203" s="9" t="n">
        <f aca="false">(parametros_manuales!$D$31*('Plan mensual'!E79+IF(parametros_manuales!$H$31="Todos",'Plan mensual'!E83,0))+parametros_manuales!$E$31*('Plan mensual'!E80+IF(parametros_manuales!$H$31="Todos",'Plan mensual'!E84,0))+parametros_manuales!$F$31*('Plan mensual'!E81+IF(parametros_manuales!$H$31="Todos",'Plan mensual'!E85,0))+parametros_manuales!$G$31*('Plan mensual'!E82+IF(parametros_manuales!$H$31="Todos",'Plan mensual'!E86,0)))*parametros_manuales!$I$31*parametros_manuales!$J$31</f>
        <v>380.3992496944</v>
      </c>
      <c r="D203" s="9" t="n">
        <f aca="false">(parametros_manuales!$D$31*('Plan mensual'!F79+IF(parametros_manuales!$H$31="Todos",'Plan mensual'!F83,0))+parametros_manuales!$E$31*('Plan mensual'!F80+IF(parametros_manuales!$H$31="Todos",'Plan mensual'!F84,0))+parametros_manuales!$F$31*('Plan mensual'!F81+IF(parametros_manuales!$H$31="Todos",'Plan mensual'!F85,0))+parametros_manuales!$G$31*('Plan mensual'!F82+IF(parametros_manuales!$H$31="Todos",'Plan mensual'!F86,0)))*parametros_manuales!$I$31*parametros_manuales!$J$31</f>
        <v>355.3826157753</v>
      </c>
      <c r="E203" s="9" t="n">
        <f aca="false">(parametros_manuales!$D$31*('Plan mensual'!G79+IF(parametros_manuales!$H$31="Todos",'Plan mensual'!G83,0))+parametros_manuales!$E$31*('Plan mensual'!G80+IF(parametros_manuales!$H$31="Todos",'Plan mensual'!G84,0))+parametros_manuales!$F$31*('Plan mensual'!G81+IF(parametros_manuales!$H$31="Todos",'Plan mensual'!G85,0))+parametros_manuales!$G$31*('Plan mensual'!G82+IF(parametros_manuales!$H$31="Todos",'Plan mensual'!G86,0)))*parametros_manuales!$I$31*parametros_manuales!$J$31</f>
        <v>339.7693079273</v>
      </c>
      <c r="F203" s="9" t="n">
        <f aca="false">(parametros_manuales!$D$31*('Plan mensual'!H79+IF(parametros_manuales!$H$31="Todos",'Plan mensual'!H83,0))+parametros_manuales!$E$31*('Plan mensual'!H80+IF(parametros_manuales!$H$31="Todos",'Plan mensual'!H84,0))+parametros_manuales!$F$31*('Plan mensual'!H81+IF(parametros_manuales!$H$31="Todos",'Plan mensual'!H85,0))+parametros_manuales!$G$31*('Plan mensual'!H82+IF(parametros_manuales!$H$31="Todos",'Plan mensual'!H86,0)))*parametros_manuales!$I$31*parametros_manuales!$J$31</f>
        <v>317.9460183024</v>
      </c>
      <c r="G203" s="9" t="n">
        <f aca="false">(parametros_manuales!$D$31*('Plan mensual'!I79+IF(parametros_manuales!$H$31="Todos",'Plan mensual'!I83,0))+parametros_manuales!$E$31*('Plan mensual'!I80+IF(parametros_manuales!$H$31="Todos",'Plan mensual'!I84,0))+parametros_manuales!$F$31*('Plan mensual'!I81+IF(parametros_manuales!$H$31="Todos",'Plan mensual'!I85,0))+parametros_manuales!$G$31*('Plan mensual'!I82+IF(parametros_manuales!$H$31="Todos",'Plan mensual'!I86,0)))*parametros_manuales!$I$31*parametros_manuales!$J$31</f>
        <v>311.7360365255</v>
      </c>
      <c r="H203" s="9" t="n">
        <f aca="false">(parametros_manuales!$D$31*('Plan mensual'!J79+IF(parametros_manuales!$H$31="Todos",'Plan mensual'!J83,0))+parametros_manuales!$E$31*('Plan mensual'!J80+IF(parametros_manuales!$H$31="Todos",'Plan mensual'!J84,0))+parametros_manuales!$F$31*('Plan mensual'!J81+IF(parametros_manuales!$H$31="Todos",'Plan mensual'!J85,0))+parametros_manuales!$G$31*('Plan mensual'!J82+IF(parametros_manuales!$H$31="Todos",'Plan mensual'!J86,0)))*parametros_manuales!$I$31*parametros_manuales!$J$31</f>
        <v>333.5593261504</v>
      </c>
      <c r="I203" s="9" t="n">
        <f aca="false">(parametros_manuales!$D$31*('Plan mensual'!K79+IF(parametros_manuales!$H$31="Todos",'Plan mensual'!K83,0))+parametros_manuales!$E$31*('Plan mensual'!K80+IF(parametros_manuales!$H$31="Todos",'Plan mensual'!K84,0))+parametros_manuales!$F$31*('Plan mensual'!K81+IF(parametros_manuales!$H$31="Todos",'Plan mensual'!K85,0))+parametros_manuales!$G$31*('Plan mensual'!K82+IF(parametros_manuales!$H$31="Todos",'Plan mensual'!K86,0)))*parametros_manuales!$I$31*parametros_manuales!$J$31</f>
        <v>333.5593261504</v>
      </c>
      <c r="J203" s="9" t="n">
        <f aca="false">(parametros_manuales!$D$31*('Plan mensual'!L79+IF(parametros_manuales!$H$31="Todos",'Plan mensual'!L83,0))+parametros_manuales!$E$31*('Plan mensual'!L80+IF(parametros_manuales!$H$31="Todos",'Plan mensual'!L84,0))+parametros_manuales!$F$31*('Plan mensual'!L81+IF(parametros_manuales!$H$31="Todos",'Plan mensual'!L85,0))+parametros_manuales!$G$31*('Plan mensual'!L82+IF(parametros_manuales!$H$31="Todos",'Plan mensual'!L86,0)))*parametros_manuales!$I$31*parametros_manuales!$J$31</f>
        <v>333.5593261504</v>
      </c>
      <c r="K203" s="9" t="n">
        <f aca="false">(parametros_manuales!$D$31*('Plan mensual'!M79+IF(parametros_manuales!$H$31="Todos",'Plan mensual'!M83,0))+parametros_manuales!$E$31*('Plan mensual'!M80+IF(parametros_manuales!$H$31="Todos",'Plan mensual'!M84,0))+parametros_manuales!$F$31*('Plan mensual'!M81+IF(parametros_manuales!$H$31="Todos",'Plan mensual'!M85,0))+parametros_manuales!$G$31*('Plan mensual'!M82+IF(parametros_manuales!$H$31="Todos",'Plan mensual'!M86,0)))*parametros_manuales!$I$31*parametros_manuales!$J$31</f>
        <v>327.3493443735</v>
      </c>
      <c r="L203" s="9" t="n">
        <f aca="false">(parametros_manuales!$D$31*('Plan mensual'!N79+IF(parametros_manuales!$H$31="Todos",'Plan mensual'!N83,0))+parametros_manuales!$E$31*('Plan mensual'!N80+IF(parametros_manuales!$H$31="Todos",'Plan mensual'!N84,0))+parametros_manuales!$F$31*('Plan mensual'!N81+IF(parametros_manuales!$H$31="Todos",'Plan mensual'!N85,0))+parametros_manuales!$G$31*('Plan mensual'!N82+IF(parametros_manuales!$H$31="Todos",'Plan mensual'!N86,0)))*parametros_manuales!$I$31*parametros_manuales!$J$31</f>
        <v>321.1393625966</v>
      </c>
      <c r="M203" s="9" t="n">
        <f aca="false">(parametros_manuales!$D$31*('Plan mensual'!O79+IF(parametros_manuales!$H$31="Todos",'Plan mensual'!O83,0))+parametros_manuales!$E$31*('Plan mensual'!O80+IF(parametros_manuales!$H$31="Todos",'Plan mensual'!O84,0))+parametros_manuales!$F$31*('Plan mensual'!O81+IF(parametros_manuales!$H$31="Todos",'Plan mensual'!O85,0))+parametros_manuales!$G$31*('Plan mensual'!O82+IF(parametros_manuales!$H$31="Todos",'Plan mensual'!O86,0)))*parametros_manuales!$I$31*parametros_manuales!$J$31</f>
        <v>511.3389874438</v>
      </c>
      <c r="N203" s="9" t="n">
        <f aca="false">SUM(B203:M203)</f>
        <v>4364.65792498</v>
      </c>
      <c r="O203" s="9" t="n">
        <f aca="false">MAX(B203:M203)</f>
        <v>511.3389874438</v>
      </c>
      <c r="P203" s="43" t="n">
        <f aca="false">O203/(parametros_manuales!$B$7)</f>
        <v>3.40892658295867</v>
      </c>
      <c r="Q203" s="8" t="str">
        <f aca="false">IF(O203=0,"-",INDEX($B$190:$M$190,MATCH(O203,B203:M203,0)))</f>
        <v>Dic</v>
      </c>
    </row>
    <row r="204" customFormat="false" ht="14.25" hidden="false" customHeight="true" outlineLevel="0" collapsed="false">
      <c r="A204" s="8" t="str">
        <f aca="false">parametros_manuales!$B$32</f>
        <v>Prueba hidráulica</v>
      </c>
      <c r="B204" s="9" t="n">
        <f aca="false">(parametros_manuales!$D$32*('Plan mensual'!D79+IF(parametros_manuales!$H$32="Todos",'Plan mensual'!D83,0))+parametros_manuales!$E$32*('Plan mensual'!D80+IF(parametros_manuales!$H$32="Todos",'Plan mensual'!D84,0))+parametros_manuales!$F$32*('Plan mensual'!D81+IF(parametros_manuales!$H$32="Todos",'Plan mensual'!D85,0))+parametros_manuales!$G$32*('Plan mensual'!D82+IF(parametros_manuales!$H$32="Todos",'Plan mensual'!D86,0)))*parametros_manuales!$I$32*parametros_manuales!$J$32</f>
        <v>24945.9511945</v>
      </c>
      <c r="C204" s="9" t="n">
        <f aca="false">(parametros_manuales!$D$32*('Plan mensual'!E79+IF(parametros_manuales!$H$32="Todos",'Plan mensual'!E83,0))+parametros_manuales!$E$32*('Plan mensual'!E80+IF(parametros_manuales!$H$32="Todos",'Plan mensual'!E84,0))+parametros_manuales!$F$32*('Plan mensual'!E81+IF(parametros_manuales!$H$32="Todos",'Plan mensual'!E85,0))+parametros_manuales!$G$32*('Plan mensual'!E82+IF(parametros_manuales!$H$32="Todos",'Plan mensual'!E86,0)))*parametros_manuales!$I$32*parametros_manuales!$J$32</f>
        <v>19019.96248472</v>
      </c>
      <c r="D204" s="9" t="n">
        <f aca="false">(parametros_manuales!$D$32*('Plan mensual'!F79+IF(parametros_manuales!$H$32="Todos",'Plan mensual'!F83,0))+parametros_manuales!$E$32*('Plan mensual'!F80+IF(parametros_manuales!$H$32="Todos",'Plan mensual'!F84,0))+parametros_manuales!$F$32*('Plan mensual'!F81+IF(parametros_manuales!$H$32="Todos",'Plan mensual'!F85,0))+parametros_manuales!$G$32*('Plan mensual'!F82+IF(parametros_manuales!$H$32="Todos",'Plan mensual'!F86,0)))*parametros_manuales!$I$32*parametros_manuales!$J$32</f>
        <v>17769.130788765</v>
      </c>
      <c r="E204" s="9" t="n">
        <f aca="false">(parametros_manuales!$D$32*('Plan mensual'!G79+IF(parametros_manuales!$H$32="Todos",'Plan mensual'!G83,0))+parametros_manuales!$E$32*('Plan mensual'!G80+IF(parametros_manuales!$H$32="Todos",'Plan mensual'!G84,0))+parametros_manuales!$F$32*('Plan mensual'!G81+IF(parametros_manuales!$H$32="Todos",'Plan mensual'!G85,0))+parametros_manuales!$G$32*('Plan mensual'!G82+IF(parametros_manuales!$H$32="Todos",'Plan mensual'!G86,0)))*parametros_manuales!$I$32*parametros_manuales!$J$32</f>
        <v>16988.465396365</v>
      </c>
      <c r="F204" s="9" t="n">
        <f aca="false">(parametros_manuales!$D$32*('Plan mensual'!H79+IF(parametros_manuales!$H$32="Todos",'Plan mensual'!H83,0))+parametros_manuales!$E$32*('Plan mensual'!H80+IF(parametros_manuales!$H$32="Todos",'Plan mensual'!H84,0))+parametros_manuales!$F$32*('Plan mensual'!H81+IF(parametros_manuales!$H$32="Todos",'Plan mensual'!H85,0))+parametros_manuales!$G$32*('Plan mensual'!H82+IF(parametros_manuales!$H$32="Todos",'Plan mensual'!H86,0)))*parametros_manuales!$I$32*parametros_manuales!$J$32</f>
        <v>15897.30091512</v>
      </c>
      <c r="G204" s="9" t="n">
        <f aca="false">(parametros_manuales!$D$32*('Plan mensual'!I79+IF(parametros_manuales!$H$32="Todos",'Plan mensual'!I83,0))+parametros_manuales!$E$32*('Plan mensual'!I80+IF(parametros_manuales!$H$32="Todos",'Plan mensual'!I84,0))+parametros_manuales!$F$32*('Plan mensual'!I81+IF(parametros_manuales!$H$32="Todos",'Plan mensual'!I85,0))+parametros_manuales!$G$32*('Plan mensual'!I82+IF(parametros_manuales!$H$32="Todos",'Plan mensual'!I86,0)))*parametros_manuales!$I$32*parametros_manuales!$J$32</f>
        <v>15586.801826275</v>
      </c>
      <c r="H204" s="9" t="n">
        <f aca="false">(parametros_manuales!$D$32*('Plan mensual'!J79+IF(parametros_manuales!$H$32="Todos",'Plan mensual'!J83,0))+parametros_manuales!$E$32*('Plan mensual'!J80+IF(parametros_manuales!$H$32="Todos",'Plan mensual'!J84,0))+parametros_manuales!$F$32*('Plan mensual'!J81+IF(parametros_manuales!$H$32="Todos",'Plan mensual'!J85,0))+parametros_manuales!$G$32*('Plan mensual'!J82+IF(parametros_manuales!$H$32="Todos",'Plan mensual'!J86,0)))*parametros_manuales!$I$32*parametros_manuales!$J$32</f>
        <v>16677.96630752</v>
      </c>
      <c r="I204" s="9" t="n">
        <f aca="false">(parametros_manuales!$D$32*('Plan mensual'!K79+IF(parametros_manuales!$H$32="Todos",'Plan mensual'!K83,0))+parametros_manuales!$E$32*('Plan mensual'!K80+IF(parametros_manuales!$H$32="Todos",'Plan mensual'!K84,0))+parametros_manuales!$F$32*('Plan mensual'!K81+IF(parametros_manuales!$H$32="Todos",'Plan mensual'!K85,0))+parametros_manuales!$G$32*('Plan mensual'!K82+IF(parametros_manuales!$H$32="Todos",'Plan mensual'!K86,0)))*parametros_manuales!$I$32*parametros_manuales!$J$32</f>
        <v>16677.96630752</v>
      </c>
      <c r="J204" s="9" t="n">
        <f aca="false">(parametros_manuales!$D$32*('Plan mensual'!L79+IF(parametros_manuales!$H$32="Todos",'Plan mensual'!L83,0))+parametros_manuales!$E$32*('Plan mensual'!L80+IF(parametros_manuales!$H$32="Todos",'Plan mensual'!L84,0))+parametros_manuales!$F$32*('Plan mensual'!L81+IF(parametros_manuales!$H$32="Todos",'Plan mensual'!L85,0))+parametros_manuales!$G$32*('Plan mensual'!L82+IF(parametros_manuales!$H$32="Todos",'Plan mensual'!L86,0)))*parametros_manuales!$I$32*parametros_manuales!$J$32</f>
        <v>16677.96630752</v>
      </c>
      <c r="K204" s="9" t="n">
        <f aca="false">(parametros_manuales!$D$32*('Plan mensual'!M79+IF(parametros_manuales!$H$32="Todos",'Plan mensual'!M83,0))+parametros_manuales!$E$32*('Plan mensual'!M80+IF(parametros_manuales!$H$32="Todos",'Plan mensual'!M84,0))+parametros_manuales!$F$32*('Plan mensual'!M81+IF(parametros_manuales!$H$32="Todos",'Plan mensual'!M85,0))+parametros_manuales!$G$32*('Plan mensual'!M82+IF(parametros_manuales!$H$32="Todos",'Plan mensual'!M86,0)))*parametros_manuales!$I$32*parametros_manuales!$J$32</f>
        <v>16367.467218675</v>
      </c>
      <c r="L204" s="9" t="n">
        <f aca="false">(parametros_manuales!$D$32*('Plan mensual'!N79+IF(parametros_manuales!$H$32="Todos",'Plan mensual'!N83,0))+parametros_manuales!$E$32*('Plan mensual'!N80+IF(parametros_manuales!$H$32="Todos",'Plan mensual'!N84,0))+parametros_manuales!$F$32*('Plan mensual'!N81+IF(parametros_manuales!$H$32="Todos",'Plan mensual'!N85,0))+parametros_manuales!$G$32*('Plan mensual'!N82+IF(parametros_manuales!$H$32="Todos",'Plan mensual'!N86,0)))*parametros_manuales!$I$32*parametros_manuales!$J$32</f>
        <v>16056.96812983</v>
      </c>
      <c r="M204" s="9" t="n">
        <f aca="false">(parametros_manuales!$D$32*('Plan mensual'!O79+IF(parametros_manuales!$H$32="Todos",'Plan mensual'!O83,0))+parametros_manuales!$E$32*('Plan mensual'!O80+IF(parametros_manuales!$H$32="Todos",'Plan mensual'!O84,0))+parametros_manuales!$F$32*('Plan mensual'!O81+IF(parametros_manuales!$H$32="Todos",'Plan mensual'!O85,0))+parametros_manuales!$G$32*('Plan mensual'!O82+IF(parametros_manuales!$H$32="Todos",'Plan mensual'!O86,0)))*parametros_manuales!$I$32*parametros_manuales!$J$32</f>
        <v>25566.94937219</v>
      </c>
      <c r="N204" s="9" t="n">
        <f aca="false">SUM(B204:M204)</f>
        <v>218232.896249</v>
      </c>
      <c r="O204" s="9" t="n">
        <f aca="false">MAX(B204:M204)</f>
        <v>25566.94937219</v>
      </c>
      <c r="P204" s="43" t="n">
        <f aca="false">O204/(parametros_manuales!$B$7)</f>
        <v>170.446329147933</v>
      </c>
      <c r="Q204" s="8" t="str">
        <f aca="false">IF(O204=0,"-",INDEX($B$190:$M$190,MATCH(O204,B204:M204,0)))</f>
        <v>Dic</v>
      </c>
    </row>
    <row r="205" customFormat="false" ht="14.25" hidden="false" customHeight="true" outlineLevel="0" collapsed="false">
      <c r="A205" s="8" t="str">
        <f aca="false">parametros_manuales!$B$33</f>
        <v>Secado</v>
      </c>
      <c r="B205" s="9" t="n">
        <f aca="false">(parametros_manuales!$D$33*('Plan mensual'!D79+IF(parametros_manuales!$H$33="Todos",'Plan mensual'!D83,0))+parametros_manuales!$E$33*('Plan mensual'!D80+IF(parametros_manuales!$H$33="Todos",'Plan mensual'!D84,0))+parametros_manuales!$F$33*('Plan mensual'!D81+IF(parametros_manuales!$H$33="Todos",'Plan mensual'!D85,0))+parametros_manuales!$G$33*('Plan mensual'!D82+IF(parametros_manuales!$H$33="Todos",'Plan mensual'!D86,0)))*parametros_manuales!$I$33*parametros_manuales!$J$33</f>
        <v>24945.9511945</v>
      </c>
      <c r="C205" s="9" t="n">
        <f aca="false">(parametros_manuales!$D$33*('Plan mensual'!E79+IF(parametros_manuales!$H$33="Todos",'Plan mensual'!E83,0))+parametros_manuales!$E$33*('Plan mensual'!E80+IF(parametros_manuales!$H$33="Todos",'Plan mensual'!E84,0))+parametros_manuales!$F$33*('Plan mensual'!E81+IF(parametros_manuales!$H$33="Todos",'Plan mensual'!E85,0))+parametros_manuales!$G$33*('Plan mensual'!E82+IF(parametros_manuales!$H$33="Todos",'Plan mensual'!E86,0)))*parametros_manuales!$I$33*parametros_manuales!$J$33</f>
        <v>19019.96248472</v>
      </c>
      <c r="D205" s="9" t="n">
        <f aca="false">(parametros_manuales!$D$33*('Plan mensual'!F79+IF(parametros_manuales!$H$33="Todos",'Plan mensual'!F83,0))+parametros_manuales!$E$33*('Plan mensual'!F80+IF(parametros_manuales!$H$33="Todos",'Plan mensual'!F84,0))+parametros_manuales!$F$33*('Plan mensual'!F81+IF(parametros_manuales!$H$33="Todos",'Plan mensual'!F85,0))+parametros_manuales!$G$33*('Plan mensual'!F82+IF(parametros_manuales!$H$33="Todos",'Plan mensual'!F86,0)))*parametros_manuales!$I$33*parametros_manuales!$J$33</f>
        <v>17769.130788765</v>
      </c>
      <c r="E205" s="9" t="n">
        <f aca="false">(parametros_manuales!$D$33*('Plan mensual'!G79+IF(parametros_manuales!$H$33="Todos",'Plan mensual'!G83,0))+parametros_manuales!$E$33*('Plan mensual'!G80+IF(parametros_manuales!$H$33="Todos",'Plan mensual'!G84,0))+parametros_manuales!$F$33*('Plan mensual'!G81+IF(parametros_manuales!$H$33="Todos",'Plan mensual'!G85,0))+parametros_manuales!$G$33*('Plan mensual'!G82+IF(parametros_manuales!$H$33="Todos",'Plan mensual'!G86,0)))*parametros_manuales!$I$33*parametros_manuales!$J$33</f>
        <v>16988.465396365</v>
      </c>
      <c r="F205" s="9" t="n">
        <f aca="false">(parametros_manuales!$D$33*('Plan mensual'!H79+IF(parametros_manuales!$H$33="Todos",'Plan mensual'!H83,0))+parametros_manuales!$E$33*('Plan mensual'!H80+IF(parametros_manuales!$H$33="Todos",'Plan mensual'!H84,0))+parametros_manuales!$F$33*('Plan mensual'!H81+IF(parametros_manuales!$H$33="Todos",'Plan mensual'!H85,0))+parametros_manuales!$G$33*('Plan mensual'!H82+IF(parametros_manuales!$H$33="Todos",'Plan mensual'!H86,0)))*parametros_manuales!$I$33*parametros_manuales!$J$33</f>
        <v>15897.30091512</v>
      </c>
      <c r="G205" s="9" t="n">
        <f aca="false">(parametros_manuales!$D$33*('Plan mensual'!I79+IF(parametros_manuales!$H$33="Todos",'Plan mensual'!I83,0))+parametros_manuales!$E$33*('Plan mensual'!I80+IF(parametros_manuales!$H$33="Todos",'Plan mensual'!I84,0))+parametros_manuales!$F$33*('Plan mensual'!I81+IF(parametros_manuales!$H$33="Todos",'Plan mensual'!I85,0))+parametros_manuales!$G$33*('Plan mensual'!I82+IF(parametros_manuales!$H$33="Todos",'Plan mensual'!I86,0)))*parametros_manuales!$I$33*parametros_manuales!$J$33</f>
        <v>15586.801826275</v>
      </c>
      <c r="H205" s="9" t="n">
        <f aca="false">(parametros_manuales!$D$33*('Plan mensual'!J79+IF(parametros_manuales!$H$33="Todos",'Plan mensual'!J83,0))+parametros_manuales!$E$33*('Plan mensual'!J80+IF(parametros_manuales!$H$33="Todos",'Plan mensual'!J84,0))+parametros_manuales!$F$33*('Plan mensual'!J81+IF(parametros_manuales!$H$33="Todos",'Plan mensual'!J85,0))+parametros_manuales!$G$33*('Plan mensual'!J82+IF(parametros_manuales!$H$33="Todos",'Plan mensual'!J86,0)))*parametros_manuales!$I$33*parametros_manuales!$J$33</f>
        <v>16677.96630752</v>
      </c>
      <c r="I205" s="9" t="n">
        <f aca="false">(parametros_manuales!$D$33*('Plan mensual'!K79+IF(parametros_manuales!$H$33="Todos",'Plan mensual'!K83,0))+parametros_manuales!$E$33*('Plan mensual'!K80+IF(parametros_manuales!$H$33="Todos",'Plan mensual'!K84,0))+parametros_manuales!$F$33*('Plan mensual'!K81+IF(parametros_manuales!$H$33="Todos",'Plan mensual'!K85,0))+parametros_manuales!$G$33*('Plan mensual'!K82+IF(parametros_manuales!$H$33="Todos",'Plan mensual'!K86,0)))*parametros_manuales!$I$33*parametros_manuales!$J$33</f>
        <v>16677.96630752</v>
      </c>
      <c r="J205" s="9" t="n">
        <f aca="false">(parametros_manuales!$D$33*('Plan mensual'!L79+IF(parametros_manuales!$H$33="Todos",'Plan mensual'!L83,0))+parametros_manuales!$E$33*('Plan mensual'!L80+IF(parametros_manuales!$H$33="Todos",'Plan mensual'!L84,0))+parametros_manuales!$F$33*('Plan mensual'!L81+IF(parametros_manuales!$H$33="Todos",'Plan mensual'!L85,0))+parametros_manuales!$G$33*('Plan mensual'!L82+IF(parametros_manuales!$H$33="Todos",'Plan mensual'!L86,0)))*parametros_manuales!$I$33*parametros_manuales!$J$33</f>
        <v>16677.96630752</v>
      </c>
      <c r="K205" s="9" t="n">
        <f aca="false">(parametros_manuales!$D$33*('Plan mensual'!M79+IF(parametros_manuales!$H$33="Todos",'Plan mensual'!M83,0))+parametros_manuales!$E$33*('Plan mensual'!M80+IF(parametros_manuales!$H$33="Todos",'Plan mensual'!M84,0))+parametros_manuales!$F$33*('Plan mensual'!M81+IF(parametros_manuales!$H$33="Todos",'Plan mensual'!M85,0))+parametros_manuales!$G$33*('Plan mensual'!M82+IF(parametros_manuales!$H$33="Todos",'Plan mensual'!M86,0)))*parametros_manuales!$I$33*parametros_manuales!$J$33</f>
        <v>16367.467218675</v>
      </c>
      <c r="L205" s="9" t="n">
        <f aca="false">(parametros_manuales!$D$33*('Plan mensual'!N79+IF(parametros_manuales!$H$33="Todos",'Plan mensual'!N83,0))+parametros_manuales!$E$33*('Plan mensual'!N80+IF(parametros_manuales!$H$33="Todos",'Plan mensual'!N84,0))+parametros_manuales!$F$33*('Plan mensual'!N81+IF(parametros_manuales!$H$33="Todos",'Plan mensual'!N85,0))+parametros_manuales!$G$33*('Plan mensual'!N82+IF(parametros_manuales!$H$33="Todos",'Plan mensual'!N86,0)))*parametros_manuales!$I$33*parametros_manuales!$J$33</f>
        <v>16056.96812983</v>
      </c>
      <c r="M205" s="9" t="n">
        <f aca="false">(parametros_manuales!$D$33*('Plan mensual'!O79+IF(parametros_manuales!$H$33="Todos",'Plan mensual'!O83,0))+parametros_manuales!$E$33*('Plan mensual'!O80+IF(parametros_manuales!$H$33="Todos",'Plan mensual'!O84,0))+parametros_manuales!$F$33*('Plan mensual'!O81+IF(parametros_manuales!$H$33="Todos",'Plan mensual'!O85,0))+parametros_manuales!$G$33*('Plan mensual'!O82+IF(parametros_manuales!$H$33="Todos",'Plan mensual'!O86,0)))*parametros_manuales!$I$33*parametros_manuales!$J$33</f>
        <v>25566.94937219</v>
      </c>
      <c r="N205" s="9" t="n">
        <f aca="false">SUM(B205:M205)</f>
        <v>218232.896249</v>
      </c>
      <c r="O205" s="9" t="n">
        <f aca="false">MAX(B205:M205)</f>
        <v>25566.94937219</v>
      </c>
      <c r="P205" s="43" t="n">
        <f aca="false">O205/(parametros_manuales!$B$7)</f>
        <v>170.446329147933</v>
      </c>
      <c r="Q205" s="8" t="str">
        <f aca="false">IF(O205=0,"-",INDEX($B$190:$M$190,MATCH(O205,B205:M205,0)))</f>
        <v>Dic</v>
      </c>
    </row>
    <row r="206" customFormat="false" ht="14.25" hidden="false" customHeight="true" outlineLevel="0" collapsed="false">
      <c r="A206" s="8" t="str">
        <f aca="false">parametros_manuales!$B$34</f>
        <v>Granallado</v>
      </c>
      <c r="B206" s="9" t="n">
        <f aca="false">(parametros_manuales!$D$34*('Plan mensual'!D79+IF(parametros_manuales!$H$34="Todos",'Plan mensual'!D83,0))+parametros_manuales!$E$34*('Plan mensual'!D80+IF(parametros_manuales!$H$34="Todos",'Plan mensual'!D84,0))+parametros_manuales!$F$34*('Plan mensual'!D81+IF(parametros_manuales!$H$34="Todos",'Plan mensual'!D85,0))+parametros_manuales!$G$34*('Plan mensual'!D82+IF(parametros_manuales!$H$34="Todos",'Plan mensual'!D86,0)))*parametros_manuales!$I$34*parametros_manuales!$J$34</f>
        <v>24945.9511945</v>
      </c>
      <c r="C206" s="9" t="n">
        <f aca="false">(parametros_manuales!$D$34*('Plan mensual'!E79+IF(parametros_manuales!$H$34="Todos",'Plan mensual'!E83,0))+parametros_manuales!$E$34*('Plan mensual'!E80+IF(parametros_manuales!$H$34="Todos",'Plan mensual'!E84,0))+parametros_manuales!$F$34*('Plan mensual'!E81+IF(parametros_manuales!$H$34="Todos",'Plan mensual'!E85,0))+parametros_manuales!$G$34*('Plan mensual'!E82+IF(parametros_manuales!$H$34="Todos",'Plan mensual'!E86,0)))*parametros_manuales!$I$34*parametros_manuales!$J$34</f>
        <v>19019.96248472</v>
      </c>
      <c r="D206" s="9" t="n">
        <f aca="false">(parametros_manuales!$D$34*('Plan mensual'!F79+IF(parametros_manuales!$H$34="Todos",'Plan mensual'!F83,0))+parametros_manuales!$E$34*('Plan mensual'!F80+IF(parametros_manuales!$H$34="Todos",'Plan mensual'!F84,0))+parametros_manuales!$F$34*('Plan mensual'!F81+IF(parametros_manuales!$H$34="Todos",'Plan mensual'!F85,0))+parametros_manuales!$G$34*('Plan mensual'!F82+IF(parametros_manuales!$H$34="Todos",'Plan mensual'!F86,0)))*parametros_manuales!$I$34*parametros_manuales!$J$34</f>
        <v>17769.130788765</v>
      </c>
      <c r="E206" s="9" t="n">
        <f aca="false">(parametros_manuales!$D$34*('Plan mensual'!G79+IF(parametros_manuales!$H$34="Todos",'Plan mensual'!G83,0))+parametros_manuales!$E$34*('Plan mensual'!G80+IF(parametros_manuales!$H$34="Todos",'Plan mensual'!G84,0))+parametros_manuales!$F$34*('Plan mensual'!G81+IF(parametros_manuales!$H$34="Todos",'Plan mensual'!G85,0))+parametros_manuales!$G$34*('Plan mensual'!G82+IF(parametros_manuales!$H$34="Todos",'Plan mensual'!G86,0)))*parametros_manuales!$I$34*parametros_manuales!$J$34</f>
        <v>16988.465396365</v>
      </c>
      <c r="F206" s="9" t="n">
        <f aca="false">(parametros_manuales!$D$34*('Plan mensual'!H79+IF(parametros_manuales!$H$34="Todos",'Plan mensual'!H83,0))+parametros_manuales!$E$34*('Plan mensual'!H80+IF(parametros_manuales!$H$34="Todos",'Plan mensual'!H84,0))+parametros_manuales!$F$34*('Plan mensual'!H81+IF(parametros_manuales!$H$34="Todos",'Plan mensual'!H85,0))+parametros_manuales!$G$34*('Plan mensual'!H82+IF(parametros_manuales!$H$34="Todos",'Plan mensual'!H86,0)))*parametros_manuales!$I$34*parametros_manuales!$J$34</f>
        <v>15897.30091512</v>
      </c>
      <c r="G206" s="9" t="n">
        <f aca="false">(parametros_manuales!$D$34*('Plan mensual'!I79+IF(parametros_manuales!$H$34="Todos",'Plan mensual'!I83,0))+parametros_manuales!$E$34*('Plan mensual'!I80+IF(parametros_manuales!$H$34="Todos",'Plan mensual'!I84,0))+parametros_manuales!$F$34*('Plan mensual'!I81+IF(parametros_manuales!$H$34="Todos",'Plan mensual'!I85,0))+parametros_manuales!$G$34*('Plan mensual'!I82+IF(parametros_manuales!$H$34="Todos",'Plan mensual'!I86,0)))*parametros_manuales!$I$34*parametros_manuales!$J$34</f>
        <v>15586.801826275</v>
      </c>
      <c r="H206" s="9" t="n">
        <f aca="false">(parametros_manuales!$D$34*('Plan mensual'!J79+IF(parametros_manuales!$H$34="Todos",'Plan mensual'!J83,0))+parametros_manuales!$E$34*('Plan mensual'!J80+IF(parametros_manuales!$H$34="Todos",'Plan mensual'!J84,0))+parametros_manuales!$F$34*('Plan mensual'!J81+IF(parametros_manuales!$H$34="Todos",'Plan mensual'!J85,0))+parametros_manuales!$G$34*('Plan mensual'!J82+IF(parametros_manuales!$H$34="Todos",'Plan mensual'!J86,0)))*parametros_manuales!$I$34*parametros_manuales!$J$34</f>
        <v>16677.96630752</v>
      </c>
      <c r="I206" s="9" t="n">
        <f aca="false">(parametros_manuales!$D$34*('Plan mensual'!K79+IF(parametros_manuales!$H$34="Todos",'Plan mensual'!K83,0))+parametros_manuales!$E$34*('Plan mensual'!K80+IF(parametros_manuales!$H$34="Todos",'Plan mensual'!K84,0))+parametros_manuales!$F$34*('Plan mensual'!K81+IF(parametros_manuales!$H$34="Todos",'Plan mensual'!K85,0))+parametros_manuales!$G$34*('Plan mensual'!K82+IF(parametros_manuales!$H$34="Todos",'Plan mensual'!K86,0)))*parametros_manuales!$I$34*parametros_manuales!$J$34</f>
        <v>16677.96630752</v>
      </c>
      <c r="J206" s="9" t="n">
        <f aca="false">(parametros_manuales!$D$34*('Plan mensual'!L79+IF(parametros_manuales!$H$34="Todos",'Plan mensual'!L83,0))+parametros_manuales!$E$34*('Plan mensual'!L80+IF(parametros_manuales!$H$34="Todos",'Plan mensual'!L84,0))+parametros_manuales!$F$34*('Plan mensual'!L81+IF(parametros_manuales!$H$34="Todos",'Plan mensual'!L85,0))+parametros_manuales!$G$34*('Plan mensual'!L82+IF(parametros_manuales!$H$34="Todos",'Plan mensual'!L86,0)))*parametros_manuales!$I$34*parametros_manuales!$J$34</f>
        <v>16677.96630752</v>
      </c>
      <c r="K206" s="9" t="n">
        <f aca="false">(parametros_manuales!$D$34*('Plan mensual'!M79+IF(parametros_manuales!$H$34="Todos",'Plan mensual'!M83,0))+parametros_manuales!$E$34*('Plan mensual'!M80+IF(parametros_manuales!$H$34="Todos",'Plan mensual'!M84,0))+parametros_manuales!$F$34*('Plan mensual'!M81+IF(parametros_manuales!$H$34="Todos",'Plan mensual'!M85,0))+parametros_manuales!$G$34*('Plan mensual'!M82+IF(parametros_manuales!$H$34="Todos",'Plan mensual'!M86,0)))*parametros_manuales!$I$34*parametros_manuales!$J$34</f>
        <v>16367.467218675</v>
      </c>
      <c r="L206" s="9" t="n">
        <f aca="false">(parametros_manuales!$D$34*('Plan mensual'!N79+IF(parametros_manuales!$H$34="Todos",'Plan mensual'!N83,0))+parametros_manuales!$E$34*('Plan mensual'!N80+IF(parametros_manuales!$H$34="Todos",'Plan mensual'!N84,0))+parametros_manuales!$F$34*('Plan mensual'!N81+IF(parametros_manuales!$H$34="Todos",'Plan mensual'!N85,0))+parametros_manuales!$G$34*('Plan mensual'!N82+IF(parametros_manuales!$H$34="Todos",'Plan mensual'!N86,0)))*parametros_manuales!$I$34*parametros_manuales!$J$34</f>
        <v>16056.96812983</v>
      </c>
      <c r="M206" s="9" t="n">
        <f aca="false">(parametros_manuales!$D$34*('Plan mensual'!O79+IF(parametros_manuales!$H$34="Todos",'Plan mensual'!O83,0))+parametros_manuales!$E$34*('Plan mensual'!O80+IF(parametros_manuales!$H$34="Todos",'Plan mensual'!O84,0))+parametros_manuales!$F$34*('Plan mensual'!O81+IF(parametros_manuales!$H$34="Todos",'Plan mensual'!O85,0))+parametros_manuales!$G$34*('Plan mensual'!O82+IF(parametros_manuales!$H$34="Todos",'Plan mensual'!O86,0)))*parametros_manuales!$I$34*parametros_manuales!$J$34</f>
        <v>25566.94937219</v>
      </c>
      <c r="N206" s="9" t="n">
        <f aca="false">SUM(B206:M206)</f>
        <v>218232.896249</v>
      </c>
      <c r="O206" s="9" t="n">
        <f aca="false">MAX(B206:M206)</f>
        <v>25566.94937219</v>
      </c>
      <c r="P206" s="43" t="n">
        <f aca="false">O206/(parametros_manuales!$B$7)</f>
        <v>170.446329147933</v>
      </c>
      <c r="Q206" s="8" t="str">
        <f aca="false">IF(O206=0,"-",INDEX($B$190:$M$190,MATCH(O206,B206:M206,0)))</f>
        <v>Dic</v>
      </c>
    </row>
    <row r="207" customFormat="false" ht="14.25" hidden="false" customHeight="true" outlineLevel="0" collapsed="false">
      <c r="A207" s="8" t="str">
        <f aca="false">parametros_manuales!$B$35</f>
        <v>Detección de defectos</v>
      </c>
      <c r="B207" s="9" t="n">
        <f aca="false">(parametros_manuales!$D$35*('Plan mensual'!D79+IF(parametros_manuales!$H$35="Todos",'Plan mensual'!D83,0))+parametros_manuales!$E$35*('Plan mensual'!D80+IF(parametros_manuales!$H$35="Todos",'Plan mensual'!D84,0))+parametros_manuales!$F$35*('Plan mensual'!D81+IF(parametros_manuales!$H$35="Todos",'Plan mensual'!D85,0))+parametros_manuales!$G$35*('Plan mensual'!D82+IF(parametros_manuales!$H$35="Todos",'Plan mensual'!D86,0)))*parametros_manuales!$I$35*parametros_manuales!$J$35</f>
        <v>24945.9511945</v>
      </c>
      <c r="C207" s="9" t="n">
        <f aca="false">(parametros_manuales!$D$35*('Plan mensual'!E79+IF(parametros_manuales!$H$35="Todos",'Plan mensual'!E83,0))+parametros_manuales!$E$35*('Plan mensual'!E80+IF(parametros_manuales!$H$35="Todos",'Plan mensual'!E84,0))+parametros_manuales!$F$35*('Plan mensual'!E81+IF(parametros_manuales!$H$35="Todos",'Plan mensual'!E85,0))+parametros_manuales!$G$35*('Plan mensual'!E82+IF(parametros_manuales!$H$35="Todos",'Plan mensual'!E86,0)))*parametros_manuales!$I$35*parametros_manuales!$J$35</f>
        <v>19019.96248472</v>
      </c>
      <c r="D207" s="9" t="n">
        <f aca="false">(parametros_manuales!$D$35*('Plan mensual'!F79+IF(parametros_manuales!$H$35="Todos",'Plan mensual'!F83,0))+parametros_manuales!$E$35*('Plan mensual'!F80+IF(parametros_manuales!$H$35="Todos",'Plan mensual'!F84,0))+parametros_manuales!$F$35*('Plan mensual'!F81+IF(parametros_manuales!$H$35="Todos",'Plan mensual'!F85,0))+parametros_manuales!$G$35*('Plan mensual'!F82+IF(parametros_manuales!$H$35="Todos",'Plan mensual'!F86,0)))*parametros_manuales!$I$35*parametros_manuales!$J$35</f>
        <v>17769.130788765</v>
      </c>
      <c r="E207" s="9" t="n">
        <f aca="false">(parametros_manuales!$D$35*('Plan mensual'!G79+IF(parametros_manuales!$H$35="Todos",'Plan mensual'!G83,0))+parametros_manuales!$E$35*('Plan mensual'!G80+IF(parametros_manuales!$H$35="Todos",'Plan mensual'!G84,0))+parametros_manuales!$F$35*('Plan mensual'!G81+IF(parametros_manuales!$H$35="Todos",'Plan mensual'!G85,0))+parametros_manuales!$G$35*('Plan mensual'!G82+IF(parametros_manuales!$H$35="Todos",'Plan mensual'!G86,0)))*parametros_manuales!$I$35*parametros_manuales!$J$35</f>
        <v>16988.465396365</v>
      </c>
      <c r="F207" s="9" t="n">
        <f aca="false">(parametros_manuales!$D$35*('Plan mensual'!H79+IF(parametros_manuales!$H$35="Todos",'Plan mensual'!H83,0))+parametros_manuales!$E$35*('Plan mensual'!H80+IF(parametros_manuales!$H$35="Todos",'Plan mensual'!H84,0))+parametros_manuales!$F$35*('Plan mensual'!H81+IF(parametros_manuales!$H$35="Todos",'Plan mensual'!H85,0))+parametros_manuales!$G$35*('Plan mensual'!H82+IF(parametros_manuales!$H$35="Todos",'Plan mensual'!H86,0)))*parametros_manuales!$I$35*parametros_manuales!$J$35</f>
        <v>15897.30091512</v>
      </c>
      <c r="G207" s="9" t="n">
        <f aca="false">(parametros_manuales!$D$35*('Plan mensual'!I79+IF(parametros_manuales!$H$35="Todos",'Plan mensual'!I83,0))+parametros_manuales!$E$35*('Plan mensual'!I80+IF(parametros_manuales!$H$35="Todos",'Plan mensual'!I84,0))+parametros_manuales!$F$35*('Plan mensual'!I81+IF(parametros_manuales!$H$35="Todos",'Plan mensual'!I85,0))+parametros_manuales!$G$35*('Plan mensual'!I82+IF(parametros_manuales!$H$35="Todos",'Plan mensual'!I86,0)))*parametros_manuales!$I$35*parametros_manuales!$J$35</f>
        <v>15586.801826275</v>
      </c>
      <c r="H207" s="9" t="n">
        <f aca="false">(parametros_manuales!$D$35*('Plan mensual'!J79+IF(parametros_manuales!$H$35="Todos",'Plan mensual'!J83,0))+parametros_manuales!$E$35*('Plan mensual'!J80+IF(parametros_manuales!$H$35="Todos",'Plan mensual'!J84,0))+parametros_manuales!$F$35*('Plan mensual'!J81+IF(parametros_manuales!$H$35="Todos",'Plan mensual'!J85,0))+parametros_manuales!$G$35*('Plan mensual'!J82+IF(parametros_manuales!$H$35="Todos",'Plan mensual'!J86,0)))*parametros_manuales!$I$35*parametros_manuales!$J$35</f>
        <v>16677.96630752</v>
      </c>
      <c r="I207" s="9" t="n">
        <f aca="false">(parametros_manuales!$D$35*('Plan mensual'!K79+IF(parametros_manuales!$H$35="Todos",'Plan mensual'!K83,0))+parametros_manuales!$E$35*('Plan mensual'!K80+IF(parametros_manuales!$H$35="Todos",'Plan mensual'!K84,0))+parametros_manuales!$F$35*('Plan mensual'!K81+IF(parametros_manuales!$H$35="Todos",'Plan mensual'!K85,0))+parametros_manuales!$G$35*('Plan mensual'!K82+IF(parametros_manuales!$H$35="Todos",'Plan mensual'!K86,0)))*parametros_manuales!$I$35*parametros_manuales!$J$35</f>
        <v>16677.96630752</v>
      </c>
      <c r="J207" s="9" t="n">
        <f aca="false">(parametros_manuales!$D$35*('Plan mensual'!L79+IF(parametros_manuales!$H$35="Todos",'Plan mensual'!L83,0))+parametros_manuales!$E$35*('Plan mensual'!L80+IF(parametros_manuales!$H$35="Todos",'Plan mensual'!L84,0))+parametros_manuales!$F$35*('Plan mensual'!L81+IF(parametros_manuales!$H$35="Todos",'Plan mensual'!L85,0))+parametros_manuales!$G$35*('Plan mensual'!L82+IF(parametros_manuales!$H$35="Todos",'Plan mensual'!L86,0)))*parametros_manuales!$I$35*parametros_manuales!$J$35</f>
        <v>16677.96630752</v>
      </c>
      <c r="K207" s="9" t="n">
        <f aca="false">(parametros_manuales!$D$35*('Plan mensual'!M79+IF(parametros_manuales!$H$35="Todos",'Plan mensual'!M83,0))+parametros_manuales!$E$35*('Plan mensual'!M80+IF(parametros_manuales!$H$35="Todos",'Plan mensual'!M84,0))+parametros_manuales!$F$35*('Plan mensual'!M81+IF(parametros_manuales!$H$35="Todos",'Plan mensual'!M85,0))+parametros_manuales!$G$35*('Plan mensual'!M82+IF(parametros_manuales!$H$35="Todos",'Plan mensual'!M86,0)))*parametros_manuales!$I$35*parametros_manuales!$J$35</f>
        <v>16367.467218675</v>
      </c>
      <c r="L207" s="9" t="n">
        <f aca="false">(parametros_manuales!$D$35*('Plan mensual'!N79+IF(parametros_manuales!$H$35="Todos",'Plan mensual'!N83,0))+parametros_manuales!$E$35*('Plan mensual'!N80+IF(parametros_manuales!$H$35="Todos",'Plan mensual'!N84,0))+parametros_manuales!$F$35*('Plan mensual'!N81+IF(parametros_manuales!$H$35="Todos",'Plan mensual'!N85,0))+parametros_manuales!$G$35*('Plan mensual'!N82+IF(parametros_manuales!$H$35="Todos",'Plan mensual'!N86,0)))*parametros_manuales!$I$35*parametros_manuales!$J$35</f>
        <v>16056.96812983</v>
      </c>
      <c r="M207" s="9" t="n">
        <f aca="false">(parametros_manuales!$D$35*('Plan mensual'!O79+IF(parametros_manuales!$H$35="Todos",'Plan mensual'!O83,0))+parametros_manuales!$E$35*('Plan mensual'!O80+IF(parametros_manuales!$H$35="Todos",'Plan mensual'!O84,0))+parametros_manuales!$F$35*('Plan mensual'!O81+IF(parametros_manuales!$H$35="Todos",'Plan mensual'!O85,0))+parametros_manuales!$G$35*('Plan mensual'!O82+IF(parametros_manuales!$H$35="Todos",'Plan mensual'!O86,0)))*parametros_manuales!$I$35*parametros_manuales!$J$35</f>
        <v>25566.94937219</v>
      </c>
      <c r="N207" s="9" t="n">
        <f aca="false">SUM(B207:M207)</f>
        <v>218232.896249</v>
      </c>
      <c r="O207" s="9" t="n">
        <f aca="false">MAX(B207:M207)</f>
        <v>25566.94937219</v>
      </c>
      <c r="P207" s="43" t="n">
        <f aca="false">O207/(parametros_manuales!$B$7)</f>
        <v>170.446329147933</v>
      </c>
      <c r="Q207" s="8" t="str">
        <f aca="false">IF(O207=0,"-",INDEX($B$190:$M$190,MATCH(O207,B207:M207,0)))</f>
        <v>Dic</v>
      </c>
    </row>
    <row r="208" customFormat="false" ht="14.25" hidden="false" customHeight="true" outlineLevel="0" collapsed="false">
      <c r="A208" s="8" t="str">
        <f aca="false">parametros_manuales!$B$36</f>
        <v>Corrección de defectos</v>
      </c>
      <c r="B208" s="9" t="n">
        <f aca="false">(parametros_manuales!$D$36*('Plan mensual'!D79+IF(parametros_manuales!$H$36="Todos",'Plan mensual'!D83,0))+parametros_manuales!$E$36*('Plan mensual'!D80+IF(parametros_manuales!$H$36="Todos",'Plan mensual'!D84,0))+parametros_manuales!$F$36*('Plan mensual'!D81+IF(parametros_manuales!$H$36="Todos",'Plan mensual'!D85,0))+parametros_manuales!$G$36*('Plan mensual'!D82+IF(parametros_manuales!$H$36="Todos",'Plan mensual'!D86,0)))*parametros_manuales!$I$36*parametros_manuales!$J$36</f>
        <v>1247.297559725</v>
      </c>
      <c r="C208" s="9" t="n">
        <f aca="false">(parametros_manuales!$D$36*('Plan mensual'!E79+IF(parametros_manuales!$H$36="Todos",'Plan mensual'!E83,0))+parametros_manuales!$E$36*('Plan mensual'!E80+IF(parametros_manuales!$H$36="Todos",'Plan mensual'!E84,0))+parametros_manuales!$F$36*('Plan mensual'!E81+IF(parametros_manuales!$H$36="Todos",'Plan mensual'!E85,0))+parametros_manuales!$G$36*('Plan mensual'!E82+IF(parametros_manuales!$H$36="Todos",'Plan mensual'!E86,0)))*parametros_manuales!$I$36*parametros_manuales!$J$36</f>
        <v>950.998124236</v>
      </c>
      <c r="D208" s="9" t="n">
        <f aca="false">(parametros_manuales!$D$36*('Plan mensual'!F79+IF(parametros_manuales!$H$36="Todos",'Plan mensual'!F83,0))+parametros_manuales!$E$36*('Plan mensual'!F80+IF(parametros_manuales!$H$36="Todos",'Plan mensual'!F84,0))+parametros_manuales!$F$36*('Plan mensual'!F81+IF(parametros_manuales!$H$36="Todos",'Plan mensual'!F85,0))+parametros_manuales!$G$36*('Plan mensual'!F82+IF(parametros_manuales!$H$36="Todos",'Plan mensual'!F86,0)))*parametros_manuales!$I$36*parametros_manuales!$J$36</f>
        <v>888.45653943825</v>
      </c>
      <c r="E208" s="9" t="n">
        <f aca="false">(parametros_manuales!$D$36*('Plan mensual'!G79+IF(parametros_manuales!$H$36="Todos",'Plan mensual'!G83,0))+parametros_manuales!$E$36*('Plan mensual'!G80+IF(parametros_manuales!$H$36="Todos",'Plan mensual'!G84,0))+parametros_manuales!$F$36*('Plan mensual'!G81+IF(parametros_manuales!$H$36="Todos",'Plan mensual'!G85,0))+parametros_manuales!$G$36*('Plan mensual'!G82+IF(parametros_manuales!$H$36="Todos",'Plan mensual'!G86,0)))*parametros_manuales!$I$36*parametros_manuales!$J$36</f>
        <v>849.42326981825</v>
      </c>
      <c r="F208" s="9" t="n">
        <f aca="false">(parametros_manuales!$D$36*('Plan mensual'!H79+IF(parametros_manuales!$H$36="Todos",'Plan mensual'!H83,0))+parametros_manuales!$E$36*('Plan mensual'!H80+IF(parametros_manuales!$H$36="Todos",'Plan mensual'!H84,0))+parametros_manuales!$F$36*('Plan mensual'!H81+IF(parametros_manuales!$H$36="Todos",'Plan mensual'!H85,0))+parametros_manuales!$G$36*('Plan mensual'!H82+IF(parametros_manuales!$H$36="Todos",'Plan mensual'!H86,0)))*parametros_manuales!$I$36*parametros_manuales!$J$36</f>
        <v>794.865045756</v>
      </c>
      <c r="G208" s="9" t="n">
        <f aca="false">(parametros_manuales!$D$36*('Plan mensual'!I79+IF(parametros_manuales!$H$36="Todos",'Plan mensual'!I83,0))+parametros_manuales!$E$36*('Plan mensual'!I80+IF(parametros_manuales!$H$36="Todos",'Plan mensual'!I84,0))+parametros_manuales!$F$36*('Plan mensual'!I81+IF(parametros_manuales!$H$36="Todos",'Plan mensual'!I85,0))+parametros_manuales!$G$36*('Plan mensual'!I82+IF(parametros_manuales!$H$36="Todos",'Plan mensual'!I86,0)))*parametros_manuales!$I$36*parametros_manuales!$J$36</f>
        <v>779.34009131375</v>
      </c>
      <c r="H208" s="9" t="n">
        <f aca="false">(parametros_manuales!$D$36*('Plan mensual'!J79+IF(parametros_manuales!$H$36="Todos",'Plan mensual'!J83,0))+parametros_manuales!$E$36*('Plan mensual'!J80+IF(parametros_manuales!$H$36="Todos",'Plan mensual'!J84,0))+parametros_manuales!$F$36*('Plan mensual'!J81+IF(parametros_manuales!$H$36="Todos",'Plan mensual'!J85,0))+parametros_manuales!$G$36*('Plan mensual'!J82+IF(parametros_manuales!$H$36="Todos",'Plan mensual'!J86,0)))*parametros_manuales!$I$36*parametros_manuales!$J$36</f>
        <v>833.898315376</v>
      </c>
      <c r="I208" s="9" t="n">
        <f aca="false">(parametros_manuales!$D$36*('Plan mensual'!K79+IF(parametros_manuales!$H$36="Todos",'Plan mensual'!K83,0))+parametros_manuales!$E$36*('Plan mensual'!K80+IF(parametros_manuales!$H$36="Todos",'Plan mensual'!K84,0))+parametros_manuales!$F$36*('Plan mensual'!K81+IF(parametros_manuales!$H$36="Todos",'Plan mensual'!K85,0))+parametros_manuales!$G$36*('Plan mensual'!K82+IF(parametros_manuales!$H$36="Todos",'Plan mensual'!K86,0)))*parametros_manuales!$I$36*parametros_manuales!$J$36</f>
        <v>833.898315376</v>
      </c>
      <c r="J208" s="9" t="n">
        <f aca="false">(parametros_manuales!$D$36*('Plan mensual'!L79+IF(parametros_manuales!$H$36="Todos",'Plan mensual'!L83,0))+parametros_manuales!$E$36*('Plan mensual'!L80+IF(parametros_manuales!$H$36="Todos",'Plan mensual'!L84,0))+parametros_manuales!$F$36*('Plan mensual'!L81+IF(parametros_manuales!$H$36="Todos",'Plan mensual'!L85,0))+parametros_manuales!$G$36*('Plan mensual'!L82+IF(parametros_manuales!$H$36="Todos",'Plan mensual'!L86,0)))*parametros_manuales!$I$36*parametros_manuales!$J$36</f>
        <v>833.898315376</v>
      </c>
      <c r="K208" s="9" t="n">
        <f aca="false">(parametros_manuales!$D$36*('Plan mensual'!M79+IF(parametros_manuales!$H$36="Todos",'Plan mensual'!M83,0))+parametros_manuales!$E$36*('Plan mensual'!M80+IF(parametros_manuales!$H$36="Todos",'Plan mensual'!M84,0))+parametros_manuales!$F$36*('Plan mensual'!M81+IF(parametros_manuales!$H$36="Todos",'Plan mensual'!M85,0))+parametros_manuales!$G$36*('Plan mensual'!M82+IF(parametros_manuales!$H$36="Todos",'Plan mensual'!M86,0)))*parametros_manuales!$I$36*parametros_manuales!$J$36</f>
        <v>818.37336093375</v>
      </c>
      <c r="L208" s="9" t="n">
        <f aca="false">(parametros_manuales!$D$36*('Plan mensual'!N79+IF(parametros_manuales!$H$36="Todos",'Plan mensual'!N83,0))+parametros_manuales!$E$36*('Plan mensual'!N80+IF(parametros_manuales!$H$36="Todos",'Plan mensual'!N84,0))+parametros_manuales!$F$36*('Plan mensual'!N81+IF(parametros_manuales!$H$36="Todos",'Plan mensual'!N85,0))+parametros_manuales!$G$36*('Plan mensual'!N82+IF(parametros_manuales!$H$36="Todos",'Plan mensual'!N86,0)))*parametros_manuales!$I$36*parametros_manuales!$J$36</f>
        <v>802.8484064915</v>
      </c>
      <c r="M208" s="9" t="n">
        <f aca="false">(parametros_manuales!$D$36*('Plan mensual'!O79+IF(parametros_manuales!$H$36="Todos",'Plan mensual'!O83,0))+parametros_manuales!$E$36*('Plan mensual'!O80+IF(parametros_manuales!$H$36="Todos",'Plan mensual'!O84,0))+parametros_manuales!$F$36*('Plan mensual'!O81+IF(parametros_manuales!$H$36="Todos",'Plan mensual'!O85,0))+parametros_manuales!$G$36*('Plan mensual'!O82+IF(parametros_manuales!$H$36="Todos",'Plan mensual'!O86,0)))*parametros_manuales!$I$36*parametros_manuales!$J$36</f>
        <v>1278.3474686095</v>
      </c>
      <c r="N208" s="9" t="n">
        <f aca="false">SUM(B208:M208)</f>
        <v>10911.64481245</v>
      </c>
      <c r="O208" s="9" t="n">
        <f aca="false">MAX(B208:M208)</f>
        <v>1278.3474686095</v>
      </c>
      <c r="P208" s="43" t="n">
        <f aca="false">O208/(parametros_manuales!$B$7)</f>
        <v>8.52231645739667</v>
      </c>
      <c r="Q208" s="8" t="str">
        <f aca="false">IF(O208=0,"-",INDEX($B$190:$M$190,MATCH(O208,B208:M208,0)))</f>
        <v>Dic</v>
      </c>
    </row>
    <row r="209" customFormat="false" ht="14.25" hidden="false" customHeight="true" outlineLevel="0" collapsed="false">
      <c r="A209" s="8" t="str">
        <f aca="false">parametros_manuales!$B$37</f>
        <v>Pintura en polvo + horno</v>
      </c>
      <c r="B209" s="9" t="n">
        <f aca="false">(parametros_manuales!$D$37*('Plan mensual'!D79+IF(parametros_manuales!$H$37="Todos",'Plan mensual'!D83,0))+parametros_manuales!$E$37*('Plan mensual'!D80+IF(parametros_manuales!$H$37="Todos",'Plan mensual'!D84,0))+parametros_manuales!$F$37*('Plan mensual'!D81+IF(parametros_manuales!$H$37="Todos",'Plan mensual'!D85,0))+parametros_manuales!$G$37*('Plan mensual'!D82+IF(parametros_manuales!$H$37="Todos",'Plan mensual'!D86,0)))*parametros_manuales!$I$37*parametros_manuales!$J$37</f>
        <v>24945.9511945</v>
      </c>
      <c r="C209" s="9" t="n">
        <f aca="false">(parametros_manuales!$D$37*('Plan mensual'!E79+IF(parametros_manuales!$H$37="Todos",'Plan mensual'!E83,0))+parametros_manuales!$E$37*('Plan mensual'!E80+IF(parametros_manuales!$H$37="Todos",'Plan mensual'!E84,0))+parametros_manuales!$F$37*('Plan mensual'!E81+IF(parametros_manuales!$H$37="Todos",'Plan mensual'!E85,0))+parametros_manuales!$G$37*('Plan mensual'!E82+IF(parametros_manuales!$H$37="Todos",'Plan mensual'!E86,0)))*parametros_manuales!$I$37*parametros_manuales!$J$37</f>
        <v>19019.96248472</v>
      </c>
      <c r="D209" s="9" t="n">
        <f aca="false">(parametros_manuales!$D$37*('Plan mensual'!F79+IF(parametros_manuales!$H$37="Todos",'Plan mensual'!F83,0))+parametros_manuales!$E$37*('Plan mensual'!F80+IF(parametros_manuales!$H$37="Todos",'Plan mensual'!F84,0))+parametros_manuales!$F$37*('Plan mensual'!F81+IF(parametros_manuales!$H$37="Todos",'Plan mensual'!F85,0))+parametros_manuales!$G$37*('Plan mensual'!F82+IF(parametros_manuales!$H$37="Todos",'Plan mensual'!F86,0)))*parametros_manuales!$I$37*parametros_manuales!$J$37</f>
        <v>17769.130788765</v>
      </c>
      <c r="E209" s="9" t="n">
        <f aca="false">(parametros_manuales!$D$37*('Plan mensual'!G79+IF(parametros_manuales!$H$37="Todos",'Plan mensual'!G83,0))+parametros_manuales!$E$37*('Plan mensual'!G80+IF(parametros_manuales!$H$37="Todos",'Plan mensual'!G84,0))+parametros_manuales!$F$37*('Plan mensual'!G81+IF(parametros_manuales!$H$37="Todos",'Plan mensual'!G85,0))+parametros_manuales!$G$37*('Plan mensual'!G82+IF(parametros_manuales!$H$37="Todos",'Plan mensual'!G86,0)))*parametros_manuales!$I$37*parametros_manuales!$J$37</f>
        <v>16988.465396365</v>
      </c>
      <c r="F209" s="9" t="n">
        <f aca="false">(parametros_manuales!$D$37*('Plan mensual'!H79+IF(parametros_manuales!$H$37="Todos",'Plan mensual'!H83,0))+parametros_manuales!$E$37*('Plan mensual'!H80+IF(parametros_manuales!$H$37="Todos",'Plan mensual'!H84,0))+parametros_manuales!$F$37*('Plan mensual'!H81+IF(parametros_manuales!$H$37="Todos",'Plan mensual'!H85,0))+parametros_manuales!$G$37*('Plan mensual'!H82+IF(parametros_manuales!$H$37="Todos",'Plan mensual'!H86,0)))*parametros_manuales!$I$37*parametros_manuales!$J$37</f>
        <v>15897.30091512</v>
      </c>
      <c r="G209" s="9" t="n">
        <f aca="false">(parametros_manuales!$D$37*('Plan mensual'!I79+IF(parametros_manuales!$H$37="Todos",'Plan mensual'!I83,0))+parametros_manuales!$E$37*('Plan mensual'!I80+IF(parametros_manuales!$H$37="Todos",'Plan mensual'!I84,0))+parametros_manuales!$F$37*('Plan mensual'!I81+IF(parametros_manuales!$H$37="Todos",'Plan mensual'!I85,0))+parametros_manuales!$G$37*('Plan mensual'!I82+IF(parametros_manuales!$H$37="Todos",'Plan mensual'!I86,0)))*parametros_manuales!$I$37*parametros_manuales!$J$37</f>
        <v>15586.801826275</v>
      </c>
      <c r="H209" s="9" t="n">
        <f aca="false">(parametros_manuales!$D$37*('Plan mensual'!J79+IF(parametros_manuales!$H$37="Todos",'Plan mensual'!J83,0))+parametros_manuales!$E$37*('Plan mensual'!J80+IF(parametros_manuales!$H$37="Todos",'Plan mensual'!J84,0))+parametros_manuales!$F$37*('Plan mensual'!J81+IF(parametros_manuales!$H$37="Todos",'Plan mensual'!J85,0))+parametros_manuales!$G$37*('Plan mensual'!J82+IF(parametros_manuales!$H$37="Todos",'Plan mensual'!J86,0)))*parametros_manuales!$I$37*parametros_manuales!$J$37</f>
        <v>16677.96630752</v>
      </c>
      <c r="I209" s="9" t="n">
        <f aca="false">(parametros_manuales!$D$37*('Plan mensual'!K79+IF(parametros_manuales!$H$37="Todos",'Plan mensual'!K83,0))+parametros_manuales!$E$37*('Plan mensual'!K80+IF(parametros_manuales!$H$37="Todos",'Plan mensual'!K84,0))+parametros_manuales!$F$37*('Plan mensual'!K81+IF(parametros_manuales!$H$37="Todos",'Plan mensual'!K85,0))+parametros_manuales!$G$37*('Plan mensual'!K82+IF(parametros_manuales!$H$37="Todos",'Plan mensual'!K86,0)))*parametros_manuales!$I$37*parametros_manuales!$J$37</f>
        <v>16677.96630752</v>
      </c>
      <c r="J209" s="9" t="n">
        <f aca="false">(parametros_manuales!$D$37*('Plan mensual'!L79+IF(parametros_manuales!$H$37="Todos",'Plan mensual'!L83,0))+parametros_manuales!$E$37*('Plan mensual'!L80+IF(parametros_manuales!$H$37="Todos",'Plan mensual'!L84,0))+parametros_manuales!$F$37*('Plan mensual'!L81+IF(parametros_manuales!$H$37="Todos",'Plan mensual'!L85,0))+parametros_manuales!$G$37*('Plan mensual'!L82+IF(parametros_manuales!$H$37="Todos",'Plan mensual'!L86,0)))*parametros_manuales!$I$37*parametros_manuales!$J$37</f>
        <v>16677.96630752</v>
      </c>
      <c r="K209" s="9" t="n">
        <f aca="false">(parametros_manuales!$D$37*('Plan mensual'!M79+IF(parametros_manuales!$H$37="Todos",'Plan mensual'!M83,0))+parametros_manuales!$E$37*('Plan mensual'!M80+IF(parametros_manuales!$H$37="Todos",'Plan mensual'!M84,0))+parametros_manuales!$F$37*('Plan mensual'!M81+IF(parametros_manuales!$H$37="Todos",'Plan mensual'!M85,0))+parametros_manuales!$G$37*('Plan mensual'!M82+IF(parametros_manuales!$H$37="Todos",'Plan mensual'!M86,0)))*parametros_manuales!$I$37*parametros_manuales!$J$37</f>
        <v>16367.467218675</v>
      </c>
      <c r="L209" s="9" t="n">
        <f aca="false">(parametros_manuales!$D$37*('Plan mensual'!N79+IF(parametros_manuales!$H$37="Todos",'Plan mensual'!N83,0))+parametros_manuales!$E$37*('Plan mensual'!N80+IF(parametros_manuales!$H$37="Todos",'Plan mensual'!N84,0))+parametros_manuales!$F$37*('Plan mensual'!N81+IF(parametros_manuales!$H$37="Todos",'Plan mensual'!N85,0))+parametros_manuales!$G$37*('Plan mensual'!N82+IF(parametros_manuales!$H$37="Todos",'Plan mensual'!N86,0)))*parametros_manuales!$I$37*parametros_manuales!$J$37</f>
        <v>16056.96812983</v>
      </c>
      <c r="M209" s="9" t="n">
        <f aca="false">(parametros_manuales!$D$37*('Plan mensual'!O79+IF(parametros_manuales!$H$37="Todos",'Plan mensual'!O83,0))+parametros_manuales!$E$37*('Plan mensual'!O80+IF(parametros_manuales!$H$37="Todos",'Plan mensual'!O84,0))+parametros_manuales!$F$37*('Plan mensual'!O81+IF(parametros_manuales!$H$37="Todos",'Plan mensual'!O85,0))+parametros_manuales!$G$37*('Plan mensual'!O82+IF(parametros_manuales!$H$37="Todos",'Plan mensual'!O86,0)))*parametros_manuales!$I$37*parametros_manuales!$J$37</f>
        <v>25566.94937219</v>
      </c>
      <c r="N209" s="9" t="n">
        <f aca="false">SUM(B209:M209)</f>
        <v>218232.896249</v>
      </c>
      <c r="O209" s="9" t="n">
        <f aca="false">MAX(B209:M209)</f>
        <v>25566.94937219</v>
      </c>
      <c r="P209" s="43" t="n">
        <f aca="false">O209/(parametros_manuales!$B$7)</f>
        <v>170.446329147933</v>
      </c>
      <c r="Q209" s="8" t="str">
        <f aca="false">IF(O209=0,"-",INDEX($B$190:$M$190,MATCH(O209,B209:M209,0)))</f>
        <v>Dic</v>
      </c>
    </row>
    <row r="210" customFormat="false" ht="14.25" hidden="false" customHeight="true" outlineLevel="0" collapsed="false">
      <c r="A210" s="8" t="str">
        <f aca="false">parametros_manuales!$B$38</f>
        <v>Carga de polvo</v>
      </c>
      <c r="B210" s="9" t="n">
        <f aca="false">(parametros_manuales!$D$38*('Plan mensual'!D79+IF(parametros_manuales!$H$38="Todos",'Plan mensual'!D83,0))+parametros_manuales!$E$38*('Plan mensual'!D80+IF(parametros_manuales!$H$38="Todos",'Plan mensual'!D84,0))+parametros_manuales!$F$38*('Plan mensual'!D81+IF(parametros_manuales!$H$38="Todos",'Plan mensual'!D85,0))+parametros_manuales!$G$38*('Plan mensual'!D82+IF(parametros_manuales!$H$38="Todos",'Plan mensual'!D86,0)))*parametros_manuales!$I$38*parametros_manuales!$J$38</f>
        <v>6012.8071945</v>
      </c>
      <c r="C210" s="9" t="n">
        <f aca="false">(parametros_manuales!$D$38*('Plan mensual'!E79+IF(parametros_manuales!$H$38="Todos",'Plan mensual'!E83,0))+parametros_manuales!$E$38*('Plan mensual'!E80+IF(parametros_manuales!$H$38="Todos",'Plan mensual'!E84,0))+parametros_manuales!$F$38*('Plan mensual'!E81+IF(parametros_manuales!$H$38="Todos",'Plan mensual'!E85,0))+parametros_manuales!$G$38*('Plan mensual'!E82+IF(parametros_manuales!$H$38="Todos",'Plan mensual'!E86,0)))*parametros_manuales!$I$38*parametros_manuales!$J$38</f>
        <v>4659.45328472</v>
      </c>
      <c r="D210" s="9" t="n">
        <f aca="false">(parametros_manuales!$D$38*('Plan mensual'!F79+IF(parametros_manuales!$H$38="Todos",'Plan mensual'!F83,0))+parametros_manuales!$E$38*('Plan mensual'!F80+IF(parametros_manuales!$H$38="Todos",'Plan mensual'!F84,0))+parametros_manuales!$F$38*('Plan mensual'!F81+IF(parametros_manuales!$H$38="Todos",'Plan mensual'!F85,0))+parametros_manuales!$G$38*('Plan mensual'!F82+IF(parametros_manuales!$H$38="Todos",'Plan mensual'!F86,0)))*parametros_manuales!$I$38*parametros_manuales!$J$38</f>
        <v>4557.980388765</v>
      </c>
      <c r="E210" s="9" t="n">
        <f aca="false">(parametros_manuales!$D$38*('Plan mensual'!G79+IF(parametros_manuales!$H$38="Todos",'Plan mensual'!G83,0))+parametros_manuales!$E$38*('Plan mensual'!G80+IF(parametros_manuales!$H$38="Todos",'Plan mensual'!G84,0))+parametros_manuales!$F$38*('Plan mensual'!G81+IF(parametros_manuales!$H$38="Todos",'Plan mensual'!G85,0))+parametros_manuales!$G$38*('Plan mensual'!G82+IF(parametros_manuales!$H$38="Todos",'Plan mensual'!G86,0)))*parametros_manuales!$I$38*parametros_manuales!$J$38</f>
        <v>4432.319996365</v>
      </c>
      <c r="F210" s="9" t="n">
        <f aca="false">(parametros_manuales!$D$38*('Plan mensual'!H79+IF(parametros_manuales!$H$38="Todos",'Plan mensual'!H83,0))+parametros_manuales!$E$38*('Plan mensual'!H80+IF(parametros_manuales!$H$38="Todos",'Plan mensual'!H84,0))+parametros_manuales!$F$38*('Plan mensual'!H81+IF(parametros_manuales!$H$38="Todos",'Plan mensual'!H85,0))+parametros_manuales!$G$38*('Plan mensual'!H82+IF(parametros_manuales!$H$38="Todos",'Plan mensual'!H86,0)))*parametros_manuales!$I$38*parametros_manuales!$J$38</f>
        <v>4156.81171512</v>
      </c>
      <c r="G210" s="9" t="n">
        <f aca="false">(parametros_manuales!$D$38*('Plan mensual'!I79+IF(parametros_manuales!$H$38="Todos",'Plan mensual'!I83,0))+parametros_manuales!$E$38*('Plan mensual'!I80+IF(parametros_manuales!$H$38="Todos",'Plan mensual'!I84,0))+parametros_manuales!$F$38*('Plan mensual'!I81+IF(parametros_manuales!$H$38="Todos",'Plan mensual'!I85,0))+parametros_manuales!$G$38*('Plan mensual'!I82+IF(parametros_manuales!$H$38="Todos",'Plan mensual'!I86,0)))*parametros_manuales!$I$38*parametros_manuales!$J$38</f>
        <v>4006.963826275</v>
      </c>
      <c r="H210" s="9" t="n">
        <f aca="false">(parametros_manuales!$D$38*('Plan mensual'!J79+IF(parametros_manuales!$H$38="Todos",'Plan mensual'!J83,0))+parametros_manuales!$E$38*('Plan mensual'!J80+IF(parametros_manuales!$H$38="Todos",'Plan mensual'!J84,0))+parametros_manuales!$F$38*('Plan mensual'!J81+IF(parametros_manuales!$H$38="Todos",'Plan mensual'!J85,0))+parametros_manuales!$G$38*('Plan mensual'!J82+IF(parametros_manuales!$H$38="Todos",'Plan mensual'!J86,0)))*parametros_manuales!$I$38*parametros_manuales!$J$38</f>
        <v>4282.47210752</v>
      </c>
      <c r="I210" s="9" t="n">
        <f aca="false">(parametros_manuales!$D$38*('Plan mensual'!K79+IF(parametros_manuales!$H$38="Todos",'Plan mensual'!K83,0))+parametros_manuales!$E$38*('Plan mensual'!K80+IF(parametros_manuales!$H$38="Todos",'Plan mensual'!K84,0))+parametros_manuales!$F$38*('Plan mensual'!K81+IF(parametros_manuales!$H$38="Todos",'Plan mensual'!K85,0))+parametros_manuales!$G$38*('Plan mensual'!K82+IF(parametros_manuales!$H$38="Todos",'Plan mensual'!K86,0)))*parametros_manuales!$I$38*parametros_manuales!$J$38</f>
        <v>4282.47210752</v>
      </c>
      <c r="J210" s="9" t="n">
        <f aca="false">(parametros_manuales!$D$38*('Plan mensual'!L79+IF(parametros_manuales!$H$38="Todos",'Plan mensual'!L83,0))+parametros_manuales!$E$38*('Plan mensual'!L80+IF(parametros_manuales!$H$38="Todos",'Plan mensual'!L84,0))+parametros_manuales!$F$38*('Plan mensual'!L81+IF(parametros_manuales!$H$38="Todos",'Plan mensual'!L85,0))+parametros_manuales!$G$38*('Plan mensual'!L82+IF(parametros_manuales!$H$38="Todos",'Plan mensual'!L86,0)))*parametros_manuales!$I$38*parametros_manuales!$J$38</f>
        <v>4282.47210752</v>
      </c>
      <c r="K210" s="9" t="n">
        <f aca="false">(parametros_manuales!$D$38*('Plan mensual'!M79+IF(parametros_manuales!$H$38="Todos",'Plan mensual'!M83,0))+parametros_manuales!$E$38*('Plan mensual'!M80+IF(parametros_manuales!$H$38="Todos",'Plan mensual'!M84,0))+parametros_manuales!$F$38*('Plan mensual'!M81+IF(parametros_manuales!$H$38="Todos",'Plan mensual'!M85,0))+parametros_manuales!$G$38*('Plan mensual'!M82+IF(parametros_manuales!$H$38="Todos",'Plan mensual'!M86,0)))*parametros_manuales!$I$38*parametros_manuales!$J$38</f>
        <v>4132.624218675</v>
      </c>
      <c r="L210" s="9" t="n">
        <f aca="false">(parametros_manuales!$D$38*('Plan mensual'!N79+IF(parametros_manuales!$H$38="Todos",'Plan mensual'!N83,0))+parametros_manuales!$E$38*('Plan mensual'!N80+IF(parametros_manuales!$H$38="Todos",'Plan mensual'!N84,0))+parametros_manuales!$F$38*('Plan mensual'!N81+IF(parametros_manuales!$H$38="Todos",'Plan mensual'!N85,0))+parametros_manuales!$G$38*('Plan mensual'!N82+IF(parametros_manuales!$H$38="Todos",'Plan mensual'!N86,0)))*parametros_manuales!$I$38*parametros_manuales!$J$38</f>
        <v>3982.77632983</v>
      </c>
      <c r="M210" s="9" t="n">
        <f aca="false">(parametros_manuales!$D$38*('Plan mensual'!O79+IF(parametros_manuales!$H$38="Todos",'Plan mensual'!O83,0))+parametros_manuales!$E$38*('Plan mensual'!O80+IF(parametros_manuales!$H$38="Todos",'Plan mensual'!O84,0))+parametros_manuales!$F$38*('Plan mensual'!O81+IF(parametros_manuales!$H$38="Todos",'Plan mensual'!O85,0))+parametros_manuales!$G$38*('Plan mensual'!O82+IF(parametros_manuales!$H$38="Todos",'Plan mensual'!O86,0)))*parametros_manuales!$I$38*parametros_manuales!$J$38</f>
        <v>6312.50297219</v>
      </c>
      <c r="N210" s="9" t="n">
        <f aca="false">SUM(B210:M210)</f>
        <v>55101.656249</v>
      </c>
      <c r="O210" s="9" t="n">
        <f aca="false">MAX(B210:M210)</f>
        <v>6312.50297219</v>
      </c>
      <c r="P210" s="43" t="n">
        <f aca="false">O210/(parametros_manuales!$B$7)</f>
        <v>42.0833531479333</v>
      </c>
      <c r="Q210" s="8" t="str">
        <f aca="false">IF(O210=0,"-",INDEX($B$190:$M$190,MATCH(O210,B210:M210,0)))</f>
        <v>Dic</v>
      </c>
    </row>
    <row r="211" customFormat="false" ht="14.25" hidden="false" customHeight="true" outlineLevel="0" collapsed="false">
      <c r="A211" s="8" t="str">
        <f aca="false">parametros_manuales!$B$39</f>
        <v>Ensamblaje</v>
      </c>
      <c r="B211" s="9" t="n">
        <f aca="false">(parametros_manuales!$D$39*('Plan mensual'!D79+IF(parametros_manuales!$H$39="Todos",'Plan mensual'!D83,0))+parametros_manuales!$E$39*('Plan mensual'!D80+IF(parametros_manuales!$H$39="Todos",'Plan mensual'!D84,0))+parametros_manuales!$F$39*('Plan mensual'!D81+IF(parametros_manuales!$H$39="Todos",'Plan mensual'!D85,0))+parametros_manuales!$G$39*('Plan mensual'!D82+IF(parametros_manuales!$H$39="Todos",'Plan mensual'!D86,0)))*parametros_manuales!$I$39*parametros_manuales!$J$39</f>
        <v>6012.8071945</v>
      </c>
      <c r="C211" s="9" t="n">
        <f aca="false">(parametros_manuales!$D$39*('Plan mensual'!E79+IF(parametros_manuales!$H$39="Todos",'Plan mensual'!E83,0))+parametros_manuales!$E$39*('Plan mensual'!E80+IF(parametros_manuales!$H$39="Todos",'Plan mensual'!E84,0))+parametros_manuales!$F$39*('Plan mensual'!E81+IF(parametros_manuales!$H$39="Todos",'Plan mensual'!E85,0))+parametros_manuales!$G$39*('Plan mensual'!E82+IF(parametros_manuales!$H$39="Todos",'Plan mensual'!E86,0)))*parametros_manuales!$I$39*parametros_manuales!$J$39</f>
        <v>4659.45328472</v>
      </c>
      <c r="D211" s="9" t="n">
        <f aca="false">(parametros_manuales!$D$39*('Plan mensual'!F79+IF(parametros_manuales!$H$39="Todos",'Plan mensual'!F83,0))+parametros_manuales!$E$39*('Plan mensual'!F80+IF(parametros_manuales!$H$39="Todos",'Plan mensual'!F84,0))+parametros_manuales!$F$39*('Plan mensual'!F81+IF(parametros_manuales!$H$39="Todos",'Plan mensual'!F85,0))+parametros_manuales!$G$39*('Plan mensual'!F82+IF(parametros_manuales!$H$39="Todos",'Plan mensual'!F86,0)))*parametros_manuales!$I$39*parametros_manuales!$J$39</f>
        <v>4557.980388765</v>
      </c>
      <c r="E211" s="9" t="n">
        <f aca="false">(parametros_manuales!$D$39*('Plan mensual'!G79+IF(parametros_manuales!$H$39="Todos",'Plan mensual'!G83,0))+parametros_manuales!$E$39*('Plan mensual'!G80+IF(parametros_manuales!$H$39="Todos",'Plan mensual'!G84,0))+parametros_manuales!$F$39*('Plan mensual'!G81+IF(parametros_manuales!$H$39="Todos",'Plan mensual'!G85,0))+parametros_manuales!$G$39*('Plan mensual'!G82+IF(parametros_manuales!$H$39="Todos",'Plan mensual'!G86,0)))*parametros_manuales!$I$39*parametros_manuales!$J$39</f>
        <v>4432.319996365</v>
      </c>
      <c r="F211" s="9" t="n">
        <f aca="false">(parametros_manuales!$D$39*('Plan mensual'!H79+IF(parametros_manuales!$H$39="Todos",'Plan mensual'!H83,0))+parametros_manuales!$E$39*('Plan mensual'!H80+IF(parametros_manuales!$H$39="Todos",'Plan mensual'!H84,0))+parametros_manuales!$F$39*('Plan mensual'!H81+IF(parametros_manuales!$H$39="Todos",'Plan mensual'!H85,0))+parametros_manuales!$G$39*('Plan mensual'!H82+IF(parametros_manuales!$H$39="Todos",'Plan mensual'!H86,0)))*parametros_manuales!$I$39*parametros_manuales!$J$39</f>
        <v>4156.81171512</v>
      </c>
      <c r="G211" s="9" t="n">
        <f aca="false">(parametros_manuales!$D$39*('Plan mensual'!I79+IF(parametros_manuales!$H$39="Todos",'Plan mensual'!I83,0))+parametros_manuales!$E$39*('Plan mensual'!I80+IF(parametros_manuales!$H$39="Todos",'Plan mensual'!I84,0))+parametros_manuales!$F$39*('Plan mensual'!I81+IF(parametros_manuales!$H$39="Todos",'Plan mensual'!I85,0))+parametros_manuales!$G$39*('Plan mensual'!I82+IF(parametros_manuales!$H$39="Todos",'Plan mensual'!I86,0)))*parametros_manuales!$I$39*parametros_manuales!$J$39</f>
        <v>4006.963826275</v>
      </c>
      <c r="H211" s="9" t="n">
        <f aca="false">(parametros_manuales!$D$39*('Plan mensual'!J79+IF(parametros_manuales!$H$39="Todos",'Plan mensual'!J83,0))+parametros_manuales!$E$39*('Plan mensual'!J80+IF(parametros_manuales!$H$39="Todos",'Plan mensual'!J84,0))+parametros_manuales!$F$39*('Plan mensual'!J81+IF(parametros_manuales!$H$39="Todos",'Plan mensual'!J85,0))+parametros_manuales!$G$39*('Plan mensual'!J82+IF(parametros_manuales!$H$39="Todos",'Plan mensual'!J86,0)))*parametros_manuales!$I$39*parametros_manuales!$J$39</f>
        <v>4282.47210752</v>
      </c>
      <c r="I211" s="9" t="n">
        <f aca="false">(parametros_manuales!$D$39*('Plan mensual'!K79+IF(parametros_manuales!$H$39="Todos",'Plan mensual'!K83,0))+parametros_manuales!$E$39*('Plan mensual'!K80+IF(parametros_manuales!$H$39="Todos",'Plan mensual'!K84,0))+parametros_manuales!$F$39*('Plan mensual'!K81+IF(parametros_manuales!$H$39="Todos",'Plan mensual'!K85,0))+parametros_manuales!$G$39*('Plan mensual'!K82+IF(parametros_manuales!$H$39="Todos",'Plan mensual'!K86,0)))*parametros_manuales!$I$39*parametros_manuales!$J$39</f>
        <v>4282.47210752</v>
      </c>
      <c r="J211" s="9" t="n">
        <f aca="false">(parametros_manuales!$D$39*('Plan mensual'!L79+IF(parametros_manuales!$H$39="Todos",'Plan mensual'!L83,0))+parametros_manuales!$E$39*('Plan mensual'!L80+IF(parametros_manuales!$H$39="Todos",'Plan mensual'!L84,0))+parametros_manuales!$F$39*('Plan mensual'!L81+IF(parametros_manuales!$H$39="Todos",'Plan mensual'!L85,0))+parametros_manuales!$G$39*('Plan mensual'!L82+IF(parametros_manuales!$H$39="Todos",'Plan mensual'!L86,0)))*parametros_manuales!$I$39*parametros_manuales!$J$39</f>
        <v>4282.47210752</v>
      </c>
      <c r="K211" s="9" t="n">
        <f aca="false">(parametros_manuales!$D$39*('Plan mensual'!M79+IF(parametros_manuales!$H$39="Todos",'Plan mensual'!M83,0))+parametros_manuales!$E$39*('Plan mensual'!M80+IF(parametros_manuales!$H$39="Todos",'Plan mensual'!M84,0))+parametros_manuales!$F$39*('Plan mensual'!M81+IF(parametros_manuales!$H$39="Todos",'Plan mensual'!M85,0))+parametros_manuales!$G$39*('Plan mensual'!M82+IF(parametros_manuales!$H$39="Todos",'Plan mensual'!M86,0)))*parametros_manuales!$I$39*parametros_manuales!$J$39</f>
        <v>4132.624218675</v>
      </c>
      <c r="L211" s="9" t="n">
        <f aca="false">(parametros_manuales!$D$39*('Plan mensual'!N79+IF(parametros_manuales!$H$39="Todos",'Plan mensual'!N83,0))+parametros_manuales!$E$39*('Plan mensual'!N80+IF(parametros_manuales!$H$39="Todos",'Plan mensual'!N84,0))+parametros_manuales!$F$39*('Plan mensual'!N81+IF(parametros_manuales!$H$39="Todos",'Plan mensual'!N85,0))+parametros_manuales!$G$39*('Plan mensual'!N82+IF(parametros_manuales!$H$39="Todos",'Plan mensual'!N86,0)))*parametros_manuales!$I$39*parametros_manuales!$J$39</f>
        <v>3982.77632983</v>
      </c>
      <c r="M211" s="9" t="n">
        <f aca="false">(parametros_manuales!$D$39*('Plan mensual'!O79+IF(parametros_manuales!$H$39="Todos",'Plan mensual'!O83,0))+parametros_manuales!$E$39*('Plan mensual'!O80+IF(parametros_manuales!$H$39="Todos",'Plan mensual'!O84,0))+parametros_manuales!$F$39*('Plan mensual'!O81+IF(parametros_manuales!$H$39="Todos",'Plan mensual'!O85,0))+parametros_manuales!$G$39*('Plan mensual'!O82+IF(parametros_manuales!$H$39="Todos",'Plan mensual'!O86,0)))*parametros_manuales!$I$39*parametros_manuales!$J$39</f>
        <v>6312.50297219</v>
      </c>
      <c r="N211" s="9" t="n">
        <f aca="false">SUM(B211:M211)</f>
        <v>55101.656249</v>
      </c>
      <c r="O211" s="9" t="n">
        <f aca="false">MAX(B211:M211)</f>
        <v>6312.50297219</v>
      </c>
      <c r="P211" s="43" t="n">
        <f aca="false">O211/(parametros_manuales!$B$7)</f>
        <v>42.0833531479333</v>
      </c>
      <c r="Q211" s="8" t="str">
        <f aca="false">IF(O211=0,"-",INDEX($B$190:$M$190,MATCH(O211,B211:M211,0)))</f>
        <v>Dic</v>
      </c>
    </row>
    <row r="212" customFormat="false" ht="14.25" hidden="false" customHeight="true" outlineLevel="0" collapsed="false">
      <c r="A212" s="8" t="str">
        <f aca="false">parametros_manuales!$B$40</f>
        <v>Presurización</v>
      </c>
      <c r="B212" s="9" t="n">
        <f aca="false">(parametros_manuales!$D$40*('Plan mensual'!D79+IF(parametros_manuales!$H$40="Todos",'Plan mensual'!D83,0))+parametros_manuales!$E$40*('Plan mensual'!D80+IF(parametros_manuales!$H$40="Todos",'Plan mensual'!D84,0))+parametros_manuales!$F$40*('Plan mensual'!D81+IF(parametros_manuales!$H$40="Todos",'Plan mensual'!D85,0))+parametros_manuales!$G$40*('Plan mensual'!D82+IF(parametros_manuales!$H$40="Todos",'Plan mensual'!D86,0)))*parametros_manuales!$I$40*parametros_manuales!$J$40</f>
        <v>6012.8071945</v>
      </c>
      <c r="C212" s="9" t="n">
        <f aca="false">(parametros_manuales!$D$40*('Plan mensual'!E79+IF(parametros_manuales!$H$40="Todos",'Plan mensual'!E83,0))+parametros_manuales!$E$40*('Plan mensual'!E80+IF(parametros_manuales!$H$40="Todos",'Plan mensual'!E84,0))+parametros_manuales!$F$40*('Plan mensual'!E81+IF(parametros_manuales!$H$40="Todos",'Plan mensual'!E85,0))+parametros_manuales!$G$40*('Plan mensual'!E82+IF(parametros_manuales!$H$40="Todos",'Plan mensual'!E86,0)))*parametros_manuales!$I$40*parametros_manuales!$J$40</f>
        <v>4659.45328472</v>
      </c>
      <c r="D212" s="9" t="n">
        <f aca="false">(parametros_manuales!$D$40*('Plan mensual'!F79+IF(parametros_manuales!$H$40="Todos",'Plan mensual'!F83,0))+parametros_manuales!$E$40*('Plan mensual'!F80+IF(parametros_manuales!$H$40="Todos",'Plan mensual'!F84,0))+parametros_manuales!$F$40*('Plan mensual'!F81+IF(parametros_manuales!$H$40="Todos",'Plan mensual'!F85,0))+parametros_manuales!$G$40*('Plan mensual'!F82+IF(parametros_manuales!$H$40="Todos",'Plan mensual'!F86,0)))*parametros_manuales!$I$40*parametros_manuales!$J$40</f>
        <v>4557.980388765</v>
      </c>
      <c r="E212" s="9" t="n">
        <f aca="false">(parametros_manuales!$D$40*('Plan mensual'!G79+IF(parametros_manuales!$H$40="Todos",'Plan mensual'!G83,0))+parametros_manuales!$E$40*('Plan mensual'!G80+IF(parametros_manuales!$H$40="Todos",'Plan mensual'!G84,0))+parametros_manuales!$F$40*('Plan mensual'!G81+IF(parametros_manuales!$H$40="Todos",'Plan mensual'!G85,0))+parametros_manuales!$G$40*('Plan mensual'!G82+IF(parametros_manuales!$H$40="Todos",'Plan mensual'!G86,0)))*parametros_manuales!$I$40*parametros_manuales!$J$40</f>
        <v>4432.319996365</v>
      </c>
      <c r="F212" s="9" t="n">
        <f aca="false">(parametros_manuales!$D$40*('Plan mensual'!H79+IF(parametros_manuales!$H$40="Todos",'Plan mensual'!H83,0))+parametros_manuales!$E$40*('Plan mensual'!H80+IF(parametros_manuales!$H$40="Todos",'Plan mensual'!H84,0))+parametros_manuales!$F$40*('Plan mensual'!H81+IF(parametros_manuales!$H$40="Todos",'Plan mensual'!H85,0))+parametros_manuales!$G$40*('Plan mensual'!H82+IF(parametros_manuales!$H$40="Todos",'Plan mensual'!H86,0)))*parametros_manuales!$I$40*parametros_manuales!$J$40</f>
        <v>4156.81171512</v>
      </c>
      <c r="G212" s="9" t="n">
        <f aca="false">(parametros_manuales!$D$40*('Plan mensual'!I79+IF(parametros_manuales!$H$40="Todos",'Plan mensual'!I83,0))+parametros_manuales!$E$40*('Plan mensual'!I80+IF(parametros_manuales!$H$40="Todos",'Plan mensual'!I84,0))+parametros_manuales!$F$40*('Plan mensual'!I81+IF(parametros_manuales!$H$40="Todos",'Plan mensual'!I85,0))+parametros_manuales!$G$40*('Plan mensual'!I82+IF(parametros_manuales!$H$40="Todos",'Plan mensual'!I86,0)))*parametros_manuales!$I$40*parametros_manuales!$J$40</f>
        <v>4006.963826275</v>
      </c>
      <c r="H212" s="9" t="n">
        <f aca="false">(parametros_manuales!$D$40*('Plan mensual'!J79+IF(parametros_manuales!$H$40="Todos",'Plan mensual'!J83,0))+parametros_manuales!$E$40*('Plan mensual'!J80+IF(parametros_manuales!$H$40="Todos",'Plan mensual'!J84,0))+parametros_manuales!$F$40*('Plan mensual'!J81+IF(parametros_manuales!$H$40="Todos",'Plan mensual'!J85,0))+parametros_manuales!$G$40*('Plan mensual'!J82+IF(parametros_manuales!$H$40="Todos",'Plan mensual'!J86,0)))*parametros_manuales!$I$40*parametros_manuales!$J$40</f>
        <v>4282.47210752</v>
      </c>
      <c r="I212" s="9" t="n">
        <f aca="false">(parametros_manuales!$D$40*('Plan mensual'!K79+IF(parametros_manuales!$H$40="Todos",'Plan mensual'!K83,0))+parametros_manuales!$E$40*('Plan mensual'!K80+IF(parametros_manuales!$H$40="Todos",'Plan mensual'!K84,0))+parametros_manuales!$F$40*('Plan mensual'!K81+IF(parametros_manuales!$H$40="Todos",'Plan mensual'!K85,0))+parametros_manuales!$G$40*('Plan mensual'!K82+IF(parametros_manuales!$H$40="Todos",'Plan mensual'!K86,0)))*parametros_manuales!$I$40*parametros_manuales!$J$40</f>
        <v>4282.47210752</v>
      </c>
      <c r="J212" s="9" t="n">
        <f aca="false">(parametros_manuales!$D$40*('Plan mensual'!L79+IF(parametros_manuales!$H$40="Todos",'Plan mensual'!L83,0))+parametros_manuales!$E$40*('Plan mensual'!L80+IF(parametros_manuales!$H$40="Todos",'Plan mensual'!L84,0))+parametros_manuales!$F$40*('Plan mensual'!L81+IF(parametros_manuales!$H$40="Todos",'Plan mensual'!L85,0))+parametros_manuales!$G$40*('Plan mensual'!L82+IF(parametros_manuales!$H$40="Todos",'Plan mensual'!L86,0)))*parametros_manuales!$I$40*parametros_manuales!$J$40</f>
        <v>4282.47210752</v>
      </c>
      <c r="K212" s="9" t="n">
        <f aca="false">(parametros_manuales!$D$40*('Plan mensual'!M79+IF(parametros_manuales!$H$40="Todos",'Plan mensual'!M83,0))+parametros_manuales!$E$40*('Plan mensual'!M80+IF(parametros_manuales!$H$40="Todos",'Plan mensual'!M84,0))+parametros_manuales!$F$40*('Plan mensual'!M81+IF(parametros_manuales!$H$40="Todos",'Plan mensual'!M85,0))+parametros_manuales!$G$40*('Plan mensual'!M82+IF(parametros_manuales!$H$40="Todos",'Plan mensual'!M86,0)))*parametros_manuales!$I$40*parametros_manuales!$J$40</f>
        <v>4132.624218675</v>
      </c>
      <c r="L212" s="9" t="n">
        <f aca="false">(parametros_manuales!$D$40*('Plan mensual'!N79+IF(parametros_manuales!$H$40="Todos",'Plan mensual'!N83,0))+parametros_manuales!$E$40*('Plan mensual'!N80+IF(parametros_manuales!$H$40="Todos",'Plan mensual'!N84,0))+parametros_manuales!$F$40*('Plan mensual'!N81+IF(parametros_manuales!$H$40="Todos",'Plan mensual'!N85,0))+parametros_manuales!$G$40*('Plan mensual'!N82+IF(parametros_manuales!$H$40="Todos",'Plan mensual'!N86,0)))*parametros_manuales!$I$40*parametros_manuales!$J$40</f>
        <v>3982.77632983</v>
      </c>
      <c r="M212" s="9" t="n">
        <f aca="false">(parametros_manuales!$D$40*('Plan mensual'!O79+IF(parametros_manuales!$H$40="Todos",'Plan mensual'!O83,0))+parametros_manuales!$E$40*('Plan mensual'!O80+IF(parametros_manuales!$H$40="Todos",'Plan mensual'!O84,0))+parametros_manuales!$F$40*('Plan mensual'!O81+IF(parametros_manuales!$H$40="Todos",'Plan mensual'!O85,0))+parametros_manuales!$G$40*('Plan mensual'!O82+IF(parametros_manuales!$H$40="Todos",'Plan mensual'!O86,0)))*parametros_manuales!$I$40*parametros_manuales!$J$40</f>
        <v>6312.50297219</v>
      </c>
      <c r="N212" s="9" t="n">
        <f aca="false">SUM(B212:M212)</f>
        <v>55101.656249</v>
      </c>
      <c r="O212" s="9" t="n">
        <f aca="false">MAX(B212:M212)</f>
        <v>6312.50297219</v>
      </c>
      <c r="P212" s="43" t="n">
        <f aca="false">O212/(parametros_manuales!$B$7)</f>
        <v>42.0833531479333</v>
      </c>
      <c r="Q212" s="8" t="str">
        <f aca="false">IF(O212=0,"-",INDEX($B$190:$M$190,MATCH(O212,B212:M212,0)))</f>
        <v>Dic</v>
      </c>
    </row>
    <row r="213" customFormat="false" ht="14.25" hidden="false" customHeight="true" outlineLevel="0" collapsed="false">
      <c r="A213" s="8" t="str">
        <f aca="false">parametros_manuales!$B$41</f>
        <v>Control de calidad — Ensayo de pérdidas</v>
      </c>
      <c r="B213" s="9" t="n">
        <f aca="false">(parametros_manuales!$D$41*('Plan mensual'!D79+IF(parametros_manuales!$H$41="Todos",'Plan mensual'!D83,0))+parametros_manuales!$E$41*('Plan mensual'!D80+IF(parametros_manuales!$H$41="Todos",'Plan mensual'!D84,0))+parametros_manuales!$F$41*('Plan mensual'!D81+IF(parametros_manuales!$H$41="Todos",'Plan mensual'!D85,0))+parametros_manuales!$G$41*('Plan mensual'!D82+IF(parametros_manuales!$H$41="Todos",'Plan mensual'!D86,0)))*parametros_manuales!$I$41*parametros_manuales!$J$41</f>
        <v>6012.8071945</v>
      </c>
      <c r="C213" s="9" t="n">
        <f aca="false">(parametros_manuales!$D$41*('Plan mensual'!E79+IF(parametros_manuales!$H$41="Todos",'Plan mensual'!E83,0))+parametros_manuales!$E$41*('Plan mensual'!E80+IF(parametros_manuales!$H$41="Todos",'Plan mensual'!E84,0))+parametros_manuales!$F$41*('Plan mensual'!E81+IF(parametros_manuales!$H$41="Todos",'Plan mensual'!E85,0))+parametros_manuales!$G$41*('Plan mensual'!E82+IF(parametros_manuales!$H$41="Todos",'Plan mensual'!E86,0)))*parametros_manuales!$I$41*parametros_manuales!$J$41</f>
        <v>4659.45328472</v>
      </c>
      <c r="D213" s="9" t="n">
        <f aca="false">(parametros_manuales!$D$41*('Plan mensual'!F79+IF(parametros_manuales!$H$41="Todos",'Plan mensual'!F83,0))+parametros_manuales!$E$41*('Plan mensual'!F80+IF(parametros_manuales!$H$41="Todos",'Plan mensual'!F84,0))+parametros_manuales!$F$41*('Plan mensual'!F81+IF(parametros_manuales!$H$41="Todos",'Plan mensual'!F85,0))+parametros_manuales!$G$41*('Plan mensual'!F82+IF(parametros_manuales!$H$41="Todos",'Plan mensual'!F86,0)))*parametros_manuales!$I$41*parametros_manuales!$J$41</f>
        <v>4557.980388765</v>
      </c>
      <c r="E213" s="9" t="n">
        <f aca="false">(parametros_manuales!$D$41*('Plan mensual'!G79+IF(parametros_manuales!$H$41="Todos",'Plan mensual'!G83,0))+parametros_manuales!$E$41*('Plan mensual'!G80+IF(parametros_manuales!$H$41="Todos",'Plan mensual'!G84,0))+parametros_manuales!$F$41*('Plan mensual'!G81+IF(parametros_manuales!$H$41="Todos",'Plan mensual'!G85,0))+parametros_manuales!$G$41*('Plan mensual'!G82+IF(parametros_manuales!$H$41="Todos",'Plan mensual'!G86,0)))*parametros_manuales!$I$41*parametros_manuales!$J$41</f>
        <v>4432.319996365</v>
      </c>
      <c r="F213" s="9" t="n">
        <f aca="false">(parametros_manuales!$D$41*('Plan mensual'!H79+IF(parametros_manuales!$H$41="Todos",'Plan mensual'!H83,0))+parametros_manuales!$E$41*('Plan mensual'!H80+IF(parametros_manuales!$H$41="Todos",'Plan mensual'!H84,0))+parametros_manuales!$F$41*('Plan mensual'!H81+IF(parametros_manuales!$H$41="Todos",'Plan mensual'!H85,0))+parametros_manuales!$G$41*('Plan mensual'!H82+IF(parametros_manuales!$H$41="Todos",'Plan mensual'!H86,0)))*parametros_manuales!$I$41*parametros_manuales!$J$41</f>
        <v>4156.81171512</v>
      </c>
      <c r="G213" s="9" t="n">
        <f aca="false">(parametros_manuales!$D$41*('Plan mensual'!I79+IF(parametros_manuales!$H$41="Todos",'Plan mensual'!I83,0))+parametros_manuales!$E$41*('Plan mensual'!I80+IF(parametros_manuales!$H$41="Todos",'Plan mensual'!I84,0))+parametros_manuales!$F$41*('Plan mensual'!I81+IF(parametros_manuales!$H$41="Todos",'Plan mensual'!I85,0))+parametros_manuales!$G$41*('Plan mensual'!I82+IF(parametros_manuales!$H$41="Todos",'Plan mensual'!I86,0)))*parametros_manuales!$I$41*parametros_manuales!$J$41</f>
        <v>4006.963826275</v>
      </c>
      <c r="H213" s="9" t="n">
        <f aca="false">(parametros_manuales!$D$41*('Plan mensual'!J79+IF(parametros_manuales!$H$41="Todos",'Plan mensual'!J83,0))+parametros_manuales!$E$41*('Plan mensual'!J80+IF(parametros_manuales!$H$41="Todos",'Plan mensual'!J84,0))+parametros_manuales!$F$41*('Plan mensual'!J81+IF(parametros_manuales!$H$41="Todos",'Plan mensual'!J85,0))+parametros_manuales!$G$41*('Plan mensual'!J82+IF(parametros_manuales!$H$41="Todos",'Plan mensual'!J86,0)))*parametros_manuales!$I$41*parametros_manuales!$J$41</f>
        <v>4282.47210752</v>
      </c>
      <c r="I213" s="9" t="n">
        <f aca="false">(parametros_manuales!$D$41*('Plan mensual'!K79+IF(parametros_manuales!$H$41="Todos",'Plan mensual'!K83,0))+parametros_manuales!$E$41*('Plan mensual'!K80+IF(parametros_manuales!$H$41="Todos",'Plan mensual'!K84,0))+parametros_manuales!$F$41*('Plan mensual'!K81+IF(parametros_manuales!$H$41="Todos",'Plan mensual'!K85,0))+parametros_manuales!$G$41*('Plan mensual'!K82+IF(parametros_manuales!$H$41="Todos",'Plan mensual'!K86,0)))*parametros_manuales!$I$41*parametros_manuales!$J$41</f>
        <v>4282.47210752</v>
      </c>
      <c r="J213" s="9" t="n">
        <f aca="false">(parametros_manuales!$D$41*('Plan mensual'!L79+IF(parametros_manuales!$H$41="Todos",'Plan mensual'!L83,0))+parametros_manuales!$E$41*('Plan mensual'!L80+IF(parametros_manuales!$H$41="Todos",'Plan mensual'!L84,0))+parametros_manuales!$F$41*('Plan mensual'!L81+IF(parametros_manuales!$H$41="Todos",'Plan mensual'!L85,0))+parametros_manuales!$G$41*('Plan mensual'!L82+IF(parametros_manuales!$H$41="Todos",'Plan mensual'!L86,0)))*parametros_manuales!$I$41*parametros_manuales!$J$41</f>
        <v>4282.47210752</v>
      </c>
      <c r="K213" s="9" t="n">
        <f aca="false">(parametros_manuales!$D$41*('Plan mensual'!M79+IF(parametros_manuales!$H$41="Todos",'Plan mensual'!M83,0))+parametros_manuales!$E$41*('Plan mensual'!M80+IF(parametros_manuales!$H$41="Todos",'Plan mensual'!M84,0))+parametros_manuales!$F$41*('Plan mensual'!M81+IF(parametros_manuales!$H$41="Todos",'Plan mensual'!M85,0))+parametros_manuales!$G$41*('Plan mensual'!M82+IF(parametros_manuales!$H$41="Todos",'Plan mensual'!M86,0)))*parametros_manuales!$I$41*parametros_manuales!$J$41</f>
        <v>4132.624218675</v>
      </c>
      <c r="L213" s="9" t="n">
        <f aca="false">(parametros_manuales!$D$41*('Plan mensual'!N79+IF(parametros_manuales!$H$41="Todos",'Plan mensual'!N83,0))+parametros_manuales!$E$41*('Plan mensual'!N80+IF(parametros_manuales!$H$41="Todos",'Plan mensual'!N84,0))+parametros_manuales!$F$41*('Plan mensual'!N81+IF(parametros_manuales!$H$41="Todos",'Plan mensual'!N85,0))+parametros_manuales!$G$41*('Plan mensual'!N82+IF(parametros_manuales!$H$41="Todos",'Plan mensual'!N86,0)))*parametros_manuales!$I$41*parametros_manuales!$J$41</f>
        <v>3982.77632983</v>
      </c>
      <c r="M213" s="9" t="n">
        <f aca="false">(parametros_manuales!$D$41*('Plan mensual'!O79+IF(parametros_manuales!$H$41="Todos",'Plan mensual'!O83,0))+parametros_manuales!$E$41*('Plan mensual'!O80+IF(parametros_manuales!$H$41="Todos",'Plan mensual'!O84,0))+parametros_manuales!$F$41*('Plan mensual'!O81+IF(parametros_manuales!$H$41="Todos",'Plan mensual'!O85,0))+parametros_manuales!$G$41*('Plan mensual'!O82+IF(parametros_manuales!$H$41="Todos",'Plan mensual'!O86,0)))*parametros_manuales!$I$41*parametros_manuales!$J$41</f>
        <v>6312.50297219</v>
      </c>
      <c r="N213" s="9" t="n">
        <f aca="false">SUM(B213:M213)</f>
        <v>55101.656249</v>
      </c>
      <c r="O213" s="9" t="n">
        <f aca="false">MAX(B213:M213)</f>
        <v>6312.50297219</v>
      </c>
      <c r="P213" s="43" t="n">
        <f aca="false">O213/(parametros_manuales!$B$7)</f>
        <v>42.0833531479333</v>
      </c>
      <c r="Q213" s="8" t="str">
        <f aca="false">IF(O213=0,"-",INDEX($B$190:$M$190,MATCH(O213,B213:M213,0)))</f>
        <v>Dic</v>
      </c>
    </row>
    <row r="214" customFormat="false" ht="14.25" hidden="false" customHeight="true" outlineLevel="0" collapsed="false">
      <c r="A214" s="8" t="str">
        <f aca="false">parametros_manuales!$B$42</f>
        <v>Etiquetado</v>
      </c>
      <c r="B214" s="9" t="n">
        <f aca="false">(parametros_manuales!$D$42*('Plan mensual'!D79+IF(parametros_manuales!$H$42="Todos",'Plan mensual'!D83,0))+parametros_manuales!$E$42*('Plan mensual'!D80+IF(parametros_manuales!$H$42="Todos",'Plan mensual'!D84,0))+parametros_manuales!$F$42*('Plan mensual'!D81+IF(parametros_manuales!$H$42="Todos",'Plan mensual'!D85,0))+parametros_manuales!$G$42*('Plan mensual'!D82+IF(parametros_manuales!$H$42="Todos",'Plan mensual'!D86,0)))*parametros_manuales!$I$42*parametros_manuales!$J$42</f>
        <v>6012.8071945</v>
      </c>
      <c r="C214" s="9" t="n">
        <f aca="false">(parametros_manuales!$D$42*('Plan mensual'!E79+IF(parametros_manuales!$H$42="Todos",'Plan mensual'!E83,0))+parametros_manuales!$E$42*('Plan mensual'!E80+IF(parametros_manuales!$H$42="Todos",'Plan mensual'!E84,0))+parametros_manuales!$F$42*('Plan mensual'!E81+IF(parametros_manuales!$H$42="Todos",'Plan mensual'!E85,0))+parametros_manuales!$G$42*('Plan mensual'!E82+IF(parametros_manuales!$H$42="Todos",'Plan mensual'!E86,0)))*parametros_manuales!$I$42*parametros_manuales!$J$42</f>
        <v>4659.45328472</v>
      </c>
      <c r="D214" s="9" t="n">
        <f aca="false">(parametros_manuales!$D$42*('Plan mensual'!F79+IF(parametros_manuales!$H$42="Todos",'Plan mensual'!F83,0))+parametros_manuales!$E$42*('Plan mensual'!F80+IF(parametros_manuales!$H$42="Todos",'Plan mensual'!F84,0))+parametros_manuales!$F$42*('Plan mensual'!F81+IF(parametros_manuales!$H$42="Todos",'Plan mensual'!F85,0))+parametros_manuales!$G$42*('Plan mensual'!F82+IF(parametros_manuales!$H$42="Todos",'Plan mensual'!F86,0)))*parametros_manuales!$I$42*parametros_manuales!$J$42</f>
        <v>4557.980388765</v>
      </c>
      <c r="E214" s="9" t="n">
        <f aca="false">(parametros_manuales!$D$42*('Plan mensual'!G79+IF(parametros_manuales!$H$42="Todos",'Plan mensual'!G83,0))+parametros_manuales!$E$42*('Plan mensual'!G80+IF(parametros_manuales!$H$42="Todos",'Plan mensual'!G84,0))+parametros_manuales!$F$42*('Plan mensual'!G81+IF(parametros_manuales!$H$42="Todos",'Plan mensual'!G85,0))+parametros_manuales!$G$42*('Plan mensual'!G82+IF(parametros_manuales!$H$42="Todos",'Plan mensual'!G86,0)))*parametros_manuales!$I$42*parametros_manuales!$J$42</f>
        <v>4432.319996365</v>
      </c>
      <c r="F214" s="9" t="n">
        <f aca="false">(parametros_manuales!$D$42*('Plan mensual'!H79+IF(parametros_manuales!$H$42="Todos",'Plan mensual'!H83,0))+parametros_manuales!$E$42*('Plan mensual'!H80+IF(parametros_manuales!$H$42="Todos",'Plan mensual'!H84,0))+parametros_manuales!$F$42*('Plan mensual'!H81+IF(parametros_manuales!$H$42="Todos",'Plan mensual'!H85,0))+parametros_manuales!$G$42*('Plan mensual'!H82+IF(parametros_manuales!$H$42="Todos",'Plan mensual'!H86,0)))*parametros_manuales!$I$42*parametros_manuales!$J$42</f>
        <v>4156.81171512</v>
      </c>
      <c r="G214" s="9" t="n">
        <f aca="false">(parametros_manuales!$D$42*('Plan mensual'!I79+IF(parametros_manuales!$H$42="Todos",'Plan mensual'!I83,0))+parametros_manuales!$E$42*('Plan mensual'!I80+IF(parametros_manuales!$H$42="Todos",'Plan mensual'!I84,0))+parametros_manuales!$F$42*('Plan mensual'!I81+IF(parametros_manuales!$H$42="Todos",'Plan mensual'!I85,0))+parametros_manuales!$G$42*('Plan mensual'!I82+IF(parametros_manuales!$H$42="Todos",'Plan mensual'!I86,0)))*parametros_manuales!$I$42*parametros_manuales!$J$42</f>
        <v>4006.963826275</v>
      </c>
      <c r="H214" s="9" t="n">
        <f aca="false">(parametros_manuales!$D$42*('Plan mensual'!J79+IF(parametros_manuales!$H$42="Todos",'Plan mensual'!J83,0))+parametros_manuales!$E$42*('Plan mensual'!J80+IF(parametros_manuales!$H$42="Todos",'Plan mensual'!J84,0))+parametros_manuales!$F$42*('Plan mensual'!J81+IF(parametros_manuales!$H$42="Todos",'Plan mensual'!J85,0))+parametros_manuales!$G$42*('Plan mensual'!J82+IF(parametros_manuales!$H$42="Todos",'Plan mensual'!J86,0)))*parametros_manuales!$I$42*parametros_manuales!$J$42</f>
        <v>4282.47210752</v>
      </c>
      <c r="I214" s="9" t="n">
        <f aca="false">(parametros_manuales!$D$42*('Plan mensual'!K79+IF(parametros_manuales!$H$42="Todos",'Plan mensual'!K83,0))+parametros_manuales!$E$42*('Plan mensual'!K80+IF(parametros_manuales!$H$42="Todos",'Plan mensual'!K84,0))+parametros_manuales!$F$42*('Plan mensual'!K81+IF(parametros_manuales!$H$42="Todos",'Plan mensual'!K85,0))+parametros_manuales!$G$42*('Plan mensual'!K82+IF(parametros_manuales!$H$42="Todos",'Plan mensual'!K86,0)))*parametros_manuales!$I$42*parametros_manuales!$J$42</f>
        <v>4282.47210752</v>
      </c>
      <c r="J214" s="9" t="n">
        <f aca="false">(parametros_manuales!$D$42*('Plan mensual'!L79+IF(parametros_manuales!$H$42="Todos",'Plan mensual'!L83,0))+parametros_manuales!$E$42*('Plan mensual'!L80+IF(parametros_manuales!$H$42="Todos",'Plan mensual'!L84,0))+parametros_manuales!$F$42*('Plan mensual'!L81+IF(parametros_manuales!$H$42="Todos",'Plan mensual'!L85,0))+parametros_manuales!$G$42*('Plan mensual'!L82+IF(parametros_manuales!$H$42="Todos",'Plan mensual'!L86,0)))*parametros_manuales!$I$42*parametros_manuales!$J$42</f>
        <v>4282.47210752</v>
      </c>
      <c r="K214" s="9" t="n">
        <f aca="false">(parametros_manuales!$D$42*('Plan mensual'!M79+IF(parametros_manuales!$H$42="Todos",'Plan mensual'!M83,0))+parametros_manuales!$E$42*('Plan mensual'!M80+IF(parametros_manuales!$H$42="Todos",'Plan mensual'!M84,0))+parametros_manuales!$F$42*('Plan mensual'!M81+IF(parametros_manuales!$H$42="Todos",'Plan mensual'!M85,0))+parametros_manuales!$G$42*('Plan mensual'!M82+IF(parametros_manuales!$H$42="Todos",'Plan mensual'!M86,0)))*parametros_manuales!$I$42*parametros_manuales!$J$42</f>
        <v>4132.624218675</v>
      </c>
      <c r="L214" s="9" t="n">
        <f aca="false">(parametros_manuales!$D$42*('Plan mensual'!N79+IF(parametros_manuales!$H$42="Todos",'Plan mensual'!N83,0))+parametros_manuales!$E$42*('Plan mensual'!N80+IF(parametros_manuales!$H$42="Todos",'Plan mensual'!N84,0))+parametros_manuales!$F$42*('Plan mensual'!N81+IF(parametros_manuales!$H$42="Todos",'Plan mensual'!N85,0))+parametros_manuales!$G$42*('Plan mensual'!N82+IF(parametros_manuales!$H$42="Todos",'Plan mensual'!N86,0)))*parametros_manuales!$I$42*parametros_manuales!$J$42</f>
        <v>3982.77632983</v>
      </c>
      <c r="M214" s="9" t="n">
        <f aca="false">(parametros_manuales!$D$42*('Plan mensual'!O79+IF(parametros_manuales!$H$42="Todos",'Plan mensual'!O83,0))+parametros_manuales!$E$42*('Plan mensual'!O80+IF(parametros_manuales!$H$42="Todos",'Plan mensual'!O84,0))+parametros_manuales!$F$42*('Plan mensual'!O81+IF(parametros_manuales!$H$42="Todos",'Plan mensual'!O85,0))+parametros_manuales!$G$42*('Plan mensual'!O82+IF(parametros_manuales!$H$42="Todos",'Plan mensual'!O86,0)))*parametros_manuales!$I$42*parametros_manuales!$J$42</f>
        <v>6312.50297219</v>
      </c>
      <c r="N214" s="9" t="n">
        <f aca="false">SUM(B214:M214)</f>
        <v>55101.656249</v>
      </c>
      <c r="O214" s="9" t="n">
        <f aca="false">MAX(B214:M214)</f>
        <v>6312.50297219</v>
      </c>
      <c r="P214" s="43" t="n">
        <f aca="false">O214/(parametros_manuales!$B$7)</f>
        <v>42.0833531479333</v>
      </c>
      <c r="Q214" s="8" t="str">
        <f aca="false">IF(O214=0,"-",INDEX($B$190:$M$190,MATCH(O214,B214:M214,0)))</f>
        <v>Dic</v>
      </c>
    </row>
    <row r="215" customFormat="false" ht="14.25" hidden="false" customHeight="true" outlineLevel="0" collapsed="false">
      <c r="A215" s="8" t="str">
        <f aca="false">parametros_manuales!$B$43</f>
        <v>Embalaje y paletizado</v>
      </c>
      <c r="B215" s="9" t="n">
        <f aca="false">(parametros_manuales!$D$43*('Plan mensual'!D79+IF(parametros_manuales!$H$43="Todos",'Plan mensual'!D83,0))+parametros_manuales!$E$43*('Plan mensual'!D80+IF(parametros_manuales!$H$43="Todos",'Plan mensual'!D84,0))+parametros_manuales!$F$43*('Plan mensual'!D81+IF(parametros_manuales!$H$43="Todos",'Plan mensual'!D85,0))+parametros_manuales!$G$43*('Plan mensual'!D82+IF(parametros_manuales!$H$43="Todos",'Plan mensual'!D86,0)))*parametros_manuales!$I$43*parametros_manuales!$J$43</f>
        <v>24945.9511945</v>
      </c>
      <c r="C215" s="9" t="n">
        <f aca="false">(parametros_manuales!$D$43*('Plan mensual'!E79+IF(parametros_manuales!$H$43="Todos",'Plan mensual'!E83,0))+parametros_manuales!$E$43*('Plan mensual'!E80+IF(parametros_manuales!$H$43="Todos",'Plan mensual'!E84,0))+parametros_manuales!$F$43*('Plan mensual'!E81+IF(parametros_manuales!$H$43="Todos",'Plan mensual'!E85,0))+parametros_manuales!$G$43*('Plan mensual'!E82+IF(parametros_manuales!$H$43="Todos",'Plan mensual'!E86,0)))*parametros_manuales!$I$43*parametros_manuales!$J$43</f>
        <v>19019.96248472</v>
      </c>
      <c r="D215" s="9" t="n">
        <f aca="false">(parametros_manuales!$D$43*('Plan mensual'!F79+IF(parametros_manuales!$H$43="Todos",'Plan mensual'!F83,0))+parametros_manuales!$E$43*('Plan mensual'!F80+IF(parametros_manuales!$H$43="Todos",'Plan mensual'!F84,0))+parametros_manuales!$F$43*('Plan mensual'!F81+IF(parametros_manuales!$H$43="Todos",'Plan mensual'!F85,0))+parametros_manuales!$G$43*('Plan mensual'!F82+IF(parametros_manuales!$H$43="Todos",'Plan mensual'!F86,0)))*parametros_manuales!$I$43*parametros_manuales!$J$43</f>
        <v>17769.130788765</v>
      </c>
      <c r="E215" s="9" t="n">
        <f aca="false">(parametros_manuales!$D$43*('Plan mensual'!G79+IF(parametros_manuales!$H$43="Todos",'Plan mensual'!G83,0))+parametros_manuales!$E$43*('Plan mensual'!G80+IF(parametros_manuales!$H$43="Todos",'Plan mensual'!G84,0))+parametros_manuales!$F$43*('Plan mensual'!G81+IF(parametros_manuales!$H$43="Todos",'Plan mensual'!G85,0))+parametros_manuales!$G$43*('Plan mensual'!G82+IF(parametros_manuales!$H$43="Todos",'Plan mensual'!G86,0)))*parametros_manuales!$I$43*parametros_manuales!$J$43</f>
        <v>16988.465396365</v>
      </c>
      <c r="F215" s="9" t="n">
        <f aca="false">(parametros_manuales!$D$43*('Plan mensual'!H79+IF(parametros_manuales!$H$43="Todos",'Plan mensual'!H83,0))+parametros_manuales!$E$43*('Plan mensual'!H80+IF(parametros_manuales!$H$43="Todos",'Plan mensual'!H84,0))+parametros_manuales!$F$43*('Plan mensual'!H81+IF(parametros_manuales!$H$43="Todos",'Plan mensual'!H85,0))+parametros_manuales!$G$43*('Plan mensual'!H82+IF(parametros_manuales!$H$43="Todos",'Plan mensual'!H86,0)))*parametros_manuales!$I$43*parametros_manuales!$J$43</f>
        <v>15897.30091512</v>
      </c>
      <c r="G215" s="9" t="n">
        <f aca="false">(parametros_manuales!$D$43*('Plan mensual'!I79+IF(parametros_manuales!$H$43="Todos",'Plan mensual'!I83,0))+parametros_manuales!$E$43*('Plan mensual'!I80+IF(parametros_manuales!$H$43="Todos",'Plan mensual'!I84,0))+parametros_manuales!$F$43*('Plan mensual'!I81+IF(parametros_manuales!$H$43="Todos",'Plan mensual'!I85,0))+parametros_manuales!$G$43*('Plan mensual'!I82+IF(parametros_manuales!$H$43="Todos",'Plan mensual'!I86,0)))*parametros_manuales!$I$43*parametros_manuales!$J$43</f>
        <v>15586.801826275</v>
      </c>
      <c r="H215" s="9" t="n">
        <f aca="false">(parametros_manuales!$D$43*('Plan mensual'!J79+IF(parametros_manuales!$H$43="Todos",'Plan mensual'!J83,0))+parametros_manuales!$E$43*('Plan mensual'!J80+IF(parametros_manuales!$H$43="Todos",'Plan mensual'!J84,0))+parametros_manuales!$F$43*('Plan mensual'!J81+IF(parametros_manuales!$H$43="Todos",'Plan mensual'!J85,0))+parametros_manuales!$G$43*('Plan mensual'!J82+IF(parametros_manuales!$H$43="Todos",'Plan mensual'!J86,0)))*parametros_manuales!$I$43*parametros_manuales!$J$43</f>
        <v>16677.96630752</v>
      </c>
      <c r="I215" s="9" t="n">
        <f aca="false">(parametros_manuales!$D$43*('Plan mensual'!K79+IF(parametros_manuales!$H$43="Todos",'Plan mensual'!K83,0))+parametros_manuales!$E$43*('Plan mensual'!K80+IF(parametros_manuales!$H$43="Todos",'Plan mensual'!K84,0))+parametros_manuales!$F$43*('Plan mensual'!K81+IF(parametros_manuales!$H$43="Todos",'Plan mensual'!K85,0))+parametros_manuales!$G$43*('Plan mensual'!K82+IF(parametros_manuales!$H$43="Todos",'Plan mensual'!K86,0)))*parametros_manuales!$I$43*parametros_manuales!$J$43</f>
        <v>16677.96630752</v>
      </c>
      <c r="J215" s="9" t="n">
        <f aca="false">(parametros_manuales!$D$43*('Plan mensual'!L79+IF(parametros_manuales!$H$43="Todos",'Plan mensual'!L83,0))+parametros_manuales!$E$43*('Plan mensual'!L80+IF(parametros_manuales!$H$43="Todos",'Plan mensual'!L84,0))+parametros_manuales!$F$43*('Plan mensual'!L81+IF(parametros_manuales!$H$43="Todos",'Plan mensual'!L85,0))+parametros_manuales!$G$43*('Plan mensual'!L82+IF(parametros_manuales!$H$43="Todos",'Plan mensual'!L86,0)))*parametros_manuales!$I$43*parametros_manuales!$J$43</f>
        <v>16677.96630752</v>
      </c>
      <c r="K215" s="9" t="n">
        <f aca="false">(parametros_manuales!$D$43*('Plan mensual'!M79+IF(parametros_manuales!$H$43="Todos",'Plan mensual'!M83,0))+parametros_manuales!$E$43*('Plan mensual'!M80+IF(parametros_manuales!$H$43="Todos",'Plan mensual'!M84,0))+parametros_manuales!$F$43*('Plan mensual'!M81+IF(parametros_manuales!$H$43="Todos",'Plan mensual'!M85,0))+parametros_manuales!$G$43*('Plan mensual'!M82+IF(parametros_manuales!$H$43="Todos",'Plan mensual'!M86,0)))*parametros_manuales!$I$43*parametros_manuales!$J$43</f>
        <v>16367.467218675</v>
      </c>
      <c r="L215" s="9" t="n">
        <f aca="false">(parametros_manuales!$D$43*('Plan mensual'!N79+IF(parametros_manuales!$H$43="Todos",'Plan mensual'!N83,0))+parametros_manuales!$E$43*('Plan mensual'!N80+IF(parametros_manuales!$H$43="Todos",'Plan mensual'!N84,0))+parametros_manuales!$F$43*('Plan mensual'!N81+IF(parametros_manuales!$H$43="Todos",'Plan mensual'!N85,0))+parametros_manuales!$G$43*('Plan mensual'!N82+IF(parametros_manuales!$H$43="Todos",'Plan mensual'!N86,0)))*parametros_manuales!$I$43*parametros_manuales!$J$43</f>
        <v>16056.96812983</v>
      </c>
      <c r="M215" s="9" t="n">
        <f aca="false">(parametros_manuales!$D$43*('Plan mensual'!O79+IF(parametros_manuales!$H$43="Todos",'Plan mensual'!O83,0))+parametros_manuales!$E$43*('Plan mensual'!O80+IF(parametros_manuales!$H$43="Todos",'Plan mensual'!O84,0))+parametros_manuales!$F$43*('Plan mensual'!O81+IF(parametros_manuales!$H$43="Todos",'Plan mensual'!O85,0))+parametros_manuales!$G$43*('Plan mensual'!O82+IF(parametros_manuales!$H$43="Todos",'Plan mensual'!O86,0)))*parametros_manuales!$I$43*parametros_manuales!$J$43</f>
        <v>25566.94937219</v>
      </c>
      <c r="N215" s="9" t="n">
        <f aca="false">SUM(B215:M215)</f>
        <v>218232.896249</v>
      </c>
      <c r="O215" s="9" t="n">
        <f aca="false">MAX(B215:M215)</f>
        <v>25566.94937219</v>
      </c>
      <c r="P215" s="43" t="n">
        <f aca="false">O215/(parametros_manuales!$B$7)</f>
        <v>170.446329147933</v>
      </c>
      <c r="Q215" s="8" t="str">
        <f aca="false">IF(O215=0,"-",INDEX($B$190:$M$190,MATCH(O215,B215:M215,0)))</f>
        <v>Dic</v>
      </c>
    </row>
    <row r="216" customFormat="false" ht="14.25" hidden="false" customHeight="true" outlineLevel="0" collapsed="false"/>
    <row r="217" customFormat="false" ht="14.25" hidden="false" customHeight="true" outlineLevel="0" collapsed="false">
      <c r="A217" s="7" t="s">
        <v>198</v>
      </c>
      <c r="B217" s="7" t="s">
        <v>61</v>
      </c>
      <c r="C217" s="7" t="s">
        <v>62</v>
      </c>
      <c r="D217" s="7" t="s">
        <v>63</v>
      </c>
      <c r="E217" s="7" t="s">
        <v>64</v>
      </c>
      <c r="F217" s="7" t="s">
        <v>65</v>
      </c>
      <c r="G217" s="7" t="s">
        <v>66</v>
      </c>
      <c r="H217" s="7" t="s">
        <v>67</v>
      </c>
      <c r="I217" s="7" t="s">
        <v>68</v>
      </c>
      <c r="J217" s="7" t="s">
        <v>69</v>
      </c>
      <c r="K217" s="7" t="s">
        <v>70</v>
      </c>
      <c r="L217" s="7" t="s">
        <v>71</v>
      </c>
      <c r="M217" s="7" t="s">
        <v>72</v>
      </c>
      <c r="N217" s="7" t="s">
        <v>183</v>
      </c>
      <c r="O217" s="7" t="s">
        <v>188</v>
      </c>
      <c r="P217" s="7" t="s">
        <v>189</v>
      </c>
      <c r="Q217" s="7" t="s">
        <v>190</v>
      </c>
    </row>
    <row r="218" customFormat="false" ht="14.25" hidden="false" customHeight="true" outlineLevel="0" collapsed="false">
      <c r="A218" s="8" t="str">
        <f aca="false">parametros_manuales!$B$19</f>
        <v>Recepción de materia prima</v>
      </c>
      <c r="B218" s="9" t="n">
        <f aca="false">(parametros_manuales!$D$19*('Plan mensual'!D90+IF(parametros_manuales!$H$19="Todos",'Plan mensual'!D94,0))+parametros_manuales!$E$19*('Plan mensual'!D91+IF(parametros_manuales!$H$19="Todos",'Plan mensual'!D95,0))+parametros_manuales!$F$19*('Plan mensual'!D92+IF(parametros_manuales!$H$19="Todos",'Plan mensual'!D96,0))+parametros_manuales!$G$19*('Plan mensual'!D93+IF(parametros_manuales!$H$19="Todos",'Plan mensual'!D97,0)))*parametros_manuales!$I$19*parametros_manuales!$J$19</f>
        <v>28131.6464215</v>
      </c>
      <c r="C218" s="9" t="n">
        <f aca="false">(parametros_manuales!$D$19*('Plan mensual'!E90+IF(parametros_manuales!$H$19="Todos",'Plan mensual'!E94,0))+parametros_manuales!$E$19*('Plan mensual'!E91+IF(parametros_manuales!$H$19="Todos",'Plan mensual'!E95,0))+parametros_manuales!$F$19*('Plan mensual'!E92+IF(parametros_manuales!$H$19="Todos",'Plan mensual'!E96,0))+parametros_manuales!$G$19*('Plan mensual'!E93+IF(parametros_manuales!$H$19="Todos",'Plan mensual'!E97,0)))*parametros_manuales!$I$19*parametros_manuales!$J$19</f>
        <v>21452.95832036</v>
      </c>
      <c r="D218" s="9" t="n">
        <f aca="false">(parametros_manuales!$D$19*('Plan mensual'!F90+IF(parametros_manuales!$H$19="Todos",'Plan mensual'!F94,0))+parametros_manuales!$E$19*('Plan mensual'!F91+IF(parametros_manuales!$H$19="Todos",'Plan mensual'!F95,0))+parametros_manuales!$F$19*('Plan mensual'!F92+IF(parametros_manuales!$H$19="Todos",'Plan mensual'!F96,0))+parametros_manuales!$G$19*('Plan mensual'!F93+IF(parametros_manuales!$H$19="Todos",'Plan mensual'!F97,0)))*parametros_manuales!$I$19*parametros_manuales!$J$19</f>
        <v>20053.250463195</v>
      </c>
      <c r="E218" s="9" t="n">
        <f aca="false">(parametros_manuales!$D$19*('Plan mensual'!G90+IF(parametros_manuales!$H$19="Todos",'Plan mensual'!G94,0))+parametros_manuales!$E$19*('Plan mensual'!G91+IF(parametros_manuales!$H$19="Todos",'Plan mensual'!G95,0))+parametros_manuales!$F$19*('Plan mensual'!G92+IF(parametros_manuales!$H$19="Todos",'Plan mensual'!G96,0))+parametros_manuales!$G$19*('Plan mensual'!G93+IF(parametros_manuales!$H$19="Todos",'Plan mensual'!G97,0)))*parametros_manuales!$I$19*parametros_manuales!$J$19</f>
        <v>19176.284782495</v>
      </c>
      <c r="F218" s="9" t="n">
        <f aca="false">(parametros_manuales!$D$19*('Plan mensual'!H90+IF(parametros_manuales!$H$19="Todos",'Plan mensual'!H94,0))+parametros_manuales!$E$19*('Plan mensual'!H91+IF(parametros_manuales!$H$19="Todos",'Plan mensual'!H95,0))+parametros_manuales!$F$19*('Plan mensual'!H92+IF(parametros_manuales!$H$19="Todos",'Plan mensual'!H96,0))+parametros_manuales!$G$19*('Plan mensual'!H93+IF(parametros_manuales!$H$19="Todos",'Plan mensual'!H97,0)))*parametros_manuales!$I$19*parametros_manuales!$J$19</f>
        <v>17945.09559756</v>
      </c>
      <c r="G218" s="9" t="n">
        <f aca="false">(parametros_manuales!$D$19*('Plan mensual'!I90+IF(parametros_manuales!$H$19="Todos",'Plan mensual'!I94,0))+parametros_manuales!$E$19*('Plan mensual'!I91+IF(parametros_manuales!$H$19="Todos",'Plan mensual'!I95,0))+parametros_manuales!$F$19*('Plan mensual'!I92+IF(parametros_manuales!$H$19="Todos",'Plan mensual'!I96,0))+parametros_manuales!$G$19*('Plan mensual'!I93+IF(parametros_manuales!$H$19="Todos",'Plan mensual'!I97,0)))*parametros_manuales!$I$19*parametros_manuales!$J$19</f>
        <v>17590.872093325</v>
      </c>
      <c r="H218" s="9" t="n">
        <f aca="false">(parametros_manuales!$D$19*('Plan mensual'!J90+IF(parametros_manuales!$H$19="Todos",'Plan mensual'!J94,0))+parametros_manuales!$E$19*('Plan mensual'!J91+IF(parametros_manuales!$H$19="Todos",'Plan mensual'!J95,0))+parametros_manuales!$F$19*('Plan mensual'!J92+IF(parametros_manuales!$H$19="Todos",'Plan mensual'!J96,0))+parametros_manuales!$G$19*('Plan mensual'!J93+IF(parametros_manuales!$H$19="Todos",'Plan mensual'!J97,0)))*parametros_manuales!$I$19*parametros_manuales!$J$19</f>
        <v>18822.06127826</v>
      </c>
      <c r="I218" s="9" t="n">
        <f aca="false">(parametros_manuales!$D$19*('Plan mensual'!K90+IF(parametros_manuales!$H$19="Todos",'Plan mensual'!K94,0))+parametros_manuales!$E$19*('Plan mensual'!K91+IF(parametros_manuales!$H$19="Todos",'Plan mensual'!K95,0))+parametros_manuales!$F$19*('Plan mensual'!K92+IF(parametros_manuales!$H$19="Todos",'Plan mensual'!K96,0))+parametros_manuales!$G$19*('Plan mensual'!K93+IF(parametros_manuales!$H$19="Todos",'Plan mensual'!K97,0)))*parametros_manuales!$I$19*parametros_manuales!$J$19</f>
        <v>18822.06127826</v>
      </c>
      <c r="J218" s="9" t="n">
        <f aca="false">(parametros_manuales!$D$19*('Plan mensual'!L90+IF(parametros_manuales!$H$19="Todos",'Plan mensual'!L94,0))+parametros_manuales!$E$19*('Plan mensual'!L91+IF(parametros_manuales!$H$19="Todos",'Plan mensual'!L95,0))+parametros_manuales!$F$19*('Plan mensual'!L92+IF(parametros_manuales!$H$19="Todos",'Plan mensual'!L96,0))+parametros_manuales!$G$19*('Plan mensual'!L93+IF(parametros_manuales!$H$19="Todos",'Plan mensual'!L97,0)))*parametros_manuales!$I$19*parametros_manuales!$J$19</f>
        <v>18822.06127826</v>
      </c>
      <c r="K218" s="9" t="n">
        <f aca="false">(parametros_manuales!$D$19*('Plan mensual'!M90+IF(parametros_manuales!$H$19="Todos",'Plan mensual'!M94,0))+parametros_manuales!$E$19*('Plan mensual'!M91+IF(parametros_manuales!$H$19="Todos",'Plan mensual'!M95,0))+parametros_manuales!$F$19*('Plan mensual'!M92+IF(parametros_manuales!$H$19="Todos",'Plan mensual'!M96,0))+parametros_manuales!$G$19*('Plan mensual'!M93+IF(parametros_manuales!$H$19="Todos",'Plan mensual'!M97,0)))*parametros_manuales!$I$19*parametros_manuales!$J$19</f>
        <v>18467.837774025</v>
      </c>
      <c r="L218" s="9" t="n">
        <f aca="false">(parametros_manuales!$D$19*('Plan mensual'!N90+IF(parametros_manuales!$H$19="Todos",'Plan mensual'!N94,0))+parametros_manuales!$E$19*('Plan mensual'!N91+IF(parametros_manuales!$H$19="Todos",'Plan mensual'!N95,0))+parametros_manuales!$F$19*('Plan mensual'!N92+IF(parametros_manuales!$H$19="Todos",'Plan mensual'!N96,0))+parametros_manuales!$G$19*('Plan mensual'!N93+IF(parametros_manuales!$H$19="Todos",'Plan mensual'!N97,0)))*parametros_manuales!$I$19*parametros_manuales!$J$19</f>
        <v>18113.61426979</v>
      </c>
      <c r="M218" s="9" t="n">
        <f aca="false">(parametros_manuales!$D$19*('Plan mensual'!O90+IF(parametros_manuales!$H$19="Todos",'Plan mensual'!O94,0))+parametros_manuales!$E$19*('Plan mensual'!O91+IF(parametros_manuales!$H$19="Todos",'Plan mensual'!O95,0))+parametros_manuales!$F$19*('Plan mensual'!O92+IF(parametros_manuales!$H$19="Todos",'Plan mensual'!O96,0))+parametros_manuales!$G$19*('Plan mensual'!O93+IF(parametros_manuales!$H$19="Todos",'Plan mensual'!O97,0)))*parametros_manuales!$I$19*parametros_manuales!$J$19</f>
        <v>28840.09342997</v>
      </c>
      <c r="N218" s="9" t="n">
        <f aca="false">SUM(B218:M218)</f>
        <v>246237.836987</v>
      </c>
      <c r="O218" s="9" t="n">
        <f aca="false">MAX(B218:M218)</f>
        <v>28840.09342997</v>
      </c>
      <c r="P218" s="43" t="n">
        <f aca="false">O218/(parametros_manuales!$B$7)</f>
        <v>192.267289533133</v>
      </c>
      <c r="Q218" s="8" t="str">
        <f aca="false">IF(O218=0,"-",INDEX($B$217:$M$217,MATCH(O218,B218:M218,0)))</f>
        <v>Dic</v>
      </c>
    </row>
    <row r="219" customFormat="false" ht="14.25" hidden="false" customHeight="true" outlineLevel="0" collapsed="false">
      <c r="A219" s="8" t="str">
        <f aca="false">parametros_manuales!$B$20</f>
        <v>Corte de chapa (guillotina) — 2,5 a 10 kg</v>
      </c>
      <c r="B219" s="9" t="n">
        <f aca="false">(parametros_manuales!$D$20*('Plan mensual'!D90+IF(parametros_manuales!$H$20="Todos",'Plan mensual'!D94,0))+parametros_manuales!$E$20*('Plan mensual'!D91+IF(parametros_manuales!$H$20="Todos",'Plan mensual'!D95,0))+parametros_manuales!$F$20*('Plan mensual'!D92+IF(parametros_manuales!$H$20="Todos",'Plan mensual'!D96,0))+parametros_manuales!$G$20*('Plan mensual'!D93+IF(parametros_manuales!$H$20="Todos",'Plan mensual'!D97,0)))*parametros_manuales!$I$20*parametros_manuales!$J$20</f>
        <v>7084.4700847</v>
      </c>
      <c r="C219" s="9" t="n">
        <f aca="false">(parametros_manuales!$D$20*('Plan mensual'!E90+IF(parametros_manuales!$H$20="Todos",'Plan mensual'!E94,0))+parametros_manuales!$E$20*('Plan mensual'!E91+IF(parametros_manuales!$H$20="Todos",'Plan mensual'!E95,0))+parametros_manuales!$F$20*('Plan mensual'!E92+IF(parametros_manuales!$H$20="Todos",'Plan mensual'!E96,0))+parametros_manuales!$G$20*('Plan mensual'!E93+IF(parametros_manuales!$H$20="Todos",'Plan mensual'!E97,0)))*parametros_manuales!$I$20*parametros_manuales!$J$20</f>
        <v>5667.57606776</v>
      </c>
      <c r="D219" s="9" t="n">
        <f aca="false">(parametros_manuales!$D$20*('Plan mensual'!F90+IF(parametros_manuales!$H$20="Todos",'Plan mensual'!F94,0))+parametros_manuales!$E$20*('Plan mensual'!F91+IF(parametros_manuales!$H$20="Todos",'Plan mensual'!F95,0))+parametros_manuales!$F$20*('Plan mensual'!F92+IF(parametros_manuales!$H$20="Todos",'Plan mensual'!F96,0))+parametros_manuales!$G$20*('Plan mensual'!F93+IF(parametros_manuales!$H$20="Todos",'Plan mensual'!F97,0)))*parametros_manuales!$I$20*parametros_manuales!$J$20</f>
        <v>6021.799571995</v>
      </c>
      <c r="E219" s="9" t="n">
        <f aca="false">(parametros_manuales!$D$20*('Plan mensual'!G90+IF(parametros_manuales!$H$20="Todos",'Plan mensual'!G94,0))+parametros_manuales!$E$20*('Plan mensual'!G91+IF(parametros_manuales!$H$20="Todos",'Plan mensual'!G95,0))+parametros_manuales!$F$20*('Plan mensual'!G92+IF(parametros_manuales!$H$20="Todos",'Plan mensual'!G96,0))+parametros_manuales!$G$20*('Plan mensual'!G93+IF(parametros_manuales!$H$20="Todos",'Plan mensual'!G97,0)))*parametros_manuales!$I$20*parametros_manuales!$J$20</f>
        <v>6021.799571995</v>
      </c>
      <c r="F219" s="9" t="n">
        <f aca="false">(parametros_manuales!$D$20*('Plan mensual'!H90+IF(parametros_manuales!$H$20="Todos",'Plan mensual'!H94,0))+parametros_manuales!$E$20*('Plan mensual'!H91+IF(parametros_manuales!$H$20="Todos",'Plan mensual'!H95,0))+parametros_manuales!$F$20*('Plan mensual'!H92+IF(parametros_manuales!$H$20="Todos",'Plan mensual'!H96,0))+parametros_manuales!$G$20*('Plan mensual'!H93+IF(parametros_manuales!$H$20="Todos",'Plan mensual'!H97,0)))*parametros_manuales!$I$20*parametros_manuales!$J$20</f>
        <v>5667.57606776</v>
      </c>
      <c r="G219" s="9" t="n">
        <f aca="false">(parametros_manuales!$D$20*('Plan mensual'!I90+IF(parametros_manuales!$H$20="Todos",'Plan mensual'!I94,0))+parametros_manuales!$E$20*('Plan mensual'!I91+IF(parametros_manuales!$H$20="Todos",'Plan mensual'!I95,0))+parametros_manuales!$F$20*('Plan mensual'!I92+IF(parametros_manuales!$H$20="Todos",'Plan mensual'!I96,0))+parametros_manuales!$G$20*('Plan mensual'!I93+IF(parametros_manuales!$H$20="Todos",'Plan mensual'!I97,0)))*parametros_manuales!$I$20*parametros_manuales!$J$20</f>
        <v>5313.352563525</v>
      </c>
      <c r="H219" s="9" t="n">
        <f aca="false">(parametros_manuales!$D$20*('Plan mensual'!J90+IF(parametros_manuales!$H$20="Todos",'Plan mensual'!J94,0))+parametros_manuales!$E$20*('Plan mensual'!J91+IF(parametros_manuales!$H$20="Todos",'Plan mensual'!J95,0))+parametros_manuales!$F$20*('Plan mensual'!J92+IF(parametros_manuales!$H$20="Todos",'Plan mensual'!J96,0))+parametros_manuales!$G$20*('Plan mensual'!J93+IF(parametros_manuales!$H$20="Todos",'Plan mensual'!J97,0)))*parametros_manuales!$I$20*parametros_manuales!$J$20</f>
        <v>5667.57606776</v>
      </c>
      <c r="I219" s="9" t="n">
        <f aca="false">(parametros_manuales!$D$20*('Plan mensual'!K90+IF(parametros_manuales!$H$20="Todos",'Plan mensual'!K94,0))+parametros_manuales!$E$20*('Plan mensual'!K91+IF(parametros_manuales!$H$20="Todos",'Plan mensual'!K95,0))+parametros_manuales!$F$20*('Plan mensual'!K92+IF(parametros_manuales!$H$20="Todos",'Plan mensual'!K96,0))+parametros_manuales!$G$20*('Plan mensual'!K93+IF(parametros_manuales!$H$20="Todos",'Plan mensual'!K97,0)))*parametros_manuales!$I$20*parametros_manuales!$J$20</f>
        <v>5667.57606776</v>
      </c>
      <c r="J219" s="9" t="n">
        <f aca="false">(parametros_manuales!$D$20*('Plan mensual'!L90+IF(parametros_manuales!$H$20="Todos",'Plan mensual'!L94,0))+parametros_manuales!$E$20*('Plan mensual'!L91+IF(parametros_manuales!$H$20="Todos",'Plan mensual'!L95,0))+parametros_manuales!$F$20*('Plan mensual'!L92+IF(parametros_manuales!$H$20="Todos",'Plan mensual'!L96,0))+parametros_manuales!$G$20*('Plan mensual'!L93+IF(parametros_manuales!$H$20="Todos",'Plan mensual'!L97,0)))*parametros_manuales!$I$20*parametros_manuales!$J$20</f>
        <v>5667.57606776</v>
      </c>
      <c r="K219" s="9" t="n">
        <f aca="false">(parametros_manuales!$D$20*('Plan mensual'!M90+IF(parametros_manuales!$H$20="Todos",'Plan mensual'!M94,0))+parametros_manuales!$E$20*('Plan mensual'!M91+IF(parametros_manuales!$H$20="Todos",'Plan mensual'!M95,0))+parametros_manuales!$F$20*('Plan mensual'!M92+IF(parametros_manuales!$H$20="Todos",'Plan mensual'!M96,0))+parametros_manuales!$G$20*('Plan mensual'!M93+IF(parametros_manuales!$H$20="Todos",'Plan mensual'!M97,0)))*parametros_manuales!$I$20*parametros_manuales!$J$20</f>
        <v>5313.352563525</v>
      </c>
      <c r="L219" s="9" t="n">
        <f aca="false">(parametros_manuales!$D$20*('Plan mensual'!N90+IF(parametros_manuales!$H$20="Todos",'Plan mensual'!N94,0))+parametros_manuales!$E$20*('Plan mensual'!N91+IF(parametros_manuales!$H$20="Todos",'Plan mensual'!N95,0))+parametros_manuales!$F$20*('Plan mensual'!N92+IF(parametros_manuales!$H$20="Todos",'Plan mensual'!N96,0))+parametros_manuales!$G$20*('Plan mensual'!N93+IF(parametros_manuales!$H$20="Todos",'Plan mensual'!N97,0)))*parametros_manuales!$I$20*parametros_manuales!$J$20</f>
        <v>4959.12905929</v>
      </c>
      <c r="M219" s="9" t="n">
        <f aca="false">(parametros_manuales!$D$20*('Plan mensual'!O90+IF(parametros_manuales!$H$20="Todos",'Plan mensual'!O94,0))+parametros_manuales!$E$20*('Plan mensual'!O91+IF(parametros_manuales!$H$20="Todos",'Plan mensual'!O95,0))+parametros_manuales!$F$20*('Plan mensual'!O92+IF(parametros_manuales!$H$20="Todos",'Plan mensual'!O96,0))+parametros_manuales!$G$20*('Plan mensual'!O93+IF(parametros_manuales!$H$20="Todos",'Plan mensual'!O97,0)))*parametros_manuales!$I$20*parametros_manuales!$J$20</f>
        <v>7792.91709317</v>
      </c>
      <c r="N219" s="9" t="n">
        <f aca="false">SUM(B219:M219)</f>
        <v>70844.700847</v>
      </c>
      <c r="O219" s="9" t="n">
        <f aca="false">MAX(B219:M219)</f>
        <v>7792.91709317</v>
      </c>
      <c r="P219" s="43" t="n">
        <f aca="false">O219/(parametros_manuales!$B$7)</f>
        <v>51.9527806211333</v>
      </c>
      <c r="Q219" s="8" t="str">
        <f aca="false">IF(O219=0,"-",INDEX($B$217:$M$217,MATCH(O219,B219:M219,0)))</f>
        <v>Dic</v>
      </c>
    </row>
    <row r="220" customFormat="false" ht="14.25" hidden="false" customHeight="true" outlineLevel="0" collapsed="false">
      <c r="A220" s="8" t="str">
        <f aca="false">parametros_manuales!$B$21</f>
        <v>Corte de tubo — 1 kg</v>
      </c>
      <c r="B220" s="9" t="n">
        <f aca="false">(parametros_manuales!$D$21*('Plan mensual'!D90+IF(parametros_manuales!$H$21="Todos",'Plan mensual'!D94,0))+parametros_manuales!$E$21*('Plan mensual'!D91+IF(parametros_manuales!$H$21="Todos",'Plan mensual'!D95,0))+parametros_manuales!$F$21*('Plan mensual'!D92+IF(parametros_manuales!$H$21="Todos",'Plan mensual'!D96,0))+parametros_manuales!$G$21*('Plan mensual'!D93+IF(parametros_manuales!$H$21="Todos",'Plan mensual'!D97,0)))*parametros_manuales!$I$21*parametros_manuales!$J$21</f>
        <v>21047.1763368</v>
      </c>
      <c r="C220" s="9" t="n">
        <f aca="false">(parametros_manuales!$D$21*('Plan mensual'!E90+IF(parametros_manuales!$H$21="Todos",'Plan mensual'!E94,0))+parametros_manuales!$E$21*('Plan mensual'!E91+IF(parametros_manuales!$H$21="Todos",'Plan mensual'!E95,0))+parametros_manuales!$F$21*('Plan mensual'!E92+IF(parametros_manuales!$H$21="Todos",'Plan mensual'!E96,0))+parametros_manuales!$G$21*('Plan mensual'!E93+IF(parametros_manuales!$H$21="Todos",'Plan mensual'!E97,0)))*parametros_manuales!$I$21*parametros_manuales!$J$21</f>
        <v>15785.3822526</v>
      </c>
      <c r="D220" s="9" t="n">
        <f aca="false">(parametros_manuales!$D$21*('Plan mensual'!F90+IF(parametros_manuales!$H$21="Todos",'Plan mensual'!F94,0))+parametros_manuales!$E$21*('Plan mensual'!F91+IF(parametros_manuales!$H$21="Todos",'Plan mensual'!F95,0))+parametros_manuales!$F$21*('Plan mensual'!F92+IF(parametros_manuales!$H$21="Todos",'Plan mensual'!F96,0))+parametros_manuales!$G$21*('Plan mensual'!F93+IF(parametros_manuales!$H$21="Todos",'Plan mensual'!F97,0)))*parametros_manuales!$I$21*parametros_manuales!$J$21</f>
        <v>14031.4508912</v>
      </c>
      <c r="E220" s="9" t="n">
        <f aca="false">(parametros_manuales!$D$21*('Plan mensual'!G90+IF(parametros_manuales!$H$21="Todos",'Plan mensual'!G94,0))+parametros_manuales!$E$21*('Plan mensual'!G91+IF(parametros_manuales!$H$21="Todos",'Plan mensual'!G95,0))+parametros_manuales!$F$21*('Plan mensual'!G92+IF(parametros_manuales!$H$21="Todos",'Plan mensual'!G96,0))+parametros_manuales!$G$21*('Plan mensual'!G93+IF(parametros_manuales!$H$21="Todos",'Plan mensual'!G97,0)))*parametros_manuales!$I$21*parametros_manuales!$J$21</f>
        <v>13154.4852105</v>
      </c>
      <c r="F220" s="9" t="n">
        <f aca="false">(parametros_manuales!$D$21*('Plan mensual'!H90+IF(parametros_manuales!$H$21="Todos",'Plan mensual'!H94,0))+parametros_manuales!$E$21*('Plan mensual'!H91+IF(parametros_manuales!$H$21="Todos",'Plan mensual'!H95,0))+parametros_manuales!$F$21*('Plan mensual'!H92+IF(parametros_manuales!$H$21="Todos",'Plan mensual'!H96,0))+parametros_manuales!$G$21*('Plan mensual'!H93+IF(parametros_manuales!$H$21="Todos",'Plan mensual'!H97,0)))*parametros_manuales!$I$21*parametros_manuales!$J$21</f>
        <v>12277.5195298</v>
      </c>
      <c r="G220" s="9" t="n">
        <f aca="false">(parametros_manuales!$D$21*('Plan mensual'!I90+IF(parametros_manuales!$H$21="Todos",'Plan mensual'!I94,0))+parametros_manuales!$E$21*('Plan mensual'!I91+IF(parametros_manuales!$H$21="Todos",'Plan mensual'!I95,0))+parametros_manuales!$F$21*('Plan mensual'!I92+IF(parametros_manuales!$H$21="Todos",'Plan mensual'!I96,0))+parametros_manuales!$G$21*('Plan mensual'!I93+IF(parametros_manuales!$H$21="Todos",'Plan mensual'!I97,0)))*parametros_manuales!$I$21*parametros_manuales!$J$21</f>
        <v>12277.5195298</v>
      </c>
      <c r="H220" s="9" t="n">
        <f aca="false">(parametros_manuales!$D$21*('Plan mensual'!J90+IF(parametros_manuales!$H$21="Todos",'Plan mensual'!J94,0))+parametros_manuales!$E$21*('Plan mensual'!J91+IF(parametros_manuales!$H$21="Todos",'Plan mensual'!J95,0))+parametros_manuales!$F$21*('Plan mensual'!J92+IF(parametros_manuales!$H$21="Todos",'Plan mensual'!J96,0))+parametros_manuales!$G$21*('Plan mensual'!J93+IF(parametros_manuales!$H$21="Todos",'Plan mensual'!J97,0)))*parametros_manuales!$I$21*parametros_manuales!$J$21</f>
        <v>13154.4852105</v>
      </c>
      <c r="I220" s="9" t="n">
        <f aca="false">(parametros_manuales!$D$21*('Plan mensual'!K90+IF(parametros_manuales!$H$21="Todos",'Plan mensual'!K94,0))+parametros_manuales!$E$21*('Plan mensual'!K91+IF(parametros_manuales!$H$21="Todos",'Plan mensual'!K95,0))+parametros_manuales!$F$21*('Plan mensual'!K92+IF(parametros_manuales!$H$21="Todos",'Plan mensual'!K96,0))+parametros_manuales!$G$21*('Plan mensual'!K93+IF(parametros_manuales!$H$21="Todos",'Plan mensual'!K97,0)))*parametros_manuales!$I$21*parametros_manuales!$J$21</f>
        <v>13154.4852105</v>
      </c>
      <c r="J220" s="9" t="n">
        <f aca="false">(parametros_manuales!$D$21*('Plan mensual'!L90+IF(parametros_manuales!$H$21="Todos",'Plan mensual'!L94,0))+parametros_manuales!$E$21*('Plan mensual'!L91+IF(parametros_manuales!$H$21="Todos",'Plan mensual'!L95,0))+parametros_manuales!$F$21*('Plan mensual'!L92+IF(parametros_manuales!$H$21="Todos",'Plan mensual'!L96,0))+parametros_manuales!$G$21*('Plan mensual'!L93+IF(parametros_manuales!$H$21="Todos",'Plan mensual'!L97,0)))*parametros_manuales!$I$21*parametros_manuales!$J$21</f>
        <v>13154.4852105</v>
      </c>
      <c r="K220" s="9" t="n">
        <f aca="false">(parametros_manuales!$D$21*('Plan mensual'!M90+IF(parametros_manuales!$H$21="Todos",'Plan mensual'!M94,0))+parametros_manuales!$E$21*('Plan mensual'!M91+IF(parametros_manuales!$H$21="Todos",'Plan mensual'!M95,0))+parametros_manuales!$F$21*('Plan mensual'!M92+IF(parametros_manuales!$H$21="Todos",'Plan mensual'!M96,0))+parametros_manuales!$G$21*('Plan mensual'!M93+IF(parametros_manuales!$H$21="Todos",'Plan mensual'!M97,0)))*parametros_manuales!$I$21*parametros_manuales!$J$21</f>
        <v>13154.4852105</v>
      </c>
      <c r="L220" s="9" t="n">
        <f aca="false">(parametros_manuales!$D$21*('Plan mensual'!N90+IF(parametros_manuales!$H$21="Todos",'Plan mensual'!N94,0))+parametros_manuales!$E$21*('Plan mensual'!N91+IF(parametros_manuales!$H$21="Todos",'Plan mensual'!N95,0))+parametros_manuales!$F$21*('Plan mensual'!N92+IF(parametros_manuales!$H$21="Todos",'Plan mensual'!N96,0))+parametros_manuales!$G$21*('Plan mensual'!N93+IF(parametros_manuales!$H$21="Todos",'Plan mensual'!N97,0)))*parametros_manuales!$I$21*parametros_manuales!$J$21</f>
        <v>13154.4852105</v>
      </c>
      <c r="M220" s="9" t="n">
        <f aca="false">(parametros_manuales!$D$21*('Plan mensual'!O90+IF(parametros_manuales!$H$21="Todos",'Plan mensual'!O94,0))+parametros_manuales!$E$21*('Plan mensual'!O91+IF(parametros_manuales!$H$21="Todos",'Plan mensual'!O95,0))+parametros_manuales!$F$21*('Plan mensual'!O92+IF(parametros_manuales!$H$21="Todos",'Plan mensual'!O96,0))+parametros_manuales!$G$21*('Plan mensual'!O93+IF(parametros_manuales!$H$21="Todos",'Plan mensual'!O97,0)))*parametros_manuales!$I$21*parametros_manuales!$J$21</f>
        <v>21047.1763368</v>
      </c>
      <c r="N220" s="9" t="n">
        <f aca="false">SUM(B220:M220)</f>
        <v>175393.13614</v>
      </c>
      <c r="O220" s="9" t="n">
        <f aca="false">MAX(B220:M220)</f>
        <v>21047.1763368</v>
      </c>
      <c r="P220" s="43" t="n">
        <f aca="false">O220/(parametros_manuales!$B$7)</f>
        <v>140.314508912</v>
      </c>
      <c r="Q220" s="8" t="str">
        <f aca="false">IF(O220=0,"-",INDEX($B$217:$M$217,MATCH(O220,B220:M220,0)))</f>
        <v>Ene</v>
      </c>
    </row>
    <row r="221" customFormat="false" ht="14.25" hidden="false" customHeight="true" outlineLevel="0" collapsed="false">
      <c r="A221" s="8" t="str">
        <f aca="false">parametros_manuales!$B$22</f>
        <v>Corte de disco y embutido (cúpula y fondo)</v>
      </c>
      <c r="B221" s="9" t="n">
        <f aca="false">(parametros_manuales!$D$22*('Plan mensual'!D90+IF(parametros_manuales!$H$22="Todos",'Plan mensual'!D94,0))+parametros_manuales!$E$22*('Plan mensual'!D91+IF(parametros_manuales!$H$22="Todos",'Plan mensual'!D95,0))+parametros_manuales!$F$22*('Plan mensual'!D92+IF(parametros_manuales!$H$22="Todos",'Plan mensual'!D96,0))+parametros_manuales!$G$22*('Plan mensual'!D93+IF(parametros_manuales!$H$22="Todos",'Plan mensual'!D97,0)))*parametros_manuales!$I$22*parametros_manuales!$J$22</f>
        <v>56263.292843</v>
      </c>
      <c r="C221" s="9" t="n">
        <f aca="false">(parametros_manuales!$D$22*('Plan mensual'!E90+IF(parametros_manuales!$H$22="Todos",'Plan mensual'!E94,0))+parametros_manuales!$E$22*('Plan mensual'!E91+IF(parametros_manuales!$H$22="Todos",'Plan mensual'!E95,0))+parametros_manuales!$F$22*('Plan mensual'!E92+IF(parametros_manuales!$H$22="Todos",'Plan mensual'!E96,0))+parametros_manuales!$G$22*('Plan mensual'!E93+IF(parametros_manuales!$H$22="Todos",'Plan mensual'!E97,0)))*parametros_manuales!$I$22*parametros_manuales!$J$22</f>
        <v>42905.91664072</v>
      </c>
      <c r="D221" s="9" t="n">
        <f aca="false">(parametros_manuales!$D$22*('Plan mensual'!F90+IF(parametros_manuales!$H$22="Todos",'Plan mensual'!F94,0))+parametros_manuales!$E$22*('Plan mensual'!F91+IF(parametros_manuales!$H$22="Todos",'Plan mensual'!F95,0))+parametros_manuales!$F$22*('Plan mensual'!F92+IF(parametros_manuales!$H$22="Todos",'Plan mensual'!F96,0))+parametros_manuales!$G$22*('Plan mensual'!F93+IF(parametros_manuales!$H$22="Todos",'Plan mensual'!F97,0)))*parametros_manuales!$I$22*parametros_manuales!$J$22</f>
        <v>40106.50092639</v>
      </c>
      <c r="E221" s="9" t="n">
        <f aca="false">(parametros_manuales!$D$22*('Plan mensual'!G90+IF(parametros_manuales!$H$22="Todos",'Plan mensual'!G94,0))+parametros_manuales!$E$22*('Plan mensual'!G91+IF(parametros_manuales!$H$22="Todos",'Plan mensual'!G95,0))+parametros_manuales!$F$22*('Plan mensual'!G92+IF(parametros_manuales!$H$22="Todos",'Plan mensual'!G96,0))+parametros_manuales!$G$22*('Plan mensual'!G93+IF(parametros_manuales!$H$22="Todos",'Plan mensual'!G97,0)))*parametros_manuales!$I$22*parametros_manuales!$J$22</f>
        <v>38352.56956499</v>
      </c>
      <c r="F221" s="9" t="n">
        <f aca="false">(parametros_manuales!$D$22*('Plan mensual'!H90+IF(parametros_manuales!$H$22="Todos",'Plan mensual'!H94,0))+parametros_manuales!$E$22*('Plan mensual'!H91+IF(parametros_manuales!$H$22="Todos",'Plan mensual'!H95,0))+parametros_manuales!$F$22*('Plan mensual'!H92+IF(parametros_manuales!$H$22="Todos",'Plan mensual'!H96,0))+parametros_manuales!$G$22*('Plan mensual'!H93+IF(parametros_manuales!$H$22="Todos",'Plan mensual'!H97,0)))*parametros_manuales!$I$22*parametros_manuales!$J$22</f>
        <v>35890.19119512</v>
      </c>
      <c r="G221" s="9" t="n">
        <f aca="false">(parametros_manuales!$D$22*('Plan mensual'!I90+IF(parametros_manuales!$H$22="Todos",'Plan mensual'!I94,0))+parametros_manuales!$E$22*('Plan mensual'!I91+IF(parametros_manuales!$H$22="Todos",'Plan mensual'!I95,0))+parametros_manuales!$F$22*('Plan mensual'!I92+IF(parametros_manuales!$H$22="Todos",'Plan mensual'!I96,0))+parametros_manuales!$G$22*('Plan mensual'!I93+IF(parametros_manuales!$H$22="Todos",'Plan mensual'!I97,0)))*parametros_manuales!$I$22*parametros_manuales!$J$22</f>
        <v>35181.74418665</v>
      </c>
      <c r="H221" s="9" t="n">
        <f aca="false">(parametros_manuales!$D$22*('Plan mensual'!J90+IF(parametros_manuales!$H$22="Todos",'Plan mensual'!J94,0))+parametros_manuales!$E$22*('Plan mensual'!J91+IF(parametros_manuales!$H$22="Todos",'Plan mensual'!J95,0))+parametros_manuales!$F$22*('Plan mensual'!J92+IF(parametros_manuales!$H$22="Todos",'Plan mensual'!J96,0))+parametros_manuales!$G$22*('Plan mensual'!J93+IF(parametros_manuales!$H$22="Todos",'Plan mensual'!J97,0)))*parametros_manuales!$I$22*parametros_manuales!$J$22</f>
        <v>37644.12255652</v>
      </c>
      <c r="I221" s="9" t="n">
        <f aca="false">(parametros_manuales!$D$22*('Plan mensual'!K90+IF(parametros_manuales!$H$22="Todos",'Plan mensual'!K94,0))+parametros_manuales!$E$22*('Plan mensual'!K91+IF(parametros_manuales!$H$22="Todos",'Plan mensual'!K95,0))+parametros_manuales!$F$22*('Plan mensual'!K92+IF(parametros_manuales!$H$22="Todos",'Plan mensual'!K96,0))+parametros_manuales!$G$22*('Plan mensual'!K93+IF(parametros_manuales!$H$22="Todos",'Plan mensual'!K97,0)))*parametros_manuales!$I$22*parametros_manuales!$J$22</f>
        <v>37644.12255652</v>
      </c>
      <c r="J221" s="9" t="n">
        <f aca="false">(parametros_manuales!$D$22*('Plan mensual'!L90+IF(parametros_manuales!$H$22="Todos",'Plan mensual'!L94,0))+parametros_manuales!$E$22*('Plan mensual'!L91+IF(parametros_manuales!$H$22="Todos",'Plan mensual'!L95,0))+parametros_manuales!$F$22*('Plan mensual'!L92+IF(parametros_manuales!$H$22="Todos",'Plan mensual'!L96,0))+parametros_manuales!$G$22*('Plan mensual'!L93+IF(parametros_manuales!$H$22="Todos",'Plan mensual'!L97,0)))*parametros_manuales!$I$22*parametros_manuales!$J$22</f>
        <v>37644.12255652</v>
      </c>
      <c r="K221" s="9" t="n">
        <f aca="false">(parametros_manuales!$D$22*('Plan mensual'!M90+IF(parametros_manuales!$H$22="Todos",'Plan mensual'!M94,0))+parametros_manuales!$E$22*('Plan mensual'!M91+IF(parametros_manuales!$H$22="Todos",'Plan mensual'!M95,0))+parametros_manuales!$F$22*('Plan mensual'!M92+IF(parametros_manuales!$H$22="Todos",'Plan mensual'!M96,0))+parametros_manuales!$G$22*('Plan mensual'!M93+IF(parametros_manuales!$H$22="Todos",'Plan mensual'!M97,0)))*parametros_manuales!$I$22*parametros_manuales!$J$22</f>
        <v>36935.67554805</v>
      </c>
      <c r="L221" s="9" t="n">
        <f aca="false">(parametros_manuales!$D$22*('Plan mensual'!N90+IF(parametros_manuales!$H$22="Todos",'Plan mensual'!N94,0))+parametros_manuales!$E$22*('Plan mensual'!N91+IF(parametros_manuales!$H$22="Todos",'Plan mensual'!N95,0))+parametros_manuales!$F$22*('Plan mensual'!N92+IF(parametros_manuales!$H$22="Todos",'Plan mensual'!N96,0))+parametros_manuales!$G$22*('Plan mensual'!N93+IF(parametros_manuales!$H$22="Todos",'Plan mensual'!N97,0)))*parametros_manuales!$I$22*parametros_manuales!$J$22</f>
        <v>36227.22853958</v>
      </c>
      <c r="M221" s="9" t="n">
        <f aca="false">(parametros_manuales!$D$22*('Plan mensual'!O90+IF(parametros_manuales!$H$22="Todos",'Plan mensual'!O94,0))+parametros_manuales!$E$22*('Plan mensual'!O91+IF(parametros_manuales!$H$22="Todos",'Plan mensual'!O95,0))+parametros_manuales!$F$22*('Plan mensual'!O92+IF(parametros_manuales!$H$22="Todos",'Plan mensual'!O96,0))+parametros_manuales!$G$22*('Plan mensual'!O93+IF(parametros_manuales!$H$22="Todos",'Plan mensual'!O97,0)))*parametros_manuales!$I$22*parametros_manuales!$J$22</f>
        <v>57680.18685994</v>
      </c>
      <c r="N221" s="9" t="n">
        <f aca="false">SUM(B221:M221)</f>
        <v>492475.673974</v>
      </c>
      <c r="O221" s="9" t="n">
        <f aca="false">MAX(B221:M221)</f>
        <v>57680.18685994</v>
      </c>
      <c r="P221" s="43" t="n">
        <f aca="false">O221/(parametros_manuales!$B$7)</f>
        <v>384.534579066267</v>
      </c>
      <c r="Q221" s="8" t="str">
        <f aca="false">IF(O221=0,"-",INDEX($B$217:$M$217,MATCH(O221,B221:M221,0)))</f>
        <v>Dic</v>
      </c>
    </row>
    <row r="222" customFormat="false" ht="14.25" hidden="false" customHeight="true" outlineLevel="0" collapsed="false">
      <c r="A222" s="8" t="str">
        <f aca="false">parametros_manuales!$B$23</f>
        <v>Preparación de cuello</v>
      </c>
      <c r="B222" s="9" t="n">
        <f aca="false">(parametros_manuales!$D$23*('Plan mensual'!D90+IF(parametros_manuales!$H$23="Todos",'Plan mensual'!D94,0))+parametros_manuales!$E$23*('Plan mensual'!D91+IF(parametros_manuales!$H$23="Todos",'Plan mensual'!D95,0))+parametros_manuales!$F$23*('Plan mensual'!D92+IF(parametros_manuales!$H$23="Todos",'Plan mensual'!D96,0))+parametros_manuales!$G$23*('Plan mensual'!D93+IF(parametros_manuales!$H$23="Todos",'Plan mensual'!D97,0)))*parametros_manuales!$I$23*parametros_manuales!$J$23</f>
        <v>28131.6464215</v>
      </c>
      <c r="C222" s="9" t="n">
        <f aca="false">(parametros_manuales!$D$23*('Plan mensual'!E90+IF(parametros_manuales!$H$23="Todos",'Plan mensual'!E94,0))+parametros_manuales!$E$23*('Plan mensual'!E91+IF(parametros_manuales!$H$23="Todos",'Plan mensual'!E95,0))+parametros_manuales!$F$23*('Plan mensual'!E92+IF(parametros_manuales!$H$23="Todos",'Plan mensual'!E96,0))+parametros_manuales!$G$23*('Plan mensual'!E93+IF(parametros_manuales!$H$23="Todos",'Plan mensual'!E97,0)))*parametros_manuales!$I$23*parametros_manuales!$J$23</f>
        <v>21452.95832036</v>
      </c>
      <c r="D222" s="9" t="n">
        <f aca="false">(parametros_manuales!$D$23*('Plan mensual'!F90+IF(parametros_manuales!$H$23="Todos",'Plan mensual'!F94,0))+parametros_manuales!$E$23*('Plan mensual'!F91+IF(parametros_manuales!$H$23="Todos",'Plan mensual'!F95,0))+parametros_manuales!$F$23*('Plan mensual'!F92+IF(parametros_manuales!$H$23="Todos",'Plan mensual'!F96,0))+parametros_manuales!$G$23*('Plan mensual'!F93+IF(parametros_manuales!$H$23="Todos",'Plan mensual'!F97,0)))*parametros_manuales!$I$23*parametros_manuales!$J$23</f>
        <v>20053.250463195</v>
      </c>
      <c r="E222" s="9" t="n">
        <f aca="false">(parametros_manuales!$D$23*('Plan mensual'!G90+IF(parametros_manuales!$H$23="Todos",'Plan mensual'!G94,0))+parametros_manuales!$E$23*('Plan mensual'!G91+IF(parametros_manuales!$H$23="Todos",'Plan mensual'!G95,0))+parametros_manuales!$F$23*('Plan mensual'!G92+IF(parametros_manuales!$H$23="Todos",'Plan mensual'!G96,0))+parametros_manuales!$G$23*('Plan mensual'!G93+IF(parametros_manuales!$H$23="Todos",'Plan mensual'!G97,0)))*parametros_manuales!$I$23*parametros_manuales!$J$23</f>
        <v>19176.284782495</v>
      </c>
      <c r="F222" s="9" t="n">
        <f aca="false">(parametros_manuales!$D$23*('Plan mensual'!H90+IF(parametros_manuales!$H$23="Todos",'Plan mensual'!H94,0))+parametros_manuales!$E$23*('Plan mensual'!H91+IF(parametros_manuales!$H$23="Todos",'Plan mensual'!H95,0))+parametros_manuales!$F$23*('Plan mensual'!H92+IF(parametros_manuales!$H$23="Todos",'Plan mensual'!H96,0))+parametros_manuales!$G$23*('Plan mensual'!H93+IF(parametros_manuales!$H$23="Todos",'Plan mensual'!H97,0)))*parametros_manuales!$I$23*parametros_manuales!$J$23</f>
        <v>17945.09559756</v>
      </c>
      <c r="G222" s="9" t="n">
        <f aca="false">(parametros_manuales!$D$23*('Plan mensual'!I90+IF(parametros_manuales!$H$23="Todos",'Plan mensual'!I94,0))+parametros_manuales!$E$23*('Plan mensual'!I91+IF(parametros_manuales!$H$23="Todos",'Plan mensual'!I95,0))+parametros_manuales!$F$23*('Plan mensual'!I92+IF(parametros_manuales!$H$23="Todos",'Plan mensual'!I96,0))+parametros_manuales!$G$23*('Plan mensual'!I93+IF(parametros_manuales!$H$23="Todos",'Plan mensual'!I97,0)))*parametros_manuales!$I$23*parametros_manuales!$J$23</f>
        <v>17590.872093325</v>
      </c>
      <c r="H222" s="9" t="n">
        <f aca="false">(parametros_manuales!$D$23*('Plan mensual'!J90+IF(parametros_manuales!$H$23="Todos",'Plan mensual'!J94,0))+parametros_manuales!$E$23*('Plan mensual'!J91+IF(parametros_manuales!$H$23="Todos",'Plan mensual'!J95,0))+parametros_manuales!$F$23*('Plan mensual'!J92+IF(parametros_manuales!$H$23="Todos",'Plan mensual'!J96,0))+parametros_manuales!$G$23*('Plan mensual'!J93+IF(parametros_manuales!$H$23="Todos",'Plan mensual'!J97,0)))*parametros_manuales!$I$23*parametros_manuales!$J$23</f>
        <v>18822.06127826</v>
      </c>
      <c r="I222" s="9" t="n">
        <f aca="false">(parametros_manuales!$D$23*('Plan mensual'!K90+IF(parametros_manuales!$H$23="Todos",'Plan mensual'!K94,0))+parametros_manuales!$E$23*('Plan mensual'!K91+IF(parametros_manuales!$H$23="Todos",'Plan mensual'!K95,0))+parametros_manuales!$F$23*('Plan mensual'!K92+IF(parametros_manuales!$H$23="Todos",'Plan mensual'!K96,0))+parametros_manuales!$G$23*('Plan mensual'!K93+IF(parametros_manuales!$H$23="Todos",'Plan mensual'!K97,0)))*parametros_manuales!$I$23*parametros_manuales!$J$23</f>
        <v>18822.06127826</v>
      </c>
      <c r="J222" s="9" t="n">
        <f aca="false">(parametros_manuales!$D$23*('Plan mensual'!L90+IF(parametros_manuales!$H$23="Todos",'Plan mensual'!L94,0))+parametros_manuales!$E$23*('Plan mensual'!L91+IF(parametros_manuales!$H$23="Todos",'Plan mensual'!L95,0))+parametros_manuales!$F$23*('Plan mensual'!L92+IF(parametros_manuales!$H$23="Todos",'Plan mensual'!L96,0))+parametros_manuales!$G$23*('Plan mensual'!L93+IF(parametros_manuales!$H$23="Todos",'Plan mensual'!L97,0)))*parametros_manuales!$I$23*parametros_manuales!$J$23</f>
        <v>18822.06127826</v>
      </c>
      <c r="K222" s="9" t="n">
        <f aca="false">(parametros_manuales!$D$23*('Plan mensual'!M90+IF(parametros_manuales!$H$23="Todos",'Plan mensual'!M94,0))+parametros_manuales!$E$23*('Plan mensual'!M91+IF(parametros_manuales!$H$23="Todos",'Plan mensual'!M95,0))+parametros_manuales!$F$23*('Plan mensual'!M92+IF(parametros_manuales!$H$23="Todos",'Plan mensual'!M96,0))+parametros_manuales!$G$23*('Plan mensual'!M93+IF(parametros_manuales!$H$23="Todos",'Plan mensual'!M97,0)))*parametros_manuales!$I$23*parametros_manuales!$J$23</f>
        <v>18467.837774025</v>
      </c>
      <c r="L222" s="9" t="n">
        <f aca="false">(parametros_manuales!$D$23*('Plan mensual'!N90+IF(parametros_manuales!$H$23="Todos",'Plan mensual'!N94,0))+parametros_manuales!$E$23*('Plan mensual'!N91+IF(parametros_manuales!$H$23="Todos",'Plan mensual'!N95,0))+parametros_manuales!$F$23*('Plan mensual'!N92+IF(parametros_manuales!$H$23="Todos",'Plan mensual'!N96,0))+parametros_manuales!$G$23*('Plan mensual'!N93+IF(parametros_manuales!$H$23="Todos",'Plan mensual'!N97,0)))*parametros_manuales!$I$23*parametros_manuales!$J$23</f>
        <v>18113.61426979</v>
      </c>
      <c r="M222" s="9" t="n">
        <f aca="false">(parametros_manuales!$D$23*('Plan mensual'!O90+IF(parametros_manuales!$H$23="Todos",'Plan mensual'!O94,0))+parametros_manuales!$E$23*('Plan mensual'!O91+IF(parametros_manuales!$H$23="Todos",'Plan mensual'!O95,0))+parametros_manuales!$F$23*('Plan mensual'!O92+IF(parametros_manuales!$H$23="Todos",'Plan mensual'!O96,0))+parametros_manuales!$G$23*('Plan mensual'!O93+IF(parametros_manuales!$H$23="Todos",'Plan mensual'!O97,0)))*parametros_manuales!$I$23*parametros_manuales!$J$23</f>
        <v>28840.09342997</v>
      </c>
      <c r="N222" s="9" t="n">
        <f aca="false">SUM(B222:M222)</f>
        <v>246237.836987</v>
      </c>
      <c r="O222" s="9" t="n">
        <f aca="false">MAX(B222:M222)</f>
        <v>28840.09342997</v>
      </c>
      <c r="P222" s="43" t="n">
        <f aca="false">O222/(parametros_manuales!$B$7)</f>
        <v>192.267289533133</v>
      </c>
      <c r="Q222" s="8" t="str">
        <f aca="false">IF(O222=0,"-",INDEX($B$217:$M$217,MATCH(O222,B222:M222,0)))</f>
        <v>Dic</v>
      </c>
    </row>
    <row r="223" customFormat="false" ht="14.25" hidden="false" customHeight="true" outlineLevel="0" collapsed="false">
      <c r="A223" s="8" t="str">
        <f aca="false">parametros_manuales!$B$24</f>
        <v>Numerado de cúpula</v>
      </c>
      <c r="B223" s="9" t="n">
        <f aca="false">(parametros_manuales!$D$24*('Plan mensual'!D90+IF(parametros_manuales!$H$24="Todos",'Plan mensual'!D94,0))+parametros_manuales!$E$24*('Plan mensual'!D91+IF(parametros_manuales!$H$24="Todos",'Plan mensual'!D95,0))+parametros_manuales!$F$24*('Plan mensual'!D92+IF(parametros_manuales!$H$24="Todos",'Plan mensual'!D96,0))+parametros_manuales!$G$24*('Plan mensual'!D93+IF(parametros_manuales!$H$24="Todos",'Plan mensual'!D97,0)))*parametros_manuales!$I$24*parametros_manuales!$J$24</f>
        <v>28131.6464215</v>
      </c>
      <c r="C223" s="9" t="n">
        <f aca="false">(parametros_manuales!$D$24*('Plan mensual'!E90+IF(parametros_manuales!$H$24="Todos",'Plan mensual'!E94,0))+parametros_manuales!$E$24*('Plan mensual'!E91+IF(parametros_manuales!$H$24="Todos",'Plan mensual'!E95,0))+parametros_manuales!$F$24*('Plan mensual'!E92+IF(parametros_manuales!$H$24="Todos",'Plan mensual'!E96,0))+parametros_manuales!$G$24*('Plan mensual'!E93+IF(parametros_manuales!$H$24="Todos",'Plan mensual'!E97,0)))*parametros_manuales!$I$24*parametros_manuales!$J$24</f>
        <v>21452.95832036</v>
      </c>
      <c r="D223" s="9" t="n">
        <f aca="false">(parametros_manuales!$D$24*('Plan mensual'!F90+IF(parametros_manuales!$H$24="Todos",'Plan mensual'!F94,0))+parametros_manuales!$E$24*('Plan mensual'!F91+IF(parametros_manuales!$H$24="Todos",'Plan mensual'!F95,0))+parametros_manuales!$F$24*('Plan mensual'!F92+IF(parametros_manuales!$H$24="Todos",'Plan mensual'!F96,0))+parametros_manuales!$G$24*('Plan mensual'!F93+IF(parametros_manuales!$H$24="Todos",'Plan mensual'!F97,0)))*parametros_manuales!$I$24*parametros_manuales!$J$24</f>
        <v>20053.250463195</v>
      </c>
      <c r="E223" s="9" t="n">
        <f aca="false">(parametros_manuales!$D$24*('Plan mensual'!G90+IF(parametros_manuales!$H$24="Todos",'Plan mensual'!G94,0))+parametros_manuales!$E$24*('Plan mensual'!G91+IF(parametros_manuales!$H$24="Todos",'Plan mensual'!G95,0))+parametros_manuales!$F$24*('Plan mensual'!G92+IF(parametros_manuales!$H$24="Todos",'Plan mensual'!G96,0))+parametros_manuales!$G$24*('Plan mensual'!G93+IF(parametros_manuales!$H$24="Todos",'Plan mensual'!G97,0)))*parametros_manuales!$I$24*parametros_manuales!$J$24</f>
        <v>19176.284782495</v>
      </c>
      <c r="F223" s="9" t="n">
        <f aca="false">(parametros_manuales!$D$24*('Plan mensual'!H90+IF(parametros_manuales!$H$24="Todos",'Plan mensual'!H94,0))+parametros_manuales!$E$24*('Plan mensual'!H91+IF(parametros_manuales!$H$24="Todos",'Plan mensual'!H95,0))+parametros_manuales!$F$24*('Plan mensual'!H92+IF(parametros_manuales!$H$24="Todos",'Plan mensual'!H96,0))+parametros_manuales!$G$24*('Plan mensual'!H93+IF(parametros_manuales!$H$24="Todos",'Plan mensual'!H97,0)))*parametros_manuales!$I$24*parametros_manuales!$J$24</f>
        <v>17945.09559756</v>
      </c>
      <c r="G223" s="9" t="n">
        <f aca="false">(parametros_manuales!$D$24*('Plan mensual'!I90+IF(parametros_manuales!$H$24="Todos",'Plan mensual'!I94,0))+parametros_manuales!$E$24*('Plan mensual'!I91+IF(parametros_manuales!$H$24="Todos",'Plan mensual'!I95,0))+parametros_manuales!$F$24*('Plan mensual'!I92+IF(parametros_manuales!$H$24="Todos",'Plan mensual'!I96,0))+parametros_manuales!$G$24*('Plan mensual'!I93+IF(parametros_manuales!$H$24="Todos",'Plan mensual'!I97,0)))*parametros_manuales!$I$24*parametros_manuales!$J$24</f>
        <v>17590.872093325</v>
      </c>
      <c r="H223" s="9" t="n">
        <f aca="false">(parametros_manuales!$D$24*('Plan mensual'!J90+IF(parametros_manuales!$H$24="Todos",'Plan mensual'!J94,0))+parametros_manuales!$E$24*('Plan mensual'!J91+IF(parametros_manuales!$H$24="Todos",'Plan mensual'!J95,0))+parametros_manuales!$F$24*('Plan mensual'!J92+IF(parametros_manuales!$H$24="Todos",'Plan mensual'!J96,0))+parametros_manuales!$G$24*('Plan mensual'!J93+IF(parametros_manuales!$H$24="Todos",'Plan mensual'!J97,0)))*parametros_manuales!$I$24*parametros_manuales!$J$24</f>
        <v>18822.06127826</v>
      </c>
      <c r="I223" s="9" t="n">
        <f aca="false">(parametros_manuales!$D$24*('Plan mensual'!K90+IF(parametros_manuales!$H$24="Todos",'Plan mensual'!K94,0))+parametros_manuales!$E$24*('Plan mensual'!K91+IF(parametros_manuales!$H$24="Todos",'Plan mensual'!K95,0))+parametros_manuales!$F$24*('Plan mensual'!K92+IF(parametros_manuales!$H$24="Todos",'Plan mensual'!K96,0))+parametros_manuales!$G$24*('Plan mensual'!K93+IF(parametros_manuales!$H$24="Todos",'Plan mensual'!K97,0)))*parametros_manuales!$I$24*parametros_manuales!$J$24</f>
        <v>18822.06127826</v>
      </c>
      <c r="J223" s="9" t="n">
        <f aca="false">(parametros_manuales!$D$24*('Plan mensual'!L90+IF(parametros_manuales!$H$24="Todos",'Plan mensual'!L94,0))+parametros_manuales!$E$24*('Plan mensual'!L91+IF(parametros_manuales!$H$24="Todos",'Plan mensual'!L95,0))+parametros_manuales!$F$24*('Plan mensual'!L92+IF(parametros_manuales!$H$24="Todos",'Plan mensual'!L96,0))+parametros_manuales!$G$24*('Plan mensual'!L93+IF(parametros_manuales!$H$24="Todos",'Plan mensual'!L97,0)))*parametros_manuales!$I$24*parametros_manuales!$J$24</f>
        <v>18822.06127826</v>
      </c>
      <c r="K223" s="9" t="n">
        <f aca="false">(parametros_manuales!$D$24*('Plan mensual'!M90+IF(parametros_manuales!$H$24="Todos",'Plan mensual'!M94,0))+parametros_manuales!$E$24*('Plan mensual'!M91+IF(parametros_manuales!$H$24="Todos",'Plan mensual'!M95,0))+parametros_manuales!$F$24*('Plan mensual'!M92+IF(parametros_manuales!$H$24="Todos",'Plan mensual'!M96,0))+parametros_manuales!$G$24*('Plan mensual'!M93+IF(parametros_manuales!$H$24="Todos",'Plan mensual'!M97,0)))*parametros_manuales!$I$24*parametros_manuales!$J$24</f>
        <v>18467.837774025</v>
      </c>
      <c r="L223" s="9" t="n">
        <f aca="false">(parametros_manuales!$D$24*('Plan mensual'!N90+IF(parametros_manuales!$H$24="Todos",'Plan mensual'!N94,0))+parametros_manuales!$E$24*('Plan mensual'!N91+IF(parametros_manuales!$H$24="Todos",'Plan mensual'!N95,0))+parametros_manuales!$F$24*('Plan mensual'!N92+IF(parametros_manuales!$H$24="Todos",'Plan mensual'!N96,0))+parametros_manuales!$G$24*('Plan mensual'!N93+IF(parametros_manuales!$H$24="Todos",'Plan mensual'!N97,0)))*parametros_manuales!$I$24*parametros_manuales!$J$24</f>
        <v>18113.61426979</v>
      </c>
      <c r="M223" s="9" t="n">
        <f aca="false">(parametros_manuales!$D$24*('Plan mensual'!O90+IF(parametros_manuales!$H$24="Todos",'Plan mensual'!O94,0))+parametros_manuales!$E$24*('Plan mensual'!O91+IF(parametros_manuales!$H$24="Todos",'Plan mensual'!O95,0))+parametros_manuales!$F$24*('Plan mensual'!O92+IF(parametros_manuales!$H$24="Todos",'Plan mensual'!O96,0))+parametros_manuales!$G$24*('Plan mensual'!O93+IF(parametros_manuales!$H$24="Todos",'Plan mensual'!O97,0)))*parametros_manuales!$I$24*parametros_manuales!$J$24</f>
        <v>28840.09342997</v>
      </c>
      <c r="N223" s="9" t="n">
        <f aca="false">SUM(B223:M223)</f>
        <v>246237.836987</v>
      </c>
      <c r="O223" s="9" t="n">
        <f aca="false">MAX(B223:M223)</f>
        <v>28840.09342997</v>
      </c>
      <c r="P223" s="43" t="n">
        <f aca="false">O223/(parametros_manuales!$B$7)</f>
        <v>192.267289533133</v>
      </c>
      <c r="Q223" s="8" t="str">
        <f aca="false">IF(O223=0,"-",INDEX($B$217:$M$217,MATCH(O223,B223:M223,0)))</f>
        <v>Dic</v>
      </c>
    </row>
    <row r="224" customFormat="false" ht="14.25" hidden="false" customHeight="true" outlineLevel="0" collapsed="false">
      <c r="A224" s="8" t="str">
        <f aca="false">parametros_manuales!$B$25</f>
        <v>Soldadura del cuello a la cúpula</v>
      </c>
      <c r="B224" s="9" t="n">
        <f aca="false">(parametros_manuales!$D$25*('Plan mensual'!D90+IF(parametros_manuales!$H$25="Todos",'Plan mensual'!D94,0))+parametros_manuales!$E$25*('Plan mensual'!D91+IF(parametros_manuales!$H$25="Todos",'Plan mensual'!D95,0))+parametros_manuales!$F$25*('Plan mensual'!D92+IF(parametros_manuales!$H$25="Todos",'Plan mensual'!D96,0))+parametros_manuales!$G$25*('Plan mensual'!D93+IF(parametros_manuales!$H$25="Todos",'Plan mensual'!D97,0)))*parametros_manuales!$I$25*parametros_manuales!$J$25</f>
        <v>28131.6464215</v>
      </c>
      <c r="C224" s="9" t="n">
        <f aca="false">(parametros_manuales!$D$25*('Plan mensual'!E90+IF(parametros_manuales!$H$25="Todos",'Plan mensual'!E94,0))+parametros_manuales!$E$25*('Plan mensual'!E91+IF(parametros_manuales!$H$25="Todos",'Plan mensual'!E95,0))+parametros_manuales!$F$25*('Plan mensual'!E92+IF(parametros_manuales!$H$25="Todos",'Plan mensual'!E96,0))+parametros_manuales!$G$25*('Plan mensual'!E93+IF(parametros_manuales!$H$25="Todos",'Plan mensual'!E97,0)))*parametros_manuales!$I$25*parametros_manuales!$J$25</f>
        <v>21452.95832036</v>
      </c>
      <c r="D224" s="9" t="n">
        <f aca="false">(parametros_manuales!$D$25*('Plan mensual'!F90+IF(parametros_manuales!$H$25="Todos",'Plan mensual'!F94,0))+parametros_manuales!$E$25*('Plan mensual'!F91+IF(parametros_manuales!$H$25="Todos",'Plan mensual'!F95,0))+parametros_manuales!$F$25*('Plan mensual'!F92+IF(parametros_manuales!$H$25="Todos",'Plan mensual'!F96,0))+parametros_manuales!$G$25*('Plan mensual'!F93+IF(parametros_manuales!$H$25="Todos",'Plan mensual'!F97,0)))*parametros_manuales!$I$25*parametros_manuales!$J$25</f>
        <v>20053.250463195</v>
      </c>
      <c r="E224" s="9" t="n">
        <f aca="false">(parametros_manuales!$D$25*('Plan mensual'!G90+IF(parametros_manuales!$H$25="Todos",'Plan mensual'!G94,0))+parametros_manuales!$E$25*('Plan mensual'!G91+IF(parametros_manuales!$H$25="Todos",'Plan mensual'!G95,0))+parametros_manuales!$F$25*('Plan mensual'!G92+IF(parametros_manuales!$H$25="Todos",'Plan mensual'!G96,0))+parametros_manuales!$G$25*('Plan mensual'!G93+IF(parametros_manuales!$H$25="Todos",'Plan mensual'!G97,0)))*parametros_manuales!$I$25*parametros_manuales!$J$25</f>
        <v>19176.284782495</v>
      </c>
      <c r="F224" s="9" t="n">
        <f aca="false">(parametros_manuales!$D$25*('Plan mensual'!H90+IF(parametros_manuales!$H$25="Todos",'Plan mensual'!H94,0))+parametros_manuales!$E$25*('Plan mensual'!H91+IF(parametros_manuales!$H$25="Todos",'Plan mensual'!H95,0))+parametros_manuales!$F$25*('Plan mensual'!H92+IF(parametros_manuales!$H$25="Todos",'Plan mensual'!H96,0))+parametros_manuales!$G$25*('Plan mensual'!H93+IF(parametros_manuales!$H$25="Todos",'Plan mensual'!H97,0)))*parametros_manuales!$I$25*parametros_manuales!$J$25</f>
        <v>17945.09559756</v>
      </c>
      <c r="G224" s="9" t="n">
        <f aca="false">(parametros_manuales!$D$25*('Plan mensual'!I90+IF(parametros_manuales!$H$25="Todos",'Plan mensual'!I94,0))+parametros_manuales!$E$25*('Plan mensual'!I91+IF(parametros_manuales!$H$25="Todos",'Plan mensual'!I95,0))+parametros_manuales!$F$25*('Plan mensual'!I92+IF(parametros_manuales!$H$25="Todos",'Plan mensual'!I96,0))+parametros_manuales!$G$25*('Plan mensual'!I93+IF(parametros_manuales!$H$25="Todos",'Plan mensual'!I97,0)))*parametros_manuales!$I$25*parametros_manuales!$J$25</f>
        <v>17590.872093325</v>
      </c>
      <c r="H224" s="9" t="n">
        <f aca="false">(parametros_manuales!$D$25*('Plan mensual'!J90+IF(parametros_manuales!$H$25="Todos",'Plan mensual'!J94,0))+parametros_manuales!$E$25*('Plan mensual'!J91+IF(parametros_manuales!$H$25="Todos",'Plan mensual'!J95,0))+parametros_manuales!$F$25*('Plan mensual'!J92+IF(parametros_manuales!$H$25="Todos",'Plan mensual'!J96,0))+parametros_manuales!$G$25*('Plan mensual'!J93+IF(parametros_manuales!$H$25="Todos",'Plan mensual'!J97,0)))*parametros_manuales!$I$25*parametros_manuales!$J$25</f>
        <v>18822.06127826</v>
      </c>
      <c r="I224" s="9" t="n">
        <f aca="false">(parametros_manuales!$D$25*('Plan mensual'!K90+IF(parametros_manuales!$H$25="Todos",'Plan mensual'!K94,0))+parametros_manuales!$E$25*('Plan mensual'!K91+IF(parametros_manuales!$H$25="Todos",'Plan mensual'!K95,0))+parametros_manuales!$F$25*('Plan mensual'!K92+IF(parametros_manuales!$H$25="Todos",'Plan mensual'!K96,0))+parametros_manuales!$G$25*('Plan mensual'!K93+IF(parametros_manuales!$H$25="Todos",'Plan mensual'!K97,0)))*parametros_manuales!$I$25*parametros_manuales!$J$25</f>
        <v>18822.06127826</v>
      </c>
      <c r="J224" s="9" t="n">
        <f aca="false">(parametros_manuales!$D$25*('Plan mensual'!L90+IF(parametros_manuales!$H$25="Todos",'Plan mensual'!L94,0))+parametros_manuales!$E$25*('Plan mensual'!L91+IF(parametros_manuales!$H$25="Todos",'Plan mensual'!L95,0))+parametros_manuales!$F$25*('Plan mensual'!L92+IF(parametros_manuales!$H$25="Todos",'Plan mensual'!L96,0))+parametros_manuales!$G$25*('Plan mensual'!L93+IF(parametros_manuales!$H$25="Todos",'Plan mensual'!L97,0)))*parametros_manuales!$I$25*parametros_manuales!$J$25</f>
        <v>18822.06127826</v>
      </c>
      <c r="K224" s="9" t="n">
        <f aca="false">(parametros_manuales!$D$25*('Plan mensual'!M90+IF(parametros_manuales!$H$25="Todos",'Plan mensual'!M94,0))+parametros_manuales!$E$25*('Plan mensual'!M91+IF(parametros_manuales!$H$25="Todos",'Plan mensual'!M95,0))+parametros_manuales!$F$25*('Plan mensual'!M92+IF(parametros_manuales!$H$25="Todos",'Plan mensual'!M96,0))+parametros_manuales!$G$25*('Plan mensual'!M93+IF(parametros_manuales!$H$25="Todos",'Plan mensual'!M97,0)))*parametros_manuales!$I$25*parametros_manuales!$J$25</f>
        <v>18467.837774025</v>
      </c>
      <c r="L224" s="9" t="n">
        <f aca="false">(parametros_manuales!$D$25*('Plan mensual'!N90+IF(parametros_manuales!$H$25="Todos",'Plan mensual'!N94,0))+parametros_manuales!$E$25*('Plan mensual'!N91+IF(parametros_manuales!$H$25="Todos",'Plan mensual'!N95,0))+parametros_manuales!$F$25*('Plan mensual'!N92+IF(parametros_manuales!$H$25="Todos",'Plan mensual'!N96,0))+parametros_manuales!$G$25*('Plan mensual'!N93+IF(parametros_manuales!$H$25="Todos",'Plan mensual'!N97,0)))*parametros_manuales!$I$25*parametros_manuales!$J$25</f>
        <v>18113.61426979</v>
      </c>
      <c r="M224" s="9" t="n">
        <f aca="false">(parametros_manuales!$D$25*('Plan mensual'!O90+IF(parametros_manuales!$H$25="Todos",'Plan mensual'!O94,0))+parametros_manuales!$E$25*('Plan mensual'!O91+IF(parametros_manuales!$H$25="Todos",'Plan mensual'!O95,0))+parametros_manuales!$F$25*('Plan mensual'!O92+IF(parametros_manuales!$H$25="Todos",'Plan mensual'!O96,0))+parametros_manuales!$G$25*('Plan mensual'!O93+IF(parametros_manuales!$H$25="Todos",'Plan mensual'!O97,0)))*parametros_manuales!$I$25*parametros_manuales!$J$25</f>
        <v>28840.09342997</v>
      </c>
      <c r="N224" s="9" t="n">
        <f aca="false">SUM(B224:M224)</f>
        <v>246237.836987</v>
      </c>
      <c r="O224" s="9" t="n">
        <f aca="false">MAX(B224:M224)</f>
        <v>28840.09342997</v>
      </c>
      <c r="P224" s="43" t="n">
        <f aca="false">O224/(parametros_manuales!$B$7)</f>
        <v>192.267289533133</v>
      </c>
      <c r="Q224" s="8" t="str">
        <f aca="false">IF(O224=0,"-",INDEX($B$217:$M$217,MATCH(O224,B224:M224,0)))</f>
        <v>Dic</v>
      </c>
    </row>
    <row r="225" customFormat="false" ht="14.25" hidden="false" customHeight="true" outlineLevel="0" collapsed="false">
      <c r="A225" s="8" t="str">
        <f aca="false">parametros_manuales!$B$26</f>
        <v>Cilindrado</v>
      </c>
      <c r="B225" s="9" t="n">
        <f aca="false">(parametros_manuales!$D$26*('Plan mensual'!D90+IF(parametros_manuales!$H$26="Todos",'Plan mensual'!D94,0))+parametros_manuales!$E$26*('Plan mensual'!D91+IF(parametros_manuales!$H$26="Todos",'Plan mensual'!D95,0))+parametros_manuales!$F$26*('Plan mensual'!D92+IF(parametros_manuales!$H$26="Todos",'Plan mensual'!D96,0))+parametros_manuales!$G$26*('Plan mensual'!D93+IF(parametros_manuales!$H$26="Todos",'Plan mensual'!D97,0)))*parametros_manuales!$I$26*parametros_manuales!$J$26</f>
        <v>7084.4700847</v>
      </c>
      <c r="C225" s="9" t="n">
        <f aca="false">(parametros_manuales!$D$26*('Plan mensual'!E90+IF(parametros_manuales!$H$26="Todos",'Plan mensual'!E94,0))+parametros_manuales!$E$26*('Plan mensual'!E91+IF(parametros_manuales!$H$26="Todos",'Plan mensual'!E95,0))+parametros_manuales!$F$26*('Plan mensual'!E92+IF(parametros_manuales!$H$26="Todos",'Plan mensual'!E96,0))+parametros_manuales!$G$26*('Plan mensual'!E93+IF(parametros_manuales!$H$26="Todos",'Plan mensual'!E97,0)))*parametros_manuales!$I$26*parametros_manuales!$J$26</f>
        <v>5667.57606776</v>
      </c>
      <c r="D225" s="9" t="n">
        <f aca="false">(parametros_manuales!$D$26*('Plan mensual'!F90+IF(parametros_manuales!$H$26="Todos",'Plan mensual'!F94,0))+parametros_manuales!$E$26*('Plan mensual'!F91+IF(parametros_manuales!$H$26="Todos",'Plan mensual'!F95,0))+parametros_manuales!$F$26*('Plan mensual'!F92+IF(parametros_manuales!$H$26="Todos",'Plan mensual'!F96,0))+parametros_manuales!$G$26*('Plan mensual'!F93+IF(parametros_manuales!$H$26="Todos",'Plan mensual'!F97,0)))*parametros_manuales!$I$26*parametros_manuales!$J$26</f>
        <v>6021.799571995</v>
      </c>
      <c r="E225" s="9" t="n">
        <f aca="false">(parametros_manuales!$D$26*('Plan mensual'!G90+IF(parametros_manuales!$H$26="Todos",'Plan mensual'!G94,0))+parametros_manuales!$E$26*('Plan mensual'!G91+IF(parametros_manuales!$H$26="Todos",'Plan mensual'!G95,0))+parametros_manuales!$F$26*('Plan mensual'!G92+IF(parametros_manuales!$H$26="Todos",'Plan mensual'!G96,0))+parametros_manuales!$G$26*('Plan mensual'!G93+IF(parametros_manuales!$H$26="Todos",'Plan mensual'!G97,0)))*parametros_manuales!$I$26*parametros_manuales!$J$26</f>
        <v>6021.799571995</v>
      </c>
      <c r="F225" s="9" t="n">
        <f aca="false">(parametros_manuales!$D$26*('Plan mensual'!H90+IF(parametros_manuales!$H$26="Todos",'Plan mensual'!H94,0))+parametros_manuales!$E$26*('Plan mensual'!H91+IF(parametros_manuales!$H$26="Todos",'Plan mensual'!H95,0))+parametros_manuales!$F$26*('Plan mensual'!H92+IF(parametros_manuales!$H$26="Todos",'Plan mensual'!H96,0))+parametros_manuales!$G$26*('Plan mensual'!H93+IF(parametros_manuales!$H$26="Todos",'Plan mensual'!H97,0)))*parametros_manuales!$I$26*parametros_manuales!$J$26</f>
        <v>5667.57606776</v>
      </c>
      <c r="G225" s="9" t="n">
        <f aca="false">(parametros_manuales!$D$26*('Plan mensual'!I90+IF(parametros_manuales!$H$26="Todos",'Plan mensual'!I94,0))+parametros_manuales!$E$26*('Plan mensual'!I91+IF(parametros_manuales!$H$26="Todos",'Plan mensual'!I95,0))+parametros_manuales!$F$26*('Plan mensual'!I92+IF(parametros_manuales!$H$26="Todos",'Plan mensual'!I96,0))+parametros_manuales!$G$26*('Plan mensual'!I93+IF(parametros_manuales!$H$26="Todos",'Plan mensual'!I97,0)))*parametros_manuales!$I$26*parametros_manuales!$J$26</f>
        <v>5313.352563525</v>
      </c>
      <c r="H225" s="9" t="n">
        <f aca="false">(parametros_manuales!$D$26*('Plan mensual'!J90+IF(parametros_manuales!$H$26="Todos",'Plan mensual'!J94,0))+parametros_manuales!$E$26*('Plan mensual'!J91+IF(parametros_manuales!$H$26="Todos",'Plan mensual'!J95,0))+parametros_manuales!$F$26*('Plan mensual'!J92+IF(parametros_manuales!$H$26="Todos",'Plan mensual'!J96,0))+parametros_manuales!$G$26*('Plan mensual'!J93+IF(parametros_manuales!$H$26="Todos",'Plan mensual'!J97,0)))*parametros_manuales!$I$26*parametros_manuales!$J$26</f>
        <v>5667.57606776</v>
      </c>
      <c r="I225" s="9" t="n">
        <f aca="false">(parametros_manuales!$D$26*('Plan mensual'!K90+IF(parametros_manuales!$H$26="Todos",'Plan mensual'!K94,0))+parametros_manuales!$E$26*('Plan mensual'!K91+IF(parametros_manuales!$H$26="Todos",'Plan mensual'!K95,0))+parametros_manuales!$F$26*('Plan mensual'!K92+IF(parametros_manuales!$H$26="Todos",'Plan mensual'!K96,0))+parametros_manuales!$G$26*('Plan mensual'!K93+IF(parametros_manuales!$H$26="Todos",'Plan mensual'!K97,0)))*parametros_manuales!$I$26*parametros_manuales!$J$26</f>
        <v>5667.57606776</v>
      </c>
      <c r="J225" s="9" t="n">
        <f aca="false">(parametros_manuales!$D$26*('Plan mensual'!L90+IF(parametros_manuales!$H$26="Todos",'Plan mensual'!L94,0))+parametros_manuales!$E$26*('Plan mensual'!L91+IF(parametros_manuales!$H$26="Todos",'Plan mensual'!L95,0))+parametros_manuales!$F$26*('Plan mensual'!L92+IF(parametros_manuales!$H$26="Todos",'Plan mensual'!L96,0))+parametros_manuales!$G$26*('Plan mensual'!L93+IF(parametros_manuales!$H$26="Todos",'Plan mensual'!L97,0)))*parametros_manuales!$I$26*parametros_manuales!$J$26</f>
        <v>5667.57606776</v>
      </c>
      <c r="K225" s="9" t="n">
        <f aca="false">(parametros_manuales!$D$26*('Plan mensual'!M90+IF(parametros_manuales!$H$26="Todos",'Plan mensual'!M94,0))+parametros_manuales!$E$26*('Plan mensual'!M91+IF(parametros_manuales!$H$26="Todos",'Plan mensual'!M95,0))+parametros_manuales!$F$26*('Plan mensual'!M92+IF(parametros_manuales!$H$26="Todos",'Plan mensual'!M96,0))+parametros_manuales!$G$26*('Plan mensual'!M93+IF(parametros_manuales!$H$26="Todos",'Plan mensual'!M97,0)))*parametros_manuales!$I$26*parametros_manuales!$J$26</f>
        <v>5313.352563525</v>
      </c>
      <c r="L225" s="9" t="n">
        <f aca="false">(parametros_manuales!$D$26*('Plan mensual'!N90+IF(parametros_manuales!$H$26="Todos",'Plan mensual'!N94,0))+parametros_manuales!$E$26*('Plan mensual'!N91+IF(parametros_manuales!$H$26="Todos",'Plan mensual'!N95,0))+parametros_manuales!$F$26*('Plan mensual'!N92+IF(parametros_manuales!$H$26="Todos",'Plan mensual'!N96,0))+parametros_manuales!$G$26*('Plan mensual'!N93+IF(parametros_manuales!$H$26="Todos",'Plan mensual'!N97,0)))*parametros_manuales!$I$26*parametros_manuales!$J$26</f>
        <v>4959.12905929</v>
      </c>
      <c r="M225" s="9" t="n">
        <f aca="false">(parametros_manuales!$D$26*('Plan mensual'!O90+IF(parametros_manuales!$H$26="Todos",'Plan mensual'!O94,0))+parametros_manuales!$E$26*('Plan mensual'!O91+IF(parametros_manuales!$H$26="Todos",'Plan mensual'!O95,0))+parametros_manuales!$F$26*('Plan mensual'!O92+IF(parametros_manuales!$H$26="Todos",'Plan mensual'!O96,0))+parametros_manuales!$G$26*('Plan mensual'!O93+IF(parametros_manuales!$H$26="Todos",'Plan mensual'!O97,0)))*parametros_manuales!$I$26*parametros_manuales!$J$26</f>
        <v>7792.91709317</v>
      </c>
      <c r="N225" s="9" t="n">
        <f aca="false">SUM(B225:M225)</f>
        <v>70844.700847</v>
      </c>
      <c r="O225" s="9" t="n">
        <f aca="false">MAX(B225:M225)</f>
        <v>7792.91709317</v>
      </c>
      <c r="P225" s="43" t="n">
        <f aca="false">O225/(parametros_manuales!$B$7)</f>
        <v>51.9527806211333</v>
      </c>
      <c r="Q225" s="8" t="str">
        <f aca="false">IF(O225=0,"-",INDEX($B$217:$M$217,MATCH(O225,B225:M225,0)))</f>
        <v>Dic</v>
      </c>
    </row>
    <row r="226" customFormat="false" ht="14.25" hidden="false" customHeight="true" outlineLevel="0" collapsed="false">
      <c r="A226" s="8" t="str">
        <f aca="false">parametros_manuales!$B$27</f>
        <v>Soldadura longitudinal</v>
      </c>
      <c r="B226" s="9" t="n">
        <f aca="false">(parametros_manuales!$D$27*('Plan mensual'!D90+IF(parametros_manuales!$H$27="Todos",'Plan mensual'!D94,0))+parametros_manuales!$E$27*('Plan mensual'!D91+IF(parametros_manuales!$H$27="Todos",'Plan mensual'!D95,0))+parametros_manuales!$F$27*('Plan mensual'!D92+IF(parametros_manuales!$H$27="Todos",'Plan mensual'!D96,0))+parametros_manuales!$G$27*('Plan mensual'!D93+IF(parametros_manuales!$H$27="Todos",'Plan mensual'!D97,0)))*parametros_manuales!$I$27*parametros_manuales!$J$27</f>
        <v>7084.4700847</v>
      </c>
      <c r="C226" s="9" t="n">
        <f aca="false">(parametros_manuales!$D$27*('Plan mensual'!E90+IF(parametros_manuales!$H$27="Todos",'Plan mensual'!E94,0))+parametros_manuales!$E$27*('Plan mensual'!E91+IF(parametros_manuales!$H$27="Todos",'Plan mensual'!E95,0))+parametros_manuales!$F$27*('Plan mensual'!E92+IF(parametros_manuales!$H$27="Todos",'Plan mensual'!E96,0))+parametros_manuales!$G$27*('Plan mensual'!E93+IF(parametros_manuales!$H$27="Todos",'Plan mensual'!E97,0)))*parametros_manuales!$I$27*parametros_manuales!$J$27</f>
        <v>5667.57606776</v>
      </c>
      <c r="D226" s="9" t="n">
        <f aca="false">(parametros_manuales!$D$27*('Plan mensual'!F90+IF(parametros_manuales!$H$27="Todos",'Plan mensual'!F94,0))+parametros_manuales!$E$27*('Plan mensual'!F91+IF(parametros_manuales!$H$27="Todos",'Plan mensual'!F95,0))+parametros_manuales!$F$27*('Plan mensual'!F92+IF(parametros_manuales!$H$27="Todos",'Plan mensual'!F96,0))+parametros_manuales!$G$27*('Plan mensual'!F93+IF(parametros_manuales!$H$27="Todos",'Plan mensual'!F97,0)))*parametros_manuales!$I$27*parametros_manuales!$J$27</f>
        <v>6021.799571995</v>
      </c>
      <c r="E226" s="9" t="n">
        <f aca="false">(parametros_manuales!$D$27*('Plan mensual'!G90+IF(parametros_manuales!$H$27="Todos",'Plan mensual'!G94,0))+parametros_manuales!$E$27*('Plan mensual'!G91+IF(parametros_manuales!$H$27="Todos",'Plan mensual'!G95,0))+parametros_manuales!$F$27*('Plan mensual'!G92+IF(parametros_manuales!$H$27="Todos",'Plan mensual'!G96,0))+parametros_manuales!$G$27*('Plan mensual'!G93+IF(parametros_manuales!$H$27="Todos",'Plan mensual'!G97,0)))*parametros_manuales!$I$27*parametros_manuales!$J$27</f>
        <v>6021.799571995</v>
      </c>
      <c r="F226" s="9" t="n">
        <f aca="false">(parametros_manuales!$D$27*('Plan mensual'!H90+IF(parametros_manuales!$H$27="Todos",'Plan mensual'!H94,0))+parametros_manuales!$E$27*('Plan mensual'!H91+IF(parametros_manuales!$H$27="Todos",'Plan mensual'!H95,0))+parametros_manuales!$F$27*('Plan mensual'!H92+IF(parametros_manuales!$H$27="Todos",'Plan mensual'!H96,0))+parametros_manuales!$G$27*('Plan mensual'!H93+IF(parametros_manuales!$H$27="Todos",'Plan mensual'!H97,0)))*parametros_manuales!$I$27*parametros_manuales!$J$27</f>
        <v>5667.57606776</v>
      </c>
      <c r="G226" s="9" t="n">
        <f aca="false">(parametros_manuales!$D$27*('Plan mensual'!I90+IF(parametros_manuales!$H$27="Todos",'Plan mensual'!I94,0))+parametros_manuales!$E$27*('Plan mensual'!I91+IF(parametros_manuales!$H$27="Todos",'Plan mensual'!I95,0))+parametros_manuales!$F$27*('Plan mensual'!I92+IF(parametros_manuales!$H$27="Todos",'Plan mensual'!I96,0))+parametros_manuales!$G$27*('Plan mensual'!I93+IF(parametros_manuales!$H$27="Todos",'Plan mensual'!I97,0)))*parametros_manuales!$I$27*parametros_manuales!$J$27</f>
        <v>5313.352563525</v>
      </c>
      <c r="H226" s="9" t="n">
        <f aca="false">(parametros_manuales!$D$27*('Plan mensual'!J90+IF(parametros_manuales!$H$27="Todos",'Plan mensual'!J94,0))+parametros_manuales!$E$27*('Plan mensual'!J91+IF(parametros_manuales!$H$27="Todos",'Plan mensual'!J95,0))+parametros_manuales!$F$27*('Plan mensual'!J92+IF(parametros_manuales!$H$27="Todos",'Plan mensual'!J96,0))+parametros_manuales!$G$27*('Plan mensual'!J93+IF(parametros_manuales!$H$27="Todos",'Plan mensual'!J97,0)))*parametros_manuales!$I$27*parametros_manuales!$J$27</f>
        <v>5667.57606776</v>
      </c>
      <c r="I226" s="9" t="n">
        <f aca="false">(parametros_manuales!$D$27*('Plan mensual'!K90+IF(parametros_manuales!$H$27="Todos",'Plan mensual'!K94,0))+parametros_manuales!$E$27*('Plan mensual'!K91+IF(parametros_manuales!$H$27="Todos",'Plan mensual'!K95,0))+parametros_manuales!$F$27*('Plan mensual'!K92+IF(parametros_manuales!$H$27="Todos",'Plan mensual'!K96,0))+parametros_manuales!$G$27*('Plan mensual'!K93+IF(parametros_manuales!$H$27="Todos",'Plan mensual'!K97,0)))*parametros_manuales!$I$27*parametros_manuales!$J$27</f>
        <v>5667.57606776</v>
      </c>
      <c r="J226" s="9" t="n">
        <f aca="false">(parametros_manuales!$D$27*('Plan mensual'!L90+IF(parametros_manuales!$H$27="Todos",'Plan mensual'!L94,0))+parametros_manuales!$E$27*('Plan mensual'!L91+IF(parametros_manuales!$H$27="Todos",'Plan mensual'!L95,0))+parametros_manuales!$F$27*('Plan mensual'!L92+IF(parametros_manuales!$H$27="Todos",'Plan mensual'!L96,0))+parametros_manuales!$G$27*('Plan mensual'!L93+IF(parametros_manuales!$H$27="Todos",'Plan mensual'!L97,0)))*parametros_manuales!$I$27*parametros_manuales!$J$27</f>
        <v>5667.57606776</v>
      </c>
      <c r="K226" s="9" t="n">
        <f aca="false">(parametros_manuales!$D$27*('Plan mensual'!M90+IF(parametros_manuales!$H$27="Todos",'Plan mensual'!M94,0))+parametros_manuales!$E$27*('Plan mensual'!M91+IF(parametros_manuales!$H$27="Todos",'Plan mensual'!M95,0))+parametros_manuales!$F$27*('Plan mensual'!M92+IF(parametros_manuales!$H$27="Todos",'Plan mensual'!M96,0))+parametros_manuales!$G$27*('Plan mensual'!M93+IF(parametros_manuales!$H$27="Todos",'Plan mensual'!M97,0)))*parametros_manuales!$I$27*parametros_manuales!$J$27</f>
        <v>5313.352563525</v>
      </c>
      <c r="L226" s="9" t="n">
        <f aca="false">(parametros_manuales!$D$27*('Plan mensual'!N90+IF(parametros_manuales!$H$27="Todos",'Plan mensual'!N94,0))+parametros_manuales!$E$27*('Plan mensual'!N91+IF(parametros_manuales!$H$27="Todos",'Plan mensual'!N95,0))+parametros_manuales!$F$27*('Plan mensual'!N92+IF(parametros_manuales!$H$27="Todos",'Plan mensual'!N96,0))+parametros_manuales!$G$27*('Plan mensual'!N93+IF(parametros_manuales!$H$27="Todos",'Plan mensual'!N97,0)))*parametros_manuales!$I$27*parametros_manuales!$J$27</f>
        <v>4959.12905929</v>
      </c>
      <c r="M226" s="9" t="n">
        <f aca="false">(parametros_manuales!$D$27*('Plan mensual'!O90+IF(parametros_manuales!$H$27="Todos",'Plan mensual'!O94,0))+parametros_manuales!$E$27*('Plan mensual'!O91+IF(parametros_manuales!$H$27="Todos",'Plan mensual'!O95,0))+parametros_manuales!$F$27*('Plan mensual'!O92+IF(parametros_manuales!$H$27="Todos",'Plan mensual'!O96,0))+parametros_manuales!$G$27*('Plan mensual'!O93+IF(parametros_manuales!$H$27="Todos",'Plan mensual'!O97,0)))*parametros_manuales!$I$27*parametros_manuales!$J$27</f>
        <v>7792.91709317</v>
      </c>
      <c r="N226" s="9" t="n">
        <f aca="false">SUM(B226:M226)</f>
        <v>70844.700847</v>
      </c>
      <c r="O226" s="9" t="n">
        <f aca="false">MAX(B226:M226)</f>
        <v>7792.91709317</v>
      </c>
      <c r="P226" s="43" t="n">
        <f aca="false">O226/(parametros_manuales!$B$7)</f>
        <v>51.9527806211333</v>
      </c>
      <c r="Q226" s="8" t="str">
        <f aca="false">IF(O226=0,"-",INDEX($B$217:$M$217,MATCH(O226,B226:M226,0)))</f>
        <v>Dic</v>
      </c>
    </row>
    <row r="227" customFormat="false" ht="14.25" hidden="false" customHeight="true" outlineLevel="0" collapsed="false">
      <c r="A227" s="8" t="str">
        <f aca="false">parametros_manuales!$B$28</f>
        <v>Encastre de fondo</v>
      </c>
      <c r="B227" s="9" t="n">
        <f aca="false">(parametros_manuales!$D$28*('Plan mensual'!D90+IF(parametros_manuales!$H$28="Todos",'Plan mensual'!D94,0))+parametros_manuales!$E$28*('Plan mensual'!D91+IF(parametros_manuales!$H$28="Todos",'Plan mensual'!D95,0))+parametros_manuales!$F$28*('Plan mensual'!D92+IF(parametros_manuales!$H$28="Todos",'Plan mensual'!D96,0))+parametros_manuales!$G$28*('Plan mensual'!D93+IF(parametros_manuales!$H$28="Todos",'Plan mensual'!D97,0)))*parametros_manuales!$I$28*parametros_manuales!$J$28</f>
        <v>28131.6464215</v>
      </c>
      <c r="C227" s="9" t="n">
        <f aca="false">(parametros_manuales!$D$28*('Plan mensual'!E90+IF(parametros_manuales!$H$28="Todos",'Plan mensual'!E94,0))+parametros_manuales!$E$28*('Plan mensual'!E91+IF(parametros_manuales!$H$28="Todos",'Plan mensual'!E95,0))+parametros_manuales!$F$28*('Plan mensual'!E92+IF(parametros_manuales!$H$28="Todos",'Plan mensual'!E96,0))+parametros_manuales!$G$28*('Plan mensual'!E93+IF(parametros_manuales!$H$28="Todos",'Plan mensual'!E97,0)))*parametros_manuales!$I$28*parametros_manuales!$J$28</f>
        <v>21452.95832036</v>
      </c>
      <c r="D227" s="9" t="n">
        <f aca="false">(parametros_manuales!$D$28*('Plan mensual'!F90+IF(parametros_manuales!$H$28="Todos",'Plan mensual'!F94,0))+parametros_manuales!$E$28*('Plan mensual'!F91+IF(parametros_manuales!$H$28="Todos",'Plan mensual'!F95,0))+parametros_manuales!$F$28*('Plan mensual'!F92+IF(parametros_manuales!$H$28="Todos",'Plan mensual'!F96,0))+parametros_manuales!$G$28*('Plan mensual'!F93+IF(parametros_manuales!$H$28="Todos",'Plan mensual'!F97,0)))*parametros_manuales!$I$28*parametros_manuales!$J$28</f>
        <v>20053.250463195</v>
      </c>
      <c r="E227" s="9" t="n">
        <f aca="false">(parametros_manuales!$D$28*('Plan mensual'!G90+IF(parametros_manuales!$H$28="Todos",'Plan mensual'!G94,0))+parametros_manuales!$E$28*('Plan mensual'!G91+IF(parametros_manuales!$H$28="Todos",'Plan mensual'!G95,0))+parametros_manuales!$F$28*('Plan mensual'!G92+IF(parametros_manuales!$H$28="Todos",'Plan mensual'!G96,0))+parametros_manuales!$G$28*('Plan mensual'!G93+IF(parametros_manuales!$H$28="Todos",'Plan mensual'!G97,0)))*parametros_manuales!$I$28*parametros_manuales!$J$28</f>
        <v>19176.284782495</v>
      </c>
      <c r="F227" s="9" t="n">
        <f aca="false">(parametros_manuales!$D$28*('Plan mensual'!H90+IF(parametros_manuales!$H$28="Todos",'Plan mensual'!H94,0))+parametros_manuales!$E$28*('Plan mensual'!H91+IF(parametros_manuales!$H$28="Todos",'Plan mensual'!H95,0))+parametros_manuales!$F$28*('Plan mensual'!H92+IF(parametros_manuales!$H$28="Todos",'Plan mensual'!H96,0))+parametros_manuales!$G$28*('Plan mensual'!H93+IF(parametros_manuales!$H$28="Todos",'Plan mensual'!H97,0)))*parametros_manuales!$I$28*parametros_manuales!$J$28</f>
        <v>17945.09559756</v>
      </c>
      <c r="G227" s="9" t="n">
        <f aca="false">(parametros_manuales!$D$28*('Plan mensual'!I90+IF(parametros_manuales!$H$28="Todos",'Plan mensual'!I94,0))+parametros_manuales!$E$28*('Plan mensual'!I91+IF(parametros_manuales!$H$28="Todos",'Plan mensual'!I95,0))+parametros_manuales!$F$28*('Plan mensual'!I92+IF(parametros_manuales!$H$28="Todos",'Plan mensual'!I96,0))+parametros_manuales!$G$28*('Plan mensual'!I93+IF(parametros_manuales!$H$28="Todos",'Plan mensual'!I97,0)))*parametros_manuales!$I$28*parametros_manuales!$J$28</f>
        <v>17590.872093325</v>
      </c>
      <c r="H227" s="9" t="n">
        <f aca="false">(parametros_manuales!$D$28*('Plan mensual'!J90+IF(parametros_manuales!$H$28="Todos",'Plan mensual'!J94,0))+parametros_manuales!$E$28*('Plan mensual'!J91+IF(parametros_manuales!$H$28="Todos",'Plan mensual'!J95,0))+parametros_manuales!$F$28*('Plan mensual'!J92+IF(parametros_manuales!$H$28="Todos",'Plan mensual'!J96,0))+parametros_manuales!$G$28*('Plan mensual'!J93+IF(parametros_manuales!$H$28="Todos",'Plan mensual'!J97,0)))*parametros_manuales!$I$28*parametros_manuales!$J$28</f>
        <v>18822.06127826</v>
      </c>
      <c r="I227" s="9" t="n">
        <f aca="false">(parametros_manuales!$D$28*('Plan mensual'!K90+IF(parametros_manuales!$H$28="Todos",'Plan mensual'!K94,0))+parametros_manuales!$E$28*('Plan mensual'!K91+IF(parametros_manuales!$H$28="Todos",'Plan mensual'!K95,0))+parametros_manuales!$F$28*('Plan mensual'!K92+IF(parametros_manuales!$H$28="Todos",'Plan mensual'!K96,0))+parametros_manuales!$G$28*('Plan mensual'!K93+IF(parametros_manuales!$H$28="Todos",'Plan mensual'!K97,0)))*parametros_manuales!$I$28*parametros_manuales!$J$28</f>
        <v>18822.06127826</v>
      </c>
      <c r="J227" s="9" t="n">
        <f aca="false">(parametros_manuales!$D$28*('Plan mensual'!L90+IF(parametros_manuales!$H$28="Todos",'Plan mensual'!L94,0))+parametros_manuales!$E$28*('Plan mensual'!L91+IF(parametros_manuales!$H$28="Todos",'Plan mensual'!L95,0))+parametros_manuales!$F$28*('Plan mensual'!L92+IF(parametros_manuales!$H$28="Todos",'Plan mensual'!L96,0))+parametros_manuales!$G$28*('Plan mensual'!L93+IF(parametros_manuales!$H$28="Todos",'Plan mensual'!L97,0)))*parametros_manuales!$I$28*parametros_manuales!$J$28</f>
        <v>18822.06127826</v>
      </c>
      <c r="K227" s="9" t="n">
        <f aca="false">(parametros_manuales!$D$28*('Plan mensual'!M90+IF(parametros_manuales!$H$28="Todos",'Plan mensual'!M94,0))+parametros_manuales!$E$28*('Plan mensual'!M91+IF(parametros_manuales!$H$28="Todos",'Plan mensual'!M95,0))+parametros_manuales!$F$28*('Plan mensual'!M92+IF(parametros_manuales!$H$28="Todos",'Plan mensual'!M96,0))+parametros_manuales!$G$28*('Plan mensual'!M93+IF(parametros_manuales!$H$28="Todos",'Plan mensual'!M97,0)))*parametros_manuales!$I$28*parametros_manuales!$J$28</f>
        <v>18467.837774025</v>
      </c>
      <c r="L227" s="9" t="n">
        <f aca="false">(parametros_manuales!$D$28*('Plan mensual'!N90+IF(parametros_manuales!$H$28="Todos",'Plan mensual'!N94,0))+parametros_manuales!$E$28*('Plan mensual'!N91+IF(parametros_manuales!$H$28="Todos",'Plan mensual'!N95,0))+parametros_manuales!$F$28*('Plan mensual'!N92+IF(parametros_manuales!$H$28="Todos",'Plan mensual'!N96,0))+parametros_manuales!$G$28*('Plan mensual'!N93+IF(parametros_manuales!$H$28="Todos",'Plan mensual'!N97,0)))*parametros_manuales!$I$28*parametros_manuales!$J$28</f>
        <v>18113.61426979</v>
      </c>
      <c r="M227" s="9" t="n">
        <f aca="false">(parametros_manuales!$D$28*('Plan mensual'!O90+IF(parametros_manuales!$H$28="Todos",'Plan mensual'!O94,0))+parametros_manuales!$E$28*('Plan mensual'!O91+IF(parametros_manuales!$H$28="Todos",'Plan mensual'!O95,0))+parametros_manuales!$F$28*('Plan mensual'!O92+IF(parametros_manuales!$H$28="Todos",'Plan mensual'!O96,0))+parametros_manuales!$G$28*('Plan mensual'!O93+IF(parametros_manuales!$H$28="Todos",'Plan mensual'!O97,0)))*parametros_manuales!$I$28*parametros_manuales!$J$28</f>
        <v>28840.09342997</v>
      </c>
      <c r="N227" s="9" t="n">
        <f aca="false">SUM(B227:M227)</f>
        <v>246237.836987</v>
      </c>
      <c r="O227" s="9" t="n">
        <f aca="false">MAX(B227:M227)</f>
        <v>28840.09342997</v>
      </c>
      <c r="P227" s="43" t="n">
        <f aca="false">O227/(parametros_manuales!$B$7)</f>
        <v>192.267289533133</v>
      </c>
      <c r="Q227" s="8" t="str">
        <f aca="false">IF(O227=0,"-",INDEX($B$217:$M$217,MATCH(O227,B227:M227,0)))</f>
        <v>Dic</v>
      </c>
    </row>
    <row r="228" customFormat="false" ht="14.25" hidden="false" customHeight="true" outlineLevel="0" collapsed="false">
      <c r="A228" s="8" t="str">
        <f aca="false">parametros_manuales!$B$29</f>
        <v>Bordoneado</v>
      </c>
      <c r="B228" s="9" t="n">
        <f aca="false">(parametros_manuales!$D$29*('Plan mensual'!D90+IF(parametros_manuales!$H$29="Todos",'Plan mensual'!D94,0))+parametros_manuales!$E$29*('Plan mensual'!D91+IF(parametros_manuales!$H$29="Todos",'Plan mensual'!D95,0))+parametros_manuales!$F$29*('Plan mensual'!D92+IF(parametros_manuales!$H$29="Todos",'Plan mensual'!D96,0))+parametros_manuales!$G$29*('Plan mensual'!D93+IF(parametros_manuales!$H$29="Todos",'Plan mensual'!D97,0)))*parametros_manuales!$I$29*parametros_manuales!$J$29</f>
        <v>28131.6464215</v>
      </c>
      <c r="C228" s="9" t="n">
        <f aca="false">(parametros_manuales!$D$29*('Plan mensual'!E90+IF(parametros_manuales!$H$29="Todos",'Plan mensual'!E94,0))+parametros_manuales!$E$29*('Plan mensual'!E91+IF(parametros_manuales!$H$29="Todos",'Plan mensual'!E95,0))+parametros_manuales!$F$29*('Plan mensual'!E92+IF(parametros_manuales!$H$29="Todos",'Plan mensual'!E96,0))+parametros_manuales!$G$29*('Plan mensual'!E93+IF(parametros_manuales!$H$29="Todos",'Plan mensual'!E97,0)))*parametros_manuales!$I$29*parametros_manuales!$J$29</f>
        <v>21452.95832036</v>
      </c>
      <c r="D228" s="9" t="n">
        <f aca="false">(parametros_manuales!$D$29*('Plan mensual'!F90+IF(parametros_manuales!$H$29="Todos",'Plan mensual'!F94,0))+parametros_manuales!$E$29*('Plan mensual'!F91+IF(parametros_manuales!$H$29="Todos",'Plan mensual'!F95,0))+parametros_manuales!$F$29*('Plan mensual'!F92+IF(parametros_manuales!$H$29="Todos",'Plan mensual'!F96,0))+parametros_manuales!$G$29*('Plan mensual'!F93+IF(parametros_manuales!$H$29="Todos",'Plan mensual'!F97,0)))*parametros_manuales!$I$29*parametros_manuales!$J$29</f>
        <v>20053.250463195</v>
      </c>
      <c r="E228" s="9" t="n">
        <f aca="false">(parametros_manuales!$D$29*('Plan mensual'!G90+IF(parametros_manuales!$H$29="Todos",'Plan mensual'!G94,0))+parametros_manuales!$E$29*('Plan mensual'!G91+IF(parametros_manuales!$H$29="Todos",'Plan mensual'!G95,0))+parametros_manuales!$F$29*('Plan mensual'!G92+IF(parametros_manuales!$H$29="Todos",'Plan mensual'!G96,0))+parametros_manuales!$G$29*('Plan mensual'!G93+IF(parametros_manuales!$H$29="Todos",'Plan mensual'!G97,0)))*parametros_manuales!$I$29*parametros_manuales!$J$29</f>
        <v>19176.284782495</v>
      </c>
      <c r="F228" s="9" t="n">
        <f aca="false">(parametros_manuales!$D$29*('Plan mensual'!H90+IF(parametros_manuales!$H$29="Todos",'Plan mensual'!H94,0))+parametros_manuales!$E$29*('Plan mensual'!H91+IF(parametros_manuales!$H$29="Todos",'Plan mensual'!H95,0))+parametros_manuales!$F$29*('Plan mensual'!H92+IF(parametros_manuales!$H$29="Todos",'Plan mensual'!H96,0))+parametros_manuales!$G$29*('Plan mensual'!H93+IF(parametros_manuales!$H$29="Todos",'Plan mensual'!H97,0)))*parametros_manuales!$I$29*parametros_manuales!$J$29</f>
        <v>17945.09559756</v>
      </c>
      <c r="G228" s="9" t="n">
        <f aca="false">(parametros_manuales!$D$29*('Plan mensual'!I90+IF(parametros_manuales!$H$29="Todos",'Plan mensual'!I94,0))+parametros_manuales!$E$29*('Plan mensual'!I91+IF(parametros_manuales!$H$29="Todos",'Plan mensual'!I95,0))+parametros_manuales!$F$29*('Plan mensual'!I92+IF(parametros_manuales!$H$29="Todos",'Plan mensual'!I96,0))+parametros_manuales!$G$29*('Plan mensual'!I93+IF(parametros_manuales!$H$29="Todos",'Plan mensual'!I97,0)))*parametros_manuales!$I$29*parametros_manuales!$J$29</f>
        <v>17590.872093325</v>
      </c>
      <c r="H228" s="9" t="n">
        <f aca="false">(parametros_manuales!$D$29*('Plan mensual'!J90+IF(parametros_manuales!$H$29="Todos",'Plan mensual'!J94,0))+parametros_manuales!$E$29*('Plan mensual'!J91+IF(parametros_manuales!$H$29="Todos",'Plan mensual'!J95,0))+parametros_manuales!$F$29*('Plan mensual'!J92+IF(parametros_manuales!$H$29="Todos",'Plan mensual'!J96,0))+parametros_manuales!$G$29*('Plan mensual'!J93+IF(parametros_manuales!$H$29="Todos",'Plan mensual'!J97,0)))*parametros_manuales!$I$29*parametros_manuales!$J$29</f>
        <v>18822.06127826</v>
      </c>
      <c r="I228" s="9" t="n">
        <f aca="false">(parametros_manuales!$D$29*('Plan mensual'!K90+IF(parametros_manuales!$H$29="Todos",'Plan mensual'!K94,0))+parametros_manuales!$E$29*('Plan mensual'!K91+IF(parametros_manuales!$H$29="Todos",'Plan mensual'!K95,0))+parametros_manuales!$F$29*('Plan mensual'!K92+IF(parametros_manuales!$H$29="Todos",'Plan mensual'!K96,0))+parametros_manuales!$G$29*('Plan mensual'!K93+IF(parametros_manuales!$H$29="Todos",'Plan mensual'!K97,0)))*parametros_manuales!$I$29*parametros_manuales!$J$29</f>
        <v>18822.06127826</v>
      </c>
      <c r="J228" s="9" t="n">
        <f aca="false">(parametros_manuales!$D$29*('Plan mensual'!L90+IF(parametros_manuales!$H$29="Todos",'Plan mensual'!L94,0))+parametros_manuales!$E$29*('Plan mensual'!L91+IF(parametros_manuales!$H$29="Todos",'Plan mensual'!L95,0))+parametros_manuales!$F$29*('Plan mensual'!L92+IF(parametros_manuales!$H$29="Todos",'Plan mensual'!L96,0))+parametros_manuales!$G$29*('Plan mensual'!L93+IF(parametros_manuales!$H$29="Todos",'Plan mensual'!L97,0)))*parametros_manuales!$I$29*parametros_manuales!$J$29</f>
        <v>18822.06127826</v>
      </c>
      <c r="K228" s="9" t="n">
        <f aca="false">(parametros_manuales!$D$29*('Plan mensual'!M90+IF(parametros_manuales!$H$29="Todos",'Plan mensual'!M94,0))+parametros_manuales!$E$29*('Plan mensual'!M91+IF(parametros_manuales!$H$29="Todos",'Plan mensual'!M95,0))+parametros_manuales!$F$29*('Plan mensual'!M92+IF(parametros_manuales!$H$29="Todos",'Plan mensual'!M96,0))+parametros_manuales!$G$29*('Plan mensual'!M93+IF(parametros_manuales!$H$29="Todos",'Plan mensual'!M97,0)))*parametros_manuales!$I$29*parametros_manuales!$J$29</f>
        <v>18467.837774025</v>
      </c>
      <c r="L228" s="9" t="n">
        <f aca="false">(parametros_manuales!$D$29*('Plan mensual'!N90+IF(parametros_manuales!$H$29="Todos",'Plan mensual'!N94,0))+parametros_manuales!$E$29*('Plan mensual'!N91+IF(parametros_manuales!$H$29="Todos",'Plan mensual'!N95,0))+parametros_manuales!$F$29*('Plan mensual'!N92+IF(parametros_manuales!$H$29="Todos",'Plan mensual'!N96,0))+parametros_manuales!$G$29*('Plan mensual'!N93+IF(parametros_manuales!$H$29="Todos",'Plan mensual'!N97,0)))*parametros_manuales!$I$29*parametros_manuales!$J$29</f>
        <v>18113.61426979</v>
      </c>
      <c r="M228" s="9" t="n">
        <f aca="false">(parametros_manuales!$D$29*('Plan mensual'!O90+IF(parametros_manuales!$H$29="Todos",'Plan mensual'!O94,0))+parametros_manuales!$E$29*('Plan mensual'!O91+IF(parametros_manuales!$H$29="Todos",'Plan mensual'!O95,0))+parametros_manuales!$F$29*('Plan mensual'!O92+IF(parametros_manuales!$H$29="Todos",'Plan mensual'!O96,0))+parametros_manuales!$G$29*('Plan mensual'!O93+IF(parametros_manuales!$H$29="Todos",'Plan mensual'!O97,0)))*parametros_manuales!$I$29*parametros_manuales!$J$29</f>
        <v>28840.09342997</v>
      </c>
      <c r="N228" s="9" t="n">
        <f aca="false">SUM(B228:M228)</f>
        <v>246237.836987</v>
      </c>
      <c r="O228" s="9" t="n">
        <f aca="false">MAX(B228:M228)</f>
        <v>28840.09342997</v>
      </c>
      <c r="P228" s="43" t="n">
        <f aca="false">O228/(parametros_manuales!$B$7)</f>
        <v>192.267289533133</v>
      </c>
      <c r="Q228" s="8" t="str">
        <f aca="false">IF(O228=0,"-",INDEX($B$217:$M$217,MATCH(O228,B228:M228,0)))</f>
        <v>Dic</v>
      </c>
    </row>
    <row r="229" customFormat="false" ht="14.25" hidden="false" customHeight="true" outlineLevel="0" collapsed="false">
      <c r="A229" s="8" t="str">
        <f aca="false">parametros_manuales!$B$30</f>
        <v>Soldadura circunferencial de cúpula y fondo</v>
      </c>
      <c r="B229" s="9" t="n">
        <f aca="false">(parametros_manuales!$D$30*('Plan mensual'!D90+IF(parametros_manuales!$H$30="Todos",'Plan mensual'!D94,0))+parametros_manuales!$E$30*('Plan mensual'!D91+IF(parametros_manuales!$H$30="Todos",'Plan mensual'!D95,0))+parametros_manuales!$F$30*('Plan mensual'!D92+IF(parametros_manuales!$H$30="Todos",'Plan mensual'!D96,0))+parametros_manuales!$G$30*('Plan mensual'!D93+IF(parametros_manuales!$H$30="Todos",'Plan mensual'!D97,0)))*parametros_manuales!$I$30*parametros_manuales!$J$30</f>
        <v>28131.6464215</v>
      </c>
      <c r="C229" s="9" t="n">
        <f aca="false">(parametros_manuales!$D$30*('Plan mensual'!E90+IF(parametros_manuales!$H$30="Todos",'Plan mensual'!E94,0))+parametros_manuales!$E$30*('Plan mensual'!E91+IF(parametros_manuales!$H$30="Todos",'Plan mensual'!E95,0))+parametros_manuales!$F$30*('Plan mensual'!E92+IF(parametros_manuales!$H$30="Todos",'Plan mensual'!E96,0))+parametros_manuales!$G$30*('Plan mensual'!E93+IF(parametros_manuales!$H$30="Todos",'Plan mensual'!E97,0)))*parametros_manuales!$I$30*parametros_manuales!$J$30</f>
        <v>21452.95832036</v>
      </c>
      <c r="D229" s="9" t="n">
        <f aca="false">(parametros_manuales!$D$30*('Plan mensual'!F90+IF(parametros_manuales!$H$30="Todos",'Plan mensual'!F94,0))+parametros_manuales!$E$30*('Plan mensual'!F91+IF(parametros_manuales!$H$30="Todos",'Plan mensual'!F95,0))+parametros_manuales!$F$30*('Plan mensual'!F92+IF(parametros_manuales!$H$30="Todos",'Plan mensual'!F96,0))+parametros_manuales!$G$30*('Plan mensual'!F93+IF(parametros_manuales!$H$30="Todos",'Plan mensual'!F97,0)))*parametros_manuales!$I$30*parametros_manuales!$J$30</f>
        <v>20053.250463195</v>
      </c>
      <c r="E229" s="9" t="n">
        <f aca="false">(parametros_manuales!$D$30*('Plan mensual'!G90+IF(parametros_manuales!$H$30="Todos",'Plan mensual'!G94,0))+parametros_manuales!$E$30*('Plan mensual'!G91+IF(parametros_manuales!$H$30="Todos",'Plan mensual'!G95,0))+parametros_manuales!$F$30*('Plan mensual'!G92+IF(parametros_manuales!$H$30="Todos",'Plan mensual'!G96,0))+parametros_manuales!$G$30*('Plan mensual'!G93+IF(parametros_manuales!$H$30="Todos",'Plan mensual'!G97,0)))*parametros_manuales!$I$30*parametros_manuales!$J$30</f>
        <v>19176.284782495</v>
      </c>
      <c r="F229" s="9" t="n">
        <f aca="false">(parametros_manuales!$D$30*('Plan mensual'!H90+IF(parametros_manuales!$H$30="Todos",'Plan mensual'!H94,0))+parametros_manuales!$E$30*('Plan mensual'!H91+IF(parametros_manuales!$H$30="Todos",'Plan mensual'!H95,0))+parametros_manuales!$F$30*('Plan mensual'!H92+IF(parametros_manuales!$H$30="Todos",'Plan mensual'!H96,0))+parametros_manuales!$G$30*('Plan mensual'!H93+IF(parametros_manuales!$H$30="Todos",'Plan mensual'!H97,0)))*parametros_manuales!$I$30*parametros_manuales!$J$30</f>
        <v>17945.09559756</v>
      </c>
      <c r="G229" s="9" t="n">
        <f aca="false">(parametros_manuales!$D$30*('Plan mensual'!I90+IF(parametros_manuales!$H$30="Todos",'Plan mensual'!I94,0))+parametros_manuales!$E$30*('Plan mensual'!I91+IF(parametros_manuales!$H$30="Todos",'Plan mensual'!I95,0))+parametros_manuales!$F$30*('Plan mensual'!I92+IF(parametros_manuales!$H$30="Todos",'Plan mensual'!I96,0))+parametros_manuales!$G$30*('Plan mensual'!I93+IF(parametros_manuales!$H$30="Todos",'Plan mensual'!I97,0)))*parametros_manuales!$I$30*parametros_manuales!$J$30</f>
        <v>17590.872093325</v>
      </c>
      <c r="H229" s="9" t="n">
        <f aca="false">(parametros_manuales!$D$30*('Plan mensual'!J90+IF(parametros_manuales!$H$30="Todos",'Plan mensual'!J94,0))+parametros_manuales!$E$30*('Plan mensual'!J91+IF(parametros_manuales!$H$30="Todos",'Plan mensual'!J95,0))+parametros_manuales!$F$30*('Plan mensual'!J92+IF(parametros_manuales!$H$30="Todos",'Plan mensual'!J96,0))+parametros_manuales!$G$30*('Plan mensual'!J93+IF(parametros_manuales!$H$30="Todos",'Plan mensual'!J97,0)))*parametros_manuales!$I$30*parametros_manuales!$J$30</f>
        <v>18822.06127826</v>
      </c>
      <c r="I229" s="9" t="n">
        <f aca="false">(parametros_manuales!$D$30*('Plan mensual'!K90+IF(parametros_manuales!$H$30="Todos",'Plan mensual'!K94,0))+parametros_manuales!$E$30*('Plan mensual'!K91+IF(parametros_manuales!$H$30="Todos",'Plan mensual'!K95,0))+parametros_manuales!$F$30*('Plan mensual'!K92+IF(parametros_manuales!$H$30="Todos",'Plan mensual'!K96,0))+parametros_manuales!$G$30*('Plan mensual'!K93+IF(parametros_manuales!$H$30="Todos",'Plan mensual'!K97,0)))*parametros_manuales!$I$30*parametros_manuales!$J$30</f>
        <v>18822.06127826</v>
      </c>
      <c r="J229" s="9" t="n">
        <f aca="false">(parametros_manuales!$D$30*('Plan mensual'!L90+IF(parametros_manuales!$H$30="Todos",'Plan mensual'!L94,0))+parametros_manuales!$E$30*('Plan mensual'!L91+IF(parametros_manuales!$H$30="Todos",'Plan mensual'!L95,0))+parametros_manuales!$F$30*('Plan mensual'!L92+IF(parametros_manuales!$H$30="Todos",'Plan mensual'!L96,0))+parametros_manuales!$G$30*('Plan mensual'!L93+IF(parametros_manuales!$H$30="Todos",'Plan mensual'!L97,0)))*parametros_manuales!$I$30*parametros_manuales!$J$30</f>
        <v>18822.06127826</v>
      </c>
      <c r="K229" s="9" t="n">
        <f aca="false">(parametros_manuales!$D$30*('Plan mensual'!M90+IF(parametros_manuales!$H$30="Todos",'Plan mensual'!M94,0))+parametros_manuales!$E$30*('Plan mensual'!M91+IF(parametros_manuales!$H$30="Todos",'Plan mensual'!M95,0))+parametros_manuales!$F$30*('Plan mensual'!M92+IF(parametros_manuales!$H$30="Todos",'Plan mensual'!M96,0))+parametros_manuales!$G$30*('Plan mensual'!M93+IF(parametros_manuales!$H$30="Todos",'Plan mensual'!M97,0)))*parametros_manuales!$I$30*parametros_manuales!$J$30</f>
        <v>18467.837774025</v>
      </c>
      <c r="L229" s="9" t="n">
        <f aca="false">(parametros_manuales!$D$30*('Plan mensual'!N90+IF(parametros_manuales!$H$30="Todos",'Plan mensual'!N94,0))+parametros_manuales!$E$30*('Plan mensual'!N91+IF(parametros_manuales!$H$30="Todos",'Plan mensual'!N95,0))+parametros_manuales!$F$30*('Plan mensual'!N92+IF(parametros_manuales!$H$30="Todos",'Plan mensual'!N96,0))+parametros_manuales!$G$30*('Plan mensual'!N93+IF(parametros_manuales!$H$30="Todos",'Plan mensual'!N97,0)))*parametros_manuales!$I$30*parametros_manuales!$J$30</f>
        <v>18113.61426979</v>
      </c>
      <c r="M229" s="9" t="n">
        <f aca="false">(parametros_manuales!$D$30*('Plan mensual'!O90+IF(parametros_manuales!$H$30="Todos",'Plan mensual'!O94,0))+parametros_manuales!$E$30*('Plan mensual'!O91+IF(parametros_manuales!$H$30="Todos",'Plan mensual'!O95,0))+parametros_manuales!$F$30*('Plan mensual'!O92+IF(parametros_manuales!$H$30="Todos",'Plan mensual'!O96,0))+parametros_manuales!$G$30*('Plan mensual'!O93+IF(parametros_manuales!$H$30="Todos",'Plan mensual'!O97,0)))*parametros_manuales!$I$30*parametros_manuales!$J$30</f>
        <v>28840.09342997</v>
      </c>
      <c r="N229" s="9" t="n">
        <f aca="false">SUM(B229:M229)</f>
        <v>246237.836987</v>
      </c>
      <c r="O229" s="9" t="n">
        <f aca="false">MAX(B229:M229)</f>
        <v>28840.09342997</v>
      </c>
      <c r="P229" s="43" t="n">
        <f aca="false">O229/(parametros_manuales!$B$7)</f>
        <v>192.267289533133</v>
      </c>
      <c r="Q229" s="8" t="str">
        <f aca="false">IF(O229=0,"-",INDEX($B$217:$M$217,MATCH(O229,B229:M229,0)))</f>
        <v>Dic</v>
      </c>
    </row>
    <row r="230" customFormat="false" ht="14.25" hidden="false" customHeight="true" outlineLevel="0" collapsed="false">
      <c r="A230" s="8" t="str">
        <f aca="false">parametros_manuales!$B$31</f>
        <v>Control de calidad — Espesor</v>
      </c>
      <c r="B230" s="9" t="n">
        <f aca="false">(parametros_manuales!$D$31*('Plan mensual'!D90+IF(parametros_manuales!$H$31="Todos",'Plan mensual'!D94,0))+parametros_manuales!$E$31*('Plan mensual'!D91+IF(parametros_manuales!$H$31="Todos",'Plan mensual'!D95,0))+parametros_manuales!$F$31*('Plan mensual'!D92+IF(parametros_manuales!$H$31="Todos",'Plan mensual'!D96,0))+parametros_manuales!$G$31*('Plan mensual'!D93+IF(parametros_manuales!$H$31="Todos",'Plan mensual'!D97,0)))*parametros_manuales!$I$31*parametros_manuales!$J$31</f>
        <v>562.63292843</v>
      </c>
      <c r="C230" s="9" t="n">
        <f aca="false">(parametros_manuales!$D$31*('Plan mensual'!E90+IF(parametros_manuales!$H$31="Todos",'Plan mensual'!E94,0))+parametros_manuales!$E$31*('Plan mensual'!E91+IF(parametros_manuales!$H$31="Todos",'Plan mensual'!E95,0))+parametros_manuales!$F$31*('Plan mensual'!E92+IF(parametros_manuales!$H$31="Todos",'Plan mensual'!E96,0))+parametros_manuales!$G$31*('Plan mensual'!E93+IF(parametros_manuales!$H$31="Todos",'Plan mensual'!E97,0)))*parametros_manuales!$I$31*parametros_manuales!$J$31</f>
        <v>429.0591664072</v>
      </c>
      <c r="D230" s="9" t="n">
        <f aca="false">(parametros_manuales!$D$31*('Plan mensual'!F90+IF(parametros_manuales!$H$31="Todos",'Plan mensual'!F94,0))+parametros_manuales!$E$31*('Plan mensual'!F91+IF(parametros_manuales!$H$31="Todos",'Plan mensual'!F95,0))+parametros_manuales!$F$31*('Plan mensual'!F92+IF(parametros_manuales!$H$31="Todos",'Plan mensual'!F96,0))+parametros_manuales!$G$31*('Plan mensual'!F93+IF(parametros_manuales!$H$31="Todos",'Plan mensual'!F97,0)))*parametros_manuales!$I$31*parametros_manuales!$J$31</f>
        <v>401.0650092639</v>
      </c>
      <c r="E230" s="9" t="n">
        <f aca="false">(parametros_manuales!$D$31*('Plan mensual'!G90+IF(parametros_manuales!$H$31="Todos",'Plan mensual'!G94,0))+parametros_manuales!$E$31*('Plan mensual'!G91+IF(parametros_manuales!$H$31="Todos",'Plan mensual'!G95,0))+parametros_manuales!$F$31*('Plan mensual'!G92+IF(parametros_manuales!$H$31="Todos",'Plan mensual'!G96,0))+parametros_manuales!$G$31*('Plan mensual'!G93+IF(parametros_manuales!$H$31="Todos",'Plan mensual'!G97,0)))*parametros_manuales!$I$31*parametros_manuales!$J$31</f>
        <v>383.5256956499</v>
      </c>
      <c r="F230" s="9" t="n">
        <f aca="false">(parametros_manuales!$D$31*('Plan mensual'!H90+IF(parametros_manuales!$H$31="Todos",'Plan mensual'!H94,0))+parametros_manuales!$E$31*('Plan mensual'!H91+IF(parametros_manuales!$H$31="Todos",'Plan mensual'!H95,0))+parametros_manuales!$F$31*('Plan mensual'!H92+IF(parametros_manuales!$H$31="Todos",'Plan mensual'!H96,0))+parametros_manuales!$G$31*('Plan mensual'!H93+IF(parametros_manuales!$H$31="Todos",'Plan mensual'!H97,0)))*parametros_manuales!$I$31*parametros_manuales!$J$31</f>
        <v>358.9019119512</v>
      </c>
      <c r="G230" s="9" t="n">
        <f aca="false">(parametros_manuales!$D$31*('Plan mensual'!I90+IF(parametros_manuales!$H$31="Todos",'Plan mensual'!I94,0))+parametros_manuales!$E$31*('Plan mensual'!I91+IF(parametros_manuales!$H$31="Todos",'Plan mensual'!I95,0))+parametros_manuales!$F$31*('Plan mensual'!I92+IF(parametros_manuales!$H$31="Todos",'Plan mensual'!I96,0))+parametros_manuales!$G$31*('Plan mensual'!I93+IF(parametros_manuales!$H$31="Todos",'Plan mensual'!I97,0)))*parametros_manuales!$I$31*parametros_manuales!$J$31</f>
        <v>351.8174418665</v>
      </c>
      <c r="H230" s="9" t="n">
        <f aca="false">(parametros_manuales!$D$31*('Plan mensual'!J90+IF(parametros_manuales!$H$31="Todos",'Plan mensual'!J94,0))+parametros_manuales!$E$31*('Plan mensual'!J91+IF(parametros_manuales!$H$31="Todos",'Plan mensual'!J95,0))+parametros_manuales!$F$31*('Plan mensual'!J92+IF(parametros_manuales!$H$31="Todos",'Plan mensual'!J96,0))+parametros_manuales!$G$31*('Plan mensual'!J93+IF(parametros_manuales!$H$31="Todos",'Plan mensual'!J97,0)))*parametros_manuales!$I$31*parametros_manuales!$J$31</f>
        <v>376.4412255652</v>
      </c>
      <c r="I230" s="9" t="n">
        <f aca="false">(parametros_manuales!$D$31*('Plan mensual'!K90+IF(parametros_manuales!$H$31="Todos",'Plan mensual'!K94,0))+parametros_manuales!$E$31*('Plan mensual'!K91+IF(parametros_manuales!$H$31="Todos",'Plan mensual'!K95,0))+parametros_manuales!$F$31*('Plan mensual'!K92+IF(parametros_manuales!$H$31="Todos",'Plan mensual'!K96,0))+parametros_manuales!$G$31*('Plan mensual'!K93+IF(parametros_manuales!$H$31="Todos",'Plan mensual'!K97,0)))*parametros_manuales!$I$31*parametros_manuales!$J$31</f>
        <v>376.4412255652</v>
      </c>
      <c r="J230" s="9" t="n">
        <f aca="false">(parametros_manuales!$D$31*('Plan mensual'!L90+IF(parametros_manuales!$H$31="Todos",'Plan mensual'!L94,0))+parametros_manuales!$E$31*('Plan mensual'!L91+IF(parametros_manuales!$H$31="Todos",'Plan mensual'!L95,0))+parametros_manuales!$F$31*('Plan mensual'!L92+IF(parametros_manuales!$H$31="Todos",'Plan mensual'!L96,0))+parametros_manuales!$G$31*('Plan mensual'!L93+IF(parametros_manuales!$H$31="Todos",'Plan mensual'!L97,0)))*parametros_manuales!$I$31*parametros_manuales!$J$31</f>
        <v>376.4412255652</v>
      </c>
      <c r="K230" s="9" t="n">
        <f aca="false">(parametros_manuales!$D$31*('Plan mensual'!M90+IF(parametros_manuales!$H$31="Todos",'Plan mensual'!M94,0))+parametros_manuales!$E$31*('Plan mensual'!M91+IF(parametros_manuales!$H$31="Todos",'Plan mensual'!M95,0))+parametros_manuales!$F$31*('Plan mensual'!M92+IF(parametros_manuales!$H$31="Todos",'Plan mensual'!M96,0))+parametros_manuales!$G$31*('Plan mensual'!M93+IF(parametros_manuales!$H$31="Todos",'Plan mensual'!M97,0)))*parametros_manuales!$I$31*parametros_manuales!$J$31</f>
        <v>369.3567554805</v>
      </c>
      <c r="L230" s="9" t="n">
        <f aca="false">(parametros_manuales!$D$31*('Plan mensual'!N90+IF(parametros_manuales!$H$31="Todos",'Plan mensual'!N94,0))+parametros_manuales!$E$31*('Plan mensual'!N91+IF(parametros_manuales!$H$31="Todos",'Plan mensual'!N95,0))+parametros_manuales!$F$31*('Plan mensual'!N92+IF(parametros_manuales!$H$31="Todos",'Plan mensual'!N96,0))+parametros_manuales!$G$31*('Plan mensual'!N93+IF(parametros_manuales!$H$31="Todos",'Plan mensual'!N97,0)))*parametros_manuales!$I$31*parametros_manuales!$J$31</f>
        <v>362.2722853958</v>
      </c>
      <c r="M230" s="9" t="n">
        <f aca="false">(parametros_manuales!$D$31*('Plan mensual'!O90+IF(parametros_manuales!$H$31="Todos",'Plan mensual'!O94,0))+parametros_manuales!$E$31*('Plan mensual'!O91+IF(parametros_manuales!$H$31="Todos",'Plan mensual'!O95,0))+parametros_manuales!$F$31*('Plan mensual'!O92+IF(parametros_manuales!$H$31="Todos",'Plan mensual'!O96,0))+parametros_manuales!$G$31*('Plan mensual'!O93+IF(parametros_manuales!$H$31="Todos",'Plan mensual'!O97,0)))*parametros_manuales!$I$31*parametros_manuales!$J$31</f>
        <v>576.8018685994</v>
      </c>
      <c r="N230" s="9" t="n">
        <f aca="false">SUM(B230:M230)</f>
        <v>4924.75673974</v>
      </c>
      <c r="O230" s="9" t="n">
        <f aca="false">MAX(B230:M230)</f>
        <v>576.8018685994</v>
      </c>
      <c r="P230" s="43" t="n">
        <f aca="false">O230/(parametros_manuales!$B$7)</f>
        <v>3.84534579066267</v>
      </c>
      <c r="Q230" s="8" t="str">
        <f aca="false">IF(O230=0,"-",INDEX($B$217:$M$217,MATCH(O230,B230:M230,0)))</f>
        <v>Dic</v>
      </c>
    </row>
    <row r="231" customFormat="false" ht="14.25" hidden="false" customHeight="true" outlineLevel="0" collapsed="false">
      <c r="A231" s="8" t="str">
        <f aca="false">parametros_manuales!$B$32</f>
        <v>Prueba hidráulica</v>
      </c>
      <c r="B231" s="9" t="n">
        <f aca="false">(parametros_manuales!$D$32*('Plan mensual'!D90+IF(parametros_manuales!$H$32="Todos",'Plan mensual'!D94,0))+parametros_manuales!$E$32*('Plan mensual'!D91+IF(parametros_manuales!$H$32="Todos",'Plan mensual'!D95,0))+parametros_manuales!$F$32*('Plan mensual'!D92+IF(parametros_manuales!$H$32="Todos",'Plan mensual'!D96,0))+parametros_manuales!$G$32*('Plan mensual'!D93+IF(parametros_manuales!$H$32="Todos",'Plan mensual'!D97,0)))*parametros_manuales!$I$32*parametros_manuales!$J$32</f>
        <v>28131.6464215</v>
      </c>
      <c r="C231" s="9" t="n">
        <f aca="false">(parametros_manuales!$D$32*('Plan mensual'!E90+IF(parametros_manuales!$H$32="Todos",'Plan mensual'!E94,0))+parametros_manuales!$E$32*('Plan mensual'!E91+IF(parametros_manuales!$H$32="Todos",'Plan mensual'!E95,0))+parametros_manuales!$F$32*('Plan mensual'!E92+IF(parametros_manuales!$H$32="Todos",'Plan mensual'!E96,0))+parametros_manuales!$G$32*('Plan mensual'!E93+IF(parametros_manuales!$H$32="Todos",'Plan mensual'!E97,0)))*parametros_manuales!$I$32*parametros_manuales!$J$32</f>
        <v>21452.95832036</v>
      </c>
      <c r="D231" s="9" t="n">
        <f aca="false">(parametros_manuales!$D$32*('Plan mensual'!F90+IF(parametros_manuales!$H$32="Todos",'Plan mensual'!F94,0))+parametros_manuales!$E$32*('Plan mensual'!F91+IF(parametros_manuales!$H$32="Todos",'Plan mensual'!F95,0))+parametros_manuales!$F$32*('Plan mensual'!F92+IF(parametros_manuales!$H$32="Todos",'Plan mensual'!F96,0))+parametros_manuales!$G$32*('Plan mensual'!F93+IF(parametros_manuales!$H$32="Todos",'Plan mensual'!F97,0)))*parametros_manuales!$I$32*parametros_manuales!$J$32</f>
        <v>20053.250463195</v>
      </c>
      <c r="E231" s="9" t="n">
        <f aca="false">(parametros_manuales!$D$32*('Plan mensual'!G90+IF(parametros_manuales!$H$32="Todos",'Plan mensual'!G94,0))+parametros_manuales!$E$32*('Plan mensual'!G91+IF(parametros_manuales!$H$32="Todos",'Plan mensual'!G95,0))+parametros_manuales!$F$32*('Plan mensual'!G92+IF(parametros_manuales!$H$32="Todos",'Plan mensual'!G96,0))+parametros_manuales!$G$32*('Plan mensual'!G93+IF(parametros_manuales!$H$32="Todos",'Plan mensual'!G97,0)))*parametros_manuales!$I$32*parametros_manuales!$J$32</f>
        <v>19176.284782495</v>
      </c>
      <c r="F231" s="9" t="n">
        <f aca="false">(parametros_manuales!$D$32*('Plan mensual'!H90+IF(parametros_manuales!$H$32="Todos",'Plan mensual'!H94,0))+parametros_manuales!$E$32*('Plan mensual'!H91+IF(parametros_manuales!$H$32="Todos",'Plan mensual'!H95,0))+parametros_manuales!$F$32*('Plan mensual'!H92+IF(parametros_manuales!$H$32="Todos",'Plan mensual'!H96,0))+parametros_manuales!$G$32*('Plan mensual'!H93+IF(parametros_manuales!$H$32="Todos",'Plan mensual'!H97,0)))*parametros_manuales!$I$32*parametros_manuales!$J$32</f>
        <v>17945.09559756</v>
      </c>
      <c r="G231" s="9" t="n">
        <f aca="false">(parametros_manuales!$D$32*('Plan mensual'!I90+IF(parametros_manuales!$H$32="Todos",'Plan mensual'!I94,0))+parametros_manuales!$E$32*('Plan mensual'!I91+IF(parametros_manuales!$H$32="Todos",'Plan mensual'!I95,0))+parametros_manuales!$F$32*('Plan mensual'!I92+IF(parametros_manuales!$H$32="Todos",'Plan mensual'!I96,0))+parametros_manuales!$G$32*('Plan mensual'!I93+IF(parametros_manuales!$H$32="Todos",'Plan mensual'!I97,0)))*parametros_manuales!$I$32*parametros_manuales!$J$32</f>
        <v>17590.872093325</v>
      </c>
      <c r="H231" s="9" t="n">
        <f aca="false">(parametros_manuales!$D$32*('Plan mensual'!J90+IF(parametros_manuales!$H$32="Todos",'Plan mensual'!J94,0))+parametros_manuales!$E$32*('Plan mensual'!J91+IF(parametros_manuales!$H$32="Todos",'Plan mensual'!J95,0))+parametros_manuales!$F$32*('Plan mensual'!J92+IF(parametros_manuales!$H$32="Todos",'Plan mensual'!J96,0))+parametros_manuales!$G$32*('Plan mensual'!J93+IF(parametros_manuales!$H$32="Todos",'Plan mensual'!J97,0)))*parametros_manuales!$I$32*parametros_manuales!$J$32</f>
        <v>18822.06127826</v>
      </c>
      <c r="I231" s="9" t="n">
        <f aca="false">(parametros_manuales!$D$32*('Plan mensual'!K90+IF(parametros_manuales!$H$32="Todos",'Plan mensual'!K94,0))+parametros_manuales!$E$32*('Plan mensual'!K91+IF(parametros_manuales!$H$32="Todos",'Plan mensual'!K95,0))+parametros_manuales!$F$32*('Plan mensual'!K92+IF(parametros_manuales!$H$32="Todos",'Plan mensual'!K96,0))+parametros_manuales!$G$32*('Plan mensual'!K93+IF(parametros_manuales!$H$32="Todos",'Plan mensual'!K97,0)))*parametros_manuales!$I$32*parametros_manuales!$J$32</f>
        <v>18822.06127826</v>
      </c>
      <c r="J231" s="9" t="n">
        <f aca="false">(parametros_manuales!$D$32*('Plan mensual'!L90+IF(parametros_manuales!$H$32="Todos",'Plan mensual'!L94,0))+parametros_manuales!$E$32*('Plan mensual'!L91+IF(parametros_manuales!$H$32="Todos",'Plan mensual'!L95,0))+parametros_manuales!$F$32*('Plan mensual'!L92+IF(parametros_manuales!$H$32="Todos",'Plan mensual'!L96,0))+parametros_manuales!$G$32*('Plan mensual'!L93+IF(parametros_manuales!$H$32="Todos",'Plan mensual'!L97,0)))*parametros_manuales!$I$32*parametros_manuales!$J$32</f>
        <v>18822.06127826</v>
      </c>
      <c r="K231" s="9" t="n">
        <f aca="false">(parametros_manuales!$D$32*('Plan mensual'!M90+IF(parametros_manuales!$H$32="Todos",'Plan mensual'!M94,0))+parametros_manuales!$E$32*('Plan mensual'!M91+IF(parametros_manuales!$H$32="Todos",'Plan mensual'!M95,0))+parametros_manuales!$F$32*('Plan mensual'!M92+IF(parametros_manuales!$H$32="Todos",'Plan mensual'!M96,0))+parametros_manuales!$G$32*('Plan mensual'!M93+IF(parametros_manuales!$H$32="Todos",'Plan mensual'!M97,0)))*parametros_manuales!$I$32*parametros_manuales!$J$32</f>
        <v>18467.837774025</v>
      </c>
      <c r="L231" s="9" t="n">
        <f aca="false">(parametros_manuales!$D$32*('Plan mensual'!N90+IF(parametros_manuales!$H$32="Todos",'Plan mensual'!N94,0))+parametros_manuales!$E$32*('Plan mensual'!N91+IF(parametros_manuales!$H$32="Todos",'Plan mensual'!N95,0))+parametros_manuales!$F$32*('Plan mensual'!N92+IF(parametros_manuales!$H$32="Todos",'Plan mensual'!N96,0))+parametros_manuales!$G$32*('Plan mensual'!N93+IF(parametros_manuales!$H$32="Todos",'Plan mensual'!N97,0)))*parametros_manuales!$I$32*parametros_manuales!$J$32</f>
        <v>18113.61426979</v>
      </c>
      <c r="M231" s="9" t="n">
        <f aca="false">(parametros_manuales!$D$32*('Plan mensual'!O90+IF(parametros_manuales!$H$32="Todos",'Plan mensual'!O94,0))+parametros_manuales!$E$32*('Plan mensual'!O91+IF(parametros_manuales!$H$32="Todos",'Plan mensual'!O95,0))+parametros_manuales!$F$32*('Plan mensual'!O92+IF(parametros_manuales!$H$32="Todos",'Plan mensual'!O96,0))+parametros_manuales!$G$32*('Plan mensual'!O93+IF(parametros_manuales!$H$32="Todos",'Plan mensual'!O97,0)))*parametros_manuales!$I$32*parametros_manuales!$J$32</f>
        <v>28840.09342997</v>
      </c>
      <c r="N231" s="9" t="n">
        <f aca="false">SUM(B231:M231)</f>
        <v>246237.836987</v>
      </c>
      <c r="O231" s="9" t="n">
        <f aca="false">MAX(B231:M231)</f>
        <v>28840.09342997</v>
      </c>
      <c r="P231" s="43" t="n">
        <f aca="false">O231/(parametros_manuales!$B$7)</f>
        <v>192.267289533133</v>
      </c>
      <c r="Q231" s="8" t="str">
        <f aca="false">IF(O231=0,"-",INDEX($B$217:$M$217,MATCH(O231,B231:M231,0)))</f>
        <v>Dic</v>
      </c>
    </row>
    <row r="232" customFormat="false" ht="14.25" hidden="false" customHeight="true" outlineLevel="0" collapsed="false">
      <c r="A232" s="8" t="str">
        <f aca="false">parametros_manuales!$B$33</f>
        <v>Secado</v>
      </c>
      <c r="B232" s="9" t="n">
        <f aca="false">(parametros_manuales!$D$33*('Plan mensual'!D90+IF(parametros_manuales!$H$33="Todos",'Plan mensual'!D94,0))+parametros_manuales!$E$33*('Plan mensual'!D91+IF(parametros_manuales!$H$33="Todos",'Plan mensual'!D95,0))+parametros_manuales!$F$33*('Plan mensual'!D92+IF(parametros_manuales!$H$33="Todos",'Plan mensual'!D96,0))+parametros_manuales!$G$33*('Plan mensual'!D93+IF(parametros_manuales!$H$33="Todos",'Plan mensual'!D97,0)))*parametros_manuales!$I$33*parametros_manuales!$J$33</f>
        <v>28131.6464215</v>
      </c>
      <c r="C232" s="9" t="n">
        <f aca="false">(parametros_manuales!$D$33*('Plan mensual'!E90+IF(parametros_manuales!$H$33="Todos",'Plan mensual'!E94,0))+parametros_manuales!$E$33*('Plan mensual'!E91+IF(parametros_manuales!$H$33="Todos",'Plan mensual'!E95,0))+parametros_manuales!$F$33*('Plan mensual'!E92+IF(parametros_manuales!$H$33="Todos",'Plan mensual'!E96,0))+parametros_manuales!$G$33*('Plan mensual'!E93+IF(parametros_manuales!$H$33="Todos",'Plan mensual'!E97,0)))*parametros_manuales!$I$33*parametros_manuales!$J$33</f>
        <v>21452.95832036</v>
      </c>
      <c r="D232" s="9" t="n">
        <f aca="false">(parametros_manuales!$D$33*('Plan mensual'!F90+IF(parametros_manuales!$H$33="Todos",'Plan mensual'!F94,0))+parametros_manuales!$E$33*('Plan mensual'!F91+IF(parametros_manuales!$H$33="Todos",'Plan mensual'!F95,0))+parametros_manuales!$F$33*('Plan mensual'!F92+IF(parametros_manuales!$H$33="Todos",'Plan mensual'!F96,0))+parametros_manuales!$G$33*('Plan mensual'!F93+IF(parametros_manuales!$H$33="Todos",'Plan mensual'!F97,0)))*parametros_manuales!$I$33*parametros_manuales!$J$33</f>
        <v>20053.250463195</v>
      </c>
      <c r="E232" s="9" t="n">
        <f aca="false">(parametros_manuales!$D$33*('Plan mensual'!G90+IF(parametros_manuales!$H$33="Todos",'Plan mensual'!G94,0))+parametros_manuales!$E$33*('Plan mensual'!G91+IF(parametros_manuales!$H$33="Todos",'Plan mensual'!G95,0))+parametros_manuales!$F$33*('Plan mensual'!G92+IF(parametros_manuales!$H$33="Todos",'Plan mensual'!G96,0))+parametros_manuales!$G$33*('Plan mensual'!G93+IF(parametros_manuales!$H$33="Todos",'Plan mensual'!G97,0)))*parametros_manuales!$I$33*parametros_manuales!$J$33</f>
        <v>19176.284782495</v>
      </c>
      <c r="F232" s="9" t="n">
        <f aca="false">(parametros_manuales!$D$33*('Plan mensual'!H90+IF(parametros_manuales!$H$33="Todos",'Plan mensual'!H94,0))+parametros_manuales!$E$33*('Plan mensual'!H91+IF(parametros_manuales!$H$33="Todos",'Plan mensual'!H95,0))+parametros_manuales!$F$33*('Plan mensual'!H92+IF(parametros_manuales!$H$33="Todos",'Plan mensual'!H96,0))+parametros_manuales!$G$33*('Plan mensual'!H93+IF(parametros_manuales!$H$33="Todos",'Plan mensual'!H97,0)))*parametros_manuales!$I$33*parametros_manuales!$J$33</f>
        <v>17945.09559756</v>
      </c>
      <c r="G232" s="9" t="n">
        <f aca="false">(parametros_manuales!$D$33*('Plan mensual'!I90+IF(parametros_manuales!$H$33="Todos",'Plan mensual'!I94,0))+parametros_manuales!$E$33*('Plan mensual'!I91+IF(parametros_manuales!$H$33="Todos",'Plan mensual'!I95,0))+parametros_manuales!$F$33*('Plan mensual'!I92+IF(parametros_manuales!$H$33="Todos",'Plan mensual'!I96,0))+parametros_manuales!$G$33*('Plan mensual'!I93+IF(parametros_manuales!$H$33="Todos",'Plan mensual'!I97,0)))*parametros_manuales!$I$33*parametros_manuales!$J$33</f>
        <v>17590.872093325</v>
      </c>
      <c r="H232" s="9" t="n">
        <f aca="false">(parametros_manuales!$D$33*('Plan mensual'!J90+IF(parametros_manuales!$H$33="Todos",'Plan mensual'!J94,0))+parametros_manuales!$E$33*('Plan mensual'!J91+IF(parametros_manuales!$H$33="Todos",'Plan mensual'!J95,0))+parametros_manuales!$F$33*('Plan mensual'!J92+IF(parametros_manuales!$H$33="Todos",'Plan mensual'!J96,0))+parametros_manuales!$G$33*('Plan mensual'!J93+IF(parametros_manuales!$H$33="Todos",'Plan mensual'!J97,0)))*parametros_manuales!$I$33*parametros_manuales!$J$33</f>
        <v>18822.06127826</v>
      </c>
      <c r="I232" s="9" t="n">
        <f aca="false">(parametros_manuales!$D$33*('Plan mensual'!K90+IF(parametros_manuales!$H$33="Todos",'Plan mensual'!K94,0))+parametros_manuales!$E$33*('Plan mensual'!K91+IF(parametros_manuales!$H$33="Todos",'Plan mensual'!K95,0))+parametros_manuales!$F$33*('Plan mensual'!K92+IF(parametros_manuales!$H$33="Todos",'Plan mensual'!K96,0))+parametros_manuales!$G$33*('Plan mensual'!K93+IF(parametros_manuales!$H$33="Todos",'Plan mensual'!K97,0)))*parametros_manuales!$I$33*parametros_manuales!$J$33</f>
        <v>18822.06127826</v>
      </c>
      <c r="J232" s="9" t="n">
        <f aca="false">(parametros_manuales!$D$33*('Plan mensual'!L90+IF(parametros_manuales!$H$33="Todos",'Plan mensual'!L94,0))+parametros_manuales!$E$33*('Plan mensual'!L91+IF(parametros_manuales!$H$33="Todos",'Plan mensual'!L95,0))+parametros_manuales!$F$33*('Plan mensual'!L92+IF(parametros_manuales!$H$33="Todos",'Plan mensual'!L96,0))+parametros_manuales!$G$33*('Plan mensual'!L93+IF(parametros_manuales!$H$33="Todos",'Plan mensual'!L97,0)))*parametros_manuales!$I$33*parametros_manuales!$J$33</f>
        <v>18822.06127826</v>
      </c>
      <c r="K232" s="9" t="n">
        <f aca="false">(parametros_manuales!$D$33*('Plan mensual'!M90+IF(parametros_manuales!$H$33="Todos",'Plan mensual'!M94,0))+parametros_manuales!$E$33*('Plan mensual'!M91+IF(parametros_manuales!$H$33="Todos",'Plan mensual'!M95,0))+parametros_manuales!$F$33*('Plan mensual'!M92+IF(parametros_manuales!$H$33="Todos",'Plan mensual'!M96,0))+parametros_manuales!$G$33*('Plan mensual'!M93+IF(parametros_manuales!$H$33="Todos",'Plan mensual'!M97,0)))*parametros_manuales!$I$33*parametros_manuales!$J$33</f>
        <v>18467.837774025</v>
      </c>
      <c r="L232" s="9" t="n">
        <f aca="false">(parametros_manuales!$D$33*('Plan mensual'!N90+IF(parametros_manuales!$H$33="Todos",'Plan mensual'!N94,0))+parametros_manuales!$E$33*('Plan mensual'!N91+IF(parametros_manuales!$H$33="Todos",'Plan mensual'!N95,0))+parametros_manuales!$F$33*('Plan mensual'!N92+IF(parametros_manuales!$H$33="Todos",'Plan mensual'!N96,0))+parametros_manuales!$G$33*('Plan mensual'!N93+IF(parametros_manuales!$H$33="Todos",'Plan mensual'!N97,0)))*parametros_manuales!$I$33*parametros_manuales!$J$33</f>
        <v>18113.61426979</v>
      </c>
      <c r="M232" s="9" t="n">
        <f aca="false">(parametros_manuales!$D$33*('Plan mensual'!O90+IF(parametros_manuales!$H$33="Todos",'Plan mensual'!O94,0))+parametros_manuales!$E$33*('Plan mensual'!O91+IF(parametros_manuales!$H$33="Todos",'Plan mensual'!O95,0))+parametros_manuales!$F$33*('Plan mensual'!O92+IF(parametros_manuales!$H$33="Todos",'Plan mensual'!O96,0))+parametros_manuales!$G$33*('Plan mensual'!O93+IF(parametros_manuales!$H$33="Todos",'Plan mensual'!O97,0)))*parametros_manuales!$I$33*parametros_manuales!$J$33</f>
        <v>28840.09342997</v>
      </c>
      <c r="N232" s="9" t="n">
        <f aca="false">SUM(B232:M232)</f>
        <v>246237.836987</v>
      </c>
      <c r="O232" s="9" t="n">
        <f aca="false">MAX(B232:M232)</f>
        <v>28840.09342997</v>
      </c>
      <c r="P232" s="43" t="n">
        <f aca="false">O232/(parametros_manuales!$B$7)</f>
        <v>192.267289533133</v>
      </c>
      <c r="Q232" s="8" t="str">
        <f aca="false">IF(O232=0,"-",INDEX($B$217:$M$217,MATCH(O232,B232:M232,0)))</f>
        <v>Dic</v>
      </c>
    </row>
    <row r="233" customFormat="false" ht="14.25" hidden="false" customHeight="true" outlineLevel="0" collapsed="false">
      <c r="A233" s="8" t="str">
        <f aca="false">parametros_manuales!$B$34</f>
        <v>Granallado</v>
      </c>
      <c r="B233" s="9" t="n">
        <f aca="false">(parametros_manuales!$D$34*('Plan mensual'!D90+IF(parametros_manuales!$H$34="Todos",'Plan mensual'!D94,0))+parametros_manuales!$E$34*('Plan mensual'!D91+IF(parametros_manuales!$H$34="Todos",'Plan mensual'!D95,0))+parametros_manuales!$F$34*('Plan mensual'!D92+IF(parametros_manuales!$H$34="Todos",'Plan mensual'!D96,0))+parametros_manuales!$G$34*('Plan mensual'!D93+IF(parametros_manuales!$H$34="Todos",'Plan mensual'!D97,0)))*parametros_manuales!$I$34*parametros_manuales!$J$34</f>
        <v>28131.6464215</v>
      </c>
      <c r="C233" s="9" t="n">
        <f aca="false">(parametros_manuales!$D$34*('Plan mensual'!E90+IF(parametros_manuales!$H$34="Todos",'Plan mensual'!E94,0))+parametros_manuales!$E$34*('Plan mensual'!E91+IF(parametros_manuales!$H$34="Todos",'Plan mensual'!E95,0))+parametros_manuales!$F$34*('Plan mensual'!E92+IF(parametros_manuales!$H$34="Todos",'Plan mensual'!E96,0))+parametros_manuales!$G$34*('Plan mensual'!E93+IF(parametros_manuales!$H$34="Todos",'Plan mensual'!E97,0)))*parametros_manuales!$I$34*parametros_manuales!$J$34</f>
        <v>21452.95832036</v>
      </c>
      <c r="D233" s="9" t="n">
        <f aca="false">(parametros_manuales!$D$34*('Plan mensual'!F90+IF(parametros_manuales!$H$34="Todos",'Plan mensual'!F94,0))+parametros_manuales!$E$34*('Plan mensual'!F91+IF(parametros_manuales!$H$34="Todos",'Plan mensual'!F95,0))+parametros_manuales!$F$34*('Plan mensual'!F92+IF(parametros_manuales!$H$34="Todos",'Plan mensual'!F96,0))+parametros_manuales!$G$34*('Plan mensual'!F93+IF(parametros_manuales!$H$34="Todos",'Plan mensual'!F97,0)))*parametros_manuales!$I$34*parametros_manuales!$J$34</f>
        <v>20053.250463195</v>
      </c>
      <c r="E233" s="9" t="n">
        <f aca="false">(parametros_manuales!$D$34*('Plan mensual'!G90+IF(parametros_manuales!$H$34="Todos",'Plan mensual'!G94,0))+parametros_manuales!$E$34*('Plan mensual'!G91+IF(parametros_manuales!$H$34="Todos",'Plan mensual'!G95,0))+parametros_manuales!$F$34*('Plan mensual'!G92+IF(parametros_manuales!$H$34="Todos",'Plan mensual'!G96,0))+parametros_manuales!$G$34*('Plan mensual'!G93+IF(parametros_manuales!$H$34="Todos",'Plan mensual'!G97,0)))*parametros_manuales!$I$34*parametros_manuales!$J$34</f>
        <v>19176.284782495</v>
      </c>
      <c r="F233" s="9" t="n">
        <f aca="false">(parametros_manuales!$D$34*('Plan mensual'!H90+IF(parametros_manuales!$H$34="Todos",'Plan mensual'!H94,0))+parametros_manuales!$E$34*('Plan mensual'!H91+IF(parametros_manuales!$H$34="Todos",'Plan mensual'!H95,0))+parametros_manuales!$F$34*('Plan mensual'!H92+IF(parametros_manuales!$H$34="Todos",'Plan mensual'!H96,0))+parametros_manuales!$G$34*('Plan mensual'!H93+IF(parametros_manuales!$H$34="Todos",'Plan mensual'!H97,0)))*parametros_manuales!$I$34*parametros_manuales!$J$34</f>
        <v>17945.09559756</v>
      </c>
      <c r="G233" s="9" t="n">
        <f aca="false">(parametros_manuales!$D$34*('Plan mensual'!I90+IF(parametros_manuales!$H$34="Todos",'Plan mensual'!I94,0))+parametros_manuales!$E$34*('Plan mensual'!I91+IF(parametros_manuales!$H$34="Todos",'Plan mensual'!I95,0))+parametros_manuales!$F$34*('Plan mensual'!I92+IF(parametros_manuales!$H$34="Todos",'Plan mensual'!I96,0))+parametros_manuales!$G$34*('Plan mensual'!I93+IF(parametros_manuales!$H$34="Todos",'Plan mensual'!I97,0)))*parametros_manuales!$I$34*parametros_manuales!$J$34</f>
        <v>17590.872093325</v>
      </c>
      <c r="H233" s="9" t="n">
        <f aca="false">(parametros_manuales!$D$34*('Plan mensual'!J90+IF(parametros_manuales!$H$34="Todos",'Plan mensual'!J94,0))+parametros_manuales!$E$34*('Plan mensual'!J91+IF(parametros_manuales!$H$34="Todos",'Plan mensual'!J95,0))+parametros_manuales!$F$34*('Plan mensual'!J92+IF(parametros_manuales!$H$34="Todos",'Plan mensual'!J96,0))+parametros_manuales!$G$34*('Plan mensual'!J93+IF(parametros_manuales!$H$34="Todos",'Plan mensual'!J97,0)))*parametros_manuales!$I$34*parametros_manuales!$J$34</f>
        <v>18822.06127826</v>
      </c>
      <c r="I233" s="9" t="n">
        <f aca="false">(parametros_manuales!$D$34*('Plan mensual'!K90+IF(parametros_manuales!$H$34="Todos",'Plan mensual'!K94,0))+parametros_manuales!$E$34*('Plan mensual'!K91+IF(parametros_manuales!$H$34="Todos",'Plan mensual'!K95,0))+parametros_manuales!$F$34*('Plan mensual'!K92+IF(parametros_manuales!$H$34="Todos",'Plan mensual'!K96,0))+parametros_manuales!$G$34*('Plan mensual'!K93+IF(parametros_manuales!$H$34="Todos",'Plan mensual'!K97,0)))*parametros_manuales!$I$34*parametros_manuales!$J$34</f>
        <v>18822.06127826</v>
      </c>
      <c r="J233" s="9" t="n">
        <f aca="false">(parametros_manuales!$D$34*('Plan mensual'!L90+IF(parametros_manuales!$H$34="Todos",'Plan mensual'!L94,0))+parametros_manuales!$E$34*('Plan mensual'!L91+IF(parametros_manuales!$H$34="Todos",'Plan mensual'!L95,0))+parametros_manuales!$F$34*('Plan mensual'!L92+IF(parametros_manuales!$H$34="Todos",'Plan mensual'!L96,0))+parametros_manuales!$G$34*('Plan mensual'!L93+IF(parametros_manuales!$H$34="Todos",'Plan mensual'!L97,0)))*parametros_manuales!$I$34*parametros_manuales!$J$34</f>
        <v>18822.06127826</v>
      </c>
      <c r="K233" s="9" t="n">
        <f aca="false">(parametros_manuales!$D$34*('Plan mensual'!M90+IF(parametros_manuales!$H$34="Todos",'Plan mensual'!M94,0))+parametros_manuales!$E$34*('Plan mensual'!M91+IF(parametros_manuales!$H$34="Todos",'Plan mensual'!M95,0))+parametros_manuales!$F$34*('Plan mensual'!M92+IF(parametros_manuales!$H$34="Todos",'Plan mensual'!M96,0))+parametros_manuales!$G$34*('Plan mensual'!M93+IF(parametros_manuales!$H$34="Todos",'Plan mensual'!M97,0)))*parametros_manuales!$I$34*parametros_manuales!$J$34</f>
        <v>18467.837774025</v>
      </c>
      <c r="L233" s="9" t="n">
        <f aca="false">(parametros_manuales!$D$34*('Plan mensual'!N90+IF(parametros_manuales!$H$34="Todos",'Plan mensual'!N94,0))+parametros_manuales!$E$34*('Plan mensual'!N91+IF(parametros_manuales!$H$34="Todos",'Plan mensual'!N95,0))+parametros_manuales!$F$34*('Plan mensual'!N92+IF(parametros_manuales!$H$34="Todos",'Plan mensual'!N96,0))+parametros_manuales!$G$34*('Plan mensual'!N93+IF(parametros_manuales!$H$34="Todos",'Plan mensual'!N97,0)))*parametros_manuales!$I$34*parametros_manuales!$J$34</f>
        <v>18113.61426979</v>
      </c>
      <c r="M233" s="9" t="n">
        <f aca="false">(parametros_manuales!$D$34*('Plan mensual'!O90+IF(parametros_manuales!$H$34="Todos",'Plan mensual'!O94,0))+parametros_manuales!$E$34*('Plan mensual'!O91+IF(parametros_manuales!$H$34="Todos",'Plan mensual'!O95,0))+parametros_manuales!$F$34*('Plan mensual'!O92+IF(parametros_manuales!$H$34="Todos",'Plan mensual'!O96,0))+parametros_manuales!$G$34*('Plan mensual'!O93+IF(parametros_manuales!$H$34="Todos",'Plan mensual'!O97,0)))*parametros_manuales!$I$34*parametros_manuales!$J$34</f>
        <v>28840.09342997</v>
      </c>
      <c r="N233" s="9" t="n">
        <f aca="false">SUM(B233:M233)</f>
        <v>246237.836987</v>
      </c>
      <c r="O233" s="9" t="n">
        <f aca="false">MAX(B233:M233)</f>
        <v>28840.09342997</v>
      </c>
      <c r="P233" s="43" t="n">
        <f aca="false">O233/(parametros_manuales!$B$7)</f>
        <v>192.267289533133</v>
      </c>
      <c r="Q233" s="8" t="str">
        <f aca="false">IF(O233=0,"-",INDEX($B$217:$M$217,MATCH(O233,B233:M233,0)))</f>
        <v>Dic</v>
      </c>
    </row>
    <row r="234" customFormat="false" ht="14.25" hidden="false" customHeight="true" outlineLevel="0" collapsed="false">
      <c r="A234" s="8" t="str">
        <f aca="false">parametros_manuales!$B$35</f>
        <v>Detección de defectos</v>
      </c>
      <c r="B234" s="9" t="n">
        <f aca="false">(parametros_manuales!$D$35*('Plan mensual'!D90+IF(parametros_manuales!$H$35="Todos",'Plan mensual'!D94,0))+parametros_manuales!$E$35*('Plan mensual'!D91+IF(parametros_manuales!$H$35="Todos",'Plan mensual'!D95,0))+parametros_manuales!$F$35*('Plan mensual'!D92+IF(parametros_manuales!$H$35="Todos",'Plan mensual'!D96,0))+parametros_manuales!$G$35*('Plan mensual'!D93+IF(parametros_manuales!$H$35="Todos",'Plan mensual'!D97,0)))*parametros_manuales!$I$35*parametros_manuales!$J$35</f>
        <v>28131.6464215</v>
      </c>
      <c r="C234" s="9" t="n">
        <f aca="false">(parametros_manuales!$D$35*('Plan mensual'!E90+IF(parametros_manuales!$H$35="Todos",'Plan mensual'!E94,0))+parametros_manuales!$E$35*('Plan mensual'!E91+IF(parametros_manuales!$H$35="Todos",'Plan mensual'!E95,0))+parametros_manuales!$F$35*('Plan mensual'!E92+IF(parametros_manuales!$H$35="Todos",'Plan mensual'!E96,0))+parametros_manuales!$G$35*('Plan mensual'!E93+IF(parametros_manuales!$H$35="Todos",'Plan mensual'!E97,0)))*parametros_manuales!$I$35*parametros_manuales!$J$35</f>
        <v>21452.95832036</v>
      </c>
      <c r="D234" s="9" t="n">
        <f aca="false">(parametros_manuales!$D$35*('Plan mensual'!F90+IF(parametros_manuales!$H$35="Todos",'Plan mensual'!F94,0))+parametros_manuales!$E$35*('Plan mensual'!F91+IF(parametros_manuales!$H$35="Todos",'Plan mensual'!F95,0))+parametros_manuales!$F$35*('Plan mensual'!F92+IF(parametros_manuales!$H$35="Todos",'Plan mensual'!F96,0))+parametros_manuales!$G$35*('Plan mensual'!F93+IF(parametros_manuales!$H$35="Todos",'Plan mensual'!F97,0)))*parametros_manuales!$I$35*parametros_manuales!$J$35</f>
        <v>20053.250463195</v>
      </c>
      <c r="E234" s="9" t="n">
        <f aca="false">(parametros_manuales!$D$35*('Plan mensual'!G90+IF(parametros_manuales!$H$35="Todos",'Plan mensual'!G94,0))+parametros_manuales!$E$35*('Plan mensual'!G91+IF(parametros_manuales!$H$35="Todos",'Plan mensual'!G95,0))+parametros_manuales!$F$35*('Plan mensual'!G92+IF(parametros_manuales!$H$35="Todos",'Plan mensual'!G96,0))+parametros_manuales!$G$35*('Plan mensual'!G93+IF(parametros_manuales!$H$35="Todos",'Plan mensual'!G97,0)))*parametros_manuales!$I$35*parametros_manuales!$J$35</f>
        <v>19176.284782495</v>
      </c>
      <c r="F234" s="9" t="n">
        <f aca="false">(parametros_manuales!$D$35*('Plan mensual'!H90+IF(parametros_manuales!$H$35="Todos",'Plan mensual'!H94,0))+parametros_manuales!$E$35*('Plan mensual'!H91+IF(parametros_manuales!$H$35="Todos",'Plan mensual'!H95,0))+parametros_manuales!$F$35*('Plan mensual'!H92+IF(parametros_manuales!$H$35="Todos",'Plan mensual'!H96,0))+parametros_manuales!$G$35*('Plan mensual'!H93+IF(parametros_manuales!$H$35="Todos",'Plan mensual'!H97,0)))*parametros_manuales!$I$35*parametros_manuales!$J$35</f>
        <v>17945.09559756</v>
      </c>
      <c r="G234" s="9" t="n">
        <f aca="false">(parametros_manuales!$D$35*('Plan mensual'!I90+IF(parametros_manuales!$H$35="Todos",'Plan mensual'!I94,0))+parametros_manuales!$E$35*('Plan mensual'!I91+IF(parametros_manuales!$H$35="Todos",'Plan mensual'!I95,0))+parametros_manuales!$F$35*('Plan mensual'!I92+IF(parametros_manuales!$H$35="Todos",'Plan mensual'!I96,0))+parametros_manuales!$G$35*('Plan mensual'!I93+IF(parametros_manuales!$H$35="Todos",'Plan mensual'!I97,0)))*parametros_manuales!$I$35*parametros_manuales!$J$35</f>
        <v>17590.872093325</v>
      </c>
      <c r="H234" s="9" t="n">
        <f aca="false">(parametros_manuales!$D$35*('Plan mensual'!J90+IF(parametros_manuales!$H$35="Todos",'Plan mensual'!J94,0))+parametros_manuales!$E$35*('Plan mensual'!J91+IF(parametros_manuales!$H$35="Todos",'Plan mensual'!J95,0))+parametros_manuales!$F$35*('Plan mensual'!J92+IF(parametros_manuales!$H$35="Todos",'Plan mensual'!J96,0))+parametros_manuales!$G$35*('Plan mensual'!J93+IF(parametros_manuales!$H$35="Todos",'Plan mensual'!J97,0)))*parametros_manuales!$I$35*parametros_manuales!$J$35</f>
        <v>18822.06127826</v>
      </c>
      <c r="I234" s="9" t="n">
        <f aca="false">(parametros_manuales!$D$35*('Plan mensual'!K90+IF(parametros_manuales!$H$35="Todos",'Plan mensual'!K94,0))+parametros_manuales!$E$35*('Plan mensual'!K91+IF(parametros_manuales!$H$35="Todos",'Plan mensual'!K95,0))+parametros_manuales!$F$35*('Plan mensual'!K92+IF(parametros_manuales!$H$35="Todos",'Plan mensual'!K96,0))+parametros_manuales!$G$35*('Plan mensual'!K93+IF(parametros_manuales!$H$35="Todos",'Plan mensual'!K97,0)))*parametros_manuales!$I$35*parametros_manuales!$J$35</f>
        <v>18822.06127826</v>
      </c>
      <c r="J234" s="9" t="n">
        <f aca="false">(parametros_manuales!$D$35*('Plan mensual'!L90+IF(parametros_manuales!$H$35="Todos",'Plan mensual'!L94,0))+parametros_manuales!$E$35*('Plan mensual'!L91+IF(parametros_manuales!$H$35="Todos",'Plan mensual'!L95,0))+parametros_manuales!$F$35*('Plan mensual'!L92+IF(parametros_manuales!$H$35="Todos",'Plan mensual'!L96,0))+parametros_manuales!$G$35*('Plan mensual'!L93+IF(parametros_manuales!$H$35="Todos",'Plan mensual'!L97,0)))*parametros_manuales!$I$35*parametros_manuales!$J$35</f>
        <v>18822.06127826</v>
      </c>
      <c r="K234" s="9" t="n">
        <f aca="false">(parametros_manuales!$D$35*('Plan mensual'!M90+IF(parametros_manuales!$H$35="Todos",'Plan mensual'!M94,0))+parametros_manuales!$E$35*('Plan mensual'!M91+IF(parametros_manuales!$H$35="Todos",'Plan mensual'!M95,0))+parametros_manuales!$F$35*('Plan mensual'!M92+IF(parametros_manuales!$H$35="Todos",'Plan mensual'!M96,0))+parametros_manuales!$G$35*('Plan mensual'!M93+IF(parametros_manuales!$H$35="Todos",'Plan mensual'!M97,0)))*parametros_manuales!$I$35*parametros_manuales!$J$35</f>
        <v>18467.837774025</v>
      </c>
      <c r="L234" s="9" t="n">
        <f aca="false">(parametros_manuales!$D$35*('Plan mensual'!N90+IF(parametros_manuales!$H$35="Todos",'Plan mensual'!N94,0))+parametros_manuales!$E$35*('Plan mensual'!N91+IF(parametros_manuales!$H$35="Todos",'Plan mensual'!N95,0))+parametros_manuales!$F$35*('Plan mensual'!N92+IF(parametros_manuales!$H$35="Todos",'Plan mensual'!N96,0))+parametros_manuales!$G$35*('Plan mensual'!N93+IF(parametros_manuales!$H$35="Todos",'Plan mensual'!N97,0)))*parametros_manuales!$I$35*parametros_manuales!$J$35</f>
        <v>18113.61426979</v>
      </c>
      <c r="M234" s="9" t="n">
        <f aca="false">(parametros_manuales!$D$35*('Plan mensual'!O90+IF(parametros_manuales!$H$35="Todos",'Plan mensual'!O94,0))+parametros_manuales!$E$35*('Plan mensual'!O91+IF(parametros_manuales!$H$35="Todos",'Plan mensual'!O95,0))+parametros_manuales!$F$35*('Plan mensual'!O92+IF(parametros_manuales!$H$35="Todos",'Plan mensual'!O96,0))+parametros_manuales!$G$35*('Plan mensual'!O93+IF(parametros_manuales!$H$35="Todos",'Plan mensual'!O97,0)))*parametros_manuales!$I$35*parametros_manuales!$J$35</f>
        <v>28840.09342997</v>
      </c>
      <c r="N234" s="9" t="n">
        <f aca="false">SUM(B234:M234)</f>
        <v>246237.836987</v>
      </c>
      <c r="O234" s="9" t="n">
        <f aca="false">MAX(B234:M234)</f>
        <v>28840.09342997</v>
      </c>
      <c r="P234" s="43" t="n">
        <f aca="false">O234/(parametros_manuales!$B$7)</f>
        <v>192.267289533133</v>
      </c>
      <c r="Q234" s="8" t="str">
        <f aca="false">IF(O234=0,"-",INDEX($B$217:$M$217,MATCH(O234,B234:M234,0)))</f>
        <v>Dic</v>
      </c>
    </row>
    <row r="235" customFormat="false" ht="14.25" hidden="false" customHeight="true" outlineLevel="0" collapsed="false">
      <c r="A235" s="8" t="str">
        <f aca="false">parametros_manuales!$B$36</f>
        <v>Corrección de defectos</v>
      </c>
      <c r="B235" s="9" t="n">
        <f aca="false">(parametros_manuales!$D$36*('Plan mensual'!D90+IF(parametros_manuales!$H$36="Todos",'Plan mensual'!D94,0))+parametros_manuales!$E$36*('Plan mensual'!D91+IF(parametros_manuales!$H$36="Todos",'Plan mensual'!D95,0))+parametros_manuales!$F$36*('Plan mensual'!D92+IF(parametros_manuales!$H$36="Todos",'Plan mensual'!D96,0))+parametros_manuales!$G$36*('Plan mensual'!D93+IF(parametros_manuales!$H$36="Todos",'Plan mensual'!D97,0)))*parametros_manuales!$I$36*parametros_manuales!$J$36</f>
        <v>1406.582321075</v>
      </c>
      <c r="C235" s="9" t="n">
        <f aca="false">(parametros_manuales!$D$36*('Plan mensual'!E90+IF(parametros_manuales!$H$36="Todos",'Plan mensual'!E94,0))+parametros_manuales!$E$36*('Plan mensual'!E91+IF(parametros_manuales!$H$36="Todos",'Plan mensual'!E95,0))+parametros_manuales!$F$36*('Plan mensual'!E92+IF(parametros_manuales!$H$36="Todos",'Plan mensual'!E96,0))+parametros_manuales!$G$36*('Plan mensual'!E93+IF(parametros_manuales!$H$36="Todos",'Plan mensual'!E97,0)))*parametros_manuales!$I$36*parametros_manuales!$J$36</f>
        <v>1072.647916018</v>
      </c>
      <c r="D235" s="9" t="n">
        <f aca="false">(parametros_manuales!$D$36*('Plan mensual'!F90+IF(parametros_manuales!$H$36="Todos",'Plan mensual'!F94,0))+parametros_manuales!$E$36*('Plan mensual'!F91+IF(parametros_manuales!$H$36="Todos",'Plan mensual'!F95,0))+parametros_manuales!$F$36*('Plan mensual'!F92+IF(parametros_manuales!$H$36="Todos",'Plan mensual'!F96,0))+parametros_manuales!$G$36*('Plan mensual'!F93+IF(parametros_manuales!$H$36="Todos",'Plan mensual'!F97,0)))*parametros_manuales!$I$36*parametros_manuales!$J$36</f>
        <v>1002.66252315975</v>
      </c>
      <c r="E235" s="9" t="n">
        <f aca="false">(parametros_manuales!$D$36*('Plan mensual'!G90+IF(parametros_manuales!$H$36="Todos",'Plan mensual'!G94,0))+parametros_manuales!$E$36*('Plan mensual'!G91+IF(parametros_manuales!$H$36="Todos",'Plan mensual'!G95,0))+parametros_manuales!$F$36*('Plan mensual'!G92+IF(parametros_manuales!$H$36="Todos",'Plan mensual'!G96,0))+parametros_manuales!$G$36*('Plan mensual'!G93+IF(parametros_manuales!$H$36="Todos",'Plan mensual'!G97,0)))*parametros_manuales!$I$36*parametros_manuales!$J$36</f>
        <v>958.81423912475</v>
      </c>
      <c r="F235" s="9" t="n">
        <f aca="false">(parametros_manuales!$D$36*('Plan mensual'!H90+IF(parametros_manuales!$H$36="Todos",'Plan mensual'!H94,0))+parametros_manuales!$E$36*('Plan mensual'!H91+IF(parametros_manuales!$H$36="Todos",'Plan mensual'!H95,0))+parametros_manuales!$F$36*('Plan mensual'!H92+IF(parametros_manuales!$H$36="Todos",'Plan mensual'!H96,0))+parametros_manuales!$G$36*('Plan mensual'!H93+IF(parametros_manuales!$H$36="Todos",'Plan mensual'!H97,0)))*parametros_manuales!$I$36*parametros_manuales!$J$36</f>
        <v>897.254779878</v>
      </c>
      <c r="G235" s="9" t="n">
        <f aca="false">(parametros_manuales!$D$36*('Plan mensual'!I90+IF(parametros_manuales!$H$36="Todos",'Plan mensual'!I94,0))+parametros_manuales!$E$36*('Plan mensual'!I91+IF(parametros_manuales!$H$36="Todos",'Plan mensual'!I95,0))+parametros_manuales!$F$36*('Plan mensual'!I92+IF(parametros_manuales!$H$36="Todos",'Plan mensual'!I96,0))+parametros_manuales!$G$36*('Plan mensual'!I93+IF(parametros_manuales!$H$36="Todos",'Plan mensual'!I97,0)))*parametros_manuales!$I$36*parametros_manuales!$J$36</f>
        <v>879.54360466625</v>
      </c>
      <c r="H235" s="9" t="n">
        <f aca="false">(parametros_manuales!$D$36*('Plan mensual'!J90+IF(parametros_manuales!$H$36="Todos",'Plan mensual'!J94,0))+parametros_manuales!$E$36*('Plan mensual'!J91+IF(parametros_manuales!$H$36="Todos",'Plan mensual'!J95,0))+parametros_manuales!$F$36*('Plan mensual'!J92+IF(parametros_manuales!$H$36="Todos",'Plan mensual'!J96,0))+parametros_manuales!$G$36*('Plan mensual'!J93+IF(parametros_manuales!$H$36="Todos",'Plan mensual'!J97,0)))*parametros_manuales!$I$36*parametros_manuales!$J$36</f>
        <v>941.103063913</v>
      </c>
      <c r="I235" s="9" t="n">
        <f aca="false">(parametros_manuales!$D$36*('Plan mensual'!K90+IF(parametros_manuales!$H$36="Todos",'Plan mensual'!K94,0))+parametros_manuales!$E$36*('Plan mensual'!K91+IF(parametros_manuales!$H$36="Todos",'Plan mensual'!K95,0))+parametros_manuales!$F$36*('Plan mensual'!K92+IF(parametros_manuales!$H$36="Todos",'Plan mensual'!K96,0))+parametros_manuales!$G$36*('Plan mensual'!K93+IF(parametros_manuales!$H$36="Todos",'Plan mensual'!K97,0)))*parametros_manuales!$I$36*parametros_manuales!$J$36</f>
        <v>941.103063913</v>
      </c>
      <c r="J235" s="9" t="n">
        <f aca="false">(parametros_manuales!$D$36*('Plan mensual'!L90+IF(parametros_manuales!$H$36="Todos",'Plan mensual'!L94,0))+parametros_manuales!$E$36*('Plan mensual'!L91+IF(parametros_manuales!$H$36="Todos",'Plan mensual'!L95,0))+parametros_manuales!$F$36*('Plan mensual'!L92+IF(parametros_manuales!$H$36="Todos",'Plan mensual'!L96,0))+parametros_manuales!$G$36*('Plan mensual'!L93+IF(parametros_manuales!$H$36="Todos",'Plan mensual'!L97,0)))*parametros_manuales!$I$36*parametros_manuales!$J$36</f>
        <v>941.103063913</v>
      </c>
      <c r="K235" s="9" t="n">
        <f aca="false">(parametros_manuales!$D$36*('Plan mensual'!M90+IF(parametros_manuales!$H$36="Todos",'Plan mensual'!M94,0))+parametros_manuales!$E$36*('Plan mensual'!M91+IF(parametros_manuales!$H$36="Todos",'Plan mensual'!M95,0))+parametros_manuales!$F$36*('Plan mensual'!M92+IF(parametros_manuales!$H$36="Todos",'Plan mensual'!M96,0))+parametros_manuales!$G$36*('Plan mensual'!M93+IF(parametros_manuales!$H$36="Todos",'Plan mensual'!M97,0)))*parametros_manuales!$I$36*parametros_manuales!$J$36</f>
        <v>923.39188870125</v>
      </c>
      <c r="L235" s="9" t="n">
        <f aca="false">(parametros_manuales!$D$36*('Plan mensual'!N90+IF(parametros_manuales!$H$36="Todos",'Plan mensual'!N94,0))+parametros_manuales!$E$36*('Plan mensual'!N91+IF(parametros_manuales!$H$36="Todos",'Plan mensual'!N95,0))+parametros_manuales!$F$36*('Plan mensual'!N92+IF(parametros_manuales!$H$36="Todos",'Plan mensual'!N96,0))+parametros_manuales!$G$36*('Plan mensual'!N93+IF(parametros_manuales!$H$36="Todos",'Plan mensual'!N97,0)))*parametros_manuales!$I$36*parametros_manuales!$J$36</f>
        <v>905.6807134895</v>
      </c>
      <c r="M235" s="9" t="n">
        <f aca="false">(parametros_manuales!$D$36*('Plan mensual'!O90+IF(parametros_manuales!$H$36="Todos",'Plan mensual'!O94,0))+parametros_manuales!$E$36*('Plan mensual'!O91+IF(parametros_manuales!$H$36="Todos",'Plan mensual'!O95,0))+parametros_manuales!$F$36*('Plan mensual'!O92+IF(parametros_manuales!$H$36="Todos",'Plan mensual'!O96,0))+parametros_manuales!$G$36*('Plan mensual'!O93+IF(parametros_manuales!$H$36="Todos",'Plan mensual'!O97,0)))*parametros_manuales!$I$36*parametros_manuales!$J$36</f>
        <v>1442.0046714985</v>
      </c>
      <c r="N235" s="9" t="n">
        <f aca="false">SUM(B235:M235)</f>
        <v>12311.89184935</v>
      </c>
      <c r="O235" s="9" t="n">
        <f aca="false">MAX(B235:M235)</f>
        <v>1442.0046714985</v>
      </c>
      <c r="P235" s="43" t="n">
        <f aca="false">O235/(parametros_manuales!$B$7)</f>
        <v>9.61336447665667</v>
      </c>
      <c r="Q235" s="8" t="str">
        <f aca="false">IF(O235=0,"-",INDEX($B$217:$M$217,MATCH(O235,B235:M235,0)))</f>
        <v>Dic</v>
      </c>
    </row>
    <row r="236" customFormat="false" ht="14.25" hidden="false" customHeight="true" outlineLevel="0" collapsed="false">
      <c r="A236" s="8" t="str">
        <f aca="false">parametros_manuales!$B$37</f>
        <v>Pintura en polvo + horno</v>
      </c>
      <c r="B236" s="9" t="n">
        <f aca="false">(parametros_manuales!$D$37*('Plan mensual'!D90+IF(parametros_manuales!$H$37="Todos",'Plan mensual'!D94,0))+parametros_manuales!$E$37*('Plan mensual'!D91+IF(parametros_manuales!$H$37="Todos",'Plan mensual'!D95,0))+parametros_manuales!$F$37*('Plan mensual'!D92+IF(parametros_manuales!$H$37="Todos",'Plan mensual'!D96,0))+parametros_manuales!$G$37*('Plan mensual'!D93+IF(parametros_manuales!$H$37="Todos",'Plan mensual'!D97,0)))*parametros_manuales!$I$37*parametros_manuales!$J$37</f>
        <v>28131.6464215</v>
      </c>
      <c r="C236" s="9" t="n">
        <f aca="false">(parametros_manuales!$D$37*('Plan mensual'!E90+IF(parametros_manuales!$H$37="Todos",'Plan mensual'!E94,0))+parametros_manuales!$E$37*('Plan mensual'!E91+IF(parametros_manuales!$H$37="Todos",'Plan mensual'!E95,0))+parametros_manuales!$F$37*('Plan mensual'!E92+IF(parametros_manuales!$H$37="Todos",'Plan mensual'!E96,0))+parametros_manuales!$G$37*('Plan mensual'!E93+IF(parametros_manuales!$H$37="Todos",'Plan mensual'!E97,0)))*parametros_manuales!$I$37*parametros_manuales!$J$37</f>
        <v>21452.95832036</v>
      </c>
      <c r="D236" s="9" t="n">
        <f aca="false">(parametros_manuales!$D$37*('Plan mensual'!F90+IF(parametros_manuales!$H$37="Todos",'Plan mensual'!F94,0))+parametros_manuales!$E$37*('Plan mensual'!F91+IF(parametros_manuales!$H$37="Todos",'Plan mensual'!F95,0))+parametros_manuales!$F$37*('Plan mensual'!F92+IF(parametros_manuales!$H$37="Todos",'Plan mensual'!F96,0))+parametros_manuales!$G$37*('Plan mensual'!F93+IF(parametros_manuales!$H$37="Todos",'Plan mensual'!F97,0)))*parametros_manuales!$I$37*parametros_manuales!$J$37</f>
        <v>20053.250463195</v>
      </c>
      <c r="E236" s="9" t="n">
        <f aca="false">(parametros_manuales!$D$37*('Plan mensual'!G90+IF(parametros_manuales!$H$37="Todos",'Plan mensual'!G94,0))+parametros_manuales!$E$37*('Plan mensual'!G91+IF(parametros_manuales!$H$37="Todos",'Plan mensual'!G95,0))+parametros_manuales!$F$37*('Plan mensual'!G92+IF(parametros_manuales!$H$37="Todos",'Plan mensual'!G96,0))+parametros_manuales!$G$37*('Plan mensual'!G93+IF(parametros_manuales!$H$37="Todos",'Plan mensual'!G97,0)))*parametros_manuales!$I$37*parametros_manuales!$J$37</f>
        <v>19176.284782495</v>
      </c>
      <c r="F236" s="9" t="n">
        <f aca="false">(parametros_manuales!$D$37*('Plan mensual'!H90+IF(parametros_manuales!$H$37="Todos",'Plan mensual'!H94,0))+parametros_manuales!$E$37*('Plan mensual'!H91+IF(parametros_manuales!$H$37="Todos",'Plan mensual'!H95,0))+parametros_manuales!$F$37*('Plan mensual'!H92+IF(parametros_manuales!$H$37="Todos",'Plan mensual'!H96,0))+parametros_manuales!$G$37*('Plan mensual'!H93+IF(parametros_manuales!$H$37="Todos",'Plan mensual'!H97,0)))*parametros_manuales!$I$37*parametros_manuales!$J$37</f>
        <v>17945.09559756</v>
      </c>
      <c r="G236" s="9" t="n">
        <f aca="false">(parametros_manuales!$D$37*('Plan mensual'!I90+IF(parametros_manuales!$H$37="Todos",'Plan mensual'!I94,0))+parametros_manuales!$E$37*('Plan mensual'!I91+IF(parametros_manuales!$H$37="Todos",'Plan mensual'!I95,0))+parametros_manuales!$F$37*('Plan mensual'!I92+IF(parametros_manuales!$H$37="Todos",'Plan mensual'!I96,0))+parametros_manuales!$G$37*('Plan mensual'!I93+IF(parametros_manuales!$H$37="Todos",'Plan mensual'!I97,0)))*parametros_manuales!$I$37*parametros_manuales!$J$37</f>
        <v>17590.872093325</v>
      </c>
      <c r="H236" s="9" t="n">
        <f aca="false">(parametros_manuales!$D$37*('Plan mensual'!J90+IF(parametros_manuales!$H$37="Todos",'Plan mensual'!J94,0))+parametros_manuales!$E$37*('Plan mensual'!J91+IF(parametros_manuales!$H$37="Todos",'Plan mensual'!J95,0))+parametros_manuales!$F$37*('Plan mensual'!J92+IF(parametros_manuales!$H$37="Todos",'Plan mensual'!J96,0))+parametros_manuales!$G$37*('Plan mensual'!J93+IF(parametros_manuales!$H$37="Todos",'Plan mensual'!J97,0)))*parametros_manuales!$I$37*parametros_manuales!$J$37</f>
        <v>18822.06127826</v>
      </c>
      <c r="I236" s="9" t="n">
        <f aca="false">(parametros_manuales!$D$37*('Plan mensual'!K90+IF(parametros_manuales!$H$37="Todos",'Plan mensual'!K94,0))+parametros_manuales!$E$37*('Plan mensual'!K91+IF(parametros_manuales!$H$37="Todos",'Plan mensual'!K95,0))+parametros_manuales!$F$37*('Plan mensual'!K92+IF(parametros_manuales!$H$37="Todos",'Plan mensual'!K96,0))+parametros_manuales!$G$37*('Plan mensual'!K93+IF(parametros_manuales!$H$37="Todos",'Plan mensual'!K97,0)))*parametros_manuales!$I$37*parametros_manuales!$J$37</f>
        <v>18822.06127826</v>
      </c>
      <c r="J236" s="9" t="n">
        <f aca="false">(parametros_manuales!$D$37*('Plan mensual'!L90+IF(parametros_manuales!$H$37="Todos",'Plan mensual'!L94,0))+parametros_manuales!$E$37*('Plan mensual'!L91+IF(parametros_manuales!$H$37="Todos",'Plan mensual'!L95,0))+parametros_manuales!$F$37*('Plan mensual'!L92+IF(parametros_manuales!$H$37="Todos",'Plan mensual'!L96,0))+parametros_manuales!$G$37*('Plan mensual'!L93+IF(parametros_manuales!$H$37="Todos",'Plan mensual'!L97,0)))*parametros_manuales!$I$37*parametros_manuales!$J$37</f>
        <v>18822.06127826</v>
      </c>
      <c r="K236" s="9" t="n">
        <f aca="false">(parametros_manuales!$D$37*('Plan mensual'!M90+IF(parametros_manuales!$H$37="Todos",'Plan mensual'!M94,0))+parametros_manuales!$E$37*('Plan mensual'!M91+IF(parametros_manuales!$H$37="Todos",'Plan mensual'!M95,0))+parametros_manuales!$F$37*('Plan mensual'!M92+IF(parametros_manuales!$H$37="Todos",'Plan mensual'!M96,0))+parametros_manuales!$G$37*('Plan mensual'!M93+IF(parametros_manuales!$H$37="Todos",'Plan mensual'!M97,0)))*parametros_manuales!$I$37*parametros_manuales!$J$37</f>
        <v>18467.837774025</v>
      </c>
      <c r="L236" s="9" t="n">
        <f aca="false">(parametros_manuales!$D$37*('Plan mensual'!N90+IF(parametros_manuales!$H$37="Todos",'Plan mensual'!N94,0))+parametros_manuales!$E$37*('Plan mensual'!N91+IF(parametros_manuales!$H$37="Todos",'Plan mensual'!N95,0))+parametros_manuales!$F$37*('Plan mensual'!N92+IF(parametros_manuales!$H$37="Todos",'Plan mensual'!N96,0))+parametros_manuales!$G$37*('Plan mensual'!N93+IF(parametros_manuales!$H$37="Todos",'Plan mensual'!N97,0)))*parametros_manuales!$I$37*parametros_manuales!$J$37</f>
        <v>18113.61426979</v>
      </c>
      <c r="M236" s="9" t="n">
        <f aca="false">(parametros_manuales!$D$37*('Plan mensual'!O90+IF(parametros_manuales!$H$37="Todos",'Plan mensual'!O94,0))+parametros_manuales!$E$37*('Plan mensual'!O91+IF(parametros_manuales!$H$37="Todos",'Plan mensual'!O95,0))+parametros_manuales!$F$37*('Plan mensual'!O92+IF(parametros_manuales!$H$37="Todos",'Plan mensual'!O96,0))+parametros_manuales!$G$37*('Plan mensual'!O93+IF(parametros_manuales!$H$37="Todos",'Plan mensual'!O97,0)))*parametros_manuales!$I$37*parametros_manuales!$J$37</f>
        <v>28840.09342997</v>
      </c>
      <c r="N236" s="9" t="n">
        <f aca="false">SUM(B236:M236)</f>
        <v>246237.836987</v>
      </c>
      <c r="O236" s="9" t="n">
        <f aca="false">MAX(B236:M236)</f>
        <v>28840.09342997</v>
      </c>
      <c r="P236" s="43" t="n">
        <f aca="false">O236/(parametros_manuales!$B$7)</f>
        <v>192.267289533133</v>
      </c>
      <c r="Q236" s="8" t="str">
        <f aca="false">IF(O236=0,"-",INDEX($B$217:$M$217,MATCH(O236,B236:M236,0)))</f>
        <v>Dic</v>
      </c>
    </row>
    <row r="237" customFormat="false" ht="14.25" hidden="false" customHeight="true" outlineLevel="0" collapsed="false">
      <c r="A237" s="8" t="str">
        <f aca="false">parametros_manuales!$B$38</f>
        <v>Carga de polvo</v>
      </c>
      <c r="B237" s="9" t="n">
        <f aca="false">(parametros_manuales!$D$38*('Plan mensual'!D90+IF(parametros_manuales!$H$38="Todos",'Plan mensual'!D94,0))+parametros_manuales!$E$38*('Plan mensual'!D91+IF(parametros_manuales!$H$38="Todos",'Plan mensual'!D95,0))+parametros_manuales!$F$38*('Plan mensual'!D92+IF(parametros_manuales!$H$38="Todos",'Plan mensual'!D96,0))+parametros_manuales!$G$38*('Plan mensual'!D93+IF(parametros_manuales!$H$38="Todos",'Plan mensual'!D97,0)))*parametros_manuales!$I$38*parametros_manuales!$J$38</f>
        <v>6915.5624215</v>
      </c>
      <c r="C237" s="9" t="n">
        <f aca="false">(parametros_manuales!$D$38*('Plan mensual'!E90+IF(parametros_manuales!$H$38="Todos",'Plan mensual'!E94,0))+parametros_manuales!$E$38*('Plan mensual'!E91+IF(parametros_manuales!$H$38="Todos",'Plan mensual'!E95,0))+parametros_manuales!$F$38*('Plan mensual'!E92+IF(parametros_manuales!$H$38="Todos",'Plan mensual'!E96,0))+parametros_manuales!$G$38*('Plan mensual'!E93+IF(parametros_manuales!$H$38="Todos",'Plan mensual'!E97,0)))*parametros_manuales!$I$38*parametros_manuales!$J$38</f>
        <v>5361.00992036</v>
      </c>
      <c r="D237" s="9" t="n">
        <f aca="false">(parametros_manuales!$D$38*('Plan mensual'!F90+IF(parametros_manuales!$H$38="Todos",'Plan mensual'!F94,0))+parametros_manuales!$E$38*('Plan mensual'!F91+IF(parametros_manuales!$H$38="Todos",'Plan mensual'!F95,0))+parametros_manuales!$F$38*('Plan mensual'!F92+IF(parametros_manuales!$H$38="Todos",'Plan mensual'!F96,0))+parametros_manuales!$G$38*('Plan mensual'!F93+IF(parametros_manuales!$H$38="Todos",'Plan mensual'!F97,0)))*parametros_manuales!$I$38*parametros_manuales!$J$38</f>
        <v>5249.614663195</v>
      </c>
      <c r="E237" s="9" t="n">
        <f aca="false">(parametros_manuales!$D$38*('Plan mensual'!G90+IF(parametros_manuales!$H$38="Todos",'Plan mensual'!G94,0))+parametros_manuales!$E$38*('Plan mensual'!G91+IF(parametros_manuales!$H$38="Todos",'Plan mensual'!G95,0))+parametros_manuales!$F$38*('Plan mensual'!G92+IF(parametros_manuales!$H$38="Todos",'Plan mensual'!G96,0))+parametros_manuales!$G$38*('Plan mensual'!G93+IF(parametros_manuales!$H$38="Todos",'Plan mensual'!G97,0)))*parametros_manuales!$I$38*parametros_manuales!$J$38</f>
        <v>5106.747982495</v>
      </c>
      <c r="F237" s="9" t="n">
        <f aca="false">(parametros_manuales!$D$38*('Plan mensual'!H90+IF(parametros_manuales!$H$38="Todos",'Plan mensual'!H94,0))+parametros_manuales!$E$38*('Plan mensual'!H91+IF(parametros_manuales!$H$38="Todos",'Plan mensual'!H95,0))+parametros_manuales!$F$38*('Plan mensual'!H92+IF(parametros_manuales!$H$38="Todos",'Plan mensual'!H96,0))+parametros_manuales!$G$38*('Plan mensual'!H93+IF(parametros_manuales!$H$38="Todos",'Plan mensual'!H97,0)))*parametros_manuales!$I$38*parametros_manuales!$J$38</f>
        <v>4789.54319756</v>
      </c>
      <c r="G237" s="9" t="n">
        <f aca="false">(parametros_manuales!$D$38*('Plan mensual'!I90+IF(parametros_manuales!$H$38="Todos",'Plan mensual'!I94,0))+parametros_manuales!$E$38*('Plan mensual'!I91+IF(parametros_manuales!$H$38="Todos",'Plan mensual'!I95,0))+parametros_manuales!$F$38*('Plan mensual'!I92+IF(parametros_manuales!$H$38="Todos",'Plan mensual'!I96,0))+parametros_manuales!$G$38*('Plan mensual'!I93+IF(parametros_manuales!$H$38="Todos",'Plan mensual'!I97,0)))*parametros_manuales!$I$38*parametros_manuales!$J$38</f>
        <v>4615.205093325</v>
      </c>
      <c r="H237" s="9" t="n">
        <f aca="false">(parametros_manuales!$D$38*('Plan mensual'!J90+IF(parametros_manuales!$H$38="Todos",'Plan mensual'!J94,0))+parametros_manuales!$E$38*('Plan mensual'!J91+IF(parametros_manuales!$H$38="Todos",'Plan mensual'!J95,0))+parametros_manuales!$F$38*('Plan mensual'!J92+IF(parametros_manuales!$H$38="Todos",'Plan mensual'!J96,0))+parametros_manuales!$G$38*('Plan mensual'!J93+IF(parametros_manuales!$H$38="Todos",'Plan mensual'!J97,0)))*parametros_manuales!$I$38*parametros_manuales!$J$38</f>
        <v>4932.40987826</v>
      </c>
      <c r="I237" s="9" t="n">
        <f aca="false">(parametros_manuales!$D$38*('Plan mensual'!K90+IF(parametros_manuales!$H$38="Todos",'Plan mensual'!K94,0))+parametros_manuales!$E$38*('Plan mensual'!K91+IF(parametros_manuales!$H$38="Todos",'Plan mensual'!K95,0))+parametros_manuales!$F$38*('Plan mensual'!K92+IF(parametros_manuales!$H$38="Todos",'Plan mensual'!K96,0))+parametros_manuales!$G$38*('Plan mensual'!K93+IF(parametros_manuales!$H$38="Todos",'Plan mensual'!K97,0)))*parametros_manuales!$I$38*parametros_manuales!$J$38</f>
        <v>4932.40987826</v>
      </c>
      <c r="J237" s="9" t="n">
        <f aca="false">(parametros_manuales!$D$38*('Plan mensual'!L90+IF(parametros_manuales!$H$38="Todos",'Plan mensual'!L94,0))+parametros_manuales!$E$38*('Plan mensual'!L91+IF(parametros_manuales!$H$38="Todos",'Plan mensual'!L95,0))+parametros_manuales!$F$38*('Plan mensual'!L92+IF(parametros_manuales!$H$38="Todos",'Plan mensual'!L96,0))+parametros_manuales!$G$38*('Plan mensual'!L93+IF(parametros_manuales!$H$38="Todos",'Plan mensual'!L97,0)))*parametros_manuales!$I$38*parametros_manuales!$J$38</f>
        <v>4932.40987826</v>
      </c>
      <c r="K237" s="9" t="n">
        <f aca="false">(parametros_manuales!$D$38*('Plan mensual'!M90+IF(parametros_manuales!$H$38="Todos",'Plan mensual'!M94,0))+parametros_manuales!$E$38*('Plan mensual'!M91+IF(parametros_manuales!$H$38="Todos",'Plan mensual'!M95,0))+parametros_manuales!$F$38*('Plan mensual'!M92+IF(parametros_manuales!$H$38="Todos",'Plan mensual'!M96,0))+parametros_manuales!$G$38*('Plan mensual'!M93+IF(parametros_manuales!$H$38="Todos",'Plan mensual'!M97,0)))*parametros_manuales!$I$38*parametros_manuales!$J$38</f>
        <v>4758.071774025</v>
      </c>
      <c r="L237" s="9" t="n">
        <f aca="false">(parametros_manuales!$D$38*('Plan mensual'!N90+IF(parametros_manuales!$H$38="Todos",'Plan mensual'!N94,0))+parametros_manuales!$E$38*('Plan mensual'!N91+IF(parametros_manuales!$H$38="Todos",'Plan mensual'!N95,0))+parametros_manuales!$F$38*('Plan mensual'!N92+IF(parametros_manuales!$H$38="Todos",'Plan mensual'!N96,0))+parametros_manuales!$G$38*('Plan mensual'!N93+IF(parametros_manuales!$H$38="Todos",'Plan mensual'!N97,0)))*parametros_manuales!$I$38*parametros_manuales!$J$38</f>
        <v>4583.73366979</v>
      </c>
      <c r="M237" s="9" t="n">
        <f aca="false">(parametros_manuales!$D$38*('Plan mensual'!O90+IF(parametros_manuales!$H$38="Todos",'Plan mensual'!O94,0))+parametros_manuales!$E$38*('Plan mensual'!O91+IF(parametros_manuales!$H$38="Todos",'Plan mensual'!O95,0))+parametros_manuales!$F$38*('Plan mensual'!O92+IF(parametros_manuales!$H$38="Todos",'Plan mensual'!O96,0))+parametros_manuales!$G$38*('Plan mensual'!O93+IF(parametros_manuales!$H$38="Todos",'Plan mensual'!O97,0)))*parametros_manuales!$I$38*parametros_manuales!$J$38</f>
        <v>7264.23862997</v>
      </c>
      <c r="N237" s="9" t="n">
        <f aca="false">SUM(B237:M237)</f>
        <v>63440.956987</v>
      </c>
      <c r="O237" s="9" t="n">
        <f aca="false">MAX(B237:M237)</f>
        <v>7264.23862997</v>
      </c>
      <c r="P237" s="43" t="n">
        <f aca="false">O237/(parametros_manuales!$B$7)</f>
        <v>48.4282575331333</v>
      </c>
      <c r="Q237" s="8" t="str">
        <f aca="false">IF(O237=0,"-",INDEX($B$217:$M$217,MATCH(O237,B237:M237,0)))</f>
        <v>Dic</v>
      </c>
    </row>
    <row r="238" customFormat="false" ht="14.25" hidden="false" customHeight="true" outlineLevel="0" collapsed="false">
      <c r="A238" s="8" t="str">
        <f aca="false">parametros_manuales!$B$39</f>
        <v>Ensamblaje</v>
      </c>
      <c r="B238" s="9" t="n">
        <f aca="false">(parametros_manuales!$D$39*('Plan mensual'!D90+IF(parametros_manuales!$H$39="Todos",'Plan mensual'!D94,0))+parametros_manuales!$E$39*('Plan mensual'!D91+IF(parametros_manuales!$H$39="Todos",'Plan mensual'!D95,0))+parametros_manuales!$F$39*('Plan mensual'!D92+IF(parametros_manuales!$H$39="Todos",'Plan mensual'!D96,0))+parametros_manuales!$G$39*('Plan mensual'!D93+IF(parametros_manuales!$H$39="Todos",'Plan mensual'!D97,0)))*parametros_manuales!$I$39*parametros_manuales!$J$39</f>
        <v>6915.5624215</v>
      </c>
      <c r="C238" s="9" t="n">
        <f aca="false">(parametros_manuales!$D$39*('Plan mensual'!E90+IF(parametros_manuales!$H$39="Todos",'Plan mensual'!E94,0))+parametros_manuales!$E$39*('Plan mensual'!E91+IF(parametros_manuales!$H$39="Todos",'Plan mensual'!E95,0))+parametros_manuales!$F$39*('Plan mensual'!E92+IF(parametros_manuales!$H$39="Todos",'Plan mensual'!E96,0))+parametros_manuales!$G$39*('Plan mensual'!E93+IF(parametros_manuales!$H$39="Todos",'Plan mensual'!E97,0)))*parametros_manuales!$I$39*parametros_manuales!$J$39</f>
        <v>5361.00992036</v>
      </c>
      <c r="D238" s="9" t="n">
        <f aca="false">(parametros_manuales!$D$39*('Plan mensual'!F90+IF(parametros_manuales!$H$39="Todos",'Plan mensual'!F94,0))+parametros_manuales!$E$39*('Plan mensual'!F91+IF(parametros_manuales!$H$39="Todos",'Plan mensual'!F95,0))+parametros_manuales!$F$39*('Plan mensual'!F92+IF(parametros_manuales!$H$39="Todos",'Plan mensual'!F96,0))+parametros_manuales!$G$39*('Plan mensual'!F93+IF(parametros_manuales!$H$39="Todos",'Plan mensual'!F97,0)))*parametros_manuales!$I$39*parametros_manuales!$J$39</f>
        <v>5249.614663195</v>
      </c>
      <c r="E238" s="9" t="n">
        <f aca="false">(parametros_manuales!$D$39*('Plan mensual'!G90+IF(parametros_manuales!$H$39="Todos",'Plan mensual'!G94,0))+parametros_manuales!$E$39*('Plan mensual'!G91+IF(parametros_manuales!$H$39="Todos",'Plan mensual'!G95,0))+parametros_manuales!$F$39*('Plan mensual'!G92+IF(parametros_manuales!$H$39="Todos",'Plan mensual'!G96,0))+parametros_manuales!$G$39*('Plan mensual'!G93+IF(parametros_manuales!$H$39="Todos",'Plan mensual'!G97,0)))*parametros_manuales!$I$39*parametros_manuales!$J$39</f>
        <v>5106.747982495</v>
      </c>
      <c r="F238" s="9" t="n">
        <f aca="false">(parametros_manuales!$D$39*('Plan mensual'!H90+IF(parametros_manuales!$H$39="Todos",'Plan mensual'!H94,0))+parametros_manuales!$E$39*('Plan mensual'!H91+IF(parametros_manuales!$H$39="Todos",'Plan mensual'!H95,0))+parametros_manuales!$F$39*('Plan mensual'!H92+IF(parametros_manuales!$H$39="Todos",'Plan mensual'!H96,0))+parametros_manuales!$G$39*('Plan mensual'!H93+IF(parametros_manuales!$H$39="Todos",'Plan mensual'!H97,0)))*parametros_manuales!$I$39*parametros_manuales!$J$39</f>
        <v>4789.54319756</v>
      </c>
      <c r="G238" s="9" t="n">
        <f aca="false">(parametros_manuales!$D$39*('Plan mensual'!I90+IF(parametros_manuales!$H$39="Todos",'Plan mensual'!I94,0))+parametros_manuales!$E$39*('Plan mensual'!I91+IF(parametros_manuales!$H$39="Todos",'Plan mensual'!I95,0))+parametros_manuales!$F$39*('Plan mensual'!I92+IF(parametros_manuales!$H$39="Todos",'Plan mensual'!I96,0))+parametros_manuales!$G$39*('Plan mensual'!I93+IF(parametros_manuales!$H$39="Todos",'Plan mensual'!I97,0)))*parametros_manuales!$I$39*parametros_manuales!$J$39</f>
        <v>4615.205093325</v>
      </c>
      <c r="H238" s="9" t="n">
        <f aca="false">(parametros_manuales!$D$39*('Plan mensual'!J90+IF(parametros_manuales!$H$39="Todos",'Plan mensual'!J94,0))+parametros_manuales!$E$39*('Plan mensual'!J91+IF(parametros_manuales!$H$39="Todos",'Plan mensual'!J95,0))+parametros_manuales!$F$39*('Plan mensual'!J92+IF(parametros_manuales!$H$39="Todos",'Plan mensual'!J96,0))+parametros_manuales!$G$39*('Plan mensual'!J93+IF(parametros_manuales!$H$39="Todos",'Plan mensual'!J97,0)))*parametros_manuales!$I$39*parametros_manuales!$J$39</f>
        <v>4932.40987826</v>
      </c>
      <c r="I238" s="9" t="n">
        <f aca="false">(parametros_manuales!$D$39*('Plan mensual'!K90+IF(parametros_manuales!$H$39="Todos",'Plan mensual'!K94,0))+parametros_manuales!$E$39*('Plan mensual'!K91+IF(parametros_manuales!$H$39="Todos",'Plan mensual'!K95,0))+parametros_manuales!$F$39*('Plan mensual'!K92+IF(parametros_manuales!$H$39="Todos",'Plan mensual'!K96,0))+parametros_manuales!$G$39*('Plan mensual'!K93+IF(parametros_manuales!$H$39="Todos",'Plan mensual'!K97,0)))*parametros_manuales!$I$39*parametros_manuales!$J$39</f>
        <v>4932.40987826</v>
      </c>
      <c r="J238" s="9" t="n">
        <f aca="false">(parametros_manuales!$D$39*('Plan mensual'!L90+IF(parametros_manuales!$H$39="Todos",'Plan mensual'!L94,0))+parametros_manuales!$E$39*('Plan mensual'!L91+IF(parametros_manuales!$H$39="Todos",'Plan mensual'!L95,0))+parametros_manuales!$F$39*('Plan mensual'!L92+IF(parametros_manuales!$H$39="Todos",'Plan mensual'!L96,0))+parametros_manuales!$G$39*('Plan mensual'!L93+IF(parametros_manuales!$H$39="Todos",'Plan mensual'!L97,0)))*parametros_manuales!$I$39*parametros_manuales!$J$39</f>
        <v>4932.40987826</v>
      </c>
      <c r="K238" s="9" t="n">
        <f aca="false">(parametros_manuales!$D$39*('Plan mensual'!M90+IF(parametros_manuales!$H$39="Todos",'Plan mensual'!M94,0))+parametros_manuales!$E$39*('Plan mensual'!M91+IF(parametros_manuales!$H$39="Todos",'Plan mensual'!M95,0))+parametros_manuales!$F$39*('Plan mensual'!M92+IF(parametros_manuales!$H$39="Todos",'Plan mensual'!M96,0))+parametros_manuales!$G$39*('Plan mensual'!M93+IF(parametros_manuales!$H$39="Todos",'Plan mensual'!M97,0)))*parametros_manuales!$I$39*parametros_manuales!$J$39</f>
        <v>4758.071774025</v>
      </c>
      <c r="L238" s="9" t="n">
        <f aca="false">(parametros_manuales!$D$39*('Plan mensual'!N90+IF(parametros_manuales!$H$39="Todos",'Plan mensual'!N94,0))+parametros_manuales!$E$39*('Plan mensual'!N91+IF(parametros_manuales!$H$39="Todos",'Plan mensual'!N95,0))+parametros_manuales!$F$39*('Plan mensual'!N92+IF(parametros_manuales!$H$39="Todos",'Plan mensual'!N96,0))+parametros_manuales!$G$39*('Plan mensual'!N93+IF(parametros_manuales!$H$39="Todos",'Plan mensual'!N97,0)))*parametros_manuales!$I$39*parametros_manuales!$J$39</f>
        <v>4583.73366979</v>
      </c>
      <c r="M238" s="9" t="n">
        <f aca="false">(parametros_manuales!$D$39*('Plan mensual'!O90+IF(parametros_manuales!$H$39="Todos",'Plan mensual'!O94,0))+parametros_manuales!$E$39*('Plan mensual'!O91+IF(parametros_manuales!$H$39="Todos",'Plan mensual'!O95,0))+parametros_manuales!$F$39*('Plan mensual'!O92+IF(parametros_manuales!$H$39="Todos",'Plan mensual'!O96,0))+parametros_manuales!$G$39*('Plan mensual'!O93+IF(parametros_manuales!$H$39="Todos",'Plan mensual'!O97,0)))*parametros_manuales!$I$39*parametros_manuales!$J$39</f>
        <v>7264.23862997</v>
      </c>
      <c r="N238" s="9" t="n">
        <f aca="false">SUM(B238:M238)</f>
        <v>63440.956987</v>
      </c>
      <c r="O238" s="9" t="n">
        <f aca="false">MAX(B238:M238)</f>
        <v>7264.23862997</v>
      </c>
      <c r="P238" s="43" t="n">
        <f aca="false">O238/(parametros_manuales!$B$7)</f>
        <v>48.4282575331333</v>
      </c>
      <c r="Q238" s="8" t="str">
        <f aca="false">IF(O238=0,"-",INDEX($B$217:$M$217,MATCH(O238,B238:M238,0)))</f>
        <v>Dic</v>
      </c>
    </row>
    <row r="239" customFormat="false" ht="14.25" hidden="false" customHeight="true" outlineLevel="0" collapsed="false">
      <c r="A239" s="8" t="str">
        <f aca="false">parametros_manuales!$B$40</f>
        <v>Presurización</v>
      </c>
      <c r="B239" s="9" t="n">
        <f aca="false">(parametros_manuales!$D$40*('Plan mensual'!D90+IF(parametros_manuales!$H$40="Todos",'Plan mensual'!D94,0))+parametros_manuales!$E$40*('Plan mensual'!D91+IF(parametros_manuales!$H$40="Todos",'Plan mensual'!D95,0))+parametros_manuales!$F$40*('Plan mensual'!D92+IF(parametros_manuales!$H$40="Todos",'Plan mensual'!D96,0))+parametros_manuales!$G$40*('Plan mensual'!D93+IF(parametros_manuales!$H$40="Todos",'Plan mensual'!D97,0)))*parametros_manuales!$I$40*parametros_manuales!$J$40</f>
        <v>6915.5624215</v>
      </c>
      <c r="C239" s="9" t="n">
        <f aca="false">(parametros_manuales!$D$40*('Plan mensual'!E90+IF(parametros_manuales!$H$40="Todos",'Plan mensual'!E94,0))+parametros_manuales!$E$40*('Plan mensual'!E91+IF(parametros_manuales!$H$40="Todos",'Plan mensual'!E95,0))+parametros_manuales!$F$40*('Plan mensual'!E92+IF(parametros_manuales!$H$40="Todos",'Plan mensual'!E96,0))+parametros_manuales!$G$40*('Plan mensual'!E93+IF(parametros_manuales!$H$40="Todos",'Plan mensual'!E97,0)))*parametros_manuales!$I$40*parametros_manuales!$J$40</f>
        <v>5361.00992036</v>
      </c>
      <c r="D239" s="9" t="n">
        <f aca="false">(parametros_manuales!$D$40*('Plan mensual'!F90+IF(parametros_manuales!$H$40="Todos",'Plan mensual'!F94,0))+parametros_manuales!$E$40*('Plan mensual'!F91+IF(parametros_manuales!$H$40="Todos",'Plan mensual'!F95,0))+parametros_manuales!$F$40*('Plan mensual'!F92+IF(parametros_manuales!$H$40="Todos",'Plan mensual'!F96,0))+parametros_manuales!$G$40*('Plan mensual'!F93+IF(parametros_manuales!$H$40="Todos",'Plan mensual'!F97,0)))*parametros_manuales!$I$40*parametros_manuales!$J$40</f>
        <v>5249.614663195</v>
      </c>
      <c r="E239" s="9" t="n">
        <f aca="false">(parametros_manuales!$D$40*('Plan mensual'!G90+IF(parametros_manuales!$H$40="Todos",'Plan mensual'!G94,0))+parametros_manuales!$E$40*('Plan mensual'!G91+IF(parametros_manuales!$H$40="Todos",'Plan mensual'!G95,0))+parametros_manuales!$F$40*('Plan mensual'!G92+IF(parametros_manuales!$H$40="Todos",'Plan mensual'!G96,0))+parametros_manuales!$G$40*('Plan mensual'!G93+IF(parametros_manuales!$H$40="Todos",'Plan mensual'!G97,0)))*parametros_manuales!$I$40*parametros_manuales!$J$40</f>
        <v>5106.747982495</v>
      </c>
      <c r="F239" s="9" t="n">
        <f aca="false">(parametros_manuales!$D$40*('Plan mensual'!H90+IF(parametros_manuales!$H$40="Todos",'Plan mensual'!H94,0))+parametros_manuales!$E$40*('Plan mensual'!H91+IF(parametros_manuales!$H$40="Todos",'Plan mensual'!H95,0))+parametros_manuales!$F$40*('Plan mensual'!H92+IF(parametros_manuales!$H$40="Todos",'Plan mensual'!H96,0))+parametros_manuales!$G$40*('Plan mensual'!H93+IF(parametros_manuales!$H$40="Todos",'Plan mensual'!H97,0)))*parametros_manuales!$I$40*parametros_manuales!$J$40</f>
        <v>4789.54319756</v>
      </c>
      <c r="G239" s="9" t="n">
        <f aca="false">(parametros_manuales!$D$40*('Plan mensual'!I90+IF(parametros_manuales!$H$40="Todos",'Plan mensual'!I94,0))+parametros_manuales!$E$40*('Plan mensual'!I91+IF(parametros_manuales!$H$40="Todos",'Plan mensual'!I95,0))+parametros_manuales!$F$40*('Plan mensual'!I92+IF(parametros_manuales!$H$40="Todos",'Plan mensual'!I96,0))+parametros_manuales!$G$40*('Plan mensual'!I93+IF(parametros_manuales!$H$40="Todos",'Plan mensual'!I97,0)))*parametros_manuales!$I$40*parametros_manuales!$J$40</f>
        <v>4615.205093325</v>
      </c>
      <c r="H239" s="9" t="n">
        <f aca="false">(parametros_manuales!$D$40*('Plan mensual'!J90+IF(parametros_manuales!$H$40="Todos",'Plan mensual'!J94,0))+parametros_manuales!$E$40*('Plan mensual'!J91+IF(parametros_manuales!$H$40="Todos",'Plan mensual'!J95,0))+parametros_manuales!$F$40*('Plan mensual'!J92+IF(parametros_manuales!$H$40="Todos",'Plan mensual'!J96,0))+parametros_manuales!$G$40*('Plan mensual'!J93+IF(parametros_manuales!$H$40="Todos",'Plan mensual'!J97,0)))*parametros_manuales!$I$40*parametros_manuales!$J$40</f>
        <v>4932.40987826</v>
      </c>
      <c r="I239" s="9" t="n">
        <f aca="false">(parametros_manuales!$D$40*('Plan mensual'!K90+IF(parametros_manuales!$H$40="Todos",'Plan mensual'!K94,0))+parametros_manuales!$E$40*('Plan mensual'!K91+IF(parametros_manuales!$H$40="Todos",'Plan mensual'!K95,0))+parametros_manuales!$F$40*('Plan mensual'!K92+IF(parametros_manuales!$H$40="Todos",'Plan mensual'!K96,0))+parametros_manuales!$G$40*('Plan mensual'!K93+IF(parametros_manuales!$H$40="Todos",'Plan mensual'!K97,0)))*parametros_manuales!$I$40*parametros_manuales!$J$40</f>
        <v>4932.40987826</v>
      </c>
      <c r="J239" s="9" t="n">
        <f aca="false">(parametros_manuales!$D$40*('Plan mensual'!L90+IF(parametros_manuales!$H$40="Todos",'Plan mensual'!L94,0))+parametros_manuales!$E$40*('Plan mensual'!L91+IF(parametros_manuales!$H$40="Todos",'Plan mensual'!L95,0))+parametros_manuales!$F$40*('Plan mensual'!L92+IF(parametros_manuales!$H$40="Todos",'Plan mensual'!L96,0))+parametros_manuales!$G$40*('Plan mensual'!L93+IF(parametros_manuales!$H$40="Todos",'Plan mensual'!L97,0)))*parametros_manuales!$I$40*parametros_manuales!$J$40</f>
        <v>4932.40987826</v>
      </c>
      <c r="K239" s="9" t="n">
        <f aca="false">(parametros_manuales!$D$40*('Plan mensual'!M90+IF(parametros_manuales!$H$40="Todos",'Plan mensual'!M94,0))+parametros_manuales!$E$40*('Plan mensual'!M91+IF(parametros_manuales!$H$40="Todos",'Plan mensual'!M95,0))+parametros_manuales!$F$40*('Plan mensual'!M92+IF(parametros_manuales!$H$40="Todos",'Plan mensual'!M96,0))+parametros_manuales!$G$40*('Plan mensual'!M93+IF(parametros_manuales!$H$40="Todos",'Plan mensual'!M97,0)))*parametros_manuales!$I$40*parametros_manuales!$J$40</f>
        <v>4758.071774025</v>
      </c>
      <c r="L239" s="9" t="n">
        <f aca="false">(parametros_manuales!$D$40*('Plan mensual'!N90+IF(parametros_manuales!$H$40="Todos",'Plan mensual'!N94,0))+parametros_manuales!$E$40*('Plan mensual'!N91+IF(parametros_manuales!$H$40="Todos",'Plan mensual'!N95,0))+parametros_manuales!$F$40*('Plan mensual'!N92+IF(parametros_manuales!$H$40="Todos",'Plan mensual'!N96,0))+parametros_manuales!$G$40*('Plan mensual'!N93+IF(parametros_manuales!$H$40="Todos",'Plan mensual'!N97,0)))*parametros_manuales!$I$40*parametros_manuales!$J$40</f>
        <v>4583.73366979</v>
      </c>
      <c r="M239" s="9" t="n">
        <f aca="false">(parametros_manuales!$D$40*('Plan mensual'!O90+IF(parametros_manuales!$H$40="Todos",'Plan mensual'!O94,0))+parametros_manuales!$E$40*('Plan mensual'!O91+IF(parametros_manuales!$H$40="Todos",'Plan mensual'!O95,0))+parametros_manuales!$F$40*('Plan mensual'!O92+IF(parametros_manuales!$H$40="Todos",'Plan mensual'!O96,0))+parametros_manuales!$G$40*('Plan mensual'!O93+IF(parametros_manuales!$H$40="Todos",'Plan mensual'!O97,0)))*parametros_manuales!$I$40*parametros_manuales!$J$40</f>
        <v>7264.23862997</v>
      </c>
      <c r="N239" s="9" t="n">
        <f aca="false">SUM(B239:M239)</f>
        <v>63440.956987</v>
      </c>
      <c r="O239" s="9" t="n">
        <f aca="false">MAX(B239:M239)</f>
        <v>7264.23862997</v>
      </c>
      <c r="P239" s="43" t="n">
        <f aca="false">O239/(parametros_manuales!$B$7)</f>
        <v>48.4282575331333</v>
      </c>
      <c r="Q239" s="8" t="str">
        <f aca="false">IF(O239=0,"-",INDEX($B$217:$M$217,MATCH(O239,B239:M239,0)))</f>
        <v>Dic</v>
      </c>
    </row>
    <row r="240" customFormat="false" ht="14.25" hidden="false" customHeight="true" outlineLevel="0" collapsed="false">
      <c r="A240" s="8" t="str">
        <f aca="false">parametros_manuales!$B$41</f>
        <v>Control de calidad — Ensayo de pérdidas</v>
      </c>
      <c r="B240" s="9" t="n">
        <f aca="false">(parametros_manuales!$D$41*('Plan mensual'!D90+IF(parametros_manuales!$H$41="Todos",'Plan mensual'!D94,0))+parametros_manuales!$E$41*('Plan mensual'!D91+IF(parametros_manuales!$H$41="Todos",'Plan mensual'!D95,0))+parametros_manuales!$F$41*('Plan mensual'!D92+IF(parametros_manuales!$H$41="Todos",'Plan mensual'!D96,0))+parametros_manuales!$G$41*('Plan mensual'!D93+IF(parametros_manuales!$H$41="Todos",'Plan mensual'!D97,0)))*parametros_manuales!$I$41*parametros_manuales!$J$41</f>
        <v>6915.5624215</v>
      </c>
      <c r="C240" s="9" t="n">
        <f aca="false">(parametros_manuales!$D$41*('Plan mensual'!E90+IF(parametros_manuales!$H$41="Todos",'Plan mensual'!E94,0))+parametros_manuales!$E$41*('Plan mensual'!E91+IF(parametros_manuales!$H$41="Todos",'Plan mensual'!E95,0))+parametros_manuales!$F$41*('Plan mensual'!E92+IF(parametros_manuales!$H$41="Todos",'Plan mensual'!E96,0))+parametros_manuales!$G$41*('Plan mensual'!E93+IF(parametros_manuales!$H$41="Todos",'Plan mensual'!E97,0)))*parametros_manuales!$I$41*parametros_manuales!$J$41</f>
        <v>5361.00992036</v>
      </c>
      <c r="D240" s="9" t="n">
        <f aca="false">(parametros_manuales!$D$41*('Plan mensual'!F90+IF(parametros_manuales!$H$41="Todos",'Plan mensual'!F94,0))+parametros_manuales!$E$41*('Plan mensual'!F91+IF(parametros_manuales!$H$41="Todos",'Plan mensual'!F95,0))+parametros_manuales!$F$41*('Plan mensual'!F92+IF(parametros_manuales!$H$41="Todos",'Plan mensual'!F96,0))+parametros_manuales!$G$41*('Plan mensual'!F93+IF(parametros_manuales!$H$41="Todos",'Plan mensual'!F97,0)))*parametros_manuales!$I$41*parametros_manuales!$J$41</f>
        <v>5249.614663195</v>
      </c>
      <c r="E240" s="9" t="n">
        <f aca="false">(parametros_manuales!$D$41*('Plan mensual'!G90+IF(parametros_manuales!$H$41="Todos",'Plan mensual'!G94,0))+parametros_manuales!$E$41*('Plan mensual'!G91+IF(parametros_manuales!$H$41="Todos",'Plan mensual'!G95,0))+parametros_manuales!$F$41*('Plan mensual'!G92+IF(parametros_manuales!$H$41="Todos",'Plan mensual'!G96,0))+parametros_manuales!$G$41*('Plan mensual'!G93+IF(parametros_manuales!$H$41="Todos",'Plan mensual'!G97,0)))*parametros_manuales!$I$41*parametros_manuales!$J$41</f>
        <v>5106.747982495</v>
      </c>
      <c r="F240" s="9" t="n">
        <f aca="false">(parametros_manuales!$D$41*('Plan mensual'!H90+IF(parametros_manuales!$H$41="Todos",'Plan mensual'!H94,0))+parametros_manuales!$E$41*('Plan mensual'!H91+IF(parametros_manuales!$H$41="Todos",'Plan mensual'!H95,0))+parametros_manuales!$F$41*('Plan mensual'!H92+IF(parametros_manuales!$H$41="Todos",'Plan mensual'!H96,0))+parametros_manuales!$G$41*('Plan mensual'!H93+IF(parametros_manuales!$H$41="Todos",'Plan mensual'!H97,0)))*parametros_manuales!$I$41*parametros_manuales!$J$41</f>
        <v>4789.54319756</v>
      </c>
      <c r="G240" s="9" t="n">
        <f aca="false">(parametros_manuales!$D$41*('Plan mensual'!I90+IF(parametros_manuales!$H$41="Todos",'Plan mensual'!I94,0))+parametros_manuales!$E$41*('Plan mensual'!I91+IF(parametros_manuales!$H$41="Todos",'Plan mensual'!I95,0))+parametros_manuales!$F$41*('Plan mensual'!I92+IF(parametros_manuales!$H$41="Todos",'Plan mensual'!I96,0))+parametros_manuales!$G$41*('Plan mensual'!I93+IF(parametros_manuales!$H$41="Todos",'Plan mensual'!I97,0)))*parametros_manuales!$I$41*parametros_manuales!$J$41</f>
        <v>4615.205093325</v>
      </c>
      <c r="H240" s="9" t="n">
        <f aca="false">(parametros_manuales!$D$41*('Plan mensual'!J90+IF(parametros_manuales!$H$41="Todos",'Plan mensual'!J94,0))+parametros_manuales!$E$41*('Plan mensual'!J91+IF(parametros_manuales!$H$41="Todos",'Plan mensual'!J95,0))+parametros_manuales!$F$41*('Plan mensual'!J92+IF(parametros_manuales!$H$41="Todos",'Plan mensual'!J96,0))+parametros_manuales!$G$41*('Plan mensual'!J93+IF(parametros_manuales!$H$41="Todos",'Plan mensual'!J97,0)))*parametros_manuales!$I$41*parametros_manuales!$J$41</f>
        <v>4932.40987826</v>
      </c>
      <c r="I240" s="9" t="n">
        <f aca="false">(parametros_manuales!$D$41*('Plan mensual'!K90+IF(parametros_manuales!$H$41="Todos",'Plan mensual'!K94,0))+parametros_manuales!$E$41*('Plan mensual'!K91+IF(parametros_manuales!$H$41="Todos",'Plan mensual'!K95,0))+parametros_manuales!$F$41*('Plan mensual'!K92+IF(parametros_manuales!$H$41="Todos",'Plan mensual'!K96,0))+parametros_manuales!$G$41*('Plan mensual'!K93+IF(parametros_manuales!$H$41="Todos",'Plan mensual'!K97,0)))*parametros_manuales!$I$41*parametros_manuales!$J$41</f>
        <v>4932.40987826</v>
      </c>
      <c r="J240" s="9" t="n">
        <f aca="false">(parametros_manuales!$D$41*('Plan mensual'!L90+IF(parametros_manuales!$H$41="Todos",'Plan mensual'!L94,0))+parametros_manuales!$E$41*('Plan mensual'!L91+IF(parametros_manuales!$H$41="Todos",'Plan mensual'!L95,0))+parametros_manuales!$F$41*('Plan mensual'!L92+IF(parametros_manuales!$H$41="Todos",'Plan mensual'!L96,0))+parametros_manuales!$G$41*('Plan mensual'!L93+IF(parametros_manuales!$H$41="Todos",'Plan mensual'!L97,0)))*parametros_manuales!$I$41*parametros_manuales!$J$41</f>
        <v>4932.40987826</v>
      </c>
      <c r="K240" s="9" t="n">
        <f aca="false">(parametros_manuales!$D$41*('Plan mensual'!M90+IF(parametros_manuales!$H$41="Todos",'Plan mensual'!M94,0))+parametros_manuales!$E$41*('Plan mensual'!M91+IF(parametros_manuales!$H$41="Todos",'Plan mensual'!M95,0))+parametros_manuales!$F$41*('Plan mensual'!M92+IF(parametros_manuales!$H$41="Todos",'Plan mensual'!M96,0))+parametros_manuales!$G$41*('Plan mensual'!M93+IF(parametros_manuales!$H$41="Todos",'Plan mensual'!M97,0)))*parametros_manuales!$I$41*parametros_manuales!$J$41</f>
        <v>4758.071774025</v>
      </c>
      <c r="L240" s="9" t="n">
        <f aca="false">(parametros_manuales!$D$41*('Plan mensual'!N90+IF(parametros_manuales!$H$41="Todos",'Plan mensual'!N94,0))+parametros_manuales!$E$41*('Plan mensual'!N91+IF(parametros_manuales!$H$41="Todos",'Plan mensual'!N95,0))+parametros_manuales!$F$41*('Plan mensual'!N92+IF(parametros_manuales!$H$41="Todos",'Plan mensual'!N96,0))+parametros_manuales!$G$41*('Plan mensual'!N93+IF(parametros_manuales!$H$41="Todos",'Plan mensual'!N97,0)))*parametros_manuales!$I$41*parametros_manuales!$J$41</f>
        <v>4583.73366979</v>
      </c>
      <c r="M240" s="9" t="n">
        <f aca="false">(parametros_manuales!$D$41*('Plan mensual'!O90+IF(parametros_manuales!$H$41="Todos",'Plan mensual'!O94,0))+parametros_manuales!$E$41*('Plan mensual'!O91+IF(parametros_manuales!$H$41="Todos",'Plan mensual'!O95,0))+parametros_manuales!$F$41*('Plan mensual'!O92+IF(parametros_manuales!$H$41="Todos",'Plan mensual'!O96,0))+parametros_manuales!$G$41*('Plan mensual'!O93+IF(parametros_manuales!$H$41="Todos",'Plan mensual'!O97,0)))*parametros_manuales!$I$41*parametros_manuales!$J$41</f>
        <v>7264.23862997</v>
      </c>
      <c r="N240" s="9" t="n">
        <f aca="false">SUM(B240:M240)</f>
        <v>63440.956987</v>
      </c>
      <c r="O240" s="9" t="n">
        <f aca="false">MAX(B240:M240)</f>
        <v>7264.23862997</v>
      </c>
      <c r="P240" s="43" t="n">
        <f aca="false">O240/(parametros_manuales!$B$7)</f>
        <v>48.4282575331333</v>
      </c>
      <c r="Q240" s="8" t="str">
        <f aca="false">IF(O240=0,"-",INDEX($B$217:$M$217,MATCH(O240,B240:M240,0)))</f>
        <v>Dic</v>
      </c>
    </row>
    <row r="241" customFormat="false" ht="14.25" hidden="false" customHeight="true" outlineLevel="0" collapsed="false">
      <c r="A241" s="8" t="str">
        <f aca="false">parametros_manuales!$B$42</f>
        <v>Etiquetado</v>
      </c>
      <c r="B241" s="9" t="n">
        <f aca="false">(parametros_manuales!$D$42*('Plan mensual'!D90+IF(parametros_manuales!$H$42="Todos",'Plan mensual'!D94,0))+parametros_manuales!$E$42*('Plan mensual'!D91+IF(parametros_manuales!$H$42="Todos",'Plan mensual'!D95,0))+parametros_manuales!$F$42*('Plan mensual'!D92+IF(parametros_manuales!$H$42="Todos",'Plan mensual'!D96,0))+parametros_manuales!$G$42*('Plan mensual'!D93+IF(parametros_manuales!$H$42="Todos",'Plan mensual'!D97,0)))*parametros_manuales!$I$42*parametros_manuales!$J$42</f>
        <v>6915.5624215</v>
      </c>
      <c r="C241" s="9" t="n">
        <f aca="false">(parametros_manuales!$D$42*('Plan mensual'!E90+IF(parametros_manuales!$H$42="Todos",'Plan mensual'!E94,0))+parametros_manuales!$E$42*('Plan mensual'!E91+IF(parametros_manuales!$H$42="Todos",'Plan mensual'!E95,0))+parametros_manuales!$F$42*('Plan mensual'!E92+IF(parametros_manuales!$H$42="Todos",'Plan mensual'!E96,0))+parametros_manuales!$G$42*('Plan mensual'!E93+IF(parametros_manuales!$H$42="Todos",'Plan mensual'!E97,0)))*parametros_manuales!$I$42*parametros_manuales!$J$42</f>
        <v>5361.00992036</v>
      </c>
      <c r="D241" s="9" t="n">
        <f aca="false">(parametros_manuales!$D$42*('Plan mensual'!F90+IF(parametros_manuales!$H$42="Todos",'Plan mensual'!F94,0))+parametros_manuales!$E$42*('Plan mensual'!F91+IF(parametros_manuales!$H$42="Todos",'Plan mensual'!F95,0))+parametros_manuales!$F$42*('Plan mensual'!F92+IF(parametros_manuales!$H$42="Todos",'Plan mensual'!F96,0))+parametros_manuales!$G$42*('Plan mensual'!F93+IF(parametros_manuales!$H$42="Todos",'Plan mensual'!F97,0)))*parametros_manuales!$I$42*parametros_manuales!$J$42</f>
        <v>5249.614663195</v>
      </c>
      <c r="E241" s="9" t="n">
        <f aca="false">(parametros_manuales!$D$42*('Plan mensual'!G90+IF(parametros_manuales!$H$42="Todos",'Plan mensual'!G94,0))+parametros_manuales!$E$42*('Plan mensual'!G91+IF(parametros_manuales!$H$42="Todos",'Plan mensual'!G95,0))+parametros_manuales!$F$42*('Plan mensual'!G92+IF(parametros_manuales!$H$42="Todos",'Plan mensual'!G96,0))+parametros_manuales!$G$42*('Plan mensual'!G93+IF(parametros_manuales!$H$42="Todos",'Plan mensual'!G97,0)))*parametros_manuales!$I$42*parametros_manuales!$J$42</f>
        <v>5106.747982495</v>
      </c>
      <c r="F241" s="9" t="n">
        <f aca="false">(parametros_manuales!$D$42*('Plan mensual'!H90+IF(parametros_manuales!$H$42="Todos",'Plan mensual'!H94,0))+parametros_manuales!$E$42*('Plan mensual'!H91+IF(parametros_manuales!$H$42="Todos",'Plan mensual'!H95,0))+parametros_manuales!$F$42*('Plan mensual'!H92+IF(parametros_manuales!$H$42="Todos",'Plan mensual'!H96,0))+parametros_manuales!$G$42*('Plan mensual'!H93+IF(parametros_manuales!$H$42="Todos",'Plan mensual'!H97,0)))*parametros_manuales!$I$42*parametros_manuales!$J$42</f>
        <v>4789.54319756</v>
      </c>
      <c r="G241" s="9" t="n">
        <f aca="false">(parametros_manuales!$D$42*('Plan mensual'!I90+IF(parametros_manuales!$H$42="Todos",'Plan mensual'!I94,0))+parametros_manuales!$E$42*('Plan mensual'!I91+IF(parametros_manuales!$H$42="Todos",'Plan mensual'!I95,0))+parametros_manuales!$F$42*('Plan mensual'!I92+IF(parametros_manuales!$H$42="Todos",'Plan mensual'!I96,0))+parametros_manuales!$G$42*('Plan mensual'!I93+IF(parametros_manuales!$H$42="Todos",'Plan mensual'!I97,0)))*parametros_manuales!$I$42*parametros_manuales!$J$42</f>
        <v>4615.205093325</v>
      </c>
      <c r="H241" s="9" t="n">
        <f aca="false">(parametros_manuales!$D$42*('Plan mensual'!J90+IF(parametros_manuales!$H$42="Todos",'Plan mensual'!J94,0))+parametros_manuales!$E$42*('Plan mensual'!J91+IF(parametros_manuales!$H$42="Todos",'Plan mensual'!J95,0))+parametros_manuales!$F$42*('Plan mensual'!J92+IF(parametros_manuales!$H$42="Todos",'Plan mensual'!J96,0))+parametros_manuales!$G$42*('Plan mensual'!J93+IF(parametros_manuales!$H$42="Todos",'Plan mensual'!J97,0)))*parametros_manuales!$I$42*parametros_manuales!$J$42</f>
        <v>4932.40987826</v>
      </c>
      <c r="I241" s="9" t="n">
        <f aca="false">(parametros_manuales!$D$42*('Plan mensual'!K90+IF(parametros_manuales!$H$42="Todos",'Plan mensual'!K94,0))+parametros_manuales!$E$42*('Plan mensual'!K91+IF(parametros_manuales!$H$42="Todos",'Plan mensual'!K95,0))+parametros_manuales!$F$42*('Plan mensual'!K92+IF(parametros_manuales!$H$42="Todos",'Plan mensual'!K96,0))+parametros_manuales!$G$42*('Plan mensual'!K93+IF(parametros_manuales!$H$42="Todos",'Plan mensual'!K97,0)))*parametros_manuales!$I$42*parametros_manuales!$J$42</f>
        <v>4932.40987826</v>
      </c>
      <c r="J241" s="9" t="n">
        <f aca="false">(parametros_manuales!$D$42*('Plan mensual'!L90+IF(parametros_manuales!$H$42="Todos",'Plan mensual'!L94,0))+parametros_manuales!$E$42*('Plan mensual'!L91+IF(parametros_manuales!$H$42="Todos",'Plan mensual'!L95,0))+parametros_manuales!$F$42*('Plan mensual'!L92+IF(parametros_manuales!$H$42="Todos",'Plan mensual'!L96,0))+parametros_manuales!$G$42*('Plan mensual'!L93+IF(parametros_manuales!$H$42="Todos",'Plan mensual'!L97,0)))*parametros_manuales!$I$42*parametros_manuales!$J$42</f>
        <v>4932.40987826</v>
      </c>
      <c r="K241" s="9" t="n">
        <f aca="false">(parametros_manuales!$D$42*('Plan mensual'!M90+IF(parametros_manuales!$H$42="Todos",'Plan mensual'!M94,0))+parametros_manuales!$E$42*('Plan mensual'!M91+IF(parametros_manuales!$H$42="Todos",'Plan mensual'!M95,0))+parametros_manuales!$F$42*('Plan mensual'!M92+IF(parametros_manuales!$H$42="Todos",'Plan mensual'!M96,0))+parametros_manuales!$G$42*('Plan mensual'!M93+IF(parametros_manuales!$H$42="Todos",'Plan mensual'!M97,0)))*parametros_manuales!$I$42*parametros_manuales!$J$42</f>
        <v>4758.071774025</v>
      </c>
      <c r="L241" s="9" t="n">
        <f aca="false">(parametros_manuales!$D$42*('Plan mensual'!N90+IF(parametros_manuales!$H$42="Todos",'Plan mensual'!N94,0))+parametros_manuales!$E$42*('Plan mensual'!N91+IF(parametros_manuales!$H$42="Todos",'Plan mensual'!N95,0))+parametros_manuales!$F$42*('Plan mensual'!N92+IF(parametros_manuales!$H$42="Todos",'Plan mensual'!N96,0))+parametros_manuales!$G$42*('Plan mensual'!N93+IF(parametros_manuales!$H$42="Todos",'Plan mensual'!N97,0)))*parametros_manuales!$I$42*parametros_manuales!$J$42</f>
        <v>4583.73366979</v>
      </c>
      <c r="M241" s="9" t="n">
        <f aca="false">(parametros_manuales!$D$42*('Plan mensual'!O90+IF(parametros_manuales!$H$42="Todos",'Plan mensual'!O94,0))+parametros_manuales!$E$42*('Plan mensual'!O91+IF(parametros_manuales!$H$42="Todos",'Plan mensual'!O95,0))+parametros_manuales!$F$42*('Plan mensual'!O92+IF(parametros_manuales!$H$42="Todos",'Plan mensual'!O96,0))+parametros_manuales!$G$42*('Plan mensual'!O93+IF(parametros_manuales!$H$42="Todos",'Plan mensual'!O97,0)))*parametros_manuales!$I$42*parametros_manuales!$J$42</f>
        <v>7264.23862997</v>
      </c>
      <c r="N241" s="9" t="n">
        <f aca="false">SUM(B241:M241)</f>
        <v>63440.956987</v>
      </c>
      <c r="O241" s="9" t="n">
        <f aca="false">MAX(B241:M241)</f>
        <v>7264.23862997</v>
      </c>
      <c r="P241" s="43" t="n">
        <f aca="false">O241/(parametros_manuales!$B$7)</f>
        <v>48.4282575331333</v>
      </c>
      <c r="Q241" s="8" t="str">
        <f aca="false">IF(O241=0,"-",INDEX($B$217:$M$217,MATCH(O241,B241:M241,0)))</f>
        <v>Dic</v>
      </c>
    </row>
    <row r="242" customFormat="false" ht="14.25" hidden="false" customHeight="true" outlineLevel="0" collapsed="false">
      <c r="A242" s="8" t="str">
        <f aca="false">parametros_manuales!$B$43</f>
        <v>Embalaje y paletizado</v>
      </c>
      <c r="B242" s="9" t="n">
        <f aca="false">(parametros_manuales!$D$43*('Plan mensual'!D90+IF(parametros_manuales!$H$43="Todos",'Plan mensual'!D94,0))+parametros_manuales!$E$43*('Plan mensual'!D91+IF(parametros_manuales!$H$43="Todos",'Plan mensual'!D95,0))+parametros_manuales!$F$43*('Plan mensual'!D92+IF(parametros_manuales!$H$43="Todos",'Plan mensual'!D96,0))+parametros_manuales!$G$43*('Plan mensual'!D93+IF(parametros_manuales!$H$43="Todos",'Plan mensual'!D97,0)))*parametros_manuales!$I$43*parametros_manuales!$J$43</f>
        <v>28131.6464215</v>
      </c>
      <c r="C242" s="9" t="n">
        <f aca="false">(parametros_manuales!$D$43*('Plan mensual'!E90+IF(parametros_manuales!$H$43="Todos",'Plan mensual'!E94,0))+parametros_manuales!$E$43*('Plan mensual'!E91+IF(parametros_manuales!$H$43="Todos",'Plan mensual'!E95,0))+parametros_manuales!$F$43*('Plan mensual'!E92+IF(parametros_manuales!$H$43="Todos",'Plan mensual'!E96,0))+parametros_manuales!$G$43*('Plan mensual'!E93+IF(parametros_manuales!$H$43="Todos",'Plan mensual'!E97,0)))*parametros_manuales!$I$43*parametros_manuales!$J$43</f>
        <v>21452.95832036</v>
      </c>
      <c r="D242" s="9" t="n">
        <f aca="false">(parametros_manuales!$D$43*('Plan mensual'!F90+IF(parametros_manuales!$H$43="Todos",'Plan mensual'!F94,0))+parametros_manuales!$E$43*('Plan mensual'!F91+IF(parametros_manuales!$H$43="Todos",'Plan mensual'!F95,0))+parametros_manuales!$F$43*('Plan mensual'!F92+IF(parametros_manuales!$H$43="Todos",'Plan mensual'!F96,0))+parametros_manuales!$G$43*('Plan mensual'!F93+IF(parametros_manuales!$H$43="Todos",'Plan mensual'!F97,0)))*parametros_manuales!$I$43*parametros_manuales!$J$43</f>
        <v>20053.250463195</v>
      </c>
      <c r="E242" s="9" t="n">
        <f aca="false">(parametros_manuales!$D$43*('Plan mensual'!G90+IF(parametros_manuales!$H$43="Todos",'Plan mensual'!G94,0))+parametros_manuales!$E$43*('Plan mensual'!G91+IF(parametros_manuales!$H$43="Todos",'Plan mensual'!G95,0))+parametros_manuales!$F$43*('Plan mensual'!G92+IF(parametros_manuales!$H$43="Todos",'Plan mensual'!G96,0))+parametros_manuales!$G$43*('Plan mensual'!G93+IF(parametros_manuales!$H$43="Todos",'Plan mensual'!G97,0)))*parametros_manuales!$I$43*parametros_manuales!$J$43</f>
        <v>19176.284782495</v>
      </c>
      <c r="F242" s="9" t="n">
        <f aca="false">(parametros_manuales!$D$43*('Plan mensual'!H90+IF(parametros_manuales!$H$43="Todos",'Plan mensual'!H94,0))+parametros_manuales!$E$43*('Plan mensual'!H91+IF(parametros_manuales!$H$43="Todos",'Plan mensual'!H95,0))+parametros_manuales!$F$43*('Plan mensual'!H92+IF(parametros_manuales!$H$43="Todos",'Plan mensual'!H96,0))+parametros_manuales!$G$43*('Plan mensual'!H93+IF(parametros_manuales!$H$43="Todos",'Plan mensual'!H97,0)))*parametros_manuales!$I$43*parametros_manuales!$J$43</f>
        <v>17945.09559756</v>
      </c>
      <c r="G242" s="9" t="n">
        <f aca="false">(parametros_manuales!$D$43*('Plan mensual'!I90+IF(parametros_manuales!$H$43="Todos",'Plan mensual'!I94,0))+parametros_manuales!$E$43*('Plan mensual'!I91+IF(parametros_manuales!$H$43="Todos",'Plan mensual'!I95,0))+parametros_manuales!$F$43*('Plan mensual'!I92+IF(parametros_manuales!$H$43="Todos",'Plan mensual'!I96,0))+parametros_manuales!$G$43*('Plan mensual'!I93+IF(parametros_manuales!$H$43="Todos",'Plan mensual'!I97,0)))*parametros_manuales!$I$43*parametros_manuales!$J$43</f>
        <v>17590.872093325</v>
      </c>
      <c r="H242" s="9" t="n">
        <f aca="false">(parametros_manuales!$D$43*('Plan mensual'!J90+IF(parametros_manuales!$H$43="Todos",'Plan mensual'!J94,0))+parametros_manuales!$E$43*('Plan mensual'!J91+IF(parametros_manuales!$H$43="Todos",'Plan mensual'!J95,0))+parametros_manuales!$F$43*('Plan mensual'!J92+IF(parametros_manuales!$H$43="Todos",'Plan mensual'!J96,0))+parametros_manuales!$G$43*('Plan mensual'!J93+IF(parametros_manuales!$H$43="Todos",'Plan mensual'!J97,0)))*parametros_manuales!$I$43*parametros_manuales!$J$43</f>
        <v>18822.06127826</v>
      </c>
      <c r="I242" s="9" t="n">
        <f aca="false">(parametros_manuales!$D$43*('Plan mensual'!K90+IF(parametros_manuales!$H$43="Todos",'Plan mensual'!K94,0))+parametros_manuales!$E$43*('Plan mensual'!K91+IF(parametros_manuales!$H$43="Todos",'Plan mensual'!K95,0))+parametros_manuales!$F$43*('Plan mensual'!K92+IF(parametros_manuales!$H$43="Todos",'Plan mensual'!K96,0))+parametros_manuales!$G$43*('Plan mensual'!K93+IF(parametros_manuales!$H$43="Todos",'Plan mensual'!K97,0)))*parametros_manuales!$I$43*parametros_manuales!$J$43</f>
        <v>18822.06127826</v>
      </c>
      <c r="J242" s="9" t="n">
        <f aca="false">(parametros_manuales!$D$43*('Plan mensual'!L90+IF(parametros_manuales!$H$43="Todos",'Plan mensual'!L94,0))+parametros_manuales!$E$43*('Plan mensual'!L91+IF(parametros_manuales!$H$43="Todos",'Plan mensual'!L95,0))+parametros_manuales!$F$43*('Plan mensual'!L92+IF(parametros_manuales!$H$43="Todos",'Plan mensual'!L96,0))+parametros_manuales!$G$43*('Plan mensual'!L93+IF(parametros_manuales!$H$43="Todos",'Plan mensual'!L97,0)))*parametros_manuales!$I$43*parametros_manuales!$J$43</f>
        <v>18822.06127826</v>
      </c>
      <c r="K242" s="9" t="n">
        <f aca="false">(parametros_manuales!$D$43*('Plan mensual'!M90+IF(parametros_manuales!$H$43="Todos",'Plan mensual'!M94,0))+parametros_manuales!$E$43*('Plan mensual'!M91+IF(parametros_manuales!$H$43="Todos",'Plan mensual'!M95,0))+parametros_manuales!$F$43*('Plan mensual'!M92+IF(parametros_manuales!$H$43="Todos",'Plan mensual'!M96,0))+parametros_manuales!$G$43*('Plan mensual'!M93+IF(parametros_manuales!$H$43="Todos",'Plan mensual'!M97,0)))*parametros_manuales!$I$43*parametros_manuales!$J$43</f>
        <v>18467.837774025</v>
      </c>
      <c r="L242" s="9" t="n">
        <f aca="false">(parametros_manuales!$D$43*('Plan mensual'!N90+IF(parametros_manuales!$H$43="Todos",'Plan mensual'!N94,0))+parametros_manuales!$E$43*('Plan mensual'!N91+IF(parametros_manuales!$H$43="Todos",'Plan mensual'!N95,0))+parametros_manuales!$F$43*('Plan mensual'!N92+IF(parametros_manuales!$H$43="Todos",'Plan mensual'!N96,0))+parametros_manuales!$G$43*('Plan mensual'!N93+IF(parametros_manuales!$H$43="Todos",'Plan mensual'!N97,0)))*parametros_manuales!$I$43*parametros_manuales!$J$43</f>
        <v>18113.61426979</v>
      </c>
      <c r="M242" s="9" t="n">
        <f aca="false">(parametros_manuales!$D$43*('Plan mensual'!O90+IF(parametros_manuales!$H$43="Todos",'Plan mensual'!O94,0))+parametros_manuales!$E$43*('Plan mensual'!O91+IF(parametros_manuales!$H$43="Todos",'Plan mensual'!O95,0))+parametros_manuales!$F$43*('Plan mensual'!O92+IF(parametros_manuales!$H$43="Todos",'Plan mensual'!O96,0))+parametros_manuales!$G$43*('Plan mensual'!O93+IF(parametros_manuales!$H$43="Todos",'Plan mensual'!O97,0)))*parametros_manuales!$I$43*parametros_manuales!$J$43</f>
        <v>28840.09342997</v>
      </c>
      <c r="N242" s="9" t="n">
        <f aca="false">SUM(B242:M242)</f>
        <v>246237.836987</v>
      </c>
      <c r="O242" s="9" t="n">
        <f aca="false">MAX(B242:M242)</f>
        <v>28840.09342997</v>
      </c>
      <c r="P242" s="43" t="n">
        <f aca="false">O242/(parametros_manuales!$B$7)</f>
        <v>192.267289533133</v>
      </c>
      <c r="Q242" s="8" t="str">
        <f aca="false">IF(O242=0,"-",INDEX($B$217:$M$217,MATCH(O242,B242:M242,0)))</f>
        <v>Dic</v>
      </c>
    </row>
    <row r="243" customFormat="false" ht="14.25" hidden="false" customHeight="true" outlineLevel="0" collapsed="false"/>
    <row r="244" customFormat="false" ht="14.25" hidden="false" customHeight="true" outlineLevel="0" collapsed="false">
      <c r="A244" s="7" t="s">
        <v>199</v>
      </c>
      <c r="B244" s="7" t="s">
        <v>61</v>
      </c>
      <c r="C244" s="7" t="s">
        <v>62</v>
      </c>
      <c r="D244" s="7" t="s">
        <v>63</v>
      </c>
      <c r="E244" s="7" t="s">
        <v>64</v>
      </c>
      <c r="F244" s="7" t="s">
        <v>65</v>
      </c>
      <c r="G244" s="7" t="s">
        <v>66</v>
      </c>
      <c r="H244" s="7" t="s">
        <v>67</v>
      </c>
      <c r="I244" s="7" t="s">
        <v>68</v>
      </c>
      <c r="J244" s="7" t="s">
        <v>69</v>
      </c>
      <c r="K244" s="7" t="s">
        <v>70</v>
      </c>
      <c r="L244" s="7" t="s">
        <v>71</v>
      </c>
      <c r="M244" s="7" t="s">
        <v>72</v>
      </c>
      <c r="N244" s="7" t="s">
        <v>183</v>
      </c>
      <c r="O244" s="7" t="s">
        <v>188</v>
      </c>
      <c r="P244" s="7" t="s">
        <v>189</v>
      </c>
      <c r="Q244" s="7" t="s">
        <v>190</v>
      </c>
    </row>
    <row r="245" customFormat="false" ht="14.25" hidden="false" customHeight="true" outlineLevel="0" collapsed="false">
      <c r="A245" s="8" t="str">
        <f aca="false">parametros_manuales!$B$19</f>
        <v>Recepción de materia prima</v>
      </c>
      <c r="B245" s="9" t="n">
        <f aca="false">(parametros_manuales!$D$19*('Plan mensual'!D101+IF(parametros_manuales!$H$19="Todos",'Plan mensual'!D105,0))+parametros_manuales!$E$19*('Plan mensual'!D102+IF(parametros_manuales!$H$19="Todos",'Plan mensual'!D106,0))+parametros_manuales!$F$19*('Plan mensual'!D103+IF(parametros_manuales!$H$19="Todos",'Plan mensual'!D107,0))+parametros_manuales!$G$19*('Plan mensual'!D104+IF(parametros_manuales!$H$19="Todos",'Plan mensual'!D108,0)))*parametros_manuales!$I$19*parametros_manuales!$J$19</f>
        <v>32503.1412199</v>
      </c>
      <c r="C245" s="9" t="n">
        <f aca="false">(parametros_manuales!$D$19*('Plan mensual'!E101+IF(parametros_manuales!$H$19="Todos",'Plan mensual'!E105,0))+parametros_manuales!$E$19*('Plan mensual'!E102+IF(parametros_manuales!$H$19="Todos",'Plan mensual'!E106,0))+parametros_manuales!$F$19*('Plan mensual'!E103+IF(parametros_manuales!$H$19="Todos",'Plan mensual'!E107,0))+parametros_manuales!$G$19*('Plan mensual'!E104+IF(parametros_manuales!$H$19="Todos",'Plan mensual'!E108,0)))*parametros_manuales!$I$19*parametros_manuales!$J$19</f>
        <v>24786.78914114</v>
      </c>
      <c r="D245" s="9" t="n">
        <f aca="false">(parametros_manuales!$D$19*('Plan mensual'!F101+IF(parametros_manuales!$H$19="Todos",'Plan mensual'!F105,0))+parametros_manuales!$E$19*('Plan mensual'!F102+IF(parametros_manuales!$H$19="Todos",'Plan mensual'!F106,0))+parametros_manuales!$F$19*('Plan mensual'!F103+IF(parametros_manuales!$H$19="Todos",'Plan mensual'!F107,0))+parametros_manuales!$G$19*('Plan mensual'!F104+IF(parametros_manuales!$H$19="Todos",'Plan mensual'!F108,0)))*parametros_manuales!$I$19*parametros_manuales!$J$19</f>
        <v>23170.015976055</v>
      </c>
      <c r="E245" s="9" t="n">
        <f aca="false">(parametros_manuales!$D$19*('Plan mensual'!G101+IF(parametros_manuales!$H$19="Todos",'Plan mensual'!G105,0))+parametros_manuales!$E$19*('Plan mensual'!G102+IF(parametros_manuales!$H$19="Todos",'Plan mensual'!G106,0))+parametros_manuales!$F$19*('Plan mensual'!G103+IF(parametros_manuales!$H$19="Todos",'Plan mensual'!G107,0))+parametros_manuales!$G$19*('Plan mensual'!G104+IF(parametros_manuales!$H$19="Todos",'Plan mensual'!G108,0)))*parametros_manuales!$I$19*parametros_manuales!$J$19</f>
        <v>22156.912780405</v>
      </c>
      <c r="F245" s="9" t="n">
        <f aca="false">(parametros_manuales!$D$19*('Plan mensual'!H101+IF(parametros_manuales!$H$19="Todos",'Plan mensual'!H105,0))+parametros_manuales!$E$19*('Plan mensual'!H102+IF(parametros_manuales!$H$19="Todos",'Plan mensual'!H106,0))+parametros_manuales!$F$19*('Plan mensual'!H103+IF(parametros_manuales!$H$19="Todos",'Plan mensual'!H107,0))+parametros_manuales!$G$19*('Plan mensual'!H104+IF(parametros_manuales!$H$19="Todos",'Plan mensual'!H108,0)))*parametros_manuales!$I$19*parametros_manuales!$J$19</f>
        <v>20734.37635854</v>
      </c>
      <c r="G245" s="9" t="n">
        <f aca="false">(parametros_manuales!$D$19*('Plan mensual'!I101+IF(parametros_manuales!$H$19="Todos",'Plan mensual'!I105,0))+parametros_manuales!$E$19*('Plan mensual'!I102+IF(parametros_manuales!$H$19="Todos",'Plan mensual'!I106,0))+parametros_manuales!$F$19*('Plan mensual'!I103+IF(parametros_manuales!$H$19="Todos",'Plan mensual'!I107,0))+parametros_manuales!$G$19*('Plan mensual'!I104+IF(parametros_manuales!$H$19="Todos",'Plan mensual'!I108,0)))*parametros_manuales!$I$19*parametros_manuales!$J$19</f>
        <v>20324.943132325</v>
      </c>
      <c r="H245" s="9" t="n">
        <f aca="false">(parametros_manuales!$D$19*('Plan mensual'!J101+IF(parametros_manuales!$H$19="Todos",'Plan mensual'!J105,0))+parametros_manuales!$E$19*('Plan mensual'!J102+IF(parametros_manuales!$H$19="Todos",'Plan mensual'!J106,0))+parametros_manuales!$F$19*('Plan mensual'!J103+IF(parametros_manuales!$H$19="Todos",'Plan mensual'!J107,0))+parametros_manuales!$G$19*('Plan mensual'!J104+IF(parametros_manuales!$H$19="Todos",'Plan mensual'!J108,0)))*parametros_manuales!$I$19*parametros_manuales!$J$19</f>
        <v>21747.47955419</v>
      </c>
      <c r="I245" s="9" t="n">
        <f aca="false">(parametros_manuales!$D$19*('Plan mensual'!K101+IF(parametros_manuales!$H$19="Todos",'Plan mensual'!K105,0))+parametros_manuales!$E$19*('Plan mensual'!K102+IF(parametros_manuales!$H$19="Todos",'Plan mensual'!K106,0))+parametros_manuales!$F$19*('Plan mensual'!K103+IF(parametros_manuales!$H$19="Todos",'Plan mensual'!K107,0))+parametros_manuales!$G$19*('Plan mensual'!K104+IF(parametros_manuales!$H$19="Todos",'Plan mensual'!K108,0)))*parametros_manuales!$I$19*parametros_manuales!$J$19</f>
        <v>21747.47955419</v>
      </c>
      <c r="J245" s="9" t="n">
        <f aca="false">(parametros_manuales!$D$19*('Plan mensual'!L101+IF(parametros_manuales!$H$19="Todos",'Plan mensual'!L105,0))+parametros_manuales!$E$19*('Plan mensual'!L102+IF(parametros_manuales!$H$19="Todos",'Plan mensual'!L106,0))+parametros_manuales!$F$19*('Plan mensual'!L103+IF(parametros_manuales!$H$19="Todos",'Plan mensual'!L107,0))+parametros_manuales!$G$19*('Plan mensual'!L104+IF(parametros_manuales!$H$19="Todos",'Plan mensual'!L108,0)))*parametros_manuales!$I$19*parametros_manuales!$J$19</f>
        <v>21747.47955419</v>
      </c>
      <c r="K245" s="9" t="n">
        <f aca="false">(parametros_manuales!$D$19*('Plan mensual'!M101+IF(parametros_manuales!$H$19="Todos",'Plan mensual'!M105,0))+parametros_manuales!$E$19*('Plan mensual'!M102+IF(parametros_manuales!$H$19="Todos",'Plan mensual'!M106,0))+parametros_manuales!$F$19*('Plan mensual'!M103+IF(parametros_manuales!$H$19="Todos",'Plan mensual'!M107,0))+parametros_manuales!$G$19*('Plan mensual'!M104+IF(parametros_manuales!$H$19="Todos",'Plan mensual'!M108,0)))*parametros_manuales!$I$19*parametros_manuales!$J$19</f>
        <v>21338.046327975</v>
      </c>
      <c r="L245" s="9" t="n">
        <f aca="false">(parametros_manuales!$D$19*('Plan mensual'!N101+IF(parametros_manuales!$H$19="Todos",'Plan mensual'!N105,0))+parametros_manuales!$E$19*('Plan mensual'!N102+IF(parametros_manuales!$H$19="Todos",'Plan mensual'!N106,0))+parametros_manuales!$F$19*('Plan mensual'!N103+IF(parametros_manuales!$H$19="Todos",'Plan mensual'!N107,0))+parametros_manuales!$G$19*('Plan mensual'!N104+IF(parametros_manuales!$H$19="Todos",'Plan mensual'!N108,0)))*parametros_manuales!$I$19*parametros_manuales!$J$19</f>
        <v>20928.61310176</v>
      </c>
      <c r="M245" s="9" t="n">
        <f aca="false">(parametros_manuales!$D$19*('Plan mensual'!O101+IF(parametros_manuales!$H$19="Todos",'Plan mensual'!O105,0))+parametros_manuales!$E$19*('Plan mensual'!O102+IF(parametros_manuales!$H$19="Todos",'Plan mensual'!O106,0))+parametros_manuales!$F$19*('Plan mensual'!O103+IF(parametros_manuales!$H$19="Todos",'Plan mensual'!O107,0))+parametros_manuales!$G$19*('Plan mensual'!O104+IF(parametros_manuales!$H$19="Todos",'Plan mensual'!O108,0)))*parametros_manuales!$I$19*parametros_manuales!$J$19</f>
        <v>33322.00767233</v>
      </c>
      <c r="N245" s="9" t="n">
        <f aca="false">SUM(B245:M245)</f>
        <v>284507.284373</v>
      </c>
      <c r="O245" s="9" t="n">
        <f aca="false">MAX(B245:M245)</f>
        <v>33322.00767233</v>
      </c>
      <c r="P245" s="43" t="n">
        <f aca="false">O245/(parametros_manuales!$B$7)</f>
        <v>222.146717815533</v>
      </c>
      <c r="Q245" s="8" t="str">
        <f aca="false">IF(O245=0,"-",INDEX($B$244:$M$244,MATCH(O245,B245:M245,0)))</f>
        <v>Dic</v>
      </c>
    </row>
    <row r="246" customFormat="false" ht="14.25" hidden="false" customHeight="true" outlineLevel="0" collapsed="false">
      <c r="A246" s="8" t="str">
        <f aca="false">parametros_manuales!$B$20</f>
        <v>Corte de chapa (guillotina) — 2,5 a 10 kg</v>
      </c>
      <c r="B246" s="9" t="n">
        <f aca="false">(parametros_manuales!$D$20*('Plan mensual'!D101+IF(parametros_manuales!$H$20="Todos",'Plan mensual'!D105,0))+parametros_manuales!$E$20*('Plan mensual'!D102+IF(parametros_manuales!$H$20="Todos",'Plan mensual'!D106,0))+parametros_manuales!$F$20*('Plan mensual'!D103+IF(parametros_manuales!$H$20="Todos",'Plan mensual'!D107,0))+parametros_manuales!$G$20*('Plan mensual'!D104+IF(parametros_manuales!$H$20="Todos",'Plan mensual'!D108,0)))*parametros_manuales!$I$20*parametros_manuales!$J$20</f>
        <v>8188.6645243</v>
      </c>
      <c r="C246" s="9" t="n">
        <f aca="false">(parametros_manuales!$D$20*('Plan mensual'!E101+IF(parametros_manuales!$H$20="Todos",'Plan mensual'!E105,0))+parametros_manuales!$E$20*('Plan mensual'!E102+IF(parametros_manuales!$H$20="Todos",'Plan mensual'!E106,0))+parametros_manuales!$F$20*('Plan mensual'!E103+IF(parametros_manuales!$H$20="Todos",'Plan mensual'!E107,0))+parametros_manuales!$G$20*('Plan mensual'!E104+IF(parametros_manuales!$H$20="Todos",'Plan mensual'!E108,0)))*parametros_manuales!$I$20*parametros_manuales!$J$20</f>
        <v>6550.93161944</v>
      </c>
      <c r="D246" s="9" t="n">
        <f aca="false">(parametros_manuales!$D$20*('Plan mensual'!F101+IF(parametros_manuales!$H$20="Todos",'Plan mensual'!F105,0))+parametros_manuales!$E$20*('Plan mensual'!F102+IF(parametros_manuales!$H$20="Todos",'Plan mensual'!F106,0))+parametros_manuales!$F$20*('Plan mensual'!F103+IF(parametros_manuales!$H$20="Todos",'Plan mensual'!F107,0))+parametros_manuales!$G$20*('Plan mensual'!F104+IF(parametros_manuales!$H$20="Todos",'Plan mensual'!F108,0)))*parametros_manuales!$I$20*parametros_manuales!$J$20</f>
        <v>6960.364845655</v>
      </c>
      <c r="E246" s="9" t="n">
        <f aca="false">(parametros_manuales!$D$20*('Plan mensual'!G101+IF(parametros_manuales!$H$20="Todos",'Plan mensual'!G105,0))+parametros_manuales!$E$20*('Plan mensual'!G102+IF(parametros_manuales!$H$20="Todos",'Plan mensual'!G106,0))+parametros_manuales!$F$20*('Plan mensual'!G103+IF(parametros_manuales!$H$20="Todos",'Plan mensual'!G107,0))+parametros_manuales!$G$20*('Plan mensual'!G104+IF(parametros_manuales!$H$20="Todos",'Plan mensual'!G108,0)))*parametros_manuales!$I$20*parametros_manuales!$J$20</f>
        <v>6960.364845655</v>
      </c>
      <c r="F246" s="9" t="n">
        <f aca="false">(parametros_manuales!$D$20*('Plan mensual'!H101+IF(parametros_manuales!$H$20="Todos",'Plan mensual'!H105,0))+parametros_manuales!$E$20*('Plan mensual'!H102+IF(parametros_manuales!$H$20="Todos",'Plan mensual'!H106,0))+parametros_manuales!$F$20*('Plan mensual'!H103+IF(parametros_manuales!$H$20="Todos",'Plan mensual'!H107,0))+parametros_manuales!$G$20*('Plan mensual'!H104+IF(parametros_manuales!$H$20="Todos",'Plan mensual'!H108,0)))*parametros_manuales!$I$20*parametros_manuales!$J$20</f>
        <v>6550.93161944</v>
      </c>
      <c r="G246" s="9" t="n">
        <f aca="false">(parametros_manuales!$D$20*('Plan mensual'!I101+IF(parametros_manuales!$H$20="Todos",'Plan mensual'!I105,0))+parametros_manuales!$E$20*('Plan mensual'!I102+IF(parametros_manuales!$H$20="Todos",'Plan mensual'!I106,0))+parametros_manuales!$F$20*('Plan mensual'!I103+IF(parametros_manuales!$H$20="Todos",'Plan mensual'!I107,0))+parametros_manuales!$G$20*('Plan mensual'!I104+IF(parametros_manuales!$H$20="Todos",'Plan mensual'!I108,0)))*parametros_manuales!$I$20*parametros_manuales!$J$20</f>
        <v>6141.498393225</v>
      </c>
      <c r="H246" s="9" t="n">
        <f aca="false">(parametros_manuales!$D$20*('Plan mensual'!J101+IF(parametros_manuales!$H$20="Todos",'Plan mensual'!J105,0))+parametros_manuales!$E$20*('Plan mensual'!J102+IF(parametros_manuales!$H$20="Todos",'Plan mensual'!J106,0))+parametros_manuales!$F$20*('Plan mensual'!J103+IF(parametros_manuales!$H$20="Todos",'Plan mensual'!J107,0))+parametros_manuales!$G$20*('Plan mensual'!J104+IF(parametros_manuales!$H$20="Todos",'Plan mensual'!J108,0)))*parametros_manuales!$I$20*parametros_manuales!$J$20</f>
        <v>6550.93161944</v>
      </c>
      <c r="I246" s="9" t="n">
        <f aca="false">(parametros_manuales!$D$20*('Plan mensual'!K101+IF(parametros_manuales!$H$20="Todos",'Plan mensual'!K105,0))+parametros_manuales!$E$20*('Plan mensual'!K102+IF(parametros_manuales!$H$20="Todos",'Plan mensual'!K106,0))+parametros_manuales!$F$20*('Plan mensual'!K103+IF(parametros_manuales!$H$20="Todos",'Plan mensual'!K107,0))+parametros_manuales!$G$20*('Plan mensual'!K104+IF(parametros_manuales!$H$20="Todos",'Plan mensual'!K108,0)))*parametros_manuales!$I$20*parametros_manuales!$J$20</f>
        <v>6550.93161944</v>
      </c>
      <c r="J246" s="9" t="n">
        <f aca="false">(parametros_manuales!$D$20*('Plan mensual'!L101+IF(parametros_manuales!$H$20="Todos",'Plan mensual'!L105,0))+parametros_manuales!$E$20*('Plan mensual'!L102+IF(parametros_manuales!$H$20="Todos",'Plan mensual'!L106,0))+parametros_manuales!$F$20*('Plan mensual'!L103+IF(parametros_manuales!$H$20="Todos",'Plan mensual'!L107,0))+parametros_manuales!$G$20*('Plan mensual'!L104+IF(parametros_manuales!$H$20="Todos",'Plan mensual'!L108,0)))*parametros_manuales!$I$20*parametros_manuales!$J$20</f>
        <v>6550.93161944</v>
      </c>
      <c r="K246" s="9" t="n">
        <f aca="false">(parametros_manuales!$D$20*('Plan mensual'!M101+IF(parametros_manuales!$H$20="Todos",'Plan mensual'!M105,0))+parametros_manuales!$E$20*('Plan mensual'!M102+IF(parametros_manuales!$H$20="Todos",'Plan mensual'!M106,0))+parametros_manuales!$F$20*('Plan mensual'!M103+IF(parametros_manuales!$H$20="Todos",'Plan mensual'!M107,0))+parametros_manuales!$G$20*('Plan mensual'!M104+IF(parametros_manuales!$H$20="Todos",'Plan mensual'!M108,0)))*parametros_manuales!$I$20*parametros_manuales!$J$20</f>
        <v>6141.498393225</v>
      </c>
      <c r="L246" s="9" t="n">
        <f aca="false">(parametros_manuales!$D$20*('Plan mensual'!N101+IF(parametros_manuales!$H$20="Todos",'Plan mensual'!N105,0))+parametros_manuales!$E$20*('Plan mensual'!N102+IF(parametros_manuales!$H$20="Todos",'Plan mensual'!N106,0))+parametros_manuales!$F$20*('Plan mensual'!N103+IF(parametros_manuales!$H$20="Todos",'Plan mensual'!N107,0))+parametros_manuales!$G$20*('Plan mensual'!N104+IF(parametros_manuales!$H$20="Todos",'Plan mensual'!N108,0)))*parametros_manuales!$I$20*parametros_manuales!$J$20</f>
        <v>5732.06516701</v>
      </c>
      <c r="M246" s="9" t="n">
        <f aca="false">(parametros_manuales!$D$20*('Plan mensual'!O101+IF(parametros_manuales!$H$20="Todos",'Plan mensual'!O105,0))+parametros_manuales!$E$20*('Plan mensual'!O102+IF(parametros_manuales!$H$20="Todos",'Plan mensual'!O106,0))+parametros_manuales!$F$20*('Plan mensual'!O103+IF(parametros_manuales!$H$20="Todos",'Plan mensual'!O107,0))+parametros_manuales!$G$20*('Plan mensual'!O104+IF(parametros_manuales!$H$20="Todos",'Plan mensual'!O108,0)))*parametros_manuales!$I$20*parametros_manuales!$J$20</f>
        <v>9007.53097673</v>
      </c>
      <c r="N246" s="9" t="n">
        <f aca="false">SUM(B246:M246)</f>
        <v>81886.645243</v>
      </c>
      <c r="O246" s="9" t="n">
        <f aca="false">MAX(B246:M246)</f>
        <v>9007.53097673</v>
      </c>
      <c r="P246" s="43" t="n">
        <f aca="false">O246/(parametros_manuales!$B$7)</f>
        <v>60.0502065115333</v>
      </c>
      <c r="Q246" s="8" t="str">
        <f aca="false">IF(O246=0,"-",INDEX($B$244:$M$244,MATCH(O246,B246:M246,0)))</f>
        <v>Dic</v>
      </c>
    </row>
    <row r="247" customFormat="false" ht="14.25" hidden="false" customHeight="true" outlineLevel="0" collapsed="false">
      <c r="A247" s="8" t="str">
        <f aca="false">parametros_manuales!$B$21</f>
        <v>Corte de tubo — 1 kg</v>
      </c>
      <c r="B247" s="9" t="n">
        <f aca="false">(parametros_manuales!$D$21*('Plan mensual'!D101+IF(parametros_manuales!$H$21="Todos",'Plan mensual'!D105,0))+parametros_manuales!$E$21*('Plan mensual'!D102+IF(parametros_manuales!$H$21="Todos",'Plan mensual'!D106,0))+parametros_manuales!$F$21*('Plan mensual'!D103+IF(parametros_manuales!$H$21="Todos",'Plan mensual'!D107,0))+parametros_manuales!$G$21*('Plan mensual'!D104+IF(parametros_manuales!$H$21="Todos",'Plan mensual'!D108,0)))*parametros_manuales!$I$21*parametros_manuales!$J$21</f>
        <v>24314.4766956</v>
      </c>
      <c r="C247" s="9" t="n">
        <f aca="false">(parametros_manuales!$D$21*('Plan mensual'!E101+IF(parametros_manuales!$H$21="Todos",'Plan mensual'!E105,0))+parametros_manuales!$E$21*('Plan mensual'!E102+IF(parametros_manuales!$H$21="Todos",'Plan mensual'!E106,0))+parametros_manuales!$F$21*('Plan mensual'!E103+IF(parametros_manuales!$H$21="Todos",'Plan mensual'!E107,0))+parametros_manuales!$G$21*('Plan mensual'!E104+IF(parametros_manuales!$H$21="Todos",'Plan mensual'!E108,0)))*parametros_manuales!$I$21*parametros_manuales!$J$21</f>
        <v>18235.8575217</v>
      </c>
      <c r="D247" s="9" t="n">
        <f aca="false">(parametros_manuales!$D$21*('Plan mensual'!F101+IF(parametros_manuales!$H$21="Todos",'Plan mensual'!F105,0))+parametros_manuales!$E$21*('Plan mensual'!F102+IF(parametros_manuales!$H$21="Todos",'Plan mensual'!F106,0))+parametros_manuales!$F$21*('Plan mensual'!F103+IF(parametros_manuales!$H$21="Todos",'Plan mensual'!F107,0))+parametros_manuales!$G$21*('Plan mensual'!F104+IF(parametros_manuales!$H$21="Todos",'Plan mensual'!F108,0)))*parametros_manuales!$I$21*parametros_manuales!$J$21</f>
        <v>16209.6511304</v>
      </c>
      <c r="E247" s="9" t="n">
        <f aca="false">(parametros_manuales!$D$21*('Plan mensual'!G101+IF(parametros_manuales!$H$21="Todos",'Plan mensual'!G105,0))+parametros_manuales!$E$21*('Plan mensual'!G102+IF(parametros_manuales!$H$21="Todos",'Plan mensual'!G106,0))+parametros_manuales!$F$21*('Plan mensual'!G103+IF(parametros_manuales!$H$21="Todos",'Plan mensual'!G107,0))+parametros_manuales!$G$21*('Plan mensual'!G104+IF(parametros_manuales!$H$21="Todos",'Plan mensual'!G108,0)))*parametros_manuales!$I$21*parametros_manuales!$J$21</f>
        <v>15196.54793475</v>
      </c>
      <c r="F247" s="9" t="n">
        <f aca="false">(parametros_manuales!$D$21*('Plan mensual'!H101+IF(parametros_manuales!$H$21="Todos",'Plan mensual'!H105,0))+parametros_manuales!$E$21*('Plan mensual'!H102+IF(parametros_manuales!$H$21="Todos",'Plan mensual'!H106,0))+parametros_manuales!$F$21*('Plan mensual'!H103+IF(parametros_manuales!$H$21="Todos",'Plan mensual'!H107,0))+parametros_manuales!$G$21*('Plan mensual'!H104+IF(parametros_manuales!$H$21="Todos",'Plan mensual'!H108,0)))*parametros_manuales!$I$21*parametros_manuales!$J$21</f>
        <v>14183.4447391</v>
      </c>
      <c r="G247" s="9" t="n">
        <f aca="false">(parametros_manuales!$D$21*('Plan mensual'!I101+IF(parametros_manuales!$H$21="Todos",'Plan mensual'!I105,0))+parametros_manuales!$E$21*('Plan mensual'!I102+IF(parametros_manuales!$H$21="Todos",'Plan mensual'!I106,0))+parametros_manuales!$F$21*('Plan mensual'!I103+IF(parametros_manuales!$H$21="Todos",'Plan mensual'!I107,0))+parametros_manuales!$G$21*('Plan mensual'!I104+IF(parametros_manuales!$H$21="Todos",'Plan mensual'!I108,0)))*parametros_manuales!$I$21*parametros_manuales!$J$21</f>
        <v>14183.4447391</v>
      </c>
      <c r="H247" s="9" t="n">
        <f aca="false">(parametros_manuales!$D$21*('Plan mensual'!J101+IF(parametros_manuales!$H$21="Todos",'Plan mensual'!J105,0))+parametros_manuales!$E$21*('Plan mensual'!J102+IF(parametros_manuales!$H$21="Todos",'Plan mensual'!J106,0))+parametros_manuales!$F$21*('Plan mensual'!J103+IF(parametros_manuales!$H$21="Todos",'Plan mensual'!J107,0))+parametros_manuales!$G$21*('Plan mensual'!J104+IF(parametros_manuales!$H$21="Todos",'Plan mensual'!J108,0)))*parametros_manuales!$I$21*parametros_manuales!$J$21</f>
        <v>15196.54793475</v>
      </c>
      <c r="I247" s="9" t="n">
        <f aca="false">(parametros_manuales!$D$21*('Plan mensual'!K101+IF(parametros_manuales!$H$21="Todos",'Plan mensual'!K105,0))+parametros_manuales!$E$21*('Plan mensual'!K102+IF(parametros_manuales!$H$21="Todos",'Plan mensual'!K106,0))+parametros_manuales!$F$21*('Plan mensual'!K103+IF(parametros_manuales!$H$21="Todos",'Plan mensual'!K107,0))+parametros_manuales!$G$21*('Plan mensual'!K104+IF(parametros_manuales!$H$21="Todos",'Plan mensual'!K108,0)))*parametros_manuales!$I$21*parametros_manuales!$J$21</f>
        <v>15196.54793475</v>
      </c>
      <c r="J247" s="9" t="n">
        <f aca="false">(parametros_manuales!$D$21*('Plan mensual'!L101+IF(parametros_manuales!$H$21="Todos",'Plan mensual'!L105,0))+parametros_manuales!$E$21*('Plan mensual'!L102+IF(parametros_manuales!$H$21="Todos",'Plan mensual'!L106,0))+parametros_manuales!$F$21*('Plan mensual'!L103+IF(parametros_manuales!$H$21="Todos",'Plan mensual'!L107,0))+parametros_manuales!$G$21*('Plan mensual'!L104+IF(parametros_manuales!$H$21="Todos",'Plan mensual'!L108,0)))*parametros_manuales!$I$21*parametros_manuales!$J$21</f>
        <v>15196.54793475</v>
      </c>
      <c r="K247" s="9" t="n">
        <f aca="false">(parametros_manuales!$D$21*('Plan mensual'!M101+IF(parametros_manuales!$H$21="Todos",'Plan mensual'!M105,0))+parametros_manuales!$E$21*('Plan mensual'!M102+IF(parametros_manuales!$H$21="Todos",'Plan mensual'!M106,0))+parametros_manuales!$F$21*('Plan mensual'!M103+IF(parametros_manuales!$H$21="Todos",'Plan mensual'!M107,0))+parametros_manuales!$G$21*('Plan mensual'!M104+IF(parametros_manuales!$H$21="Todos",'Plan mensual'!M108,0)))*parametros_manuales!$I$21*parametros_manuales!$J$21</f>
        <v>15196.54793475</v>
      </c>
      <c r="L247" s="9" t="n">
        <f aca="false">(parametros_manuales!$D$21*('Plan mensual'!N101+IF(parametros_manuales!$H$21="Todos",'Plan mensual'!N105,0))+parametros_manuales!$E$21*('Plan mensual'!N102+IF(parametros_manuales!$H$21="Todos",'Plan mensual'!N106,0))+parametros_manuales!$F$21*('Plan mensual'!N103+IF(parametros_manuales!$H$21="Todos",'Plan mensual'!N107,0))+parametros_manuales!$G$21*('Plan mensual'!N104+IF(parametros_manuales!$H$21="Todos",'Plan mensual'!N108,0)))*parametros_manuales!$I$21*parametros_manuales!$J$21</f>
        <v>15196.54793475</v>
      </c>
      <c r="M247" s="9" t="n">
        <f aca="false">(parametros_manuales!$D$21*('Plan mensual'!O101+IF(parametros_manuales!$H$21="Todos",'Plan mensual'!O105,0))+parametros_manuales!$E$21*('Plan mensual'!O102+IF(parametros_manuales!$H$21="Todos",'Plan mensual'!O106,0))+parametros_manuales!$F$21*('Plan mensual'!O103+IF(parametros_manuales!$H$21="Todos",'Plan mensual'!O107,0))+parametros_manuales!$G$21*('Plan mensual'!O104+IF(parametros_manuales!$H$21="Todos",'Plan mensual'!O108,0)))*parametros_manuales!$I$21*parametros_manuales!$J$21</f>
        <v>24314.4766956</v>
      </c>
      <c r="N247" s="9" t="n">
        <f aca="false">SUM(B247:M247)</f>
        <v>202620.63913</v>
      </c>
      <c r="O247" s="9" t="n">
        <f aca="false">MAX(B247:M247)</f>
        <v>24314.4766956</v>
      </c>
      <c r="P247" s="43" t="n">
        <f aca="false">O247/(parametros_manuales!$B$7)</f>
        <v>162.096511304</v>
      </c>
      <c r="Q247" s="8" t="str">
        <f aca="false">IF(O247=0,"-",INDEX($B$244:$M$244,MATCH(O247,B247:M247,0)))</f>
        <v>Ene</v>
      </c>
    </row>
    <row r="248" customFormat="false" ht="14.25" hidden="false" customHeight="true" outlineLevel="0" collapsed="false">
      <c r="A248" s="8" t="str">
        <f aca="false">parametros_manuales!$B$22</f>
        <v>Corte de disco y embutido (cúpula y fondo)</v>
      </c>
      <c r="B248" s="9" t="n">
        <f aca="false">(parametros_manuales!$D$22*('Plan mensual'!D101+IF(parametros_manuales!$H$22="Todos",'Plan mensual'!D105,0))+parametros_manuales!$E$22*('Plan mensual'!D102+IF(parametros_manuales!$H$22="Todos",'Plan mensual'!D106,0))+parametros_manuales!$F$22*('Plan mensual'!D103+IF(parametros_manuales!$H$22="Todos",'Plan mensual'!D107,0))+parametros_manuales!$G$22*('Plan mensual'!D104+IF(parametros_manuales!$H$22="Todos",'Plan mensual'!D108,0)))*parametros_manuales!$I$22*parametros_manuales!$J$22</f>
        <v>65006.2824398</v>
      </c>
      <c r="C248" s="9" t="n">
        <f aca="false">(parametros_manuales!$D$22*('Plan mensual'!E101+IF(parametros_manuales!$H$22="Todos",'Plan mensual'!E105,0))+parametros_manuales!$E$22*('Plan mensual'!E102+IF(parametros_manuales!$H$22="Todos",'Plan mensual'!E106,0))+parametros_manuales!$F$22*('Plan mensual'!E103+IF(parametros_manuales!$H$22="Todos",'Plan mensual'!E107,0))+parametros_manuales!$G$22*('Plan mensual'!E104+IF(parametros_manuales!$H$22="Todos",'Plan mensual'!E108,0)))*parametros_manuales!$I$22*parametros_manuales!$J$22</f>
        <v>49573.57828228</v>
      </c>
      <c r="D248" s="9" t="n">
        <f aca="false">(parametros_manuales!$D$22*('Plan mensual'!F101+IF(parametros_manuales!$H$22="Todos",'Plan mensual'!F105,0))+parametros_manuales!$E$22*('Plan mensual'!F102+IF(parametros_manuales!$H$22="Todos",'Plan mensual'!F106,0))+parametros_manuales!$F$22*('Plan mensual'!F103+IF(parametros_manuales!$H$22="Todos",'Plan mensual'!F107,0))+parametros_manuales!$G$22*('Plan mensual'!F104+IF(parametros_manuales!$H$22="Todos",'Plan mensual'!F108,0)))*parametros_manuales!$I$22*parametros_manuales!$J$22</f>
        <v>46340.03195211</v>
      </c>
      <c r="E248" s="9" t="n">
        <f aca="false">(parametros_manuales!$D$22*('Plan mensual'!G101+IF(parametros_manuales!$H$22="Todos",'Plan mensual'!G105,0))+parametros_manuales!$E$22*('Plan mensual'!G102+IF(parametros_manuales!$H$22="Todos",'Plan mensual'!G106,0))+parametros_manuales!$F$22*('Plan mensual'!G103+IF(parametros_manuales!$H$22="Todos",'Plan mensual'!G107,0))+parametros_manuales!$G$22*('Plan mensual'!G104+IF(parametros_manuales!$H$22="Todos",'Plan mensual'!G108,0)))*parametros_manuales!$I$22*parametros_manuales!$J$22</f>
        <v>44313.82556081</v>
      </c>
      <c r="F248" s="9" t="n">
        <f aca="false">(parametros_manuales!$D$22*('Plan mensual'!H101+IF(parametros_manuales!$H$22="Todos",'Plan mensual'!H105,0))+parametros_manuales!$E$22*('Plan mensual'!H102+IF(parametros_manuales!$H$22="Todos",'Plan mensual'!H106,0))+parametros_manuales!$F$22*('Plan mensual'!H103+IF(parametros_manuales!$H$22="Todos",'Plan mensual'!H107,0))+parametros_manuales!$G$22*('Plan mensual'!H104+IF(parametros_manuales!$H$22="Todos",'Plan mensual'!H108,0)))*parametros_manuales!$I$22*parametros_manuales!$J$22</f>
        <v>41468.75271708</v>
      </c>
      <c r="G248" s="9" t="n">
        <f aca="false">(parametros_manuales!$D$22*('Plan mensual'!I101+IF(parametros_manuales!$H$22="Todos",'Plan mensual'!I105,0))+parametros_manuales!$E$22*('Plan mensual'!I102+IF(parametros_manuales!$H$22="Todos",'Plan mensual'!I106,0))+parametros_manuales!$F$22*('Plan mensual'!I103+IF(parametros_manuales!$H$22="Todos",'Plan mensual'!I107,0))+parametros_manuales!$G$22*('Plan mensual'!I104+IF(parametros_manuales!$H$22="Todos",'Plan mensual'!I108,0)))*parametros_manuales!$I$22*parametros_manuales!$J$22</f>
        <v>40649.88626465</v>
      </c>
      <c r="H248" s="9" t="n">
        <f aca="false">(parametros_manuales!$D$22*('Plan mensual'!J101+IF(parametros_manuales!$H$22="Todos",'Plan mensual'!J105,0))+parametros_manuales!$E$22*('Plan mensual'!J102+IF(parametros_manuales!$H$22="Todos",'Plan mensual'!J106,0))+parametros_manuales!$F$22*('Plan mensual'!J103+IF(parametros_manuales!$H$22="Todos",'Plan mensual'!J107,0))+parametros_manuales!$G$22*('Plan mensual'!J104+IF(parametros_manuales!$H$22="Todos",'Plan mensual'!J108,0)))*parametros_manuales!$I$22*parametros_manuales!$J$22</f>
        <v>43494.95910838</v>
      </c>
      <c r="I248" s="9" t="n">
        <f aca="false">(parametros_manuales!$D$22*('Plan mensual'!K101+IF(parametros_manuales!$H$22="Todos",'Plan mensual'!K105,0))+parametros_manuales!$E$22*('Plan mensual'!K102+IF(parametros_manuales!$H$22="Todos",'Plan mensual'!K106,0))+parametros_manuales!$F$22*('Plan mensual'!K103+IF(parametros_manuales!$H$22="Todos",'Plan mensual'!K107,0))+parametros_manuales!$G$22*('Plan mensual'!K104+IF(parametros_manuales!$H$22="Todos",'Plan mensual'!K108,0)))*parametros_manuales!$I$22*parametros_manuales!$J$22</f>
        <v>43494.95910838</v>
      </c>
      <c r="J248" s="9" t="n">
        <f aca="false">(parametros_manuales!$D$22*('Plan mensual'!L101+IF(parametros_manuales!$H$22="Todos",'Plan mensual'!L105,0))+parametros_manuales!$E$22*('Plan mensual'!L102+IF(parametros_manuales!$H$22="Todos",'Plan mensual'!L106,0))+parametros_manuales!$F$22*('Plan mensual'!L103+IF(parametros_manuales!$H$22="Todos",'Plan mensual'!L107,0))+parametros_manuales!$G$22*('Plan mensual'!L104+IF(parametros_manuales!$H$22="Todos",'Plan mensual'!L108,0)))*parametros_manuales!$I$22*parametros_manuales!$J$22</f>
        <v>43494.95910838</v>
      </c>
      <c r="K248" s="9" t="n">
        <f aca="false">(parametros_manuales!$D$22*('Plan mensual'!M101+IF(parametros_manuales!$H$22="Todos",'Plan mensual'!M105,0))+parametros_manuales!$E$22*('Plan mensual'!M102+IF(parametros_manuales!$H$22="Todos",'Plan mensual'!M106,0))+parametros_manuales!$F$22*('Plan mensual'!M103+IF(parametros_manuales!$H$22="Todos",'Plan mensual'!M107,0))+parametros_manuales!$G$22*('Plan mensual'!M104+IF(parametros_manuales!$H$22="Todos",'Plan mensual'!M108,0)))*parametros_manuales!$I$22*parametros_manuales!$J$22</f>
        <v>42676.09265595</v>
      </c>
      <c r="L248" s="9" t="n">
        <f aca="false">(parametros_manuales!$D$22*('Plan mensual'!N101+IF(parametros_manuales!$H$22="Todos",'Plan mensual'!N105,0))+parametros_manuales!$E$22*('Plan mensual'!N102+IF(parametros_manuales!$H$22="Todos",'Plan mensual'!N106,0))+parametros_manuales!$F$22*('Plan mensual'!N103+IF(parametros_manuales!$H$22="Todos",'Plan mensual'!N107,0))+parametros_manuales!$G$22*('Plan mensual'!N104+IF(parametros_manuales!$H$22="Todos",'Plan mensual'!N108,0)))*parametros_manuales!$I$22*parametros_manuales!$J$22</f>
        <v>41857.22620352</v>
      </c>
      <c r="M248" s="9" t="n">
        <f aca="false">(parametros_manuales!$D$22*('Plan mensual'!O101+IF(parametros_manuales!$H$22="Todos",'Plan mensual'!O105,0))+parametros_manuales!$E$22*('Plan mensual'!O102+IF(parametros_manuales!$H$22="Todos",'Plan mensual'!O106,0))+parametros_manuales!$F$22*('Plan mensual'!O103+IF(parametros_manuales!$H$22="Todos",'Plan mensual'!O107,0))+parametros_manuales!$G$22*('Plan mensual'!O104+IF(parametros_manuales!$H$22="Todos",'Plan mensual'!O108,0)))*parametros_manuales!$I$22*parametros_manuales!$J$22</f>
        <v>66644.01534466</v>
      </c>
      <c r="N248" s="9" t="n">
        <f aca="false">SUM(B248:M248)</f>
        <v>569014.568746</v>
      </c>
      <c r="O248" s="9" t="n">
        <f aca="false">MAX(B248:M248)</f>
        <v>66644.01534466</v>
      </c>
      <c r="P248" s="43" t="n">
        <f aca="false">O248/(parametros_manuales!$B$7)</f>
        <v>444.293435631067</v>
      </c>
      <c r="Q248" s="8" t="str">
        <f aca="false">IF(O248=0,"-",INDEX($B$244:$M$244,MATCH(O248,B248:M248,0)))</f>
        <v>Dic</v>
      </c>
    </row>
    <row r="249" customFormat="false" ht="14.25" hidden="false" customHeight="true" outlineLevel="0" collapsed="false">
      <c r="A249" s="8" t="str">
        <f aca="false">parametros_manuales!$B$23</f>
        <v>Preparación de cuello</v>
      </c>
      <c r="B249" s="9" t="n">
        <f aca="false">(parametros_manuales!$D$23*('Plan mensual'!D101+IF(parametros_manuales!$H$23="Todos",'Plan mensual'!D105,0))+parametros_manuales!$E$23*('Plan mensual'!D102+IF(parametros_manuales!$H$23="Todos",'Plan mensual'!D106,0))+parametros_manuales!$F$23*('Plan mensual'!D103+IF(parametros_manuales!$H$23="Todos",'Plan mensual'!D107,0))+parametros_manuales!$G$23*('Plan mensual'!D104+IF(parametros_manuales!$H$23="Todos",'Plan mensual'!D108,0)))*parametros_manuales!$I$23*parametros_manuales!$J$23</f>
        <v>32503.1412199</v>
      </c>
      <c r="C249" s="9" t="n">
        <f aca="false">(parametros_manuales!$D$23*('Plan mensual'!E101+IF(parametros_manuales!$H$23="Todos",'Plan mensual'!E105,0))+parametros_manuales!$E$23*('Plan mensual'!E102+IF(parametros_manuales!$H$23="Todos",'Plan mensual'!E106,0))+parametros_manuales!$F$23*('Plan mensual'!E103+IF(parametros_manuales!$H$23="Todos",'Plan mensual'!E107,0))+parametros_manuales!$G$23*('Plan mensual'!E104+IF(parametros_manuales!$H$23="Todos",'Plan mensual'!E108,0)))*parametros_manuales!$I$23*parametros_manuales!$J$23</f>
        <v>24786.78914114</v>
      </c>
      <c r="D249" s="9" t="n">
        <f aca="false">(parametros_manuales!$D$23*('Plan mensual'!F101+IF(parametros_manuales!$H$23="Todos",'Plan mensual'!F105,0))+parametros_manuales!$E$23*('Plan mensual'!F102+IF(parametros_manuales!$H$23="Todos",'Plan mensual'!F106,0))+parametros_manuales!$F$23*('Plan mensual'!F103+IF(parametros_manuales!$H$23="Todos",'Plan mensual'!F107,0))+parametros_manuales!$G$23*('Plan mensual'!F104+IF(parametros_manuales!$H$23="Todos",'Plan mensual'!F108,0)))*parametros_manuales!$I$23*parametros_manuales!$J$23</f>
        <v>23170.015976055</v>
      </c>
      <c r="E249" s="9" t="n">
        <f aca="false">(parametros_manuales!$D$23*('Plan mensual'!G101+IF(parametros_manuales!$H$23="Todos",'Plan mensual'!G105,0))+parametros_manuales!$E$23*('Plan mensual'!G102+IF(parametros_manuales!$H$23="Todos",'Plan mensual'!G106,0))+parametros_manuales!$F$23*('Plan mensual'!G103+IF(parametros_manuales!$H$23="Todos",'Plan mensual'!G107,0))+parametros_manuales!$G$23*('Plan mensual'!G104+IF(parametros_manuales!$H$23="Todos",'Plan mensual'!G108,0)))*parametros_manuales!$I$23*parametros_manuales!$J$23</f>
        <v>22156.912780405</v>
      </c>
      <c r="F249" s="9" t="n">
        <f aca="false">(parametros_manuales!$D$23*('Plan mensual'!H101+IF(parametros_manuales!$H$23="Todos",'Plan mensual'!H105,0))+parametros_manuales!$E$23*('Plan mensual'!H102+IF(parametros_manuales!$H$23="Todos",'Plan mensual'!H106,0))+parametros_manuales!$F$23*('Plan mensual'!H103+IF(parametros_manuales!$H$23="Todos",'Plan mensual'!H107,0))+parametros_manuales!$G$23*('Plan mensual'!H104+IF(parametros_manuales!$H$23="Todos",'Plan mensual'!H108,0)))*parametros_manuales!$I$23*parametros_manuales!$J$23</f>
        <v>20734.37635854</v>
      </c>
      <c r="G249" s="9" t="n">
        <f aca="false">(parametros_manuales!$D$23*('Plan mensual'!I101+IF(parametros_manuales!$H$23="Todos",'Plan mensual'!I105,0))+parametros_manuales!$E$23*('Plan mensual'!I102+IF(parametros_manuales!$H$23="Todos",'Plan mensual'!I106,0))+parametros_manuales!$F$23*('Plan mensual'!I103+IF(parametros_manuales!$H$23="Todos",'Plan mensual'!I107,0))+parametros_manuales!$G$23*('Plan mensual'!I104+IF(parametros_manuales!$H$23="Todos",'Plan mensual'!I108,0)))*parametros_manuales!$I$23*parametros_manuales!$J$23</f>
        <v>20324.943132325</v>
      </c>
      <c r="H249" s="9" t="n">
        <f aca="false">(parametros_manuales!$D$23*('Plan mensual'!J101+IF(parametros_manuales!$H$23="Todos",'Plan mensual'!J105,0))+parametros_manuales!$E$23*('Plan mensual'!J102+IF(parametros_manuales!$H$23="Todos",'Plan mensual'!J106,0))+parametros_manuales!$F$23*('Plan mensual'!J103+IF(parametros_manuales!$H$23="Todos",'Plan mensual'!J107,0))+parametros_manuales!$G$23*('Plan mensual'!J104+IF(parametros_manuales!$H$23="Todos",'Plan mensual'!J108,0)))*parametros_manuales!$I$23*parametros_manuales!$J$23</f>
        <v>21747.47955419</v>
      </c>
      <c r="I249" s="9" t="n">
        <f aca="false">(parametros_manuales!$D$23*('Plan mensual'!K101+IF(parametros_manuales!$H$23="Todos",'Plan mensual'!K105,0))+parametros_manuales!$E$23*('Plan mensual'!K102+IF(parametros_manuales!$H$23="Todos",'Plan mensual'!K106,0))+parametros_manuales!$F$23*('Plan mensual'!K103+IF(parametros_manuales!$H$23="Todos",'Plan mensual'!K107,0))+parametros_manuales!$G$23*('Plan mensual'!K104+IF(parametros_manuales!$H$23="Todos",'Plan mensual'!K108,0)))*parametros_manuales!$I$23*parametros_manuales!$J$23</f>
        <v>21747.47955419</v>
      </c>
      <c r="J249" s="9" t="n">
        <f aca="false">(parametros_manuales!$D$23*('Plan mensual'!L101+IF(parametros_manuales!$H$23="Todos",'Plan mensual'!L105,0))+parametros_manuales!$E$23*('Plan mensual'!L102+IF(parametros_manuales!$H$23="Todos",'Plan mensual'!L106,0))+parametros_manuales!$F$23*('Plan mensual'!L103+IF(parametros_manuales!$H$23="Todos",'Plan mensual'!L107,0))+parametros_manuales!$G$23*('Plan mensual'!L104+IF(parametros_manuales!$H$23="Todos",'Plan mensual'!L108,0)))*parametros_manuales!$I$23*parametros_manuales!$J$23</f>
        <v>21747.47955419</v>
      </c>
      <c r="K249" s="9" t="n">
        <f aca="false">(parametros_manuales!$D$23*('Plan mensual'!M101+IF(parametros_manuales!$H$23="Todos",'Plan mensual'!M105,0))+parametros_manuales!$E$23*('Plan mensual'!M102+IF(parametros_manuales!$H$23="Todos",'Plan mensual'!M106,0))+parametros_manuales!$F$23*('Plan mensual'!M103+IF(parametros_manuales!$H$23="Todos",'Plan mensual'!M107,0))+parametros_manuales!$G$23*('Plan mensual'!M104+IF(parametros_manuales!$H$23="Todos",'Plan mensual'!M108,0)))*parametros_manuales!$I$23*parametros_manuales!$J$23</f>
        <v>21338.046327975</v>
      </c>
      <c r="L249" s="9" t="n">
        <f aca="false">(parametros_manuales!$D$23*('Plan mensual'!N101+IF(parametros_manuales!$H$23="Todos",'Plan mensual'!N105,0))+parametros_manuales!$E$23*('Plan mensual'!N102+IF(parametros_manuales!$H$23="Todos",'Plan mensual'!N106,0))+parametros_manuales!$F$23*('Plan mensual'!N103+IF(parametros_manuales!$H$23="Todos",'Plan mensual'!N107,0))+parametros_manuales!$G$23*('Plan mensual'!N104+IF(parametros_manuales!$H$23="Todos",'Plan mensual'!N108,0)))*parametros_manuales!$I$23*parametros_manuales!$J$23</f>
        <v>20928.61310176</v>
      </c>
      <c r="M249" s="9" t="n">
        <f aca="false">(parametros_manuales!$D$23*('Plan mensual'!O101+IF(parametros_manuales!$H$23="Todos",'Plan mensual'!O105,0))+parametros_manuales!$E$23*('Plan mensual'!O102+IF(parametros_manuales!$H$23="Todos",'Plan mensual'!O106,0))+parametros_manuales!$F$23*('Plan mensual'!O103+IF(parametros_manuales!$H$23="Todos",'Plan mensual'!O107,0))+parametros_manuales!$G$23*('Plan mensual'!O104+IF(parametros_manuales!$H$23="Todos",'Plan mensual'!O108,0)))*parametros_manuales!$I$23*parametros_manuales!$J$23</f>
        <v>33322.00767233</v>
      </c>
      <c r="N249" s="9" t="n">
        <f aca="false">SUM(B249:M249)</f>
        <v>284507.284373</v>
      </c>
      <c r="O249" s="9" t="n">
        <f aca="false">MAX(B249:M249)</f>
        <v>33322.00767233</v>
      </c>
      <c r="P249" s="43" t="n">
        <f aca="false">O249/(parametros_manuales!$B$7)</f>
        <v>222.146717815533</v>
      </c>
      <c r="Q249" s="8" t="str">
        <f aca="false">IF(O249=0,"-",INDEX($B$244:$M$244,MATCH(O249,B249:M249,0)))</f>
        <v>Dic</v>
      </c>
    </row>
    <row r="250" customFormat="false" ht="14.25" hidden="false" customHeight="true" outlineLevel="0" collapsed="false">
      <c r="A250" s="8" t="str">
        <f aca="false">parametros_manuales!$B$24</f>
        <v>Numerado de cúpula</v>
      </c>
      <c r="B250" s="9" t="n">
        <f aca="false">(parametros_manuales!$D$24*('Plan mensual'!D101+IF(parametros_manuales!$H$24="Todos",'Plan mensual'!D105,0))+parametros_manuales!$E$24*('Plan mensual'!D102+IF(parametros_manuales!$H$24="Todos",'Plan mensual'!D106,0))+parametros_manuales!$F$24*('Plan mensual'!D103+IF(parametros_manuales!$H$24="Todos",'Plan mensual'!D107,0))+parametros_manuales!$G$24*('Plan mensual'!D104+IF(parametros_manuales!$H$24="Todos",'Plan mensual'!D108,0)))*parametros_manuales!$I$24*parametros_manuales!$J$24</f>
        <v>32503.1412199</v>
      </c>
      <c r="C250" s="9" t="n">
        <f aca="false">(parametros_manuales!$D$24*('Plan mensual'!E101+IF(parametros_manuales!$H$24="Todos",'Plan mensual'!E105,0))+parametros_manuales!$E$24*('Plan mensual'!E102+IF(parametros_manuales!$H$24="Todos",'Plan mensual'!E106,0))+parametros_manuales!$F$24*('Plan mensual'!E103+IF(parametros_manuales!$H$24="Todos",'Plan mensual'!E107,0))+parametros_manuales!$G$24*('Plan mensual'!E104+IF(parametros_manuales!$H$24="Todos",'Plan mensual'!E108,0)))*parametros_manuales!$I$24*parametros_manuales!$J$24</f>
        <v>24786.78914114</v>
      </c>
      <c r="D250" s="9" t="n">
        <f aca="false">(parametros_manuales!$D$24*('Plan mensual'!F101+IF(parametros_manuales!$H$24="Todos",'Plan mensual'!F105,0))+parametros_manuales!$E$24*('Plan mensual'!F102+IF(parametros_manuales!$H$24="Todos",'Plan mensual'!F106,0))+parametros_manuales!$F$24*('Plan mensual'!F103+IF(parametros_manuales!$H$24="Todos",'Plan mensual'!F107,0))+parametros_manuales!$G$24*('Plan mensual'!F104+IF(parametros_manuales!$H$24="Todos",'Plan mensual'!F108,0)))*parametros_manuales!$I$24*parametros_manuales!$J$24</f>
        <v>23170.015976055</v>
      </c>
      <c r="E250" s="9" t="n">
        <f aca="false">(parametros_manuales!$D$24*('Plan mensual'!G101+IF(parametros_manuales!$H$24="Todos",'Plan mensual'!G105,0))+parametros_manuales!$E$24*('Plan mensual'!G102+IF(parametros_manuales!$H$24="Todos",'Plan mensual'!G106,0))+parametros_manuales!$F$24*('Plan mensual'!G103+IF(parametros_manuales!$H$24="Todos",'Plan mensual'!G107,0))+parametros_manuales!$G$24*('Plan mensual'!G104+IF(parametros_manuales!$H$24="Todos",'Plan mensual'!G108,0)))*parametros_manuales!$I$24*parametros_manuales!$J$24</f>
        <v>22156.912780405</v>
      </c>
      <c r="F250" s="9" t="n">
        <f aca="false">(parametros_manuales!$D$24*('Plan mensual'!H101+IF(parametros_manuales!$H$24="Todos",'Plan mensual'!H105,0))+parametros_manuales!$E$24*('Plan mensual'!H102+IF(parametros_manuales!$H$24="Todos",'Plan mensual'!H106,0))+parametros_manuales!$F$24*('Plan mensual'!H103+IF(parametros_manuales!$H$24="Todos",'Plan mensual'!H107,0))+parametros_manuales!$G$24*('Plan mensual'!H104+IF(parametros_manuales!$H$24="Todos",'Plan mensual'!H108,0)))*parametros_manuales!$I$24*parametros_manuales!$J$24</f>
        <v>20734.37635854</v>
      </c>
      <c r="G250" s="9" t="n">
        <f aca="false">(parametros_manuales!$D$24*('Plan mensual'!I101+IF(parametros_manuales!$H$24="Todos",'Plan mensual'!I105,0))+parametros_manuales!$E$24*('Plan mensual'!I102+IF(parametros_manuales!$H$24="Todos",'Plan mensual'!I106,0))+parametros_manuales!$F$24*('Plan mensual'!I103+IF(parametros_manuales!$H$24="Todos",'Plan mensual'!I107,0))+parametros_manuales!$G$24*('Plan mensual'!I104+IF(parametros_manuales!$H$24="Todos",'Plan mensual'!I108,0)))*parametros_manuales!$I$24*parametros_manuales!$J$24</f>
        <v>20324.943132325</v>
      </c>
      <c r="H250" s="9" t="n">
        <f aca="false">(parametros_manuales!$D$24*('Plan mensual'!J101+IF(parametros_manuales!$H$24="Todos",'Plan mensual'!J105,0))+parametros_manuales!$E$24*('Plan mensual'!J102+IF(parametros_manuales!$H$24="Todos",'Plan mensual'!J106,0))+parametros_manuales!$F$24*('Plan mensual'!J103+IF(parametros_manuales!$H$24="Todos",'Plan mensual'!J107,0))+parametros_manuales!$G$24*('Plan mensual'!J104+IF(parametros_manuales!$H$24="Todos",'Plan mensual'!J108,0)))*parametros_manuales!$I$24*parametros_manuales!$J$24</f>
        <v>21747.47955419</v>
      </c>
      <c r="I250" s="9" t="n">
        <f aca="false">(parametros_manuales!$D$24*('Plan mensual'!K101+IF(parametros_manuales!$H$24="Todos",'Plan mensual'!K105,0))+parametros_manuales!$E$24*('Plan mensual'!K102+IF(parametros_manuales!$H$24="Todos",'Plan mensual'!K106,0))+parametros_manuales!$F$24*('Plan mensual'!K103+IF(parametros_manuales!$H$24="Todos",'Plan mensual'!K107,0))+parametros_manuales!$G$24*('Plan mensual'!K104+IF(parametros_manuales!$H$24="Todos",'Plan mensual'!K108,0)))*parametros_manuales!$I$24*parametros_manuales!$J$24</f>
        <v>21747.47955419</v>
      </c>
      <c r="J250" s="9" t="n">
        <f aca="false">(parametros_manuales!$D$24*('Plan mensual'!L101+IF(parametros_manuales!$H$24="Todos",'Plan mensual'!L105,0))+parametros_manuales!$E$24*('Plan mensual'!L102+IF(parametros_manuales!$H$24="Todos",'Plan mensual'!L106,0))+parametros_manuales!$F$24*('Plan mensual'!L103+IF(parametros_manuales!$H$24="Todos",'Plan mensual'!L107,0))+parametros_manuales!$G$24*('Plan mensual'!L104+IF(parametros_manuales!$H$24="Todos",'Plan mensual'!L108,0)))*parametros_manuales!$I$24*parametros_manuales!$J$24</f>
        <v>21747.47955419</v>
      </c>
      <c r="K250" s="9" t="n">
        <f aca="false">(parametros_manuales!$D$24*('Plan mensual'!M101+IF(parametros_manuales!$H$24="Todos",'Plan mensual'!M105,0))+parametros_manuales!$E$24*('Plan mensual'!M102+IF(parametros_manuales!$H$24="Todos",'Plan mensual'!M106,0))+parametros_manuales!$F$24*('Plan mensual'!M103+IF(parametros_manuales!$H$24="Todos",'Plan mensual'!M107,0))+parametros_manuales!$G$24*('Plan mensual'!M104+IF(parametros_manuales!$H$24="Todos",'Plan mensual'!M108,0)))*parametros_manuales!$I$24*parametros_manuales!$J$24</f>
        <v>21338.046327975</v>
      </c>
      <c r="L250" s="9" t="n">
        <f aca="false">(parametros_manuales!$D$24*('Plan mensual'!N101+IF(parametros_manuales!$H$24="Todos",'Plan mensual'!N105,0))+parametros_manuales!$E$24*('Plan mensual'!N102+IF(parametros_manuales!$H$24="Todos",'Plan mensual'!N106,0))+parametros_manuales!$F$24*('Plan mensual'!N103+IF(parametros_manuales!$H$24="Todos",'Plan mensual'!N107,0))+parametros_manuales!$G$24*('Plan mensual'!N104+IF(parametros_manuales!$H$24="Todos",'Plan mensual'!N108,0)))*parametros_manuales!$I$24*parametros_manuales!$J$24</f>
        <v>20928.61310176</v>
      </c>
      <c r="M250" s="9" t="n">
        <f aca="false">(parametros_manuales!$D$24*('Plan mensual'!O101+IF(parametros_manuales!$H$24="Todos",'Plan mensual'!O105,0))+parametros_manuales!$E$24*('Plan mensual'!O102+IF(parametros_manuales!$H$24="Todos",'Plan mensual'!O106,0))+parametros_manuales!$F$24*('Plan mensual'!O103+IF(parametros_manuales!$H$24="Todos",'Plan mensual'!O107,0))+parametros_manuales!$G$24*('Plan mensual'!O104+IF(parametros_manuales!$H$24="Todos",'Plan mensual'!O108,0)))*parametros_manuales!$I$24*parametros_manuales!$J$24</f>
        <v>33322.00767233</v>
      </c>
      <c r="N250" s="9" t="n">
        <f aca="false">SUM(B250:M250)</f>
        <v>284507.284373</v>
      </c>
      <c r="O250" s="9" t="n">
        <f aca="false">MAX(B250:M250)</f>
        <v>33322.00767233</v>
      </c>
      <c r="P250" s="43" t="n">
        <f aca="false">O250/(parametros_manuales!$B$7)</f>
        <v>222.146717815533</v>
      </c>
      <c r="Q250" s="8" t="str">
        <f aca="false">IF(O250=0,"-",INDEX($B$244:$M$244,MATCH(O250,B250:M250,0)))</f>
        <v>Dic</v>
      </c>
    </row>
    <row r="251" customFormat="false" ht="14.25" hidden="false" customHeight="true" outlineLevel="0" collapsed="false">
      <c r="A251" s="8" t="str">
        <f aca="false">parametros_manuales!$B$25</f>
        <v>Soldadura del cuello a la cúpula</v>
      </c>
      <c r="B251" s="9" t="n">
        <f aca="false">(parametros_manuales!$D$25*('Plan mensual'!D101+IF(parametros_manuales!$H$25="Todos",'Plan mensual'!D105,0))+parametros_manuales!$E$25*('Plan mensual'!D102+IF(parametros_manuales!$H$25="Todos",'Plan mensual'!D106,0))+parametros_manuales!$F$25*('Plan mensual'!D103+IF(parametros_manuales!$H$25="Todos",'Plan mensual'!D107,0))+parametros_manuales!$G$25*('Plan mensual'!D104+IF(parametros_manuales!$H$25="Todos",'Plan mensual'!D108,0)))*parametros_manuales!$I$25*parametros_manuales!$J$25</f>
        <v>32503.1412199</v>
      </c>
      <c r="C251" s="9" t="n">
        <f aca="false">(parametros_manuales!$D$25*('Plan mensual'!E101+IF(parametros_manuales!$H$25="Todos",'Plan mensual'!E105,0))+parametros_manuales!$E$25*('Plan mensual'!E102+IF(parametros_manuales!$H$25="Todos",'Plan mensual'!E106,0))+parametros_manuales!$F$25*('Plan mensual'!E103+IF(parametros_manuales!$H$25="Todos",'Plan mensual'!E107,0))+parametros_manuales!$G$25*('Plan mensual'!E104+IF(parametros_manuales!$H$25="Todos",'Plan mensual'!E108,0)))*parametros_manuales!$I$25*parametros_manuales!$J$25</f>
        <v>24786.78914114</v>
      </c>
      <c r="D251" s="9" t="n">
        <f aca="false">(parametros_manuales!$D$25*('Plan mensual'!F101+IF(parametros_manuales!$H$25="Todos",'Plan mensual'!F105,0))+parametros_manuales!$E$25*('Plan mensual'!F102+IF(parametros_manuales!$H$25="Todos",'Plan mensual'!F106,0))+parametros_manuales!$F$25*('Plan mensual'!F103+IF(parametros_manuales!$H$25="Todos",'Plan mensual'!F107,0))+parametros_manuales!$G$25*('Plan mensual'!F104+IF(parametros_manuales!$H$25="Todos",'Plan mensual'!F108,0)))*parametros_manuales!$I$25*parametros_manuales!$J$25</f>
        <v>23170.015976055</v>
      </c>
      <c r="E251" s="9" t="n">
        <f aca="false">(parametros_manuales!$D$25*('Plan mensual'!G101+IF(parametros_manuales!$H$25="Todos",'Plan mensual'!G105,0))+parametros_manuales!$E$25*('Plan mensual'!G102+IF(parametros_manuales!$H$25="Todos",'Plan mensual'!G106,0))+parametros_manuales!$F$25*('Plan mensual'!G103+IF(parametros_manuales!$H$25="Todos",'Plan mensual'!G107,0))+parametros_manuales!$G$25*('Plan mensual'!G104+IF(parametros_manuales!$H$25="Todos",'Plan mensual'!G108,0)))*parametros_manuales!$I$25*parametros_manuales!$J$25</f>
        <v>22156.912780405</v>
      </c>
      <c r="F251" s="9" t="n">
        <f aca="false">(parametros_manuales!$D$25*('Plan mensual'!H101+IF(parametros_manuales!$H$25="Todos",'Plan mensual'!H105,0))+parametros_manuales!$E$25*('Plan mensual'!H102+IF(parametros_manuales!$H$25="Todos",'Plan mensual'!H106,0))+parametros_manuales!$F$25*('Plan mensual'!H103+IF(parametros_manuales!$H$25="Todos",'Plan mensual'!H107,0))+parametros_manuales!$G$25*('Plan mensual'!H104+IF(parametros_manuales!$H$25="Todos",'Plan mensual'!H108,0)))*parametros_manuales!$I$25*parametros_manuales!$J$25</f>
        <v>20734.37635854</v>
      </c>
      <c r="G251" s="9" t="n">
        <f aca="false">(parametros_manuales!$D$25*('Plan mensual'!I101+IF(parametros_manuales!$H$25="Todos",'Plan mensual'!I105,0))+parametros_manuales!$E$25*('Plan mensual'!I102+IF(parametros_manuales!$H$25="Todos",'Plan mensual'!I106,0))+parametros_manuales!$F$25*('Plan mensual'!I103+IF(parametros_manuales!$H$25="Todos",'Plan mensual'!I107,0))+parametros_manuales!$G$25*('Plan mensual'!I104+IF(parametros_manuales!$H$25="Todos",'Plan mensual'!I108,0)))*parametros_manuales!$I$25*parametros_manuales!$J$25</f>
        <v>20324.943132325</v>
      </c>
      <c r="H251" s="9" t="n">
        <f aca="false">(parametros_manuales!$D$25*('Plan mensual'!J101+IF(parametros_manuales!$H$25="Todos",'Plan mensual'!J105,0))+parametros_manuales!$E$25*('Plan mensual'!J102+IF(parametros_manuales!$H$25="Todos",'Plan mensual'!J106,0))+parametros_manuales!$F$25*('Plan mensual'!J103+IF(parametros_manuales!$H$25="Todos",'Plan mensual'!J107,0))+parametros_manuales!$G$25*('Plan mensual'!J104+IF(parametros_manuales!$H$25="Todos",'Plan mensual'!J108,0)))*parametros_manuales!$I$25*parametros_manuales!$J$25</f>
        <v>21747.47955419</v>
      </c>
      <c r="I251" s="9" t="n">
        <f aca="false">(parametros_manuales!$D$25*('Plan mensual'!K101+IF(parametros_manuales!$H$25="Todos",'Plan mensual'!K105,0))+parametros_manuales!$E$25*('Plan mensual'!K102+IF(parametros_manuales!$H$25="Todos",'Plan mensual'!K106,0))+parametros_manuales!$F$25*('Plan mensual'!K103+IF(parametros_manuales!$H$25="Todos",'Plan mensual'!K107,0))+parametros_manuales!$G$25*('Plan mensual'!K104+IF(parametros_manuales!$H$25="Todos",'Plan mensual'!K108,0)))*parametros_manuales!$I$25*parametros_manuales!$J$25</f>
        <v>21747.47955419</v>
      </c>
      <c r="J251" s="9" t="n">
        <f aca="false">(parametros_manuales!$D$25*('Plan mensual'!L101+IF(parametros_manuales!$H$25="Todos",'Plan mensual'!L105,0))+parametros_manuales!$E$25*('Plan mensual'!L102+IF(parametros_manuales!$H$25="Todos",'Plan mensual'!L106,0))+parametros_manuales!$F$25*('Plan mensual'!L103+IF(parametros_manuales!$H$25="Todos",'Plan mensual'!L107,0))+parametros_manuales!$G$25*('Plan mensual'!L104+IF(parametros_manuales!$H$25="Todos",'Plan mensual'!L108,0)))*parametros_manuales!$I$25*parametros_manuales!$J$25</f>
        <v>21747.47955419</v>
      </c>
      <c r="K251" s="9" t="n">
        <f aca="false">(parametros_manuales!$D$25*('Plan mensual'!M101+IF(parametros_manuales!$H$25="Todos",'Plan mensual'!M105,0))+parametros_manuales!$E$25*('Plan mensual'!M102+IF(parametros_manuales!$H$25="Todos",'Plan mensual'!M106,0))+parametros_manuales!$F$25*('Plan mensual'!M103+IF(parametros_manuales!$H$25="Todos",'Plan mensual'!M107,0))+parametros_manuales!$G$25*('Plan mensual'!M104+IF(parametros_manuales!$H$25="Todos",'Plan mensual'!M108,0)))*parametros_manuales!$I$25*parametros_manuales!$J$25</f>
        <v>21338.046327975</v>
      </c>
      <c r="L251" s="9" t="n">
        <f aca="false">(parametros_manuales!$D$25*('Plan mensual'!N101+IF(parametros_manuales!$H$25="Todos",'Plan mensual'!N105,0))+parametros_manuales!$E$25*('Plan mensual'!N102+IF(parametros_manuales!$H$25="Todos",'Plan mensual'!N106,0))+parametros_manuales!$F$25*('Plan mensual'!N103+IF(parametros_manuales!$H$25="Todos",'Plan mensual'!N107,0))+parametros_manuales!$G$25*('Plan mensual'!N104+IF(parametros_manuales!$H$25="Todos",'Plan mensual'!N108,0)))*parametros_manuales!$I$25*parametros_manuales!$J$25</f>
        <v>20928.61310176</v>
      </c>
      <c r="M251" s="9" t="n">
        <f aca="false">(parametros_manuales!$D$25*('Plan mensual'!O101+IF(parametros_manuales!$H$25="Todos",'Plan mensual'!O105,0))+parametros_manuales!$E$25*('Plan mensual'!O102+IF(parametros_manuales!$H$25="Todos",'Plan mensual'!O106,0))+parametros_manuales!$F$25*('Plan mensual'!O103+IF(parametros_manuales!$H$25="Todos",'Plan mensual'!O107,0))+parametros_manuales!$G$25*('Plan mensual'!O104+IF(parametros_manuales!$H$25="Todos",'Plan mensual'!O108,0)))*parametros_manuales!$I$25*parametros_manuales!$J$25</f>
        <v>33322.00767233</v>
      </c>
      <c r="N251" s="9" t="n">
        <f aca="false">SUM(B251:M251)</f>
        <v>284507.284373</v>
      </c>
      <c r="O251" s="9" t="n">
        <f aca="false">MAX(B251:M251)</f>
        <v>33322.00767233</v>
      </c>
      <c r="P251" s="43" t="n">
        <f aca="false">O251/(parametros_manuales!$B$7)</f>
        <v>222.146717815533</v>
      </c>
      <c r="Q251" s="8" t="str">
        <f aca="false">IF(O251=0,"-",INDEX($B$244:$M$244,MATCH(O251,B251:M251,0)))</f>
        <v>Dic</v>
      </c>
    </row>
    <row r="252" customFormat="false" ht="14.25" hidden="false" customHeight="true" outlineLevel="0" collapsed="false">
      <c r="A252" s="8" t="str">
        <f aca="false">parametros_manuales!$B$26</f>
        <v>Cilindrado</v>
      </c>
      <c r="B252" s="9" t="n">
        <f aca="false">(parametros_manuales!$D$26*('Plan mensual'!D101+IF(parametros_manuales!$H$26="Todos",'Plan mensual'!D105,0))+parametros_manuales!$E$26*('Plan mensual'!D102+IF(parametros_manuales!$H$26="Todos",'Plan mensual'!D106,0))+parametros_manuales!$F$26*('Plan mensual'!D103+IF(parametros_manuales!$H$26="Todos",'Plan mensual'!D107,0))+parametros_manuales!$G$26*('Plan mensual'!D104+IF(parametros_manuales!$H$26="Todos",'Plan mensual'!D108,0)))*parametros_manuales!$I$26*parametros_manuales!$J$26</f>
        <v>8188.6645243</v>
      </c>
      <c r="C252" s="9" t="n">
        <f aca="false">(parametros_manuales!$D$26*('Plan mensual'!E101+IF(parametros_manuales!$H$26="Todos",'Plan mensual'!E105,0))+parametros_manuales!$E$26*('Plan mensual'!E102+IF(parametros_manuales!$H$26="Todos",'Plan mensual'!E106,0))+parametros_manuales!$F$26*('Plan mensual'!E103+IF(parametros_manuales!$H$26="Todos",'Plan mensual'!E107,0))+parametros_manuales!$G$26*('Plan mensual'!E104+IF(parametros_manuales!$H$26="Todos",'Plan mensual'!E108,0)))*parametros_manuales!$I$26*parametros_manuales!$J$26</f>
        <v>6550.93161944</v>
      </c>
      <c r="D252" s="9" t="n">
        <f aca="false">(parametros_manuales!$D$26*('Plan mensual'!F101+IF(parametros_manuales!$H$26="Todos",'Plan mensual'!F105,0))+parametros_manuales!$E$26*('Plan mensual'!F102+IF(parametros_manuales!$H$26="Todos",'Plan mensual'!F106,0))+parametros_manuales!$F$26*('Plan mensual'!F103+IF(parametros_manuales!$H$26="Todos",'Plan mensual'!F107,0))+parametros_manuales!$G$26*('Plan mensual'!F104+IF(parametros_manuales!$H$26="Todos",'Plan mensual'!F108,0)))*parametros_manuales!$I$26*parametros_manuales!$J$26</f>
        <v>6960.364845655</v>
      </c>
      <c r="E252" s="9" t="n">
        <f aca="false">(parametros_manuales!$D$26*('Plan mensual'!G101+IF(parametros_manuales!$H$26="Todos",'Plan mensual'!G105,0))+parametros_manuales!$E$26*('Plan mensual'!G102+IF(parametros_manuales!$H$26="Todos",'Plan mensual'!G106,0))+parametros_manuales!$F$26*('Plan mensual'!G103+IF(parametros_manuales!$H$26="Todos",'Plan mensual'!G107,0))+parametros_manuales!$G$26*('Plan mensual'!G104+IF(parametros_manuales!$H$26="Todos",'Plan mensual'!G108,0)))*parametros_manuales!$I$26*parametros_manuales!$J$26</f>
        <v>6960.364845655</v>
      </c>
      <c r="F252" s="9" t="n">
        <f aca="false">(parametros_manuales!$D$26*('Plan mensual'!H101+IF(parametros_manuales!$H$26="Todos",'Plan mensual'!H105,0))+parametros_manuales!$E$26*('Plan mensual'!H102+IF(parametros_manuales!$H$26="Todos",'Plan mensual'!H106,0))+parametros_manuales!$F$26*('Plan mensual'!H103+IF(parametros_manuales!$H$26="Todos",'Plan mensual'!H107,0))+parametros_manuales!$G$26*('Plan mensual'!H104+IF(parametros_manuales!$H$26="Todos",'Plan mensual'!H108,0)))*parametros_manuales!$I$26*parametros_manuales!$J$26</f>
        <v>6550.93161944</v>
      </c>
      <c r="G252" s="9" t="n">
        <f aca="false">(parametros_manuales!$D$26*('Plan mensual'!I101+IF(parametros_manuales!$H$26="Todos",'Plan mensual'!I105,0))+parametros_manuales!$E$26*('Plan mensual'!I102+IF(parametros_manuales!$H$26="Todos",'Plan mensual'!I106,0))+parametros_manuales!$F$26*('Plan mensual'!I103+IF(parametros_manuales!$H$26="Todos",'Plan mensual'!I107,0))+parametros_manuales!$G$26*('Plan mensual'!I104+IF(parametros_manuales!$H$26="Todos",'Plan mensual'!I108,0)))*parametros_manuales!$I$26*parametros_manuales!$J$26</f>
        <v>6141.498393225</v>
      </c>
      <c r="H252" s="9" t="n">
        <f aca="false">(parametros_manuales!$D$26*('Plan mensual'!J101+IF(parametros_manuales!$H$26="Todos",'Plan mensual'!J105,0))+parametros_manuales!$E$26*('Plan mensual'!J102+IF(parametros_manuales!$H$26="Todos",'Plan mensual'!J106,0))+parametros_manuales!$F$26*('Plan mensual'!J103+IF(parametros_manuales!$H$26="Todos",'Plan mensual'!J107,0))+parametros_manuales!$G$26*('Plan mensual'!J104+IF(parametros_manuales!$H$26="Todos",'Plan mensual'!J108,0)))*parametros_manuales!$I$26*parametros_manuales!$J$26</f>
        <v>6550.93161944</v>
      </c>
      <c r="I252" s="9" t="n">
        <f aca="false">(parametros_manuales!$D$26*('Plan mensual'!K101+IF(parametros_manuales!$H$26="Todos",'Plan mensual'!K105,0))+parametros_manuales!$E$26*('Plan mensual'!K102+IF(parametros_manuales!$H$26="Todos",'Plan mensual'!K106,0))+parametros_manuales!$F$26*('Plan mensual'!K103+IF(parametros_manuales!$H$26="Todos",'Plan mensual'!K107,0))+parametros_manuales!$G$26*('Plan mensual'!K104+IF(parametros_manuales!$H$26="Todos",'Plan mensual'!K108,0)))*parametros_manuales!$I$26*parametros_manuales!$J$26</f>
        <v>6550.93161944</v>
      </c>
      <c r="J252" s="9" t="n">
        <f aca="false">(parametros_manuales!$D$26*('Plan mensual'!L101+IF(parametros_manuales!$H$26="Todos",'Plan mensual'!L105,0))+parametros_manuales!$E$26*('Plan mensual'!L102+IF(parametros_manuales!$H$26="Todos",'Plan mensual'!L106,0))+parametros_manuales!$F$26*('Plan mensual'!L103+IF(parametros_manuales!$H$26="Todos",'Plan mensual'!L107,0))+parametros_manuales!$G$26*('Plan mensual'!L104+IF(parametros_manuales!$H$26="Todos",'Plan mensual'!L108,0)))*parametros_manuales!$I$26*parametros_manuales!$J$26</f>
        <v>6550.93161944</v>
      </c>
      <c r="K252" s="9" t="n">
        <f aca="false">(parametros_manuales!$D$26*('Plan mensual'!M101+IF(parametros_manuales!$H$26="Todos",'Plan mensual'!M105,0))+parametros_manuales!$E$26*('Plan mensual'!M102+IF(parametros_manuales!$H$26="Todos",'Plan mensual'!M106,0))+parametros_manuales!$F$26*('Plan mensual'!M103+IF(parametros_manuales!$H$26="Todos",'Plan mensual'!M107,0))+parametros_manuales!$G$26*('Plan mensual'!M104+IF(parametros_manuales!$H$26="Todos",'Plan mensual'!M108,0)))*parametros_manuales!$I$26*parametros_manuales!$J$26</f>
        <v>6141.498393225</v>
      </c>
      <c r="L252" s="9" t="n">
        <f aca="false">(parametros_manuales!$D$26*('Plan mensual'!N101+IF(parametros_manuales!$H$26="Todos",'Plan mensual'!N105,0))+parametros_manuales!$E$26*('Plan mensual'!N102+IF(parametros_manuales!$H$26="Todos",'Plan mensual'!N106,0))+parametros_manuales!$F$26*('Plan mensual'!N103+IF(parametros_manuales!$H$26="Todos",'Plan mensual'!N107,0))+parametros_manuales!$G$26*('Plan mensual'!N104+IF(parametros_manuales!$H$26="Todos",'Plan mensual'!N108,0)))*parametros_manuales!$I$26*parametros_manuales!$J$26</f>
        <v>5732.06516701</v>
      </c>
      <c r="M252" s="9" t="n">
        <f aca="false">(parametros_manuales!$D$26*('Plan mensual'!O101+IF(parametros_manuales!$H$26="Todos",'Plan mensual'!O105,0))+parametros_manuales!$E$26*('Plan mensual'!O102+IF(parametros_manuales!$H$26="Todos",'Plan mensual'!O106,0))+parametros_manuales!$F$26*('Plan mensual'!O103+IF(parametros_manuales!$H$26="Todos",'Plan mensual'!O107,0))+parametros_manuales!$G$26*('Plan mensual'!O104+IF(parametros_manuales!$H$26="Todos",'Plan mensual'!O108,0)))*parametros_manuales!$I$26*parametros_manuales!$J$26</f>
        <v>9007.53097673</v>
      </c>
      <c r="N252" s="9" t="n">
        <f aca="false">SUM(B252:M252)</f>
        <v>81886.645243</v>
      </c>
      <c r="O252" s="9" t="n">
        <f aca="false">MAX(B252:M252)</f>
        <v>9007.53097673</v>
      </c>
      <c r="P252" s="43" t="n">
        <f aca="false">O252/(parametros_manuales!$B$7)</f>
        <v>60.0502065115333</v>
      </c>
      <c r="Q252" s="8" t="str">
        <f aca="false">IF(O252=0,"-",INDEX($B$244:$M$244,MATCH(O252,B252:M252,0)))</f>
        <v>Dic</v>
      </c>
    </row>
    <row r="253" customFormat="false" ht="14.25" hidden="false" customHeight="true" outlineLevel="0" collapsed="false">
      <c r="A253" s="8" t="str">
        <f aca="false">parametros_manuales!$B$27</f>
        <v>Soldadura longitudinal</v>
      </c>
      <c r="B253" s="9" t="n">
        <f aca="false">(parametros_manuales!$D$27*('Plan mensual'!D101+IF(parametros_manuales!$H$27="Todos",'Plan mensual'!D105,0))+parametros_manuales!$E$27*('Plan mensual'!D102+IF(parametros_manuales!$H$27="Todos",'Plan mensual'!D106,0))+parametros_manuales!$F$27*('Plan mensual'!D103+IF(parametros_manuales!$H$27="Todos",'Plan mensual'!D107,0))+parametros_manuales!$G$27*('Plan mensual'!D104+IF(parametros_manuales!$H$27="Todos",'Plan mensual'!D108,0)))*parametros_manuales!$I$27*parametros_manuales!$J$27</f>
        <v>8188.6645243</v>
      </c>
      <c r="C253" s="9" t="n">
        <f aca="false">(parametros_manuales!$D$27*('Plan mensual'!E101+IF(parametros_manuales!$H$27="Todos",'Plan mensual'!E105,0))+parametros_manuales!$E$27*('Plan mensual'!E102+IF(parametros_manuales!$H$27="Todos",'Plan mensual'!E106,0))+parametros_manuales!$F$27*('Plan mensual'!E103+IF(parametros_manuales!$H$27="Todos",'Plan mensual'!E107,0))+parametros_manuales!$G$27*('Plan mensual'!E104+IF(parametros_manuales!$H$27="Todos",'Plan mensual'!E108,0)))*parametros_manuales!$I$27*parametros_manuales!$J$27</f>
        <v>6550.93161944</v>
      </c>
      <c r="D253" s="9" t="n">
        <f aca="false">(parametros_manuales!$D$27*('Plan mensual'!F101+IF(parametros_manuales!$H$27="Todos",'Plan mensual'!F105,0))+parametros_manuales!$E$27*('Plan mensual'!F102+IF(parametros_manuales!$H$27="Todos",'Plan mensual'!F106,0))+parametros_manuales!$F$27*('Plan mensual'!F103+IF(parametros_manuales!$H$27="Todos",'Plan mensual'!F107,0))+parametros_manuales!$G$27*('Plan mensual'!F104+IF(parametros_manuales!$H$27="Todos",'Plan mensual'!F108,0)))*parametros_manuales!$I$27*parametros_manuales!$J$27</f>
        <v>6960.364845655</v>
      </c>
      <c r="E253" s="9" t="n">
        <f aca="false">(parametros_manuales!$D$27*('Plan mensual'!G101+IF(parametros_manuales!$H$27="Todos",'Plan mensual'!G105,0))+parametros_manuales!$E$27*('Plan mensual'!G102+IF(parametros_manuales!$H$27="Todos",'Plan mensual'!G106,0))+parametros_manuales!$F$27*('Plan mensual'!G103+IF(parametros_manuales!$H$27="Todos",'Plan mensual'!G107,0))+parametros_manuales!$G$27*('Plan mensual'!G104+IF(parametros_manuales!$H$27="Todos",'Plan mensual'!G108,0)))*parametros_manuales!$I$27*parametros_manuales!$J$27</f>
        <v>6960.364845655</v>
      </c>
      <c r="F253" s="9" t="n">
        <f aca="false">(parametros_manuales!$D$27*('Plan mensual'!H101+IF(parametros_manuales!$H$27="Todos",'Plan mensual'!H105,0))+parametros_manuales!$E$27*('Plan mensual'!H102+IF(parametros_manuales!$H$27="Todos",'Plan mensual'!H106,0))+parametros_manuales!$F$27*('Plan mensual'!H103+IF(parametros_manuales!$H$27="Todos",'Plan mensual'!H107,0))+parametros_manuales!$G$27*('Plan mensual'!H104+IF(parametros_manuales!$H$27="Todos",'Plan mensual'!H108,0)))*parametros_manuales!$I$27*parametros_manuales!$J$27</f>
        <v>6550.93161944</v>
      </c>
      <c r="G253" s="9" t="n">
        <f aca="false">(parametros_manuales!$D$27*('Plan mensual'!I101+IF(parametros_manuales!$H$27="Todos",'Plan mensual'!I105,0))+parametros_manuales!$E$27*('Plan mensual'!I102+IF(parametros_manuales!$H$27="Todos",'Plan mensual'!I106,0))+parametros_manuales!$F$27*('Plan mensual'!I103+IF(parametros_manuales!$H$27="Todos",'Plan mensual'!I107,0))+parametros_manuales!$G$27*('Plan mensual'!I104+IF(parametros_manuales!$H$27="Todos",'Plan mensual'!I108,0)))*parametros_manuales!$I$27*parametros_manuales!$J$27</f>
        <v>6141.498393225</v>
      </c>
      <c r="H253" s="9" t="n">
        <f aca="false">(parametros_manuales!$D$27*('Plan mensual'!J101+IF(parametros_manuales!$H$27="Todos",'Plan mensual'!J105,0))+parametros_manuales!$E$27*('Plan mensual'!J102+IF(parametros_manuales!$H$27="Todos",'Plan mensual'!J106,0))+parametros_manuales!$F$27*('Plan mensual'!J103+IF(parametros_manuales!$H$27="Todos",'Plan mensual'!J107,0))+parametros_manuales!$G$27*('Plan mensual'!J104+IF(parametros_manuales!$H$27="Todos",'Plan mensual'!J108,0)))*parametros_manuales!$I$27*parametros_manuales!$J$27</f>
        <v>6550.93161944</v>
      </c>
      <c r="I253" s="9" t="n">
        <f aca="false">(parametros_manuales!$D$27*('Plan mensual'!K101+IF(parametros_manuales!$H$27="Todos",'Plan mensual'!K105,0))+parametros_manuales!$E$27*('Plan mensual'!K102+IF(parametros_manuales!$H$27="Todos",'Plan mensual'!K106,0))+parametros_manuales!$F$27*('Plan mensual'!K103+IF(parametros_manuales!$H$27="Todos",'Plan mensual'!K107,0))+parametros_manuales!$G$27*('Plan mensual'!K104+IF(parametros_manuales!$H$27="Todos",'Plan mensual'!K108,0)))*parametros_manuales!$I$27*parametros_manuales!$J$27</f>
        <v>6550.93161944</v>
      </c>
      <c r="J253" s="9" t="n">
        <f aca="false">(parametros_manuales!$D$27*('Plan mensual'!L101+IF(parametros_manuales!$H$27="Todos",'Plan mensual'!L105,0))+parametros_manuales!$E$27*('Plan mensual'!L102+IF(parametros_manuales!$H$27="Todos",'Plan mensual'!L106,0))+parametros_manuales!$F$27*('Plan mensual'!L103+IF(parametros_manuales!$H$27="Todos",'Plan mensual'!L107,0))+parametros_manuales!$G$27*('Plan mensual'!L104+IF(parametros_manuales!$H$27="Todos",'Plan mensual'!L108,0)))*parametros_manuales!$I$27*parametros_manuales!$J$27</f>
        <v>6550.93161944</v>
      </c>
      <c r="K253" s="9" t="n">
        <f aca="false">(parametros_manuales!$D$27*('Plan mensual'!M101+IF(parametros_manuales!$H$27="Todos",'Plan mensual'!M105,0))+parametros_manuales!$E$27*('Plan mensual'!M102+IF(parametros_manuales!$H$27="Todos",'Plan mensual'!M106,0))+parametros_manuales!$F$27*('Plan mensual'!M103+IF(parametros_manuales!$H$27="Todos",'Plan mensual'!M107,0))+parametros_manuales!$G$27*('Plan mensual'!M104+IF(parametros_manuales!$H$27="Todos",'Plan mensual'!M108,0)))*parametros_manuales!$I$27*parametros_manuales!$J$27</f>
        <v>6141.498393225</v>
      </c>
      <c r="L253" s="9" t="n">
        <f aca="false">(parametros_manuales!$D$27*('Plan mensual'!N101+IF(parametros_manuales!$H$27="Todos",'Plan mensual'!N105,0))+parametros_manuales!$E$27*('Plan mensual'!N102+IF(parametros_manuales!$H$27="Todos",'Plan mensual'!N106,0))+parametros_manuales!$F$27*('Plan mensual'!N103+IF(parametros_manuales!$H$27="Todos",'Plan mensual'!N107,0))+parametros_manuales!$G$27*('Plan mensual'!N104+IF(parametros_manuales!$H$27="Todos",'Plan mensual'!N108,0)))*parametros_manuales!$I$27*parametros_manuales!$J$27</f>
        <v>5732.06516701</v>
      </c>
      <c r="M253" s="9" t="n">
        <f aca="false">(parametros_manuales!$D$27*('Plan mensual'!O101+IF(parametros_manuales!$H$27="Todos",'Plan mensual'!O105,0))+parametros_manuales!$E$27*('Plan mensual'!O102+IF(parametros_manuales!$H$27="Todos",'Plan mensual'!O106,0))+parametros_manuales!$F$27*('Plan mensual'!O103+IF(parametros_manuales!$H$27="Todos",'Plan mensual'!O107,0))+parametros_manuales!$G$27*('Plan mensual'!O104+IF(parametros_manuales!$H$27="Todos",'Plan mensual'!O108,0)))*parametros_manuales!$I$27*parametros_manuales!$J$27</f>
        <v>9007.53097673</v>
      </c>
      <c r="N253" s="9" t="n">
        <f aca="false">SUM(B253:M253)</f>
        <v>81886.645243</v>
      </c>
      <c r="O253" s="9" t="n">
        <f aca="false">MAX(B253:M253)</f>
        <v>9007.53097673</v>
      </c>
      <c r="P253" s="43" t="n">
        <f aca="false">O253/(parametros_manuales!$B$7)</f>
        <v>60.0502065115333</v>
      </c>
      <c r="Q253" s="8" t="str">
        <f aca="false">IF(O253=0,"-",INDEX($B$244:$M$244,MATCH(O253,B253:M253,0)))</f>
        <v>Dic</v>
      </c>
    </row>
    <row r="254" customFormat="false" ht="14.25" hidden="false" customHeight="true" outlineLevel="0" collapsed="false">
      <c r="A254" s="8" t="str">
        <f aca="false">parametros_manuales!$B$28</f>
        <v>Encastre de fondo</v>
      </c>
      <c r="B254" s="9" t="n">
        <f aca="false">(parametros_manuales!$D$28*('Plan mensual'!D101+IF(parametros_manuales!$H$28="Todos",'Plan mensual'!D105,0))+parametros_manuales!$E$28*('Plan mensual'!D102+IF(parametros_manuales!$H$28="Todos",'Plan mensual'!D106,0))+parametros_manuales!$F$28*('Plan mensual'!D103+IF(parametros_manuales!$H$28="Todos",'Plan mensual'!D107,0))+parametros_manuales!$G$28*('Plan mensual'!D104+IF(parametros_manuales!$H$28="Todos",'Plan mensual'!D108,0)))*parametros_manuales!$I$28*parametros_manuales!$J$28</f>
        <v>32503.1412199</v>
      </c>
      <c r="C254" s="9" t="n">
        <f aca="false">(parametros_manuales!$D$28*('Plan mensual'!E101+IF(parametros_manuales!$H$28="Todos",'Plan mensual'!E105,0))+parametros_manuales!$E$28*('Plan mensual'!E102+IF(parametros_manuales!$H$28="Todos",'Plan mensual'!E106,0))+parametros_manuales!$F$28*('Plan mensual'!E103+IF(parametros_manuales!$H$28="Todos",'Plan mensual'!E107,0))+parametros_manuales!$G$28*('Plan mensual'!E104+IF(parametros_manuales!$H$28="Todos",'Plan mensual'!E108,0)))*parametros_manuales!$I$28*parametros_manuales!$J$28</f>
        <v>24786.78914114</v>
      </c>
      <c r="D254" s="9" t="n">
        <f aca="false">(parametros_manuales!$D$28*('Plan mensual'!F101+IF(parametros_manuales!$H$28="Todos",'Plan mensual'!F105,0))+parametros_manuales!$E$28*('Plan mensual'!F102+IF(parametros_manuales!$H$28="Todos",'Plan mensual'!F106,0))+parametros_manuales!$F$28*('Plan mensual'!F103+IF(parametros_manuales!$H$28="Todos",'Plan mensual'!F107,0))+parametros_manuales!$G$28*('Plan mensual'!F104+IF(parametros_manuales!$H$28="Todos",'Plan mensual'!F108,0)))*parametros_manuales!$I$28*parametros_manuales!$J$28</f>
        <v>23170.015976055</v>
      </c>
      <c r="E254" s="9" t="n">
        <f aca="false">(parametros_manuales!$D$28*('Plan mensual'!G101+IF(parametros_manuales!$H$28="Todos",'Plan mensual'!G105,0))+parametros_manuales!$E$28*('Plan mensual'!G102+IF(parametros_manuales!$H$28="Todos",'Plan mensual'!G106,0))+parametros_manuales!$F$28*('Plan mensual'!G103+IF(parametros_manuales!$H$28="Todos",'Plan mensual'!G107,0))+parametros_manuales!$G$28*('Plan mensual'!G104+IF(parametros_manuales!$H$28="Todos",'Plan mensual'!G108,0)))*parametros_manuales!$I$28*parametros_manuales!$J$28</f>
        <v>22156.912780405</v>
      </c>
      <c r="F254" s="9" t="n">
        <f aca="false">(parametros_manuales!$D$28*('Plan mensual'!H101+IF(parametros_manuales!$H$28="Todos",'Plan mensual'!H105,0))+parametros_manuales!$E$28*('Plan mensual'!H102+IF(parametros_manuales!$H$28="Todos",'Plan mensual'!H106,0))+parametros_manuales!$F$28*('Plan mensual'!H103+IF(parametros_manuales!$H$28="Todos",'Plan mensual'!H107,0))+parametros_manuales!$G$28*('Plan mensual'!H104+IF(parametros_manuales!$H$28="Todos",'Plan mensual'!H108,0)))*parametros_manuales!$I$28*parametros_manuales!$J$28</f>
        <v>20734.37635854</v>
      </c>
      <c r="G254" s="9" t="n">
        <f aca="false">(parametros_manuales!$D$28*('Plan mensual'!I101+IF(parametros_manuales!$H$28="Todos",'Plan mensual'!I105,0))+parametros_manuales!$E$28*('Plan mensual'!I102+IF(parametros_manuales!$H$28="Todos",'Plan mensual'!I106,0))+parametros_manuales!$F$28*('Plan mensual'!I103+IF(parametros_manuales!$H$28="Todos",'Plan mensual'!I107,0))+parametros_manuales!$G$28*('Plan mensual'!I104+IF(parametros_manuales!$H$28="Todos",'Plan mensual'!I108,0)))*parametros_manuales!$I$28*parametros_manuales!$J$28</f>
        <v>20324.943132325</v>
      </c>
      <c r="H254" s="9" t="n">
        <f aca="false">(parametros_manuales!$D$28*('Plan mensual'!J101+IF(parametros_manuales!$H$28="Todos",'Plan mensual'!J105,0))+parametros_manuales!$E$28*('Plan mensual'!J102+IF(parametros_manuales!$H$28="Todos",'Plan mensual'!J106,0))+parametros_manuales!$F$28*('Plan mensual'!J103+IF(parametros_manuales!$H$28="Todos",'Plan mensual'!J107,0))+parametros_manuales!$G$28*('Plan mensual'!J104+IF(parametros_manuales!$H$28="Todos",'Plan mensual'!J108,0)))*parametros_manuales!$I$28*parametros_manuales!$J$28</f>
        <v>21747.47955419</v>
      </c>
      <c r="I254" s="9" t="n">
        <f aca="false">(parametros_manuales!$D$28*('Plan mensual'!K101+IF(parametros_manuales!$H$28="Todos",'Plan mensual'!K105,0))+parametros_manuales!$E$28*('Plan mensual'!K102+IF(parametros_manuales!$H$28="Todos",'Plan mensual'!K106,0))+parametros_manuales!$F$28*('Plan mensual'!K103+IF(parametros_manuales!$H$28="Todos",'Plan mensual'!K107,0))+parametros_manuales!$G$28*('Plan mensual'!K104+IF(parametros_manuales!$H$28="Todos",'Plan mensual'!K108,0)))*parametros_manuales!$I$28*parametros_manuales!$J$28</f>
        <v>21747.47955419</v>
      </c>
      <c r="J254" s="9" t="n">
        <f aca="false">(parametros_manuales!$D$28*('Plan mensual'!L101+IF(parametros_manuales!$H$28="Todos",'Plan mensual'!L105,0))+parametros_manuales!$E$28*('Plan mensual'!L102+IF(parametros_manuales!$H$28="Todos",'Plan mensual'!L106,0))+parametros_manuales!$F$28*('Plan mensual'!L103+IF(parametros_manuales!$H$28="Todos",'Plan mensual'!L107,0))+parametros_manuales!$G$28*('Plan mensual'!L104+IF(parametros_manuales!$H$28="Todos",'Plan mensual'!L108,0)))*parametros_manuales!$I$28*parametros_manuales!$J$28</f>
        <v>21747.47955419</v>
      </c>
      <c r="K254" s="9" t="n">
        <f aca="false">(parametros_manuales!$D$28*('Plan mensual'!M101+IF(parametros_manuales!$H$28="Todos",'Plan mensual'!M105,0))+parametros_manuales!$E$28*('Plan mensual'!M102+IF(parametros_manuales!$H$28="Todos",'Plan mensual'!M106,0))+parametros_manuales!$F$28*('Plan mensual'!M103+IF(parametros_manuales!$H$28="Todos",'Plan mensual'!M107,0))+parametros_manuales!$G$28*('Plan mensual'!M104+IF(parametros_manuales!$H$28="Todos",'Plan mensual'!M108,0)))*parametros_manuales!$I$28*parametros_manuales!$J$28</f>
        <v>21338.046327975</v>
      </c>
      <c r="L254" s="9" t="n">
        <f aca="false">(parametros_manuales!$D$28*('Plan mensual'!N101+IF(parametros_manuales!$H$28="Todos",'Plan mensual'!N105,0))+parametros_manuales!$E$28*('Plan mensual'!N102+IF(parametros_manuales!$H$28="Todos",'Plan mensual'!N106,0))+parametros_manuales!$F$28*('Plan mensual'!N103+IF(parametros_manuales!$H$28="Todos",'Plan mensual'!N107,0))+parametros_manuales!$G$28*('Plan mensual'!N104+IF(parametros_manuales!$H$28="Todos",'Plan mensual'!N108,0)))*parametros_manuales!$I$28*parametros_manuales!$J$28</f>
        <v>20928.61310176</v>
      </c>
      <c r="M254" s="9" t="n">
        <f aca="false">(parametros_manuales!$D$28*('Plan mensual'!O101+IF(parametros_manuales!$H$28="Todos",'Plan mensual'!O105,0))+parametros_manuales!$E$28*('Plan mensual'!O102+IF(parametros_manuales!$H$28="Todos",'Plan mensual'!O106,0))+parametros_manuales!$F$28*('Plan mensual'!O103+IF(parametros_manuales!$H$28="Todos",'Plan mensual'!O107,0))+parametros_manuales!$G$28*('Plan mensual'!O104+IF(parametros_manuales!$H$28="Todos",'Plan mensual'!O108,0)))*parametros_manuales!$I$28*parametros_manuales!$J$28</f>
        <v>33322.00767233</v>
      </c>
      <c r="N254" s="9" t="n">
        <f aca="false">SUM(B254:M254)</f>
        <v>284507.284373</v>
      </c>
      <c r="O254" s="9" t="n">
        <f aca="false">MAX(B254:M254)</f>
        <v>33322.00767233</v>
      </c>
      <c r="P254" s="43" t="n">
        <f aca="false">O254/(parametros_manuales!$B$7)</f>
        <v>222.146717815533</v>
      </c>
      <c r="Q254" s="8" t="str">
        <f aca="false">IF(O254=0,"-",INDEX($B$244:$M$244,MATCH(O254,B254:M254,0)))</f>
        <v>Dic</v>
      </c>
    </row>
    <row r="255" customFormat="false" ht="14.25" hidden="false" customHeight="true" outlineLevel="0" collapsed="false">
      <c r="A255" s="8" t="str">
        <f aca="false">parametros_manuales!$B$29</f>
        <v>Bordoneado</v>
      </c>
      <c r="B255" s="9" t="n">
        <f aca="false">(parametros_manuales!$D$29*('Plan mensual'!D101+IF(parametros_manuales!$H$29="Todos",'Plan mensual'!D105,0))+parametros_manuales!$E$29*('Plan mensual'!D102+IF(parametros_manuales!$H$29="Todos",'Plan mensual'!D106,0))+parametros_manuales!$F$29*('Plan mensual'!D103+IF(parametros_manuales!$H$29="Todos",'Plan mensual'!D107,0))+parametros_manuales!$G$29*('Plan mensual'!D104+IF(parametros_manuales!$H$29="Todos",'Plan mensual'!D108,0)))*parametros_manuales!$I$29*parametros_manuales!$J$29</f>
        <v>32503.1412199</v>
      </c>
      <c r="C255" s="9" t="n">
        <f aca="false">(parametros_manuales!$D$29*('Plan mensual'!E101+IF(parametros_manuales!$H$29="Todos",'Plan mensual'!E105,0))+parametros_manuales!$E$29*('Plan mensual'!E102+IF(parametros_manuales!$H$29="Todos",'Plan mensual'!E106,0))+parametros_manuales!$F$29*('Plan mensual'!E103+IF(parametros_manuales!$H$29="Todos",'Plan mensual'!E107,0))+parametros_manuales!$G$29*('Plan mensual'!E104+IF(parametros_manuales!$H$29="Todos",'Plan mensual'!E108,0)))*parametros_manuales!$I$29*parametros_manuales!$J$29</f>
        <v>24786.78914114</v>
      </c>
      <c r="D255" s="9" t="n">
        <f aca="false">(parametros_manuales!$D$29*('Plan mensual'!F101+IF(parametros_manuales!$H$29="Todos",'Plan mensual'!F105,0))+parametros_manuales!$E$29*('Plan mensual'!F102+IF(parametros_manuales!$H$29="Todos",'Plan mensual'!F106,0))+parametros_manuales!$F$29*('Plan mensual'!F103+IF(parametros_manuales!$H$29="Todos",'Plan mensual'!F107,0))+parametros_manuales!$G$29*('Plan mensual'!F104+IF(parametros_manuales!$H$29="Todos",'Plan mensual'!F108,0)))*parametros_manuales!$I$29*parametros_manuales!$J$29</f>
        <v>23170.015976055</v>
      </c>
      <c r="E255" s="9" t="n">
        <f aca="false">(parametros_manuales!$D$29*('Plan mensual'!G101+IF(parametros_manuales!$H$29="Todos",'Plan mensual'!G105,0))+parametros_manuales!$E$29*('Plan mensual'!G102+IF(parametros_manuales!$H$29="Todos",'Plan mensual'!G106,0))+parametros_manuales!$F$29*('Plan mensual'!G103+IF(parametros_manuales!$H$29="Todos",'Plan mensual'!G107,0))+parametros_manuales!$G$29*('Plan mensual'!G104+IF(parametros_manuales!$H$29="Todos",'Plan mensual'!G108,0)))*parametros_manuales!$I$29*parametros_manuales!$J$29</f>
        <v>22156.912780405</v>
      </c>
      <c r="F255" s="9" t="n">
        <f aca="false">(parametros_manuales!$D$29*('Plan mensual'!H101+IF(parametros_manuales!$H$29="Todos",'Plan mensual'!H105,0))+parametros_manuales!$E$29*('Plan mensual'!H102+IF(parametros_manuales!$H$29="Todos",'Plan mensual'!H106,0))+parametros_manuales!$F$29*('Plan mensual'!H103+IF(parametros_manuales!$H$29="Todos",'Plan mensual'!H107,0))+parametros_manuales!$G$29*('Plan mensual'!H104+IF(parametros_manuales!$H$29="Todos",'Plan mensual'!H108,0)))*parametros_manuales!$I$29*parametros_manuales!$J$29</f>
        <v>20734.37635854</v>
      </c>
      <c r="G255" s="9" t="n">
        <f aca="false">(parametros_manuales!$D$29*('Plan mensual'!I101+IF(parametros_manuales!$H$29="Todos",'Plan mensual'!I105,0))+parametros_manuales!$E$29*('Plan mensual'!I102+IF(parametros_manuales!$H$29="Todos",'Plan mensual'!I106,0))+parametros_manuales!$F$29*('Plan mensual'!I103+IF(parametros_manuales!$H$29="Todos",'Plan mensual'!I107,0))+parametros_manuales!$G$29*('Plan mensual'!I104+IF(parametros_manuales!$H$29="Todos",'Plan mensual'!I108,0)))*parametros_manuales!$I$29*parametros_manuales!$J$29</f>
        <v>20324.943132325</v>
      </c>
      <c r="H255" s="9" t="n">
        <f aca="false">(parametros_manuales!$D$29*('Plan mensual'!J101+IF(parametros_manuales!$H$29="Todos",'Plan mensual'!J105,0))+parametros_manuales!$E$29*('Plan mensual'!J102+IF(parametros_manuales!$H$29="Todos",'Plan mensual'!J106,0))+parametros_manuales!$F$29*('Plan mensual'!J103+IF(parametros_manuales!$H$29="Todos",'Plan mensual'!J107,0))+parametros_manuales!$G$29*('Plan mensual'!J104+IF(parametros_manuales!$H$29="Todos",'Plan mensual'!J108,0)))*parametros_manuales!$I$29*parametros_manuales!$J$29</f>
        <v>21747.47955419</v>
      </c>
      <c r="I255" s="9" t="n">
        <f aca="false">(parametros_manuales!$D$29*('Plan mensual'!K101+IF(parametros_manuales!$H$29="Todos",'Plan mensual'!K105,0))+parametros_manuales!$E$29*('Plan mensual'!K102+IF(parametros_manuales!$H$29="Todos",'Plan mensual'!K106,0))+parametros_manuales!$F$29*('Plan mensual'!K103+IF(parametros_manuales!$H$29="Todos",'Plan mensual'!K107,0))+parametros_manuales!$G$29*('Plan mensual'!K104+IF(parametros_manuales!$H$29="Todos",'Plan mensual'!K108,0)))*parametros_manuales!$I$29*parametros_manuales!$J$29</f>
        <v>21747.47955419</v>
      </c>
      <c r="J255" s="9" t="n">
        <f aca="false">(parametros_manuales!$D$29*('Plan mensual'!L101+IF(parametros_manuales!$H$29="Todos",'Plan mensual'!L105,0))+parametros_manuales!$E$29*('Plan mensual'!L102+IF(parametros_manuales!$H$29="Todos",'Plan mensual'!L106,0))+parametros_manuales!$F$29*('Plan mensual'!L103+IF(parametros_manuales!$H$29="Todos",'Plan mensual'!L107,0))+parametros_manuales!$G$29*('Plan mensual'!L104+IF(parametros_manuales!$H$29="Todos",'Plan mensual'!L108,0)))*parametros_manuales!$I$29*parametros_manuales!$J$29</f>
        <v>21747.47955419</v>
      </c>
      <c r="K255" s="9" t="n">
        <f aca="false">(parametros_manuales!$D$29*('Plan mensual'!M101+IF(parametros_manuales!$H$29="Todos",'Plan mensual'!M105,0))+parametros_manuales!$E$29*('Plan mensual'!M102+IF(parametros_manuales!$H$29="Todos",'Plan mensual'!M106,0))+parametros_manuales!$F$29*('Plan mensual'!M103+IF(parametros_manuales!$H$29="Todos",'Plan mensual'!M107,0))+parametros_manuales!$G$29*('Plan mensual'!M104+IF(parametros_manuales!$H$29="Todos",'Plan mensual'!M108,0)))*parametros_manuales!$I$29*parametros_manuales!$J$29</f>
        <v>21338.046327975</v>
      </c>
      <c r="L255" s="9" t="n">
        <f aca="false">(parametros_manuales!$D$29*('Plan mensual'!N101+IF(parametros_manuales!$H$29="Todos",'Plan mensual'!N105,0))+parametros_manuales!$E$29*('Plan mensual'!N102+IF(parametros_manuales!$H$29="Todos",'Plan mensual'!N106,0))+parametros_manuales!$F$29*('Plan mensual'!N103+IF(parametros_manuales!$H$29="Todos",'Plan mensual'!N107,0))+parametros_manuales!$G$29*('Plan mensual'!N104+IF(parametros_manuales!$H$29="Todos",'Plan mensual'!N108,0)))*parametros_manuales!$I$29*parametros_manuales!$J$29</f>
        <v>20928.61310176</v>
      </c>
      <c r="M255" s="9" t="n">
        <f aca="false">(parametros_manuales!$D$29*('Plan mensual'!O101+IF(parametros_manuales!$H$29="Todos",'Plan mensual'!O105,0))+parametros_manuales!$E$29*('Plan mensual'!O102+IF(parametros_manuales!$H$29="Todos",'Plan mensual'!O106,0))+parametros_manuales!$F$29*('Plan mensual'!O103+IF(parametros_manuales!$H$29="Todos",'Plan mensual'!O107,0))+parametros_manuales!$G$29*('Plan mensual'!O104+IF(parametros_manuales!$H$29="Todos",'Plan mensual'!O108,0)))*parametros_manuales!$I$29*parametros_manuales!$J$29</f>
        <v>33322.00767233</v>
      </c>
      <c r="N255" s="9" t="n">
        <f aca="false">SUM(B255:M255)</f>
        <v>284507.284373</v>
      </c>
      <c r="O255" s="9" t="n">
        <f aca="false">MAX(B255:M255)</f>
        <v>33322.00767233</v>
      </c>
      <c r="P255" s="43" t="n">
        <f aca="false">O255/(parametros_manuales!$B$7)</f>
        <v>222.146717815533</v>
      </c>
      <c r="Q255" s="8" t="str">
        <f aca="false">IF(O255=0,"-",INDEX($B$244:$M$244,MATCH(O255,B255:M255,0)))</f>
        <v>Dic</v>
      </c>
    </row>
    <row r="256" customFormat="false" ht="14.25" hidden="false" customHeight="true" outlineLevel="0" collapsed="false">
      <c r="A256" s="8" t="str">
        <f aca="false">parametros_manuales!$B$30</f>
        <v>Soldadura circunferencial de cúpula y fondo</v>
      </c>
      <c r="B256" s="9" t="n">
        <f aca="false">(parametros_manuales!$D$30*('Plan mensual'!D101+IF(parametros_manuales!$H$30="Todos",'Plan mensual'!D105,0))+parametros_manuales!$E$30*('Plan mensual'!D102+IF(parametros_manuales!$H$30="Todos",'Plan mensual'!D106,0))+parametros_manuales!$F$30*('Plan mensual'!D103+IF(parametros_manuales!$H$30="Todos",'Plan mensual'!D107,0))+parametros_manuales!$G$30*('Plan mensual'!D104+IF(parametros_manuales!$H$30="Todos",'Plan mensual'!D108,0)))*parametros_manuales!$I$30*parametros_manuales!$J$30</f>
        <v>32503.1412199</v>
      </c>
      <c r="C256" s="9" t="n">
        <f aca="false">(parametros_manuales!$D$30*('Plan mensual'!E101+IF(parametros_manuales!$H$30="Todos",'Plan mensual'!E105,0))+parametros_manuales!$E$30*('Plan mensual'!E102+IF(parametros_manuales!$H$30="Todos",'Plan mensual'!E106,0))+parametros_manuales!$F$30*('Plan mensual'!E103+IF(parametros_manuales!$H$30="Todos",'Plan mensual'!E107,0))+parametros_manuales!$G$30*('Plan mensual'!E104+IF(parametros_manuales!$H$30="Todos",'Plan mensual'!E108,0)))*parametros_manuales!$I$30*parametros_manuales!$J$30</f>
        <v>24786.78914114</v>
      </c>
      <c r="D256" s="9" t="n">
        <f aca="false">(parametros_manuales!$D$30*('Plan mensual'!F101+IF(parametros_manuales!$H$30="Todos",'Plan mensual'!F105,0))+parametros_manuales!$E$30*('Plan mensual'!F102+IF(parametros_manuales!$H$30="Todos",'Plan mensual'!F106,0))+parametros_manuales!$F$30*('Plan mensual'!F103+IF(parametros_manuales!$H$30="Todos",'Plan mensual'!F107,0))+parametros_manuales!$G$30*('Plan mensual'!F104+IF(parametros_manuales!$H$30="Todos",'Plan mensual'!F108,0)))*parametros_manuales!$I$30*parametros_manuales!$J$30</f>
        <v>23170.015976055</v>
      </c>
      <c r="E256" s="9" t="n">
        <f aca="false">(parametros_manuales!$D$30*('Plan mensual'!G101+IF(parametros_manuales!$H$30="Todos",'Plan mensual'!G105,0))+parametros_manuales!$E$30*('Plan mensual'!G102+IF(parametros_manuales!$H$30="Todos",'Plan mensual'!G106,0))+parametros_manuales!$F$30*('Plan mensual'!G103+IF(parametros_manuales!$H$30="Todos",'Plan mensual'!G107,0))+parametros_manuales!$G$30*('Plan mensual'!G104+IF(parametros_manuales!$H$30="Todos",'Plan mensual'!G108,0)))*parametros_manuales!$I$30*parametros_manuales!$J$30</f>
        <v>22156.912780405</v>
      </c>
      <c r="F256" s="9" t="n">
        <f aca="false">(parametros_manuales!$D$30*('Plan mensual'!H101+IF(parametros_manuales!$H$30="Todos",'Plan mensual'!H105,0))+parametros_manuales!$E$30*('Plan mensual'!H102+IF(parametros_manuales!$H$30="Todos",'Plan mensual'!H106,0))+parametros_manuales!$F$30*('Plan mensual'!H103+IF(parametros_manuales!$H$30="Todos",'Plan mensual'!H107,0))+parametros_manuales!$G$30*('Plan mensual'!H104+IF(parametros_manuales!$H$30="Todos",'Plan mensual'!H108,0)))*parametros_manuales!$I$30*parametros_manuales!$J$30</f>
        <v>20734.37635854</v>
      </c>
      <c r="G256" s="9" t="n">
        <f aca="false">(parametros_manuales!$D$30*('Plan mensual'!I101+IF(parametros_manuales!$H$30="Todos",'Plan mensual'!I105,0))+parametros_manuales!$E$30*('Plan mensual'!I102+IF(parametros_manuales!$H$30="Todos",'Plan mensual'!I106,0))+parametros_manuales!$F$30*('Plan mensual'!I103+IF(parametros_manuales!$H$30="Todos",'Plan mensual'!I107,0))+parametros_manuales!$G$30*('Plan mensual'!I104+IF(parametros_manuales!$H$30="Todos",'Plan mensual'!I108,0)))*parametros_manuales!$I$30*parametros_manuales!$J$30</f>
        <v>20324.943132325</v>
      </c>
      <c r="H256" s="9" t="n">
        <f aca="false">(parametros_manuales!$D$30*('Plan mensual'!J101+IF(parametros_manuales!$H$30="Todos",'Plan mensual'!J105,0))+parametros_manuales!$E$30*('Plan mensual'!J102+IF(parametros_manuales!$H$30="Todos",'Plan mensual'!J106,0))+parametros_manuales!$F$30*('Plan mensual'!J103+IF(parametros_manuales!$H$30="Todos",'Plan mensual'!J107,0))+parametros_manuales!$G$30*('Plan mensual'!J104+IF(parametros_manuales!$H$30="Todos",'Plan mensual'!J108,0)))*parametros_manuales!$I$30*parametros_manuales!$J$30</f>
        <v>21747.47955419</v>
      </c>
      <c r="I256" s="9" t="n">
        <f aca="false">(parametros_manuales!$D$30*('Plan mensual'!K101+IF(parametros_manuales!$H$30="Todos",'Plan mensual'!K105,0))+parametros_manuales!$E$30*('Plan mensual'!K102+IF(parametros_manuales!$H$30="Todos",'Plan mensual'!K106,0))+parametros_manuales!$F$30*('Plan mensual'!K103+IF(parametros_manuales!$H$30="Todos",'Plan mensual'!K107,0))+parametros_manuales!$G$30*('Plan mensual'!K104+IF(parametros_manuales!$H$30="Todos",'Plan mensual'!K108,0)))*parametros_manuales!$I$30*parametros_manuales!$J$30</f>
        <v>21747.47955419</v>
      </c>
      <c r="J256" s="9" t="n">
        <f aca="false">(parametros_manuales!$D$30*('Plan mensual'!L101+IF(parametros_manuales!$H$30="Todos",'Plan mensual'!L105,0))+parametros_manuales!$E$30*('Plan mensual'!L102+IF(parametros_manuales!$H$30="Todos",'Plan mensual'!L106,0))+parametros_manuales!$F$30*('Plan mensual'!L103+IF(parametros_manuales!$H$30="Todos",'Plan mensual'!L107,0))+parametros_manuales!$G$30*('Plan mensual'!L104+IF(parametros_manuales!$H$30="Todos",'Plan mensual'!L108,0)))*parametros_manuales!$I$30*parametros_manuales!$J$30</f>
        <v>21747.47955419</v>
      </c>
      <c r="K256" s="9" t="n">
        <f aca="false">(parametros_manuales!$D$30*('Plan mensual'!M101+IF(parametros_manuales!$H$30="Todos",'Plan mensual'!M105,0))+parametros_manuales!$E$30*('Plan mensual'!M102+IF(parametros_manuales!$H$30="Todos",'Plan mensual'!M106,0))+parametros_manuales!$F$30*('Plan mensual'!M103+IF(parametros_manuales!$H$30="Todos",'Plan mensual'!M107,0))+parametros_manuales!$G$30*('Plan mensual'!M104+IF(parametros_manuales!$H$30="Todos",'Plan mensual'!M108,0)))*parametros_manuales!$I$30*parametros_manuales!$J$30</f>
        <v>21338.046327975</v>
      </c>
      <c r="L256" s="9" t="n">
        <f aca="false">(parametros_manuales!$D$30*('Plan mensual'!N101+IF(parametros_manuales!$H$30="Todos",'Plan mensual'!N105,0))+parametros_manuales!$E$30*('Plan mensual'!N102+IF(parametros_manuales!$H$30="Todos",'Plan mensual'!N106,0))+parametros_manuales!$F$30*('Plan mensual'!N103+IF(parametros_manuales!$H$30="Todos",'Plan mensual'!N107,0))+parametros_manuales!$G$30*('Plan mensual'!N104+IF(parametros_manuales!$H$30="Todos",'Plan mensual'!N108,0)))*parametros_manuales!$I$30*parametros_manuales!$J$30</f>
        <v>20928.61310176</v>
      </c>
      <c r="M256" s="9" t="n">
        <f aca="false">(parametros_manuales!$D$30*('Plan mensual'!O101+IF(parametros_manuales!$H$30="Todos",'Plan mensual'!O105,0))+parametros_manuales!$E$30*('Plan mensual'!O102+IF(parametros_manuales!$H$30="Todos",'Plan mensual'!O106,0))+parametros_manuales!$F$30*('Plan mensual'!O103+IF(parametros_manuales!$H$30="Todos",'Plan mensual'!O107,0))+parametros_manuales!$G$30*('Plan mensual'!O104+IF(parametros_manuales!$H$30="Todos",'Plan mensual'!O108,0)))*parametros_manuales!$I$30*parametros_manuales!$J$30</f>
        <v>33322.00767233</v>
      </c>
      <c r="N256" s="9" t="n">
        <f aca="false">SUM(B256:M256)</f>
        <v>284507.284373</v>
      </c>
      <c r="O256" s="9" t="n">
        <f aca="false">MAX(B256:M256)</f>
        <v>33322.00767233</v>
      </c>
      <c r="P256" s="43" t="n">
        <f aca="false">O256/(parametros_manuales!$B$7)</f>
        <v>222.146717815533</v>
      </c>
      <c r="Q256" s="8" t="str">
        <f aca="false">IF(O256=0,"-",INDEX($B$244:$M$244,MATCH(O256,B256:M256,0)))</f>
        <v>Dic</v>
      </c>
    </row>
    <row r="257" customFormat="false" ht="14.25" hidden="false" customHeight="true" outlineLevel="0" collapsed="false">
      <c r="A257" s="8" t="str">
        <f aca="false">parametros_manuales!$B$31</f>
        <v>Control de calidad — Espesor</v>
      </c>
      <c r="B257" s="9" t="n">
        <f aca="false">(parametros_manuales!$D$31*('Plan mensual'!D101+IF(parametros_manuales!$H$31="Todos",'Plan mensual'!D105,0))+parametros_manuales!$E$31*('Plan mensual'!D102+IF(parametros_manuales!$H$31="Todos",'Plan mensual'!D106,0))+parametros_manuales!$F$31*('Plan mensual'!D103+IF(parametros_manuales!$H$31="Todos",'Plan mensual'!D107,0))+parametros_manuales!$G$31*('Plan mensual'!D104+IF(parametros_manuales!$H$31="Todos",'Plan mensual'!D108,0)))*parametros_manuales!$I$31*parametros_manuales!$J$31</f>
        <v>650.062824398</v>
      </c>
      <c r="C257" s="9" t="n">
        <f aca="false">(parametros_manuales!$D$31*('Plan mensual'!E101+IF(parametros_manuales!$H$31="Todos",'Plan mensual'!E105,0))+parametros_manuales!$E$31*('Plan mensual'!E102+IF(parametros_manuales!$H$31="Todos",'Plan mensual'!E106,0))+parametros_manuales!$F$31*('Plan mensual'!E103+IF(parametros_manuales!$H$31="Todos",'Plan mensual'!E107,0))+parametros_manuales!$G$31*('Plan mensual'!E104+IF(parametros_manuales!$H$31="Todos",'Plan mensual'!E108,0)))*parametros_manuales!$I$31*parametros_manuales!$J$31</f>
        <v>495.7357828228</v>
      </c>
      <c r="D257" s="9" t="n">
        <f aca="false">(parametros_manuales!$D$31*('Plan mensual'!F101+IF(parametros_manuales!$H$31="Todos",'Plan mensual'!F105,0))+parametros_manuales!$E$31*('Plan mensual'!F102+IF(parametros_manuales!$H$31="Todos",'Plan mensual'!F106,0))+parametros_manuales!$F$31*('Plan mensual'!F103+IF(parametros_manuales!$H$31="Todos",'Plan mensual'!F107,0))+parametros_manuales!$G$31*('Plan mensual'!F104+IF(parametros_manuales!$H$31="Todos",'Plan mensual'!F108,0)))*parametros_manuales!$I$31*parametros_manuales!$J$31</f>
        <v>463.4003195211</v>
      </c>
      <c r="E257" s="9" t="n">
        <f aca="false">(parametros_manuales!$D$31*('Plan mensual'!G101+IF(parametros_manuales!$H$31="Todos",'Plan mensual'!G105,0))+parametros_manuales!$E$31*('Plan mensual'!G102+IF(parametros_manuales!$H$31="Todos",'Plan mensual'!G106,0))+parametros_manuales!$F$31*('Plan mensual'!G103+IF(parametros_manuales!$H$31="Todos",'Plan mensual'!G107,0))+parametros_manuales!$G$31*('Plan mensual'!G104+IF(parametros_manuales!$H$31="Todos",'Plan mensual'!G108,0)))*parametros_manuales!$I$31*parametros_manuales!$J$31</f>
        <v>443.1382556081</v>
      </c>
      <c r="F257" s="9" t="n">
        <f aca="false">(parametros_manuales!$D$31*('Plan mensual'!H101+IF(parametros_manuales!$H$31="Todos",'Plan mensual'!H105,0))+parametros_manuales!$E$31*('Plan mensual'!H102+IF(parametros_manuales!$H$31="Todos",'Plan mensual'!H106,0))+parametros_manuales!$F$31*('Plan mensual'!H103+IF(parametros_manuales!$H$31="Todos",'Plan mensual'!H107,0))+parametros_manuales!$G$31*('Plan mensual'!H104+IF(parametros_manuales!$H$31="Todos",'Plan mensual'!H108,0)))*parametros_manuales!$I$31*parametros_manuales!$J$31</f>
        <v>414.6875271708</v>
      </c>
      <c r="G257" s="9" t="n">
        <f aca="false">(parametros_manuales!$D$31*('Plan mensual'!I101+IF(parametros_manuales!$H$31="Todos",'Plan mensual'!I105,0))+parametros_manuales!$E$31*('Plan mensual'!I102+IF(parametros_manuales!$H$31="Todos",'Plan mensual'!I106,0))+parametros_manuales!$F$31*('Plan mensual'!I103+IF(parametros_manuales!$H$31="Todos",'Plan mensual'!I107,0))+parametros_manuales!$G$31*('Plan mensual'!I104+IF(parametros_manuales!$H$31="Todos",'Plan mensual'!I108,0)))*parametros_manuales!$I$31*parametros_manuales!$J$31</f>
        <v>406.4988626465</v>
      </c>
      <c r="H257" s="9" t="n">
        <f aca="false">(parametros_manuales!$D$31*('Plan mensual'!J101+IF(parametros_manuales!$H$31="Todos",'Plan mensual'!J105,0))+parametros_manuales!$E$31*('Plan mensual'!J102+IF(parametros_manuales!$H$31="Todos",'Plan mensual'!J106,0))+parametros_manuales!$F$31*('Plan mensual'!J103+IF(parametros_manuales!$H$31="Todos",'Plan mensual'!J107,0))+parametros_manuales!$G$31*('Plan mensual'!J104+IF(parametros_manuales!$H$31="Todos",'Plan mensual'!J108,0)))*parametros_manuales!$I$31*parametros_manuales!$J$31</f>
        <v>434.9495910838</v>
      </c>
      <c r="I257" s="9" t="n">
        <f aca="false">(parametros_manuales!$D$31*('Plan mensual'!K101+IF(parametros_manuales!$H$31="Todos",'Plan mensual'!K105,0))+parametros_manuales!$E$31*('Plan mensual'!K102+IF(parametros_manuales!$H$31="Todos",'Plan mensual'!K106,0))+parametros_manuales!$F$31*('Plan mensual'!K103+IF(parametros_manuales!$H$31="Todos",'Plan mensual'!K107,0))+parametros_manuales!$G$31*('Plan mensual'!K104+IF(parametros_manuales!$H$31="Todos",'Plan mensual'!K108,0)))*parametros_manuales!$I$31*parametros_manuales!$J$31</f>
        <v>434.9495910838</v>
      </c>
      <c r="J257" s="9" t="n">
        <f aca="false">(parametros_manuales!$D$31*('Plan mensual'!L101+IF(parametros_manuales!$H$31="Todos",'Plan mensual'!L105,0))+parametros_manuales!$E$31*('Plan mensual'!L102+IF(parametros_manuales!$H$31="Todos",'Plan mensual'!L106,0))+parametros_manuales!$F$31*('Plan mensual'!L103+IF(parametros_manuales!$H$31="Todos",'Plan mensual'!L107,0))+parametros_manuales!$G$31*('Plan mensual'!L104+IF(parametros_manuales!$H$31="Todos",'Plan mensual'!L108,0)))*parametros_manuales!$I$31*parametros_manuales!$J$31</f>
        <v>434.9495910838</v>
      </c>
      <c r="K257" s="9" t="n">
        <f aca="false">(parametros_manuales!$D$31*('Plan mensual'!M101+IF(parametros_manuales!$H$31="Todos",'Plan mensual'!M105,0))+parametros_manuales!$E$31*('Plan mensual'!M102+IF(parametros_manuales!$H$31="Todos",'Plan mensual'!M106,0))+parametros_manuales!$F$31*('Plan mensual'!M103+IF(parametros_manuales!$H$31="Todos",'Plan mensual'!M107,0))+parametros_manuales!$G$31*('Plan mensual'!M104+IF(parametros_manuales!$H$31="Todos",'Plan mensual'!M108,0)))*parametros_manuales!$I$31*parametros_manuales!$J$31</f>
        <v>426.7609265595</v>
      </c>
      <c r="L257" s="9" t="n">
        <f aca="false">(parametros_manuales!$D$31*('Plan mensual'!N101+IF(parametros_manuales!$H$31="Todos",'Plan mensual'!N105,0))+parametros_manuales!$E$31*('Plan mensual'!N102+IF(parametros_manuales!$H$31="Todos",'Plan mensual'!N106,0))+parametros_manuales!$F$31*('Plan mensual'!N103+IF(parametros_manuales!$H$31="Todos",'Plan mensual'!N107,0))+parametros_manuales!$G$31*('Plan mensual'!N104+IF(parametros_manuales!$H$31="Todos",'Plan mensual'!N108,0)))*parametros_manuales!$I$31*parametros_manuales!$J$31</f>
        <v>418.5722620352</v>
      </c>
      <c r="M257" s="9" t="n">
        <f aca="false">(parametros_manuales!$D$31*('Plan mensual'!O101+IF(parametros_manuales!$H$31="Todos",'Plan mensual'!O105,0))+parametros_manuales!$E$31*('Plan mensual'!O102+IF(parametros_manuales!$H$31="Todos",'Plan mensual'!O106,0))+parametros_manuales!$F$31*('Plan mensual'!O103+IF(parametros_manuales!$H$31="Todos",'Plan mensual'!O107,0))+parametros_manuales!$G$31*('Plan mensual'!O104+IF(parametros_manuales!$H$31="Todos",'Plan mensual'!O108,0)))*parametros_manuales!$I$31*parametros_manuales!$J$31</f>
        <v>666.4401534466</v>
      </c>
      <c r="N257" s="9" t="n">
        <f aca="false">SUM(B257:M257)</f>
        <v>5690.14568746</v>
      </c>
      <c r="O257" s="9" t="n">
        <f aca="false">MAX(B257:M257)</f>
        <v>666.4401534466</v>
      </c>
      <c r="P257" s="43" t="n">
        <f aca="false">O257/(parametros_manuales!$B$7)</f>
        <v>4.44293435631067</v>
      </c>
      <c r="Q257" s="8" t="str">
        <f aca="false">IF(O257=0,"-",INDEX($B$244:$M$244,MATCH(O257,B257:M257,0)))</f>
        <v>Dic</v>
      </c>
    </row>
    <row r="258" customFormat="false" ht="14.25" hidden="false" customHeight="true" outlineLevel="0" collapsed="false">
      <c r="A258" s="8" t="str">
        <f aca="false">parametros_manuales!$B$32</f>
        <v>Prueba hidráulica</v>
      </c>
      <c r="B258" s="9" t="n">
        <f aca="false">(parametros_manuales!$D$32*('Plan mensual'!D101+IF(parametros_manuales!$H$32="Todos",'Plan mensual'!D105,0))+parametros_manuales!$E$32*('Plan mensual'!D102+IF(parametros_manuales!$H$32="Todos",'Plan mensual'!D106,0))+parametros_manuales!$F$32*('Plan mensual'!D103+IF(parametros_manuales!$H$32="Todos",'Plan mensual'!D107,0))+parametros_manuales!$G$32*('Plan mensual'!D104+IF(parametros_manuales!$H$32="Todos",'Plan mensual'!D108,0)))*parametros_manuales!$I$32*parametros_manuales!$J$32</f>
        <v>32503.1412199</v>
      </c>
      <c r="C258" s="9" t="n">
        <f aca="false">(parametros_manuales!$D$32*('Plan mensual'!E101+IF(parametros_manuales!$H$32="Todos",'Plan mensual'!E105,0))+parametros_manuales!$E$32*('Plan mensual'!E102+IF(parametros_manuales!$H$32="Todos",'Plan mensual'!E106,0))+parametros_manuales!$F$32*('Plan mensual'!E103+IF(parametros_manuales!$H$32="Todos",'Plan mensual'!E107,0))+parametros_manuales!$G$32*('Plan mensual'!E104+IF(parametros_manuales!$H$32="Todos",'Plan mensual'!E108,0)))*parametros_manuales!$I$32*parametros_manuales!$J$32</f>
        <v>24786.78914114</v>
      </c>
      <c r="D258" s="9" t="n">
        <f aca="false">(parametros_manuales!$D$32*('Plan mensual'!F101+IF(parametros_manuales!$H$32="Todos",'Plan mensual'!F105,0))+parametros_manuales!$E$32*('Plan mensual'!F102+IF(parametros_manuales!$H$32="Todos",'Plan mensual'!F106,0))+parametros_manuales!$F$32*('Plan mensual'!F103+IF(parametros_manuales!$H$32="Todos",'Plan mensual'!F107,0))+parametros_manuales!$G$32*('Plan mensual'!F104+IF(parametros_manuales!$H$32="Todos",'Plan mensual'!F108,0)))*parametros_manuales!$I$32*parametros_manuales!$J$32</f>
        <v>23170.015976055</v>
      </c>
      <c r="E258" s="9" t="n">
        <f aca="false">(parametros_manuales!$D$32*('Plan mensual'!G101+IF(parametros_manuales!$H$32="Todos",'Plan mensual'!G105,0))+parametros_manuales!$E$32*('Plan mensual'!G102+IF(parametros_manuales!$H$32="Todos",'Plan mensual'!G106,0))+parametros_manuales!$F$32*('Plan mensual'!G103+IF(parametros_manuales!$H$32="Todos",'Plan mensual'!G107,0))+parametros_manuales!$G$32*('Plan mensual'!G104+IF(parametros_manuales!$H$32="Todos",'Plan mensual'!G108,0)))*parametros_manuales!$I$32*parametros_manuales!$J$32</f>
        <v>22156.912780405</v>
      </c>
      <c r="F258" s="9" t="n">
        <f aca="false">(parametros_manuales!$D$32*('Plan mensual'!H101+IF(parametros_manuales!$H$32="Todos",'Plan mensual'!H105,0))+parametros_manuales!$E$32*('Plan mensual'!H102+IF(parametros_manuales!$H$32="Todos",'Plan mensual'!H106,0))+parametros_manuales!$F$32*('Plan mensual'!H103+IF(parametros_manuales!$H$32="Todos",'Plan mensual'!H107,0))+parametros_manuales!$G$32*('Plan mensual'!H104+IF(parametros_manuales!$H$32="Todos",'Plan mensual'!H108,0)))*parametros_manuales!$I$32*parametros_manuales!$J$32</f>
        <v>20734.37635854</v>
      </c>
      <c r="G258" s="9" t="n">
        <f aca="false">(parametros_manuales!$D$32*('Plan mensual'!I101+IF(parametros_manuales!$H$32="Todos",'Plan mensual'!I105,0))+parametros_manuales!$E$32*('Plan mensual'!I102+IF(parametros_manuales!$H$32="Todos",'Plan mensual'!I106,0))+parametros_manuales!$F$32*('Plan mensual'!I103+IF(parametros_manuales!$H$32="Todos",'Plan mensual'!I107,0))+parametros_manuales!$G$32*('Plan mensual'!I104+IF(parametros_manuales!$H$32="Todos",'Plan mensual'!I108,0)))*parametros_manuales!$I$32*parametros_manuales!$J$32</f>
        <v>20324.943132325</v>
      </c>
      <c r="H258" s="9" t="n">
        <f aca="false">(parametros_manuales!$D$32*('Plan mensual'!J101+IF(parametros_manuales!$H$32="Todos",'Plan mensual'!J105,0))+parametros_manuales!$E$32*('Plan mensual'!J102+IF(parametros_manuales!$H$32="Todos",'Plan mensual'!J106,0))+parametros_manuales!$F$32*('Plan mensual'!J103+IF(parametros_manuales!$H$32="Todos",'Plan mensual'!J107,0))+parametros_manuales!$G$32*('Plan mensual'!J104+IF(parametros_manuales!$H$32="Todos",'Plan mensual'!J108,0)))*parametros_manuales!$I$32*parametros_manuales!$J$32</f>
        <v>21747.47955419</v>
      </c>
      <c r="I258" s="9" t="n">
        <f aca="false">(parametros_manuales!$D$32*('Plan mensual'!K101+IF(parametros_manuales!$H$32="Todos",'Plan mensual'!K105,0))+parametros_manuales!$E$32*('Plan mensual'!K102+IF(parametros_manuales!$H$32="Todos",'Plan mensual'!K106,0))+parametros_manuales!$F$32*('Plan mensual'!K103+IF(parametros_manuales!$H$32="Todos",'Plan mensual'!K107,0))+parametros_manuales!$G$32*('Plan mensual'!K104+IF(parametros_manuales!$H$32="Todos",'Plan mensual'!K108,0)))*parametros_manuales!$I$32*parametros_manuales!$J$32</f>
        <v>21747.47955419</v>
      </c>
      <c r="J258" s="9" t="n">
        <f aca="false">(parametros_manuales!$D$32*('Plan mensual'!L101+IF(parametros_manuales!$H$32="Todos",'Plan mensual'!L105,0))+parametros_manuales!$E$32*('Plan mensual'!L102+IF(parametros_manuales!$H$32="Todos",'Plan mensual'!L106,0))+parametros_manuales!$F$32*('Plan mensual'!L103+IF(parametros_manuales!$H$32="Todos",'Plan mensual'!L107,0))+parametros_manuales!$G$32*('Plan mensual'!L104+IF(parametros_manuales!$H$32="Todos",'Plan mensual'!L108,0)))*parametros_manuales!$I$32*parametros_manuales!$J$32</f>
        <v>21747.47955419</v>
      </c>
      <c r="K258" s="9" t="n">
        <f aca="false">(parametros_manuales!$D$32*('Plan mensual'!M101+IF(parametros_manuales!$H$32="Todos",'Plan mensual'!M105,0))+parametros_manuales!$E$32*('Plan mensual'!M102+IF(parametros_manuales!$H$32="Todos",'Plan mensual'!M106,0))+parametros_manuales!$F$32*('Plan mensual'!M103+IF(parametros_manuales!$H$32="Todos",'Plan mensual'!M107,0))+parametros_manuales!$G$32*('Plan mensual'!M104+IF(parametros_manuales!$H$32="Todos",'Plan mensual'!M108,0)))*parametros_manuales!$I$32*parametros_manuales!$J$32</f>
        <v>21338.046327975</v>
      </c>
      <c r="L258" s="9" t="n">
        <f aca="false">(parametros_manuales!$D$32*('Plan mensual'!N101+IF(parametros_manuales!$H$32="Todos",'Plan mensual'!N105,0))+parametros_manuales!$E$32*('Plan mensual'!N102+IF(parametros_manuales!$H$32="Todos",'Plan mensual'!N106,0))+parametros_manuales!$F$32*('Plan mensual'!N103+IF(parametros_manuales!$H$32="Todos",'Plan mensual'!N107,0))+parametros_manuales!$G$32*('Plan mensual'!N104+IF(parametros_manuales!$H$32="Todos",'Plan mensual'!N108,0)))*parametros_manuales!$I$32*parametros_manuales!$J$32</f>
        <v>20928.61310176</v>
      </c>
      <c r="M258" s="9" t="n">
        <f aca="false">(parametros_manuales!$D$32*('Plan mensual'!O101+IF(parametros_manuales!$H$32="Todos",'Plan mensual'!O105,0))+parametros_manuales!$E$32*('Plan mensual'!O102+IF(parametros_manuales!$H$32="Todos",'Plan mensual'!O106,0))+parametros_manuales!$F$32*('Plan mensual'!O103+IF(parametros_manuales!$H$32="Todos",'Plan mensual'!O107,0))+parametros_manuales!$G$32*('Plan mensual'!O104+IF(parametros_manuales!$H$32="Todos",'Plan mensual'!O108,0)))*parametros_manuales!$I$32*parametros_manuales!$J$32</f>
        <v>33322.00767233</v>
      </c>
      <c r="N258" s="9" t="n">
        <f aca="false">SUM(B258:M258)</f>
        <v>284507.284373</v>
      </c>
      <c r="O258" s="9" t="n">
        <f aca="false">MAX(B258:M258)</f>
        <v>33322.00767233</v>
      </c>
      <c r="P258" s="43" t="n">
        <f aca="false">O258/(parametros_manuales!$B$7)</f>
        <v>222.146717815533</v>
      </c>
      <c r="Q258" s="8" t="str">
        <f aca="false">IF(O258=0,"-",INDEX($B$244:$M$244,MATCH(O258,B258:M258,0)))</f>
        <v>Dic</v>
      </c>
    </row>
    <row r="259" customFormat="false" ht="14.25" hidden="false" customHeight="true" outlineLevel="0" collapsed="false">
      <c r="A259" s="8" t="str">
        <f aca="false">parametros_manuales!$B$33</f>
        <v>Secado</v>
      </c>
      <c r="B259" s="9" t="n">
        <f aca="false">(parametros_manuales!$D$33*('Plan mensual'!D101+IF(parametros_manuales!$H$33="Todos",'Plan mensual'!D105,0))+parametros_manuales!$E$33*('Plan mensual'!D102+IF(parametros_manuales!$H$33="Todos",'Plan mensual'!D106,0))+parametros_manuales!$F$33*('Plan mensual'!D103+IF(parametros_manuales!$H$33="Todos",'Plan mensual'!D107,0))+parametros_manuales!$G$33*('Plan mensual'!D104+IF(parametros_manuales!$H$33="Todos",'Plan mensual'!D108,0)))*parametros_manuales!$I$33*parametros_manuales!$J$33</f>
        <v>32503.1412199</v>
      </c>
      <c r="C259" s="9" t="n">
        <f aca="false">(parametros_manuales!$D$33*('Plan mensual'!E101+IF(parametros_manuales!$H$33="Todos",'Plan mensual'!E105,0))+parametros_manuales!$E$33*('Plan mensual'!E102+IF(parametros_manuales!$H$33="Todos",'Plan mensual'!E106,0))+parametros_manuales!$F$33*('Plan mensual'!E103+IF(parametros_manuales!$H$33="Todos",'Plan mensual'!E107,0))+parametros_manuales!$G$33*('Plan mensual'!E104+IF(parametros_manuales!$H$33="Todos",'Plan mensual'!E108,0)))*parametros_manuales!$I$33*parametros_manuales!$J$33</f>
        <v>24786.78914114</v>
      </c>
      <c r="D259" s="9" t="n">
        <f aca="false">(parametros_manuales!$D$33*('Plan mensual'!F101+IF(parametros_manuales!$H$33="Todos",'Plan mensual'!F105,0))+parametros_manuales!$E$33*('Plan mensual'!F102+IF(parametros_manuales!$H$33="Todos",'Plan mensual'!F106,0))+parametros_manuales!$F$33*('Plan mensual'!F103+IF(parametros_manuales!$H$33="Todos",'Plan mensual'!F107,0))+parametros_manuales!$G$33*('Plan mensual'!F104+IF(parametros_manuales!$H$33="Todos",'Plan mensual'!F108,0)))*parametros_manuales!$I$33*parametros_manuales!$J$33</f>
        <v>23170.015976055</v>
      </c>
      <c r="E259" s="9" t="n">
        <f aca="false">(parametros_manuales!$D$33*('Plan mensual'!G101+IF(parametros_manuales!$H$33="Todos",'Plan mensual'!G105,0))+parametros_manuales!$E$33*('Plan mensual'!G102+IF(parametros_manuales!$H$33="Todos",'Plan mensual'!G106,0))+parametros_manuales!$F$33*('Plan mensual'!G103+IF(parametros_manuales!$H$33="Todos",'Plan mensual'!G107,0))+parametros_manuales!$G$33*('Plan mensual'!G104+IF(parametros_manuales!$H$33="Todos",'Plan mensual'!G108,0)))*parametros_manuales!$I$33*parametros_manuales!$J$33</f>
        <v>22156.912780405</v>
      </c>
      <c r="F259" s="9" t="n">
        <f aca="false">(parametros_manuales!$D$33*('Plan mensual'!H101+IF(parametros_manuales!$H$33="Todos",'Plan mensual'!H105,0))+parametros_manuales!$E$33*('Plan mensual'!H102+IF(parametros_manuales!$H$33="Todos",'Plan mensual'!H106,0))+parametros_manuales!$F$33*('Plan mensual'!H103+IF(parametros_manuales!$H$33="Todos",'Plan mensual'!H107,0))+parametros_manuales!$G$33*('Plan mensual'!H104+IF(parametros_manuales!$H$33="Todos",'Plan mensual'!H108,0)))*parametros_manuales!$I$33*parametros_manuales!$J$33</f>
        <v>20734.37635854</v>
      </c>
      <c r="G259" s="9" t="n">
        <f aca="false">(parametros_manuales!$D$33*('Plan mensual'!I101+IF(parametros_manuales!$H$33="Todos",'Plan mensual'!I105,0))+parametros_manuales!$E$33*('Plan mensual'!I102+IF(parametros_manuales!$H$33="Todos",'Plan mensual'!I106,0))+parametros_manuales!$F$33*('Plan mensual'!I103+IF(parametros_manuales!$H$33="Todos",'Plan mensual'!I107,0))+parametros_manuales!$G$33*('Plan mensual'!I104+IF(parametros_manuales!$H$33="Todos",'Plan mensual'!I108,0)))*parametros_manuales!$I$33*parametros_manuales!$J$33</f>
        <v>20324.943132325</v>
      </c>
      <c r="H259" s="9" t="n">
        <f aca="false">(parametros_manuales!$D$33*('Plan mensual'!J101+IF(parametros_manuales!$H$33="Todos",'Plan mensual'!J105,0))+parametros_manuales!$E$33*('Plan mensual'!J102+IF(parametros_manuales!$H$33="Todos",'Plan mensual'!J106,0))+parametros_manuales!$F$33*('Plan mensual'!J103+IF(parametros_manuales!$H$33="Todos",'Plan mensual'!J107,0))+parametros_manuales!$G$33*('Plan mensual'!J104+IF(parametros_manuales!$H$33="Todos",'Plan mensual'!J108,0)))*parametros_manuales!$I$33*parametros_manuales!$J$33</f>
        <v>21747.47955419</v>
      </c>
      <c r="I259" s="9" t="n">
        <f aca="false">(parametros_manuales!$D$33*('Plan mensual'!K101+IF(parametros_manuales!$H$33="Todos",'Plan mensual'!K105,0))+parametros_manuales!$E$33*('Plan mensual'!K102+IF(parametros_manuales!$H$33="Todos",'Plan mensual'!K106,0))+parametros_manuales!$F$33*('Plan mensual'!K103+IF(parametros_manuales!$H$33="Todos",'Plan mensual'!K107,0))+parametros_manuales!$G$33*('Plan mensual'!K104+IF(parametros_manuales!$H$33="Todos",'Plan mensual'!K108,0)))*parametros_manuales!$I$33*parametros_manuales!$J$33</f>
        <v>21747.47955419</v>
      </c>
      <c r="J259" s="9" t="n">
        <f aca="false">(parametros_manuales!$D$33*('Plan mensual'!L101+IF(parametros_manuales!$H$33="Todos",'Plan mensual'!L105,0))+parametros_manuales!$E$33*('Plan mensual'!L102+IF(parametros_manuales!$H$33="Todos",'Plan mensual'!L106,0))+parametros_manuales!$F$33*('Plan mensual'!L103+IF(parametros_manuales!$H$33="Todos",'Plan mensual'!L107,0))+parametros_manuales!$G$33*('Plan mensual'!L104+IF(parametros_manuales!$H$33="Todos",'Plan mensual'!L108,0)))*parametros_manuales!$I$33*parametros_manuales!$J$33</f>
        <v>21747.47955419</v>
      </c>
      <c r="K259" s="9" t="n">
        <f aca="false">(parametros_manuales!$D$33*('Plan mensual'!M101+IF(parametros_manuales!$H$33="Todos",'Plan mensual'!M105,0))+parametros_manuales!$E$33*('Plan mensual'!M102+IF(parametros_manuales!$H$33="Todos",'Plan mensual'!M106,0))+parametros_manuales!$F$33*('Plan mensual'!M103+IF(parametros_manuales!$H$33="Todos",'Plan mensual'!M107,0))+parametros_manuales!$G$33*('Plan mensual'!M104+IF(parametros_manuales!$H$33="Todos",'Plan mensual'!M108,0)))*parametros_manuales!$I$33*parametros_manuales!$J$33</f>
        <v>21338.046327975</v>
      </c>
      <c r="L259" s="9" t="n">
        <f aca="false">(parametros_manuales!$D$33*('Plan mensual'!N101+IF(parametros_manuales!$H$33="Todos",'Plan mensual'!N105,0))+parametros_manuales!$E$33*('Plan mensual'!N102+IF(parametros_manuales!$H$33="Todos",'Plan mensual'!N106,0))+parametros_manuales!$F$33*('Plan mensual'!N103+IF(parametros_manuales!$H$33="Todos",'Plan mensual'!N107,0))+parametros_manuales!$G$33*('Plan mensual'!N104+IF(parametros_manuales!$H$33="Todos",'Plan mensual'!N108,0)))*parametros_manuales!$I$33*parametros_manuales!$J$33</f>
        <v>20928.61310176</v>
      </c>
      <c r="M259" s="9" t="n">
        <f aca="false">(parametros_manuales!$D$33*('Plan mensual'!O101+IF(parametros_manuales!$H$33="Todos",'Plan mensual'!O105,0))+parametros_manuales!$E$33*('Plan mensual'!O102+IF(parametros_manuales!$H$33="Todos",'Plan mensual'!O106,0))+parametros_manuales!$F$33*('Plan mensual'!O103+IF(parametros_manuales!$H$33="Todos",'Plan mensual'!O107,0))+parametros_manuales!$G$33*('Plan mensual'!O104+IF(parametros_manuales!$H$33="Todos",'Plan mensual'!O108,0)))*parametros_manuales!$I$33*parametros_manuales!$J$33</f>
        <v>33322.00767233</v>
      </c>
      <c r="N259" s="9" t="n">
        <f aca="false">SUM(B259:M259)</f>
        <v>284507.284373</v>
      </c>
      <c r="O259" s="9" t="n">
        <f aca="false">MAX(B259:M259)</f>
        <v>33322.00767233</v>
      </c>
      <c r="P259" s="43" t="n">
        <f aca="false">O259/(parametros_manuales!$B$7)</f>
        <v>222.146717815533</v>
      </c>
      <c r="Q259" s="8" t="str">
        <f aca="false">IF(O259=0,"-",INDEX($B$244:$M$244,MATCH(O259,B259:M259,0)))</f>
        <v>Dic</v>
      </c>
    </row>
    <row r="260" customFormat="false" ht="14.25" hidden="false" customHeight="true" outlineLevel="0" collapsed="false">
      <c r="A260" s="8" t="str">
        <f aca="false">parametros_manuales!$B$34</f>
        <v>Granallado</v>
      </c>
      <c r="B260" s="9" t="n">
        <f aca="false">(parametros_manuales!$D$34*('Plan mensual'!D101+IF(parametros_manuales!$H$34="Todos",'Plan mensual'!D105,0))+parametros_manuales!$E$34*('Plan mensual'!D102+IF(parametros_manuales!$H$34="Todos",'Plan mensual'!D106,0))+parametros_manuales!$F$34*('Plan mensual'!D103+IF(parametros_manuales!$H$34="Todos",'Plan mensual'!D107,0))+parametros_manuales!$G$34*('Plan mensual'!D104+IF(parametros_manuales!$H$34="Todos",'Plan mensual'!D108,0)))*parametros_manuales!$I$34*parametros_manuales!$J$34</f>
        <v>32503.1412199</v>
      </c>
      <c r="C260" s="9" t="n">
        <f aca="false">(parametros_manuales!$D$34*('Plan mensual'!E101+IF(parametros_manuales!$H$34="Todos",'Plan mensual'!E105,0))+parametros_manuales!$E$34*('Plan mensual'!E102+IF(parametros_manuales!$H$34="Todos",'Plan mensual'!E106,0))+parametros_manuales!$F$34*('Plan mensual'!E103+IF(parametros_manuales!$H$34="Todos",'Plan mensual'!E107,0))+parametros_manuales!$G$34*('Plan mensual'!E104+IF(parametros_manuales!$H$34="Todos",'Plan mensual'!E108,0)))*parametros_manuales!$I$34*parametros_manuales!$J$34</f>
        <v>24786.78914114</v>
      </c>
      <c r="D260" s="9" t="n">
        <f aca="false">(parametros_manuales!$D$34*('Plan mensual'!F101+IF(parametros_manuales!$H$34="Todos",'Plan mensual'!F105,0))+parametros_manuales!$E$34*('Plan mensual'!F102+IF(parametros_manuales!$H$34="Todos",'Plan mensual'!F106,0))+parametros_manuales!$F$34*('Plan mensual'!F103+IF(parametros_manuales!$H$34="Todos",'Plan mensual'!F107,0))+parametros_manuales!$G$34*('Plan mensual'!F104+IF(parametros_manuales!$H$34="Todos",'Plan mensual'!F108,0)))*parametros_manuales!$I$34*parametros_manuales!$J$34</f>
        <v>23170.015976055</v>
      </c>
      <c r="E260" s="9" t="n">
        <f aca="false">(parametros_manuales!$D$34*('Plan mensual'!G101+IF(parametros_manuales!$H$34="Todos",'Plan mensual'!G105,0))+parametros_manuales!$E$34*('Plan mensual'!G102+IF(parametros_manuales!$H$34="Todos",'Plan mensual'!G106,0))+parametros_manuales!$F$34*('Plan mensual'!G103+IF(parametros_manuales!$H$34="Todos",'Plan mensual'!G107,0))+parametros_manuales!$G$34*('Plan mensual'!G104+IF(parametros_manuales!$H$34="Todos",'Plan mensual'!G108,0)))*parametros_manuales!$I$34*parametros_manuales!$J$34</f>
        <v>22156.912780405</v>
      </c>
      <c r="F260" s="9" t="n">
        <f aca="false">(parametros_manuales!$D$34*('Plan mensual'!H101+IF(parametros_manuales!$H$34="Todos",'Plan mensual'!H105,0))+parametros_manuales!$E$34*('Plan mensual'!H102+IF(parametros_manuales!$H$34="Todos",'Plan mensual'!H106,0))+parametros_manuales!$F$34*('Plan mensual'!H103+IF(parametros_manuales!$H$34="Todos",'Plan mensual'!H107,0))+parametros_manuales!$G$34*('Plan mensual'!H104+IF(parametros_manuales!$H$34="Todos",'Plan mensual'!H108,0)))*parametros_manuales!$I$34*parametros_manuales!$J$34</f>
        <v>20734.37635854</v>
      </c>
      <c r="G260" s="9" t="n">
        <f aca="false">(parametros_manuales!$D$34*('Plan mensual'!I101+IF(parametros_manuales!$H$34="Todos",'Plan mensual'!I105,0))+parametros_manuales!$E$34*('Plan mensual'!I102+IF(parametros_manuales!$H$34="Todos",'Plan mensual'!I106,0))+parametros_manuales!$F$34*('Plan mensual'!I103+IF(parametros_manuales!$H$34="Todos",'Plan mensual'!I107,0))+parametros_manuales!$G$34*('Plan mensual'!I104+IF(parametros_manuales!$H$34="Todos",'Plan mensual'!I108,0)))*parametros_manuales!$I$34*parametros_manuales!$J$34</f>
        <v>20324.943132325</v>
      </c>
      <c r="H260" s="9" t="n">
        <f aca="false">(parametros_manuales!$D$34*('Plan mensual'!J101+IF(parametros_manuales!$H$34="Todos",'Plan mensual'!J105,0))+parametros_manuales!$E$34*('Plan mensual'!J102+IF(parametros_manuales!$H$34="Todos",'Plan mensual'!J106,0))+parametros_manuales!$F$34*('Plan mensual'!J103+IF(parametros_manuales!$H$34="Todos",'Plan mensual'!J107,0))+parametros_manuales!$G$34*('Plan mensual'!J104+IF(parametros_manuales!$H$34="Todos",'Plan mensual'!J108,0)))*parametros_manuales!$I$34*parametros_manuales!$J$34</f>
        <v>21747.47955419</v>
      </c>
      <c r="I260" s="9" t="n">
        <f aca="false">(parametros_manuales!$D$34*('Plan mensual'!K101+IF(parametros_manuales!$H$34="Todos",'Plan mensual'!K105,0))+parametros_manuales!$E$34*('Plan mensual'!K102+IF(parametros_manuales!$H$34="Todos",'Plan mensual'!K106,0))+parametros_manuales!$F$34*('Plan mensual'!K103+IF(parametros_manuales!$H$34="Todos",'Plan mensual'!K107,0))+parametros_manuales!$G$34*('Plan mensual'!K104+IF(parametros_manuales!$H$34="Todos",'Plan mensual'!K108,0)))*parametros_manuales!$I$34*parametros_manuales!$J$34</f>
        <v>21747.47955419</v>
      </c>
      <c r="J260" s="9" t="n">
        <f aca="false">(parametros_manuales!$D$34*('Plan mensual'!L101+IF(parametros_manuales!$H$34="Todos",'Plan mensual'!L105,0))+parametros_manuales!$E$34*('Plan mensual'!L102+IF(parametros_manuales!$H$34="Todos",'Plan mensual'!L106,0))+parametros_manuales!$F$34*('Plan mensual'!L103+IF(parametros_manuales!$H$34="Todos",'Plan mensual'!L107,0))+parametros_manuales!$G$34*('Plan mensual'!L104+IF(parametros_manuales!$H$34="Todos",'Plan mensual'!L108,0)))*parametros_manuales!$I$34*parametros_manuales!$J$34</f>
        <v>21747.47955419</v>
      </c>
      <c r="K260" s="9" t="n">
        <f aca="false">(parametros_manuales!$D$34*('Plan mensual'!M101+IF(parametros_manuales!$H$34="Todos",'Plan mensual'!M105,0))+parametros_manuales!$E$34*('Plan mensual'!M102+IF(parametros_manuales!$H$34="Todos",'Plan mensual'!M106,0))+parametros_manuales!$F$34*('Plan mensual'!M103+IF(parametros_manuales!$H$34="Todos",'Plan mensual'!M107,0))+parametros_manuales!$G$34*('Plan mensual'!M104+IF(parametros_manuales!$H$34="Todos",'Plan mensual'!M108,0)))*parametros_manuales!$I$34*parametros_manuales!$J$34</f>
        <v>21338.046327975</v>
      </c>
      <c r="L260" s="9" t="n">
        <f aca="false">(parametros_manuales!$D$34*('Plan mensual'!N101+IF(parametros_manuales!$H$34="Todos",'Plan mensual'!N105,0))+parametros_manuales!$E$34*('Plan mensual'!N102+IF(parametros_manuales!$H$34="Todos",'Plan mensual'!N106,0))+parametros_manuales!$F$34*('Plan mensual'!N103+IF(parametros_manuales!$H$34="Todos",'Plan mensual'!N107,0))+parametros_manuales!$G$34*('Plan mensual'!N104+IF(parametros_manuales!$H$34="Todos",'Plan mensual'!N108,0)))*parametros_manuales!$I$34*parametros_manuales!$J$34</f>
        <v>20928.61310176</v>
      </c>
      <c r="M260" s="9" t="n">
        <f aca="false">(parametros_manuales!$D$34*('Plan mensual'!O101+IF(parametros_manuales!$H$34="Todos",'Plan mensual'!O105,0))+parametros_manuales!$E$34*('Plan mensual'!O102+IF(parametros_manuales!$H$34="Todos",'Plan mensual'!O106,0))+parametros_manuales!$F$34*('Plan mensual'!O103+IF(parametros_manuales!$H$34="Todos",'Plan mensual'!O107,0))+parametros_manuales!$G$34*('Plan mensual'!O104+IF(parametros_manuales!$H$34="Todos",'Plan mensual'!O108,0)))*parametros_manuales!$I$34*parametros_manuales!$J$34</f>
        <v>33322.00767233</v>
      </c>
      <c r="N260" s="9" t="n">
        <f aca="false">SUM(B260:M260)</f>
        <v>284507.284373</v>
      </c>
      <c r="O260" s="9" t="n">
        <f aca="false">MAX(B260:M260)</f>
        <v>33322.00767233</v>
      </c>
      <c r="P260" s="43" t="n">
        <f aca="false">O260/(parametros_manuales!$B$7)</f>
        <v>222.146717815533</v>
      </c>
      <c r="Q260" s="8" t="str">
        <f aca="false">IF(O260=0,"-",INDEX($B$244:$M$244,MATCH(O260,B260:M260,0)))</f>
        <v>Dic</v>
      </c>
    </row>
    <row r="261" customFormat="false" ht="14.25" hidden="false" customHeight="true" outlineLevel="0" collapsed="false">
      <c r="A261" s="8" t="str">
        <f aca="false">parametros_manuales!$B$35</f>
        <v>Detección de defectos</v>
      </c>
      <c r="B261" s="9" t="n">
        <f aca="false">(parametros_manuales!$D$35*('Plan mensual'!D101+IF(parametros_manuales!$H$35="Todos",'Plan mensual'!D105,0))+parametros_manuales!$E$35*('Plan mensual'!D102+IF(parametros_manuales!$H$35="Todos",'Plan mensual'!D106,0))+parametros_manuales!$F$35*('Plan mensual'!D103+IF(parametros_manuales!$H$35="Todos",'Plan mensual'!D107,0))+parametros_manuales!$G$35*('Plan mensual'!D104+IF(parametros_manuales!$H$35="Todos",'Plan mensual'!D108,0)))*parametros_manuales!$I$35*parametros_manuales!$J$35</f>
        <v>32503.1412199</v>
      </c>
      <c r="C261" s="9" t="n">
        <f aca="false">(parametros_manuales!$D$35*('Plan mensual'!E101+IF(parametros_manuales!$H$35="Todos",'Plan mensual'!E105,0))+parametros_manuales!$E$35*('Plan mensual'!E102+IF(parametros_manuales!$H$35="Todos",'Plan mensual'!E106,0))+parametros_manuales!$F$35*('Plan mensual'!E103+IF(parametros_manuales!$H$35="Todos",'Plan mensual'!E107,0))+parametros_manuales!$G$35*('Plan mensual'!E104+IF(parametros_manuales!$H$35="Todos",'Plan mensual'!E108,0)))*parametros_manuales!$I$35*parametros_manuales!$J$35</f>
        <v>24786.78914114</v>
      </c>
      <c r="D261" s="9" t="n">
        <f aca="false">(parametros_manuales!$D$35*('Plan mensual'!F101+IF(parametros_manuales!$H$35="Todos",'Plan mensual'!F105,0))+parametros_manuales!$E$35*('Plan mensual'!F102+IF(parametros_manuales!$H$35="Todos",'Plan mensual'!F106,0))+parametros_manuales!$F$35*('Plan mensual'!F103+IF(parametros_manuales!$H$35="Todos",'Plan mensual'!F107,0))+parametros_manuales!$G$35*('Plan mensual'!F104+IF(parametros_manuales!$H$35="Todos",'Plan mensual'!F108,0)))*parametros_manuales!$I$35*parametros_manuales!$J$35</f>
        <v>23170.015976055</v>
      </c>
      <c r="E261" s="9" t="n">
        <f aca="false">(parametros_manuales!$D$35*('Plan mensual'!G101+IF(parametros_manuales!$H$35="Todos",'Plan mensual'!G105,0))+parametros_manuales!$E$35*('Plan mensual'!G102+IF(parametros_manuales!$H$35="Todos",'Plan mensual'!G106,0))+parametros_manuales!$F$35*('Plan mensual'!G103+IF(parametros_manuales!$H$35="Todos",'Plan mensual'!G107,0))+parametros_manuales!$G$35*('Plan mensual'!G104+IF(parametros_manuales!$H$35="Todos",'Plan mensual'!G108,0)))*parametros_manuales!$I$35*parametros_manuales!$J$35</f>
        <v>22156.912780405</v>
      </c>
      <c r="F261" s="9" t="n">
        <f aca="false">(parametros_manuales!$D$35*('Plan mensual'!H101+IF(parametros_manuales!$H$35="Todos",'Plan mensual'!H105,0))+parametros_manuales!$E$35*('Plan mensual'!H102+IF(parametros_manuales!$H$35="Todos",'Plan mensual'!H106,0))+parametros_manuales!$F$35*('Plan mensual'!H103+IF(parametros_manuales!$H$35="Todos",'Plan mensual'!H107,0))+parametros_manuales!$G$35*('Plan mensual'!H104+IF(parametros_manuales!$H$35="Todos",'Plan mensual'!H108,0)))*parametros_manuales!$I$35*parametros_manuales!$J$35</f>
        <v>20734.37635854</v>
      </c>
      <c r="G261" s="9" t="n">
        <f aca="false">(parametros_manuales!$D$35*('Plan mensual'!I101+IF(parametros_manuales!$H$35="Todos",'Plan mensual'!I105,0))+parametros_manuales!$E$35*('Plan mensual'!I102+IF(parametros_manuales!$H$35="Todos",'Plan mensual'!I106,0))+parametros_manuales!$F$35*('Plan mensual'!I103+IF(parametros_manuales!$H$35="Todos",'Plan mensual'!I107,0))+parametros_manuales!$G$35*('Plan mensual'!I104+IF(parametros_manuales!$H$35="Todos",'Plan mensual'!I108,0)))*parametros_manuales!$I$35*parametros_manuales!$J$35</f>
        <v>20324.943132325</v>
      </c>
      <c r="H261" s="9" t="n">
        <f aca="false">(parametros_manuales!$D$35*('Plan mensual'!J101+IF(parametros_manuales!$H$35="Todos",'Plan mensual'!J105,0))+parametros_manuales!$E$35*('Plan mensual'!J102+IF(parametros_manuales!$H$35="Todos",'Plan mensual'!J106,0))+parametros_manuales!$F$35*('Plan mensual'!J103+IF(parametros_manuales!$H$35="Todos",'Plan mensual'!J107,0))+parametros_manuales!$G$35*('Plan mensual'!J104+IF(parametros_manuales!$H$35="Todos",'Plan mensual'!J108,0)))*parametros_manuales!$I$35*parametros_manuales!$J$35</f>
        <v>21747.47955419</v>
      </c>
      <c r="I261" s="9" t="n">
        <f aca="false">(parametros_manuales!$D$35*('Plan mensual'!K101+IF(parametros_manuales!$H$35="Todos",'Plan mensual'!K105,0))+parametros_manuales!$E$35*('Plan mensual'!K102+IF(parametros_manuales!$H$35="Todos",'Plan mensual'!K106,0))+parametros_manuales!$F$35*('Plan mensual'!K103+IF(parametros_manuales!$H$35="Todos",'Plan mensual'!K107,0))+parametros_manuales!$G$35*('Plan mensual'!K104+IF(parametros_manuales!$H$35="Todos",'Plan mensual'!K108,0)))*parametros_manuales!$I$35*parametros_manuales!$J$35</f>
        <v>21747.47955419</v>
      </c>
      <c r="J261" s="9" t="n">
        <f aca="false">(parametros_manuales!$D$35*('Plan mensual'!L101+IF(parametros_manuales!$H$35="Todos",'Plan mensual'!L105,0))+parametros_manuales!$E$35*('Plan mensual'!L102+IF(parametros_manuales!$H$35="Todos",'Plan mensual'!L106,0))+parametros_manuales!$F$35*('Plan mensual'!L103+IF(parametros_manuales!$H$35="Todos",'Plan mensual'!L107,0))+parametros_manuales!$G$35*('Plan mensual'!L104+IF(parametros_manuales!$H$35="Todos",'Plan mensual'!L108,0)))*parametros_manuales!$I$35*parametros_manuales!$J$35</f>
        <v>21747.47955419</v>
      </c>
      <c r="K261" s="9" t="n">
        <f aca="false">(parametros_manuales!$D$35*('Plan mensual'!M101+IF(parametros_manuales!$H$35="Todos",'Plan mensual'!M105,0))+parametros_manuales!$E$35*('Plan mensual'!M102+IF(parametros_manuales!$H$35="Todos",'Plan mensual'!M106,0))+parametros_manuales!$F$35*('Plan mensual'!M103+IF(parametros_manuales!$H$35="Todos",'Plan mensual'!M107,0))+parametros_manuales!$G$35*('Plan mensual'!M104+IF(parametros_manuales!$H$35="Todos",'Plan mensual'!M108,0)))*parametros_manuales!$I$35*parametros_manuales!$J$35</f>
        <v>21338.046327975</v>
      </c>
      <c r="L261" s="9" t="n">
        <f aca="false">(parametros_manuales!$D$35*('Plan mensual'!N101+IF(parametros_manuales!$H$35="Todos",'Plan mensual'!N105,0))+parametros_manuales!$E$35*('Plan mensual'!N102+IF(parametros_manuales!$H$35="Todos",'Plan mensual'!N106,0))+parametros_manuales!$F$35*('Plan mensual'!N103+IF(parametros_manuales!$H$35="Todos",'Plan mensual'!N107,0))+parametros_manuales!$G$35*('Plan mensual'!N104+IF(parametros_manuales!$H$35="Todos",'Plan mensual'!N108,0)))*parametros_manuales!$I$35*parametros_manuales!$J$35</f>
        <v>20928.61310176</v>
      </c>
      <c r="M261" s="9" t="n">
        <f aca="false">(parametros_manuales!$D$35*('Plan mensual'!O101+IF(parametros_manuales!$H$35="Todos",'Plan mensual'!O105,0))+parametros_manuales!$E$35*('Plan mensual'!O102+IF(parametros_manuales!$H$35="Todos",'Plan mensual'!O106,0))+parametros_manuales!$F$35*('Plan mensual'!O103+IF(parametros_manuales!$H$35="Todos",'Plan mensual'!O107,0))+parametros_manuales!$G$35*('Plan mensual'!O104+IF(parametros_manuales!$H$35="Todos",'Plan mensual'!O108,0)))*parametros_manuales!$I$35*parametros_manuales!$J$35</f>
        <v>33322.00767233</v>
      </c>
      <c r="N261" s="9" t="n">
        <f aca="false">SUM(B261:M261)</f>
        <v>284507.284373</v>
      </c>
      <c r="O261" s="9" t="n">
        <f aca="false">MAX(B261:M261)</f>
        <v>33322.00767233</v>
      </c>
      <c r="P261" s="43" t="n">
        <f aca="false">O261/(parametros_manuales!$B$7)</f>
        <v>222.146717815533</v>
      </c>
      <c r="Q261" s="8" t="str">
        <f aca="false">IF(O261=0,"-",INDEX($B$244:$M$244,MATCH(O261,B261:M261,0)))</f>
        <v>Dic</v>
      </c>
    </row>
    <row r="262" customFormat="false" ht="14.25" hidden="false" customHeight="true" outlineLevel="0" collapsed="false">
      <c r="A262" s="8" t="str">
        <f aca="false">parametros_manuales!$B$36</f>
        <v>Corrección de defectos</v>
      </c>
      <c r="B262" s="9" t="n">
        <f aca="false">(parametros_manuales!$D$36*('Plan mensual'!D101+IF(parametros_manuales!$H$36="Todos",'Plan mensual'!D105,0))+parametros_manuales!$E$36*('Plan mensual'!D102+IF(parametros_manuales!$H$36="Todos",'Plan mensual'!D106,0))+parametros_manuales!$F$36*('Plan mensual'!D103+IF(parametros_manuales!$H$36="Todos",'Plan mensual'!D107,0))+parametros_manuales!$G$36*('Plan mensual'!D104+IF(parametros_manuales!$H$36="Todos",'Plan mensual'!D108,0)))*parametros_manuales!$I$36*parametros_manuales!$J$36</f>
        <v>1625.157060995</v>
      </c>
      <c r="C262" s="9" t="n">
        <f aca="false">(parametros_manuales!$D$36*('Plan mensual'!E101+IF(parametros_manuales!$H$36="Todos",'Plan mensual'!E105,0))+parametros_manuales!$E$36*('Plan mensual'!E102+IF(parametros_manuales!$H$36="Todos",'Plan mensual'!E106,0))+parametros_manuales!$F$36*('Plan mensual'!E103+IF(parametros_manuales!$H$36="Todos",'Plan mensual'!E107,0))+parametros_manuales!$G$36*('Plan mensual'!E104+IF(parametros_manuales!$H$36="Todos",'Plan mensual'!E108,0)))*parametros_manuales!$I$36*parametros_manuales!$J$36</f>
        <v>1239.339457057</v>
      </c>
      <c r="D262" s="9" t="n">
        <f aca="false">(parametros_manuales!$D$36*('Plan mensual'!F101+IF(parametros_manuales!$H$36="Todos",'Plan mensual'!F105,0))+parametros_manuales!$E$36*('Plan mensual'!F102+IF(parametros_manuales!$H$36="Todos",'Plan mensual'!F106,0))+parametros_manuales!$F$36*('Plan mensual'!F103+IF(parametros_manuales!$H$36="Todos",'Plan mensual'!F107,0))+parametros_manuales!$G$36*('Plan mensual'!F104+IF(parametros_manuales!$H$36="Todos",'Plan mensual'!F108,0)))*parametros_manuales!$I$36*parametros_manuales!$J$36</f>
        <v>1158.50079880275</v>
      </c>
      <c r="E262" s="9" t="n">
        <f aca="false">(parametros_manuales!$D$36*('Plan mensual'!G101+IF(parametros_manuales!$H$36="Todos",'Plan mensual'!G105,0))+parametros_manuales!$E$36*('Plan mensual'!G102+IF(parametros_manuales!$H$36="Todos",'Plan mensual'!G106,0))+parametros_manuales!$F$36*('Plan mensual'!G103+IF(parametros_manuales!$H$36="Todos",'Plan mensual'!G107,0))+parametros_manuales!$G$36*('Plan mensual'!G104+IF(parametros_manuales!$H$36="Todos",'Plan mensual'!G108,0)))*parametros_manuales!$I$36*parametros_manuales!$J$36</f>
        <v>1107.84563902025</v>
      </c>
      <c r="F262" s="9" t="n">
        <f aca="false">(parametros_manuales!$D$36*('Plan mensual'!H101+IF(parametros_manuales!$H$36="Todos",'Plan mensual'!H105,0))+parametros_manuales!$E$36*('Plan mensual'!H102+IF(parametros_manuales!$H$36="Todos",'Plan mensual'!H106,0))+parametros_manuales!$F$36*('Plan mensual'!H103+IF(parametros_manuales!$H$36="Todos",'Plan mensual'!H107,0))+parametros_manuales!$G$36*('Plan mensual'!H104+IF(parametros_manuales!$H$36="Todos",'Plan mensual'!H108,0)))*parametros_manuales!$I$36*parametros_manuales!$J$36</f>
        <v>1036.718817927</v>
      </c>
      <c r="G262" s="9" t="n">
        <f aca="false">(parametros_manuales!$D$36*('Plan mensual'!I101+IF(parametros_manuales!$H$36="Todos",'Plan mensual'!I105,0))+parametros_manuales!$E$36*('Plan mensual'!I102+IF(parametros_manuales!$H$36="Todos",'Plan mensual'!I106,0))+parametros_manuales!$F$36*('Plan mensual'!I103+IF(parametros_manuales!$H$36="Todos",'Plan mensual'!I107,0))+parametros_manuales!$G$36*('Plan mensual'!I104+IF(parametros_manuales!$H$36="Todos",'Plan mensual'!I108,0)))*parametros_manuales!$I$36*parametros_manuales!$J$36</f>
        <v>1016.24715661625</v>
      </c>
      <c r="H262" s="9" t="n">
        <f aca="false">(parametros_manuales!$D$36*('Plan mensual'!J101+IF(parametros_manuales!$H$36="Todos",'Plan mensual'!J105,0))+parametros_manuales!$E$36*('Plan mensual'!J102+IF(parametros_manuales!$H$36="Todos",'Plan mensual'!J106,0))+parametros_manuales!$F$36*('Plan mensual'!J103+IF(parametros_manuales!$H$36="Todos",'Plan mensual'!J107,0))+parametros_manuales!$G$36*('Plan mensual'!J104+IF(parametros_manuales!$H$36="Todos",'Plan mensual'!J108,0)))*parametros_manuales!$I$36*parametros_manuales!$J$36</f>
        <v>1087.3739777095</v>
      </c>
      <c r="I262" s="9" t="n">
        <f aca="false">(parametros_manuales!$D$36*('Plan mensual'!K101+IF(parametros_manuales!$H$36="Todos",'Plan mensual'!K105,0))+parametros_manuales!$E$36*('Plan mensual'!K102+IF(parametros_manuales!$H$36="Todos",'Plan mensual'!K106,0))+parametros_manuales!$F$36*('Plan mensual'!K103+IF(parametros_manuales!$H$36="Todos",'Plan mensual'!K107,0))+parametros_manuales!$G$36*('Plan mensual'!K104+IF(parametros_manuales!$H$36="Todos",'Plan mensual'!K108,0)))*parametros_manuales!$I$36*parametros_manuales!$J$36</f>
        <v>1087.3739777095</v>
      </c>
      <c r="J262" s="9" t="n">
        <f aca="false">(parametros_manuales!$D$36*('Plan mensual'!L101+IF(parametros_manuales!$H$36="Todos",'Plan mensual'!L105,0))+parametros_manuales!$E$36*('Plan mensual'!L102+IF(parametros_manuales!$H$36="Todos",'Plan mensual'!L106,0))+parametros_manuales!$F$36*('Plan mensual'!L103+IF(parametros_manuales!$H$36="Todos",'Plan mensual'!L107,0))+parametros_manuales!$G$36*('Plan mensual'!L104+IF(parametros_manuales!$H$36="Todos",'Plan mensual'!L108,0)))*parametros_manuales!$I$36*parametros_manuales!$J$36</f>
        <v>1087.3739777095</v>
      </c>
      <c r="K262" s="9" t="n">
        <f aca="false">(parametros_manuales!$D$36*('Plan mensual'!M101+IF(parametros_manuales!$H$36="Todos",'Plan mensual'!M105,0))+parametros_manuales!$E$36*('Plan mensual'!M102+IF(parametros_manuales!$H$36="Todos",'Plan mensual'!M106,0))+parametros_manuales!$F$36*('Plan mensual'!M103+IF(parametros_manuales!$H$36="Todos",'Plan mensual'!M107,0))+parametros_manuales!$G$36*('Plan mensual'!M104+IF(parametros_manuales!$H$36="Todos",'Plan mensual'!M108,0)))*parametros_manuales!$I$36*parametros_manuales!$J$36</f>
        <v>1066.90231639875</v>
      </c>
      <c r="L262" s="9" t="n">
        <f aca="false">(parametros_manuales!$D$36*('Plan mensual'!N101+IF(parametros_manuales!$H$36="Todos",'Plan mensual'!N105,0))+parametros_manuales!$E$36*('Plan mensual'!N102+IF(parametros_manuales!$H$36="Todos",'Plan mensual'!N106,0))+parametros_manuales!$F$36*('Plan mensual'!N103+IF(parametros_manuales!$H$36="Todos",'Plan mensual'!N107,0))+parametros_manuales!$G$36*('Plan mensual'!N104+IF(parametros_manuales!$H$36="Todos",'Plan mensual'!N108,0)))*parametros_manuales!$I$36*parametros_manuales!$J$36</f>
        <v>1046.430655088</v>
      </c>
      <c r="M262" s="9" t="n">
        <f aca="false">(parametros_manuales!$D$36*('Plan mensual'!O101+IF(parametros_manuales!$H$36="Todos",'Plan mensual'!O105,0))+parametros_manuales!$E$36*('Plan mensual'!O102+IF(parametros_manuales!$H$36="Todos",'Plan mensual'!O106,0))+parametros_manuales!$F$36*('Plan mensual'!O103+IF(parametros_manuales!$H$36="Todos",'Plan mensual'!O107,0))+parametros_manuales!$G$36*('Plan mensual'!O104+IF(parametros_manuales!$H$36="Todos",'Plan mensual'!O108,0)))*parametros_manuales!$I$36*parametros_manuales!$J$36</f>
        <v>1666.1003836165</v>
      </c>
      <c r="N262" s="9" t="n">
        <f aca="false">SUM(B262:M262)</f>
        <v>14225.36421865</v>
      </c>
      <c r="O262" s="9" t="n">
        <f aca="false">MAX(B262:M262)</f>
        <v>1666.1003836165</v>
      </c>
      <c r="P262" s="43" t="n">
        <f aca="false">O262/(parametros_manuales!$B$7)</f>
        <v>11.1073358907767</v>
      </c>
      <c r="Q262" s="8" t="str">
        <f aca="false">IF(O262=0,"-",INDEX($B$244:$M$244,MATCH(O262,B262:M262,0)))</f>
        <v>Dic</v>
      </c>
    </row>
    <row r="263" customFormat="false" ht="14.25" hidden="false" customHeight="true" outlineLevel="0" collapsed="false">
      <c r="A263" s="8" t="str">
        <f aca="false">parametros_manuales!$B$37</f>
        <v>Pintura en polvo + horno</v>
      </c>
      <c r="B263" s="9" t="n">
        <f aca="false">(parametros_manuales!$D$37*('Plan mensual'!D101+IF(parametros_manuales!$H$37="Todos",'Plan mensual'!D105,0))+parametros_manuales!$E$37*('Plan mensual'!D102+IF(parametros_manuales!$H$37="Todos",'Plan mensual'!D106,0))+parametros_manuales!$F$37*('Plan mensual'!D103+IF(parametros_manuales!$H$37="Todos",'Plan mensual'!D107,0))+parametros_manuales!$G$37*('Plan mensual'!D104+IF(parametros_manuales!$H$37="Todos",'Plan mensual'!D108,0)))*parametros_manuales!$I$37*parametros_manuales!$J$37</f>
        <v>32503.1412199</v>
      </c>
      <c r="C263" s="9" t="n">
        <f aca="false">(parametros_manuales!$D$37*('Plan mensual'!E101+IF(parametros_manuales!$H$37="Todos",'Plan mensual'!E105,0))+parametros_manuales!$E$37*('Plan mensual'!E102+IF(parametros_manuales!$H$37="Todos",'Plan mensual'!E106,0))+parametros_manuales!$F$37*('Plan mensual'!E103+IF(parametros_manuales!$H$37="Todos",'Plan mensual'!E107,0))+parametros_manuales!$G$37*('Plan mensual'!E104+IF(parametros_manuales!$H$37="Todos",'Plan mensual'!E108,0)))*parametros_manuales!$I$37*parametros_manuales!$J$37</f>
        <v>24786.78914114</v>
      </c>
      <c r="D263" s="9" t="n">
        <f aca="false">(parametros_manuales!$D$37*('Plan mensual'!F101+IF(parametros_manuales!$H$37="Todos",'Plan mensual'!F105,0))+parametros_manuales!$E$37*('Plan mensual'!F102+IF(parametros_manuales!$H$37="Todos",'Plan mensual'!F106,0))+parametros_manuales!$F$37*('Plan mensual'!F103+IF(parametros_manuales!$H$37="Todos",'Plan mensual'!F107,0))+parametros_manuales!$G$37*('Plan mensual'!F104+IF(parametros_manuales!$H$37="Todos",'Plan mensual'!F108,0)))*parametros_manuales!$I$37*parametros_manuales!$J$37</f>
        <v>23170.015976055</v>
      </c>
      <c r="E263" s="9" t="n">
        <f aca="false">(parametros_manuales!$D$37*('Plan mensual'!G101+IF(parametros_manuales!$H$37="Todos",'Plan mensual'!G105,0))+parametros_manuales!$E$37*('Plan mensual'!G102+IF(parametros_manuales!$H$37="Todos",'Plan mensual'!G106,0))+parametros_manuales!$F$37*('Plan mensual'!G103+IF(parametros_manuales!$H$37="Todos",'Plan mensual'!G107,0))+parametros_manuales!$G$37*('Plan mensual'!G104+IF(parametros_manuales!$H$37="Todos",'Plan mensual'!G108,0)))*parametros_manuales!$I$37*parametros_manuales!$J$37</f>
        <v>22156.912780405</v>
      </c>
      <c r="F263" s="9" t="n">
        <f aca="false">(parametros_manuales!$D$37*('Plan mensual'!H101+IF(parametros_manuales!$H$37="Todos",'Plan mensual'!H105,0))+parametros_manuales!$E$37*('Plan mensual'!H102+IF(parametros_manuales!$H$37="Todos",'Plan mensual'!H106,0))+parametros_manuales!$F$37*('Plan mensual'!H103+IF(parametros_manuales!$H$37="Todos",'Plan mensual'!H107,0))+parametros_manuales!$G$37*('Plan mensual'!H104+IF(parametros_manuales!$H$37="Todos",'Plan mensual'!H108,0)))*parametros_manuales!$I$37*parametros_manuales!$J$37</f>
        <v>20734.37635854</v>
      </c>
      <c r="G263" s="9" t="n">
        <f aca="false">(parametros_manuales!$D$37*('Plan mensual'!I101+IF(parametros_manuales!$H$37="Todos",'Plan mensual'!I105,0))+parametros_manuales!$E$37*('Plan mensual'!I102+IF(parametros_manuales!$H$37="Todos",'Plan mensual'!I106,0))+parametros_manuales!$F$37*('Plan mensual'!I103+IF(parametros_manuales!$H$37="Todos",'Plan mensual'!I107,0))+parametros_manuales!$G$37*('Plan mensual'!I104+IF(parametros_manuales!$H$37="Todos",'Plan mensual'!I108,0)))*parametros_manuales!$I$37*parametros_manuales!$J$37</f>
        <v>20324.943132325</v>
      </c>
      <c r="H263" s="9" t="n">
        <f aca="false">(parametros_manuales!$D$37*('Plan mensual'!J101+IF(parametros_manuales!$H$37="Todos",'Plan mensual'!J105,0))+parametros_manuales!$E$37*('Plan mensual'!J102+IF(parametros_manuales!$H$37="Todos",'Plan mensual'!J106,0))+parametros_manuales!$F$37*('Plan mensual'!J103+IF(parametros_manuales!$H$37="Todos",'Plan mensual'!J107,0))+parametros_manuales!$G$37*('Plan mensual'!J104+IF(parametros_manuales!$H$37="Todos",'Plan mensual'!J108,0)))*parametros_manuales!$I$37*parametros_manuales!$J$37</f>
        <v>21747.47955419</v>
      </c>
      <c r="I263" s="9" t="n">
        <f aca="false">(parametros_manuales!$D$37*('Plan mensual'!K101+IF(parametros_manuales!$H$37="Todos",'Plan mensual'!K105,0))+parametros_manuales!$E$37*('Plan mensual'!K102+IF(parametros_manuales!$H$37="Todos",'Plan mensual'!K106,0))+parametros_manuales!$F$37*('Plan mensual'!K103+IF(parametros_manuales!$H$37="Todos",'Plan mensual'!K107,0))+parametros_manuales!$G$37*('Plan mensual'!K104+IF(parametros_manuales!$H$37="Todos",'Plan mensual'!K108,0)))*parametros_manuales!$I$37*parametros_manuales!$J$37</f>
        <v>21747.47955419</v>
      </c>
      <c r="J263" s="9" t="n">
        <f aca="false">(parametros_manuales!$D$37*('Plan mensual'!L101+IF(parametros_manuales!$H$37="Todos",'Plan mensual'!L105,0))+parametros_manuales!$E$37*('Plan mensual'!L102+IF(parametros_manuales!$H$37="Todos",'Plan mensual'!L106,0))+parametros_manuales!$F$37*('Plan mensual'!L103+IF(parametros_manuales!$H$37="Todos",'Plan mensual'!L107,0))+parametros_manuales!$G$37*('Plan mensual'!L104+IF(parametros_manuales!$H$37="Todos",'Plan mensual'!L108,0)))*parametros_manuales!$I$37*parametros_manuales!$J$37</f>
        <v>21747.47955419</v>
      </c>
      <c r="K263" s="9" t="n">
        <f aca="false">(parametros_manuales!$D$37*('Plan mensual'!M101+IF(parametros_manuales!$H$37="Todos",'Plan mensual'!M105,0))+parametros_manuales!$E$37*('Plan mensual'!M102+IF(parametros_manuales!$H$37="Todos",'Plan mensual'!M106,0))+parametros_manuales!$F$37*('Plan mensual'!M103+IF(parametros_manuales!$H$37="Todos",'Plan mensual'!M107,0))+parametros_manuales!$G$37*('Plan mensual'!M104+IF(parametros_manuales!$H$37="Todos",'Plan mensual'!M108,0)))*parametros_manuales!$I$37*parametros_manuales!$J$37</f>
        <v>21338.046327975</v>
      </c>
      <c r="L263" s="9" t="n">
        <f aca="false">(parametros_manuales!$D$37*('Plan mensual'!N101+IF(parametros_manuales!$H$37="Todos",'Plan mensual'!N105,0))+parametros_manuales!$E$37*('Plan mensual'!N102+IF(parametros_manuales!$H$37="Todos",'Plan mensual'!N106,0))+parametros_manuales!$F$37*('Plan mensual'!N103+IF(parametros_manuales!$H$37="Todos",'Plan mensual'!N107,0))+parametros_manuales!$G$37*('Plan mensual'!N104+IF(parametros_manuales!$H$37="Todos",'Plan mensual'!N108,0)))*parametros_manuales!$I$37*parametros_manuales!$J$37</f>
        <v>20928.61310176</v>
      </c>
      <c r="M263" s="9" t="n">
        <f aca="false">(parametros_manuales!$D$37*('Plan mensual'!O101+IF(parametros_manuales!$H$37="Todos",'Plan mensual'!O105,0))+parametros_manuales!$E$37*('Plan mensual'!O102+IF(parametros_manuales!$H$37="Todos",'Plan mensual'!O106,0))+parametros_manuales!$F$37*('Plan mensual'!O103+IF(parametros_manuales!$H$37="Todos",'Plan mensual'!O107,0))+parametros_manuales!$G$37*('Plan mensual'!O104+IF(parametros_manuales!$H$37="Todos",'Plan mensual'!O108,0)))*parametros_manuales!$I$37*parametros_manuales!$J$37</f>
        <v>33322.00767233</v>
      </c>
      <c r="N263" s="9" t="n">
        <f aca="false">SUM(B263:M263)</f>
        <v>284507.284373</v>
      </c>
      <c r="O263" s="9" t="n">
        <f aca="false">MAX(B263:M263)</f>
        <v>33322.00767233</v>
      </c>
      <c r="P263" s="43" t="n">
        <f aca="false">O263/(parametros_manuales!$B$7)</f>
        <v>222.146717815533</v>
      </c>
      <c r="Q263" s="8" t="str">
        <f aca="false">IF(O263=0,"-",INDEX($B$244:$M$244,MATCH(O263,B263:M263,0)))</f>
        <v>Dic</v>
      </c>
    </row>
    <row r="264" customFormat="false" ht="14.25" hidden="false" customHeight="true" outlineLevel="0" collapsed="false">
      <c r="A264" s="8" t="str">
        <f aca="false">parametros_manuales!$B$38</f>
        <v>Carga de polvo</v>
      </c>
      <c r="B264" s="9" t="n">
        <f aca="false">(parametros_manuales!$D$38*('Plan mensual'!D101+IF(parametros_manuales!$H$38="Todos",'Plan mensual'!D105,0))+parametros_manuales!$E$38*('Plan mensual'!D102+IF(parametros_manuales!$H$38="Todos",'Plan mensual'!D106,0))+parametros_manuales!$F$38*('Plan mensual'!D103+IF(parametros_manuales!$H$38="Todos",'Plan mensual'!D107,0))+parametros_manuales!$G$38*('Plan mensual'!D104+IF(parametros_manuales!$H$38="Todos",'Plan mensual'!D108,0)))*parametros_manuales!$I$38*parametros_manuales!$J$38</f>
        <v>7860.2612199</v>
      </c>
      <c r="C264" s="9" t="n">
        <f aca="false">(parametros_manuales!$D$38*('Plan mensual'!E101+IF(parametros_manuales!$H$38="Todos",'Plan mensual'!E105,0))+parametros_manuales!$E$38*('Plan mensual'!E102+IF(parametros_manuales!$H$38="Todos",'Plan mensual'!E106,0))+parametros_manuales!$F$38*('Plan mensual'!E103+IF(parametros_manuales!$H$38="Todos",'Plan mensual'!E107,0))+parametros_manuales!$G$38*('Plan mensual'!E104+IF(parametros_manuales!$H$38="Todos",'Plan mensual'!E108,0)))*parametros_manuales!$I$38*parametros_manuales!$J$38</f>
        <v>6095.77314114</v>
      </c>
      <c r="D264" s="9" t="n">
        <f aca="false">(parametros_manuales!$D$38*('Plan mensual'!F101+IF(parametros_manuales!$H$38="Todos",'Plan mensual'!F105,0))+parametros_manuales!$E$38*('Plan mensual'!F102+IF(parametros_manuales!$H$38="Todos",'Plan mensual'!F106,0))+parametros_manuales!$F$38*('Plan mensual'!F103+IF(parametros_manuales!$H$38="Todos",'Plan mensual'!F107,0))+parametros_manuales!$G$38*('Plan mensual'!F104+IF(parametros_manuales!$H$38="Todos",'Plan mensual'!F108,0)))*parametros_manuales!$I$38*parametros_manuales!$J$38</f>
        <v>5975.623976055</v>
      </c>
      <c r="E264" s="9" t="n">
        <f aca="false">(parametros_manuales!$D$38*('Plan mensual'!G101+IF(parametros_manuales!$H$38="Todos",'Plan mensual'!G105,0))+parametros_manuales!$E$38*('Plan mensual'!G102+IF(parametros_manuales!$H$38="Todos",'Plan mensual'!G106,0))+parametros_manuales!$F$38*('Plan mensual'!G103+IF(parametros_manuales!$H$38="Todos",'Plan mensual'!G107,0))+parametros_manuales!$G$38*('Plan mensual'!G104+IF(parametros_manuales!$H$38="Todos",'Plan mensual'!G108,0)))*parametros_manuales!$I$38*parametros_manuales!$J$38</f>
        <v>5815.260780405</v>
      </c>
      <c r="F264" s="9" t="n">
        <f aca="false">(parametros_manuales!$D$38*('Plan mensual'!H101+IF(parametros_manuales!$H$38="Todos",'Plan mensual'!H105,0))+parametros_manuales!$E$38*('Plan mensual'!H102+IF(parametros_manuales!$H$38="Todos",'Plan mensual'!H106,0))+parametros_manuales!$F$38*('Plan mensual'!H103+IF(parametros_manuales!$H$38="Todos",'Plan mensual'!H107,0))+parametros_manuales!$G$38*('Plan mensual'!H104+IF(parametros_manuales!$H$38="Todos",'Plan mensual'!H108,0)))*parametros_manuales!$I$38*parametros_manuales!$J$38</f>
        <v>5454.32035854</v>
      </c>
      <c r="G264" s="9" t="n">
        <f aca="false">(parametros_manuales!$D$38*('Plan mensual'!I101+IF(parametros_manuales!$H$38="Todos",'Plan mensual'!I105,0))+parametros_manuales!$E$38*('Plan mensual'!I102+IF(parametros_manuales!$H$38="Todos",'Plan mensual'!I106,0))+parametros_manuales!$F$38*('Plan mensual'!I103+IF(parametros_manuales!$H$38="Todos",'Plan mensual'!I107,0))+parametros_manuales!$G$38*('Plan mensual'!I104+IF(parametros_manuales!$H$38="Todos",'Plan mensual'!I108,0)))*parametros_manuales!$I$38*parametros_manuales!$J$38</f>
        <v>5253.743132325</v>
      </c>
      <c r="H264" s="9" t="n">
        <f aca="false">(parametros_manuales!$D$38*('Plan mensual'!J101+IF(parametros_manuales!$H$38="Todos",'Plan mensual'!J105,0))+parametros_manuales!$E$38*('Plan mensual'!J102+IF(parametros_manuales!$H$38="Todos",'Plan mensual'!J106,0))+parametros_manuales!$F$38*('Plan mensual'!J103+IF(parametros_manuales!$H$38="Todos",'Plan mensual'!J107,0))+parametros_manuales!$G$38*('Plan mensual'!J104+IF(parametros_manuales!$H$38="Todos",'Plan mensual'!J108,0)))*parametros_manuales!$I$38*parametros_manuales!$J$38</f>
        <v>5614.68355419</v>
      </c>
      <c r="I264" s="9" t="n">
        <f aca="false">(parametros_manuales!$D$38*('Plan mensual'!K101+IF(parametros_manuales!$H$38="Todos",'Plan mensual'!K105,0))+parametros_manuales!$E$38*('Plan mensual'!K102+IF(parametros_manuales!$H$38="Todos",'Plan mensual'!K106,0))+parametros_manuales!$F$38*('Plan mensual'!K103+IF(parametros_manuales!$H$38="Todos",'Plan mensual'!K107,0))+parametros_manuales!$G$38*('Plan mensual'!K104+IF(parametros_manuales!$H$38="Todos",'Plan mensual'!K108,0)))*parametros_manuales!$I$38*parametros_manuales!$J$38</f>
        <v>5614.68355419</v>
      </c>
      <c r="J264" s="9" t="n">
        <f aca="false">(parametros_manuales!$D$38*('Plan mensual'!L101+IF(parametros_manuales!$H$38="Todos",'Plan mensual'!L105,0))+parametros_manuales!$E$38*('Plan mensual'!L102+IF(parametros_manuales!$H$38="Todos",'Plan mensual'!L106,0))+parametros_manuales!$F$38*('Plan mensual'!L103+IF(parametros_manuales!$H$38="Todos",'Plan mensual'!L107,0))+parametros_manuales!$G$38*('Plan mensual'!L104+IF(parametros_manuales!$H$38="Todos",'Plan mensual'!L108,0)))*parametros_manuales!$I$38*parametros_manuales!$J$38</f>
        <v>5614.68355419</v>
      </c>
      <c r="K264" s="9" t="n">
        <f aca="false">(parametros_manuales!$D$38*('Plan mensual'!M101+IF(parametros_manuales!$H$38="Todos",'Plan mensual'!M105,0))+parametros_manuales!$E$38*('Plan mensual'!M102+IF(parametros_manuales!$H$38="Todos",'Plan mensual'!M106,0))+parametros_manuales!$F$38*('Plan mensual'!M103+IF(parametros_manuales!$H$38="Todos",'Plan mensual'!M107,0))+parametros_manuales!$G$38*('Plan mensual'!M104+IF(parametros_manuales!$H$38="Todos",'Plan mensual'!M108,0)))*parametros_manuales!$I$38*parametros_manuales!$J$38</f>
        <v>5414.106327975</v>
      </c>
      <c r="L264" s="9" t="n">
        <f aca="false">(parametros_manuales!$D$38*('Plan mensual'!N101+IF(parametros_manuales!$H$38="Todos",'Plan mensual'!N105,0))+parametros_manuales!$E$38*('Plan mensual'!N102+IF(parametros_manuales!$H$38="Todos",'Plan mensual'!N106,0))+parametros_manuales!$F$38*('Plan mensual'!N103+IF(parametros_manuales!$H$38="Todos",'Plan mensual'!N107,0))+parametros_manuales!$G$38*('Plan mensual'!N104+IF(parametros_manuales!$H$38="Todos",'Plan mensual'!N108,0)))*parametros_manuales!$I$38*parametros_manuales!$J$38</f>
        <v>5213.52910176</v>
      </c>
      <c r="M264" s="9" t="n">
        <f aca="false">(parametros_manuales!$D$38*('Plan mensual'!O101+IF(parametros_manuales!$H$38="Todos",'Plan mensual'!O105,0))+parametros_manuales!$E$38*('Plan mensual'!O102+IF(parametros_manuales!$H$38="Todos",'Plan mensual'!O106,0))+parametros_manuales!$F$38*('Plan mensual'!O103+IF(parametros_manuales!$H$38="Todos",'Plan mensual'!O107,0))+parametros_manuales!$G$38*('Plan mensual'!O104+IF(parametros_manuales!$H$38="Todos",'Plan mensual'!O108,0)))*parametros_manuales!$I$38*parametros_manuales!$J$38</f>
        <v>8261.41567233</v>
      </c>
      <c r="N264" s="9" t="n">
        <f aca="false">SUM(B264:M264)</f>
        <v>72188.084373</v>
      </c>
      <c r="O264" s="9" t="n">
        <f aca="false">MAX(B264:M264)</f>
        <v>8261.41567233</v>
      </c>
      <c r="P264" s="43" t="n">
        <f aca="false">O264/(parametros_manuales!$B$7)</f>
        <v>55.0761044822</v>
      </c>
      <c r="Q264" s="8" t="str">
        <f aca="false">IF(O264=0,"-",INDEX($B$244:$M$244,MATCH(O264,B264:M264,0)))</f>
        <v>Dic</v>
      </c>
    </row>
    <row r="265" customFormat="false" ht="14.25" hidden="false" customHeight="true" outlineLevel="0" collapsed="false">
      <c r="A265" s="8" t="str">
        <f aca="false">parametros_manuales!$B$39</f>
        <v>Ensamblaje</v>
      </c>
      <c r="B265" s="9" t="n">
        <f aca="false">(parametros_manuales!$D$39*('Plan mensual'!D101+IF(parametros_manuales!$H$39="Todos",'Plan mensual'!D105,0))+parametros_manuales!$E$39*('Plan mensual'!D102+IF(parametros_manuales!$H$39="Todos",'Plan mensual'!D106,0))+parametros_manuales!$F$39*('Plan mensual'!D103+IF(parametros_manuales!$H$39="Todos",'Plan mensual'!D107,0))+parametros_manuales!$G$39*('Plan mensual'!D104+IF(parametros_manuales!$H$39="Todos",'Plan mensual'!D108,0)))*parametros_manuales!$I$39*parametros_manuales!$J$39</f>
        <v>7860.2612199</v>
      </c>
      <c r="C265" s="9" t="n">
        <f aca="false">(parametros_manuales!$D$39*('Plan mensual'!E101+IF(parametros_manuales!$H$39="Todos",'Plan mensual'!E105,0))+parametros_manuales!$E$39*('Plan mensual'!E102+IF(parametros_manuales!$H$39="Todos",'Plan mensual'!E106,0))+parametros_manuales!$F$39*('Plan mensual'!E103+IF(parametros_manuales!$H$39="Todos",'Plan mensual'!E107,0))+parametros_manuales!$G$39*('Plan mensual'!E104+IF(parametros_manuales!$H$39="Todos",'Plan mensual'!E108,0)))*parametros_manuales!$I$39*parametros_manuales!$J$39</f>
        <v>6095.77314114</v>
      </c>
      <c r="D265" s="9" t="n">
        <f aca="false">(parametros_manuales!$D$39*('Plan mensual'!F101+IF(parametros_manuales!$H$39="Todos",'Plan mensual'!F105,0))+parametros_manuales!$E$39*('Plan mensual'!F102+IF(parametros_manuales!$H$39="Todos",'Plan mensual'!F106,0))+parametros_manuales!$F$39*('Plan mensual'!F103+IF(parametros_manuales!$H$39="Todos",'Plan mensual'!F107,0))+parametros_manuales!$G$39*('Plan mensual'!F104+IF(parametros_manuales!$H$39="Todos",'Plan mensual'!F108,0)))*parametros_manuales!$I$39*parametros_manuales!$J$39</f>
        <v>5975.623976055</v>
      </c>
      <c r="E265" s="9" t="n">
        <f aca="false">(parametros_manuales!$D$39*('Plan mensual'!G101+IF(parametros_manuales!$H$39="Todos",'Plan mensual'!G105,0))+parametros_manuales!$E$39*('Plan mensual'!G102+IF(parametros_manuales!$H$39="Todos",'Plan mensual'!G106,0))+parametros_manuales!$F$39*('Plan mensual'!G103+IF(parametros_manuales!$H$39="Todos",'Plan mensual'!G107,0))+parametros_manuales!$G$39*('Plan mensual'!G104+IF(parametros_manuales!$H$39="Todos",'Plan mensual'!G108,0)))*parametros_manuales!$I$39*parametros_manuales!$J$39</f>
        <v>5815.260780405</v>
      </c>
      <c r="F265" s="9" t="n">
        <f aca="false">(parametros_manuales!$D$39*('Plan mensual'!H101+IF(parametros_manuales!$H$39="Todos",'Plan mensual'!H105,0))+parametros_manuales!$E$39*('Plan mensual'!H102+IF(parametros_manuales!$H$39="Todos",'Plan mensual'!H106,0))+parametros_manuales!$F$39*('Plan mensual'!H103+IF(parametros_manuales!$H$39="Todos",'Plan mensual'!H107,0))+parametros_manuales!$G$39*('Plan mensual'!H104+IF(parametros_manuales!$H$39="Todos",'Plan mensual'!H108,0)))*parametros_manuales!$I$39*parametros_manuales!$J$39</f>
        <v>5454.32035854</v>
      </c>
      <c r="G265" s="9" t="n">
        <f aca="false">(parametros_manuales!$D$39*('Plan mensual'!I101+IF(parametros_manuales!$H$39="Todos",'Plan mensual'!I105,0))+parametros_manuales!$E$39*('Plan mensual'!I102+IF(parametros_manuales!$H$39="Todos",'Plan mensual'!I106,0))+parametros_manuales!$F$39*('Plan mensual'!I103+IF(parametros_manuales!$H$39="Todos",'Plan mensual'!I107,0))+parametros_manuales!$G$39*('Plan mensual'!I104+IF(parametros_manuales!$H$39="Todos",'Plan mensual'!I108,0)))*parametros_manuales!$I$39*parametros_manuales!$J$39</f>
        <v>5253.743132325</v>
      </c>
      <c r="H265" s="9" t="n">
        <f aca="false">(parametros_manuales!$D$39*('Plan mensual'!J101+IF(parametros_manuales!$H$39="Todos",'Plan mensual'!J105,0))+parametros_manuales!$E$39*('Plan mensual'!J102+IF(parametros_manuales!$H$39="Todos",'Plan mensual'!J106,0))+parametros_manuales!$F$39*('Plan mensual'!J103+IF(parametros_manuales!$H$39="Todos",'Plan mensual'!J107,0))+parametros_manuales!$G$39*('Plan mensual'!J104+IF(parametros_manuales!$H$39="Todos",'Plan mensual'!J108,0)))*parametros_manuales!$I$39*parametros_manuales!$J$39</f>
        <v>5614.68355419</v>
      </c>
      <c r="I265" s="9" t="n">
        <f aca="false">(parametros_manuales!$D$39*('Plan mensual'!K101+IF(parametros_manuales!$H$39="Todos",'Plan mensual'!K105,0))+parametros_manuales!$E$39*('Plan mensual'!K102+IF(parametros_manuales!$H$39="Todos",'Plan mensual'!K106,0))+parametros_manuales!$F$39*('Plan mensual'!K103+IF(parametros_manuales!$H$39="Todos",'Plan mensual'!K107,0))+parametros_manuales!$G$39*('Plan mensual'!K104+IF(parametros_manuales!$H$39="Todos",'Plan mensual'!K108,0)))*parametros_manuales!$I$39*parametros_manuales!$J$39</f>
        <v>5614.68355419</v>
      </c>
      <c r="J265" s="9" t="n">
        <f aca="false">(parametros_manuales!$D$39*('Plan mensual'!L101+IF(parametros_manuales!$H$39="Todos",'Plan mensual'!L105,0))+parametros_manuales!$E$39*('Plan mensual'!L102+IF(parametros_manuales!$H$39="Todos",'Plan mensual'!L106,0))+parametros_manuales!$F$39*('Plan mensual'!L103+IF(parametros_manuales!$H$39="Todos",'Plan mensual'!L107,0))+parametros_manuales!$G$39*('Plan mensual'!L104+IF(parametros_manuales!$H$39="Todos",'Plan mensual'!L108,0)))*parametros_manuales!$I$39*parametros_manuales!$J$39</f>
        <v>5614.68355419</v>
      </c>
      <c r="K265" s="9" t="n">
        <f aca="false">(parametros_manuales!$D$39*('Plan mensual'!M101+IF(parametros_manuales!$H$39="Todos",'Plan mensual'!M105,0))+parametros_manuales!$E$39*('Plan mensual'!M102+IF(parametros_manuales!$H$39="Todos",'Plan mensual'!M106,0))+parametros_manuales!$F$39*('Plan mensual'!M103+IF(parametros_manuales!$H$39="Todos",'Plan mensual'!M107,0))+parametros_manuales!$G$39*('Plan mensual'!M104+IF(parametros_manuales!$H$39="Todos",'Plan mensual'!M108,0)))*parametros_manuales!$I$39*parametros_manuales!$J$39</f>
        <v>5414.106327975</v>
      </c>
      <c r="L265" s="9" t="n">
        <f aca="false">(parametros_manuales!$D$39*('Plan mensual'!N101+IF(parametros_manuales!$H$39="Todos",'Plan mensual'!N105,0))+parametros_manuales!$E$39*('Plan mensual'!N102+IF(parametros_manuales!$H$39="Todos",'Plan mensual'!N106,0))+parametros_manuales!$F$39*('Plan mensual'!N103+IF(parametros_manuales!$H$39="Todos",'Plan mensual'!N107,0))+parametros_manuales!$G$39*('Plan mensual'!N104+IF(parametros_manuales!$H$39="Todos",'Plan mensual'!N108,0)))*parametros_manuales!$I$39*parametros_manuales!$J$39</f>
        <v>5213.52910176</v>
      </c>
      <c r="M265" s="9" t="n">
        <f aca="false">(parametros_manuales!$D$39*('Plan mensual'!O101+IF(parametros_manuales!$H$39="Todos",'Plan mensual'!O105,0))+parametros_manuales!$E$39*('Plan mensual'!O102+IF(parametros_manuales!$H$39="Todos",'Plan mensual'!O106,0))+parametros_manuales!$F$39*('Plan mensual'!O103+IF(parametros_manuales!$H$39="Todos",'Plan mensual'!O107,0))+parametros_manuales!$G$39*('Plan mensual'!O104+IF(parametros_manuales!$H$39="Todos",'Plan mensual'!O108,0)))*parametros_manuales!$I$39*parametros_manuales!$J$39</f>
        <v>8261.41567233</v>
      </c>
      <c r="N265" s="9" t="n">
        <f aca="false">SUM(B265:M265)</f>
        <v>72188.084373</v>
      </c>
      <c r="O265" s="9" t="n">
        <f aca="false">MAX(B265:M265)</f>
        <v>8261.41567233</v>
      </c>
      <c r="P265" s="43" t="n">
        <f aca="false">O265/(parametros_manuales!$B$7)</f>
        <v>55.0761044822</v>
      </c>
      <c r="Q265" s="8" t="str">
        <f aca="false">IF(O265=0,"-",INDEX($B$244:$M$244,MATCH(O265,B265:M265,0)))</f>
        <v>Dic</v>
      </c>
    </row>
    <row r="266" customFormat="false" ht="14.25" hidden="false" customHeight="true" outlineLevel="0" collapsed="false">
      <c r="A266" s="8" t="str">
        <f aca="false">parametros_manuales!$B$40</f>
        <v>Presurización</v>
      </c>
      <c r="B266" s="9" t="n">
        <f aca="false">(parametros_manuales!$D$40*('Plan mensual'!D101+IF(parametros_manuales!$H$40="Todos",'Plan mensual'!D105,0))+parametros_manuales!$E$40*('Plan mensual'!D102+IF(parametros_manuales!$H$40="Todos",'Plan mensual'!D106,0))+parametros_manuales!$F$40*('Plan mensual'!D103+IF(parametros_manuales!$H$40="Todos",'Plan mensual'!D107,0))+parametros_manuales!$G$40*('Plan mensual'!D104+IF(parametros_manuales!$H$40="Todos",'Plan mensual'!D108,0)))*parametros_manuales!$I$40*parametros_manuales!$J$40</f>
        <v>7860.2612199</v>
      </c>
      <c r="C266" s="9" t="n">
        <f aca="false">(parametros_manuales!$D$40*('Plan mensual'!E101+IF(parametros_manuales!$H$40="Todos",'Plan mensual'!E105,0))+parametros_manuales!$E$40*('Plan mensual'!E102+IF(parametros_manuales!$H$40="Todos",'Plan mensual'!E106,0))+parametros_manuales!$F$40*('Plan mensual'!E103+IF(parametros_manuales!$H$40="Todos",'Plan mensual'!E107,0))+parametros_manuales!$G$40*('Plan mensual'!E104+IF(parametros_manuales!$H$40="Todos",'Plan mensual'!E108,0)))*parametros_manuales!$I$40*parametros_manuales!$J$40</f>
        <v>6095.77314114</v>
      </c>
      <c r="D266" s="9" t="n">
        <f aca="false">(parametros_manuales!$D$40*('Plan mensual'!F101+IF(parametros_manuales!$H$40="Todos",'Plan mensual'!F105,0))+parametros_manuales!$E$40*('Plan mensual'!F102+IF(parametros_manuales!$H$40="Todos",'Plan mensual'!F106,0))+parametros_manuales!$F$40*('Plan mensual'!F103+IF(parametros_manuales!$H$40="Todos",'Plan mensual'!F107,0))+parametros_manuales!$G$40*('Plan mensual'!F104+IF(parametros_manuales!$H$40="Todos",'Plan mensual'!F108,0)))*parametros_manuales!$I$40*parametros_manuales!$J$40</f>
        <v>5975.623976055</v>
      </c>
      <c r="E266" s="9" t="n">
        <f aca="false">(parametros_manuales!$D$40*('Plan mensual'!G101+IF(parametros_manuales!$H$40="Todos",'Plan mensual'!G105,0))+parametros_manuales!$E$40*('Plan mensual'!G102+IF(parametros_manuales!$H$40="Todos",'Plan mensual'!G106,0))+parametros_manuales!$F$40*('Plan mensual'!G103+IF(parametros_manuales!$H$40="Todos",'Plan mensual'!G107,0))+parametros_manuales!$G$40*('Plan mensual'!G104+IF(parametros_manuales!$H$40="Todos",'Plan mensual'!G108,0)))*parametros_manuales!$I$40*parametros_manuales!$J$40</f>
        <v>5815.260780405</v>
      </c>
      <c r="F266" s="9" t="n">
        <f aca="false">(parametros_manuales!$D$40*('Plan mensual'!H101+IF(parametros_manuales!$H$40="Todos",'Plan mensual'!H105,0))+parametros_manuales!$E$40*('Plan mensual'!H102+IF(parametros_manuales!$H$40="Todos",'Plan mensual'!H106,0))+parametros_manuales!$F$40*('Plan mensual'!H103+IF(parametros_manuales!$H$40="Todos",'Plan mensual'!H107,0))+parametros_manuales!$G$40*('Plan mensual'!H104+IF(parametros_manuales!$H$40="Todos",'Plan mensual'!H108,0)))*parametros_manuales!$I$40*parametros_manuales!$J$40</f>
        <v>5454.32035854</v>
      </c>
      <c r="G266" s="9" t="n">
        <f aca="false">(parametros_manuales!$D$40*('Plan mensual'!I101+IF(parametros_manuales!$H$40="Todos",'Plan mensual'!I105,0))+parametros_manuales!$E$40*('Plan mensual'!I102+IF(parametros_manuales!$H$40="Todos",'Plan mensual'!I106,0))+parametros_manuales!$F$40*('Plan mensual'!I103+IF(parametros_manuales!$H$40="Todos",'Plan mensual'!I107,0))+parametros_manuales!$G$40*('Plan mensual'!I104+IF(parametros_manuales!$H$40="Todos",'Plan mensual'!I108,0)))*parametros_manuales!$I$40*parametros_manuales!$J$40</f>
        <v>5253.743132325</v>
      </c>
      <c r="H266" s="9" t="n">
        <f aca="false">(parametros_manuales!$D$40*('Plan mensual'!J101+IF(parametros_manuales!$H$40="Todos",'Plan mensual'!J105,0))+parametros_manuales!$E$40*('Plan mensual'!J102+IF(parametros_manuales!$H$40="Todos",'Plan mensual'!J106,0))+parametros_manuales!$F$40*('Plan mensual'!J103+IF(parametros_manuales!$H$40="Todos",'Plan mensual'!J107,0))+parametros_manuales!$G$40*('Plan mensual'!J104+IF(parametros_manuales!$H$40="Todos",'Plan mensual'!J108,0)))*parametros_manuales!$I$40*parametros_manuales!$J$40</f>
        <v>5614.68355419</v>
      </c>
      <c r="I266" s="9" t="n">
        <f aca="false">(parametros_manuales!$D$40*('Plan mensual'!K101+IF(parametros_manuales!$H$40="Todos",'Plan mensual'!K105,0))+parametros_manuales!$E$40*('Plan mensual'!K102+IF(parametros_manuales!$H$40="Todos",'Plan mensual'!K106,0))+parametros_manuales!$F$40*('Plan mensual'!K103+IF(parametros_manuales!$H$40="Todos",'Plan mensual'!K107,0))+parametros_manuales!$G$40*('Plan mensual'!K104+IF(parametros_manuales!$H$40="Todos",'Plan mensual'!K108,0)))*parametros_manuales!$I$40*parametros_manuales!$J$40</f>
        <v>5614.68355419</v>
      </c>
      <c r="J266" s="9" t="n">
        <f aca="false">(parametros_manuales!$D$40*('Plan mensual'!L101+IF(parametros_manuales!$H$40="Todos",'Plan mensual'!L105,0))+parametros_manuales!$E$40*('Plan mensual'!L102+IF(parametros_manuales!$H$40="Todos",'Plan mensual'!L106,0))+parametros_manuales!$F$40*('Plan mensual'!L103+IF(parametros_manuales!$H$40="Todos",'Plan mensual'!L107,0))+parametros_manuales!$G$40*('Plan mensual'!L104+IF(parametros_manuales!$H$40="Todos",'Plan mensual'!L108,0)))*parametros_manuales!$I$40*parametros_manuales!$J$40</f>
        <v>5614.68355419</v>
      </c>
      <c r="K266" s="9" t="n">
        <f aca="false">(parametros_manuales!$D$40*('Plan mensual'!M101+IF(parametros_manuales!$H$40="Todos",'Plan mensual'!M105,0))+parametros_manuales!$E$40*('Plan mensual'!M102+IF(parametros_manuales!$H$40="Todos",'Plan mensual'!M106,0))+parametros_manuales!$F$40*('Plan mensual'!M103+IF(parametros_manuales!$H$40="Todos",'Plan mensual'!M107,0))+parametros_manuales!$G$40*('Plan mensual'!M104+IF(parametros_manuales!$H$40="Todos",'Plan mensual'!M108,0)))*parametros_manuales!$I$40*parametros_manuales!$J$40</f>
        <v>5414.106327975</v>
      </c>
      <c r="L266" s="9" t="n">
        <f aca="false">(parametros_manuales!$D$40*('Plan mensual'!N101+IF(parametros_manuales!$H$40="Todos",'Plan mensual'!N105,0))+parametros_manuales!$E$40*('Plan mensual'!N102+IF(parametros_manuales!$H$40="Todos",'Plan mensual'!N106,0))+parametros_manuales!$F$40*('Plan mensual'!N103+IF(parametros_manuales!$H$40="Todos",'Plan mensual'!N107,0))+parametros_manuales!$G$40*('Plan mensual'!N104+IF(parametros_manuales!$H$40="Todos",'Plan mensual'!N108,0)))*parametros_manuales!$I$40*parametros_manuales!$J$40</f>
        <v>5213.52910176</v>
      </c>
      <c r="M266" s="9" t="n">
        <f aca="false">(parametros_manuales!$D$40*('Plan mensual'!O101+IF(parametros_manuales!$H$40="Todos",'Plan mensual'!O105,0))+parametros_manuales!$E$40*('Plan mensual'!O102+IF(parametros_manuales!$H$40="Todos",'Plan mensual'!O106,0))+parametros_manuales!$F$40*('Plan mensual'!O103+IF(parametros_manuales!$H$40="Todos",'Plan mensual'!O107,0))+parametros_manuales!$G$40*('Plan mensual'!O104+IF(parametros_manuales!$H$40="Todos",'Plan mensual'!O108,0)))*parametros_manuales!$I$40*parametros_manuales!$J$40</f>
        <v>8261.41567233</v>
      </c>
      <c r="N266" s="9" t="n">
        <f aca="false">SUM(B266:M266)</f>
        <v>72188.084373</v>
      </c>
      <c r="O266" s="9" t="n">
        <f aca="false">MAX(B266:M266)</f>
        <v>8261.41567233</v>
      </c>
      <c r="P266" s="43" t="n">
        <f aca="false">O266/(parametros_manuales!$B$7)</f>
        <v>55.0761044822</v>
      </c>
      <c r="Q266" s="8" t="str">
        <f aca="false">IF(O266=0,"-",INDEX($B$244:$M$244,MATCH(O266,B266:M266,0)))</f>
        <v>Dic</v>
      </c>
    </row>
    <row r="267" customFormat="false" ht="14.25" hidden="false" customHeight="true" outlineLevel="0" collapsed="false">
      <c r="A267" s="8" t="str">
        <f aca="false">parametros_manuales!$B$41</f>
        <v>Control de calidad — Ensayo de pérdidas</v>
      </c>
      <c r="B267" s="9" t="n">
        <f aca="false">(parametros_manuales!$D$41*('Plan mensual'!D101+IF(parametros_manuales!$H$41="Todos",'Plan mensual'!D105,0))+parametros_manuales!$E$41*('Plan mensual'!D102+IF(parametros_manuales!$H$41="Todos",'Plan mensual'!D106,0))+parametros_manuales!$F$41*('Plan mensual'!D103+IF(parametros_manuales!$H$41="Todos",'Plan mensual'!D107,0))+parametros_manuales!$G$41*('Plan mensual'!D104+IF(parametros_manuales!$H$41="Todos",'Plan mensual'!D108,0)))*parametros_manuales!$I$41*parametros_manuales!$J$41</f>
        <v>7860.2612199</v>
      </c>
      <c r="C267" s="9" t="n">
        <f aca="false">(parametros_manuales!$D$41*('Plan mensual'!E101+IF(parametros_manuales!$H$41="Todos",'Plan mensual'!E105,0))+parametros_manuales!$E$41*('Plan mensual'!E102+IF(parametros_manuales!$H$41="Todos",'Plan mensual'!E106,0))+parametros_manuales!$F$41*('Plan mensual'!E103+IF(parametros_manuales!$H$41="Todos",'Plan mensual'!E107,0))+parametros_manuales!$G$41*('Plan mensual'!E104+IF(parametros_manuales!$H$41="Todos",'Plan mensual'!E108,0)))*parametros_manuales!$I$41*parametros_manuales!$J$41</f>
        <v>6095.77314114</v>
      </c>
      <c r="D267" s="9" t="n">
        <f aca="false">(parametros_manuales!$D$41*('Plan mensual'!F101+IF(parametros_manuales!$H$41="Todos",'Plan mensual'!F105,0))+parametros_manuales!$E$41*('Plan mensual'!F102+IF(parametros_manuales!$H$41="Todos",'Plan mensual'!F106,0))+parametros_manuales!$F$41*('Plan mensual'!F103+IF(parametros_manuales!$H$41="Todos",'Plan mensual'!F107,0))+parametros_manuales!$G$41*('Plan mensual'!F104+IF(parametros_manuales!$H$41="Todos",'Plan mensual'!F108,0)))*parametros_manuales!$I$41*parametros_manuales!$J$41</f>
        <v>5975.623976055</v>
      </c>
      <c r="E267" s="9" t="n">
        <f aca="false">(parametros_manuales!$D$41*('Plan mensual'!G101+IF(parametros_manuales!$H$41="Todos",'Plan mensual'!G105,0))+parametros_manuales!$E$41*('Plan mensual'!G102+IF(parametros_manuales!$H$41="Todos",'Plan mensual'!G106,0))+parametros_manuales!$F$41*('Plan mensual'!G103+IF(parametros_manuales!$H$41="Todos",'Plan mensual'!G107,0))+parametros_manuales!$G$41*('Plan mensual'!G104+IF(parametros_manuales!$H$41="Todos",'Plan mensual'!G108,0)))*parametros_manuales!$I$41*parametros_manuales!$J$41</f>
        <v>5815.260780405</v>
      </c>
      <c r="F267" s="9" t="n">
        <f aca="false">(parametros_manuales!$D$41*('Plan mensual'!H101+IF(parametros_manuales!$H$41="Todos",'Plan mensual'!H105,0))+parametros_manuales!$E$41*('Plan mensual'!H102+IF(parametros_manuales!$H$41="Todos",'Plan mensual'!H106,0))+parametros_manuales!$F$41*('Plan mensual'!H103+IF(parametros_manuales!$H$41="Todos",'Plan mensual'!H107,0))+parametros_manuales!$G$41*('Plan mensual'!H104+IF(parametros_manuales!$H$41="Todos",'Plan mensual'!H108,0)))*parametros_manuales!$I$41*parametros_manuales!$J$41</f>
        <v>5454.32035854</v>
      </c>
      <c r="G267" s="9" t="n">
        <f aca="false">(parametros_manuales!$D$41*('Plan mensual'!I101+IF(parametros_manuales!$H$41="Todos",'Plan mensual'!I105,0))+parametros_manuales!$E$41*('Plan mensual'!I102+IF(parametros_manuales!$H$41="Todos",'Plan mensual'!I106,0))+parametros_manuales!$F$41*('Plan mensual'!I103+IF(parametros_manuales!$H$41="Todos",'Plan mensual'!I107,0))+parametros_manuales!$G$41*('Plan mensual'!I104+IF(parametros_manuales!$H$41="Todos",'Plan mensual'!I108,0)))*parametros_manuales!$I$41*parametros_manuales!$J$41</f>
        <v>5253.743132325</v>
      </c>
      <c r="H267" s="9" t="n">
        <f aca="false">(parametros_manuales!$D$41*('Plan mensual'!J101+IF(parametros_manuales!$H$41="Todos",'Plan mensual'!J105,0))+parametros_manuales!$E$41*('Plan mensual'!J102+IF(parametros_manuales!$H$41="Todos",'Plan mensual'!J106,0))+parametros_manuales!$F$41*('Plan mensual'!J103+IF(parametros_manuales!$H$41="Todos",'Plan mensual'!J107,0))+parametros_manuales!$G$41*('Plan mensual'!J104+IF(parametros_manuales!$H$41="Todos",'Plan mensual'!J108,0)))*parametros_manuales!$I$41*parametros_manuales!$J$41</f>
        <v>5614.68355419</v>
      </c>
      <c r="I267" s="9" t="n">
        <f aca="false">(parametros_manuales!$D$41*('Plan mensual'!K101+IF(parametros_manuales!$H$41="Todos",'Plan mensual'!K105,0))+parametros_manuales!$E$41*('Plan mensual'!K102+IF(parametros_manuales!$H$41="Todos",'Plan mensual'!K106,0))+parametros_manuales!$F$41*('Plan mensual'!K103+IF(parametros_manuales!$H$41="Todos",'Plan mensual'!K107,0))+parametros_manuales!$G$41*('Plan mensual'!K104+IF(parametros_manuales!$H$41="Todos",'Plan mensual'!K108,0)))*parametros_manuales!$I$41*parametros_manuales!$J$41</f>
        <v>5614.68355419</v>
      </c>
      <c r="J267" s="9" t="n">
        <f aca="false">(parametros_manuales!$D$41*('Plan mensual'!L101+IF(parametros_manuales!$H$41="Todos",'Plan mensual'!L105,0))+parametros_manuales!$E$41*('Plan mensual'!L102+IF(parametros_manuales!$H$41="Todos",'Plan mensual'!L106,0))+parametros_manuales!$F$41*('Plan mensual'!L103+IF(parametros_manuales!$H$41="Todos",'Plan mensual'!L107,0))+parametros_manuales!$G$41*('Plan mensual'!L104+IF(parametros_manuales!$H$41="Todos",'Plan mensual'!L108,0)))*parametros_manuales!$I$41*parametros_manuales!$J$41</f>
        <v>5614.68355419</v>
      </c>
      <c r="K267" s="9" t="n">
        <f aca="false">(parametros_manuales!$D$41*('Plan mensual'!M101+IF(parametros_manuales!$H$41="Todos",'Plan mensual'!M105,0))+parametros_manuales!$E$41*('Plan mensual'!M102+IF(parametros_manuales!$H$41="Todos",'Plan mensual'!M106,0))+parametros_manuales!$F$41*('Plan mensual'!M103+IF(parametros_manuales!$H$41="Todos",'Plan mensual'!M107,0))+parametros_manuales!$G$41*('Plan mensual'!M104+IF(parametros_manuales!$H$41="Todos",'Plan mensual'!M108,0)))*parametros_manuales!$I$41*parametros_manuales!$J$41</f>
        <v>5414.106327975</v>
      </c>
      <c r="L267" s="9" t="n">
        <f aca="false">(parametros_manuales!$D$41*('Plan mensual'!N101+IF(parametros_manuales!$H$41="Todos",'Plan mensual'!N105,0))+parametros_manuales!$E$41*('Plan mensual'!N102+IF(parametros_manuales!$H$41="Todos",'Plan mensual'!N106,0))+parametros_manuales!$F$41*('Plan mensual'!N103+IF(parametros_manuales!$H$41="Todos",'Plan mensual'!N107,0))+parametros_manuales!$G$41*('Plan mensual'!N104+IF(parametros_manuales!$H$41="Todos",'Plan mensual'!N108,0)))*parametros_manuales!$I$41*parametros_manuales!$J$41</f>
        <v>5213.52910176</v>
      </c>
      <c r="M267" s="9" t="n">
        <f aca="false">(parametros_manuales!$D$41*('Plan mensual'!O101+IF(parametros_manuales!$H$41="Todos",'Plan mensual'!O105,0))+parametros_manuales!$E$41*('Plan mensual'!O102+IF(parametros_manuales!$H$41="Todos",'Plan mensual'!O106,0))+parametros_manuales!$F$41*('Plan mensual'!O103+IF(parametros_manuales!$H$41="Todos",'Plan mensual'!O107,0))+parametros_manuales!$G$41*('Plan mensual'!O104+IF(parametros_manuales!$H$41="Todos",'Plan mensual'!O108,0)))*parametros_manuales!$I$41*parametros_manuales!$J$41</f>
        <v>8261.41567233</v>
      </c>
      <c r="N267" s="9" t="n">
        <f aca="false">SUM(B267:M267)</f>
        <v>72188.084373</v>
      </c>
      <c r="O267" s="9" t="n">
        <f aca="false">MAX(B267:M267)</f>
        <v>8261.41567233</v>
      </c>
      <c r="P267" s="43" t="n">
        <f aca="false">O267/(parametros_manuales!$B$7)</f>
        <v>55.0761044822</v>
      </c>
      <c r="Q267" s="8" t="str">
        <f aca="false">IF(O267=0,"-",INDEX($B$244:$M$244,MATCH(O267,B267:M267,0)))</f>
        <v>Dic</v>
      </c>
    </row>
    <row r="268" customFormat="false" ht="14.25" hidden="false" customHeight="true" outlineLevel="0" collapsed="false">
      <c r="A268" s="8" t="str">
        <f aca="false">parametros_manuales!$B$42</f>
        <v>Etiquetado</v>
      </c>
      <c r="B268" s="9" t="n">
        <f aca="false">(parametros_manuales!$D$42*('Plan mensual'!D101+IF(parametros_manuales!$H$42="Todos",'Plan mensual'!D105,0))+parametros_manuales!$E$42*('Plan mensual'!D102+IF(parametros_manuales!$H$42="Todos",'Plan mensual'!D106,0))+parametros_manuales!$F$42*('Plan mensual'!D103+IF(parametros_manuales!$H$42="Todos",'Plan mensual'!D107,0))+parametros_manuales!$G$42*('Plan mensual'!D104+IF(parametros_manuales!$H$42="Todos",'Plan mensual'!D108,0)))*parametros_manuales!$I$42*parametros_manuales!$J$42</f>
        <v>7860.2612199</v>
      </c>
      <c r="C268" s="9" t="n">
        <f aca="false">(parametros_manuales!$D$42*('Plan mensual'!E101+IF(parametros_manuales!$H$42="Todos",'Plan mensual'!E105,0))+parametros_manuales!$E$42*('Plan mensual'!E102+IF(parametros_manuales!$H$42="Todos",'Plan mensual'!E106,0))+parametros_manuales!$F$42*('Plan mensual'!E103+IF(parametros_manuales!$H$42="Todos",'Plan mensual'!E107,0))+parametros_manuales!$G$42*('Plan mensual'!E104+IF(parametros_manuales!$H$42="Todos",'Plan mensual'!E108,0)))*parametros_manuales!$I$42*parametros_manuales!$J$42</f>
        <v>6095.77314114</v>
      </c>
      <c r="D268" s="9" t="n">
        <f aca="false">(parametros_manuales!$D$42*('Plan mensual'!F101+IF(parametros_manuales!$H$42="Todos",'Plan mensual'!F105,0))+parametros_manuales!$E$42*('Plan mensual'!F102+IF(parametros_manuales!$H$42="Todos",'Plan mensual'!F106,0))+parametros_manuales!$F$42*('Plan mensual'!F103+IF(parametros_manuales!$H$42="Todos",'Plan mensual'!F107,0))+parametros_manuales!$G$42*('Plan mensual'!F104+IF(parametros_manuales!$H$42="Todos",'Plan mensual'!F108,0)))*parametros_manuales!$I$42*parametros_manuales!$J$42</f>
        <v>5975.623976055</v>
      </c>
      <c r="E268" s="9" t="n">
        <f aca="false">(parametros_manuales!$D$42*('Plan mensual'!G101+IF(parametros_manuales!$H$42="Todos",'Plan mensual'!G105,0))+parametros_manuales!$E$42*('Plan mensual'!G102+IF(parametros_manuales!$H$42="Todos",'Plan mensual'!G106,0))+parametros_manuales!$F$42*('Plan mensual'!G103+IF(parametros_manuales!$H$42="Todos",'Plan mensual'!G107,0))+parametros_manuales!$G$42*('Plan mensual'!G104+IF(parametros_manuales!$H$42="Todos",'Plan mensual'!G108,0)))*parametros_manuales!$I$42*parametros_manuales!$J$42</f>
        <v>5815.260780405</v>
      </c>
      <c r="F268" s="9" t="n">
        <f aca="false">(parametros_manuales!$D$42*('Plan mensual'!H101+IF(parametros_manuales!$H$42="Todos",'Plan mensual'!H105,0))+parametros_manuales!$E$42*('Plan mensual'!H102+IF(parametros_manuales!$H$42="Todos",'Plan mensual'!H106,0))+parametros_manuales!$F$42*('Plan mensual'!H103+IF(parametros_manuales!$H$42="Todos",'Plan mensual'!H107,0))+parametros_manuales!$G$42*('Plan mensual'!H104+IF(parametros_manuales!$H$42="Todos",'Plan mensual'!H108,0)))*parametros_manuales!$I$42*parametros_manuales!$J$42</f>
        <v>5454.32035854</v>
      </c>
      <c r="G268" s="9" t="n">
        <f aca="false">(parametros_manuales!$D$42*('Plan mensual'!I101+IF(parametros_manuales!$H$42="Todos",'Plan mensual'!I105,0))+parametros_manuales!$E$42*('Plan mensual'!I102+IF(parametros_manuales!$H$42="Todos",'Plan mensual'!I106,0))+parametros_manuales!$F$42*('Plan mensual'!I103+IF(parametros_manuales!$H$42="Todos",'Plan mensual'!I107,0))+parametros_manuales!$G$42*('Plan mensual'!I104+IF(parametros_manuales!$H$42="Todos",'Plan mensual'!I108,0)))*parametros_manuales!$I$42*parametros_manuales!$J$42</f>
        <v>5253.743132325</v>
      </c>
      <c r="H268" s="9" t="n">
        <f aca="false">(parametros_manuales!$D$42*('Plan mensual'!J101+IF(parametros_manuales!$H$42="Todos",'Plan mensual'!J105,0))+parametros_manuales!$E$42*('Plan mensual'!J102+IF(parametros_manuales!$H$42="Todos",'Plan mensual'!J106,0))+parametros_manuales!$F$42*('Plan mensual'!J103+IF(parametros_manuales!$H$42="Todos",'Plan mensual'!J107,0))+parametros_manuales!$G$42*('Plan mensual'!J104+IF(parametros_manuales!$H$42="Todos",'Plan mensual'!J108,0)))*parametros_manuales!$I$42*parametros_manuales!$J$42</f>
        <v>5614.68355419</v>
      </c>
      <c r="I268" s="9" t="n">
        <f aca="false">(parametros_manuales!$D$42*('Plan mensual'!K101+IF(parametros_manuales!$H$42="Todos",'Plan mensual'!K105,0))+parametros_manuales!$E$42*('Plan mensual'!K102+IF(parametros_manuales!$H$42="Todos",'Plan mensual'!K106,0))+parametros_manuales!$F$42*('Plan mensual'!K103+IF(parametros_manuales!$H$42="Todos",'Plan mensual'!K107,0))+parametros_manuales!$G$42*('Plan mensual'!K104+IF(parametros_manuales!$H$42="Todos",'Plan mensual'!K108,0)))*parametros_manuales!$I$42*parametros_manuales!$J$42</f>
        <v>5614.68355419</v>
      </c>
      <c r="J268" s="9" t="n">
        <f aca="false">(parametros_manuales!$D$42*('Plan mensual'!L101+IF(parametros_manuales!$H$42="Todos",'Plan mensual'!L105,0))+parametros_manuales!$E$42*('Plan mensual'!L102+IF(parametros_manuales!$H$42="Todos",'Plan mensual'!L106,0))+parametros_manuales!$F$42*('Plan mensual'!L103+IF(parametros_manuales!$H$42="Todos",'Plan mensual'!L107,0))+parametros_manuales!$G$42*('Plan mensual'!L104+IF(parametros_manuales!$H$42="Todos",'Plan mensual'!L108,0)))*parametros_manuales!$I$42*parametros_manuales!$J$42</f>
        <v>5614.68355419</v>
      </c>
      <c r="K268" s="9" t="n">
        <f aca="false">(parametros_manuales!$D$42*('Plan mensual'!M101+IF(parametros_manuales!$H$42="Todos",'Plan mensual'!M105,0))+parametros_manuales!$E$42*('Plan mensual'!M102+IF(parametros_manuales!$H$42="Todos",'Plan mensual'!M106,0))+parametros_manuales!$F$42*('Plan mensual'!M103+IF(parametros_manuales!$H$42="Todos",'Plan mensual'!M107,0))+parametros_manuales!$G$42*('Plan mensual'!M104+IF(parametros_manuales!$H$42="Todos",'Plan mensual'!M108,0)))*parametros_manuales!$I$42*parametros_manuales!$J$42</f>
        <v>5414.106327975</v>
      </c>
      <c r="L268" s="9" t="n">
        <f aca="false">(parametros_manuales!$D$42*('Plan mensual'!N101+IF(parametros_manuales!$H$42="Todos",'Plan mensual'!N105,0))+parametros_manuales!$E$42*('Plan mensual'!N102+IF(parametros_manuales!$H$42="Todos",'Plan mensual'!N106,0))+parametros_manuales!$F$42*('Plan mensual'!N103+IF(parametros_manuales!$H$42="Todos",'Plan mensual'!N107,0))+parametros_manuales!$G$42*('Plan mensual'!N104+IF(parametros_manuales!$H$42="Todos",'Plan mensual'!N108,0)))*parametros_manuales!$I$42*parametros_manuales!$J$42</f>
        <v>5213.52910176</v>
      </c>
      <c r="M268" s="9" t="n">
        <f aca="false">(parametros_manuales!$D$42*('Plan mensual'!O101+IF(parametros_manuales!$H$42="Todos",'Plan mensual'!O105,0))+parametros_manuales!$E$42*('Plan mensual'!O102+IF(parametros_manuales!$H$42="Todos",'Plan mensual'!O106,0))+parametros_manuales!$F$42*('Plan mensual'!O103+IF(parametros_manuales!$H$42="Todos",'Plan mensual'!O107,0))+parametros_manuales!$G$42*('Plan mensual'!O104+IF(parametros_manuales!$H$42="Todos",'Plan mensual'!O108,0)))*parametros_manuales!$I$42*parametros_manuales!$J$42</f>
        <v>8261.41567233</v>
      </c>
      <c r="N268" s="9" t="n">
        <f aca="false">SUM(B268:M268)</f>
        <v>72188.084373</v>
      </c>
      <c r="O268" s="9" t="n">
        <f aca="false">MAX(B268:M268)</f>
        <v>8261.41567233</v>
      </c>
      <c r="P268" s="43" t="n">
        <f aca="false">O268/(parametros_manuales!$B$7)</f>
        <v>55.0761044822</v>
      </c>
      <c r="Q268" s="8" t="str">
        <f aca="false">IF(O268=0,"-",INDEX($B$244:$M$244,MATCH(O268,B268:M268,0)))</f>
        <v>Dic</v>
      </c>
    </row>
    <row r="269" customFormat="false" ht="14.25" hidden="false" customHeight="true" outlineLevel="0" collapsed="false">
      <c r="A269" s="8" t="str">
        <f aca="false">parametros_manuales!$B$43</f>
        <v>Embalaje y paletizado</v>
      </c>
      <c r="B269" s="9" t="n">
        <f aca="false">(parametros_manuales!$D$43*('Plan mensual'!D101+IF(parametros_manuales!$H$43="Todos",'Plan mensual'!D105,0))+parametros_manuales!$E$43*('Plan mensual'!D102+IF(parametros_manuales!$H$43="Todos",'Plan mensual'!D106,0))+parametros_manuales!$F$43*('Plan mensual'!D103+IF(parametros_manuales!$H$43="Todos",'Plan mensual'!D107,0))+parametros_manuales!$G$43*('Plan mensual'!D104+IF(parametros_manuales!$H$43="Todos",'Plan mensual'!D108,0)))*parametros_manuales!$I$43*parametros_manuales!$J$43</f>
        <v>32503.1412199</v>
      </c>
      <c r="C269" s="9" t="n">
        <f aca="false">(parametros_manuales!$D$43*('Plan mensual'!E101+IF(parametros_manuales!$H$43="Todos",'Plan mensual'!E105,0))+parametros_manuales!$E$43*('Plan mensual'!E102+IF(parametros_manuales!$H$43="Todos",'Plan mensual'!E106,0))+parametros_manuales!$F$43*('Plan mensual'!E103+IF(parametros_manuales!$H$43="Todos",'Plan mensual'!E107,0))+parametros_manuales!$G$43*('Plan mensual'!E104+IF(parametros_manuales!$H$43="Todos",'Plan mensual'!E108,0)))*parametros_manuales!$I$43*parametros_manuales!$J$43</f>
        <v>24786.78914114</v>
      </c>
      <c r="D269" s="9" t="n">
        <f aca="false">(parametros_manuales!$D$43*('Plan mensual'!F101+IF(parametros_manuales!$H$43="Todos",'Plan mensual'!F105,0))+parametros_manuales!$E$43*('Plan mensual'!F102+IF(parametros_manuales!$H$43="Todos",'Plan mensual'!F106,0))+parametros_manuales!$F$43*('Plan mensual'!F103+IF(parametros_manuales!$H$43="Todos",'Plan mensual'!F107,0))+parametros_manuales!$G$43*('Plan mensual'!F104+IF(parametros_manuales!$H$43="Todos",'Plan mensual'!F108,0)))*parametros_manuales!$I$43*parametros_manuales!$J$43</f>
        <v>23170.015976055</v>
      </c>
      <c r="E269" s="9" t="n">
        <f aca="false">(parametros_manuales!$D$43*('Plan mensual'!G101+IF(parametros_manuales!$H$43="Todos",'Plan mensual'!G105,0))+parametros_manuales!$E$43*('Plan mensual'!G102+IF(parametros_manuales!$H$43="Todos",'Plan mensual'!G106,0))+parametros_manuales!$F$43*('Plan mensual'!G103+IF(parametros_manuales!$H$43="Todos",'Plan mensual'!G107,0))+parametros_manuales!$G$43*('Plan mensual'!G104+IF(parametros_manuales!$H$43="Todos",'Plan mensual'!G108,0)))*parametros_manuales!$I$43*parametros_manuales!$J$43</f>
        <v>22156.912780405</v>
      </c>
      <c r="F269" s="9" t="n">
        <f aca="false">(parametros_manuales!$D$43*('Plan mensual'!H101+IF(parametros_manuales!$H$43="Todos",'Plan mensual'!H105,0))+parametros_manuales!$E$43*('Plan mensual'!H102+IF(parametros_manuales!$H$43="Todos",'Plan mensual'!H106,0))+parametros_manuales!$F$43*('Plan mensual'!H103+IF(parametros_manuales!$H$43="Todos",'Plan mensual'!H107,0))+parametros_manuales!$G$43*('Plan mensual'!H104+IF(parametros_manuales!$H$43="Todos",'Plan mensual'!H108,0)))*parametros_manuales!$I$43*parametros_manuales!$J$43</f>
        <v>20734.37635854</v>
      </c>
      <c r="G269" s="9" t="n">
        <f aca="false">(parametros_manuales!$D$43*('Plan mensual'!I101+IF(parametros_manuales!$H$43="Todos",'Plan mensual'!I105,0))+parametros_manuales!$E$43*('Plan mensual'!I102+IF(parametros_manuales!$H$43="Todos",'Plan mensual'!I106,0))+parametros_manuales!$F$43*('Plan mensual'!I103+IF(parametros_manuales!$H$43="Todos",'Plan mensual'!I107,0))+parametros_manuales!$G$43*('Plan mensual'!I104+IF(parametros_manuales!$H$43="Todos",'Plan mensual'!I108,0)))*parametros_manuales!$I$43*parametros_manuales!$J$43</f>
        <v>20324.943132325</v>
      </c>
      <c r="H269" s="9" t="n">
        <f aca="false">(parametros_manuales!$D$43*('Plan mensual'!J101+IF(parametros_manuales!$H$43="Todos",'Plan mensual'!J105,0))+parametros_manuales!$E$43*('Plan mensual'!J102+IF(parametros_manuales!$H$43="Todos",'Plan mensual'!J106,0))+parametros_manuales!$F$43*('Plan mensual'!J103+IF(parametros_manuales!$H$43="Todos",'Plan mensual'!J107,0))+parametros_manuales!$G$43*('Plan mensual'!J104+IF(parametros_manuales!$H$43="Todos",'Plan mensual'!J108,0)))*parametros_manuales!$I$43*parametros_manuales!$J$43</f>
        <v>21747.47955419</v>
      </c>
      <c r="I269" s="9" t="n">
        <f aca="false">(parametros_manuales!$D$43*('Plan mensual'!K101+IF(parametros_manuales!$H$43="Todos",'Plan mensual'!K105,0))+parametros_manuales!$E$43*('Plan mensual'!K102+IF(parametros_manuales!$H$43="Todos",'Plan mensual'!K106,0))+parametros_manuales!$F$43*('Plan mensual'!K103+IF(parametros_manuales!$H$43="Todos",'Plan mensual'!K107,0))+parametros_manuales!$G$43*('Plan mensual'!K104+IF(parametros_manuales!$H$43="Todos",'Plan mensual'!K108,0)))*parametros_manuales!$I$43*parametros_manuales!$J$43</f>
        <v>21747.47955419</v>
      </c>
      <c r="J269" s="9" t="n">
        <f aca="false">(parametros_manuales!$D$43*('Plan mensual'!L101+IF(parametros_manuales!$H$43="Todos",'Plan mensual'!L105,0))+parametros_manuales!$E$43*('Plan mensual'!L102+IF(parametros_manuales!$H$43="Todos",'Plan mensual'!L106,0))+parametros_manuales!$F$43*('Plan mensual'!L103+IF(parametros_manuales!$H$43="Todos",'Plan mensual'!L107,0))+parametros_manuales!$G$43*('Plan mensual'!L104+IF(parametros_manuales!$H$43="Todos",'Plan mensual'!L108,0)))*parametros_manuales!$I$43*parametros_manuales!$J$43</f>
        <v>21747.47955419</v>
      </c>
      <c r="K269" s="9" t="n">
        <f aca="false">(parametros_manuales!$D$43*('Plan mensual'!M101+IF(parametros_manuales!$H$43="Todos",'Plan mensual'!M105,0))+parametros_manuales!$E$43*('Plan mensual'!M102+IF(parametros_manuales!$H$43="Todos",'Plan mensual'!M106,0))+parametros_manuales!$F$43*('Plan mensual'!M103+IF(parametros_manuales!$H$43="Todos",'Plan mensual'!M107,0))+parametros_manuales!$G$43*('Plan mensual'!M104+IF(parametros_manuales!$H$43="Todos",'Plan mensual'!M108,0)))*parametros_manuales!$I$43*parametros_manuales!$J$43</f>
        <v>21338.046327975</v>
      </c>
      <c r="L269" s="9" t="n">
        <f aca="false">(parametros_manuales!$D$43*('Plan mensual'!N101+IF(parametros_manuales!$H$43="Todos",'Plan mensual'!N105,0))+parametros_manuales!$E$43*('Plan mensual'!N102+IF(parametros_manuales!$H$43="Todos",'Plan mensual'!N106,0))+parametros_manuales!$F$43*('Plan mensual'!N103+IF(parametros_manuales!$H$43="Todos",'Plan mensual'!N107,0))+parametros_manuales!$G$43*('Plan mensual'!N104+IF(parametros_manuales!$H$43="Todos",'Plan mensual'!N108,0)))*parametros_manuales!$I$43*parametros_manuales!$J$43</f>
        <v>20928.61310176</v>
      </c>
      <c r="M269" s="9" t="n">
        <f aca="false">(parametros_manuales!$D$43*('Plan mensual'!O101+IF(parametros_manuales!$H$43="Todos",'Plan mensual'!O105,0))+parametros_manuales!$E$43*('Plan mensual'!O102+IF(parametros_manuales!$H$43="Todos",'Plan mensual'!O106,0))+parametros_manuales!$F$43*('Plan mensual'!O103+IF(parametros_manuales!$H$43="Todos",'Plan mensual'!O107,0))+parametros_manuales!$G$43*('Plan mensual'!O104+IF(parametros_manuales!$H$43="Todos",'Plan mensual'!O108,0)))*parametros_manuales!$I$43*parametros_manuales!$J$43</f>
        <v>33322.00767233</v>
      </c>
      <c r="N269" s="9" t="n">
        <f aca="false">SUM(B269:M269)</f>
        <v>284507.284373</v>
      </c>
      <c r="O269" s="9" t="n">
        <f aca="false">MAX(B269:M269)</f>
        <v>33322.00767233</v>
      </c>
      <c r="P269" s="43" t="n">
        <f aca="false">O269/(parametros_manuales!$B$7)</f>
        <v>222.146717815533</v>
      </c>
      <c r="Q269" s="8" t="str">
        <f aca="false">IF(O269=0,"-",INDEX($B$244:$M$244,MATCH(O269,B269:M269,0)))</f>
        <v>Dic</v>
      </c>
    </row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B2" activeCellId="0" sqref="B2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1" min="2" style="1" width="10"/>
    <col collapsed="false" customWidth="true" hidden="false" outlineLevel="0" max="12" min="12" style="1" width="8.57"/>
    <col collapsed="false" customWidth="true" hidden="false" outlineLevel="0" max="13" min="13" style="1" width="34.71"/>
  </cols>
  <sheetData>
    <row r="1" customFormat="false" ht="14.25" hidden="false" customHeight="true" outlineLevel="0" collapsed="false">
      <c r="A1" s="7" t="s">
        <v>200</v>
      </c>
      <c r="B1" s="7" t="n">
        <v>2026</v>
      </c>
      <c r="C1" s="7" t="n">
        <v>2027</v>
      </c>
      <c r="D1" s="7" t="n">
        <v>2028</v>
      </c>
      <c r="E1" s="7" t="n">
        <v>2029</v>
      </c>
      <c r="F1" s="7" t="n">
        <v>2030</v>
      </c>
      <c r="G1" s="7" t="n">
        <v>2031</v>
      </c>
      <c r="H1" s="7" t="n">
        <v>2032</v>
      </c>
      <c r="I1" s="7" t="n">
        <v>2033</v>
      </c>
      <c r="J1" s="7" t="n">
        <v>2034</v>
      </c>
      <c r="K1" s="7" t="n">
        <v>2035</v>
      </c>
      <c r="L1" s="7" t="s">
        <v>201</v>
      </c>
    </row>
    <row r="2" customFormat="false" ht="14.25" hidden="false" customHeight="true" outlineLevel="0" collapsed="false">
      <c r="A2" s="44" t="str">
        <f aca="false">parametros_manuales!$B$19</f>
        <v>Recepción de materia prima</v>
      </c>
      <c r="B2" s="45" t="n">
        <f aca="false">IF(B30*B58*parametros_manuales!$M$19*parametros_manuales!$B$6=0,0,'Demanda puesto sin sobrestock'!$P$2/(parametros_manuales!$M$19*B30*B58*parametros_manuales!$B$6))</f>
        <v>0.0885164896855889</v>
      </c>
      <c r="C2" s="45" t="n">
        <f aca="false">IF(C30*C58*parametros_manuales!$M$19*parametros_manuales!$B$6=0,0,'Demanda puesto sin sobrestock'!$P$29/(parametros_manuales!$M$19*C30*C58*parametros_manuales!$B$6))</f>
        <v>0.139269130702222</v>
      </c>
      <c r="D2" s="45" t="n">
        <f aca="false">IF(D30*D58*parametros_manuales!$M$19*parametros_manuales!$B$6=0,0,'Demanda puesto sin sobrestock'!$P$56/(parametros_manuales!$M$19*D30*D58*parametros_manuales!$B$6))</f>
        <v>0.296270090898222</v>
      </c>
      <c r="E2" s="45" t="n">
        <f aca="false">IF(E30*E58*parametros_manuales!$M$19*parametros_manuales!$B$6=0,0,'Demanda puesto sin sobrestock'!$P$83/(parametros_manuales!$M$19*E30*E58*parametros_manuales!$B$6))</f>
        <v>0.658605311533445</v>
      </c>
      <c r="F2" s="46" t="n">
        <f aca="false">IF(F30*F58*parametros_manuales!$M$19*parametros_manuales!$B$6=0,0,'Demanda puesto sin sobrestock'!$P$110/(parametros_manuales!$M$19*F30*F58*parametros_manuales!$B$6))</f>
        <v>0.573799985287167</v>
      </c>
      <c r="G2" s="46" t="n">
        <f aca="false">IF(G30*G58*parametros_manuales!$M$19*parametros_manuales!$B$6=0,0,'Demanda puesto sin sobrestock'!$P$137/(parametros_manuales!$M$19*G30*G58*parametros_manuales!$B$6))</f>
        <v>0.537116705984815</v>
      </c>
      <c r="H2" s="45" t="n">
        <f aca="false">IF(H30*H58*parametros_manuales!$M$19*parametros_manuales!$B$6=0,0,'Demanda puesto sin sobrestock'!$P$164/(parametros_manuales!$M$19*H30*H58*parametros_manuales!$B$6))</f>
        <v>0.370518510022037</v>
      </c>
      <c r="I2" s="46" t="n">
        <f aca="false">IF(I30*I58*parametros_manuales!$M$19*parametros_manuales!$B$6=0,0,'Demanda puesto sin sobrestock'!$P$191/(parametros_manuales!$M$19*I30*I58*parametros_manuales!$B$6))</f>
        <v>0.473462025410926</v>
      </c>
      <c r="J2" s="45" t="n">
        <f aca="false">IF(J30*J58*parametros_manuales!$M$19*parametros_manuales!$B$6=0,0,'Demanda puesto sin sobrestock'!$P$218/(parametros_manuales!$M$19*J30*J58*parametros_manuales!$B$6))</f>
        <v>0.534075804258704</v>
      </c>
      <c r="K2" s="45" t="n">
        <f aca="false">IF(K30*K58*parametros_manuales!$M$19*parametros_manuales!$B$6=0,0,'Demanda puesto sin sobrestock'!$P$245/(parametros_manuales!$M$19*K30*K58*parametros_manuales!$B$6))</f>
        <v>0.617074216154259</v>
      </c>
      <c r="L2" s="44" t="s">
        <v>202</v>
      </c>
    </row>
    <row r="3" customFormat="false" ht="14.25" hidden="false" customHeight="true" outlineLevel="0" collapsed="false">
      <c r="A3" s="44" t="str">
        <f aca="false">parametros_manuales!$B$20</f>
        <v>Corte de chapa (guillotina) — 2,5 a 10 kg</v>
      </c>
      <c r="B3" s="45" t="n">
        <f aca="false">IF(B31*B59*parametros_manuales!$M$20*parametros_manuales!$B$6=0,0,'Demanda puesto sin sobrestock'!$P$3/(parametros_manuales!$M$20*B31*B59*parametros_manuales!$B$6))</f>
        <v>0.0495302050352852</v>
      </c>
      <c r="C3" s="45" t="n">
        <f aca="false">IF(C31*C59*parametros_manuales!$M$20*parametros_manuales!$B$6=0,0,'Demanda puesto sin sobrestock'!$P$30/(parametros_manuales!$M$20*C31*C59*parametros_manuales!$B$6))</f>
        <v>0.0895546474966443</v>
      </c>
      <c r="D3" s="45" t="n">
        <f aca="false">IF(D31*D59*parametros_manuales!$M$20*parametros_manuales!$B$6=0,0,'Demanda puesto sin sobrestock'!$P$57/(parametros_manuales!$M$20*D31*D59*parametros_manuales!$B$6))</f>
        <v>0.155156558242282</v>
      </c>
      <c r="E3" s="45" t="n">
        <f aca="false">IF(E31*E59*parametros_manuales!$M$20*parametros_manuales!$B$6=0,0,'Demanda puesto sin sobrestock'!$P$84/(parametros_manuales!$M$20*E31*E59*parametros_manuales!$B$6))</f>
        <v>0.286579788241779</v>
      </c>
      <c r="F3" s="45" t="n">
        <f aca="false">IF(F31*F59*parametros_manuales!$M$20*parametros_manuales!$B$6=0,0,'Demanda puesto sin sobrestock'!$P$111/(parametros_manuales!$M$20*F31*F59*parametros_manuales!$B$6))</f>
        <v>0.482306679525</v>
      </c>
      <c r="G3" s="45" t="n">
        <f aca="false">IF(G31*G59*parametros_manuales!$M$20*parametros_manuales!$B$6=0,0,'Demanda puesto sin sobrestock'!$P$138/(parametros_manuales!$M$20*G31*G59*parametros_manuales!$B$6))</f>
        <v>0.675519579394295</v>
      </c>
      <c r="H3" s="45" t="n">
        <f aca="false">IF(H31*H59*parametros_manuales!$M$20*parametros_manuales!$B$6=0,0,'Demanda puesto sin sobrestock'!$P$165/(parametros_manuales!$M$20*H31*H59*parametros_manuales!$B$6))</f>
        <v>0.453625935401846</v>
      </c>
      <c r="I3" s="46" t="n">
        <f aca="false">IF(I31*I59*parametros_manuales!$M$20*parametros_manuales!$B$6=0,0,'Demanda puesto sin sobrestock'!$P$192/(parametros_manuales!$M$20*I31*I59*parametros_manuales!$B$6))</f>
        <v>0.573068788136745</v>
      </c>
      <c r="J3" s="45" t="n">
        <f aca="false">IF(J31*J59*parametros_manuales!$M$20*parametros_manuales!$B$6=0,0,'Demanda puesto sin sobrestock'!$P$219/(parametros_manuales!$M$20*J31*J59*parametros_manuales!$B$6))</f>
        <v>0.653768212514262</v>
      </c>
      <c r="K3" s="45" t="n">
        <f aca="false">IF(K31*K59*parametros_manuales!$M$20*parametros_manuales!$B$6=0,0,'Demanda puesto sin sobrestock'!$P$246/(parametros_manuales!$M$20*K31*K59*parametros_manuales!$B$6))</f>
        <v>0.755665350396812</v>
      </c>
      <c r="L3" s="44" t="s">
        <v>83</v>
      </c>
    </row>
    <row r="4" customFormat="false" ht="14.25" hidden="false" customHeight="true" outlineLevel="0" collapsed="false">
      <c r="A4" s="44" t="str">
        <f aca="false">parametros_manuales!$B$21</f>
        <v>Corte de tubo — 1 kg</v>
      </c>
      <c r="B4" s="45" t="n">
        <f aca="false">IF(B32*B60*parametros_manuales!$M$21*parametros_manuales!$B$6=0,0,'Demanda puesto sin sobrestock'!$P$4/(parametros_manuales!$M$21*B32*B60*parametros_manuales!$B$6))</f>
        <v>0.02785824362</v>
      </c>
      <c r="C4" s="45" t="n">
        <f aca="false">IF(C32*C60*parametros_manuales!$M$21*parametros_manuales!$B$6=0,0,'Demanda puesto sin sobrestock'!$P$31/(parametros_manuales!$M$21*C32*C60*parametros_manuales!$B$6))</f>
        <v>0.0399820265133333</v>
      </c>
      <c r="D4" s="45" t="n">
        <f aca="false">IF(D32*D60*parametros_manuales!$M$21*parametros_manuales!$B$6=0,0,'Demanda puesto sin sobrestock'!$P$58/(parametros_manuales!$M$21*D32*D60*parametros_manuales!$B$6))</f>
        <v>0.0967609850533333</v>
      </c>
      <c r="E4" s="45" t="n">
        <f aca="false">IF(E32*E60*parametros_manuales!$M$21*parametros_manuales!$B$6=0,0,'Demanda puesto sin sobrestock'!$P$85/(parametros_manuales!$M$21*E32*E60*parametros_manuales!$B$6))</f>
        <v>0.23441290366</v>
      </c>
      <c r="F4" s="45" t="n">
        <f aca="false">IF(F32*F60*parametros_manuales!$M$21*parametros_manuales!$B$6=0,0,'Demanda puesto sin sobrestock'!$P$112/(parametros_manuales!$M$21*F32*F60*parametros_manuales!$B$6))</f>
        <v>0.414102884733333</v>
      </c>
      <c r="G4" s="45" t="n">
        <f aca="false">IF(G32*G60*parametros_manuales!$M$21*parametros_manuales!$B$6=0,0,'Demanda puesto sin sobrestock'!$P$139/(parametros_manuales!$M$21*G32*G60*parametros_manuales!$B$6))</f>
        <v>0.582003020466667</v>
      </c>
      <c r="H4" s="45" t="n">
        <f aca="false">IF(H32*H60*parametros_manuales!$M$21*parametros_manuales!$B$6=0,0,'Demanda puesto sin sobrestock'!$P$166/(parametros_manuales!$M$21*H32*H60*parametros_manuales!$B$6))</f>
        <v>0.405577177533333</v>
      </c>
      <c r="I4" s="46" t="n">
        <f aca="false">IF(I32*I60*parametros_manuales!$M$21*parametros_manuales!$B$6=0,0,'Demanda puesto sin sobrestock'!$P$193/(parametros_manuales!$M$21*I32*I60*parametros_manuales!$B$6))</f>
        <v>0.520443594933333</v>
      </c>
      <c r="J4" s="45" t="n">
        <f aca="false">IF(J32*J60*parametros_manuales!$M$21*parametros_manuales!$B$6=0,0,'Demanda puesto sin sobrestock'!$P$220/(parametros_manuales!$M$21*J32*J60*parametros_manuales!$B$6))</f>
        <v>0.584643787133333</v>
      </c>
      <c r="K4" s="45" t="n">
        <f aca="false">IF(K32*K60*parametros_manuales!$M$21*parametros_manuales!$B$6=0,0,'Demanda puesto sin sobrestock'!$P$247/(parametros_manuales!$M$21*K32*K60*parametros_manuales!$B$6))</f>
        <v>0.675402130433333</v>
      </c>
      <c r="L4" s="44" t="s">
        <v>83</v>
      </c>
    </row>
    <row r="5" customFormat="false" ht="14.25" hidden="false" customHeight="true" outlineLevel="0" collapsed="false">
      <c r="A5" s="44" t="str">
        <f aca="false">parametros_manuales!$B$22</f>
        <v>Corte de disco y embutido (cúpula y fondo)</v>
      </c>
      <c r="B5" s="45" t="n">
        <f aca="false">IF(B33*B61*parametros_manuales!$M$22*parametros_manuales!$B$6=0,0,'Demanda puesto sin sobrestock'!$P$5/(parametros_manuales!$M$22*B33*B61*parametros_manuales!$B$6))</f>
        <v>0.0347123488963094</v>
      </c>
      <c r="C5" s="45" t="n">
        <f aca="false">IF(C33*C61*parametros_manuales!$M$22*parametros_manuales!$B$6=0,0,'Demanda puesto sin sobrestock'!$P$32/(parametros_manuales!$M$22*C33*C61*parametros_manuales!$B$6))</f>
        <v>0.0546153453734205</v>
      </c>
      <c r="D5" s="45" t="n">
        <f aca="false">IF(D33*D61*parametros_manuales!$M$22*parametros_manuales!$B$6=0,0,'Demanda puesto sin sobrestock'!$P$59/(parametros_manuales!$M$22*D33*D61*parametros_manuales!$B$6))</f>
        <v>0.116184349371852</v>
      </c>
      <c r="E5" s="45" t="n">
        <f aca="false">IF(E33*E61*parametros_manuales!$M$22*parametros_manuales!$B$6=0,0,'Demanda puesto sin sobrestock'!$P$86/(parametros_manuales!$M$22*E33*E61*parametros_manuales!$B$6))</f>
        <v>0.258276592758214</v>
      </c>
      <c r="F5" s="45" t="n">
        <f aca="false">IF(F33*F61*parametros_manuales!$M$22*parametros_manuales!$B$6=0,0,'Demanda puesto sin sobrestock'!$P$113/(parametros_manuales!$M$22*F33*F61*parametros_manuales!$B$6))</f>
        <v>0.450039204146797</v>
      </c>
      <c r="G5" s="45" t="n">
        <f aca="false">IF(G33*G61*parametros_manuales!$M$22*parametros_manuales!$B$6=0,0,'Demanda puesto sin sobrestock'!$P$140/(parametros_manuales!$M$22*G33*G61*parametros_manuales!$B$6))</f>
        <v>0.631902007040959</v>
      </c>
      <c r="H5" s="45" t="n">
        <f aca="false">IF(H33*H61*parametros_manuales!$M$22*parametros_manuales!$B$6=0,0,'Demanda puesto sin sobrestock'!$P$167/(parametros_manuales!$M$22*H33*H61*parametros_manuales!$B$6))</f>
        <v>0.435904129437691</v>
      </c>
      <c r="I5" s="46" t="n">
        <f aca="false">IF(I33*I61*parametros_manuales!$M$22*parametros_manuales!$B$6=0,0,'Demanda puesto sin sobrestock'!$P$194/(parametros_manuales!$M$22*I33*I61*parametros_manuales!$B$6))</f>
        <v>0.557014147542266</v>
      </c>
      <c r="J5" s="45" t="n">
        <f aca="false">IF(J33*J61*parametros_manuales!$M$22*parametros_manuales!$B$6=0,0,'Demanda puesto sin sobrestock'!$P$221/(parametros_manuales!$M$22*J33*J61*parametros_manuales!$B$6))</f>
        <v>0.628324475598475</v>
      </c>
      <c r="K5" s="45" t="n">
        <f aca="false">IF(K33*K61*parametros_manuales!$M$22*parametros_manuales!$B$6=0,0,'Demanda puesto sin sobrestock'!$P$248/(parametros_manuales!$M$22*K33*K61*parametros_manuales!$B$6))</f>
        <v>0.725969666063834</v>
      </c>
      <c r="L5" s="44" t="s">
        <v>83</v>
      </c>
    </row>
    <row r="6" customFormat="false" ht="14.25" hidden="false" customHeight="true" outlineLevel="0" collapsed="false">
      <c r="A6" s="44" t="str">
        <f aca="false">parametros_manuales!$B$23</f>
        <v>Preparación de cuello</v>
      </c>
      <c r="B6" s="45" t="n">
        <f aca="false">IF(B34*B62*parametros_manuales!$M$23*parametros_manuales!$B$6=0,0,'Demanda puesto sin sobrestock'!$P$6/(parametros_manuales!$M$23*B34*B62*parametros_manuales!$B$6))</f>
        <v>0.0885164896855889</v>
      </c>
      <c r="C6" s="45" t="n">
        <f aca="false">IF(C34*C62*parametros_manuales!$M$23*parametros_manuales!$B$6=0,0,'Demanda puesto sin sobrestock'!$P$33/(parametros_manuales!$M$23*C34*C62*parametros_manuales!$B$6))</f>
        <v>0.139269130702222</v>
      </c>
      <c r="D6" s="45" t="n">
        <f aca="false">IF(D34*D62*parametros_manuales!$M$23*parametros_manuales!$B$6=0,0,'Demanda puesto sin sobrestock'!$P$60/(parametros_manuales!$M$23*D34*D62*parametros_manuales!$B$6))</f>
        <v>0.296270090898222</v>
      </c>
      <c r="E6" s="45" t="n">
        <f aca="false">IF(E34*E62*parametros_manuales!$M$23*parametros_manuales!$B$6=0,0,'Demanda puesto sin sobrestock'!$P$87/(parametros_manuales!$M$23*E34*E62*parametros_manuales!$B$6))</f>
        <v>0.658605311533445</v>
      </c>
      <c r="F6" s="46" t="n">
        <f aca="false">IF(F34*F62*parametros_manuales!$M$23*parametros_manuales!$B$6=0,0,'Demanda puesto sin sobrestock'!$P$114/(parametros_manuales!$M$23*F34*F62*parametros_manuales!$B$6))</f>
        <v>0.573799985287167</v>
      </c>
      <c r="G6" s="45" t="n">
        <f aca="false">IF(G34*G62*parametros_manuales!$M$23*parametros_manuales!$B$6=0,0,'Demanda puesto sin sobrestock'!$P$141/(parametros_manuales!$M$23*G34*G62*parametros_manuales!$B$6))</f>
        <v>0.805675058977222</v>
      </c>
      <c r="H6" s="46" t="n">
        <f aca="false">IF(H34*H62*parametros_manuales!$M$23*parametros_manuales!$B$6=0,0,'Demanda puesto sin sobrestock'!$P$168/(parametros_manuales!$M$23*H34*H62*parametros_manuales!$B$6))</f>
        <v>0.370518510022037</v>
      </c>
      <c r="I6" s="45" t="n">
        <f aca="false">IF(I34*I62*parametros_manuales!$M$23*parametros_manuales!$B$6=0,0,'Demanda puesto sin sobrestock'!$P$195/(parametros_manuales!$M$23*I34*I62*parametros_manuales!$B$6))</f>
        <v>0.473462025410926</v>
      </c>
      <c r="J6" s="45" t="n">
        <f aca="false">IF(J34*J62*parametros_manuales!$M$23*parametros_manuales!$B$6=0,0,'Demanda puesto sin sobrestock'!$P$222/(parametros_manuales!$M$23*J34*J62*parametros_manuales!$B$6))</f>
        <v>0.534075804258704</v>
      </c>
      <c r="K6" s="45" t="n">
        <f aca="false">IF(K34*K62*parametros_manuales!$M$23*parametros_manuales!$B$6=0,0,'Demanda puesto sin sobrestock'!$P$249/(parametros_manuales!$M$23*K34*K62*parametros_manuales!$B$6))</f>
        <v>0.617074216154259</v>
      </c>
      <c r="L6" s="44" t="s">
        <v>83</v>
      </c>
    </row>
    <row r="7" customFormat="false" ht="14.25" hidden="false" customHeight="true" outlineLevel="0" collapsed="false">
      <c r="A7" s="44" t="str">
        <f aca="false">parametros_manuales!$B$24</f>
        <v>Numerado de cúpula</v>
      </c>
      <c r="B7" s="45" t="n">
        <f aca="false">IF(B35*B63*parametros_manuales!$M$24*parametros_manuales!$B$6=0,0,'Demanda puesto sin sobrestock'!$P$7/(parametros_manuales!$M$24*B35*B63*parametros_manuales!$B$6))</f>
        <v>0.029505496561863</v>
      </c>
      <c r="C7" s="45" t="n">
        <f aca="false">IF(C35*C63*parametros_manuales!$M$24*parametros_manuales!$B$6=0,0,'Demanda puesto sin sobrestock'!$P$34/(parametros_manuales!$M$24*C35*C63*parametros_manuales!$B$6))</f>
        <v>0.0464230435674074</v>
      </c>
      <c r="D7" s="45" t="n">
        <f aca="false">IF(D35*D63*parametros_manuales!$M$24*parametros_manuales!$B$6=0,0,'Demanda puesto sin sobrestock'!$P$61/(parametros_manuales!$M$24*D35*D63*parametros_manuales!$B$6))</f>
        <v>0.0987566969660741</v>
      </c>
      <c r="E7" s="45" t="n">
        <f aca="false">IF(E35*E63*parametros_manuales!$M$24*parametros_manuales!$B$6=0,0,'Demanda puesto sin sobrestock'!$P$88/(parametros_manuales!$M$24*E35*E63*parametros_manuales!$B$6))</f>
        <v>0.219535103844482</v>
      </c>
      <c r="F7" s="45" t="n">
        <f aca="false">IF(F35*F63*parametros_manuales!$M$24*parametros_manuales!$B$6=0,0,'Demanda puesto sin sobrestock'!$P$115/(parametros_manuales!$M$24*F35*F63*parametros_manuales!$B$6))</f>
        <v>0.382533323524778</v>
      </c>
      <c r="G7" s="45" t="n">
        <f aca="false">IF(G35*G63*parametros_manuales!$M$24*parametros_manuales!$B$6=0,0,'Demanda puesto sin sobrestock'!$P$142/(parametros_manuales!$M$24*G35*G63*parametros_manuales!$B$6))</f>
        <v>0.537116705984815</v>
      </c>
      <c r="H7" s="45" t="n">
        <f aca="false">IF(H35*H63*parametros_manuales!$M$24*parametros_manuales!$B$6=0,0,'Demanda puesto sin sobrestock'!$P$169/(parametros_manuales!$M$24*H35*H63*parametros_manuales!$B$6))</f>
        <v>0.370518510022037</v>
      </c>
      <c r="I7" s="46" t="n">
        <f aca="false">IF(I35*I63*parametros_manuales!$M$24*parametros_manuales!$B$6=0,0,'Demanda puesto sin sobrestock'!$P$196/(parametros_manuales!$M$24*I35*I63*parametros_manuales!$B$6))</f>
        <v>0.473462025410926</v>
      </c>
      <c r="J7" s="45" t="n">
        <f aca="false">IF(J35*J63*parametros_manuales!$M$24*parametros_manuales!$B$6=0,0,'Demanda puesto sin sobrestock'!$P$223/(parametros_manuales!$M$24*J35*J63*parametros_manuales!$B$6))</f>
        <v>0.534075804258704</v>
      </c>
      <c r="K7" s="45" t="n">
        <f aca="false">IF(K35*K63*parametros_manuales!$M$24*parametros_manuales!$B$6=0,0,'Demanda puesto sin sobrestock'!$P$250/(parametros_manuales!$M$24*K35*K63*parametros_manuales!$B$6))</f>
        <v>0.617074216154259</v>
      </c>
      <c r="L7" s="44" t="s">
        <v>83</v>
      </c>
      <c r="M7" s="47" t="s">
        <v>203</v>
      </c>
    </row>
    <row r="8" customFormat="false" ht="14.25" hidden="false" customHeight="true" outlineLevel="0" collapsed="false">
      <c r="A8" s="44" t="str">
        <f aca="false">parametros_manuales!$B$25</f>
        <v>Soldadura del cuello a la cúpula</v>
      </c>
      <c r="B8" s="45" t="n">
        <f aca="false">IF(B36*B64*parametros_manuales!$M$25*parametros_manuales!$B$6=0,0,'Demanda puesto sin sobrestock'!$P$8/(parametros_manuales!$M$25*B36*B64*parametros_manuales!$B$6))</f>
        <v>0.0378923329133514</v>
      </c>
      <c r="C8" s="45" t="n">
        <f aca="false">IF(C36*C64*parametros_manuales!$M$25*parametros_manuales!$B$6=0,0,'Demanda puesto sin sobrestock'!$P$35/(parametros_manuales!$M$25*C36*C64*parametros_manuales!$B$6))</f>
        <v>0.0596186347184171</v>
      </c>
      <c r="D8" s="45" t="n">
        <f aca="false">IF(D36*D64*parametros_manuales!$M$25*parametros_manuales!$B$6=0,0,'Demanda puesto sin sobrestock'!$P$62/(parametros_manuales!$M$25*D36*D64*parametros_manuales!$B$6))</f>
        <v>0.126827949870814</v>
      </c>
      <c r="E8" s="45" t="n">
        <f aca="false">IF(E36*E64*parametros_manuales!$M$25*parametros_manuales!$B$6=0,0,'Demanda puesto sin sobrestock'!$P$89/(parametros_manuales!$M$25*E36*E64*parametros_manuales!$B$6))</f>
        <v>0.281937205279728</v>
      </c>
      <c r="F8" s="45" t="n">
        <f aca="false">IF(F36*F64*parametros_manuales!$M$25*parametros_manuales!$B$6=0,0,'Demanda puesto sin sobrestock'!$P$116/(parametros_manuales!$M$25*F36*F64*parametros_manuales!$B$6))</f>
        <v>0.491267110691067</v>
      </c>
      <c r="G8" s="45" t="n">
        <f aca="false">IF(G36*G64*parametros_manuales!$M$25*parametros_manuales!$B$6=0,0,'Demanda puesto sin sobrestock'!$P$143/(parametros_manuales!$M$25*G36*G64*parametros_manuales!$B$6))</f>
        <v>0.689790290220224</v>
      </c>
      <c r="H8" s="46" t="n">
        <f aca="false">IF(H36*H64*parametros_manuales!$M$25*parametros_manuales!$B$6=0,0,'Demanda puesto sin sobrestock'!$P$170/(parametros_manuales!$M$25*H36*H64*parametros_manuales!$B$6))</f>
        <v>0.475837127596794</v>
      </c>
      <c r="I8" s="45" t="n">
        <f aca="false">IF(I36*I64*parametros_manuales!$M$25*parametros_manuales!$B$6=0,0,'Demanda puesto sin sobrestock'!$P$197/(parametros_manuales!$M$25*I36*I64*parametros_manuales!$B$6))</f>
        <v>0.608041984688689</v>
      </c>
      <c r="J8" s="45" t="n">
        <f aca="false">IF(J36*J64*parametros_manuales!$M$25*parametros_manuales!$B$6=0,0,'Demanda puesto sin sobrestock'!$P$224/(parametros_manuales!$M$25*J36*J64*parametros_manuales!$B$6))</f>
        <v>0.685885022592513</v>
      </c>
      <c r="K8" s="45" t="n">
        <f aca="false">IF(K36*K64*parametros_manuales!$M$25*parametros_manuales!$B$6=0,0,'Demanda puesto sin sobrestock'!$P$251/(parametros_manuales!$M$25*K36*K64*parametros_manuales!$B$6))</f>
        <v>0.792475448828244</v>
      </c>
      <c r="L8" s="44" t="s">
        <v>83</v>
      </c>
      <c r="M8" s="48" t="s">
        <v>204</v>
      </c>
    </row>
    <row r="9" customFormat="false" ht="14.25" hidden="false" customHeight="true" outlineLevel="0" collapsed="false">
      <c r="A9" s="44" t="str">
        <f aca="false">parametros_manuales!$B$26</f>
        <v>Cilindrado</v>
      </c>
      <c r="B9" s="45" t="n">
        <f aca="false">IF(B37*B65*parametros_manuales!$M$26*parametros_manuales!$B$6=0,0,'Demanda puesto sin sobrestock'!$P$9/(parametros_manuales!$M$26*B37*B65*parametros_manuales!$B$6))</f>
        <v>0.0443243276291742</v>
      </c>
      <c r="C9" s="45" t="n">
        <f aca="false">IF(C37*C65*parametros_manuales!$M$26*parametros_manuales!$B$6=0,0,'Demanda puesto sin sobrestock'!$P$36/(parametros_manuales!$M$26*C37*C65*parametros_manuales!$B$6))</f>
        <v>0.0801419968588589</v>
      </c>
      <c r="D9" s="45" t="n">
        <f aca="false">IF(D37*D65*parametros_manuales!$M$26*parametros_manuales!$B$6=0,0,'Demanda puesto sin sobrestock'!$P$63/(parametros_manuales!$M$26*D37*D65*parametros_manuales!$B$6))</f>
        <v>0.13884881188048</v>
      </c>
      <c r="E9" s="45" t="n">
        <f aca="false">IF(E37*E65*parametros_manuales!$M$26*parametros_manuales!$B$6=0,0,'Demanda puesto sin sobrestock'!$P$90/(parametros_manuales!$M$26*E37*E65*parametros_manuales!$B$6))</f>
        <v>0.256458789477628</v>
      </c>
      <c r="F9" s="45" t="n">
        <f aca="false">IF(F37*F65*parametros_manuales!$M$26*parametros_manuales!$B$6=0,0,'Demanda puesto sin sobrestock'!$P$117/(parametros_manuales!$M$26*F37*F65*parametros_manuales!$B$6))</f>
        <v>0.431613785280631</v>
      </c>
      <c r="G9" s="45" t="n">
        <f aca="false">IF(G37*G65*parametros_manuales!$M$26*parametros_manuales!$B$6=0,0,'Demanda puesto sin sobrestock'!$P$144/(parametros_manuales!$M$26*G37*G65*parametros_manuales!$B$6))</f>
        <v>0.604519023001502</v>
      </c>
      <c r="H9" s="45" t="n">
        <f aca="false">IF(H37*H65*parametros_manuales!$M$26*parametros_manuales!$B$6=0,0,'Demanda puesto sin sobrestock'!$P$171/(parametros_manuales!$M$26*H37*H65*parametros_manuales!$B$6))</f>
        <v>0.405947533783033</v>
      </c>
      <c r="I9" s="46" t="n">
        <f aca="false">IF(I37*I65*parametros_manuales!$M$26*parametros_manuales!$B$6=0,0,'Demanda puesto sin sobrestock'!$P$198/(parametros_manuales!$M$26*I37*I65*parametros_manuales!$B$6))</f>
        <v>0.512836332927177</v>
      </c>
      <c r="J9" s="45" t="n">
        <f aca="false">IF(J37*J65*parametros_manuales!$M$26*parametros_manuales!$B$6=0,0,'Demanda puesto sin sobrestock'!$P$225/(parametros_manuales!$M$26*J37*J65*parametros_manuales!$B$6))</f>
        <v>0.585053835823574</v>
      </c>
      <c r="K9" s="45" t="n">
        <f aca="false">IF(K37*K65*parametros_manuales!$M$26*parametros_manuales!$B$6=0,0,'Demanda puesto sin sobrestock'!$P$252/(parametros_manuales!$M$26*K37*K65*parametros_manuales!$B$6))</f>
        <v>0.676241064319069</v>
      </c>
      <c r="L9" s="44" t="s">
        <v>83</v>
      </c>
      <c r="M9" s="49" t="s">
        <v>205</v>
      </c>
    </row>
    <row r="10" customFormat="false" ht="14.25" hidden="false" customHeight="true" outlineLevel="0" collapsed="false">
      <c r="A10" s="44" t="str">
        <f aca="false">parametros_manuales!$B$27</f>
        <v>Soldadura longitudinal</v>
      </c>
      <c r="B10" s="45" t="n">
        <f aca="false">IF(B38*B66*parametros_manuales!$M$27*parametros_manuales!$B$6=0,0,'Demanda puesto sin sobrestock'!$P$10/(parametros_manuales!$M$27*B38*B66*parametros_manuales!$B$6))</f>
        <v>0.0637162209669379</v>
      </c>
      <c r="C10" s="45" t="n">
        <f aca="false">IF(C38*C66*parametros_manuales!$M$27*parametros_manuales!$B$6=0,0,'Demanda puesto sin sobrestock'!$P$37/(parametros_manuales!$M$27*C38*C66*parametros_manuales!$B$6))</f>
        <v>0.11520412048461</v>
      </c>
      <c r="D10" s="45" t="n">
        <f aca="false">IF(D38*D66*parametros_manuales!$M$27*parametros_manuales!$B$6=0,0,'Demanda puesto sin sobrestock'!$P$64/(parametros_manuales!$M$27*D38*D66*parametros_manuales!$B$6))</f>
        <v>0.199595167078191</v>
      </c>
      <c r="E10" s="45" t="n">
        <f aca="false">IF(E38*E66*parametros_manuales!$M$27*parametros_manuales!$B$6=0,0,'Demanda puesto sin sobrestock'!$P$91/(parametros_manuales!$M$27*E38*E66*parametros_manuales!$B$6))</f>
        <v>0.36865950987409</v>
      </c>
      <c r="F10" s="45" t="n">
        <f aca="false">IF(F38*F66*parametros_manuales!$M$27*parametros_manuales!$B$6=0,0,'Demanda puesto sin sobrestock'!$P$118/(parametros_manuales!$M$27*F38*F66*parametros_manuales!$B$6))</f>
        <v>0.620444816340906</v>
      </c>
      <c r="G10" s="45" t="n">
        <f aca="false">IF(G38*G66*parametros_manuales!$M$27*parametros_manuales!$B$6=0,0,'Demanda puesto sin sobrestock'!$P$145/(parametros_manuales!$M$27*G38*G66*parametros_manuales!$B$6))</f>
        <v>0.868996095564659</v>
      </c>
      <c r="H10" s="46" t="n">
        <f aca="false">IF(H38*H66*parametros_manuales!$M$27*parametros_manuales!$B$6=0,0,'Demanda puesto sin sobrestock'!$P$172/(parametros_manuales!$M$27*H38*H66*parametros_manuales!$B$6))</f>
        <v>0.291774789906555</v>
      </c>
      <c r="I10" s="45" t="n">
        <f aca="false">IF(I38*I66*parametros_manuales!$M$27*parametros_manuales!$B$6=0,0,'Demanda puesto sin sobrestock'!$P$199/(parametros_manuales!$M$27*I38*I66*parametros_manuales!$B$6))</f>
        <v>0.368601114291409</v>
      </c>
      <c r="J10" s="45" t="n">
        <f aca="false">IF(J38*J66*parametros_manuales!$M$27*parametros_manuales!$B$6=0,0,'Demanda puesto sin sobrestock'!$P$226/(parametros_manuales!$M$27*J38*J66*parametros_manuales!$B$6))</f>
        <v>0.420507444498193</v>
      </c>
      <c r="K10" s="45" t="n">
        <f aca="false">IF(K38*K66*parametros_manuales!$M$27*parametros_manuales!$B$6=0,0,'Demanda puesto sin sobrestock'!$P$253/(parametros_manuales!$M$27*K38*K66*parametros_manuales!$B$6))</f>
        <v>0.486048264979331</v>
      </c>
      <c r="L10" s="44" t="s">
        <v>83</v>
      </c>
      <c r="M10" s="50" t="s">
        <v>206</v>
      </c>
    </row>
    <row r="11" customFormat="false" ht="14.25" hidden="false" customHeight="true" outlineLevel="0" collapsed="false">
      <c r="A11" s="44" t="str">
        <f aca="false">parametros_manuales!$B$28</f>
        <v>Encastre de fondo</v>
      </c>
      <c r="B11" s="45" t="n">
        <f aca="false">IF(B39*B67*parametros_manuales!$M$28*parametros_manuales!$B$6=0,0,'Demanda puesto sin sobrestock'!$P$11/(parametros_manuales!$M$28*B39*B67*parametros_manuales!$B$6))</f>
        <v>0.0450592990480939</v>
      </c>
      <c r="C11" s="45" t="n">
        <f aca="false">IF(C39*C67*parametros_manuales!$M$28*parametros_manuales!$B$6=0,0,'Demanda puesto sin sobrestock'!$P$38/(parametros_manuales!$M$28*C39*C67*parametros_manuales!$B$6))</f>
        <v>0.0708949194751131</v>
      </c>
      <c r="D11" s="45" t="n">
        <f aca="false">IF(D39*D67*parametros_manuales!$M$28*parametros_manuales!$B$6=0,0,'Demanda puesto sin sobrestock'!$P$65/(parametros_manuales!$M$28*D39*D67*parametros_manuales!$B$6))</f>
        <v>0.150816222742308</v>
      </c>
      <c r="E11" s="45" t="n">
        <f aca="false">IF(E39*E67*parametros_manuales!$M$28*parametros_manuales!$B$6=0,0,'Demanda puesto sin sobrestock'!$P$92/(parametros_manuales!$M$28*E39*E67*parametros_manuales!$B$6))</f>
        <v>0.335262884830373</v>
      </c>
      <c r="F11" s="45" t="n">
        <f aca="false">IF(F39*F67*parametros_manuales!$M$28*parametros_manuales!$B$6=0,0,'Demanda puesto sin sobrestock'!$P$119/(parametros_manuales!$M$28*F39*F67*parametros_manuales!$B$6))</f>
        <v>0.584185505382862</v>
      </c>
      <c r="G11" s="45" t="n">
        <f aca="false">IF(G39*G67*parametros_manuales!$M$28*parametros_manuales!$B$6=0,0,'Demanda puesto sin sobrestock'!$P$146/(parametros_manuales!$M$28*G39*G67*parametros_manuales!$B$6))</f>
        <v>0.82025741298586</v>
      </c>
      <c r="H11" s="46" t="n">
        <f aca="false">IF(H39*H67*parametros_manuales!$M$28*parametros_manuales!$B$6=0,0,'Demanda puesto sin sobrestock'!$P$173/(parametros_manuales!$M$28*H39*H67*parametros_manuales!$B$6))</f>
        <v>0.282918545548501</v>
      </c>
      <c r="I11" s="45" t="n">
        <f aca="false">IF(I39*I67*parametros_manuales!$M$28*parametros_manuales!$B$6=0,0,'Demanda puesto sin sobrestock'!$P$200/(parametros_manuales!$M$28*I39*I67*parametros_manuales!$B$6))</f>
        <v>0.36152360537599</v>
      </c>
      <c r="J11" s="45" t="n">
        <f aca="false">IF(J39*J67*parametros_manuales!$M$28*parametros_manuales!$B$6=0,0,'Demanda puesto sin sobrestock'!$P$227/(parametros_manuales!$M$28*J39*J67*parametros_manuales!$B$6))</f>
        <v>0.407806750989395</v>
      </c>
      <c r="K11" s="45" t="n">
        <f aca="false">IF(K39*K67*parametros_manuales!$M$28*parametros_manuales!$B$6=0,0,'Demanda puesto sin sobrestock'!$P$254/(parametros_manuales!$M$28*K39*K67*parametros_manuales!$B$6))</f>
        <v>0.471182235185662</v>
      </c>
      <c r="L11" s="44" t="s">
        <v>83</v>
      </c>
      <c r="M11" s="51" t="s">
        <v>207</v>
      </c>
    </row>
    <row r="12" customFormat="false" ht="14.25" hidden="false" customHeight="true" outlineLevel="0" collapsed="false">
      <c r="A12" s="44" t="str">
        <f aca="false">parametros_manuales!$B$29</f>
        <v>Bordoneado</v>
      </c>
      <c r="B12" s="45" t="n">
        <f aca="false">IF(B40*B68*parametros_manuales!$M$29*parametros_manuales!$B$6=0,0,'Demanda puesto sin sobrestock'!$P$12/(parametros_manuales!$M$29*B40*B68*parametros_manuales!$B$6))</f>
        <v>0.0300395326987293</v>
      </c>
      <c r="C12" s="45" t="n">
        <f aca="false">IF(C40*C68*parametros_manuales!$M$29*parametros_manuales!$B$6=0,0,'Demanda puesto sin sobrestock'!$P$39/(parametros_manuales!$M$29*C40*C68*parametros_manuales!$B$6))</f>
        <v>0.0472632796500754</v>
      </c>
      <c r="D12" s="45" t="n">
        <f aca="false">IF(D40*D68*parametros_manuales!$M$29*parametros_manuales!$B$6=0,0,'Demanda puesto sin sobrestock'!$P$66/(parametros_manuales!$M$29*D40*D68*parametros_manuales!$B$6))</f>
        <v>0.100544148494872</v>
      </c>
      <c r="E12" s="45" t="n">
        <f aca="false">IF(E40*E68*parametros_manuales!$M$29*parametros_manuales!$B$6=0,0,'Demanda puesto sin sobrestock'!$P$93/(parametros_manuales!$M$29*E40*E68*parametros_manuales!$B$6))</f>
        <v>0.223508589886916</v>
      </c>
      <c r="F12" s="45" t="n">
        <f aca="false">IF(F40*F68*parametros_manuales!$M$29*parametros_manuales!$B$6=0,0,'Demanda puesto sin sobrestock'!$P$120/(parametros_manuales!$M$29*F40*F68*parametros_manuales!$B$6))</f>
        <v>0.389457003588575</v>
      </c>
      <c r="G12" s="45" t="n">
        <f aca="false">IF(G40*G68*parametros_manuales!$M$29*parametros_manuales!$B$6=0,0,'Demanda puesto sin sobrestock'!$P$147/(parametros_manuales!$M$29*G40*G68*parametros_manuales!$B$6))</f>
        <v>0.546838275323906</v>
      </c>
      <c r="H12" s="45" t="n">
        <f aca="false">IF(H40*H68*parametros_manuales!$M$29*parametros_manuales!$B$6=0,0,'Demanda puesto sin sobrestock'!$P$174/(parametros_manuales!$M$29*H40*H68*parametros_manuales!$B$6))</f>
        <v>0.377224727398001</v>
      </c>
      <c r="I12" s="46" t="n">
        <f aca="false">IF(I40*I68*parametros_manuales!$M$29*parametros_manuales!$B$6=0,0,'Demanda puesto sin sobrestock'!$P$201/(parametros_manuales!$M$29*I40*I68*parametros_manuales!$B$6))</f>
        <v>0.482031473834653</v>
      </c>
      <c r="J12" s="45" t="n">
        <f aca="false">IF(J40*J68*parametros_manuales!$M$29*parametros_manuales!$B$6=0,0,'Demanda puesto sin sobrestock'!$P$228/(parametros_manuales!$M$29*J40*J68*parametros_manuales!$B$6))</f>
        <v>0.543742334652526</v>
      </c>
      <c r="K12" s="45" t="n">
        <f aca="false">IF(K40*K68*parametros_manuales!$M$29*parametros_manuales!$B$6=0,0,'Demanda puesto sin sobrestock'!$P$255/(parametros_manuales!$M$29*K40*K68*parametros_manuales!$B$6))</f>
        <v>0.628242980247549</v>
      </c>
      <c r="L12" s="44" t="s">
        <v>83</v>
      </c>
    </row>
    <row r="13" customFormat="false" ht="14.25" hidden="false" customHeight="true" outlineLevel="0" collapsed="false">
      <c r="A13" s="44" t="str">
        <f aca="false">parametros_manuales!$B$30</f>
        <v>Soldadura circunferencial de cúpula y fondo</v>
      </c>
      <c r="B13" s="45" t="n">
        <f aca="false">IF(B41*B69*parametros_manuales!$M$30*parametros_manuales!$B$6=0,0,'Demanda puesto sin sobrestock'!$P$13/(parametros_manuales!$M$30*B41*B69*parametros_manuales!$B$6))</f>
        <v>0.0901185980961878</v>
      </c>
      <c r="C13" s="45" t="n">
        <f aca="false">IF(C41*C69*parametros_manuales!$M$30*parametros_manuales!$B$6=0,0,'Demanda puesto sin sobrestock'!$P$40/(parametros_manuales!$M$30*C41*C69*parametros_manuales!$B$6))</f>
        <v>0.141789838950226</v>
      </c>
      <c r="D13" s="45" t="n">
        <f aca="false">IF(D41*D69*parametros_manuales!$M$30*parametros_manuales!$B$6=0,0,'Demanda puesto sin sobrestock'!$P$67/(parametros_manuales!$M$30*D41*D69*parametros_manuales!$B$6))</f>
        <v>0.301632445484615</v>
      </c>
      <c r="E13" s="45" t="n">
        <f aca="false">IF(E41*E69*parametros_manuales!$M$30*parametros_manuales!$B$6=0,0,'Demanda puesto sin sobrestock'!$P$94/(parametros_manuales!$M$30*E41*E69*parametros_manuales!$B$6))</f>
        <v>0.670525769660747</v>
      </c>
      <c r="F13" s="46" t="n">
        <f aca="false">IF(F41*F69*parametros_manuales!$M$30*parametros_manuales!$B$6=0,0,'Demanda puesto sin sobrestock'!$P$121/(parametros_manuales!$M$30*F41*F69*parametros_manuales!$B$6))</f>
        <v>0.584185505382862</v>
      </c>
      <c r="G13" s="45" t="n">
        <f aca="false">IF(G41*G69*parametros_manuales!$M$30*parametros_manuales!$B$6=0,0,'Demanda puesto sin sobrestock'!$P$148/(parametros_manuales!$M$30*G41*G69*parametros_manuales!$B$6))</f>
        <v>0.82025741298586</v>
      </c>
      <c r="H13" s="46" t="n">
        <f aca="false">IF(H41*H69*parametros_manuales!$M$30*parametros_manuales!$B$6=0,0,'Demanda puesto sin sobrestock'!$P$175/(parametros_manuales!$M$30*H41*H69*parametros_manuales!$B$6))</f>
        <v>0.377224727398002</v>
      </c>
      <c r="I13" s="45" t="n">
        <f aca="false">IF(I41*I69*parametros_manuales!$M$30*parametros_manuales!$B$6=0,0,'Demanda puesto sin sobrestock'!$P$202/(parametros_manuales!$M$30*I41*I69*parametros_manuales!$B$6))</f>
        <v>0.482031473834653</v>
      </c>
      <c r="J13" s="45" t="n">
        <f aca="false">IF(J41*J69*parametros_manuales!$M$30*parametros_manuales!$B$6=0,0,'Demanda puesto sin sobrestock'!$P$229/(parametros_manuales!$M$30*J41*J69*parametros_manuales!$B$6))</f>
        <v>0.543742334652526</v>
      </c>
      <c r="K13" s="45" t="n">
        <f aca="false">IF(K41*K69*parametros_manuales!$M$30*parametros_manuales!$B$6=0,0,'Demanda puesto sin sobrestock'!$P$256/(parametros_manuales!$M$30*K41*K69*parametros_manuales!$B$6))</f>
        <v>0.628242980247549</v>
      </c>
      <c r="L13" s="44" t="s">
        <v>83</v>
      </c>
      <c r="M13" s="52" t="s">
        <v>55</v>
      </c>
      <c r="N13" s="53" t="n">
        <f aca="false">parametros_manuales!$B$8</f>
        <v>0.9</v>
      </c>
    </row>
    <row r="14" customFormat="false" ht="14.25" hidden="false" customHeight="true" outlineLevel="0" collapsed="false">
      <c r="A14" s="44" t="str">
        <f aca="false">parametros_manuales!$B$31</f>
        <v>Control de calidad — Espesor</v>
      </c>
      <c r="B14" s="45" t="n">
        <f aca="false">IF(B42*B70*parametros_manuales!$M$31*parametros_manuales!$B$6=0,0,'Demanda puesto sin sobrestock'!$P$14/(parametros_manuales!$M$31*B42*B70*parametros_manuales!$B$6))</f>
        <v>0.00354065958742356</v>
      </c>
      <c r="C14" s="45" t="n">
        <f aca="false">IF(C42*C70*parametros_manuales!$M$31*parametros_manuales!$B$6=0,0,'Demanda puesto sin sobrestock'!$P$41/(parametros_manuales!$M$31*C42*C70*parametros_manuales!$B$6))</f>
        <v>0.00557076522808889</v>
      </c>
      <c r="D14" s="45" t="n">
        <f aca="false">IF(D42*D70*parametros_manuales!$M$31*parametros_manuales!$B$6=0,0,'Demanda puesto sin sobrestock'!$P$68/(parametros_manuales!$M$31*D42*D70*parametros_manuales!$B$6))</f>
        <v>0.0118508036359289</v>
      </c>
      <c r="E14" s="45" t="n">
        <f aca="false">IF(E42*E70*parametros_manuales!$M$31*parametros_manuales!$B$6=0,0,'Demanda puesto sin sobrestock'!$P$95/(parametros_manuales!$M$31*E42*E70*parametros_manuales!$B$6))</f>
        <v>0.0263442124613378</v>
      </c>
      <c r="F14" s="45" t="n">
        <f aca="false">IF(F42*F70*parametros_manuales!$M$31*parametros_manuales!$B$6=0,0,'Demanda puesto sin sobrestock'!$P$122/(parametros_manuales!$M$31*F42*F70*parametros_manuales!$B$6))</f>
        <v>0.0459039988229733</v>
      </c>
      <c r="G14" s="45" t="n">
        <f aca="false">IF(G42*G70*parametros_manuales!$M$31*parametros_manuales!$B$6=0,0,'Demanda puesto sin sobrestock'!$P$149/(parametros_manuales!$M$31*G42*G70*parametros_manuales!$B$6))</f>
        <v>0.0644540047181778</v>
      </c>
      <c r="H14" s="45" t="n">
        <f aca="false">IF(H42*H70*parametros_manuales!$M$31*parametros_manuales!$B$6=0,0,'Demanda puesto sin sobrestock'!$P$176/(parametros_manuales!$M$31*H42*H70*parametros_manuales!$B$6))</f>
        <v>0.0889244424052889</v>
      </c>
      <c r="I14" s="45" t="n">
        <f aca="false">IF(I42*I70*parametros_manuales!$M$31*parametros_manuales!$B$6=0,0,'Demanda puesto sin sobrestock'!$P$203/(parametros_manuales!$M$31*I42*I70*parametros_manuales!$B$6))</f>
        <v>0.113630886098622</v>
      </c>
      <c r="J14" s="45" t="n">
        <f aca="false">IF(J42*J70*parametros_manuales!$M$31*parametros_manuales!$B$6=0,0,'Demanda puesto sin sobrestock'!$P$230/(parametros_manuales!$M$31*J42*J70*parametros_manuales!$B$6))</f>
        <v>0.128178193022089</v>
      </c>
      <c r="K14" s="45" t="n">
        <f aca="false">IF(K42*K70*parametros_manuales!$M$31*parametros_manuales!$B$6=0,0,'Demanda puesto sin sobrestock'!$P$257/(parametros_manuales!$M$31*K42*K70*parametros_manuales!$B$6))</f>
        <v>0.148097811877022</v>
      </c>
      <c r="L14" s="44" t="s">
        <v>202</v>
      </c>
      <c r="M14" s="12" t="s">
        <v>208</v>
      </c>
    </row>
    <row r="15" customFormat="false" ht="14.25" hidden="false" customHeight="true" outlineLevel="0" collapsed="false">
      <c r="A15" s="44" t="str">
        <f aca="false">parametros_manuales!$B$32</f>
        <v>Prueba hidráulica</v>
      </c>
      <c r="B15" s="45" t="n">
        <f aca="false">IF(B43*B71*parametros_manuales!$M$32*parametros_manuales!$B$6=0,0,'Demanda puesto sin sobrestock'!$P$15/(parametros_manuales!$M$32*B43*B71*parametros_manuales!$B$6))</f>
        <v>0.0901185980961878</v>
      </c>
      <c r="C15" s="45" t="n">
        <f aca="false">IF(C43*C71*parametros_manuales!$M$32*parametros_manuales!$B$6=0,0,'Demanda puesto sin sobrestock'!$P$42/(parametros_manuales!$M$32*C43*C71*parametros_manuales!$B$6))</f>
        <v>0.141789838950226</v>
      </c>
      <c r="D15" s="45" t="n">
        <f aca="false">IF(D43*D71*parametros_manuales!$M$32*parametros_manuales!$B$6=0,0,'Demanda puesto sin sobrestock'!$P$69/(parametros_manuales!$M$32*D43*D71*parametros_manuales!$B$6))</f>
        <v>0.301632445484615</v>
      </c>
      <c r="E15" s="45" t="n">
        <f aca="false">IF(E43*E71*parametros_manuales!$M$32*parametros_manuales!$B$6=0,0,'Demanda puesto sin sobrestock'!$P$96/(parametros_manuales!$M$32*E43*E71*parametros_manuales!$B$6))</f>
        <v>0.670525769660747</v>
      </c>
      <c r="F15" s="46" t="n">
        <f aca="false">IF(F43*F71*parametros_manuales!$M$32*parametros_manuales!$B$6=0,0,'Demanda puesto sin sobrestock'!$P$123/(parametros_manuales!$M$32*F43*F71*parametros_manuales!$B$6))</f>
        <v>0.584185505382862</v>
      </c>
      <c r="G15" s="45" t="n">
        <f aca="false">IF(G43*G71*parametros_manuales!$M$32*parametros_manuales!$B$6=0,0,'Demanda puesto sin sobrestock'!$P$150/(parametros_manuales!$M$32*G43*G71*parametros_manuales!$B$6))</f>
        <v>0.82025741298586</v>
      </c>
      <c r="H15" s="46" t="n">
        <f aca="false">IF(H43*H71*parametros_manuales!$M$32*parametros_manuales!$B$6=0,0,'Demanda puesto sin sobrestock'!$P$177/(parametros_manuales!$M$32*H43*H71*parametros_manuales!$B$6))</f>
        <v>0.377224727398002</v>
      </c>
      <c r="I15" s="45" t="n">
        <f aca="false">IF(I43*I71*parametros_manuales!$M$32*parametros_manuales!$B$6=0,0,'Demanda puesto sin sobrestock'!$P$204/(parametros_manuales!$M$32*I43*I71*parametros_manuales!$B$6))</f>
        <v>0.482031473834653</v>
      </c>
      <c r="J15" s="45" t="n">
        <f aca="false">IF(J43*J71*parametros_manuales!$M$32*parametros_manuales!$B$6=0,0,'Demanda puesto sin sobrestock'!$P$231/(parametros_manuales!$M$32*J43*J71*parametros_manuales!$B$6))</f>
        <v>0.543742334652526</v>
      </c>
      <c r="K15" s="45" t="n">
        <f aca="false">IF(K43*K71*parametros_manuales!$M$32*parametros_manuales!$B$6=0,0,'Demanda puesto sin sobrestock'!$P$258/(parametros_manuales!$M$32*K43*K71*parametros_manuales!$B$6))</f>
        <v>0.628242980247549</v>
      </c>
      <c r="L15" s="44" t="s">
        <v>83</v>
      </c>
    </row>
    <row r="16" customFormat="false" ht="14.25" hidden="false" customHeight="true" outlineLevel="0" collapsed="false">
      <c r="A16" s="44" t="str">
        <f aca="false">parametros_manuales!$B$33</f>
        <v>Secado</v>
      </c>
      <c r="B16" s="45" t="n">
        <f aca="false">IF(B44*B72*parametros_manuales!$M$33*parametros_manuales!$B$6=0,0,'Demanda puesto sin sobrestock'!$P$16/(parametros_manuales!$M$33*B44*B72*parametros_manuales!$B$6))</f>
        <v>0.177032979371178</v>
      </c>
      <c r="C16" s="45" t="n">
        <f aca="false">IF(C44*C72*parametros_manuales!$M$33*parametros_manuales!$B$6=0,0,'Demanda puesto sin sobrestock'!$P$43/(parametros_manuales!$M$33*C44*C72*parametros_manuales!$B$6))</f>
        <v>0.278538261404444</v>
      </c>
      <c r="D16" s="45" t="n">
        <f aca="false">IF(D44*D72*parametros_manuales!$M$33*parametros_manuales!$B$6=0,0,'Demanda puesto sin sobrestock'!$P$70/(parametros_manuales!$M$33*D44*D72*parametros_manuales!$B$6))</f>
        <v>0.592540181796445</v>
      </c>
      <c r="E16" s="46" t="n">
        <f aca="false">IF(E44*E72*parametros_manuales!$M$33*parametros_manuales!$B$6=0,0,'Demanda puesto sin sobrestock'!$P$97/(parametros_manuales!$M$33*E44*E72*parametros_manuales!$B$6))</f>
        <v>0.658605311533445</v>
      </c>
      <c r="F16" s="46" t="n">
        <f aca="false">IF(F44*F72*parametros_manuales!$M$33*parametros_manuales!$B$6=0,0,'Demanda puesto sin sobrestock'!$P$124/(parametros_manuales!$M$33*F44*F72*parametros_manuales!$B$6))</f>
        <v>0.765066647049556</v>
      </c>
      <c r="G16" s="46" t="n">
        <f aca="false">IF(G44*G72*parametros_manuales!$M$33*parametros_manuales!$B$6=0,0,'Demanda puesto sin sobrestock'!$P$151/(parametros_manuales!$M$33*G44*G72*parametros_manuales!$B$6))</f>
        <v>0.805675058977222</v>
      </c>
      <c r="H16" s="46" t="n">
        <f aca="false">IF(H44*H72*parametros_manuales!$M$33*parametros_manuales!$B$6=0,0,'Demanda puesto sin sobrestock'!$P$178/(parametros_manuales!$M$33*H44*H72*parametros_manuales!$B$6))</f>
        <v>0.444622212026444</v>
      </c>
      <c r="I16" s="45" t="n">
        <f aca="false">IF(I44*I72*parametros_manuales!$M$33*parametros_manuales!$B$6=0,0,'Demanda puesto sin sobrestock'!$P$205/(parametros_manuales!$M$33*I44*I72*parametros_manuales!$B$6))</f>
        <v>0.568154430493111</v>
      </c>
      <c r="J16" s="45" t="n">
        <f aca="false">IF(J44*J72*parametros_manuales!$M$33*parametros_manuales!$B$6=0,0,'Demanda puesto sin sobrestock'!$P$232/(parametros_manuales!$M$33*J44*J72*parametros_manuales!$B$6))</f>
        <v>0.640890965110444</v>
      </c>
      <c r="K16" s="45" t="n">
        <f aca="false">IF(K44*K72*parametros_manuales!$M$33*parametros_manuales!$B$6=0,0,'Demanda puesto sin sobrestock'!$P$259/(parametros_manuales!$M$33*K44*K72*parametros_manuales!$B$6))</f>
        <v>0.740489059385111</v>
      </c>
      <c r="L16" s="44" t="s">
        <v>83</v>
      </c>
    </row>
    <row r="17" customFormat="false" ht="14.25" hidden="false" customHeight="true" outlineLevel="0" collapsed="false">
      <c r="A17" s="44" t="str">
        <f aca="false">parametros_manuales!$B$34</f>
        <v>Granallado</v>
      </c>
      <c r="B17" s="45" t="n">
        <f aca="false">IF(B45*B73*parametros_manuales!$M$34*parametros_manuales!$B$6=0,0,'Demanda puesto sin sobrestock'!$P$17/(parametros_manuales!$M$34*B45*B73*parametros_manuales!$B$6))</f>
        <v>0.0442582448427945</v>
      </c>
      <c r="C17" s="45" t="n">
        <f aca="false">IF(C45*C73*parametros_manuales!$M$34*parametros_manuales!$B$6=0,0,'Demanda puesto sin sobrestock'!$P$44/(parametros_manuales!$M$34*C45*C73*parametros_manuales!$B$6))</f>
        <v>0.0696345653511111</v>
      </c>
      <c r="D17" s="45" t="n">
        <f aca="false">IF(D45*D73*parametros_manuales!$M$34*parametros_manuales!$B$6=0,0,'Demanda puesto sin sobrestock'!$P$71/(parametros_manuales!$M$34*D45*D73*parametros_manuales!$B$6))</f>
        <v>0.148135045449111</v>
      </c>
      <c r="E17" s="45" t="n">
        <f aca="false">IF(E45*E73*parametros_manuales!$M$34*parametros_manuales!$B$6=0,0,'Demanda puesto sin sobrestock'!$P$98/(parametros_manuales!$M$34*E45*E73*parametros_manuales!$B$6))</f>
        <v>0.329302655766722</v>
      </c>
      <c r="F17" s="45" t="n">
        <f aca="false">IF(F45*F73*parametros_manuales!$M$34*parametros_manuales!$B$6=0,0,'Demanda puesto sin sobrestock'!$P$125/(parametros_manuales!$M$34*F45*F73*parametros_manuales!$B$6))</f>
        <v>0.573799985287167</v>
      </c>
      <c r="G17" s="45" t="n">
        <f aca="false">IF(G45*G73*parametros_manuales!$M$34*parametros_manuales!$B$6=0,0,'Demanda puesto sin sobrestock'!$P$152/(parametros_manuales!$M$34*G45*G73*parametros_manuales!$B$6))</f>
        <v>0.805675058977222</v>
      </c>
      <c r="H17" s="46" t="n">
        <f aca="false">IF(H45*H73*parametros_manuales!$M$34*parametros_manuales!$B$6=0,0,'Demanda puesto sin sobrestock'!$P$179/(parametros_manuales!$M$34*H45*H73*parametros_manuales!$B$6))</f>
        <v>0.277888882516528</v>
      </c>
      <c r="I17" s="45" t="n">
        <f aca="false">IF(I45*I73*parametros_manuales!$M$34*parametros_manuales!$B$6=0,0,'Demanda puesto sin sobrestock'!$P$206/(parametros_manuales!$M$34*I45*I73*parametros_manuales!$B$6))</f>
        <v>0.355096519058194</v>
      </c>
      <c r="J17" s="45" t="n">
        <f aca="false">IF(J45*J73*parametros_manuales!$M$34*parametros_manuales!$B$6=0,0,'Demanda puesto sin sobrestock'!$P$233/(parametros_manuales!$M$34*J45*J73*parametros_manuales!$B$6))</f>
        <v>0.400556853194028</v>
      </c>
      <c r="K17" s="45" t="n">
        <f aca="false">IF(K45*K73*parametros_manuales!$M$34*parametros_manuales!$B$6=0,0,'Demanda puesto sin sobrestock'!$P$260/(parametros_manuales!$M$34*K45*K73*parametros_manuales!$B$6))</f>
        <v>0.462805662115694</v>
      </c>
      <c r="L17" s="44" t="s">
        <v>83</v>
      </c>
    </row>
    <row r="18" customFormat="false" ht="14.25" hidden="false" customHeight="true" outlineLevel="0" collapsed="false">
      <c r="A18" s="44" t="str">
        <f aca="false">parametros_manuales!$B$35</f>
        <v>Detección de defectos</v>
      </c>
      <c r="B18" s="45" t="n">
        <f aca="false">IF(B46*B74*parametros_manuales!$M$35*parametros_manuales!$B$6=0,0,'Demanda puesto sin sobrestock'!$P$18/(parametros_manuales!$M$35*B46*B74*parametros_manuales!$B$6))</f>
        <v>0.029505496561863</v>
      </c>
      <c r="C18" s="45" t="n">
        <f aca="false">IF(C46*C74*parametros_manuales!$M$35*parametros_manuales!$B$6=0,0,'Demanda puesto sin sobrestock'!$P$45/(parametros_manuales!$M$35*C46*C74*parametros_manuales!$B$6))</f>
        <v>0.0464230435674074</v>
      </c>
      <c r="D18" s="45" t="n">
        <f aca="false">IF(D46*D74*parametros_manuales!$M$35*parametros_manuales!$B$6=0,0,'Demanda puesto sin sobrestock'!$P$72/(parametros_manuales!$M$35*D46*D74*parametros_manuales!$B$6))</f>
        <v>0.0987566969660741</v>
      </c>
      <c r="E18" s="45" t="n">
        <f aca="false">IF(E46*E74*parametros_manuales!$M$35*parametros_manuales!$B$6=0,0,'Demanda puesto sin sobrestock'!$P$99/(parametros_manuales!$M$35*E46*E74*parametros_manuales!$B$6))</f>
        <v>0.219535103844482</v>
      </c>
      <c r="F18" s="45" t="n">
        <f aca="false">IF(F46*F74*parametros_manuales!$M$35*parametros_manuales!$B$6=0,0,'Demanda puesto sin sobrestock'!$P$126/(parametros_manuales!$M$35*F46*F74*parametros_manuales!$B$6))</f>
        <v>0.382533323524778</v>
      </c>
      <c r="G18" s="45" t="n">
        <f aca="false">IF(G46*G74*parametros_manuales!$M$35*parametros_manuales!$B$6=0,0,'Demanda puesto sin sobrestock'!$P$153/(parametros_manuales!$M$35*G46*G74*parametros_manuales!$B$6))</f>
        <v>0.537116705984815</v>
      </c>
      <c r="H18" s="45" t="n">
        <f aca="false">IF(H46*H74*parametros_manuales!$M$35*parametros_manuales!$B$6=0,0,'Demanda puesto sin sobrestock'!$P$180/(parametros_manuales!$M$35*H46*H74*parametros_manuales!$B$6))</f>
        <v>0.370518510022037</v>
      </c>
      <c r="I18" s="46" t="n">
        <f aca="false">IF(I46*I74*parametros_manuales!$M$35*parametros_manuales!$B$6=0,0,'Demanda puesto sin sobrestock'!$P$207/(parametros_manuales!$M$35*I46*I74*parametros_manuales!$B$6))</f>
        <v>0.473462025410926</v>
      </c>
      <c r="J18" s="45" t="n">
        <f aca="false">IF(J46*J74*parametros_manuales!$M$35*parametros_manuales!$B$6=0,0,'Demanda puesto sin sobrestock'!$P$234/(parametros_manuales!$M$35*J46*J74*parametros_manuales!$B$6))</f>
        <v>0.534075804258704</v>
      </c>
      <c r="K18" s="45" t="n">
        <f aca="false">IF(K46*K74*parametros_manuales!$M$35*parametros_manuales!$B$6=0,0,'Demanda puesto sin sobrestock'!$P$261/(parametros_manuales!$M$35*K46*K74*parametros_manuales!$B$6))</f>
        <v>0.617074216154259</v>
      </c>
      <c r="L18" s="44" t="s">
        <v>202</v>
      </c>
    </row>
    <row r="19" customFormat="false" ht="14.25" hidden="false" customHeight="true" outlineLevel="0" collapsed="false">
      <c r="A19" s="44" t="str">
        <f aca="false">parametros_manuales!$B$36</f>
        <v>Corrección de defectos</v>
      </c>
      <c r="B19" s="45" t="n">
        <f aca="false">IF(B47*B75*parametros_manuales!$M$36*parametros_manuales!$B$6=0,0,'Demanda puesto sin sobrestock'!$P$19/(parametros_manuales!$M$36*B47*B75*parametros_manuales!$B$6))</f>
        <v>0.0132774734528383</v>
      </c>
      <c r="C19" s="45" t="n">
        <f aca="false">IF(C47*C75*parametros_manuales!$M$36*parametros_manuales!$B$6=0,0,'Demanda puesto sin sobrestock'!$P$46/(parametros_manuales!$M$36*C47*C75*parametros_manuales!$B$6))</f>
        <v>0.0208903696053333</v>
      </c>
      <c r="D19" s="45" t="n">
        <f aca="false">IF(D47*D75*parametros_manuales!$M$36*parametros_manuales!$B$6=0,0,'Demanda puesto sin sobrestock'!$P$73/(parametros_manuales!$M$36*D47*D75*parametros_manuales!$B$6))</f>
        <v>0.0444405136347333</v>
      </c>
      <c r="E19" s="45" t="n">
        <f aca="false">IF(E47*E75*parametros_manuales!$M$36*parametros_manuales!$B$6=0,0,'Demanda puesto sin sobrestock'!$P$100/(parametros_manuales!$M$36*E47*E75*parametros_manuales!$B$6))</f>
        <v>0.0987907967300167</v>
      </c>
      <c r="F19" s="45" t="n">
        <f aca="false">IF(F47*F75*parametros_manuales!$M$36*parametros_manuales!$B$6=0,0,'Demanda puesto sin sobrestock'!$P$127/(parametros_manuales!$M$36*F47*F75*parametros_manuales!$B$6))</f>
        <v>0.17213999558615</v>
      </c>
      <c r="G19" s="45" t="n">
        <f aca="false">IF(G47*G75*parametros_manuales!$M$36*parametros_manuales!$B$6=0,0,'Demanda puesto sin sobrestock'!$P$154/(parametros_manuales!$M$36*G47*G75*parametros_manuales!$B$6))</f>
        <v>0.241702517693167</v>
      </c>
      <c r="H19" s="45" t="n">
        <f aca="false">IF(H47*H75*parametros_manuales!$M$36*parametros_manuales!$B$6=0,0,'Demanda puesto sin sobrestock'!$P$181/(parametros_manuales!$M$36*H47*H75*parametros_manuales!$B$6))</f>
        <v>0.333466659019833</v>
      </c>
      <c r="I19" s="45" t="n">
        <f aca="false">IF(I47*I75*parametros_manuales!$M$36*parametros_manuales!$B$6=0,0,'Demanda puesto sin sobrestock'!$P$208/(parametros_manuales!$M$36*I47*I75*parametros_manuales!$B$6))</f>
        <v>0.426115822869833</v>
      </c>
      <c r="J19" s="45" t="n">
        <f aca="false">IF(J47*J75*parametros_manuales!$M$36*parametros_manuales!$B$6=0,0,'Demanda puesto sin sobrestock'!$P$235/(parametros_manuales!$M$36*J47*J75*parametros_manuales!$B$6))</f>
        <v>0.480668223832833</v>
      </c>
      <c r="K19" s="45" t="n">
        <f aca="false">IF(K47*K75*parametros_manuales!$M$36*parametros_manuales!$B$6=0,0,'Demanda puesto sin sobrestock'!$P$262/(parametros_manuales!$M$36*K47*K75*parametros_manuales!$B$6))</f>
        <v>0.555366794538833</v>
      </c>
      <c r="L19" s="44" t="s">
        <v>202</v>
      </c>
    </row>
    <row r="20" customFormat="false" ht="14.25" hidden="false" customHeight="true" outlineLevel="0" collapsed="false">
      <c r="A20" s="44" t="str">
        <f aca="false">parametros_manuales!$B$37</f>
        <v>Pintura en polvo + horno</v>
      </c>
      <c r="B20" s="46" t="n">
        <f aca="false">IF(B48*B76*parametros_manuales!$M$37*parametros_manuales!$B$6=0,0,'Demanda puesto sin sobrestock'!$P$20/(parametros_manuales!$M$37*B48*B76*parametros_manuales!$B$6))</f>
        <v>0</v>
      </c>
      <c r="C20" s="46" t="n">
        <f aca="false">IF(C48*C76*parametros_manuales!$M$37*parametros_manuales!$B$6=0,0,'Demanda puesto sin sobrestock'!$P$47/(parametros_manuales!$M$37*C48*C76*parametros_manuales!$B$6))</f>
        <v>0</v>
      </c>
      <c r="D20" s="46" t="n">
        <f aca="false">IF(D48*D76*parametros_manuales!$M$37*parametros_manuales!$B$6=0,0,'Demanda puesto sin sobrestock'!$P$74/(parametros_manuales!$M$37*D48*D76*parametros_manuales!$B$6))</f>
        <v>0</v>
      </c>
      <c r="E20" s="46" t="n">
        <f aca="false">IF(E48*E76*parametros_manuales!$M$37*parametros_manuales!$B$6=0,0,'Demanda puesto sin sobrestock'!$P$101/(parametros_manuales!$M$37*E48*E76*parametros_manuales!$B$6))</f>
        <v>0</v>
      </c>
      <c r="F20" s="45" t="n">
        <f aca="false">IF(F48*F76*parametros_manuales!$M$37*parametros_manuales!$B$6=0,0,'Demanda puesto sin sobrestock'!$P$128/(parametros_manuales!$M$37*F48*F76*parametros_manuales!$B$6))</f>
        <v>0.505105620851379</v>
      </c>
      <c r="G20" s="45" t="n">
        <f aca="false">IF(G48*G76*parametros_manuales!$M$37*parametros_manuales!$B$6=0,0,'Demanda puesto sin sobrestock'!$P$155/(parametros_manuales!$M$37*G48*G76*parametros_manuales!$B$6))</f>
        <v>0.709221002620794</v>
      </c>
      <c r="H20" s="46" t="n">
        <f aca="false">IF(H48*H76*parametros_manuales!$M$37*parametros_manuales!$B$6=0,0,'Demanda puesto sin sobrestock'!$P$182/(parametros_manuales!$M$37*H48*H76*parametros_manuales!$B$6))</f>
        <v>0.489240990346</v>
      </c>
      <c r="I20" s="45" t="n">
        <f aca="false">IF(I48*I76*parametros_manuales!$M$37*parametros_manuales!$B$6=0,0,'Demanda puesto sin sobrestock'!$P$209/(parametros_manuales!$M$37*I48*I76*parametros_manuales!$B$6))</f>
        <v>0.625169927919356</v>
      </c>
      <c r="J20" s="45" t="n">
        <f aca="false">IF(J48*J76*parametros_manuales!$M$37*parametros_manuales!$B$6=0,0,'Demanda puesto sin sobrestock'!$P$236/(parametros_manuales!$M$37*J48*J76*parametros_manuales!$B$6))</f>
        <v>0.705205727454274</v>
      </c>
      <c r="K20" s="45" t="n">
        <f aca="false">IF(K48*K76*parametros_manuales!$M$37*parametros_manuales!$B$6=0,0,'Demanda puesto sin sobrestock'!$P$263/(parametros_manuales!$M$37*K48*K76*parametros_manuales!$B$6))</f>
        <v>0.814798700907913</v>
      </c>
      <c r="L20" s="44" t="s">
        <v>83</v>
      </c>
    </row>
    <row r="21" customFormat="false" ht="14.25" hidden="false" customHeight="true" outlineLevel="0" collapsed="false">
      <c r="A21" s="44" t="str">
        <f aca="false">parametros_manuales!$B$38</f>
        <v>Carga de polvo</v>
      </c>
      <c r="B21" s="45" t="n">
        <f aca="false">IF(B49*B77*parametros_manuales!$M$38*parametros_manuales!$B$6=0,0,'Demanda puesto sin sobrestock'!$P$21/(parametros_manuales!$M$38*B49*B77*parametros_manuales!$B$6))</f>
        <v>0.0661490339308583</v>
      </c>
      <c r="C21" s="45" t="n">
        <f aca="false">IF(C49*C77*parametros_manuales!$M$38*parametros_manuales!$B$6=0,0,'Demanda puesto sin sobrestock'!$P$48/(parametros_manuales!$M$38*C49*C77*parametros_manuales!$B$6))</f>
        <v>0.103763614693333</v>
      </c>
      <c r="D21" s="45" t="n">
        <f aca="false">IF(D49*D77*parametros_manuales!$M$38*parametros_manuales!$B$6=0,0,'Demanda puesto sin sobrestock'!$P$75/(parametros_manuales!$M$38*D49*D77*parametros_manuales!$B$6))</f>
        <v>0.127238634840333</v>
      </c>
      <c r="E21" s="45" t="n">
        <f aca="false">IF(E49*E77*parametros_manuales!$M$38*parametros_manuales!$B$6=0,0,'Demanda puesto sin sobrestock'!$P$102/(parametros_manuales!$M$38*E49*E77*parametros_manuales!$B$6))</f>
        <v>0.16536345031675</v>
      </c>
      <c r="F21" s="45" t="n">
        <f aca="false">IF(F49*F77*parametros_manuales!$M$38*parametros_manuales!$B$6=0,0,'Demanda puesto sin sobrestock'!$P$129/(parametros_manuales!$M$38*F49*F77*parametros_manuales!$B$6))</f>
        <v>0.253824544597417</v>
      </c>
      <c r="G21" s="45" t="n">
        <f aca="false">IF(G49*G77*parametros_manuales!$M$38*parametros_manuales!$B$6=0,0,'Demanda puesto sin sobrestock'!$P$156/(parametros_manuales!$M$38*G49*G77*parametros_manuales!$B$6))</f>
        <v>0.3291826551325</v>
      </c>
      <c r="H21" s="45" t="n">
        <f aca="false">IF(H49*H77*parametros_manuales!$M$38*parametros_manuales!$B$6=0,0,'Demanda puesto sin sobrestock'!$P$183/(parametros_manuales!$M$38*H49*H77*parametros_manuales!$B$6))</f>
        <v>0.4253909284325</v>
      </c>
      <c r="I21" s="45" t="n">
        <f aca="false">IF(I49*I77*parametros_manuales!$M$38*parametros_manuales!$B$6=0,0,'Demanda puesto sin sobrestock'!$P$210/(parametros_manuales!$M$38*I49*I77*parametros_manuales!$B$6))</f>
        <v>0.526041914349167</v>
      </c>
      <c r="J21" s="45" t="n">
        <f aca="false">IF(J49*J77*parametros_manuales!$M$38*parametros_manuales!$B$6=0,0,'Demanda puesto sin sobrestock'!$P$237/(parametros_manuales!$M$38*J49*J77*parametros_manuales!$B$6))</f>
        <v>0.605353219164167</v>
      </c>
      <c r="K21" s="45" t="n">
        <f aca="false">IF(K49*K77*parametros_manuales!$M$38*parametros_manuales!$B$6=0,0,'Demanda puesto sin sobrestock'!$P$264/(parametros_manuales!$M$38*K49*K77*parametros_manuales!$B$6))</f>
        <v>0.6884513060275</v>
      </c>
      <c r="L21" s="44" t="s">
        <v>83</v>
      </c>
    </row>
    <row r="22" customFormat="false" ht="14.25" hidden="false" customHeight="true" outlineLevel="0" collapsed="false">
      <c r="A22" s="44" t="str">
        <f aca="false">parametros_manuales!$B$39</f>
        <v>Ensamblaje</v>
      </c>
      <c r="B22" s="45" t="n">
        <f aca="false">IF(B50*B78*parametros_manuales!$M$39*parametros_manuales!$B$6=0,0,'Demanda puesto sin sobrestock'!$P$22/(parametros_manuales!$M$39*B50*B78*parametros_manuales!$B$6))</f>
        <v>0.149658447807372</v>
      </c>
      <c r="C22" s="45" t="n">
        <f aca="false">IF(C50*C78*parametros_manuales!$M$39*parametros_manuales!$B$6=0,0,'Demanda puesto sin sobrestock'!$P$49/(parametros_manuales!$M$39*C50*C78*parametros_manuales!$B$6))</f>
        <v>0.234759309260935</v>
      </c>
      <c r="D22" s="45" t="n">
        <f aca="false">IF(D50*D78*parametros_manuales!$M$39*parametros_manuales!$B$6=0,0,'Demanda puesto sin sobrestock'!$P$76/(parametros_manuales!$M$39*D50*D78*parametros_manuales!$B$6))</f>
        <v>0.28787021457089</v>
      </c>
      <c r="E22" s="45" t="n">
        <f aca="false">IF(E50*E78*parametros_manuales!$M$39*parametros_manuales!$B$6=0,0,'Demanda puesto sin sobrestock'!$P$103/(parametros_manuales!$M$39*E50*E78*parametros_manuales!$B$6))</f>
        <v>0.374125453205317</v>
      </c>
      <c r="F22" s="45" t="n">
        <f aca="false">IF(F50*F78*parametros_manuales!$M$39*parametros_manuales!$B$6=0,0,'Demanda puesto sin sobrestock'!$P$130/(parametros_manuales!$M$39*F50*F78*parametros_manuales!$B$6))</f>
        <v>0.574263675559766</v>
      </c>
      <c r="G22" s="45" t="n">
        <f aca="false">IF(G50*G78*parametros_manuales!$M$39*parametros_manuales!$B$6=0,0,'Demanda puesto sin sobrestock'!$P$157/(parametros_manuales!$M$39*G50*G78*parametros_manuales!$B$6))</f>
        <v>0.744757138308824</v>
      </c>
      <c r="H22" s="46" t="n">
        <f aca="false">IF(H50*H78*parametros_manuales!$M$39*parametros_manuales!$B$6=0,0,'Demanda puesto sin sobrestock'!$P$184/(parametros_manuales!$M$39*H50*H78*parametros_manuales!$B$6))</f>
        <v>0.481211457502828</v>
      </c>
      <c r="I22" s="45" t="n">
        <f aca="false">IF(I50*I78*parametros_manuales!$M$39*parametros_manuales!$B$6=0,0,'Demanda puesto sin sobrestock'!$P$211/(parametros_manuales!$M$39*I50*I78*parametros_manuales!$B$6))</f>
        <v>0.595070038856523</v>
      </c>
      <c r="J22" s="45" t="n">
        <f aca="false">IF(J50*J78*parametros_manuales!$M$39*parametros_manuales!$B$6=0,0,'Demanda puesto sin sobrestock'!$P$238/(parametros_manuales!$M$39*J50*J78*parametros_manuales!$B$6))</f>
        <v>0.684788709461727</v>
      </c>
      <c r="K22" s="45" t="n">
        <f aca="false">IF(K50*K78*parametros_manuales!$M$39*parametros_manuales!$B$6=0,0,'Demanda puesto sin sobrestock'!$P$265/(parametros_manuales!$M$39*K50*K78*parametros_manuales!$B$6))</f>
        <v>0.778791070166855</v>
      </c>
      <c r="L22" s="44" t="s">
        <v>202</v>
      </c>
    </row>
    <row r="23" customFormat="false" ht="14.25" hidden="false" customHeight="true" outlineLevel="0" collapsed="false">
      <c r="A23" s="44" t="str">
        <f aca="false">parametros_manuales!$B$40</f>
        <v>Presurización</v>
      </c>
      <c r="B23" s="45" t="n">
        <f aca="false">IF(B51*B79*parametros_manuales!$M$40*parametros_manuales!$B$6=0,0,'Demanda puesto sin sobrestock'!$P$23/(parametros_manuales!$M$40*B51*B79*parametros_manuales!$B$6))</f>
        <v>0.0440993559539056</v>
      </c>
      <c r="C23" s="45" t="n">
        <f aca="false">IF(C51*C79*parametros_manuales!$M$40*parametros_manuales!$B$6=0,0,'Demanda puesto sin sobrestock'!$P$50/(parametros_manuales!$M$40*C51*C79*parametros_manuales!$B$6))</f>
        <v>0.0691757431288889</v>
      </c>
      <c r="D23" s="45" t="n">
        <f aca="false">IF(D51*D79*parametros_manuales!$M$40*parametros_manuales!$B$6=0,0,'Demanda puesto sin sobrestock'!$P$77/(parametros_manuales!$M$40*D51*D79*parametros_manuales!$B$6))</f>
        <v>0.0848257565602222</v>
      </c>
      <c r="E23" s="45" t="n">
        <f aca="false">IF(E51*E79*parametros_manuales!$M$40*parametros_manuales!$B$6=0,0,'Demanda puesto sin sobrestock'!$P$104/(parametros_manuales!$M$40*E51*E79*parametros_manuales!$B$6))</f>
        <v>0.110242300211167</v>
      </c>
      <c r="F23" s="45" t="n">
        <f aca="false">IF(F51*F79*parametros_manuales!$M$40*parametros_manuales!$B$6=0,0,'Demanda puesto sin sobrestock'!$P$131/(parametros_manuales!$M$40*F51*F79*parametros_manuales!$B$6))</f>
        <v>0.169216363064944</v>
      </c>
      <c r="G23" s="45" t="n">
        <f aca="false">IF(G51*G79*parametros_manuales!$M$40*parametros_manuales!$B$6=0,0,'Demanda puesto sin sobrestock'!$P$158/(parametros_manuales!$M$40*G51*G79*parametros_manuales!$B$6))</f>
        <v>0.219455103421667</v>
      </c>
      <c r="H23" s="45" t="n">
        <f aca="false">IF(H51*H79*parametros_manuales!$M$40*parametros_manuales!$B$6=0,0,'Demanda puesto sin sobrestock'!$P$185/(parametros_manuales!$M$40*H51*H79*parametros_manuales!$B$6))</f>
        <v>0.283593952288333</v>
      </c>
      <c r="I23" s="45" t="n">
        <f aca="false">IF(I51*I79*parametros_manuales!$M$40*parametros_manuales!$B$6=0,0,'Demanda puesto sin sobrestock'!$P$212/(parametros_manuales!$M$40*I51*I79*parametros_manuales!$B$6))</f>
        <v>0.350694609566111</v>
      </c>
      <c r="J23" s="45" t="n">
        <f aca="false">IF(J51*J79*parametros_manuales!$M$40*parametros_manuales!$B$6=0,0,'Demanda puesto sin sobrestock'!$P$239/(parametros_manuales!$M$40*J51*J79*parametros_manuales!$B$6))</f>
        <v>0.403568812776111</v>
      </c>
      <c r="K23" s="45" t="n">
        <f aca="false">IF(K51*K79*parametros_manuales!$M$40*parametros_manuales!$B$6=0,0,'Demanda puesto sin sobrestock'!$P$266/(parametros_manuales!$M$40*K51*K79*parametros_manuales!$B$6))</f>
        <v>0.458967537351667</v>
      </c>
      <c r="L23" s="44" t="s">
        <v>83</v>
      </c>
    </row>
    <row r="24" customFormat="false" ht="14.25" hidden="false" customHeight="true" outlineLevel="0" collapsed="false">
      <c r="A24" s="44" t="str">
        <f aca="false">parametros_manuales!$B$41</f>
        <v>Control de calidad — Ensayo de pérdidas</v>
      </c>
      <c r="B24" s="45" t="n">
        <f aca="false">IF(B52*B80*parametros_manuales!$M$41*parametros_manuales!$B$6=0,0,'Demanda puesto sin sobrestock'!$P$24/(parametros_manuales!$M$41*B52*B80*parametros_manuales!$B$6))</f>
        <v>0.0808488192488269</v>
      </c>
      <c r="C24" s="45" t="n">
        <f aca="false">IF(C52*C80*parametros_manuales!$M$41*parametros_manuales!$B$6=0,0,'Demanda puesto sin sobrestock'!$P$51/(parametros_manuales!$M$41*C52*C80*parametros_manuales!$B$6))</f>
        <v>0.126822195736296</v>
      </c>
      <c r="D24" s="45" t="n">
        <f aca="false">IF(D52*D80*parametros_manuales!$M$41*parametros_manuales!$B$6=0,0,'Demanda puesto sin sobrestock'!$P$78/(parametros_manuales!$M$41*D52*D80*parametros_manuales!$B$6))</f>
        <v>0.155513887027074</v>
      </c>
      <c r="E24" s="45" t="n">
        <f aca="false">IF(E52*E80*parametros_manuales!$M$41*parametros_manuales!$B$6=0,0,'Demanda puesto sin sobrestock'!$P$105/(parametros_manuales!$M$41*E52*E80*parametros_manuales!$B$6))</f>
        <v>0.202110883720472</v>
      </c>
      <c r="F24" s="45" t="n">
        <f aca="false">IF(F52*F80*parametros_manuales!$M$41*parametros_manuales!$B$6=0,0,'Demanda puesto sin sobrestock'!$P$132/(parametros_manuales!$M$41*F52*F80*parametros_manuales!$B$6))</f>
        <v>0.310229998952398</v>
      </c>
      <c r="G24" s="45" t="n">
        <f aca="false">IF(G52*G80*parametros_manuales!$M$41*parametros_manuales!$B$6=0,0,'Demanda puesto sin sobrestock'!$P$159/(parametros_manuales!$M$41*G52*G80*parametros_manuales!$B$6))</f>
        <v>0.402334356273056</v>
      </c>
      <c r="H24" s="45" t="n">
        <f aca="false">IF(H52*H80*parametros_manuales!$M$41*parametros_manuales!$B$6=0,0,'Demanda puesto sin sobrestock'!$P$186/(parametros_manuales!$M$41*H52*H80*parametros_manuales!$B$6))</f>
        <v>0.259961122930972</v>
      </c>
      <c r="I24" s="45" t="n">
        <f aca="false">IF(I52*I80*parametros_manuales!$M$41*parametros_manuales!$B$6=0,0,'Demanda puesto sin sobrestock'!$P$213/(parametros_manuales!$M$41*I52*I80*parametros_manuales!$B$6))</f>
        <v>0.321470058768935</v>
      </c>
      <c r="J24" s="46" t="n">
        <f aca="false">IF(J52*J80*parametros_manuales!$M$41*parametros_manuales!$B$6=0,0,'Demanda puesto sin sobrestock'!$P$240/(parametros_manuales!$M$41*J52*J80*parametros_manuales!$B$6))</f>
        <v>0.369938078378102</v>
      </c>
      <c r="K24" s="45" t="n">
        <f aca="false">IF(K52*K80*parametros_manuales!$M$41*parametros_manuales!$B$6=0,0,'Demanda puesto sin sobrestock'!$P$267/(parametros_manuales!$M$41*K52*K80*parametros_manuales!$B$6))</f>
        <v>0.420720242572361</v>
      </c>
      <c r="L24" s="44" t="s">
        <v>83</v>
      </c>
    </row>
    <row r="25" customFormat="false" ht="14.25" hidden="false" customHeight="true" outlineLevel="0" collapsed="false">
      <c r="A25" s="44" t="str">
        <f aca="false">parametros_manuales!$B$42</f>
        <v>Etiquetado</v>
      </c>
      <c r="B25" s="45" t="n">
        <f aca="false">IF(B53*B81*parametros_manuales!$M$42*parametros_manuales!$B$6=0,0,'Demanda puesto sin sobrestock'!$P$25/(parametros_manuales!$M$42*B53*B81*parametros_manuales!$B$6))</f>
        <v>0.0881987119078111</v>
      </c>
      <c r="C25" s="45" t="n">
        <f aca="false">IF(C53*C81*parametros_manuales!$M$42*parametros_manuales!$B$6=0,0,'Demanda puesto sin sobrestock'!$P$52/(parametros_manuales!$M$42*C53*C81*parametros_manuales!$B$6))</f>
        <v>0.138351486257778</v>
      </c>
      <c r="D25" s="45" t="n">
        <f aca="false">IF(D53*D81*parametros_manuales!$M$42*parametros_manuales!$B$6=0,0,'Demanda puesto sin sobrestock'!$P$79/(parametros_manuales!$M$42*D53*D81*parametros_manuales!$B$6))</f>
        <v>0.169651513120444</v>
      </c>
      <c r="E25" s="45" t="n">
        <f aca="false">IF(E53*E81*parametros_manuales!$M$42*parametros_manuales!$B$6=0,0,'Demanda puesto sin sobrestock'!$P$106/(parametros_manuales!$M$42*E53*E81*parametros_manuales!$B$6))</f>
        <v>0.220484600422333</v>
      </c>
      <c r="F25" s="45" t="n">
        <f aca="false">IF(F53*F81*parametros_manuales!$M$42*parametros_manuales!$B$6=0,0,'Demanda puesto sin sobrestock'!$P$133/(parametros_manuales!$M$42*F53*F81*parametros_manuales!$B$6))</f>
        <v>0.338432726129889</v>
      </c>
      <c r="G25" s="45" t="n">
        <f aca="false">IF(G53*G81*parametros_manuales!$M$42*parametros_manuales!$B$6=0,0,'Demanda puesto sin sobrestock'!$P$160/(parametros_manuales!$M$42*G53*G81*parametros_manuales!$B$6))</f>
        <v>0.438910206843333</v>
      </c>
      <c r="H25" s="45" t="n">
        <f aca="false">IF(H53*H81*parametros_manuales!$M$42*parametros_manuales!$B$6=0,0,'Demanda puesto sin sobrestock'!$P$187/(parametros_manuales!$M$42*H53*H81*parametros_manuales!$B$6))</f>
        <v>0.283593952288333</v>
      </c>
      <c r="I25" s="45" t="n">
        <f aca="false">IF(I53*I81*parametros_manuales!$M$42*parametros_manuales!$B$6=0,0,'Demanda puesto sin sobrestock'!$P$214/(parametros_manuales!$M$42*I53*I81*parametros_manuales!$B$6))</f>
        <v>0.350694609566111</v>
      </c>
      <c r="J25" s="45" t="n">
        <f aca="false">IF(J53*J81*parametros_manuales!$M$42*parametros_manuales!$B$6=0,0,'Demanda puesto sin sobrestock'!$P$241/(parametros_manuales!$M$42*J53*J81*parametros_manuales!$B$6))</f>
        <v>0.403568812776111</v>
      </c>
      <c r="K25" s="45" t="n">
        <f aca="false">IF(K53*K81*parametros_manuales!$M$42*parametros_manuales!$B$6=0,0,'Demanda puesto sin sobrestock'!$P$268/(parametros_manuales!$M$42*K53*K81*parametros_manuales!$B$6))</f>
        <v>0.458967537351667</v>
      </c>
      <c r="L25" s="44" t="s">
        <v>83</v>
      </c>
    </row>
    <row r="26" customFormat="false" ht="14.25" hidden="false" customHeight="true" outlineLevel="0" collapsed="false">
      <c r="A26" s="44" t="str">
        <f aca="false">parametros_manuales!$B$43</f>
        <v>Embalaje y paletizado</v>
      </c>
      <c r="B26" s="45" t="n">
        <f aca="false">IF(B54*B82*parametros_manuales!$M$43*parametros_manuales!$B$6=0,0,'Demanda puesto sin sobrestock'!$P$26/(parametros_manuales!$M$43*B54*B82*parametros_manuales!$B$6))</f>
        <v>0.0669827696611799</v>
      </c>
      <c r="C26" s="45" t="n">
        <f aca="false">IF(C54*C82*parametros_manuales!$M$43*parametros_manuales!$B$6=0,0,'Demanda puesto sin sobrestock'!$P$53/(parametros_manuales!$M$43*C54*C82*parametros_manuales!$B$6))</f>
        <v>0.105388635901345</v>
      </c>
      <c r="D26" s="45" t="n">
        <f aca="false">IF(D54*D82*parametros_manuales!$M$43*parametros_manuales!$B$6=0,0,'Demanda puesto sin sobrestock'!$P$80/(parametros_manuales!$M$43*D54*D82*parametros_manuales!$B$6))</f>
        <v>0.224195416318722</v>
      </c>
      <c r="E26" s="45" t="n">
        <f aca="false">IF(E54*E82*parametros_manuales!$M$43*parametros_manuales!$B$6=0,0,'Demanda puesto sin sobrestock'!$P$107/(parametros_manuales!$M$43*E54*E82*parametros_manuales!$B$6))</f>
        <v>0.498384064220936</v>
      </c>
      <c r="F26" s="45" t="n">
        <f aca="false">IF(F54*F82*parametros_manuales!$M$43*parametros_manuales!$B$6=0,0,'Demanda puesto sin sobrestock'!$P$134/(parametros_manuales!$M$43*F54*F82*parametros_manuales!$B$6))</f>
        <v>0.86841926024403</v>
      </c>
      <c r="G26" s="46" t="n">
        <f aca="false">IF(G54*G82*parametros_manuales!$M$43*parametros_manuales!$B$6=0,0,'Demanda puesto sin sobrestock'!$P$161/(parametros_manuales!$M$43*G54*G82*parametros_manuales!$B$6))</f>
        <v>0.609675633194647</v>
      </c>
      <c r="H26" s="45" t="n">
        <f aca="false">IF(H54*H82*parametros_manuales!$M$43*parametros_manuales!$B$6=0,0,'Demanda puesto sin sobrestock'!$P$188/(parametros_manuales!$M$43*H54*H82*parametros_manuales!$B$6))</f>
        <v>0.420571739234655</v>
      </c>
      <c r="I26" s="46" t="n">
        <f aca="false">IF(I54*I82*parametros_manuales!$M$43*parametros_manuales!$B$6=0,0,'Demanda puesto sin sobrestock'!$P$215/(parametros_manuales!$M$43*I54*I82*parametros_manuales!$B$6))</f>
        <v>0.537421861803321</v>
      </c>
      <c r="J26" s="45" t="n">
        <f aca="false">IF(J54*J82*parametros_manuales!$M$43*parametros_manuales!$B$6=0,0,'Demanda puesto sin sobrestock'!$P$242/(parametros_manuales!$M$43*J54*J82*parametros_manuales!$B$6))</f>
        <v>0.606223937008898</v>
      </c>
      <c r="K26" s="45" t="n">
        <f aca="false">IF(K54*K82*parametros_manuales!$M$43*parametros_manuales!$B$6=0,0,'Demanda puesto sin sobrestock'!$P$269/(parametros_manuales!$M$43*K54*K82*parametros_manuales!$B$6))</f>
        <v>0.700434578314111</v>
      </c>
      <c r="L26" s="44" t="s">
        <v>202</v>
      </c>
    </row>
    <row r="27" customFormat="false" ht="14.25" hidden="false" customHeight="true" outlineLevel="0" collapsed="false">
      <c r="A27" s="10" t="s">
        <v>209</v>
      </c>
      <c r="B27" s="54" t="n">
        <f aca="false">MAX(B2:B26)</f>
        <v>0.177032979371178</v>
      </c>
      <c r="C27" s="54" t="n">
        <f aca="false">MAX(C2:C26)</f>
        <v>0.278538261404444</v>
      </c>
      <c r="D27" s="54" t="n">
        <f aca="false">MAX(D2:D26)</f>
        <v>0.592540181796445</v>
      </c>
      <c r="E27" s="54" t="n">
        <f aca="false">MAX(E2:E26)</f>
        <v>0.670525769660747</v>
      </c>
      <c r="F27" s="54" t="n">
        <f aca="false">MAX(F2:F26)</f>
        <v>0.86841926024403</v>
      </c>
      <c r="G27" s="54" t="n">
        <f aca="false">MAX(G2:G26)</f>
        <v>0.868996095564659</v>
      </c>
      <c r="H27" s="54" t="n">
        <f aca="false">MAX(H2:H26)</f>
        <v>0.489240990346</v>
      </c>
      <c r="I27" s="54" t="n">
        <f aca="false">MAX(I2:I26)</f>
        <v>0.625169927919356</v>
      </c>
      <c r="J27" s="54" t="n">
        <f aca="false">MAX(J2:J26)</f>
        <v>0.705205727454274</v>
      </c>
      <c r="K27" s="54" t="n">
        <f aca="false">MAX(K2:K26)</f>
        <v>0.814798700907913</v>
      </c>
    </row>
    <row r="28" customFormat="false" ht="14.25" hidden="false" customHeight="true" outlineLevel="0" collapsed="false"/>
    <row r="29" customFormat="false" ht="14.25" hidden="false" customHeight="true" outlineLevel="0" collapsed="false">
      <c r="A29" s="7" t="s">
        <v>210</v>
      </c>
      <c r="B29" s="7" t="n">
        <v>2026</v>
      </c>
      <c r="C29" s="7" t="n">
        <v>2027</v>
      </c>
      <c r="D29" s="7" t="n">
        <v>2028</v>
      </c>
      <c r="E29" s="7" t="n">
        <v>2029</v>
      </c>
      <c r="F29" s="7" t="n">
        <v>2030</v>
      </c>
      <c r="G29" s="7" t="n">
        <v>2031</v>
      </c>
      <c r="H29" s="7" t="n">
        <v>2032</v>
      </c>
      <c r="I29" s="7" t="n">
        <v>2033</v>
      </c>
      <c r="J29" s="7" t="n">
        <v>2034</v>
      </c>
      <c r="K29" s="7" t="n">
        <v>2035</v>
      </c>
    </row>
    <row r="30" customFormat="false" ht="14.25" hidden="false" customHeight="true" outlineLevel="0" collapsed="false">
      <c r="A30" s="8" t="str">
        <f aca="false">parametros_manuales!$B$19</f>
        <v>Recepción de materia prima</v>
      </c>
      <c r="B30" s="41" t="n">
        <v>1</v>
      </c>
      <c r="C30" s="41" t="n">
        <v>1</v>
      </c>
      <c r="D30" s="41" t="n">
        <v>1</v>
      </c>
      <c r="E30" s="41" t="n">
        <v>1</v>
      </c>
      <c r="F30" s="41" t="n">
        <v>2</v>
      </c>
      <c r="G30" s="41" t="n">
        <v>3</v>
      </c>
      <c r="H30" s="41" t="n">
        <v>3</v>
      </c>
      <c r="I30" s="41" t="n">
        <v>3</v>
      </c>
      <c r="J30" s="41" t="n">
        <v>3</v>
      </c>
      <c r="K30" s="41" t="n">
        <v>3</v>
      </c>
    </row>
    <row r="31" customFormat="false" ht="14.25" hidden="false" customHeight="true" outlineLevel="0" collapsed="false">
      <c r="A31" s="8" t="str">
        <f aca="false">parametros_manuales!$B$20</f>
        <v>Corte de chapa (guillotina) — 2,5 a 10 kg</v>
      </c>
      <c r="B31" s="41" t="n">
        <v>1</v>
      </c>
      <c r="C31" s="41" t="n">
        <v>1</v>
      </c>
      <c r="D31" s="41" t="n">
        <v>1</v>
      </c>
      <c r="E31" s="41" t="n">
        <v>1</v>
      </c>
      <c r="F31" s="41" t="n">
        <v>1</v>
      </c>
      <c r="G31" s="41" t="n">
        <v>1</v>
      </c>
      <c r="H31" s="41" t="n">
        <v>1</v>
      </c>
      <c r="I31" s="41" t="n">
        <v>1</v>
      </c>
      <c r="J31" s="41" t="n">
        <v>1</v>
      </c>
      <c r="K31" s="41" t="n">
        <v>1</v>
      </c>
    </row>
    <row r="32" customFormat="false" ht="14.25" hidden="false" customHeight="true" outlineLevel="0" collapsed="false">
      <c r="A32" s="8" t="str">
        <f aca="false">parametros_manuales!$B$21</f>
        <v>Corte de tubo — 1 kg</v>
      </c>
      <c r="B32" s="41" t="n">
        <v>1</v>
      </c>
      <c r="C32" s="41" t="n">
        <v>1</v>
      </c>
      <c r="D32" s="41" t="n">
        <v>1</v>
      </c>
      <c r="E32" s="41" t="n">
        <v>1</v>
      </c>
      <c r="F32" s="41" t="n">
        <v>1</v>
      </c>
      <c r="G32" s="41" t="n">
        <v>1</v>
      </c>
      <c r="H32" s="41" t="n">
        <v>1</v>
      </c>
      <c r="I32" s="41" t="n">
        <v>1</v>
      </c>
      <c r="J32" s="41" t="n">
        <v>1</v>
      </c>
      <c r="K32" s="41" t="n">
        <v>1</v>
      </c>
    </row>
    <row r="33" customFormat="false" ht="14.25" hidden="false" customHeight="true" outlineLevel="0" collapsed="false">
      <c r="A33" s="8" t="str">
        <f aca="false">parametros_manuales!$B$22</f>
        <v>Corte de disco y embutido (cúpula y fondo)</v>
      </c>
      <c r="B33" s="41" t="n">
        <v>1</v>
      </c>
      <c r="C33" s="41" t="n">
        <v>1</v>
      </c>
      <c r="D33" s="41" t="n">
        <v>1</v>
      </c>
      <c r="E33" s="41" t="n">
        <v>1</v>
      </c>
      <c r="F33" s="41" t="n">
        <v>1</v>
      </c>
      <c r="G33" s="41" t="n">
        <v>1</v>
      </c>
      <c r="H33" s="41" t="n">
        <v>1</v>
      </c>
      <c r="I33" s="41" t="n">
        <v>1</v>
      </c>
      <c r="J33" s="41" t="n">
        <v>1</v>
      </c>
      <c r="K33" s="41" t="n">
        <v>1</v>
      </c>
    </row>
    <row r="34" customFormat="false" ht="14.25" hidden="false" customHeight="true" outlineLevel="0" collapsed="false">
      <c r="A34" s="8" t="str">
        <f aca="false">parametros_manuales!$B$23</f>
        <v>Preparación de cuello</v>
      </c>
      <c r="B34" s="41" t="n">
        <v>1</v>
      </c>
      <c r="C34" s="41" t="n">
        <v>1</v>
      </c>
      <c r="D34" s="41" t="n">
        <v>1</v>
      </c>
      <c r="E34" s="41" t="n">
        <v>1</v>
      </c>
      <c r="F34" s="41" t="n">
        <v>2</v>
      </c>
      <c r="G34" s="41" t="n">
        <v>2</v>
      </c>
      <c r="H34" s="41" t="n">
        <v>3</v>
      </c>
      <c r="I34" s="41" t="n">
        <v>3</v>
      </c>
      <c r="J34" s="41" t="n">
        <v>3</v>
      </c>
      <c r="K34" s="41" t="n">
        <v>3</v>
      </c>
    </row>
    <row r="35" customFormat="false" ht="14.25" hidden="false" customHeight="true" outlineLevel="0" collapsed="false">
      <c r="A35" s="8" t="str">
        <f aca="false">parametros_manuales!$B$24</f>
        <v>Numerado de cúpula</v>
      </c>
      <c r="B35" s="41" t="n">
        <v>1</v>
      </c>
      <c r="C35" s="41" t="n">
        <v>1</v>
      </c>
      <c r="D35" s="41" t="n">
        <v>1</v>
      </c>
      <c r="E35" s="41" t="n">
        <v>1</v>
      </c>
      <c r="F35" s="41" t="n">
        <v>1</v>
      </c>
      <c r="G35" s="41" t="n">
        <v>1</v>
      </c>
      <c r="H35" s="41" t="n">
        <v>1</v>
      </c>
      <c r="I35" s="41" t="n">
        <v>1</v>
      </c>
      <c r="J35" s="41" t="n">
        <v>1</v>
      </c>
      <c r="K35" s="41" t="n">
        <v>1</v>
      </c>
    </row>
    <row r="36" customFormat="false" ht="14.25" hidden="false" customHeight="true" outlineLevel="0" collapsed="false">
      <c r="A36" s="8" t="str">
        <f aca="false">parametros_manuales!$B$25</f>
        <v>Soldadura del cuello a la cúpula</v>
      </c>
      <c r="B36" s="41" t="n">
        <v>1</v>
      </c>
      <c r="C36" s="41" t="n">
        <v>1</v>
      </c>
      <c r="D36" s="41" t="n">
        <v>1</v>
      </c>
      <c r="E36" s="41" t="n">
        <v>1</v>
      </c>
      <c r="F36" s="41" t="n">
        <v>1</v>
      </c>
      <c r="G36" s="41" t="n">
        <v>1</v>
      </c>
      <c r="H36" s="41" t="n">
        <v>1</v>
      </c>
      <c r="I36" s="41" t="n">
        <v>1</v>
      </c>
      <c r="J36" s="41" t="n">
        <v>1</v>
      </c>
      <c r="K36" s="41" t="n">
        <v>1</v>
      </c>
    </row>
    <row r="37" customFormat="false" ht="14.25" hidden="false" customHeight="true" outlineLevel="0" collapsed="false">
      <c r="A37" s="8" t="str">
        <f aca="false">parametros_manuales!$B$26</f>
        <v>Cilindrado</v>
      </c>
      <c r="B37" s="41" t="n">
        <v>1</v>
      </c>
      <c r="C37" s="41" t="n">
        <v>1</v>
      </c>
      <c r="D37" s="41" t="n">
        <v>1</v>
      </c>
      <c r="E37" s="41" t="n">
        <v>1</v>
      </c>
      <c r="F37" s="41" t="n">
        <v>1</v>
      </c>
      <c r="G37" s="41" t="n">
        <v>1</v>
      </c>
      <c r="H37" s="41" t="n">
        <v>1</v>
      </c>
      <c r="I37" s="41" t="n">
        <v>1</v>
      </c>
      <c r="J37" s="41" t="n">
        <v>1</v>
      </c>
      <c r="K37" s="41" t="n">
        <v>1</v>
      </c>
    </row>
    <row r="38" customFormat="false" ht="14.25" hidden="false" customHeight="true" outlineLevel="0" collapsed="false">
      <c r="A38" s="8" t="str">
        <f aca="false">parametros_manuales!$B$27</f>
        <v>Soldadura longitudinal</v>
      </c>
      <c r="B38" s="41" t="n">
        <v>1</v>
      </c>
      <c r="C38" s="41" t="n">
        <v>1</v>
      </c>
      <c r="D38" s="41" t="n">
        <v>1</v>
      </c>
      <c r="E38" s="41" t="n">
        <v>1</v>
      </c>
      <c r="F38" s="41" t="n">
        <v>1</v>
      </c>
      <c r="G38" s="41" t="n">
        <v>1</v>
      </c>
      <c r="H38" s="41" t="n">
        <v>2</v>
      </c>
      <c r="I38" s="41" t="n">
        <v>2</v>
      </c>
      <c r="J38" s="41" t="n">
        <v>2</v>
      </c>
      <c r="K38" s="41" t="n">
        <v>2</v>
      </c>
    </row>
    <row r="39" customFormat="false" ht="14.25" hidden="false" customHeight="true" outlineLevel="0" collapsed="false">
      <c r="A39" s="8" t="str">
        <f aca="false">parametros_manuales!$B$28</f>
        <v>Encastre de fondo</v>
      </c>
      <c r="B39" s="41" t="n">
        <v>1</v>
      </c>
      <c r="C39" s="41" t="n">
        <v>1</v>
      </c>
      <c r="D39" s="41" t="n">
        <v>1</v>
      </c>
      <c r="E39" s="41" t="n">
        <v>1</v>
      </c>
      <c r="F39" s="41" t="n">
        <v>1</v>
      </c>
      <c r="G39" s="41" t="n">
        <v>1</v>
      </c>
      <c r="H39" s="41" t="n">
        <v>2</v>
      </c>
      <c r="I39" s="41" t="n">
        <v>2</v>
      </c>
      <c r="J39" s="41" t="n">
        <v>2</v>
      </c>
      <c r="K39" s="41" t="n">
        <v>2</v>
      </c>
    </row>
    <row r="40" customFormat="false" ht="14.25" hidden="false" customHeight="true" outlineLevel="0" collapsed="false">
      <c r="A40" s="8" t="str">
        <f aca="false">parametros_manuales!$B$29</f>
        <v>Bordoneado</v>
      </c>
      <c r="B40" s="41" t="n">
        <v>1</v>
      </c>
      <c r="C40" s="41" t="n">
        <v>1</v>
      </c>
      <c r="D40" s="41" t="n">
        <v>1</v>
      </c>
      <c r="E40" s="41" t="n">
        <v>1</v>
      </c>
      <c r="F40" s="41" t="n">
        <v>1</v>
      </c>
      <c r="G40" s="41" t="n">
        <v>1</v>
      </c>
      <c r="H40" s="41" t="n">
        <v>1</v>
      </c>
      <c r="I40" s="41" t="n">
        <v>1</v>
      </c>
      <c r="J40" s="41" t="n">
        <v>1</v>
      </c>
      <c r="K40" s="41" t="n">
        <v>1</v>
      </c>
    </row>
    <row r="41" customFormat="false" ht="14.25" hidden="false" customHeight="true" outlineLevel="0" collapsed="false">
      <c r="A41" s="8" t="str">
        <f aca="false">parametros_manuales!$B$30</f>
        <v>Soldadura circunferencial de cúpula y fondo</v>
      </c>
      <c r="B41" s="41" t="n">
        <v>1</v>
      </c>
      <c r="C41" s="41" t="n">
        <v>1</v>
      </c>
      <c r="D41" s="41" t="n">
        <v>1</v>
      </c>
      <c r="E41" s="41" t="n">
        <v>1</v>
      </c>
      <c r="F41" s="41" t="n">
        <v>2</v>
      </c>
      <c r="G41" s="41" t="n">
        <v>2</v>
      </c>
      <c r="H41" s="41" t="n">
        <v>3</v>
      </c>
      <c r="I41" s="41" t="n">
        <v>3</v>
      </c>
      <c r="J41" s="41" t="n">
        <v>3</v>
      </c>
      <c r="K41" s="41" t="n">
        <v>3</v>
      </c>
    </row>
    <row r="42" customFormat="false" ht="14.25" hidden="false" customHeight="true" outlineLevel="0" collapsed="false">
      <c r="A42" s="8" t="str">
        <f aca="false">parametros_manuales!$B$31</f>
        <v>Control de calidad — Espesor</v>
      </c>
      <c r="B42" s="41" t="n">
        <v>1</v>
      </c>
      <c r="C42" s="41" t="n">
        <v>1</v>
      </c>
      <c r="D42" s="41" t="n">
        <v>1</v>
      </c>
      <c r="E42" s="41" t="n">
        <v>1</v>
      </c>
      <c r="F42" s="41" t="n">
        <v>1</v>
      </c>
      <c r="G42" s="41" t="n">
        <v>1</v>
      </c>
      <c r="H42" s="41" t="n">
        <v>1</v>
      </c>
      <c r="I42" s="41" t="n">
        <v>1</v>
      </c>
      <c r="J42" s="41" t="n">
        <v>1</v>
      </c>
      <c r="K42" s="41" t="n">
        <v>1</v>
      </c>
    </row>
    <row r="43" customFormat="false" ht="14.25" hidden="false" customHeight="true" outlineLevel="0" collapsed="false">
      <c r="A43" s="8" t="str">
        <f aca="false">parametros_manuales!$B$32</f>
        <v>Prueba hidráulica</v>
      </c>
      <c r="B43" s="41" t="n">
        <v>1</v>
      </c>
      <c r="C43" s="41" t="n">
        <v>1</v>
      </c>
      <c r="D43" s="41" t="n">
        <v>1</v>
      </c>
      <c r="E43" s="41" t="n">
        <v>1</v>
      </c>
      <c r="F43" s="41" t="n">
        <v>2</v>
      </c>
      <c r="G43" s="41" t="n">
        <v>2</v>
      </c>
      <c r="H43" s="41" t="n">
        <v>3</v>
      </c>
      <c r="I43" s="41" t="n">
        <v>3</v>
      </c>
      <c r="J43" s="41" t="n">
        <v>3</v>
      </c>
      <c r="K43" s="41" t="n">
        <v>3</v>
      </c>
    </row>
    <row r="44" customFormat="false" ht="14.25" hidden="false" customHeight="true" outlineLevel="0" collapsed="false">
      <c r="A44" s="8" t="str">
        <f aca="false">parametros_manuales!$B$33</f>
        <v>Secado</v>
      </c>
      <c r="B44" s="41" t="n">
        <v>1</v>
      </c>
      <c r="C44" s="41" t="n">
        <v>1</v>
      </c>
      <c r="D44" s="41" t="n">
        <v>1</v>
      </c>
      <c r="E44" s="41" t="n">
        <v>2</v>
      </c>
      <c r="F44" s="41" t="n">
        <v>3</v>
      </c>
      <c r="G44" s="41" t="n">
        <v>4</v>
      </c>
      <c r="H44" s="41" t="n">
        <v>5</v>
      </c>
      <c r="I44" s="41" t="n">
        <v>5</v>
      </c>
      <c r="J44" s="41" t="n">
        <v>5</v>
      </c>
      <c r="K44" s="41" t="n">
        <v>5</v>
      </c>
    </row>
    <row r="45" customFormat="false" ht="14.25" hidden="false" customHeight="true" outlineLevel="0" collapsed="false">
      <c r="A45" s="8" t="str">
        <f aca="false">parametros_manuales!$B$34</f>
        <v>Granallado</v>
      </c>
      <c r="B45" s="41" t="n">
        <v>1</v>
      </c>
      <c r="C45" s="41" t="n">
        <v>1</v>
      </c>
      <c r="D45" s="41" t="n">
        <v>1</v>
      </c>
      <c r="E45" s="41" t="n">
        <v>1</v>
      </c>
      <c r="F45" s="41" t="n">
        <v>1</v>
      </c>
      <c r="G45" s="41" t="n">
        <v>1</v>
      </c>
      <c r="H45" s="41" t="n">
        <v>2</v>
      </c>
      <c r="I45" s="41" t="n">
        <v>2</v>
      </c>
      <c r="J45" s="41" t="n">
        <v>2</v>
      </c>
      <c r="K45" s="41" t="n">
        <v>2</v>
      </c>
    </row>
    <row r="46" customFormat="false" ht="14.25" hidden="false" customHeight="true" outlineLevel="0" collapsed="false">
      <c r="A46" s="8" t="str">
        <f aca="false">parametros_manuales!$B$35</f>
        <v>Detección de defectos</v>
      </c>
      <c r="B46" s="41" t="n">
        <v>1</v>
      </c>
      <c r="C46" s="41" t="n">
        <v>1</v>
      </c>
      <c r="D46" s="41" t="n">
        <v>1</v>
      </c>
      <c r="E46" s="41" t="n">
        <v>1</v>
      </c>
      <c r="F46" s="41" t="n">
        <v>1</v>
      </c>
      <c r="G46" s="41" t="n">
        <v>1</v>
      </c>
      <c r="H46" s="41" t="n">
        <v>1</v>
      </c>
      <c r="I46" s="41" t="n">
        <v>1</v>
      </c>
      <c r="J46" s="41" t="n">
        <v>1</v>
      </c>
      <c r="K46" s="41" t="n">
        <v>1</v>
      </c>
    </row>
    <row r="47" customFormat="false" ht="14.25" hidden="false" customHeight="true" outlineLevel="0" collapsed="false">
      <c r="A47" s="8" t="str">
        <f aca="false">parametros_manuales!$B$36</f>
        <v>Corrección de defectos</v>
      </c>
      <c r="B47" s="41" t="n">
        <v>1</v>
      </c>
      <c r="C47" s="41" t="n">
        <v>1</v>
      </c>
      <c r="D47" s="41" t="n">
        <v>1</v>
      </c>
      <c r="E47" s="41" t="n">
        <v>1</v>
      </c>
      <c r="F47" s="41" t="n">
        <v>1</v>
      </c>
      <c r="G47" s="41" t="n">
        <v>1</v>
      </c>
      <c r="H47" s="41" t="n">
        <v>1</v>
      </c>
      <c r="I47" s="41" t="n">
        <v>1</v>
      </c>
      <c r="J47" s="41" t="n">
        <v>1</v>
      </c>
      <c r="K47" s="41" t="n">
        <v>1</v>
      </c>
    </row>
    <row r="48" customFormat="false" ht="14.25" hidden="false" customHeight="true" outlineLevel="0" collapsed="false">
      <c r="A48" s="8" t="str">
        <f aca="false">parametros_manuales!$B$37</f>
        <v>Pintura en polvo + horno</v>
      </c>
      <c r="B48" s="41" t="n">
        <v>0</v>
      </c>
      <c r="C48" s="41" t="n">
        <v>0</v>
      </c>
      <c r="D48" s="41" t="n">
        <v>0</v>
      </c>
      <c r="E48" s="41" t="n">
        <v>0</v>
      </c>
      <c r="F48" s="41" t="n">
        <v>1</v>
      </c>
      <c r="G48" s="41" t="n">
        <v>1</v>
      </c>
      <c r="H48" s="41" t="n">
        <v>1</v>
      </c>
      <c r="I48" s="41" t="n">
        <v>1</v>
      </c>
      <c r="J48" s="41" t="n">
        <v>1</v>
      </c>
      <c r="K48" s="41" t="n">
        <v>1</v>
      </c>
    </row>
    <row r="49" customFormat="false" ht="14.25" hidden="false" customHeight="true" outlineLevel="0" collapsed="false">
      <c r="A49" s="8" t="str">
        <f aca="false">parametros_manuales!$B$38</f>
        <v>Carga de polvo</v>
      </c>
      <c r="B49" s="41" t="n">
        <v>1</v>
      </c>
      <c r="C49" s="41" t="n">
        <v>1</v>
      </c>
      <c r="D49" s="41" t="n">
        <v>1</v>
      </c>
      <c r="E49" s="41" t="n">
        <v>1</v>
      </c>
      <c r="F49" s="41" t="n">
        <v>1</v>
      </c>
      <c r="G49" s="41" t="n">
        <v>1</v>
      </c>
      <c r="H49" s="41" t="n">
        <v>1</v>
      </c>
      <c r="I49" s="41" t="n">
        <v>1</v>
      </c>
      <c r="J49" s="41" t="n">
        <v>1</v>
      </c>
      <c r="K49" s="41" t="n">
        <v>1</v>
      </c>
    </row>
    <row r="50" customFormat="false" ht="14.25" hidden="false" customHeight="true" outlineLevel="0" collapsed="false">
      <c r="A50" s="8" t="str">
        <f aca="false">parametros_manuales!$B$39</f>
        <v>Ensamblaje</v>
      </c>
      <c r="B50" s="41" t="n">
        <v>1</v>
      </c>
      <c r="C50" s="41" t="n">
        <v>1</v>
      </c>
      <c r="D50" s="41" t="n">
        <v>1</v>
      </c>
      <c r="E50" s="41" t="n">
        <v>1</v>
      </c>
      <c r="F50" s="41" t="n">
        <v>1</v>
      </c>
      <c r="G50" s="41" t="n">
        <v>1</v>
      </c>
      <c r="H50" s="41" t="n">
        <v>1</v>
      </c>
      <c r="I50" s="41" t="n">
        <v>1</v>
      </c>
      <c r="J50" s="41" t="n">
        <v>1</v>
      </c>
      <c r="K50" s="41" t="n">
        <v>1</v>
      </c>
    </row>
    <row r="51" customFormat="false" ht="14.25" hidden="false" customHeight="true" outlineLevel="0" collapsed="false">
      <c r="A51" s="8" t="str">
        <f aca="false">parametros_manuales!$B$40</f>
        <v>Presurización</v>
      </c>
      <c r="B51" s="41" t="n">
        <v>1</v>
      </c>
      <c r="C51" s="41" t="n">
        <v>1</v>
      </c>
      <c r="D51" s="41" t="n">
        <v>1</v>
      </c>
      <c r="E51" s="41" t="n">
        <v>1</v>
      </c>
      <c r="F51" s="41" t="n">
        <v>1</v>
      </c>
      <c r="G51" s="41" t="n">
        <v>1</v>
      </c>
      <c r="H51" s="41" t="n">
        <v>1</v>
      </c>
      <c r="I51" s="41" t="n">
        <v>1</v>
      </c>
      <c r="J51" s="41" t="n">
        <v>1</v>
      </c>
      <c r="K51" s="41" t="n">
        <v>1</v>
      </c>
    </row>
    <row r="52" customFormat="false" ht="14.25" hidden="false" customHeight="true" outlineLevel="0" collapsed="false">
      <c r="A52" s="8" t="str">
        <f aca="false">parametros_manuales!$B$41</f>
        <v>Control de calidad — Ensayo de pérdidas</v>
      </c>
      <c r="B52" s="41" t="n">
        <v>1</v>
      </c>
      <c r="C52" s="41" t="n">
        <v>1</v>
      </c>
      <c r="D52" s="41" t="n">
        <v>1</v>
      </c>
      <c r="E52" s="41" t="n">
        <v>1</v>
      </c>
      <c r="F52" s="41" t="n">
        <v>1</v>
      </c>
      <c r="G52" s="41" t="n">
        <v>1</v>
      </c>
      <c r="H52" s="41" t="n">
        <v>1</v>
      </c>
      <c r="I52" s="41" t="n">
        <v>1</v>
      </c>
      <c r="J52" s="41" t="n">
        <v>1</v>
      </c>
      <c r="K52" s="41" t="n">
        <v>1</v>
      </c>
    </row>
    <row r="53" customFormat="false" ht="14.25" hidden="false" customHeight="true" outlineLevel="0" collapsed="false">
      <c r="A53" s="8" t="str">
        <f aca="false">parametros_manuales!$B$42</f>
        <v>Etiquetado</v>
      </c>
      <c r="B53" s="41" t="n">
        <v>1</v>
      </c>
      <c r="C53" s="41" t="n">
        <v>1</v>
      </c>
      <c r="D53" s="41" t="n">
        <v>1</v>
      </c>
      <c r="E53" s="41" t="n">
        <v>1</v>
      </c>
      <c r="F53" s="41" t="n">
        <v>1</v>
      </c>
      <c r="G53" s="41" t="n">
        <v>1</v>
      </c>
      <c r="H53" s="41" t="n">
        <v>1</v>
      </c>
      <c r="I53" s="41" t="n">
        <v>1</v>
      </c>
      <c r="J53" s="41" t="n">
        <v>1</v>
      </c>
      <c r="K53" s="41" t="n">
        <v>1</v>
      </c>
    </row>
    <row r="54" customFormat="false" ht="14.25" hidden="false" customHeight="true" outlineLevel="0" collapsed="false">
      <c r="A54" s="8" t="str">
        <f aca="false">parametros_manuales!$B$43</f>
        <v>Embalaje y paletizado</v>
      </c>
      <c r="B54" s="41" t="n">
        <v>1</v>
      </c>
      <c r="C54" s="41" t="n">
        <v>1</v>
      </c>
      <c r="D54" s="41" t="n">
        <v>1</v>
      </c>
      <c r="E54" s="41" t="n">
        <v>1</v>
      </c>
      <c r="F54" s="41" t="n">
        <v>1</v>
      </c>
      <c r="G54" s="41" t="n">
        <v>2</v>
      </c>
      <c r="H54" s="41" t="n">
        <v>2</v>
      </c>
      <c r="I54" s="41" t="n">
        <v>2</v>
      </c>
      <c r="J54" s="41" t="n">
        <v>2</v>
      </c>
      <c r="K54" s="41" t="n">
        <v>2</v>
      </c>
    </row>
    <row r="55" customFormat="false" ht="14.25" hidden="false" customHeight="true" outlineLevel="0" collapsed="false">
      <c r="A55" s="10" t="s">
        <v>211</v>
      </c>
      <c r="B55" s="55" t="n">
        <f aca="false">SUM(B30:B54)</f>
        <v>24</v>
      </c>
      <c r="C55" s="55" t="n">
        <f aca="false">SUM(C30:C54)</f>
        <v>24</v>
      </c>
      <c r="D55" s="55" t="n">
        <f aca="false">SUM(D30:D54)</f>
        <v>24</v>
      </c>
      <c r="E55" s="55" t="n">
        <f aca="false">SUM(E30:E54)</f>
        <v>25</v>
      </c>
      <c r="F55" s="55" t="n">
        <f aca="false">SUM(F30:F54)</f>
        <v>31</v>
      </c>
      <c r="G55" s="55" t="n">
        <f aca="false">SUM(G30:G54)</f>
        <v>34</v>
      </c>
      <c r="H55" s="55" t="n">
        <f aca="false">SUM(H30:H54)</f>
        <v>41</v>
      </c>
      <c r="I55" s="55" t="n">
        <f aca="false">SUM(I30:I54)</f>
        <v>41</v>
      </c>
      <c r="J55" s="55" t="n">
        <f aca="false">SUM(J30:J54)</f>
        <v>41</v>
      </c>
      <c r="K55" s="55" t="n">
        <f aca="false">SUM(K30:K54)</f>
        <v>41</v>
      </c>
    </row>
    <row r="56" customFormat="false" ht="14.25" hidden="false" customHeight="true" outlineLevel="0" collapsed="false"/>
    <row r="57" customFormat="false" ht="14.25" hidden="false" customHeight="true" outlineLevel="0" collapsed="false">
      <c r="A57" s="7" t="s">
        <v>212</v>
      </c>
      <c r="B57" s="7" t="n">
        <v>2026</v>
      </c>
      <c r="C57" s="7" t="n">
        <v>2027</v>
      </c>
      <c r="D57" s="7" t="n">
        <v>2028</v>
      </c>
      <c r="E57" s="7" t="n">
        <v>2029</v>
      </c>
      <c r="F57" s="7" t="n">
        <v>2030</v>
      </c>
      <c r="G57" s="7" t="n">
        <v>2031</v>
      </c>
      <c r="H57" s="7" t="n">
        <v>2032</v>
      </c>
      <c r="I57" s="7" t="n">
        <v>2033</v>
      </c>
      <c r="J57" s="7" t="n">
        <v>2034</v>
      </c>
      <c r="K57" s="7" t="n">
        <v>2035</v>
      </c>
    </row>
    <row r="58" customFormat="false" ht="14.25" hidden="false" customHeight="true" outlineLevel="0" collapsed="false">
      <c r="A58" s="8" t="str">
        <f aca="false">parametros_manuales!$B$19</f>
        <v>Recepción de materia prima</v>
      </c>
      <c r="B58" s="41" t="n">
        <v>1</v>
      </c>
      <c r="C58" s="41" t="n">
        <v>1</v>
      </c>
      <c r="D58" s="41" t="n">
        <v>1</v>
      </c>
      <c r="E58" s="41" t="n">
        <v>1</v>
      </c>
      <c r="F58" s="41" t="n">
        <v>1</v>
      </c>
      <c r="G58" s="41" t="n">
        <v>1</v>
      </c>
      <c r="H58" s="41" t="n">
        <v>2</v>
      </c>
      <c r="I58" s="41" t="n">
        <v>2</v>
      </c>
      <c r="J58" s="41" t="n">
        <v>2</v>
      </c>
      <c r="K58" s="41" t="n">
        <v>2</v>
      </c>
    </row>
    <row r="59" customFormat="false" ht="14.25" hidden="false" customHeight="true" outlineLevel="0" collapsed="false">
      <c r="A59" s="8" t="str">
        <f aca="false">parametros_manuales!$B$20</f>
        <v>Corte de chapa (guillotina) — 2,5 a 10 kg</v>
      </c>
      <c r="B59" s="41" t="n">
        <v>1</v>
      </c>
      <c r="C59" s="41" t="n">
        <v>1</v>
      </c>
      <c r="D59" s="41" t="n">
        <v>1</v>
      </c>
      <c r="E59" s="41" t="n">
        <v>1</v>
      </c>
      <c r="F59" s="41" t="n">
        <v>1</v>
      </c>
      <c r="G59" s="41" t="n">
        <v>1</v>
      </c>
      <c r="H59" s="41" t="n">
        <v>2</v>
      </c>
      <c r="I59" s="41" t="n">
        <v>2</v>
      </c>
      <c r="J59" s="41" t="n">
        <v>2</v>
      </c>
      <c r="K59" s="41" t="n">
        <v>2</v>
      </c>
    </row>
    <row r="60" customFormat="false" ht="14.25" hidden="false" customHeight="true" outlineLevel="0" collapsed="false">
      <c r="A60" s="8" t="str">
        <f aca="false">parametros_manuales!$B$21</f>
        <v>Corte de tubo — 1 kg</v>
      </c>
      <c r="B60" s="41" t="n">
        <v>1</v>
      </c>
      <c r="C60" s="41" t="n">
        <v>1</v>
      </c>
      <c r="D60" s="41" t="n">
        <v>1</v>
      </c>
      <c r="E60" s="41" t="n">
        <v>1</v>
      </c>
      <c r="F60" s="41" t="n">
        <v>1</v>
      </c>
      <c r="G60" s="41" t="n">
        <v>1</v>
      </c>
      <c r="H60" s="41" t="n">
        <v>2</v>
      </c>
      <c r="I60" s="41" t="n">
        <v>2</v>
      </c>
      <c r="J60" s="41" t="n">
        <v>2</v>
      </c>
      <c r="K60" s="41" t="n">
        <v>2</v>
      </c>
    </row>
    <row r="61" customFormat="false" ht="14.25" hidden="false" customHeight="true" outlineLevel="0" collapsed="false">
      <c r="A61" s="8" t="str">
        <f aca="false">parametros_manuales!$B$22</f>
        <v>Corte de disco y embutido (cúpula y fondo)</v>
      </c>
      <c r="B61" s="41" t="n">
        <v>1</v>
      </c>
      <c r="C61" s="41" t="n">
        <v>1</v>
      </c>
      <c r="D61" s="41" t="n">
        <v>1</v>
      </c>
      <c r="E61" s="41" t="n">
        <v>1</v>
      </c>
      <c r="F61" s="41" t="n">
        <v>1</v>
      </c>
      <c r="G61" s="41" t="n">
        <v>1</v>
      </c>
      <c r="H61" s="41" t="n">
        <v>2</v>
      </c>
      <c r="I61" s="41" t="n">
        <v>2</v>
      </c>
      <c r="J61" s="41" t="n">
        <v>2</v>
      </c>
      <c r="K61" s="41" t="n">
        <v>2</v>
      </c>
    </row>
    <row r="62" customFormat="false" ht="14.25" hidden="false" customHeight="true" outlineLevel="0" collapsed="false">
      <c r="A62" s="8" t="str">
        <f aca="false">parametros_manuales!$B$23</f>
        <v>Preparación de cuello</v>
      </c>
      <c r="B62" s="41" t="n">
        <v>1</v>
      </c>
      <c r="C62" s="41" t="n">
        <v>1</v>
      </c>
      <c r="D62" s="41" t="n">
        <v>1</v>
      </c>
      <c r="E62" s="41" t="n">
        <v>1</v>
      </c>
      <c r="F62" s="41" t="n">
        <v>1</v>
      </c>
      <c r="G62" s="41" t="n">
        <v>1</v>
      </c>
      <c r="H62" s="41" t="n">
        <v>2</v>
      </c>
      <c r="I62" s="41" t="n">
        <v>2</v>
      </c>
      <c r="J62" s="41" t="n">
        <v>2</v>
      </c>
      <c r="K62" s="41" t="n">
        <v>2</v>
      </c>
    </row>
    <row r="63" customFormat="false" ht="14.25" hidden="false" customHeight="true" outlineLevel="0" collapsed="false">
      <c r="A63" s="8" t="str">
        <f aca="false">parametros_manuales!$B$24</f>
        <v>Numerado de cúpula</v>
      </c>
      <c r="B63" s="41" t="n">
        <v>1</v>
      </c>
      <c r="C63" s="41" t="n">
        <v>1</v>
      </c>
      <c r="D63" s="41" t="n">
        <v>1</v>
      </c>
      <c r="E63" s="41" t="n">
        <v>1</v>
      </c>
      <c r="F63" s="41" t="n">
        <v>1</v>
      </c>
      <c r="G63" s="41" t="n">
        <v>1</v>
      </c>
      <c r="H63" s="41" t="n">
        <v>2</v>
      </c>
      <c r="I63" s="41" t="n">
        <v>2</v>
      </c>
      <c r="J63" s="41" t="n">
        <v>2</v>
      </c>
      <c r="K63" s="41" t="n">
        <v>2</v>
      </c>
    </row>
    <row r="64" customFormat="false" ht="14.25" hidden="false" customHeight="true" outlineLevel="0" collapsed="false">
      <c r="A64" s="8" t="str">
        <f aca="false">parametros_manuales!$B$25</f>
        <v>Soldadura del cuello a la cúpula</v>
      </c>
      <c r="B64" s="41" t="n">
        <v>1</v>
      </c>
      <c r="C64" s="41" t="n">
        <v>1</v>
      </c>
      <c r="D64" s="41" t="n">
        <v>1</v>
      </c>
      <c r="E64" s="41" t="n">
        <v>1</v>
      </c>
      <c r="F64" s="41" t="n">
        <v>1</v>
      </c>
      <c r="G64" s="41" t="n">
        <v>1</v>
      </c>
      <c r="H64" s="41" t="n">
        <v>2</v>
      </c>
      <c r="I64" s="41" t="n">
        <v>2</v>
      </c>
      <c r="J64" s="41" t="n">
        <v>2</v>
      </c>
      <c r="K64" s="41" t="n">
        <v>2</v>
      </c>
    </row>
    <row r="65" customFormat="false" ht="14.25" hidden="false" customHeight="true" outlineLevel="0" collapsed="false">
      <c r="A65" s="8" t="str">
        <f aca="false">parametros_manuales!$B$26</f>
        <v>Cilindrado</v>
      </c>
      <c r="B65" s="41" t="n">
        <v>1</v>
      </c>
      <c r="C65" s="41" t="n">
        <v>1</v>
      </c>
      <c r="D65" s="41" t="n">
        <v>1</v>
      </c>
      <c r="E65" s="41" t="n">
        <v>1</v>
      </c>
      <c r="F65" s="41" t="n">
        <v>1</v>
      </c>
      <c r="G65" s="41" t="n">
        <v>1</v>
      </c>
      <c r="H65" s="41" t="n">
        <v>2</v>
      </c>
      <c r="I65" s="41" t="n">
        <v>2</v>
      </c>
      <c r="J65" s="41" t="n">
        <v>2</v>
      </c>
      <c r="K65" s="41" t="n">
        <v>2</v>
      </c>
    </row>
    <row r="66" customFormat="false" ht="14.25" hidden="false" customHeight="true" outlineLevel="0" collapsed="false">
      <c r="A66" s="8" t="str">
        <f aca="false">parametros_manuales!$B$27</f>
        <v>Soldadura longitudinal</v>
      </c>
      <c r="B66" s="41" t="n">
        <v>1</v>
      </c>
      <c r="C66" s="41" t="n">
        <v>1</v>
      </c>
      <c r="D66" s="41" t="n">
        <v>1</v>
      </c>
      <c r="E66" s="41" t="n">
        <v>1</v>
      </c>
      <c r="F66" s="41" t="n">
        <v>1</v>
      </c>
      <c r="G66" s="41" t="n">
        <v>1</v>
      </c>
      <c r="H66" s="41" t="n">
        <v>2</v>
      </c>
      <c r="I66" s="41" t="n">
        <v>2</v>
      </c>
      <c r="J66" s="41" t="n">
        <v>2</v>
      </c>
      <c r="K66" s="41" t="n">
        <v>2</v>
      </c>
    </row>
    <row r="67" customFormat="false" ht="14.25" hidden="false" customHeight="true" outlineLevel="0" collapsed="false">
      <c r="A67" s="8" t="str">
        <f aca="false">parametros_manuales!$B$28</f>
        <v>Encastre de fondo</v>
      </c>
      <c r="B67" s="41" t="n">
        <v>1</v>
      </c>
      <c r="C67" s="41" t="n">
        <v>1</v>
      </c>
      <c r="D67" s="41" t="n">
        <v>1</v>
      </c>
      <c r="E67" s="41" t="n">
        <v>1</v>
      </c>
      <c r="F67" s="41" t="n">
        <v>1</v>
      </c>
      <c r="G67" s="41" t="n">
        <v>1</v>
      </c>
      <c r="H67" s="41" t="n">
        <v>2</v>
      </c>
      <c r="I67" s="41" t="n">
        <v>2</v>
      </c>
      <c r="J67" s="41" t="n">
        <v>2</v>
      </c>
      <c r="K67" s="41" t="n">
        <v>2</v>
      </c>
    </row>
    <row r="68" customFormat="false" ht="14.25" hidden="false" customHeight="true" outlineLevel="0" collapsed="false">
      <c r="A68" s="8" t="str">
        <f aca="false">parametros_manuales!$B$29</f>
        <v>Bordoneado</v>
      </c>
      <c r="B68" s="41" t="n">
        <v>1</v>
      </c>
      <c r="C68" s="41" t="n">
        <v>1</v>
      </c>
      <c r="D68" s="41" t="n">
        <v>1</v>
      </c>
      <c r="E68" s="41" t="n">
        <v>1</v>
      </c>
      <c r="F68" s="41" t="n">
        <v>1</v>
      </c>
      <c r="G68" s="41" t="n">
        <v>1</v>
      </c>
      <c r="H68" s="41" t="n">
        <v>2</v>
      </c>
      <c r="I68" s="41" t="n">
        <v>2</v>
      </c>
      <c r="J68" s="41" t="n">
        <v>2</v>
      </c>
      <c r="K68" s="41" t="n">
        <v>2</v>
      </c>
    </row>
    <row r="69" customFormat="false" ht="14.25" hidden="false" customHeight="true" outlineLevel="0" collapsed="false">
      <c r="A69" s="8" t="str">
        <f aca="false">parametros_manuales!$B$30</f>
        <v>Soldadura circunferencial de cúpula y fondo</v>
      </c>
      <c r="B69" s="41" t="n">
        <v>1</v>
      </c>
      <c r="C69" s="41" t="n">
        <v>1</v>
      </c>
      <c r="D69" s="41" t="n">
        <v>1</v>
      </c>
      <c r="E69" s="41" t="n">
        <v>1</v>
      </c>
      <c r="F69" s="41" t="n">
        <v>1</v>
      </c>
      <c r="G69" s="41" t="n">
        <v>1</v>
      </c>
      <c r="H69" s="41" t="n">
        <v>2</v>
      </c>
      <c r="I69" s="41" t="n">
        <v>2</v>
      </c>
      <c r="J69" s="41" t="n">
        <v>2</v>
      </c>
      <c r="K69" s="41" t="n">
        <v>2</v>
      </c>
    </row>
    <row r="70" customFormat="false" ht="14.25" hidden="false" customHeight="true" outlineLevel="0" collapsed="false">
      <c r="A70" s="8" t="str">
        <f aca="false">parametros_manuales!$B$31</f>
        <v>Control de calidad — Espesor</v>
      </c>
      <c r="B70" s="41" t="n">
        <v>1</v>
      </c>
      <c r="C70" s="41" t="n">
        <v>1</v>
      </c>
      <c r="D70" s="41" t="n">
        <v>1</v>
      </c>
      <c r="E70" s="41" t="n">
        <v>1</v>
      </c>
      <c r="F70" s="41" t="n">
        <v>1</v>
      </c>
      <c r="G70" s="41" t="n">
        <v>1</v>
      </c>
      <c r="H70" s="41" t="n">
        <v>1</v>
      </c>
      <c r="I70" s="41" t="n">
        <v>1</v>
      </c>
      <c r="J70" s="41" t="n">
        <v>1</v>
      </c>
      <c r="K70" s="41" t="n">
        <v>1</v>
      </c>
    </row>
    <row r="71" customFormat="false" ht="14.25" hidden="false" customHeight="true" outlineLevel="0" collapsed="false">
      <c r="A71" s="8" t="str">
        <f aca="false">parametros_manuales!$B$32</f>
        <v>Prueba hidráulica</v>
      </c>
      <c r="B71" s="41" t="n">
        <v>1</v>
      </c>
      <c r="C71" s="41" t="n">
        <v>1</v>
      </c>
      <c r="D71" s="41" t="n">
        <v>1</v>
      </c>
      <c r="E71" s="41" t="n">
        <v>1</v>
      </c>
      <c r="F71" s="41" t="n">
        <v>1</v>
      </c>
      <c r="G71" s="41" t="n">
        <v>1</v>
      </c>
      <c r="H71" s="41" t="n">
        <v>2</v>
      </c>
      <c r="I71" s="41" t="n">
        <v>2</v>
      </c>
      <c r="J71" s="41" t="n">
        <v>2</v>
      </c>
      <c r="K71" s="41" t="n">
        <v>2</v>
      </c>
    </row>
    <row r="72" customFormat="false" ht="14.25" hidden="false" customHeight="true" outlineLevel="0" collapsed="false">
      <c r="A72" s="8" t="str">
        <f aca="false">parametros_manuales!$B$33</f>
        <v>Secado</v>
      </c>
      <c r="B72" s="41" t="n">
        <v>1</v>
      </c>
      <c r="C72" s="41" t="n">
        <v>1</v>
      </c>
      <c r="D72" s="41" t="n">
        <v>1</v>
      </c>
      <c r="E72" s="41" t="n">
        <v>1</v>
      </c>
      <c r="F72" s="41" t="n">
        <v>1</v>
      </c>
      <c r="G72" s="41" t="n">
        <v>1</v>
      </c>
      <c r="H72" s="41" t="n">
        <v>2</v>
      </c>
      <c r="I72" s="41" t="n">
        <v>2</v>
      </c>
      <c r="J72" s="41" t="n">
        <v>2</v>
      </c>
      <c r="K72" s="41" t="n">
        <v>2</v>
      </c>
    </row>
    <row r="73" customFormat="false" ht="14.25" hidden="false" customHeight="true" outlineLevel="0" collapsed="false">
      <c r="A73" s="8" t="str">
        <f aca="false">parametros_manuales!$B$34</f>
        <v>Granallado</v>
      </c>
      <c r="B73" s="41" t="n">
        <v>1</v>
      </c>
      <c r="C73" s="41" t="n">
        <v>1</v>
      </c>
      <c r="D73" s="41" t="n">
        <v>1</v>
      </c>
      <c r="E73" s="41" t="n">
        <v>1</v>
      </c>
      <c r="F73" s="41" t="n">
        <v>1</v>
      </c>
      <c r="G73" s="41" t="n">
        <v>1</v>
      </c>
      <c r="H73" s="41" t="n">
        <v>2</v>
      </c>
      <c r="I73" s="41" t="n">
        <v>2</v>
      </c>
      <c r="J73" s="41" t="n">
        <v>2</v>
      </c>
      <c r="K73" s="41" t="n">
        <v>2</v>
      </c>
    </row>
    <row r="74" customFormat="false" ht="14.25" hidden="false" customHeight="true" outlineLevel="0" collapsed="false">
      <c r="A74" s="8" t="str">
        <f aca="false">parametros_manuales!$B$35</f>
        <v>Detección de defectos</v>
      </c>
      <c r="B74" s="41" t="n">
        <v>1</v>
      </c>
      <c r="C74" s="41" t="n">
        <v>1</v>
      </c>
      <c r="D74" s="41" t="n">
        <v>1</v>
      </c>
      <c r="E74" s="41" t="n">
        <v>1</v>
      </c>
      <c r="F74" s="41" t="n">
        <v>1</v>
      </c>
      <c r="G74" s="41" t="n">
        <v>1</v>
      </c>
      <c r="H74" s="41" t="n">
        <v>2</v>
      </c>
      <c r="I74" s="41" t="n">
        <v>2</v>
      </c>
      <c r="J74" s="41" t="n">
        <v>2</v>
      </c>
      <c r="K74" s="41" t="n">
        <v>2</v>
      </c>
    </row>
    <row r="75" customFormat="false" ht="14.25" hidden="false" customHeight="true" outlineLevel="0" collapsed="false">
      <c r="A75" s="8" t="str">
        <f aca="false">parametros_manuales!$B$36</f>
        <v>Corrección de defectos</v>
      </c>
      <c r="B75" s="41" t="n">
        <v>1</v>
      </c>
      <c r="C75" s="41" t="n">
        <v>1</v>
      </c>
      <c r="D75" s="41" t="n">
        <v>1</v>
      </c>
      <c r="E75" s="41" t="n">
        <v>1</v>
      </c>
      <c r="F75" s="41" t="n">
        <v>1</v>
      </c>
      <c r="G75" s="41" t="n">
        <v>1</v>
      </c>
      <c r="H75" s="41" t="n">
        <v>1</v>
      </c>
      <c r="I75" s="41" t="n">
        <v>1</v>
      </c>
      <c r="J75" s="41" t="n">
        <v>1</v>
      </c>
      <c r="K75" s="41" t="n">
        <v>1</v>
      </c>
    </row>
    <row r="76" customFormat="false" ht="14.25" hidden="false" customHeight="true" outlineLevel="0" collapsed="false">
      <c r="A76" s="8" t="str">
        <f aca="false">parametros_manuales!$B$37</f>
        <v>Pintura en polvo + horno</v>
      </c>
      <c r="B76" s="41" t="n">
        <v>1</v>
      </c>
      <c r="C76" s="41" t="n">
        <v>1</v>
      </c>
      <c r="D76" s="41" t="n">
        <v>1</v>
      </c>
      <c r="E76" s="41" t="n">
        <v>1</v>
      </c>
      <c r="F76" s="41" t="n">
        <v>1</v>
      </c>
      <c r="G76" s="41" t="n">
        <v>1</v>
      </c>
      <c r="H76" s="41" t="n">
        <v>2</v>
      </c>
      <c r="I76" s="41" t="n">
        <v>2</v>
      </c>
      <c r="J76" s="41" t="n">
        <v>2</v>
      </c>
      <c r="K76" s="41" t="n">
        <v>2</v>
      </c>
    </row>
    <row r="77" customFormat="false" ht="14.25" hidden="false" customHeight="true" outlineLevel="0" collapsed="false">
      <c r="A77" s="8" t="str">
        <f aca="false">parametros_manuales!$B$38</f>
        <v>Carga de polvo</v>
      </c>
      <c r="B77" s="41" t="n">
        <v>1</v>
      </c>
      <c r="C77" s="41" t="n">
        <v>1</v>
      </c>
      <c r="D77" s="41" t="n">
        <v>1</v>
      </c>
      <c r="E77" s="41" t="n">
        <v>1</v>
      </c>
      <c r="F77" s="41" t="n">
        <v>1</v>
      </c>
      <c r="G77" s="41" t="n">
        <v>1</v>
      </c>
      <c r="H77" s="41" t="n">
        <v>1</v>
      </c>
      <c r="I77" s="41" t="n">
        <v>1</v>
      </c>
      <c r="J77" s="41" t="n">
        <v>1</v>
      </c>
      <c r="K77" s="41" t="n">
        <v>1</v>
      </c>
    </row>
    <row r="78" customFormat="false" ht="14.25" hidden="false" customHeight="true" outlineLevel="0" collapsed="false">
      <c r="A78" s="8" t="str">
        <f aca="false">parametros_manuales!$B$39</f>
        <v>Ensamblaje</v>
      </c>
      <c r="B78" s="41" t="n">
        <v>1</v>
      </c>
      <c r="C78" s="41" t="n">
        <v>1</v>
      </c>
      <c r="D78" s="41" t="n">
        <v>1</v>
      </c>
      <c r="E78" s="41" t="n">
        <v>1</v>
      </c>
      <c r="F78" s="41" t="n">
        <v>1</v>
      </c>
      <c r="G78" s="41" t="n">
        <v>1</v>
      </c>
      <c r="H78" s="41" t="n">
        <v>2</v>
      </c>
      <c r="I78" s="41" t="n">
        <v>2</v>
      </c>
      <c r="J78" s="41" t="n">
        <v>2</v>
      </c>
      <c r="K78" s="41" t="n">
        <v>2</v>
      </c>
    </row>
    <row r="79" customFormat="false" ht="14.25" hidden="false" customHeight="true" outlineLevel="0" collapsed="false">
      <c r="A79" s="8" t="str">
        <f aca="false">parametros_manuales!$B$40</f>
        <v>Presurización</v>
      </c>
      <c r="B79" s="41" t="n">
        <v>1</v>
      </c>
      <c r="C79" s="41" t="n">
        <v>1</v>
      </c>
      <c r="D79" s="41" t="n">
        <v>1</v>
      </c>
      <c r="E79" s="41" t="n">
        <v>1</v>
      </c>
      <c r="F79" s="41" t="n">
        <v>1</v>
      </c>
      <c r="G79" s="41" t="n">
        <v>1</v>
      </c>
      <c r="H79" s="41" t="n">
        <v>1</v>
      </c>
      <c r="I79" s="41" t="n">
        <v>1</v>
      </c>
      <c r="J79" s="41" t="n">
        <v>1</v>
      </c>
      <c r="K79" s="41" t="n">
        <v>1</v>
      </c>
    </row>
    <row r="80" customFormat="false" ht="14.25" hidden="false" customHeight="true" outlineLevel="0" collapsed="false">
      <c r="A80" s="8" t="str">
        <f aca="false">parametros_manuales!$B$41</f>
        <v>Control de calidad — Ensayo de pérdidas</v>
      </c>
      <c r="B80" s="41" t="n">
        <v>1</v>
      </c>
      <c r="C80" s="41" t="n">
        <v>1</v>
      </c>
      <c r="D80" s="41" t="n">
        <v>1</v>
      </c>
      <c r="E80" s="41" t="n">
        <v>1</v>
      </c>
      <c r="F80" s="41" t="n">
        <v>1</v>
      </c>
      <c r="G80" s="41" t="n">
        <v>1</v>
      </c>
      <c r="H80" s="41" t="n">
        <v>2</v>
      </c>
      <c r="I80" s="41" t="n">
        <v>2</v>
      </c>
      <c r="J80" s="41" t="n">
        <v>2</v>
      </c>
      <c r="K80" s="41" t="n">
        <v>2</v>
      </c>
    </row>
    <row r="81" customFormat="false" ht="14.25" hidden="false" customHeight="true" outlineLevel="0" collapsed="false">
      <c r="A81" s="8" t="str">
        <f aca="false">parametros_manuales!$B$42</f>
        <v>Etiquetado</v>
      </c>
      <c r="B81" s="41" t="n">
        <v>1</v>
      </c>
      <c r="C81" s="41" t="n">
        <v>1</v>
      </c>
      <c r="D81" s="41" t="n">
        <v>1</v>
      </c>
      <c r="E81" s="41" t="n">
        <v>1</v>
      </c>
      <c r="F81" s="41" t="n">
        <v>1</v>
      </c>
      <c r="G81" s="41" t="n">
        <v>1</v>
      </c>
      <c r="H81" s="41" t="n">
        <v>2</v>
      </c>
      <c r="I81" s="41" t="n">
        <v>2</v>
      </c>
      <c r="J81" s="41" t="n">
        <v>2</v>
      </c>
      <c r="K81" s="41" t="n">
        <v>2</v>
      </c>
    </row>
    <row r="82" customFormat="false" ht="14.25" hidden="false" customHeight="true" outlineLevel="0" collapsed="false">
      <c r="A82" s="8" t="str">
        <f aca="false">parametros_manuales!$B$43</f>
        <v>Embalaje y paletizado</v>
      </c>
      <c r="B82" s="41" t="n">
        <v>1</v>
      </c>
      <c r="C82" s="41" t="n">
        <v>1</v>
      </c>
      <c r="D82" s="41" t="n">
        <v>1</v>
      </c>
      <c r="E82" s="41" t="n">
        <v>1</v>
      </c>
      <c r="F82" s="41" t="n">
        <v>1</v>
      </c>
      <c r="G82" s="41" t="n">
        <v>1</v>
      </c>
      <c r="H82" s="41" t="n">
        <v>2</v>
      </c>
      <c r="I82" s="41" t="n">
        <v>2</v>
      </c>
      <c r="J82" s="41" t="n">
        <v>2</v>
      </c>
      <c r="K82" s="41" t="n">
        <v>2</v>
      </c>
    </row>
    <row r="83" customFormat="false" ht="14.25" hidden="false" customHeight="true" outlineLevel="0" collapsed="false">
      <c r="A83" s="10" t="s">
        <v>213</v>
      </c>
      <c r="B83" s="55" t="n">
        <f aca="false">MAX(B58:B82)</f>
        <v>1</v>
      </c>
      <c r="C83" s="55" t="n">
        <f aca="false">MAX(C58:C82)</f>
        <v>1</v>
      </c>
      <c r="D83" s="55" t="n">
        <f aca="false">MAX(D58:D82)</f>
        <v>1</v>
      </c>
      <c r="E83" s="55" t="n">
        <f aca="false">MAX(E58:E82)</f>
        <v>1</v>
      </c>
      <c r="F83" s="55" t="n">
        <f aca="false">MAX(F58:F82)</f>
        <v>1</v>
      </c>
      <c r="G83" s="55" t="n">
        <f aca="false">MAX(G58:G82)</f>
        <v>1</v>
      </c>
      <c r="H83" s="55" t="n">
        <f aca="false">MAX(H58:H82)</f>
        <v>2</v>
      </c>
      <c r="I83" s="55" t="n">
        <f aca="false">MAX(I58:I82)</f>
        <v>2</v>
      </c>
      <c r="J83" s="55" t="n">
        <f aca="false">MAX(J58:J82)</f>
        <v>2</v>
      </c>
      <c r="K83" s="55" t="n">
        <f aca="false">MAX(K58:K82)</f>
        <v>2</v>
      </c>
    </row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/>
    <row r="87" customFormat="false" ht="14.25" hidden="false" customHeight="true" outlineLevel="0" collapsed="false"/>
    <row r="88" customFormat="false" ht="14.25" hidden="false" customHeight="true" outlineLevel="0" collapsed="false"/>
    <row r="89" customFormat="false" ht="14.25" hidden="false" customHeight="true" outlineLevel="0" collapsed="false"/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conditionalFormatting sqref="B2:B26">
    <cfRule type="expression" priority="2" aboveAverage="0" equalAverage="0" bottom="0" percent="0" rank="0" text="" dxfId="0">
      <formula>B2&gt;$N$13</formula>
    </cfRule>
    <cfRule type="expression" priority="3" aboveAverage="0" equalAverage="0" bottom="0" percent="0" rank="0" text="" dxfId="1">
      <formula>B30=0</formula>
    </cfRule>
    <cfRule type="expression" priority="4" aboveAverage="0" equalAverage="0" bottom="0" percent="0" rank="0" text="" dxfId="2">
      <formula>B58&gt;1</formula>
    </cfRule>
    <cfRule type="expression" priority="5" aboveAverage="0" equalAverage="0" bottom="0" percent="0" rank="0" text="" dxfId="3">
      <formula>AND(B30&gt;1,$L2&lt;&gt;"Manual")</formula>
    </cfRule>
    <cfRule type="expression" priority="6" aboveAverage="0" equalAverage="0" bottom="0" percent="0" rank="0" text="" dxfId="4">
      <formula>AND(B30&gt;1,$L2="Manual")</formula>
    </cfRule>
  </conditionalFormatting>
  <conditionalFormatting sqref="C2:K26">
    <cfRule type="expression" priority="7" aboveAverage="0" equalAverage="0" bottom="0" percent="0" rank="0" text="" dxfId="0">
      <formula>C2&gt;$N$13</formula>
    </cfRule>
    <cfRule type="expression" priority="8" aboveAverage="0" equalAverage="0" bottom="0" percent="0" rank="0" text="" dxfId="1">
      <formula>C30=0</formula>
    </cfRule>
    <cfRule type="expression" priority="9" aboveAverage="0" equalAverage="0" bottom="0" percent="0" rank="0" text="" dxfId="2">
      <formula>C58&gt;B58</formula>
    </cfRule>
    <cfRule type="expression" priority="10" aboveAverage="0" equalAverage="0" bottom="0" percent="0" rank="0" text="" dxfId="3">
      <formula>AND(C30&gt;B30,$L2&lt;&gt;"Manual")</formula>
    </cfRule>
    <cfRule type="expression" priority="11" aboveAverage="0" equalAverage="0" bottom="0" percent="0" rank="0" text="" dxfId="4">
      <formula>AND(C30&gt;B30,$L2="Manual")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14" min="2" style="1" width="9"/>
    <col collapsed="false" customWidth="true" hidden="false" outlineLevel="0" max="16" min="15" style="1" width="12"/>
    <col collapsed="false" customWidth="true" hidden="false" outlineLevel="0" max="17" min="17" style="1" width="9"/>
    <col collapsed="false" customWidth="true" hidden="false" outlineLevel="0" max="19" min="18" style="1" width="8.57"/>
  </cols>
  <sheetData>
    <row r="1" customFormat="false" ht="14.25" hidden="false" customHeight="true" outlineLevel="0" collapsed="false">
      <c r="A1" s="7" t="s">
        <v>187</v>
      </c>
      <c r="B1" s="7" t="s">
        <v>61</v>
      </c>
      <c r="C1" s="7" t="s">
        <v>62</v>
      </c>
      <c r="D1" s="7" t="s">
        <v>63</v>
      </c>
      <c r="E1" s="7" t="s">
        <v>64</v>
      </c>
      <c r="F1" s="7" t="s">
        <v>65</v>
      </c>
      <c r="G1" s="7" t="s">
        <v>66</v>
      </c>
      <c r="H1" s="7" t="s">
        <v>67</v>
      </c>
      <c r="I1" s="7" t="s">
        <v>68</v>
      </c>
      <c r="J1" s="7" t="s">
        <v>69</v>
      </c>
      <c r="K1" s="7" t="s">
        <v>70</v>
      </c>
      <c r="L1" s="7" t="s">
        <v>71</v>
      </c>
      <c r="M1" s="7" t="s">
        <v>72</v>
      </c>
      <c r="N1" s="7" t="s">
        <v>183</v>
      </c>
      <c r="O1" s="7" t="s">
        <v>188</v>
      </c>
      <c r="P1" s="7" t="s">
        <v>189</v>
      </c>
      <c r="Q1" s="7" t="s">
        <v>190</v>
      </c>
      <c r="S1" s="56" t="s">
        <v>214</v>
      </c>
    </row>
    <row r="2" customFormat="false" ht="14.25" hidden="false" customHeight="true" outlineLevel="0" collapsed="false">
      <c r="A2" s="8" t="str">
        <f aca="false">parametros_manuales!$B$19</f>
        <v>Recepción de materia prima</v>
      </c>
      <c r="B2" s="9" t="n">
        <f aca="false">(parametros_manuales!$D$19*(datos_base!$B$2+datos_base!$B$18+IF(parametros_manuales!$H$19="Todos",datos_base!$B$9+datos_base!$B$23,0))*parametros_manuales!$B$95+parametros_manuales!$E$19*(datos_base!$B$3+datos_base!$B$19+IF(parametros_manuales!$H$19="Todos",datos_base!$B$10+datos_base!$B$24,0))*parametros_manuales!$B$100+parametros_manuales!$F$19*(datos_base!$B$4+datos_base!$B$20+IF(parametros_manuales!$H$19="Todos",datos_base!$B$11+datos_base!$B$25,0))*parametros_manuales!$B$105+parametros_manuales!$G$19*(datos_base!$B$5+datos_base!$B$21+IF(parametros_manuales!$H$19="Todos",datos_base!$B$12+datos_base!$B$26,0))*parametros_manuales!$B$110)*parametros_manuales!$I$19*parametros_manuales!$J$19</f>
        <v>617.6135796057</v>
      </c>
      <c r="C2" s="9" t="n">
        <f aca="false">(parametros_manuales!$D$19*(datos_base!$B$2+datos_base!$B$18+IF(parametros_manuales!$H$19="Todos",datos_base!$B$9+datos_base!$B$23,0))*parametros_manuales!$C$95+parametros_manuales!$E$19*(datos_base!$B$3+datos_base!$B$19+IF(parametros_manuales!$H$19="Todos",datos_base!$B$10+datos_base!$B$24,0))*parametros_manuales!$C$100+parametros_manuales!$F$19*(datos_base!$B$4+datos_base!$B$20+IF(parametros_manuales!$H$19="Todos",datos_base!$B$11+datos_base!$B$25,0))*parametros_manuales!$C$105+parametros_manuales!$G$19*(datos_base!$B$5+datos_base!$B$21+IF(parametros_manuales!$H$19="Todos",datos_base!$B$12+datos_base!$B$26,0))*parametros_manuales!$C$110)*parametros_manuales!$I$19*parametros_manuales!$J$19</f>
        <v>590.7772139684</v>
      </c>
      <c r="D2" s="9" t="n">
        <f aca="false">(parametros_manuales!$D$19*(datos_base!$B$2+datos_base!$B$18+IF(parametros_manuales!$H$19="Todos",datos_base!$B$9+datos_base!$B$23,0))*parametros_manuales!$D$95+parametros_manuales!$E$19*(datos_base!$B$3+datos_base!$B$19+IF(parametros_manuales!$H$19="Todos",datos_base!$B$10+datos_base!$B$24,0))*parametros_manuales!$D$100+parametros_manuales!$F$19*(datos_base!$B$4+datos_base!$B$20+IF(parametros_manuales!$H$19="Todos",datos_base!$B$11+datos_base!$B$25,0))*parametros_manuales!$D$105+parametros_manuales!$G$19*(datos_base!$B$5+datos_base!$B$21+IF(parametros_manuales!$H$19="Todos",datos_base!$B$12+datos_base!$B$26,0))*parametros_manuales!$D$110)*parametros_manuales!$I$19*parametros_manuales!$J$19</f>
        <v>562.40803135705</v>
      </c>
      <c r="E2" s="9" t="n">
        <f aca="false">(parametros_manuales!$D$19*(datos_base!$B$2+datos_base!$B$18+IF(parametros_manuales!$H$19="Todos",datos_base!$B$9+datos_base!$B$23,0))*parametros_manuales!$E$95+parametros_manuales!$E$19*(datos_base!$B$3+datos_base!$B$19+IF(parametros_manuales!$H$19="Todos",datos_base!$B$10+datos_base!$B$24,0))*parametros_manuales!$E$100+parametros_manuales!$F$19*(datos_base!$B$4+datos_base!$B$20+IF(parametros_manuales!$H$19="Todos",datos_base!$B$11+datos_base!$B$25,0))*parametros_manuales!$E$105+parametros_manuales!$G$19*(datos_base!$B$5+datos_base!$B$21+IF(parametros_manuales!$H$19="Todos",datos_base!$B$12+datos_base!$B$26,0))*parametros_manuales!$E$110)*parametros_manuales!$I$19*parametros_manuales!$J$19</f>
        <v>541.51434864205</v>
      </c>
      <c r="F2" s="9" t="n">
        <f aca="false">(parametros_manuales!$D$19*(datos_base!$B$2+datos_base!$B$18+IF(parametros_manuales!$H$19="Todos",datos_base!$B$9+datos_base!$B$23,0))*parametros_manuales!$F$95+parametros_manuales!$E$19*(datos_base!$B$3+datos_base!$B$19+IF(parametros_manuales!$H$19="Todos",datos_base!$B$10+datos_base!$B$24,0))*parametros_manuales!$F$100+parametros_manuales!$F$19*(datos_base!$B$4+datos_base!$B$20+IF(parametros_manuales!$H$19="Todos",datos_base!$B$11+datos_base!$B$25,0))*parametros_manuales!$F$105+parametros_manuales!$G$19*(datos_base!$B$5+datos_base!$B$21+IF(parametros_manuales!$H$19="Todos",datos_base!$B$12+datos_base!$B$26,0))*parametros_manuales!$F$110)*parametros_manuales!$I$19*parametros_manuales!$J$19</f>
        <v>507.2024831084</v>
      </c>
      <c r="G2" s="9" t="n">
        <f aca="false">(parametros_manuales!$D$19*(datos_base!$B$2+datos_base!$B$18+IF(parametros_manuales!$H$19="Todos",datos_base!$B$9+datos_base!$B$23,0))*parametros_manuales!$G$95+parametros_manuales!$E$19*(datos_base!$B$3+datos_base!$B$19+IF(parametros_manuales!$H$19="Todos",datos_base!$B$10+datos_base!$B$24,0))*parametros_manuales!$G$100+parametros_manuales!$F$19*(datos_base!$B$4+datos_base!$B$20+IF(parametros_manuales!$H$19="Todos",datos_base!$B$11+datos_base!$B$25,0))*parametros_manuales!$G$105+parametros_manuales!$G$19*(datos_base!$B$5+datos_base!$B$21+IF(parametros_manuales!$H$19="Todos",datos_base!$B$12+datos_base!$B$26,0))*parametros_manuales!$G$110)*parametros_manuales!$I$19*parametros_manuales!$J$19</f>
        <v>493.78430028975</v>
      </c>
      <c r="H2" s="9" t="n">
        <f aca="false">(parametros_manuales!$D$19*(datos_base!$B$2+datos_base!$B$18+IF(parametros_manuales!$H$19="Todos",datos_base!$B$9+datos_base!$B$23,0))*parametros_manuales!$H$95+parametros_manuales!$E$19*(datos_base!$B$3+datos_base!$B$19+IF(parametros_manuales!$H$19="Todos",datos_base!$B$10+datos_base!$B$24,0))*parametros_manuales!$H$100+parametros_manuales!$F$19*(datos_base!$B$4+datos_base!$B$20+IF(parametros_manuales!$H$19="Todos",datos_base!$B$11+datos_base!$B$25,0))*parametros_manuales!$H$105+parametros_manuales!$G$19*(datos_base!$B$5+datos_base!$B$21+IF(parametros_manuales!$H$19="Todos",datos_base!$B$12+datos_base!$B$26,0))*parametros_manuales!$H$110)*parametros_manuales!$I$19*parametros_manuales!$J$19</f>
        <v>528.0961658234</v>
      </c>
      <c r="I2" s="9" t="n">
        <f aca="false">(parametros_manuales!$D$19*(datos_base!$B$2+datos_base!$B$18+IF(parametros_manuales!$H$19="Todos",datos_base!$B$9+datos_base!$B$23,0))*parametros_manuales!$I$95+parametros_manuales!$E$19*(datos_base!$B$3+datos_base!$B$19+IF(parametros_manuales!$H$19="Todos",datos_base!$B$10+datos_base!$B$24,0))*parametros_manuales!$I$100+parametros_manuales!$F$19*(datos_base!$B$4+datos_base!$B$20+IF(parametros_manuales!$H$19="Todos",datos_base!$B$11+datos_base!$B$25,0))*parametros_manuales!$I$105+parametros_manuales!$G$19*(datos_base!$B$5+datos_base!$B$21+IF(parametros_manuales!$H$19="Todos",datos_base!$B$12+datos_base!$B$26,0))*parametros_manuales!$I$110)*parametros_manuales!$I$19*parametros_manuales!$J$19</f>
        <v>590.7772139684</v>
      </c>
      <c r="J2" s="9" t="n">
        <f aca="false">(parametros_manuales!$D$19*(datos_base!$B$2+datos_base!$B$18+IF(parametros_manuales!$H$19="Todos",datos_base!$B$9+datos_base!$B$23,0))*parametros_manuales!$J$95+parametros_manuales!$E$19*(datos_base!$B$3+datos_base!$B$19+IF(parametros_manuales!$H$19="Todos",datos_base!$B$10+datos_base!$B$24,0))*parametros_manuales!$J$100+parametros_manuales!$F$19*(datos_base!$B$4+datos_base!$B$20+IF(parametros_manuales!$H$19="Todos",datos_base!$B$11+datos_base!$B$25,0))*parametros_manuales!$J$105+parametros_manuales!$G$19*(datos_base!$B$5+datos_base!$B$21+IF(parametros_manuales!$H$19="Todos",datos_base!$B$12+datos_base!$B$26,0))*parametros_manuales!$J$110)*parametros_manuales!$I$19*parametros_manuales!$J$19</f>
        <v>590.7772139684</v>
      </c>
      <c r="K2" s="9" t="n">
        <f aca="false">(parametros_manuales!$D$19*(datos_base!$B$2+datos_base!$B$18+IF(parametros_manuales!$H$19="Todos",datos_base!$B$9+datos_base!$B$23,0))*parametros_manuales!$K$95+parametros_manuales!$E$19*(datos_base!$B$3+datos_base!$B$19+IF(parametros_manuales!$H$19="Todos",datos_base!$B$10+datos_base!$B$24,0))*parametros_manuales!$K$100+parametros_manuales!$F$19*(datos_base!$B$4+datos_base!$B$20+IF(parametros_manuales!$H$19="Todos",datos_base!$B$11+datos_base!$B$25,0))*parametros_manuales!$K$105+parametros_manuales!$G$19*(datos_base!$B$5+datos_base!$B$21+IF(parametros_manuales!$H$19="Todos",datos_base!$B$12+datos_base!$B$26,0))*parametros_manuales!$K$110)*parametros_manuales!$I$19*parametros_manuales!$J$19</f>
        <v>604.19539678705</v>
      </c>
      <c r="L2" s="9" t="n">
        <f aca="false">(parametros_manuales!$D$19*(datos_base!$B$2+datos_base!$B$18+IF(parametros_manuales!$H$19="Todos",datos_base!$B$9+datos_base!$B$23,0))*parametros_manuales!$L$95+parametros_manuales!$E$19*(datos_base!$B$3+datos_base!$B$19+IF(parametros_manuales!$H$19="Todos",datos_base!$B$10+datos_base!$B$24,0))*parametros_manuales!$L$100+parametros_manuales!$F$19*(datos_base!$B$4+datos_base!$B$20+IF(parametros_manuales!$H$19="Todos",datos_base!$B$11+datos_base!$B$25,0))*parametros_manuales!$L$105+parametros_manuales!$G$19*(datos_base!$B$5+datos_base!$B$21+IF(parametros_manuales!$H$19="Todos",datos_base!$B$12+datos_base!$B$26,0))*parametros_manuales!$L$110)*parametros_manuales!$I$19*parametros_manuales!$J$19</f>
        <v>617.6135796057</v>
      </c>
      <c r="M2" s="9" t="n">
        <f aca="false">(parametros_manuales!$D$19*(datos_base!$B$2+datos_base!$B$18+IF(parametros_manuales!$H$19="Todos",datos_base!$B$9+datos_base!$B$23,0))*parametros_manuales!$M$95+parametros_manuales!$E$19*(datos_base!$B$3+datos_base!$B$19+IF(parametros_manuales!$H$19="Todos",datos_base!$B$10+datos_base!$B$24,0))*parametros_manuales!$M$100+parametros_manuales!$F$19*(datos_base!$B$4+datos_base!$B$20+IF(parametros_manuales!$H$19="Todos",datos_base!$B$11+datos_base!$B$25,0))*parametros_manuales!$M$105+parametros_manuales!$G$19*(datos_base!$B$5+datos_base!$B$21+IF(parametros_manuales!$H$19="Todos",datos_base!$B$12+datos_base!$B$26,0))*parametros_manuales!$M$110)*parametros_manuales!$I$19*parametros_manuales!$J$19</f>
        <v>617.6135796057</v>
      </c>
      <c r="N2" s="9" t="n">
        <f aca="false">SUM(B2:M2)</f>
        <v>6862.37310673</v>
      </c>
      <c r="O2" s="9" t="n">
        <f aca="false">MAX(B2:M2)</f>
        <v>617.6135796057</v>
      </c>
      <c r="P2" s="43" t="n">
        <f aca="false">O2/(parametros_manuales!$B$7)</f>
        <v>4.117423864038</v>
      </c>
      <c r="Q2" s="8" t="str">
        <f aca="false">IF(O2=0,"-",INDEX($B$1:$M$1,MATCH(O2,B2:M2,0)))</f>
        <v>Ene</v>
      </c>
    </row>
    <row r="3" customFormat="false" ht="14.25" hidden="false" customHeight="true" outlineLevel="0" collapsed="false">
      <c r="A3" s="8" t="str">
        <f aca="false">parametros_manuales!$B$20</f>
        <v>Corte de chapa (guillotina) — 2,5 a 10 kg</v>
      </c>
      <c r="B3" s="9" t="n">
        <f aca="false">(parametros_manuales!$D$20*(datos_base!$B$2+datos_base!$B$18+IF(parametros_manuales!$H$20="Todos",datos_base!$B$9+datos_base!$B$23,0))*parametros_manuales!$B$95+parametros_manuales!$E$20*(datos_base!$B$3+datos_base!$B$19+IF(parametros_manuales!$H$20="Todos",datos_base!$B$10+datos_base!$B$24,0))*parametros_manuales!$B$100+parametros_manuales!$F$20*(datos_base!$B$4+datos_base!$B$20+IF(parametros_manuales!$H$20="Todos",datos_base!$B$11+datos_base!$B$25,0))*parametros_manuales!$B$105+parametros_manuales!$G$20*(datos_base!$B$5+datos_base!$B$21+IF(parametros_manuales!$H$20="Todos",datos_base!$B$12+datos_base!$B$26,0))*parametros_manuales!$B$110)*parametros_manuales!$I$20*parametros_manuales!$J$20</f>
        <v>241.5272907357</v>
      </c>
      <c r="C3" s="9" t="n">
        <f aca="false">(parametros_manuales!$D$20*(datos_base!$B$2+datos_base!$B$18+IF(parametros_manuales!$H$20="Todos",datos_base!$B$9+datos_base!$B$23,0))*parametros_manuales!$C$95+parametros_manuales!$E$20*(datos_base!$B$3+datos_base!$B$19+IF(parametros_manuales!$H$20="Todos",datos_base!$B$10+datos_base!$B$24,0))*parametros_manuales!$C$100+parametros_manuales!$F$20*(datos_base!$B$4+datos_base!$B$20+IF(parametros_manuales!$H$20="Todos",datos_base!$B$11+datos_base!$B$25,0))*parametros_manuales!$C$105+parametros_manuales!$G$20*(datos_base!$B$5+datos_base!$B$21+IF(parametros_manuales!$H$20="Todos",datos_base!$B$12+datos_base!$B$26,0))*parametros_manuales!$C$110)*parametros_manuales!$I$20*parametros_manuales!$J$20</f>
        <v>214.6909250984</v>
      </c>
      <c r="D3" s="9" t="n">
        <f aca="false">(parametros_manuales!$D$20*(datos_base!$B$2+datos_base!$B$18+IF(parametros_manuales!$H$20="Todos",datos_base!$B$9+datos_base!$B$23,0))*parametros_manuales!$D$95+parametros_manuales!$E$20*(datos_base!$B$3+datos_base!$B$19+IF(parametros_manuales!$H$20="Todos",datos_base!$B$10+datos_base!$B$24,0))*parametros_manuales!$D$100+parametros_manuales!$F$20*(datos_base!$B$4+datos_base!$B$20+IF(parametros_manuales!$H$20="Todos",datos_base!$B$11+datos_base!$B$25,0))*parametros_manuales!$D$105+parametros_manuales!$G$20*(datos_base!$B$5+datos_base!$B$21+IF(parametros_manuales!$H$20="Todos",datos_base!$B$12+datos_base!$B$26,0))*parametros_manuales!$D$110)*parametros_manuales!$I$20*parametros_manuales!$J$20</f>
        <v>228.10910791705</v>
      </c>
      <c r="E3" s="9" t="n">
        <f aca="false">(parametros_manuales!$D$20*(datos_base!$B$2+datos_base!$B$18+IF(parametros_manuales!$H$20="Todos",datos_base!$B$9+datos_base!$B$23,0))*parametros_manuales!$E$95+parametros_manuales!$E$20*(datos_base!$B$3+datos_base!$B$19+IF(parametros_manuales!$H$20="Todos",datos_base!$B$10+datos_base!$B$24,0))*parametros_manuales!$E$100+parametros_manuales!$F$20*(datos_base!$B$4+datos_base!$B$20+IF(parametros_manuales!$H$20="Todos",datos_base!$B$11+datos_base!$B$25,0))*parametros_manuales!$E$105+parametros_manuales!$G$20*(datos_base!$B$5+datos_base!$B$21+IF(parametros_manuales!$H$20="Todos",datos_base!$B$12+datos_base!$B$26,0))*parametros_manuales!$E$110)*parametros_manuales!$I$20*parametros_manuales!$J$20</f>
        <v>228.10910791705</v>
      </c>
      <c r="F3" s="9" t="n">
        <f aca="false">(parametros_manuales!$D$20*(datos_base!$B$2+datos_base!$B$18+IF(parametros_manuales!$H$20="Todos",datos_base!$B$9+datos_base!$B$23,0))*parametros_manuales!$F$95+parametros_manuales!$E$20*(datos_base!$B$3+datos_base!$B$19+IF(parametros_manuales!$H$20="Todos",datos_base!$B$10+datos_base!$B$24,0))*parametros_manuales!$F$100+parametros_manuales!$F$20*(datos_base!$B$4+datos_base!$B$20+IF(parametros_manuales!$H$20="Todos",datos_base!$B$11+datos_base!$B$25,0))*parametros_manuales!$F$105+parametros_manuales!$G$20*(datos_base!$B$5+datos_base!$B$21+IF(parametros_manuales!$H$20="Todos",datos_base!$B$12+datos_base!$B$26,0))*parametros_manuales!$F$110)*parametros_manuales!$I$20*parametros_manuales!$J$20</f>
        <v>214.6909250984</v>
      </c>
      <c r="G3" s="9" t="n">
        <f aca="false">(parametros_manuales!$D$20*(datos_base!$B$2+datos_base!$B$18+IF(parametros_manuales!$H$20="Todos",datos_base!$B$9+datos_base!$B$23,0))*parametros_manuales!$G$95+parametros_manuales!$E$20*(datos_base!$B$3+datos_base!$B$19+IF(parametros_manuales!$H$20="Todos",datos_base!$B$10+datos_base!$B$24,0))*parametros_manuales!$G$100+parametros_manuales!$F$20*(datos_base!$B$4+datos_base!$B$20+IF(parametros_manuales!$H$20="Todos",datos_base!$B$11+datos_base!$B$25,0))*parametros_manuales!$G$105+parametros_manuales!$G$20*(datos_base!$B$5+datos_base!$B$21+IF(parametros_manuales!$H$20="Todos",datos_base!$B$12+datos_base!$B$26,0))*parametros_manuales!$G$110)*parametros_manuales!$I$20*parametros_manuales!$J$20</f>
        <v>201.27274227975</v>
      </c>
      <c r="H3" s="9" t="n">
        <f aca="false">(parametros_manuales!$D$20*(datos_base!$B$2+datos_base!$B$18+IF(parametros_manuales!$H$20="Todos",datos_base!$B$9+datos_base!$B$23,0))*parametros_manuales!$H$95+parametros_manuales!$E$20*(datos_base!$B$3+datos_base!$B$19+IF(parametros_manuales!$H$20="Todos",datos_base!$B$10+datos_base!$B$24,0))*parametros_manuales!$H$100+parametros_manuales!$F$20*(datos_base!$B$4+datos_base!$B$20+IF(parametros_manuales!$H$20="Todos",datos_base!$B$11+datos_base!$B$25,0))*parametros_manuales!$H$105+parametros_manuales!$G$20*(datos_base!$B$5+datos_base!$B$21+IF(parametros_manuales!$H$20="Todos",datos_base!$B$12+datos_base!$B$26,0))*parametros_manuales!$H$110)*parametros_manuales!$I$20*parametros_manuales!$J$20</f>
        <v>214.6909250984</v>
      </c>
      <c r="I3" s="9" t="n">
        <f aca="false">(parametros_manuales!$D$20*(datos_base!$B$2+datos_base!$B$18+IF(parametros_manuales!$H$20="Todos",datos_base!$B$9+datos_base!$B$23,0))*parametros_manuales!$I$95+parametros_manuales!$E$20*(datos_base!$B$3+datos_base!$B$19+IF(parametros_manuales!$H$20="Todos",datos_base!$B$10+datos_base!$B$24,0))*parametros_manuales!$I$100+parametros_manuales!$F$20*(datos_base!$B$4+datos_base!$B$20+IF(parametros_manuales!$H$20="Todos",datos_base!$B$11+datos_base!$B$25,0))*parametros_manuales!$I$105+parametros_manuales!$G$20*(datos_base!$B$5+datos_base!$B$21+IF(parametros_manuales!$H$20="Todos",datos_base!$B$12+datos_base!$B$26,0))*parametros_manuales!$I$110)*parametros_manuales!$I$20*parametros_manuales!$J$20</f>
        <v>214.6909250984</v>
      </c>
      <c r="J3" s="9" t="n">
        <f aca="false">(parametros_manuales!$D$20*(datos_base!$B$2+datos_base!$B$18+IF(parametros_manuales!$H$20="Todos",datos_base!$B$9+datos_base!$B$23,0))*parametros_manuales!$J$95+parametros_manuales!$E$20*(datos_base!$B$3+datos_base!$B$19+IF(parametros_manuales!$H$20="Todos",datos_base!$B$10+datos_base!$B$24,0))*parametros_manuales!$J$100+parametros_manuales!$F$20*(datos_base!$B$4+datos_base!$B$20+IF(parametros_manuales!$H$20="Todos",datos_base!$B$11+datos_base!$B$25,0))*parametros_manuales!$J$105+parametros_manuales!$G$20*(datos_base!$B$5+datos_base!$B$21+IF(parametros_manuales!$H$20="Todos",datos_base!$B$12+datos_base!$B$26,0))*parametros_manuales!$J$110)*parametros_manuales!$I$20*parametros_manuales!$J$20</f>
        <v>214.6909250984</v>
      </c>
      <c r="K3" s="9" t="n">
        <f aca="false">(parametros_manuales!$D$20*(datos_base!$B$2+datos_base!$B$18+IF(parametros_manuales!$H$20="Todos",datos_base!$B$9+datos_base!$B$23,0))*parametros_manuales!$K$95+parametros_manuales!$E$20*(datos_base!$B$3+datos_base!$B$19+IF(parametros_manuales!$H$20="Todos",datos_base!$B$10+datos_base!$B$24,0))*parametros_manuales!$K$100+parametros_manuales!$F$20*(datos_base!$B$4+datos_base!$B$20+IF(parametros_manuales!$H$20="Todos",datos_base!$B$11+datos_base!$B$25,0))*parametros_manuales!$K$105+parametros_manuales!$G$20*(datos_base!$B$5+datos_base!$B$21+IF(parametros_manuales!$H$20="Todos",datos_base!$B$12+datos_base!$B$26,0))*parametros_manuales!$K$110)*parametros_manuales!$I$20*parametros_manuales!$J$20</f>
        <v>228.10910791705</v>
      </c>
      <c r="L3" s="9" t="n">
        <f aca="false">(parametros_manuales!$D$20*(datos_base!$B$2+datos_base!$B$18+IF(parametros_manuales!$H$20="Todos",datos_base!$B$9+datos_base!$B$23,0))*parametros_manuales!$L$95+parametros_manuales!$E$20*(datos_base!$B$3+datos_base!$B$19+IF(parametros_manuales!$H$20="Todos",datos_base!$B$10+datos_base!$B$24,0))*parametros_manuales!$L$100+parametros_manuales!$F$20*(datos_base!$B$4+datos_base!$B$20+IF(parametros_manuales!$H$20="Todos",datos_base!$B$11+datos_base!$B$25,0))*parametros_manuales!$L$105+parametros_manuales!$G$20*(datos_base!$B$5+datos_base!$B$21+IF(parametros_manuales!$H$20="Todos",datos_base!$B$12+datos_base!$B$26,0))*parametros_manuales!$L$110)*parametros_manuales!$I$20*parametros_manuales!$J$20</f>
        <v>241.5272907357</v>
      </c>
      <c r="M3" s="9" t="n">
        <f aca="false">(parametros_manuales!$D$20*(datos_base!$B$2+datos_base!$B$18+IF(parametros_manuales!$H$20="Todos",datos_base!$B$9+datos_base!$B$23,0))*parametros_manuales!$M$95+parametros_manuales!$E$20*(datos_base!$B$3+datos_base!$B$19+IF(parametros_manuales!$H$20="Todos",datos_base!$B$10+datos_base!$B$24,0))*parametros_manuales!$M$100+parametros_manuales!$F$20*(datos_base!$B$4+datos_base!$B$20+IF(parametros_manuales!$H$20="Todos",datos_base!$B$11+datos_base!$B$25,0))*parametros_manuales!$M$105+parametros_manuales!$G$20*(datos_base!$B$5+datos_base!$B$21+IF(parametros_manuales!$H$20="Todos",datos_base!$B$12+datos_base!$B$26,0))*parametros_manuales!$M$110)*parametros_manuales!$I$20*parametros_manuales!$J$20</f>
        <v>241.5272907357</v>
      </c>
      <c r="N3" s="9" t="n">
        <f aca="false">SUM(B3:M3)</f>
        <v>2683.63656373</v>
      </c>
      <c r="O3" s="9" t="n">
        <f aca="false">MAX(B3:M3)</f>
        <v>241.5272907357</v>
      </c>
      <c r="P3" s="43" t="n">
        <f aca="false">O3/(parametros_manuales!$B$7)</f>
        <v>1.610181938238</v>
      </c>
      <c r="Q3" s="8" t="str">
        <f aca="false">IF(O3=0,"-",INDEX($B$1:$M$1,MATCH(O3,B3:M3,0)))</f>
        <v>Ene</v>
      </c>
    </row>
    <row r="4" customFormat="false" ht="14.25" hidden="false" customHeight="true" outlineLevel="0" collapsed="false">
      <c r="A4" s="8" t="str">
        <f aca="false">parametros_manuales!$B$21</f>
        <v>Corte de tubo — 1 kg</v>
      </c>
      <c r="B4" s="9" t="n">
        <f aca="false">(parametros_manuales!$D$21*(datos_base!$B$2+datos_base!$B$18+IF(parametros_manuales!$H$21="Todos",datos_base!$B$9+datos_base!$B$23,0))*parametros_manuales!$B$95+parametros_manuales!$E$21*(datos_base!$B$3+datos_base!$B$19+IF(parametros_manuales!$H$21="Todos",datos_base!$B$10+datos_base!$B$24,0))*parametros_manuales!$B$100+parametros_manuales!$F$21*(datos_base!$B$4+datos_base!$B$20+IF(parametros_manuales!$H$21="Todos",datos_base!$B$11+datos_base!$B$25,0))*parametros_manuales!$B$105+parametros_manuales!$G$21*(datos_base!$B$5+datos_base!$B$21+IF(parametros_manuales!$H$21="Todos",datos_base!$B$12+datos_base!$B$26,0))*parametros_manuales!$B$110)*parametros_manuales!$I$21*parametros_manuales!$J$21</f>
        <v>376.08628887</v>
      </c>
      <c r="C4" s="9" t="n">
        <f aca="false">(parametros_manuales!$D$21*(datos_base!$B$2+datos_base!$B$18+IF(parametros_manuales!$H$21="Todos",datos_base!$B$9+datos_base!$B$23,0))*parametros_manuales!$C$95+parametros_manuales!$E$21*(datos_base!$B$3+datos_base!$B$19+IF(parametros_manuales!$H$21="Todos",datos_base!$B$10+datos_base!$B$24,0))*parametros_manuales!$C$100+parametros_manuales!$F$21*(datos_base!$B$4+datos_base!$B$20+IF(parametros_manuales!$H$21="Todos",datos_base!$B$11+datos_base!$B$25,0))*parametros_manuales!$C$105+parametros_manuales!$G$21*(datos_base!$B$5+datos_base!$B$21+IF(parametros_manuales!$H$21="Todos",datos_base!$B$12+datos_base!$B$26,0))*parametros_manuales!$C$110)*parametros_manuales!$I$21*parametros_manuales!$J$21</f>
        <v>376.08628887</v>
      </c>
      <c r="D4" s="9" t="n">
        <f aca="false">(parametros_manuales!$D$21*(datos_base!$B$2+datos_base!$B$18+IF(parametros_manuales!$H$21="Todos",datos_base!$B$9+datos_base!$B$23,0))*parametros_manuales!$D$95+parametros_manuales!$E$21*(datos_base!$B$3+datos_base!$B$19+IF(parametros_manuales!$H$21="Todos",datos_base!$B$10+datos_base!$B$24,0))*parametros_manuales!$D$100+parametros_manuales!$F$21*(datos_base!$B$4+datos_base!$B$20+IF(parametros_manuales!$H$21="Todos",datos_base!$B$11+datos_base!$B$25,0))*parametros_manuales!$D$105+parametros_manuales!$G$21*(datos_base!$B$5+datos_base!$B$21+IF(parametros_manuales!$H$21="Todos",datos_base!$B$12+datos_base!$B$26,0))*parametros_manuales!$D$110)*parametros_manuales!$I$21*parametros_manuales!$J$21</f>
        <v>334.29892344</v>
      </c>
      <c r="E4" s="9" t="n">
        <f aca="false">(parametros_manuales!$D$21*(datos_base!$B$2+datos_base!$B$18+IF(parametros_manuales!$H$21="Todos",datos_base!$B$9+datos_base!$B$23,0))*parametros_manuales!$E$95+parametros_manuales!$E$21*(datos_base!$B$3+datos_base!$B$19+IF(parametros_manuales!$H$21="Todos",datos_base!$B$10+datos_base!$B$24,0))*parametros_manuales!$E$100+parametros_manuales!$F$21*(datos_base!$B$4+datos_base!$B$20+IF(parametros_manuales!$H$21="Todos",datos_base!$B$11+datos_base!$B$25,0))*parametros_manuales!$E$105+parametros_manuales!$G$21*(datos_base!$B$5+datos_base!$B$21+IF(parametros_manuales!$H$21="Todos",datos_base!$B$12+datos_base!$B$26,0))*parametros_manuales!$E$110)*parametros_manuales!$I$21*parametros_manuales!$J$21</f>
        <v>313.405240725</v>
      </c>
      <c r="F4" s="9" t="n">
        <f aca="false">(parametros_manuales!$D$21*(datos_base!$B$2+datos_base!$B$18+IF(parametros_manuales!$H$21="Todos",datos_base!$B$9+datos_base!$B$23,0))*parametros_manuales!$F$95+parametros_manuales!$E$21*(datos_base!$B$3+datos_base!$B$19+IF(parametros_manuales!$H$21="Todos",datos_base!$B$10+datos_base!$B$24,0))*parametros_manuales!$F$100+parametros_manuales!$F$21*(datos_base!$B$4+datos_base!$B$20+IF(parametros_manuales!$H$21="Todos",datos_base!$B$11+datos_base!$B$25,0))*parametros_manuales!$F$105+parametros_manuales!$G$21*(datos_base!$B$5+datos_base!$B$21+IF(parametros_manuales!$H$21="Todos",datos_base!$B$12+datos_base!$B$26,0))*parametros_manuales!$F$110)*parametros_manuales!$I$21*parametros_manuales!$J$21</f>
        <v>292.51155801</v>
      </c>
      <c r="G4" s="9" t="n">
        <f aca="false">(parametros_manuales!$D$21*(datos_base!$B$2+datos_base!$B$18+IF(parametros_manuales!$H$21="Todos",datos_base!$B$9+datos_base!$B$23,0))*parametros_manuales!$G$95+parametros_manuales!$E$21*(datos_base!$B$3+datos_base!$B$19+IF(parametros_manuales!$H$21="Todos",datos_base!$B$10+datos_base!$B$24,0))*parametros_manuales!$G$100+parametros_manuales!$F$21*(datos_base!$B$4+datos_base!$B$20+IF(parametros_manuales!$H$21="Todos",datos_base!$B$11+datos_base!$B$25,0))*parametros_manuales!$G$105+parametros_manuales!$G$21*(datos_base!$B$5+datos_base!$B$21+IF(parametros_manuales!$H$21="Todos",datos_base!$B$12+datos_base!$B$26,0))*parametros_manuales!$G$110)*parametros_manuales!$I$21*parametros_manuales!$J$21</f>
        <v>292.51155801</v>
      </c>
      <c r="H4" s="9" t="n">
        <f aca="false">(parametros_manuales!$D$21*(datos_base!$B$2+datos_base!$B$18+IF(parametros_manuales!$H$21="Todos",datos_base!$B$9+datos_base!$B$23,0))*parametros_manuales!$H$95+parametros_manuales!$E$21*(datos_base!$B$3+datos_base!$B$19+IF(parametros_manuales!$H$21="Todos",datos_base!$B$10+datos_base!$B$24,0))*parametros_manuales!$H$100+parametros_manuales!$F$21*(datos_base!$B$4+datos_base!$B$20+IF(parametros_manuales!$H$21="Todos",datos_base!$B$11+datos_base!$B$25,0))*parametros_manuales!$H$105+parametros_manuales!$G$21*(datos_base!$B$5+datos_base!$B$21+IF(parametros_manuales!$H$21="Todos",datos_base!$B$12+datos_base!$B$26,0))*parametros_manuales!$H$110)*parametros_manuales!$I$21*parametros_manuales!$J$21</f>
        <v>313.405240725</v>
      </c>
      <c r="I4" s="9" t="n">
        <f aca="false">(parametros_manuales!$D$21*(datos_base!$B$2+datos_base!$B$18+IF(parametros_manuales!$H$21="Todos",datos_base!$B$9+datos_base!$B$23,0))*parametros_manuales!$I$95+parametros_manuales!$E$21*(datos_base!$B$3+datos_base!$B$19+IF(parametros_manuales!$H$21="Todos",datos_base!$B$10+datos_base!$B$24,0))*parametros_manuales!$I$100+parametros_manuales!$F$21*(datos_base!$B$4+datos_base!$B$20+IF(parametros_manuales!$H$21="Todos",datos_base!$B$11+datos_base!$B$25,0))*parametros_manuales!$I$105+parametros_manuales!$G$21*(datos_base!$B$5+datos_base!$B$21+IF(parametros_manuales!$H$21="Todos",datos_base!$B$12+datos_base!$B$26,0))*parametros_manuales!$I$110)*parametros_manuales!$I$21*parametros_manuales!$J$21</f>
        <v>376.08628887</v>
      </c>
      <c r="J4" s="9" t="n">
        <f aca="false">(parametros_manuales!$D$21*(datos_base!$B$2+datos_base!$B$18+IF(parametros_manuales!$H$21="Todos",datos_base!$B$9+datos_base!$B$23,0))*parametros_manuales!$J$95+parametros_manuales!$E$21*(datos_base!$B$3+datos_base!$B$19+IF(parametros_manuales!$H$21="Todos",datos_base!$B$10+datos_base!$B$24,0))*parametros_manuales!$J$100+parametros_manuales!$F$21*(datos_base!$B$4+datos_base!$B$20+IF(parametros_manuales!$H$21="Todos",datos_base!$B$11+datos_base!$B$25,0))*parametros_manuales!$J$105+parametros_manuales!$G$21*(datos_base!$B$5+datos_base!$B$21+IF(parametros_manuales!$H$21="Todos",datos_base!$B$12+datos_base!$B$26,0))*parametros_manuales!$J$110)*parametros_manuales!$I$21*parametros_manuales!$J$21</f>
        <v>376.08628887</v>
      </c>
      <c r="K4" s="9" t="n">
        <f aca="false">(parametros_manuales!$D$21*(datos_base!$B$2+datos_base!$B$18+IF(parametros_manuales!$H$21="Todos",datos_base!$B$9+datos_base!$B$23,0))*parametros_manuales!$K$95+parametros_manuales!$E$21*(datos_base!$B$3+datos_base!$B$19+IF(parametros_manuales!$H$21="Todos",datos_base!$B$10+datos_base!$B$24,0))*parametros_manuales!$K$100+parametros_manuales!$F$21*(datos_base!$B$4+datos_base!$B$20+IF(parametros_manuales!$H$21="Todos",datos_base!$B$11+datos_base!$B$25,0))*parametros_manuales!$K$105+parametros_manuales!$G$21*(datos_base!$B$5+datos_base!$B$21+IF(parametros_manuales!$H$21="Todos",datos_base!$B$12+datos_base!$B$26,0))*parametros_manuales!$K$110)*parametros_manuales!$I$21*parametros_manuales!$J$21</f>
        <v>376.08628887</v>
      </c>
      <c r="L4" s="9" t="n">
        <f aca="false">(parametros_manuales!$D$21*(datos_base!$B$2+datos_base!$B$18+IF(parametros_manuales!$H$21="Todos",datos_base!$B$9+datos_base!$B$23,0))*parametros_manuales!$L$95+parametros_manuales!$E$21*(datos_base!$B$3+datos_base!$B$19+IF(parametros_manuales!$H$21="Todos",datos_base!$B$10+datos_base!$B$24,0))*parametros_manuales!$L$100+parametros_manuales!$F$21*(datos_base!$B$4+datos_base!$B$20+IF(parametros_manuales!$H$21="Todos",datos_base!$B$11+datos_base!$B$25,0))*parametros_manuales!$L$105+parametros_manuales!$G$21*(datos_base!$B$5+datos_base!$B$21+IF(parametros_manuales!$H$21="Todos",datos_base!$B$12+datos_base!$B$26,0))*parametros_manuales!$L$110)*parametros_manuales!$I$21*parametros_manuales!$J$21</f>
        <v>376.08628887</v>
      </c>
      <c r="M4" s="9" t="n">
        <f aca="false">(parametros_manuales!$D$21*(datos_base!$B$2+datos_base!$B$18+IF(parametros_manuales!$H$21="Todos",datos_base!$B$9+datos_base!$B$23,0))*parametros_manuales!$M$95+parametros_manuales!$E$21*(datos_base!$B$3+datos_base!$B$19+IF(parametros_manuales!$H$21="Todos",datos_base!$B$10+datos_base!$B$24,0))*parametros_manuales!$M$100+parametros_manuales!$F$21*(datos_base!$B$4+datos_base!$B$20+IF(parametros_manuales!$H$21="Todos",datos_base!$B$11+datos_base!$B$25,0))*parametros_manuales!$M$105+parametros_manuales!$G$21*(datos_base!$B$5+datos_base!$B$21+IF(parametros_manuales!$H$21="Todos",datos_base!$B$12+datos_base!$B$26,0))*parametros_manuales!$M$110)*parametros_manuales!$I$21*parametros_manuales!$J$21</f>
        <v>376.08628887</v>
      </c>
      <c r="N4" s="9" t="n">
        <f aca="false">SUM(B4:M4)</f>
        <v>4178.736543</v>
      </c>
      <c r="O4" s="9" t="n">
        <f aca="false">MAX(B4:M4)</f>
        <v>376.08628887</v>
      </c>
      <c r="P4" s="43" t="n">
        <f aca="false">O4/(parametros_manuales!$B$7)</f>
        <v>2.5072419258</v>
      </c>
      <c r="Q4" s="8" t="str">
        <f aca="false">IF(O4=0,"-",INDEX($B$1:$M$1,MATCH(O4,B4:M4,0)))</f>
        <v>Ene</v>
      </c>
    </row>
    <row r="5" customFormat="false" ht="14.25" hidden="false" customHeight="true" outlineLevel="0" collapsed="false">
      <c r="A5" s="8" t="str">
        <f aca="false">parametros_manuales!$B$22</f>
        <v>Corte de disco y embutido (cúpula y fondo)</v>
      </c>
      <c r="B5" s="9" t="n">
        <f aca="false">(parametros_manuales!$D$22*(datos_base!$B$2+datos_base!$B$18+IF(parametros_manuales!$H$22="Todos",datos_base!$B$9+datos_base!$B$23,0))*parametros_manuales!$B$95+parametros_manuales!$E$22*(datos_base!$B$3+datos_base!$B$19+IF(parametros_manuales!$H$22="Todos",datos_base!$B$10+datos_base!$B$24,0))*parametros_manuales!$B$100+parametros_manuales!$F$22*(datos_base!$B$4+datos_base!$B$20+IF(parametros_manuales!$H$22="Todos",datos_base!$B$11+datos_base!$B$25,0))*parametros_manuales!$B$105+parametros_manuales!$G$22*(datos_base!$B$5+datos_base!$B$21+IF(parametros_manuales!$H$22="Todos",datos_base!$B$12+datos_base!$B$26,0))*parametros_manuales!$B$110)*parametros_manuales!$I$22*parametros_manuales!$J$22</f>
        <v>1235.2271592114</v>
      </c>
      <c r="C5" s="9" t="n">
        <f aca="false">(parametros_manuales!$D$22*(datos_base!$B$2+datos_base!$B$18+IF(parametros_manuales!$H$22="Todos",datos_base!$B$9+datos_base!$B$23,0))*parametros_manuales!$C$95+parametros_manuales!$E$22*(datos_base!$B$3+datos_base!$B$19+IF(parametros_manuales!$H$22="Todos",datos_base!$B$10+datos_base!$B$24,0))*parametros_manuales!$C$100+parametros_manuales!$F$22*(datos_base!$B$4+datos_base!$B$20+IF(parametros_manuales!$H$22="Todos",datos_base!$B$11+datos_base!$B$25,0))*parametros_manuales!$C$105+parametros_manuales!$G$22*(datos_base!$B$5+datos_base!$B$21+IF(parametros_manuales!$H$22="Todos",datos_base!$B$12+datos_base!$B$26,0))*parametros_manuales!$C$110)*parametros_manuales!$I$22*parametros_manuales!$J$22</f>
        <v>1181.5544279368</v>
      </c>
      <c r="D5" s="9" t="n">
        <f aca="false">(parametros_manuales!$D$22*(datos_base!$B$2+datos_base!$B$18+IF(parametros_manuales!$H$22="Todos",datos_base!$B$9+datos_base!$B$23,0))*parametros_manuales!$D$95+parametros_manuales!$E$22*(datos_base!$B$3+datos_base!$B$19+IF(parametros_manuales!$H$22="Todos",datos_base!$B$10+datos_base!$B$24,0))*parametros_manuales!$D$100+parametros_manuales!$F$22*(datos_base!$B$4+datos_base!$B$20+IF(parametros_manuales!$H$22="Todos",datos_base!$B$11+datos_base!$B$25,0))*parametros_manuales!$D$105+parametros_manuales!$G$22*(datos_base!$B$5+datos_base!$B$21+IF(parametros_manuales!$H$22="Todos",datos_base!$B$12+datos_base!$B$26,0))*parametros_manuales!$D$110)*parametros_manuales!$I$22*parametros_manuales!$J$22</f>
        <v>1124.8160627141</v>
      </c>
      <c r="E5" s="9" t="n">
        <f aca="false">(parametros_manuales!$D$22*(datos_base!$B$2+datos_base!$B$18+IF(parametros_manuales!$H$22="Todos",datos_base!$B$9+datos_base!$B$23,0))*parametros_manuales!$E$95+parametros_manuales!$E$22*(datos_base!$B$3+datos_base!$B$19+IF(parametros_manuales!$H$22="Todos",datos_base!$B$10+datos_base!$B$24,0))*parametros_manuales!$E$100+parametros_manuales!$F$22*(datos_base!$B$4+datos_base!$B$20+IF(parametros_manuales!$H$22="Todos",datos_base!$B$11+datos_base!$B$25,0))*parametros_manuales!$E$105+parametros_manuales!$G$22*(datos_base!$B$5+datos_base!$B$21+IF(parametros_manuales!$H$22="Todos",datos_base!$B$12+datos_base!$B$26,0))*parametros_manuales!$E$110)*parametros_manuales!$I$22*parametros_manuales!$J$22</f>
        <v>1083.0286972841</v>
      </c>
      <c r="F5" s="9" t="n">
        <f aca="false">(parametros_manuales!$D$22*(datos_base!$B$2+datos_base!$B$18+IF(parametros_manuales!$H$22="Todos",datos_base!$B$9+datos_base!$B$23,0))*parametros_manuales!$F$95+parametros_manuales!$E$22*(datos_base!$B$3+datos_base!$B$19+IF(parametros_manuales!$H$22="Todos",datos_base!$B$10+datos_base!$B$24,0))*parametros_manuales!$F$100+parametros_manuales!$F$22*(datos_base!$B$4+datos_base!$B$20+IF(parametros_manuales!$H$22="Todos",datos_base!$B$11+datos_base!$B$25,0))*parametros_manuales!$F$105+parametros_manuales!$G$22*(datos_base!$B$5+datos_base!$B$21+IF(parametros_manuales!$H$22="Todos",datos_base!$B$12+datos_base!$B$26,0))*parametros_manuales!$F$110)*parametros_manuales!$I$22*parametros_manuales!$J$22</f>
        <v>1014.4049662168</v>
      </c>
      <c r="G5" s="9" t="n">
        <f aca="false">(parametros_manuales!$D$22*(datos_base!$B$2+datos_base!$B$18+IF(parametros_manuales!$H$22="Todos",datos_base!$B$9+datos_base!$B$23,0))*parametros_manuales!$G$95+parametros_manuales!$E$22*(datos_base!$B$3+datos_base!$B$19+IF(parametros_manuales!$H$22="Todos",datos_base!$B$10+datos_base!$B$24,0))*parametros_manuales!$G$100+parametros_manuales!$F$22*(datos_base!$B$4+datos_base!$B$20+IF(parametros_manuales!$H$22="Todos",datos_base!$B$11+datos_base!$B$25,0))*parametros_manuales!$G$105+parametros_manuales!$G$22*(datos_base!$B$5+datos_base!$B$21+IF(parametros_manuales!$H$22="Todos",datos_base!$B$12+datos_base!$B$26,0))*parametros_manuales!$G$110)*parametros_manuales!$I$22*parametros_manuales!$J$22</f>
        <v>987.5686005795</v>
      </c>
      <c r="H5" s="9" t="n">
        <f aca="false">(parametros_manuales!$D$22*(datos_base!$B$2+datos_base!$B$18+IF(parametros_manuales!$H$22="Todos",datos_base!$B$9+datos_base!$B$23,0))*parametros_manuales!$H$95+parametros_manuales!$E$22*(datos_base!$B$3+datos_base!$B$19+IF(parametros_manuales!$H$22="Todos",datos_base!$B$10+datos_base!$B$24,0))*parametros_manuales!$H$100+parametros_manuales!$F$22*(datos_base!$B$4+datos_base!$B$20+IF(parametros_manuales!$H$22="Todos",datos_base!$B$11+datos_base!$B$25,0))*parametros_manuales!$H$105+parametros_manuales!$G$22*(datos_base!$B$5+datos_base!$B$21+IF(parametros_manuales!$H$22="Todos",datos_base!$B$12+datos_base!$B$26,0))*parametros_manuales!$H$110)*parametros_manuales!$I$22*parametros_manuales!$J$22</f>
        <v>1056.1923316468</v>
      </c>
      <c r="I5" s="9" t="n">
        <f aca="false">(parametros_manuales!$D$22*(datos_base!$B$2+datos_base!$B$18+IF(parametros_manuales!$H$22="Todos",datos_base!$B$9+datos_base!$B$23,0))*parametros_manuales!$I$95+parametros_manuales!$E$22*(datos_base!$B$3+datos_base!$B$19+IF(parametros_manuales!$H$22="Todos",datos_base!$B$10+datos_base!$B$24,0))*parametros_manuales!$I$100+parametros_manuales!$F$22*(datos_base!$B$4+datos_base!$B$20+IF(parametros_manuales!$H$22="Todos",datos_base!$B$11+datos_base!$B$25,0))*parametros_manuales!$I$105+parametros_manuales!$G$22*(datos_base!$B$5+datos_base!$B$21+IF(parametros_manuales!$H$22="Todos",datos_base!$B$12+datos_base!$B$26,0))*parametros_manuales!$I$110)*parametros_manuales!$I$22*parametros_manuales!$J$22</f>
        <v>1181.5544279368</v>
      </c>
      <c r="J5" s="9" t="n">
        <f aca="false">(parametros_manuales!$D$22*(datos_base!$B$2+datos_base!$B$18+IF(parametros_manuales!$H$22="Todos",datos_base!$B$9+datos_base!$B$23,0))*parametros_manuales!$J$95+parametros_manuales!$E$22*(datos_base!$B$3+datos_base!$B$19+IF(parametros_manuales!$H$22="Todos",datos_base!$B$10+datos_base!$B$24,0))*parametros_manuales!$J$100+parametros_manuales!$F$22*(datos_base!$B$4+datos_base!$B$20+IF(parametros_manuales!$H$22="Todos",datos_base!$B$11+datos_base!$B$25,0))*parametros_manuales!$J$105+parametros_manuales!$G$22*(datos_base!$B$5+datos_base!$B$21+IF(parametros_manuales!$H$22="Todos",datos_base!$B$12+datos_base!$B$26,0))*parametros_manuales!$J$110)*parametros_manuales!$I$22*parametros_manuales!$J$22</f>
        <v>1181.5544279368</v>
      </c>
      <c r="K5" s="9" t="n">
        <f aca="false">(parametros_manuales!$D$22*(datos_base!$B$2+datos_base!$B$18+IF(parametros_manuales!$H$22="Todos",datos_base!$B$9+datos_base!$B$23,0))*parametros_manuales!$K$95+parametros_manuales!$E$22*(datos_base!$B$3+datos_base!$B$19+IF(parametros_manuales!$H$22="Todos",datos_base!$B$10+datos_base!$B$24,0))*parametros_manuales!$K$100+parametros_manuales!$F$22*(datos_base!$B$4+datos_base!$B$20+IF(parametros_manuales!$H$22="Todos",datos_base!$B$11+datos_base!$B$25,0))*parametros_manuales!$K$105+parametros_manuales!$G$22*(datos_base!$B$5+datos_base!$B$21+IF(parametros_manuales!$H$22="Todos",datos_base!$B$12+datos_base!$B$26,0))*parametros_manuales!$K$110)*parametros_manuales!$I$22*parametros_manuales!$J$22</f>
        <v>1208.3907935741</v>
      </c>
      <c r="L5" s="9" t="n">
        <f aca="false">(parametros_manuales!$D$22*(datos_base!$B$2+datos_base!$B$18+IF(parametros_manuales!$H$22="Todos",datos_base!$B$9+datos_base!$B$23,0))*parametros_manuales!$L$95+parametros_manuales!$E$22*(datos_base!$B$3+datos_base!$B$19+IF(parametros_manuales!$H$22="Todos",datos_base!$B$10+datos_base!$B$24,0))*parametros_manuales!$L$100+parametros_manuales!$F$22*(datos_base!$B$4+datos_base!$B$20+IF(parametros_manuales!$H$22="Todos",datos_base!$B$11+datos_base!$B$25,0))*parametros_manuales!$L$105+parametros_manuales!$G$22*(datos_base!$B$5+datos_base!$B$21+IF(parametros_manuales!$H$22="Todos",datos_base!$B$12+datos_base!$B$26,0))*parametros_manuales!$L$110)*parametros_manuales!$I$22*parametros_manuales!$J$22</f>
        <v>1235.2271592114</v>
      </c>
      <c r="M5" s="9" t="n">
        <f aca="false">(parametros_manuales!$D$22*(datos_base!$B$2+datos_base!$B$18+IF(parametros_manuales!$H$22="Todos",datos_base!$B$9+datos_base!$B$23,0))*parametros_manuales!$M$95+parametros_manuales!$E$22*(datos_base!$B$3+datos_base!$B$19+IF(parametros_manuales!$H$22="Todos",datos_base!$B$10+datos_base!$B$24,0))*parametros_manuales!$M$100+parametros_manuales!$F$22*(datos_base!$B$4+datos_base!$B$20+IF(parametros_manuales!$H$22="Todos",datos_base!$B$11+datos_base!$B$25,0))*parametros_manuales!$M$105+parametros_manuales!$G$22*(datos_base!$B$5+datos_base!$B$21+IF(parametros_manuales!$H$22="Todos",datos_base!$B$12+datos_base!$B$26,0))*parametros_manuales!$M$110)*parametros_manuales!$I$22*parametros_manuales!$J$22</f>
        <v>1235.2271592114</v>
      </c>
      <c r="N5" s="9" t="n">
        <f aca="false">SUM(B5:M5)</f>
        <v>13724.74621346</v>
      </c>
      <c r="O5" s="9" t="n">
        <f aca="false">MAX(B5:M5)</f>
        <v>1235.2271592114</v>
      </c>
      <c r="P5" s="43" t="n">
        <f aca="false">O5/(parametros_manuales!$B$7)</f>
        <v>8.234847728076</v>
      </c>
      <c r="Q5" s="8" t="str">
        <f aca="false">IF(O5=0,"-",INDEX($B$1:$M$1,MATCH(O5,B5:M5,0)))</f>
        <v>Ene</v>
      </c>
    </row>
    <row r="6" customFormat="false" ht="14.25" hidden="false" customHeight="true" outlineLevel="0" collapsed="false">
      <c r="A6" s="8" t="str">
        <f aca="false">parametros_manuales!$B$23</f>
        <v>Preparación de cuello</v>
      </c>
      <c r="B6" s="9" t="n">
        <f aca="false">(parametros_manuales!$D$23*(datos_base!$B$2+datos_base!$B$18+IF(parametros_manuales!$H$23="Todos",datos_base!$B$9+datos_base!$B$23,0))*parametros_manuales!$B$95+parametros_manuales!$E$23*(datos_base!$B$3+datos_base!$B$19+IF(parametros_manuales!$H$23="Todos",datos_base!$B$10+datos_base!$B$24,0))*parametros_manuales!$B$100+parametros_manuales!$F$23*(datos_base!$B$4+datos_base!$B$20+IF(parametros_manuales!$H$23="Todos",datos_base!$B$11+datos_base!$B$25,0))*parametros_manuales!$B$105+parametros_manuales!$G$23*(datos_base!$B$5+datos_base!$B$21+IF(parametros_manuales!$H$23="Todos",datos_base!$B$12+datos_base!$B$26,0))*parametros_manuales!$B$110)*parametros_manuales!$I$23*parametros_manuales!$J$23</f>
        <v>617.6135796057</v>
      </c>
      <c r="C6" s="9" t="n">
        <f aca="false">(parametros_manuales!$D$23*(datos_base!$B$2+datos_base!$B$18+IF(parametros_manuales!$H$23="Todos",datos_base!$B$9+datos_base!$B$23,0))*parametros_manuales!$C$95+parametros_manuales!$E$23*(datos_base!$B$3+datos_base!$B$19+IF(parametros_manuales!$H$23="Todos",datos_base!$B$10+datos_base!$B$24,0))*parametros_manuales!$C$100+parametros_manuales!$F$23*(datos_base!$B$4+datos_base!$B$20+IF(parametros_manuales!$H$23="Todos",datos_base!$B$11+datos_base!$B$25,0))*parametros_manuales!$C$105+parametros_manuales!$G$23*(datos_base!$B$5+datos_base!$B$21+IF(parametros_manuales!$H$23="Todos",datos_base!$B$12+datos_base!$B$26,0))*parametros_manuales!$C$110)*parametros_manuales!$I$23*parametros_manuales!$J$23</f>
        <v>590.7772139684</v>
      </c>
      <c r="D6" s="9" t="n">
        <f aca="false">(parametros_manuales!$D$23*(datos_base!$B$2+datos_base!$B$18+IF(parametros_manuales!$H$23="Todos",datos_base!$B$9+datos_base!$B$23,0))*parametros_manuales!$D$95+parametros_manuales!$E$23*(datos_base!$B$3+datos_base!$B$19+IF(parametros_manuales!$H$23="Todos",datos_base!$B$10+datos_base!$B$24,0))*parametros_manuales!$D$100+parametros_manuales!$F$23*(datos_base!$B$4+datos_base!$B$20+IF(parametros_manuales!$H$23="Todos",datos_base!$B$11+datos_base!$B$25,0))*parametros_manuales!$D$105+parametros_manuales!$G$23*(datos_base!$B$5+datos_base!$B$21+IF(parametros_manuales!$H$23="Todos",datos_base!$B$12+datos_base!$B$26,0))*parametros_manuales!$D$110)*parametros_manuales!$I$23*parametros_manuales!$J$23</f>
        <v>562.40803135705</v>
      </c>
      <c r="E6" s="9" t="n">
        <f aca="false">(parametros_manuales!$D$23*(datos_base!$B$2+datos_base!$B$18+IF(parametros_manuales!$H$23="Todos",datos_base!$B$9+datos_base!$B$23,0))*parametros_manuales!$E$95+parametros_manuales!$E$23*(datos_base!$B$3+datos_base!$B$19+IF(parametros_manuales!$H$23="Todos",datos_base!$B$10+datos_base!$B$24,0))*parametros_manuales!$E$100+parametros_manuales!$F$23*(datos_base!$B$4+datos_base!$B$20+IF(parametros_manuales!$H$23="Todos",datos_base!$B$11+datos_base!$B$25,0))*parametros_manuales!$E$105+parametros_manuales!$G$23*(datos_base!$B$5+datos_base!$B$21+IF(parametros_manuales!$H$23="Todos",datos_base!$B$12+datos_base!$B$26,0))*parametros_manuales!$E$110)*parametros_manuales!$I$23*parametros_manuales!$J$23</f>
        <v>541.51434864205</v>
      </c>
      <c r="F6" s="9" t="n">
        <f aca="false">(parametros_manuales!$D$23*(datos_base!$B$2+datos_base!$B$18+IF(parametros_manuales!$H$23="Todos",datos_base!$B$9+datos_base!$B$23,0))*parametros_manuales!$F$95+parametros_manuales!$E$23*(datos_base!$B$3+datos_base!$B$19+IF(parametros_manuales!$H$23="Todos",datos_base!$B$10+datos_base!$B$24,0))*parametros_manuales!$F$100+parametros_manuales!$F$23*(datos_base!$B$4+datos_base!$B$20+IF(parametros_manuales!$H$23="Todos",datos_base!$B$11+datos_base!$B$25,0))*parametros_manuales!$F$105+parametros_manuales!$G$23*(datos_base!$B$5+datos_base!$B$21+IF(parametros_manuales!$H$23="Todos",datos_base!$B$12+datos_base!$B$26,0))*parametros_manuales!$F$110)*parametros_manuales!$I$23*parametros_manuales!$J$23</f>
        <v>507.2024831084</v>
      </c>
      <c r="G6" s="9" t="n">
        <f aca="false">(parametros_manuales!$D$23*(datos_base!$B$2+datos_base!$B$18+IF(parametros_manuales!$H$23="Todos",datos_base!$B$9+datos_base!$B$23,0))*parametros_manuales!$G$95+parametros_manuales!$E$23*(datos_base!$B$3+datos_base!$B$19+IF(parametros_manuales!$H$23="Todos",datos_base!$B$10+datos_base!$B$24,0))*parametros_manuales!$G$100+parametros_manuales!$F$23*(datos_base!$B$4+datos_base!$B$20+IF(parametros_manuales!$H$23="Todos",datos_base!$B$11+datos_base!$B$25,0))*parametros_manuales!$G$105+parametros_manuales!$G$23*(datos_base!$B$5+datos_base!$B$21+IF(parametros_manuales!$H$23="Todos",datos_base!$B$12+datos_base!$B$26,0))*parametros_manuales!$G$110)*parametros_manuales!$I$23*parametros_manuales!$J$23</f>
        <v>493.78430028975</v>
      </c>
      <c r="H6" s="9" t="n">
        <f aca="false">(parametros_manuales!$D$23*(datos_base!$B$2+datos_base!$B$18+IF(parametros_manuales!$H$23="Todos",datos_base!$B$9+datos_base!$B$23,0))*parametros_manuales!$H$95+parametros_manuales!$E$23*(datos_base!$B$3+datos_base!$B$19+IF(parametros_manuales!$H$23="Todos",datos_base!$B$10+datos_base!$B$24,0))*parametros_manuales!$H$100+parametros_manuales!$F$23*(datos_base!$B$4+datos_base!$B$20+IF(parametros_manuales!$H$23="Todos",datos_base!$B$11+datos_base!$B$25,0))*parametros_manuales!$H$105+parametros_manuales!$G$23*(datos_base!$B$5+datos_base!$B$21+IF(parametros_manuales!$H$23="Todos",datos_base!$B$12+datos_base!$B$26,0))*parametros_manuales!$H$110)*parametros_manuales!$I$23*parametros_manuales!$J$23</f>
        <v>528.0961658234</v>
      </c>
      <c r="I6" s="9" t="n">
        <f aca="false">(parametros_manuales!$D$23*(datos_base!$B$2+datos_base!$B$18+IF(parametros_manuales!$H$23="Todos",datos_base!$B$9+datos_base!$B$23,0))*parametros_manuales!$I$95+parametros_manuales!$E$23*(datos_base!$B$3+datos_base!$B$19+IF(parametros_manuales!$H$23="Todos",datos_base!$B$10+datos_base!$B$24,0))*parametros_manuales!$I$100+parametros_manuales!$F$23*(datos_base!$B$4+datos_base!$B$20+IF(parametros_manuales!$H$23="Todos",datos_base!$B$11+datos_base!$B$25,0))*parametros_manuales!$I$105+parametros_manuales!$G$23*(datos_base!$B$5+datos_base!$B$21+IF(parametros_manuales!$H$23="Todos",datos_base!$B$12+datos_base!$B$26,0))*parametros_manuales!$I$110)*parametros_manuales!$I$23*parametros_manuales!$J$23</f>
        <v>590.7772139684</v>
      </c>
      <c r="J6" s="9" t="n">
        <f aca="false">(parametros_manuales!$D$23*(datos_base!$B$2+datos_base!$B$18+IF(parametros_manuales!$H$23="Todos",datos_base!$B$9+datos_base!$B$23,0))*parametros_manuales!$J$95+parametros_manuales!$E$23*(datos_base!$B$3+datos_base!$B$19+IF(parametros_manuales!$H$23="Todos",datos_base!$B$10+datos_base!$B$24,0))*parametros_manuales!$J$100+parametros_manuales!$F$23*(datos_base!$B$4+datos_base!$B$20+IF(parametros_manuales!$H$23="Todos",datos_base!$B$11+datos_base!$B$25,0))*parametros_manuales!$J$105+parametros_manuales!$G$23*(datos_base!$B$5+datos_base!$B$21+IF(parametros_manuales!$H$23="Todos",datos_base!$B$12+datos_base!$B$26,0))*parametros_manuales!$J$110)*parametros_manuales!$I$23*parametros_manuales!$J$23</f>
        <v>590.7772139684</v>
      </c>
      <c r="K6" s="9" t="n">
        <f aca="false">(parametros_manuales!$D$23*(datos_base!$B$2+datos_base!$B$18+IF(parametros_manuales!$H$23="Todos",datos_base!$B$9+datos_base!$B$23,0))*parametros_manuales!$K$95+parametros_manuales!$E$23*(datos_base!$B$3+datos_base!$B$19+IF(parametros_manuales!$H$23="Todos",datos_base!$B$10+datos_base!$B$24,0))*parametros_manuales!$K$100+parametros_manuales!$F$23*(datos_base!$B$4+datos_base!$B$20+IF(parametros_manuales!$H$23="Todos",datos_base!$B$11+datos_base!$B$25,0))*parametros_manuales!$K$105+parametros_manuales!$G$23*(datos_base!$B$5+datos_base!$B$21+IF(parametros_manuales!$H$23="Todos",datos_base!$B$12+datos_base!$B$26,0))*parametros_manuales!$K$110)*parametros_manuales!$I$23*parametros_manuales!$J$23</f>
        <v>604.19539678705</v>
      </c>
      <c r="L6" s="9" t="n">
        <f aca="false">(parametros_manuales!$D$23*(datos_base!$B$2+datos_base!$B$18+IF(parametros_manuales!$H$23="Todos",datos_base!$B$9+datos_base!$B$23,0))*parametros_manuales!$L$95+parametros_manuales!$E$23*(datos_base!$B$3+datos_base!$B$19+IF(parametros_manuales!$H$23="Todos",datos_base!$B$10+datos_base!$B$24,0))*parametros_manuales!$L$100+parametros_manuales!$F$23*(datos_base!$B$4+datos_base!$B$20+IF(parametros_manuales!$H$23="Todos",datos_base!$B$11+datos_base!$B$25,0))*parametros_manuales!$L$105+parametros_manuales!$G$23*(datos_base!$B$5+datos_base!$B$21+IF(parametros_manuales!$H$23="Todos",datos_base!$B$12+datos_base!$B$26,0))*parametros_manuales!$L$110)*parametros_manuales!$I$23*parametros_manuales!$J$23</f>
        <v>617.6135796057</v>
      </c>
      <c r="M6" s="9" t="n">
        <f aca="false">(parametros_manuales!$D$23*(datos_base!$B$2+datos_base!$B$18+IF(parametros_manuales!$H$23="Todos",datos_base!$B$9+datos_base!$B$23,0))*parametros_manuales!$M$95+parametros_manuales!$E$23*(datos_base!$B$3+datos_base!$B$19+IF(parametros_manuales!$H$23="Todos",datos_base!$B$10+datos_base!$B$24,0))*parametros_manuales!$M$100+parametros_manuales!$F$23*(datos_base!$B$4+datos_base!$B$20+IF(parametros_manuales!$H$23="Todos",datos_base!$B$11+datos_base!$B$25,0))*parametros_manuales!$M$105+parametros_manuales!$G$23*(datos_base!$B$5+datos_base!$B$21+IF(parametros_manuales!$H$23="Todos",datos_base!$B$12+datos_base!$B$26,0))*parametros_manuales!$M$110)*parametros_manuales!$I$23*parametros_manuales!$J$23</f>
        <v>617.6135796057</v>
      </c>
      <c r="N6" s="9" t="n">
        <f aca="false">SUM(B6:M6)</f>
        <v>6862.37310673</v>
      </c>
      <c r="O6" s="9" t="n">
        <f aca="false">MAX(B6:M6)</f>
        <v>617.6135796057</v>
      </c>
      <c r="P6" s="43" t="n">
        <f aca="false">O6/(parametros_manuales!$B$7)</f>
        <v>4.117423864038</v>
      </c>
      <c r="Q6" s="8" t="str">
        <f aca="false">IF(O6=0,"-",INDEX($B$1:$M$1,MATCH(O6,B6:M6,0)))</f>
        <v>Ene</v>
      </c>
    </row>
    <row r="7" customFormat="false" ht="14.25" hidden="false" customHeight="true" outlineLevel="0" collapsed="false">
      <c r="A7" s="8" t="str">
        <f aca="false">parametros_manuales!$B$24</f>
        <v>Numerado de cúpula</v>
      </c>
      <c r="B7" s="9" t="n">
        <f aca="false">(parametros_manuales!$D$24*(datos_base!$B$2+datos_base!$B$18+IF(parametros_manuales!$H$24="Todos",datos_base!$B$9+datos_base!$B$23,0))*parametros_manuales!$B$95+parametros_manuales!$E$24*(datos_base!$B$3+datos_base!$B$19+IF(parametros_manuales!$H$24="Todos",datos_base!$B$10+datos_base!$B$24,0))*parametros_manuales!$B$100+parametros_manuales!$F$24*(datos_base!$B$4+datos_base!$B$20+IF(parametros_manuales!$H$24="Todos",datos_base!$B$11+datos_base!$B$25,0))*parametros_manuales!$B$105+parametros_manuales!$G$24*(datos_base!$B$5+datos_base!$B$21+IF(parametros_manuales!$H$24="Todos",datos_base!$B$12+datos_base!$B$26,0))*parametros_manuales!$B$110)*parametros_manuales!$I$24*parametros_manuales!$J$24</f>
        <v>617.6135796057</v>
      </c>
      <c r="C7" s="9" t="n">
        <f aca="false">(parametros_manuales!$D$24*(datos_base!$B$2+datos_base!$B$18+IF(parametros_manuales!$H$24="Todos",datos_base!$B$9+datos_base!$B$23,0))*parametros_manuales!$C$95+parametros_manuales!$E$24*(datos_base!$B$3+datos_base!$B$19+IF(parametros_manuales!$H$24="Todos",datos_base!$B$10+datos_base!$B$24,0))*parametros_manuales!$C$100+parametros_manuales!$F$24*(datos_base!$B$4+datos_base!$B$20+IF(parametros_manuales!$H$24="Todos",datos_base!$B$11+datos_base!$B$25,0))*parametros_manuales!$C$105+parametros_manuales!$G$24*(datos_base!$B$5+datos_base!$B$21+IF(parametros_manuales!$H$24="Todos",datos_base!$B$12+datos_base!$B$26,0))*parametros_manuales!$C$110)*parametros_manuales!$I$24*parametros_manuales!$J$24</f>
        <v>590.7772139684</v>
      </c>
      <c r="D7" s="9" t="n">
        <f aca="false">(parametros_manuales!$D$24*(datos_base!$B$2+datos_base!$B$18+IF(parametros_manuales!$H$24="Todos",datos_base!$B$9+datos_base!$B$23,0))*parametros_manuales!$D$95+parametros_manuales!$E$24*(datos_base!$B$3+datos_base!$B$19+IF(parametros_manuales!$H$24="Todos",datos_base!$B$10+datos_base!$B$24,0))*parametros_manuales!$D$100+parametros_manuales!$F$24*(datos_base!$B$4+datos_base!$B$20+IF(parametros_manuales!$H$24="Todos",datos_base!$B$11+datos_base!$B$25,0))*parametros_manuales!$D$105+parametros_manuales!$G$24*(datos_base!$B$5+datos_base!$B$21+IF(parametros_manuales!$H$24="Todos",datos_base!$B$12+datos_base!$B$26,0))*parametros_manuales!$D$110)*parametros_manuales!$I$24*parametros_manuales!$J$24</f>
        <v>562.40803135705</v>
      </c>
      <c r="E7" s="9" t="n">
        <f aca="false">(parametros_manuales!$D$24*(datos_base!$B$2+datos_base!$B$18+IF(parametros_manuales!$H$24="Todos",datos_base!$B$9+datos_base!$B$23,0))*parametros_manuales!$E$95+parametros_manuales!$E$24*(datos_base!$B$3+datos_base!$B$19+IF(parametros_manuales!$H$24="Todos",datos_base!$B$10+datos_base!$B$24,0))*parametros_manuales!$E$100+parametros_manuales!$F$24*(datos_base!$B$4+datos_base!$B$20+IF(parametros_manuales!$H$24="Todos",datos_base!$B$11+datos_base!$B$25,0))*parametros_manuales!$E$105+parametros_manuales!$G$24*(datos_base!$B$5+datos_base!$B$21+IF(parametros_manuales!$H$24="Todos",datos_base!$B$12+datos_base!$B$26,0))*parametros_manuales!$E$110)*parametros_manuales!$I$24*parametros_manuales!$J$24</f>
        <v>541.51434864205</v>
      </c>
      <c r="F7" s="9" t="n">
        <f aca="false">(parametros_manuales!$D$24*(datos_base!$B$2+datos_base!$B$18+IF(parametros_manuales!$H$24="Todos",datos_base!$B$9+datos_base!$B$23,0))*parametros_manuales!$F$95+parametros_manuales!$E$24*(datos_base!$B$3+datos_base!$B$19+IF(parametros_manuales!$H$24="Todos",datos_base!$B$10+datos_base!$B$24,0))*parametros_manuales!$F$100+parametros_manuales!$F$24*(datos_base!$B$4+datos_base!$B$20+IF(parametros_manuales!$H$24="Todos",datos_base!$B$11+datos_base!$B$25,0))*parametros_manuales!$F$105+parametros_manuales!$G$24*(datos_base!$B$5+datos_base!$B$21+IF(parametros_manuales!$H$24="Todos",datos_base!$B$12+datos_base!$B$26,0))*parametros_manuales!$F$110)*parametros_manuales!$I$24*parametros_manuales!$J$24</f>
        <v>507.2024831084</v>
      </c>
      <c r="G7" s="9" t="n">
        <f aca="false">(parametros_manuales!$D$24*(datos_base!$B$2+datos_base!$B$18+IF(parametros_manuales!$H$24="Todos",datos_base!$B$9+datos_base!$B$23,0))*parametros_manuales!$G$95+parametros_manuales!$E$24*(datos_base!$B$3+datos_base!$B$19+IF(parametros_manuales!$H$24="Todos",datos_base!$B$10+datos_base!$B$24,0))*parametros_manuales!$G$100+parametros_manuales!$F$24*(datos_base!$B$4+datos_base!$B$20+IF(parametros_manuales!$H$24="Todos",datos_base!$B$11+datos_base!$B$25,0))*parametros_manuales!$G$105+parametros_manuales!$G$24*(datos_base!$B$5+datos_base!$B$21+IF(parametros_manuales!$H$24="Todos",datos_base!$B$12+datos_base!$B$26,0))*parametros_manuales!$G$110)*parametros_manuales!$I$24*parametros_manuales!$J$24</f>
        <v>493.78430028975</v>
      </c>
      <c r="H7" s="9" t="n">
        <f aca="false">(parametros_manuales!$D$24*(datos_base!$B$2+datos_base!$B$18+IF(parametros_manuales!$H$24="Todos",datos_base!$B$9+datos_base!$B$23,0))*parametros_manuales!$H$95+parametros_manuales!$E$24*(datos_base!$B$3+datos_base!$B$19+IF(parametros_manuales!$H$24="Todos",datos_base!$B$10+datos_base!$B$24,0))*parametros_manuales!$H$100+parametros_manuales!$F$24*(datos_base!$B$4+datos_base!$B$20+IF(parametros_manuales!$H$24="Todos",datos_base!$B$11+datos_base!$B$25,0))*parametros_manuales!$H$105+parametros_manuales!$G$24*(datos_base!$B$5+datos_base!$B$21+IF(parametros_manuales!$H$24="Todos",datos_base!$B$12+datos_base!$B$26,0))*parametros_manuales!$H$110)*parametros_manuales!$I$24*parametros_manuales!$J$24</f>
        <v>528.0961658234</v>
      </c>
      <c r="I7" s="9" t="n">
        <f aca="false">(parametros_manuales!$D$24*(datos_base!$B$2+datos_base!$B$18+IF(parametros_manuales!$H$24="Todos",datos_base!$B$9+datos_base!$B$23,0))*parametros_manuales!$I$95+parametros_manuales!$E$24*(datos_base!$B$3+datos_base!$B$19+IF(parametros_manuales!$H$24="Todos",datos_base!$B$10+datos_base!$B$24,0))*parametros_manuales!$I$100+parametros_manuales!$F$24*(datos_base!$B$4+datos_base!$B$20+IF(parametros_manuales!$H$24="Todos",datos_base!$B$11+datos_base!$B$25,0))*parametros_manuales!$I$105+parametros_manuales!$G$24*(datos_base!$B$5+datos_base!$B$21+IF(parametros_manuales!$H$24="Todos",datos_base!$B$12+datos_base!$B$26,0))*parametros_manuales!$I$110)*parametros_manuales!$I$24*parametros_manuales!$J$24</f>
        <v>590.7772139684</v>
      </c>
      <c r="J7" s="9" t="n">
        <f aca="false">(parametros_manuales!$D$24*(datos_base!$B$2+datos_base!$B$18+IF(parametros_manuales!$H$24="Todos",datos_base!$B$9+datos_base!$B$23,0))*parametros_manuales!$J$95+parametros_manuales!$E$24*(datos_base!$B$3+datos_base!$B$19+IF(parametros_manuales!$H$24="Todos",datos_base!$B$10+datos_base!$B$24,0))*parametros_manuales!$J$100+parametros_manuales!$F$24*(datos_base!$B$4+datos_base!$B$20+IF(parametros_manuales!$H$24="Todos",datos_base!$B$11+datos_base!$B$25,0))*parametros_manuales!$J$105+parametros_manuales!$G$24*(datos_base!$B$5+datos_base!$B$21+IF(parametros_manuales!$H$24="Todos",datos_base!$B$12+datos_base!$B$26,0))*parametros_manuales!$J$110)*parametros_manuales!$I$24*parametros_manuales!$J$24</f>
        <v>590.7772139684</v>
      </c>
      <c r="K7" s="9" t="n">
        <f aca="false">(parametros_manuales!$D$24*(datos_base!$B$2+datos_base!$B$18+IF(parametros_manuales!$H$24="Todos",datos_base!$B$9+datos_base!$B$23,0))*parametros_manuales!$K$95+parametros_manuales!$E$24*(datos_base!$B$3+datos_base!$B$19+IF(parametros_manuales!$H$24="Todos",datos_base!$B$10+datos_base!$B$24,0))*parametros_manuales!$K$100+parametros_manuales!$F$24*(datos_base!$B$4+datos_base!$B$20+IF(parametros_manuales!$H$24="Todos",datos_base!$B$11+datos_base!$B$25,0))*parametros_manuales!$K$105+parametros_manuales!$G$24*(datos_base!$B$5+datos_base!$B$21+IF(parametros_manuales!$H$24="Todos",datos_base!$B$12+datos_base!$B$26,0))*parametros_manuales!$K$110)*parametros_manuales!$I$24*parametros_manuales!$J$24</f>
        <v>604.19539678705</v>
      </c>
      <c r="L7" s="9" t="n">
        <f aca="false">(parametros_manuales!$D$24*(datos_base!$B$2+datos_base!$B$18+IF(parametros_manuales!$H$24="Todos",datos_base!$B$9+datos_base!$B$23,0))*parametros_manuales!$L$95+parametros_manuales!$E$24*(datos_base!$B$3+datos_base!$B$19+IF(parametros_manuales!$H$24="Todos",datos_base!$B$10+datos_base!$B$24,0))*parametros_manuales!$L$100+parametros_manuales!$F$24*(datos_base!$B$4+datos_base!$B$20+IF(parametros_manuales!$H$24="Todos",datos_base!$B$11+datos_base!$B$25,0))*parametros_manuales!$L$105+parametros_manuales!$G$24*(datos_base!$B$5+datos_base!$B$21+IF(parametros_manuales!$H$24="Todos",datos_base!$B$12+datos_base!$B$26,0))*parametros_manuales!$L$110)*parametros_manuales!$I$24*parametros_manuales!$J$24</f>
        <v>617.6135796057</v>
      </c>
      <c r="M7" s="9" t="n">
        <f aca="false">(parametros_manuales!$D$24*(datos_base!$B$2+datos_base!$B$18+IF(parametros_manuales!$H$24="Todos",datos_base!$B$9+datos_base!$B$23,0))*parametros_manuales!$M$95+parametros_manuales!$E$24*(datos_base!$B$3+datos_base!$B$19+IF(parametros_manuales!$H$24="Todos",datos_base!$B$10+datos_base!$B$24,0))*parametros_manuales!$M$100+parametros_manuales!$F$24*(datos_base!$B$4+datos_base!$B$20+IF(parametros_manuales!$H$24="Todos",datos_base!$B$11+datos_base!$B$25,0))*parametros_manuales!$M$105+parametros_manuales!$G$24*(datos_base!$B$5+datos_base!$B$21+IF(parametros_manuales!$H$24="Todos",datos_base!$B$12+datos_base!$B$26,0))*parametros_manuales!$M$110)*parametros_manuales!$I$24*parametros_manuales!$J$24</f>
        <v>617.6135796057</v>
      </c>
      <c r="N7" s="9" t="n">
        <f aca="false">SUM(B7:M7)</f>
        <v>6862.37310673</v>
      </c>
      <c r="O7" s="9" t="n">
        <f aca="false">MAX(B7:M7)</f>
        <v>617.6135796057</v>
      </c>
      <c r="P7" s="43" t="n">
        <f aca="false">O7/(parametros_manuales!$B$7)</f>
        <v>4.117423864038</v>
      </c>
      <c r="Q7" s="8" t="str">
        <f aca="false">IF(O7=0,"-",INDEX($B$1:$M$1,MATCH(O7,B7:M7,0)))</f>
        <v>Ene</v>
      </c>
    </row>
    <row r="8" customFormat="false" ht="14.25" hidden="false" customHeight="true" outlineLevel="0" collapsed="false">
      <c r="A8" s="8" t="str">
        <f aca="false">parametros_manuales!$B$25</f>
        <v>Soldadura del cuello a la cúpula</v>
      </c>
      <c r="B8" s="9" t="n">
        <f aca="false">(parametros_manuales!$D$25*(datos_base!$B$2+datos_base!$B$18+IF(parametros_manuales!$H$25="Todos",datos_base!$B$9+datos_base!$B$23,0))*parametros_manuales!$B$95+parametros_manuales!$E$25*(datos_base!$B$3+datos_base!$B$19+IF(parametros_manuales!$H$25="Todos",datos_base!$B$10+datos_base!$B$24,0))*parametros_manuales!$B$100+parametros_manuales!$F$25*(datos_base!$B$4+datos_base!$B$20+IF(parametros_manuales!$H$25="Todos",datos_base!$B$11+datos_base!$B$25,0))*parametros_manuales!$B$105+parametros_manuales!$G$25*(datos_base!$B$5+datos_base!$B$21+IF(parametros_manuales!$H$25="Todos",datos_base!$B$12+datos_base!$B$26,0))*parametros_manuales!$B$110)*parametros_manuales!$I$25*parametros_manuales!$J$25</f>
        <v>617.6135796057</v>
      </c>
      <c r="C8" s="9" t="n">
        <f aca="false">(parametros_manuales!$D$25*(datos_base!$B$2+datos_base!$B$18+IF(parametros_manuales!$H$25="Todos",datos_base!$B$9+datos_base!$B$23,0))*parametros_manuales!$C$95+parametros_manuales!$E$25*(datos_base!$B$3+datos_base!$B$19+IF(parametros_manuales!$H$25="Todos",datos_base!$B$10+datos_base!$B$24,0))*parametros_manuales!$C$100+parametros_manuales!$F$25*(datos_base!$B$4+datos_base!$B$20+IF(parametros_manuales!$H$25="Todos",datos_base!$B$11+datos_base!$B$25,0))*parametros_manuales!$C$105+parametros_manuales!$G$25*(datos_base!$B$5+datos_base!$B$21+IF(parametros_manuales!$H$25="Todos",datos_base!$B$12+datos_base!$B$26,0))*parametros_manuales!$C$110)*parametros_manuales!$I$25*parametros_manuales!$J$25</f>
        <v>590.7772139684</v>
      </c>
      <c r="D8" s="9" t="n">
        <f aca="false">(parametros_manuales!$D$25*(datos_base!$B$2+datos_base!$B$18+IF(parametros_manuales!$H$25="Todos",datos_base!$B$9+datos_base!$B$23,0))*parametros_manuales!$D$95+parametros_manuales!$E$25*(datos_base!$B$3+datos_base!$B$19+IF(parametros_manuales!$H$25="Todos",datos_base!$B$10+datos_base!$B$24,0))*parametros_manuales!$D$100+parametros_manuales!$F$25*(datos_base!$B$4+datos_base!$B$20+IF(parametros_manuales!$H$25="Todos",datos_base!$B$11+datos_base!$B$25,0))*parametros_manuales!$D$105+parametros_manuales!$G$25*(datos_base!$B$5+datos_base!$B$21+IF(parametros_manuales!$H$25="Todos",datos_base!$B$12+datos_base!$B$26,0))*parametros_manuales!$D$110)*parametros_manuales!$I$25*parametros_manuales!$J$25</f>
        <v>562.40803135705</v>
      </c>
      <c r="E8" s="9" t="n">
        <f aca="false">(parametros_manuales!$D$25*(datos_base!$B$2+datos_base!$B$18+IF(parametros_manuales!$H$25="Todos",datos_base!$B$9+datos_base!$B$23,0))*parametros_manuales!$E$95+parametros_manuales!$E$25*(datos_base!$B$3+datos_base!$B$19+IF(parametros_manuales!$H$25="Todos",datos_base!$B$10+datos_base!$B$24,0))*parametros_manuales!$E$100+parametros_manuales!$F$25*(datos_base!$B$4+datos_base!$B$20+IF(parametros_manuales!$H$25="Todos",datos_base!$B$11+datos_base!$B$25,0))*parametros_manuales!$E$105+parametros_manuales!$G$25*(datos_base!$B$5+datos_base!$B$21+IF(parametros_manuales!$H$25="Todos",datos_base!$B$12+datos_base!$B$26,0))*parametros_manuales!$E$110)*parametros_manuales!$I$25*parametros_manuales!$J$25</f>
        <v>541.51434864205</v>
      </c>
      <c r="F8" s="9" t="n">
        <f aca="false">(parametros_manuales!$D$25*(datos_base!$B$2+datos_base!$B$18+IF(parametros_manuales!$H$25="Todos",datos_base!$B$9+datos_base!$B$23,0))*parametros_manuales!$F$95+parametros_manuales!$E$25*(datos_base!$B$3+datos_base!$B$19+IF(parametros_manuales!$H$25="Todos",datos_base!$B$10+datos_base!$B$24,0))*parametros_manuales!$F$100+parametros_manuales!$F$25*(datos_base!$B$4+datos_base!$B$20+IF(parametros_manuales!$H$25="Todos",datos_base!$B$11+datos_base!$B$25,0))*parametros_manuales!$F$105+parametros_manuales!$G$25*(datos_base!$B$5+datos_base!$B$21+IF(parametros_manuales!$H$25="Todos",datos_base!$B$12+datos_base!$B$26,0))*parametros_manuales!$F$110)*parametros_manuales!$I$25*parametros_manuales!$J$25</f>
        <v>507.2024831084</v>
      </c>
      <c r="G8" s="9" t="n">
        <f aca="false">(parametros_manuales!$D$25*(datos_base!$B$2+datos_base!$B$18+IF(parametros_manuales!$H$25="Todos",datos_base!$B$9+datos_base!$B$23,0))*parametros_manuales!$G$95+parametros_manuales!$E$25*(datos_base!$B$3+datos_base!$B$19+IF(parametros_manuales!$H$25="Todos",datos_base!$B$10+datos_base!$B$24,0))*parametros_manuales!$G$100+parametros_manuales!$F$25*(datos_base!$B$4+datos_base!$B$20+IF(parametros_manuales!$H$25="Todos",datos_base!$B$11+datos_base!$B$25,0))*parametros_manuales!$G$105+parametros_manuales!$G$25*(datos_base!$B$5+datos_base!$B$21+IF(parametros_manuales!$H$25="Todos",datos_base!$B$12+datos_base!$B$26,0))*parametros_manuales!$G$110)*parametros_manuales!$I$25*parametros_manuales!$J$25</f>
        <v>493.78430028975</v>
      </c>
      <c r="H8" s="9" t="n">
        <f aca="false">(parametros_manuales!$D$25*(datos_base!$B$2+datos_base!$B$18+IF(parametros_manuales!$H$25="Todos",datos_base!$B$9+datos_base!$B$23,0))*parametros_manuales!$H$95+parametros_manuales!$E$25*(datos_base!$B$3+datos_base!$B$19+IF(parametros_manuales!$H$25="Todos",datos_base!$B$10+datos_base!$B$24,0))*parametros_manuales!$H$100+parametros_manuales!$F$25*(datos_base!$B$4+datos_base!$B$20+IF(parametros_manuales!$H$25="Todos",datos_base!$B$11+datos_base!$B$25,0))*parametros_manuales!$H$105+parametros_manuales!$G$25*(datos_base!$B$5+datos_base!$B$21+IF(parametros_manuales!$H$25="Todos",datos_base!$B$12+datos_base!$B$26,0))*parametros_manuales!$H$110)*parametros_manuales!$I$25*parametros_manuales!$J$25</f>
        <v>528.0961658234</v>
      </c>
      <c r="I8" s="9" t="n">
        <f aca="false">(parametros_manuales!$D$25*(datos_base!$B$2+datos_base!$B$18+IF(parametros_manuales!$H$25="Todos",datos_base!$B$9+datos_base!$B$23,0))*parametros_manuales!$I$95+parametros_manuales!$E$25*(datos_base!$B$3+datos_base!$B$19+IF(parametros_manuales!$H$25="Todos",datos_base!$B$10+datos_base!$B$24,0))*parametros_manuales!$I$100+parametros_manuales!$F$25*(datos_base!$B$4+datos_base!$B$20+IF(parametros_manuales!$H$25="Todos",datos_base!$B$11+datos_base!$B$25,0))*parametros_manuales!$I$105+parametros_manuales!$G$25*(datos_base!$B$5+datos_base!$B$21+IF(parametros_manuales!$H$25="Todos",datos_base!$B$12+datos_base!$B$26,0))*parametros_manuales!$I$110)*parametros_manuales!$I$25*parametros_manuales!$J$25</f>
        <v>590.7772139684</v>
      </c>
      <c r="J8" s="9" t="n">
        <f aca="false">(parametros_manuales!$D$25*(datos_base!$B$2+datos_base!$B$18+IF(parametros_manuales!$H$25="Todos",datos_base!$B$9+datos_base!$B$23,0))*parametros_manuales!$J$95+parametros_manuales!$E$25*(datos_base!$B$3+datos_base!$B$19+IF(parametros_manuales!$H$25="Todos",datos_base!$B$10+datos_base!$B$24,0))*parametros_manuales!$J$100+parametros_manuales!$F$25*(datos_base!$B$4+datos_base!$B$20+IF(parametros_manuales!$H$25="Todos",datos_base!$B$11+datos_base!$B$25,0))*parametros_manuales!$J$105+parametros_manuales!$G$25*(datos_base!$B$5+datos_base!$B$21+IF(parametros_manuales!$H$25="Todos",datos_base!$B$12+datos_base!$B$26,0))*parametros_manuales!$J$110)*parametros_manuales!$I$25*parametros_manuales!$J$25</f>
        <v>590.7772139684</v>
      </c>
      <c r="K8" s="9" t="n">
        <f aca="false">(parametros_manuales!$D$25*(datos_base!$B$2+datos_base!$B$18+IF(parametros_manuales!$H$25="Todos",datos_base!$B$9+datos_base!$B$23,0))*parametros_manuales!$K$95+parametros_manuales!$E$25*(datos_base!$B$3+datos_base!$B$19+IF(parametros_manuales!$H$25="Todos",datos_base!$B$10+datos_base!$B$24,0))*parametros_manuales!$K$100+parametros_manuales!$F$25*(datos_base!$B$4+datos_base!$B$20+IF(parametros_manuales!$H$25="Todos",datos_base!$B$11+datos_base!$B$25,0))*parametros_manuales!$K$105+parametros_manuales!$G$25*(datos_base!$B$5+datos_base!$B$21+IF(parametros_manuales!$H$25="Todos",datos_base!$B$12+datos_base!$B$26,0))*parametros_manuales!$K$110)*parametros_manuales!$I$25*parametros_manuales!$J$25</f>
        <v>604.19539678705</v>
      </c>
      <c r="L8" s="9" t="n">
        <f aca="false">(parametros_manuales!$D$25*(datos_base!$B$2+datos_base!$B$18+IF(parametros_manuales!$H$25="Todos",datos_base!$B$9+datos_base!$B$23,0))*parametros_manuales!$L$95+parametros_manuales!$E$25*(datos_base!$B$3+datos_base!$B$19+IF(parametros_manuales!$H$25="Todos",datos_base!$B$10+datos_base!$B$24,0))*parametros_manuales!$L$100+parametros_manuales!$F$25*(datos_base!$B$4+datos_base!$B$20+IF(parametros_manuales!$H$25="Todos",datos_base!$B$11+datos_base!$B$25,0))*parametros_manuales!$L$105+parametros_manuales!$G$25*(datos_base!$B$5+datos_base!$B$21+IF(parametros_manuales!$H$25="Todos",datos_base!$B$12+datos_base!$B$26,0))*parametros_manuales!$L$110)*parametros_manuales!$I$25*parametros_manuales!$J$25</f>
        <v>617.6135796057</v>
      </c>
      <c r="M8" s="9" t="n">
        <f aca="false">(parametros_manuales!$D$25*(datos_base!$B$2+datos_base!$B$18+IF(parametros_manuales!$H$25="Todos",datos_base!$B$9+datos_base!$B$23,0))*parametros_manuales!$M$95+parametros_manuales!$E$25*(datos_base!$B$3+datos_base!$B$19+IF(parametros_manuales!$H$25="Todos",datos_base!$B$10+datos_base!$B$24,0))*parametros_manuales!$M$100+parametros_manuales!$F$25*(datos_base!$B$4+datos_base!$B$20+IF(parametros_manuales!$H$25="Todos",datos_base!$B$11+datos_base!$B$25,0))*parametros_manuales!$M$105+parametros_manuales!$G$25*(datos_base!$B$5+datos_base!$B$21+IF(parametros_manuales!$H$25="Todos",datos_base!$B$12+datos_base!$B$26,0))*parametros_manuales!$M$110)*parametros_manuales!$I$25*parametros_manuales!$J$25</f>
        <v>617.6135796057</v>
      </c>
      <c r="N8" s="9" t="n">
        <f aca="false">SUM(B8:M8)</f>
        <v>6862.37310673</v>
      </c>
      <c r="O8" s="9" t="n">
        <f aca="false">MAX(B8:M8)</f>
        <v>617.6135796057</v>
      </c>
      <c r="P8" s="43" t="n">
        <f aca="false">O8/(parametros_manuales!$B$7)</f>
        <v>4.117423864038</v>
      </c>
      <c r="Q8" s="8" t="str">
        <f aca="false">IF(O8=0,"-",INDEX($B$1:$M$1,MATCH(O8,B8:M8,0)))</f>
        <v>Ene</v>
      </c>
    </row>
    <row r="9" customFormat="false" ht="14.25" hidden="false" customHeight="true" outlineLevel="0" collapsed="false">
      <c r="A9" s="8" t="str">
        <f aca="false">parametros_manuales!$B$26</f>
        <v>Cilindrado</v>
      </c>
      <c r="B9" s="9" t="n">
        <f aca="false">(parametros_manuales!$D$26*(datos_base!$B$2+datos_base!$B$18+IF(parametros_manuales!$H$26="Todos",datos_base!$B$9+datos_base!$B$23,0))*parametros_manuales!$B$95+parametros_manuales!$E$26*(datos_base!$B$3+datos_base!$B$19+IF(parametros_manuales!$H$26="Todos",datos_base!$B$10+datos_base!$B$24,0))*parametros_manuales!$B$100+parametros_manuales!$F$26*(datos_base!$B$4+datos_base!$B$20+IF(parametros_manuales!$H$26="Todos",datos_base!$B$11+datos_base!$B$25,0))*parametros_manuales!$B$105+parametros_manuales!$G$26*(datos_base!$B$5+datos_base!$B$21+IF(parametros_manuales!$H$26="Todos",datos_base!$B$12+datos_base!$B$26,0))*parametros_manuales!$B$110)*parametros_manuales!$I$26*parametros_manuales!$J$26</f>
        <v>241.5272907357</v>
      </c>
      <c r="C9" s="9" t="n">
        <f aca="false">(parametros_manuales!$D$26*(datos_base!$B$2+datos_base!$B$18+IF(parametros_manuales!$H$26="Todos",datos_base!$B$9+datos_base!$B$23,0))*parametros_manuales!$C$95+parametros_manuales!$E$26*(datos_base!$B$3+datos_base!$B$19+IF(parametros_manuales!$H$26="Todos",datos_base!$B$10+datos_base!$B$24,0))*parametros_manuales!$C$100+parametros_manuales!$F$26*(datos_base!$B$4+datos_base!$B$20+IF(parametros_manuales!$H$26="Todos",datos_base!$B$11+datos_base!$B$25,0))*parametros_manuales!$C$105+parametros_manuales!$G$26*(datos_base!$B$5+datos_base!$B$21+IF(parametros_manuales!$H$26="Todos",datos_base!$B$12+datos_base!$B$26,0))*parametros_manuales!$C$110)*parametros_manuales!$I$26*parametros_manuales!$J$26</f>
        <v>214.6909250984</v>
      </c>
      <c r="D9" s="9" t="n">
        <f aca="false">(parametros_manuales!$D$26*(datos_base!$B$2+datos_base!$B$18+IF(parametros_manuales!$H$26="Todos",datos_base!$B$9+datos_base!$B$23,0))*parametros_manuales!$D$95+parametros_manuales!$E$26*(datos_base!$B$3+datos_base!$B$19+IF(parametros_manuales!$H$26="Todos",datos_base!$B$10+datos_base!$B$24,0))*parametros_manuales!$D$100+parametros_manuales!$F$26*(datos_base!$B$4+datos_base!$B$20+IF(parametros_manuales!$H$26="Todos",datos_base!$B$11+datos_base!$B$25,0))*parametros_manuales!$D$105+parametros_manuales!$G$26*(datos_base!$B$5+datos_base!$B$21+IF(parametros_manuales!$H$26="Todos",datos_base!$B$12+datos_base!$B$26,0))*parametros_manuales!$D$110)*parametros_manuales!$I$26*parametros_manuales!$J$26</f>
        <v>228.10910791705</v>
      </c>
      <c r="E9" s="9" t="n">
        <f aca="false">(parametros_manuales!$D$26*(datos_base!$B$2+datos_base!$B$18+IF(parametros_manuales!$H$26="Todos",datos_base!$B$9+datos_base!$B$23,0))*parametros_manuales!$E$95+parametros_manuales!$E$26*(datos_base!$B$3+datos_base!$B$19+IF(parametros_manuales!$H$26="Todos",datos_base!$B$10+datos_base!$B$24,0))*parametros_manuales!$E$100+parametros_manuales!$F$26*(datos_base!$B$4+datos_base!$B$20+IF(parametros_manuales!$H$26="Todos",datos_base!$B$11+datos_base!$B$25,0))*parametros_manuales!$E$105+parametros_manuales!$G$26*(datos_base!$B$5+datos_base!$B$21+IF(parametros_manuales!$H$26="Todos",datos_base!$B$12+datos_base!$B$26,0))*parametros_manuales!$E$110)*parametros_manuales!$I$26*parametros_manuales!$J$26</f>
        <v>228.10910791705</v>
      </c>
      <c r="F9" s="9" t="n">
        <f aca="false">(parametros_manuales!$D$26*(datos_base!$B$2+datos_base!$B$18+IF(parametros_manuales!$H$26="Todos",datos_base!$B$9+datos_base!$B$23,0))*parametros_manuales!$F$95+parametros_manuales!$E$26*(datos_base!$B$3+datos_base!$B$19+IF(parametros_manuales!$H$26="Todos",datos_base!$B$10+datos_base!$B$24,0))*parametros_manuales!$F$100+parametros_manuales!$F$26*(datos_base!$B$4+datos_base!$B$20+IF(parametros_manuales!$H$26="Todos",datos_base!$B$11+datos_base!$B$25,0))*parametros_manuales!$F$105+parametros_manuales!$G$26*(datos_base!$B$5+datos_base!$B$21+IF(parametros_manuales!$H$26="Todos",datos_base!$B$12+datos_base!$B$26,0))*parametros_manuales!$F$110)*parametros_manuales!$I$26*parametros_manuales!$J$26</f>
        <v>214.6909250984</v>
      </c>
      <c r="G9" s="9" t="n">
        <f aca="false">(parametros_manuales!$D$26*(datos_base!$B$2+datos_base!$B$18+IF(parametros_manuales!$H$26="Todos",datos_base!$B$9+datos_base!$B$23,0))*parametros_manuales!$G$95+parametros_manuales!$E$26*(datos_base!$B$3+datos_base!$B$19+IF(parametros_manuales!$H$26="Todos",datos_base!$B$10+datos_base!$B$24,0))*parametros_manuales!$G$100+parametros_manuales!$F$26*(datos_base!$B$4+datos_base!$B$20+IF(parametros_manuales!$H$26="Todos",datos_base!$B$11+datos_base!$B$25,0))*parametros_manuales!$G$105+parametros_manuales!$G$26*(datos_base!$B$5+datos_base!$B$21+IF(parametros_manuales!$H$26="Todos",datos_base!$B$12+datos_base!$B$26,0))*parametros_manuales!$G$110)*parametros_manuales!$I$26*parametros_manuales!$J$26</f>
        <v>201.27274227975</v>
      </c>
      <c r="H9" s="9" t="n">
        <f aca="false">(parametros_manuales!$D$26*(datos_base!$B$2+datos_base!$B$18+IF(parametros_manuales!$H$26="Todos",datos_base!$B$9+datos_base!$B$23,0))*parametros_manuales!$H$95+parametros_manuales!$E$26*(datos_base!$B$3+datos_base!$B$19+IF(parametros_manuales!$H$26="Todos",datos_base!$B$10+datos_base!$B$24,0))*parametros_manuales!$H$100+parametros_manuales!$F$26*(datos_base!$B$4+datos_base!$B$20+IF(parametros_manuales!$H$26="Todos",datos_base!$B$11+datos_base!$B$25,0))*parametros_manuales!$H$105+parametros_manuales!$G$26*(datos_base!$B$5+datos_base!$B$21+IF(parametros_manuales!$H$26="Todos",datos_base!$B$12+datos_base!$B$26,0))*parametros_manuales!$H$110)*parametros_manuales!$I$26*parametros_manuales!$J$26</f>
        <v>214.6909250984</v>
      </c>
      <c r="I9" s="9" t="n">
        <f aca="false">(parametros_manuales!$D$26*(datos_base!$B$2+datos_base!$B$18+IF(parametros_manuales!$H$26="Todos",datos_base!$B$9+datos_base!$B$23,0))*parametros_manuales!$I$95+parametros_manuales!$E$26*(datos_base!$B$3+datos_base!$B$19+IF(parametros_manuales!$H$26="Todos",datos_base!$B$10+datos_base!$B$24,0))*parametros_manuales!$I$100+parametros_manuales!$F$26*(datos_base!$B$4+datos_base!$B$20+IF(parametros_manuales!$H$26="Todos",datos_base!$B$11+datos_base!$B$25,0))*parametros_manuales!$I$105+parametros_manuales!$G$26*(datos_base!$B$5+datos_base!$B$21+IF(parametros_manuales!$H$26="Todos",datos_base!$B$12+datos_base!$B$26,0))*parametros_manuales!$I$110)*parametros_manuales!$I$26*parametros_manuales!$J$26</f>
        <v>214.6909250984</v>
      </c>
      <c r="J9" s="9" t="n">
        <f aca="false">(parametros_manuales!$D$26*(datos_base!$B$2+datos_base!$B$18+IF(parametros_manuales!$H$26="Todos",datos_base!$B$9+datos_base!$B$23,0))*parametros_manuales!$J$95+parametros_manuales!$E$26*(datos_base!$B$3+datos_base!$B$19+IF(parametros_manuales!$H$26="Todos",datos_base!$B$10+datos_base!$B$24,0))*parametros_manuales!$J$100+parametros_manuales!$F$26*(datos_base!$B$4+datos_base!$B$20+IF(parametros_manuales!$H$26="Todos",datos_base!$B$11+datos_base!$B$25,0))*parametros_manuales!$J$105+parametros_manuales!$G$26*(datos_base!$B$5+datos_base!$B$21+IF(parametros_manuales!$H$26="Todos",datos_base!$B$12+datos_base!$B$26,0))*parametros_manuales!$J$110)*parametros_manuales!$I$26*parametros_manuales!$J$26</f>
        <v>214.6909250984</v>
      </c>
      <c r="K9" s="9" t="n">
        <f aca="false">(parametros_manuales!$D$26*(datos_base!$B$2+datos_base!$B$18+IF(parametros_manuales!$H$26="Todos",datos_base!$B$9+datos_base!$B$23,0))*parametros_manuales!$K$95+parametros_manuales!$E$26*(datos_base!$B$3+datos_base!$B$19+IF(parametros_manuales!$H$26="Todos",datos_base!$B$10+datos_base!$B$24,0))*parametros_manuales!$K$100+parametros_manuales!$F$26*(datos_base!$B$4+datos_base!$B$20+IF(parametros_manuales!$H$26="Todos",datos_base!$B$11+datos_base!$B$25,0))*parametros_manuales!$K$105+parametros_manuales!$G$26*(datos_base!$B$5+datos_base!$B$21+IF(parametros_manuales!$H$26="Todos",datos_base!$B$12+datos_base!$B$26,0))*parametros_manuales!$K$110)*parametros_manuales!$I$26*parametros_manuales!$J$26</f>
        <v>228.10910791705</v>
      </c>
      <c r="L9" s="9" t="n">
        <f aca="false">(parametros_manuales!$D$26*(datos_base!$B$2+datos_base!$B$18+IF(parametros_manuales!$H$26="Todos",datos_base!$B$9+datos_base!$B$23,0))*parametros_manuales!$L$95+parametros_manuales!$E$26*(datos_base!$B$3+datos_base!$B$19+IF(parametros_manuales!$H$26="Todos",datos_base!$B$10+datos_base!$B$24,0))*parametros_manuales!$L$100+parametros_manuales!$F$26*(datos_base!$B$4+datos_base!$B$20+IF(parametros_manuales!$H$26="Todos",datos_base!$B$11+datos_base!$B$25,0))*parametros_manuales!$L$105+parametros_manuales!$G$26*(datos_base!$B$5+datos_base!$B$21+IF(parametros_manuales!$H$26="Todos",datos_base!$B$12+datos_base!$B$26,0))*parametros_manuales!$L$110)*parametros_manuales!$I$26*parametros_manuales!$J$26</f>
        <v>241.5272907357</v>
      </c>
      <c r="M9" s="9" t="n">
        <f aca="false">(parametros_manuales!$D$26*(datos_base!$B$2+datos_base!$B$18+IF(parametros_manuales!$H$26="Todos",datos_base!$B$9+datos_base!$B$23,0))*parametros_manuales!$M$95+parametros_manuales!$E$26*(datos_base!$B$3+datos_base!$B$19+IF(parametros_manuales!$H$26="Todos",datos_base!$B$10+datos_base!$B$24,0))*parametros_manuales!$M$100+parametros_manuales!$F$26*(datos_base!$B$4+datos_base!$B$20+IF(parametros_manuales!$H$26="Todos",datos_base!$B$11+datos_base!$B$25,0))*parametros_manuales!$M$105+parametros_manuales!$G$26*(datos_base!$B$5+datos_base!$B$21+IF(parametros_manuales!$H$26="Todos",datos_base!$B$12+datos_base!$B$26,0))*parametros_manuales!$M$110)*parametros_manuales!$I$26*parametros_manuales!$J$26</f>
        <v>241.5272907357</v>
      </c>
      <c r="N9" s="9" t="n">
        <f aca="false">SUM(B9:M9)</f>
        <v>2683.63656373</v>
      </c>
      <c r="O9" s="9" t="n">
        <f aca="false">MAX(B9:M9)</f>
        <v>241.5272907357</v>
      </c>
      <c r="P9" s="43" t="n">
        <f aca="false">O9/(parametros_manuales!$B$7)</f>
        <v>1.610181938238</v>
      </c>
      <c r="Q9" s="8" t="str">
        <f aca="false">IF(O9=0,"-",INDEX($B$1:$M$1,MATCH(O9,B9:M9,0)))</f>
        <v>Ene</v>
      </c>
    </row>
    <row r="10" customFormat="false" ht="14.25" hidden="false" customHeight="true" outlineLevel="0" collapsed="false">
      <c r="A10" s="8" t="str">
        <f aca="false">parametros_manuales!$B$27</f>
        <v>Soldadura longitudinal</v>
      </c>
      <c r="B10" s="9" t="n">
        <f aca="false">(parametros_manuales!$D$27*(datos_base!$B$2+datos_base!$B$18+IF(parametros_manuales!$H$27="Todos",datos_base!$B$9+datos_base!$B$23,0))*parametros_manuales!$B$95+parametros_manuales!$E$27*(datos_base!$B$3+datos_base!$B$19+IF(parametros_manuales!$H$27="Todos",datos_base!$B$10+datos_base!$B$24,0))*parametros_manuales!$B$100+parametros_manuales!$F$27*(datos_base!$B$4+datos_base!$B$20+IF(parametros_manuales!$H$27="Todos",datos_base!$B$11+datos_base!$B$25,0))*parametros_manuales!$B$105+parametros_manuales!$G$27*(datos_base!$B$5+datos_base!$B$21+IF(parametros_manuales!$H$27="Todos",datos_base!$B$12+datos_base!$B$26,0))*parametros_manuales!$B$110)*parametros_manuales!$I$27*parametros_manuales!$J$27</f>
        <v>241.5272907357</v>
      </c>
      <c r="C10" s="9" t="n">
        <f aca="false">(parametros_manuales!$D$27*(datos_base!$B$2+datos_base!$B$18+IF(parametros_manuales!$H$27="Todos",datos_base!$B$9+datos_base!$B$23,0))*parametros_manuales!$C$95+parametros_manuales!$E$27*(datos_base!$B$3+datos_base!$B$19+IF(parametros_manuales!$H$27="Todos",datos_base!$B$10+datos_base!$B$24,0))*parametros_manuales!$C$100+parametros_manuales!$F$27*(datos_base!$B$4+datos_base!$B$20+IF(parametros_manuales!$H$27="Todos",datos_base!$B$11+datos_base!$B$25,0))*parametros_manuales!$C$105+parametros_manuales!$G$27*(datos_base!$B$5+datos_base!$B$21+IF(parametros_manuales!$H$27="Todos",datos_base!$B$12+datos_base!$B$26,0))*parametros_manuales!$C$110)*parametros_manuales!$I$27*parametros_manuales!$J$27</f>
        <v>214.6909250984</v>
      </c>
      <c r="D10" s="9" t="n">
        <f aca="false">(parametros_manuales!$D$27*(datos_base!$B$2+datos_base!$B$18+IF(parametros_manuales!$H$27="Todos",datos_base!$B$9+datos_base!$B$23,0))*parametros_manuales!$D$95+parametros_manuales!$E$27*(datos_base!$B$3+datos_base!$B$19+IF(parametros_manuales!$H$27="Todos",datos_base!$B$10+datos_base!$B$24,0))*parametros_manuales!$D$100+parametros_manuales!$F$27*(datos_base!$B$4+datos_base!$B$20+IF(parametros_manuales!$H$27="Todos",datos_base!$B$11+datos_base!$B$25,0))*parametros_manuales!$D$105+parametros_manuales!$G$27*(datos_base!$B$5+datos_base!$B$21+IF(parametros_manuales!$H$27="Todos",datos_base!$B$12+datos_base!$B$26,0))*parametros_manuales!$D$110)*parametros_manuales!$I$27*parametros_manuales!$J$27</f>
        <v>228.10910791705</v>
      </c>
      <c r="E10" s="9" t="n">
        <f aca="false">(parametros_manuales!$D$27*(datos_base!$B$2+datos_base!$B$18+IF(parametros_manuales!$H$27="Todos",datos_base!$B$9+datos_base!$B$23,0))*parametros_manuales!$E$95+parametros_manuales!$E$27*(datos_base!$B$3+datos_base!$B$19+IF(parametros_manuales!$H$27="Todos",datos_base!$B$10+datos_base!$B$24,0))*parametros_manuales!$E$100+parametros_manuales!$F$27*(datos_base!$B$4+datos_base!$B$20+IF(parametros_manuales!$H$27="Todos",datos_base!$B$11+datos_base!$B$25,0))*parametros_manuales!$E$105+parametros_manuales!$G$27*(datos_base!$B$5+datos_base!$B$21+IF(parametros_manuales!$H$27="Todos",datos_base!$B$12+datos_base!$B$26,0))*parametros_manuales!$E$110)*parametros_manuales!$I$27*parametros_manuales!$J$27</f>
        <v>228.10910791705</v>
      </c>
      <c r="F10" s="9" t="n">
        <f aca="false">(parametros_manuales!$D$27*(datos_base!$B$2+datos_base!$B$18+IF(parametros_manuales!$H$27="Todos",datos_base!$B$9+datos_base!$B$23,0))*parametros_manuales!$F$95+parametros_manuales!$E$27*(datos_base!$B$3+datos_base!$B$19+IF(parametros_manuales!$H$27="Todos",datos_base!$B$10+datos_base!$B$24,0))*parametros_manuales!$F$100+parametros_manuales!$F$27*(datos_base!$B$4+datos_base!$B$20+IF(parametros_manuales!$H$27="Todos",datos_base!$B$11+datos_base!$B$25,0))*parametros_manuales!$F$105+parametros_manuales!$G$27*(datos_base!$B$5+datos_base!$B$21+IF(parametros_manuales!$H$27="Todos",datos_base!$B$12+datos_base!$B$26,0))*parametros_manuales!$F$110)*parametros_manuales!$I$27*parametros_manuales!$J$27</f>
        <v>214.6909250984</v>
      </c>
      <c r="G10" s="9" t="n">
        <f aca="false">(parametros_manuales!$D$27*(datos_base!$B$2+datos_base!$B$18+IF(parametros_manuales!$H$27="Todos",datos_base!$B$9+datos_base!$B$23,0))*parametros_manuales!$G$95+parametros_manuales!$E$27*(datos_base!$B$3+datos_base!$B$19+IF(parametros_manuales!$H$27="Todos",datos_base!$B$10+datos_base!$B$24,0))*parametros_manuales!$G$100+parametros_manuales!$F$27*(datos_base!$B$4+datos_base!$B$20+IF(parametros_manuales!$H$27="Todos",datos_base!$B$11+datos_base!$B$25,0))*parametros_manuales!$G$105+parametros_manuales!$G$27*(datos_base!$B$5+datos_base!$B$21+IF(parametros_manuales!$H$27="Todos",datos_base!$B$12+datos_base!$B$26,0))*parametros_manuales!$G$110)*parametros_manuales!$I$27*parametros_manuales!$J$27</f>
        <v>201.27274227975</v>
      </c>
      <c r="H10" s="9" t="n">
        <f aca="false">(parametros_manuales!$D$27*(datos_base!$B$2+datos_base!$B$18+IF(parametros_manuales!$H$27="Todos",datos_base!$B$9+datos_base!$B$23,0))*parametros_manuales!$H$95+parametros_manuales!$E$27*(datos_base!$B$3+datos_base!$B$19+IF(parametros_manuales!$H$27="Todos",datos_base!$B$10+datos_base!$B$24,0))*parametros_manuales!$H$100+parametros_manuales!$F$27*(datos_base!$B$4+datos_base!$B$20+IF(parametros_manuales!$H$27="Todos",datos_base!$B$11+datos_base!$B$25,0))*parametros_manuales!$H$105+parametros_manuales!$G$27*(datos_base!$B$5+datos_base!$B$21+IF(parametros_manuales!$H$27="Todos",datos_base!$B$12+datos_base!$B$26,0))*parametros_manuales!$H$110)*parametros_manuales!$I$27*parametros_manuales!$J$27</f>
        <v>214.6909250984</v>
      </c>
      <c r="I10" s="9" t="n">
        <f aca="false">(parametros_manuales!$D$27*(datos_base!$B$2+datos_base!$B$18+IF(parametros_manuales!$H$27="Todos",datos_base!$B$9+datos_base!$B$23,0))*parametros_manuales!$I$95+parametros_manuales!$E$27*(datos_base!$B$3+datos_base!$B$19+IF(parametros_manuales!$H$27="Todos",datos_base!$B$10+datos_base!$B$24,0))*parametros_manuales!$I$100+parametros_manuales!$F$27*(datos_base!$B$4+datos_base!$B$20+IF(parametros_manuales!$H$27="Todos",datos_base!$B$11+datos_base!$B$25,0))*parametros_manuales!$I$105+parametros_manuales!$G$27*(datos_base!$B$5+datos_base!$B$21+IF(parametros_manuales!$H$27="Todos",datos_base!$B$12+datos_base!$B$26,0))*parametros_manuales!$I$110)*parametros_manuales!$I$27*parametros_manuales!$J$27</f>
        <v>214.6909250984</v>
      </c>
      <c r="J10" s="9" t="n">
        <f aca="false">(parametros_manuales!$D$27*(datos_base!$B$2+datos_base!$B$18+IF(parametros_manuales!$H$27="Todos",datos_base!$B$9+datos_base!$B$23,0))*parametros_manuales!$J$95+parametros_manuales!$E$27*(datos_base!$B$3+datos_base!$B$19+IF(parametros_manuales!$H$27="Todos",datos_base!$B$10+datos_base!$B$24,0))*parametros_manuales!$J$100+parametros_manuales!$F$27*(datos_base!$B$4+datos_base!$B$20+IF(parametros_manuales!$H$27="Todos",datos_base!$B$11+datos_base!$B$25,0))*parametros_manuales!$J$105+parametros_manuales!$G$27*(datos_base!$B$5+datos_base!$B$21+IF(parametros_manuales!$H$27="Todos",datos_base!$B$12+datos_base!$B$26,0))*parametros_manuales!$J$110)*parametros_manuales!$I$27*parametros_manuales!$J$27</f>
        <v>214.6909250984</v>
      </c>
      <c r="K10" s="9" t="n">
        <f aca="false">(parametros_manuales!$D$27*(datos_base!$B$2+datos_base!$B$18+IF(parametros_manuales!$H$27="Todos",datos_base!$B$9+datos_base!$B$23,0))*parametros_manuales!$K$95+parametros_manuales!$E$27*(datos_base!$B$3+datos_base!$B$19+IF(parametros_manuales!$H$27="Todos",datos_base!$B$10+datos_base!$B$24,0))*parametros_manuales!$K$100+parametros_manuales!$F$27*(datos_base!$B$4+datos_base!$B$20+IF(parametros_manuales!$H$27="Todos",datos_base!$B$11+datos_base!$B$25,0))*parametros_manuales!$K$105+parametros_manuales!$G$27*(datos_base!$B$5+datos_base!$B$21+IF(parametros_manuales!$H$27="Todos",datos_base!$B$12+datos_base!$B$26,0))*parametros_manuales!$K$110)*parametros_manuales!$I$27*parametros_manuales!$J$27</f>
        <v>228.10910791705</v>
      </c>
      <c r="L10" s="9" t="n">
        <f aca="false">(parametros_manuales!$D$27*(datos_base!$B$2+datos_base!$B$18+IF(parametros_manuales!$H$27="Todos",datos_base!$B$9+datos_base!$B$23,0))*parametros_manuales!$L$95+parametros_manuales!$E$27*(datos_base!$B$3+datos_base!$B$19+IF(parametros_manuales!$H$27="Todos",datos_base!$B$10+datos_base!$B$24,0))*parametros_manuales!$L$100+parametros_manuales!$F$27*(datos_base!$B$4+datos_base!$B$20+IF(parametros_manuales!$H$27="Todos",datos_base!$B$11+datos_base!$B$25,0))*parametros_manuales!$L$105+parametros_manuales!$G$27*(datos_base!$B$5+datos_base!$B$21+IF(parametros_manuales!$H$27="Todos",datos_base!$B$12+datos_base!$B$26,0))*parametros_manuales!$L$110)*parametros_manuales!$I$27*parametros_manuales!$J$27</f>
        <v>241.5272907357</v>
      </c>
      <c r="M10" s="9" t="n">
        <f aca="false">(parametros_manuales!$D$27*(datos_base!$B$2+datos_base!$B$18+IF(parametros_manuales!$H$27="Todos",datos_base!$B$9+datos_base!$B$23,0))*parametros_manuales!$M$95+parametros_manuales!$E$27*(datos_base!$B$3+datos_base!$B$19+IF(parametros_manuales!$H$27="Todos",datos_base!$B$10+datos_base!$B$24,0))*parametros_manuales!$M$100+parametros_manuales!$F$27*(datos_base!$B$4+datos_base!$B$20+IF(parametros_manuales!$H$27="Todos",datos_base!$B$11+datos_base!$B$25,0))*parametros_manuales!$M$105+parametros_manuales!$G$27*(datos_base!$B$5+datos_base!$B$21+IF(parametros_manuales!$H$27="Todos",datos_base!$B$12+datos_base!$B$26,0))*parametros_manuales!$M$110)*parametros_manuales!$I$27*parametros_manuales!$J$27</f>
        <v>241.5272907357</v>
      </c>
      <c r="N10" s="9" t="n">
        <f aca="false">SUM(B10:M10)</f>
        <v>2683.63656373</v>
      </c>
      <c r="O10" s="9" t="n">
        <f aca="false">MAX(B10:M10)</f>
        <v>241.5272907357</v>
      </c>
      <c r="P10" s="43" t="n">
        <f aca="false">O10/(parametros_manuales!$B$7)</f>
        <v>1.610181938238</v>
      </c>
      <c r="Q10" s="8" t="str">
        <f aca="false">IF(O10=0,"-",INDEX($B$1:$M$1,MATCH(O10,B10:M10,0)))</f>
        <v>Ene</v>
      </c>
    </row>
    <row r="11" customFormat="false" ht="14.25" hidden="false" customHeight="true" outlineLevel="0" collapsed="false">
      <c r="A11" s="8" t="str">
        <f aca="false">parametros_manuales!$B$28</f>
        <v>Encastre de fondo</v>
      </c>
      <c r="B11" s="9" t="n">
        <f aca="false">(parametros_manuales!$D$28*(datos_base!$B$2+datos_base!$B$18+IF(parametros_manuales!$H$28="Todos",datos_base!$B$9+datos_base!$B$23,0))*parametros_manuales!$B$95+parametros_manuales!$E$28*(datos_base!$B$3+datos_base!$B$19+IF(parametros_manuales!$H$28="Todos",datos_base!$B$10+datos_base!$B$24,0))*parametros_manuales!$B$100+parametros_manuales!$F$28*(datos_base!$B$4+datos_base!$B$20+IF(parametros_manuales!$H$28="Todos",datos_base!$B$11+datos_base!$B$25,0))*parametros_manuales!$B$105+parametros_manuales!$G$28*(datos_base!$B$5+datos_base!$B$21+IF(parametros_manuales!$H$28="Todos",datos_base!$B$12+datos_base!$B$26,0))*parametros_manuales!$B$110)*parametros_manuales!$I$28*parametros_manuales!$J$28</f>
        <v>617.6135796057</v>
      </c>
      <c r="C11" s="9" t="n">
        <f aca="false">(parametros_manuales!$D$28*(datos_base!$B$2+datos_base!$B$18+IF(parametros_manuales!$H$28="Todos",datos_base!$B$9+datos_base!$B$23,0))*parametros_manuales!$C$95+parametros_manuales!$E$28*(datos_base!$B$3+datos_base!$B$19+IF(parametros_manuales!$H$28="Todos",datos_base!$B$10+datos_base!$B$24,0))*parametros_manuales!$C$100+parametros_manuales!$F$28*(datos_base!$B$4+datos_base!$B$20+IF(parametros_manuales!$H$28="Todos",datos_base!$B$11+datos_base!$B$25,0))*parametros_manuales!$C$105+parametros_manuales!$G$28*(datos_base!$B$5+datos_base!$B$21+IF(parametros_manuales!$H$28="Todos",datos_base!$B$12+datos_base!$B$26,0))*parametros_manuales!$C$110)*parametros_manuales!$I$28*parametros_manuales!$J$28</f>
        <v>590.7772139684</v>
      </c>
      <c r="D11" s="9" t="n">
        <f aca="false">(parametros_manuales!$D$28*(datos_base!$B$2+datos_base!$B$18+IF(parametros_manuales!$H$28="Todos",datos_base!$B$9+datos_base!$B$23,0))*parametros_manuales!$D$95+parametros_manuales!$E$28*(datos_base!$B$3+datos_base!$B$19+IF(parametros_manuales!$H$28="Todos",datos_base!$B$10+datos_base!$B$24,0))*parametros_manuales!$D$100+parametros_manuales!$F$28*(datos_base!$B$4+datos_base!$B$20+IF(parametros_manuales!$H$28="Todos",datos_base!$B$11+datos_base!$B$25,0))*parametros_manuales!$D$105+parametros_manuales!$G$28*(datos_base!$B$5+datos_base!$B$21+IF(parametros_manuales!$H$28="Todos",datos_base!$B$12+datos_base!$B$26,0))*parametros_manuales!$D$110)*parametros_manuales!$I$28*parametros_manuales!$J$28</f>
        <v>562.40803135705</v>
      </c>
      <c r="E11" s="9" t="n">
        <f aca="false">(parametros_manuales!$D$28*(datos_base!$B$2+datos_base!$B$18+IF(parametros_manuales!$H$28="Todos",datos_base!$B$9+datos_base!$B$23,0))*parametros_manuales!$E$95+parametros_manuales!$E$28*(datos_base!$B$3+datos_base!$B$19+IF(parametros_manuales!$H$28="Todos",datos_base!$B$10+datos_base!$B$24,0))*parametros_manuales!$E$100+parametros_manuales!$F$28*(datos_base!$B$4+datos_base!$B$20+IF(parametros_manuales!$H$28="Todos",datos_base!$B$11+datos_base!$B$25,0))*parametros_manuales!$E$105+parametros_manuales!$G$28*(datos_base!$B$5+datos_base!$B$21+IF(parametros_manuales!$H$28="Todos",datos_base!$B$12+datos_base!$B$26,0))*parametros_manuales!$E$110)*parametros_manuales!$I$28*parametros_manuales!$J$28</f>
        <v>541.51434864205</v>
      </c>
      <c r="F11" s="9" t="n">
        <f aca="false">(parametros_manuales!$D$28*(datos_base!$B$2+datos_base!$B$18+IF(parametros_manuales!$H$28="Todos",datos_base!$B$9+datos_base!$B$23,0))*parametros_manuales!$F$95+parametros_manuales!$E$28*(datos_base!$B$3+datos_base!$B$19+IF(parametros_manuales!$H$28="Todos",datos_base!$B$10+datos_base!$B$24,0))*parametros_manuales!$F$100+parametros_manuales!$F$28*(datos_base!$B$4+datos_base!$B$20+IF(parametros_manuales!$H$28="Todos",datos_base!$B$11+datos_base!$B$25,0))*parametros_manuales!$F$105+parametros_manuales!$G$28*(datos_base!$B$5+datos_base!$B$21+IF(parametros_manuales!$H$28="Todos",datos_base!$B$12+datos_base!$B$26,0))*parametros_manuales!$F$110)*parametros_manuales!$I$28*parametros_manuales!$J$28</f>
        <v>507.2024831084</v>
      </c>
      <c r="G11" s="9" t="n">
        <f aca="false">(parametros_manuales!$D$28*(datos_base!$B$2+datos_base!$B$18+IF(parametros_manuales!$H$28="Todos",datos_base!$B$9+datos_base!$B$23,0))*parametros_manuales!$G$95+parametros_manuales!$E$28*(datos_base!$B$3+datos_base!$B$19+IF(parametros_manuales!$H$28="Todos",datos_base!$B$10+datos_base!$B$24,0))*parametros_manuales!$G$100+parametros_manuales!$F$28*(datos_base!$B$4+datos_base!$B$20+IF(parametros_manuales!$H$28="Todos",datos_base!$B$11+datos_base!$B$25,0))*parametros_manuales!$G$105+parametros_manuales!$G$28*(datos_base!$B$5+datos_base!$B$21+IF(parametros_manuales!$H$28="Todos",datos_base!$B$12+datos_base!$B$26,0))*parametros_manuales!$G$110)*parametros_manuales!$I$28*parametros_manuales!$J$28</f>
        <v>493.78430028975</v>
      </c>
      <c r="H11" s="9" t="n">
        <f aca="false">(parametros_manuales!$D$28*(datos_base!$B$2+datos_base!$B$18+IF(parametros_manuales!$H$28="Todos",datos_base!$B$9+datos_base!$B$23,0))*parametros_manuales!$H$95+parametros_manuales!$E$28*(datos_base!$B$3+datos_base!$B$19+IF(parametros_manuales!$H$28="Todos",datos_base!$B$10+datos_base!$B$24,0))*parametros_manuales!$H$100+parametros_manuales!$F$28*(datos_base!$B$4+datos_base!$B$20+IF(parametros_manuales!$H$28="Todos",datos_base!$B$11+datos_base!$B$25,0))*parametros_manuales!$H$105+parametros_manuales!$G$28*(datos_base!$B$5+datos_base!$B$21+IF(parametros_manuales!$H$28="Todos",datos_base!$B$12+datos_base!$B$26,0))*parametros_manuales!$H$110)*parametros_manuales!$I$28*parametros_manuales!$J$28</f>
        <v>528.0961658234</v>
      </c>
      <c r="I11" s="9" t="n">
        <f aca="false">(parametros_manuales!$D$28*(datos_base!$B$2+datos_base!$B$18+IF(parametros_manuales!$H$28="Todos",datos_base!$B$9+datos_base!$B$23,0))*parametros_manuales!$I$95+parametros_manuales!$E$28*(datos_base!$B$3+datos_base!$B$19+IF(parametros_manuales!$H$28="Todos",datos_base!$B$10+datos_base!$B$24,0))*parametros_manuales!$I$100+parametros_manuales!$F$28*(datos_base!$B$4+datos_base!$B$20+IF(parametros_manuales!$H$28="Todos",datos_base!$B$11+datos_base!$B$25,0))*parametros_manuales!$I$105+parametros_manuales!$G$28*(datos_base!$B$5+datos_base!$B$21+IF(parametros_manuales!$H$28="Todos",datos_base!$B$12+datos_base!$B$26,0))*parametros_manuales!$I$110)*parametros_manuales!$I$28*parametros_manuales!$J$28</f>
        <v>590.7772139684</v>
      </c>
      <c r="J11" s="9" t="n">
        <f aca="false">(parametros_manuales!$D$28*(datos_base!$B$2+datos_base!$B$18+IF(parametros_manuales!$H$28="Todos",datos_base!$B$9+datos_base!$B$23,0))*parametros_manuales!$J$95+parametros_manuales!$E$28*(datos_base!$B$3+datos_base!$B$19+IF(parametros_manuales!$H$28="Todos",datos_base!$B$10+datos_base!$B$24,0))*parametros_manuales!$J$100+parametros_manuales!$F$28*(datos_base!$B$4+datos_base!$B$20+IF(parametros_manuales!$H$28="Todos",datos_base!$B$11+datos_base!$B$25,0))*parametros_manuales!$J$105+parametros_manuales!$G$28*(datos_base!$B$5+datos_base!$B$21+IF(parametros_manuales!$H$28="Todos",datos_base!$B$12+datos_base!$B$26,0))*parametros_manuales!$J$110)*parametros_manuales!$I$28*parametros_manuales!$J$28</f>
        <v>590.7772139684</v>
      </c>
      <c r="K11" s="9" t="n">
        <f aca="false">(parametros_manuales!$D$28*(datos_base!$B$2+datos_base!$B$18+IF(parametros_manuales!$H$28="Todos",datos_base!$B$9+datos_base!$B$23,0))*parametros_manuales!$K$95+parametros_manuales!$E$28*(datos_base!$B$3+datos_base!$B$19+IF(parametros_manuales!$H$28="Todos",datos_base!$B$10+datos_base!$B$24,0))*parametros_manuales!$K$100+parametros_manuales!$F$28*(datos_base!$B$4+datos_base!$B$20+IF(parametros_manuales!$H$28="Todos",datos_base!$B$11+datos_base!$B$25,0))*parametros_manuales!$K$105+parametros_manuales!$G$28*(datos_base!$B$5+datos_base!$B$21+IF(parametros_manuales!$H$28="Todos",datos_base!$B$12+datos_base!$B$26,0))*parametros_manuales!$K$110)*parametros_manuales!$I$28*parametros_manuales!$J$28</f>
        <v>604.19539678705</v>
      </c>
      <c r="L11" s="9" t="n">
        <f aca="false">(parametros_manuales!$D$28*(datos_base!$B$2+datos_base!$B$18+IF(parametros_manuales!$H$28="Todos",datos_base!$B$9+datos_base!$B$23,0))*parametros_manuales!$L$95+parametros_manuales!$E$28*(datos_base!$B$3+datos_base!$B$19+IF(parametros_manuales!$H$28="Todos",datos_base!$B$10+datos_base!$B$24,0))*parametros_manuales!$L$100+parametros_manuales!$F$28*(datos_base!$B$4+datos_base!$B$20+IF(parametros_manuales!$H$28="Todos",datos_base!$B$11+datos_base!$B$25,0))*parametros_manuales!$L$105+parametros_manuales!$G$28*(datos_base!$B$5+datos_base!$B$21+IF(parametros_manuales!$H$28="Todos",datos_base!$B$12+datos_base!$B$26,0))*parametros_manuales!$L$110)*parametros_manuales!$I$28*parametros_manuales!$J$28</f>
        <v>617.6135796057</v>
      </c>
      <c r="M11" s="9" t="n">
        <f aca="false">(parametros_manuales!$D$28*(datos_base!$B$2+datos_base!$B$18+IF(parametros_manuales!$H$28="Todos",datos_base!$B$9+datos_base!$B$23,0))*parametros_manuales!$M$95+parametros_manuales!$E$28*(datos_base!$B$3+datos_base!$B$19+IF(parametros_manuales!$H$28="Todos",datos_base!$B$10+datos_base!$B$24,0))*parametros_manuales!$M$100+parametros_manuales!$F$28*(datos_base!$B$4+datos_base!$B$20+IF(parametros_manuales!$H$28="Todos",datos_base!$B$11+datos_base!$B$25,0))*parametros_manuales!$M$105+parametros_manuales!$G$28*(datos_base!$B$5+datos_base!$B$21+IF(parametros_manuales!$H$28="Todos",datos_base!$B$12+datos_base!$B$26,0))*parametros_manuales!$M$110)*parametros_manuales!$I$28*parametros_manuales!$J$28</f>
        <v>617.6135796057</v>
      </c>
      <c r="N11" s="9" t="n">
        <f aca="false">SUM(B11:M11)</f>
        <v>6862.37310673</v>
      </c>
      <c r="O11" s="9" t="n">
        <f aca="false">MAX(B11:M11)</f>
        <v>617.6135796057</v>
      </c>
      <c r="P11" s="43" t="n">
        <f aca="false">O11/(parametros_manuales!$B$7)</f>
        <v>4.117423864038</v>
      </c>
      <c r="Q11" s="8" t="str">
        <f aca="false">IF(O11=0,"-",INDEX($B$1:$M$1,MATCH(O11,B11:M11,0)))</f>
        <v>Ene</v>
      </c>
    </row>
    <row r="12" customFormat="false" ht="14.25" hidden="false" customHeight="true" outlineLevel="0" collapsed="false">
      <c r="A12" s="8" t="str">
        <f aca="false">parametros_manuales!$B$29</f>
        <v>Bordoneado</v>
      </c>
      <c r="B12" s="9" t="n">
        <f aca="false">(parametros_manuales!$D$29*(datos_base!$B$2+datos_base!$B$18+IF(parametros_manuales!$H$29="Todos",datos_base!$B$9+datos_base!$B$23,0))*parametros_manuales!$B$95+parametros_manuales!$E$29*(datos_base!$B$3+datos_base!$B$19+IF(parametros_manuales!$H$29="Todos",datos_base!$B$10+datos_base!$B$24,0))*parametros_manuales!$B$100+parametros_manuales!$F$29*(datos_base!$B$4+datos_base!$B$20+IF(parametros_manuales!$H$29="Todos",datos_base!$B$11+datos_base!$B$25,0))*parametros_manuales!$B$105+parametros_manuales!$G$29*(datos_base!$B$5+datos_base!$B$21+IF(parametros_manuales!$H$29="Todos",datos_base!$B$12+datos_base!$B$26,0))*parametros_manuales!$B$110)*parametros_manuales!$I$29*parametros_manuales!$J$29</f>
        <v>617.6135796057</v>
      </c>
      <c r="C12" s="9" t="n">
        <f aca="false">(parametros_manuales!$D$29*(datos_base!$B$2+datos_base!$B$18+IF(parametros_manuales!$H$29="Todos",datos_base!$B$9+datos_base!$B$23,0))*parametros_manuales!$C$95+parametros_manuales!$E$29*(datos_base!$B$3+datos_base!$B$19+IF(parametros_manuales!$H$29="Todos",datos_base!$B$10+datos_base!$B$24,0))*parametros_manuales!$C$100+parametros_manuales!$F$29*(datos_base!$B$4+datos_base!$B$20+IF(parametros_manuales!$H$29="Todos",datos_base!$B$11+datos_base!$B$25,0))*parametros_manuales!$C$105+parametros_manuales!$G$29*(datos_base!$B$5+datos_base!$B$21+IF(parametros_manuales!$H$29="Todos",datos_base!$B$12+datos_base!$B$26,0))*parametros_manuales!$C$110)*parametros_manuales!$I$29*parametros_manuales!$J$29</f>
        <v>590.7772139684</v>
      </c>
      <c r="D12" s="9" t="n">
        <f aca="false">(parametros_manuales!$D$29*(datos_base!$B$2+datos_base!$B$18+IF(parametros_manuales!$H$29="Todos",datos_base!$B$9+datos_base!$B$23,0))*parametros_manuales!$D$95+parametros_manuales!$E$29*(datos_base!$B$3+datos_base!$B$19+IF(parametros_manuales!$H$29="Todos",datos_base!$B$10+datos_base!$B$24,0))*parametros_manuales!$D$100+parametros_manuales!$F$29*(datos_base!$B$4+datos_base!$B$20+IF(parametros_manuales!$H$29="Todos",datos_base!$B$11+datos_base!$B$25,0))*parametros_manuales!$D$105+parametros_manuales!$G$29*(datos_base!$B$5+datos_base!$B$21+IF(parametros_manuales!$H$29="Todos",datos_base!$B$12+datos_base!$B$26,0))*parametros_manuales!$D$110)*parametros_manuales!$I$29*parametros_manuales!$J$29</f>
        <v>562.40803135705</v>
      </c>
      <c r="E12" s="9" t="n">
        <f aca="false">(parametros_manuales!$D$29*(datos_base!$B$2+datos_base!$B$18+IF(parametros_manuales!$H$29="Todos",datos_base!$B$9+datos_base!$B$23,0))*parametros_manuales!$E$95+parametros_manuales!$E$29*(datos_base!$B$3+datos_base!$B$19+IF(parametros_manuales!$H$29="Todos",datos_base!$B$10+datos_base!$B$24,0))*parametros_manuales!$E$100+parametros_manuales!$F$29*(datos_base!$B$4+datos_base!$B$20+IF(parametros_manuales!$H$29="Todos",datos_base!$B$11+datos_base!$B$25,0))*parametros_manuales!$E$105+parametros_manuales!$G$29*(datos_base!$B$5+datos_base!$B$21+IF(parametros_manuales!$H$29="Todos",datos_base!$B$12+datos_base!$B$26,0))*parametros_manuales!$E$110)*parametros_manuales!$I$29*parametros_manuales!$J$29</f>
        <v>541.51434864205</v>
      </c>
      <c r="F12" s="9" t="n">
        <f aca="false">(parametros_manuales!$D$29*(datos_base!$B$2+datos_base!$B$18+IF(parametros_manuales!$H$29="Todos",datos_base!$B$9+datos_base!$B$23,0))*parametros_manuales!$F$95+parametros_manuales!$E$29*(datos_base!$B$3+datos_base!$B$19+IF(parametros_manuales!$H$29="Todos",datos_base!$B$10+datos_base!$B$24,0))*parametros_manuales!$F$100+parametros_manuales!$F$29*(datos_base!$B$4+datos_base!$B$20+IF(parametros_manuales!$H$29="Todos",datos_base!$B$11+datos_base!$B$25,0))*parametros_manuales!$F$105+parametros_manuales!$G$29*(datos_base!$B$5+datos_base!$B$21+IF(parametros_manuales!$H$29="Todos",datos_base!$B$12+datos_base!$B$26,0))*parametros_manuales!$F$110)*parametros_manuales!$I$29*parametros_manuales!$J$29</f>
        <v>507.2024831084</v>
      </c>
      <c r="G12" s="9" t="n">
        <f aca="false">(parametros_manuales!$D$29*(datos_base!$B$2+datos_base!$B$18+IF(parametros_manuales!$H$29="Todos",datos_base!$B$9+datos_base!$B$23,0))*parametros_manuales!$G$95+parametros_manuales!$E$29*(datos_base!$B$3+datos_base!$B$19+IF(parametros_manuales!$H$29="Todos",datos_base!$B$10+datos_base!$B$24,0))*parametros_manuales!$G$100+parametros_manuales!$F$29*(datos_base!$B$4+datos_base!$B$20+IF(parametros_manuales!$H$29="Todos",datos_base!$B$11+datos_base!$B$25,0))*parametros_manuales!$G$105+parametros_manuales!$G$29*(datos_base!$B$5+datos_base!$B$21+IF(parametros_manuales!$H$29="Todos",datos_base!$B$12+datos_base!$B$26,0))*parametros_manuales!$G$110)*parametros_manuales!$I$29*parametros_manuales!$J$29</f>
        <v>493.78430028975</v>
      </c>
      <c r="H12" s="9" t="n">
        <f aca="false">(parametros_manuales!$D$29*(datos_base!$B$2+datos_base!$B$18+IF(parametros_manuales!$H$29="Todos",datos_base!$B$9+datos_base!$B$23,0))*parametros_manuales!$H$95+parametros_manuales!$E$29*(datos_base!$B$3+datos_base!$B$19+IF(parametros_manuales!$H$29="Todos",datos_base!$B$10+datos_base!$B$24,0))*parametros_manuales!$H$100+parametros_manuales!$F$29*(datos_base!$B$4+datos_base!$B$20+IF(parametros_manuales!$H$29="Todos",datos_base!$B$11+datos_base!$B$25,0))*parametros_manuales!$H$105+parametros_manuales!$G$29*(datos_base!$B$5+datos_base!$B$21+IF(parametros_manuales!$H$29="Todos",datos_base!$B$12+datos_base!$B$26,0))*parametros_manuales!$H$110)*parametros_manuales!$I$29*parametros_manuales!$J$29</f>
        <v>528.0961658234</v>
      </c>
      <c r="I12" s="9" t="n">
        <f aca="false">(parametros_manuales!$D$29*(datos_base!$B$2+datos_base!$B$18+IF(parametros_manuales!$H$29="Todos",datos_base!$B$9+datos_base!$B$23,0))*parametros_manuales!$I$95+parametros_manuales!$E$29*(datos_base!$B$3+datos_base!$B$19+IF(parametros_manuales!$H$29="Todos",datos_base!$B$10+datos_base!$B$24,0))*parametros_manuales!$I$100+parametros_manuales!$F$29*(datos_base!$B$4+datos_base!$B$20+IF(parametros_manuales!$H$29="Todos",datos_base!$B$11+datos_base!$B$25,0))*parametros_manuales!$I$105+parametros_manuales!$G$29*(datos_base!$B$5+datos_base!$B$21+IF(parametros_manuales!$H$29="Todos",datos_base!$B$12+datos_base!$B$26,0))*parametros_manuales!$I$110)*parametros_manuales!$I$29*parametros_manuales!$J$29</f>
        <v>590.7772139684</v>
      </c>
      <c r="J12" s="9" t="n">
        <f aca="false">(parametros_manuales!$D$29*(datos_base!$B$2+datos_base!$B$18+IF(parametros_manuales!$H$29="Todos",datos_base!$B$9+datos_base!$B$23,0))*parametros_manuales!$J$95+parametros_manuales!$E$29*(datos_base!$B$3+datos_base!$B$19+IF(parametros_manuales!$H$29="Todos",datos_base!$B$10+datos_base!$B$24,0))*parametros_manuales!$J$100+parametros_manuales!$F$29*(datos_base!$B$4+datos_base!$B$20+IF(parametros_manuales!$H$29="Todos",datos_base!$B$11+datos_base!$B$25,0))*parametros_manuales!$J$105+parametros_manuales!$G$29*(datos_base!$B$5+datos_base!$B$21+IF(parametros_manuales!$H$29="Todos",datos_base!$B$12+datos_base!$B$26,0))*parametros_manuales!$J$110)*parametros_manuales!$I$29*parametros_manuales!$J$29</f>
        <v>590.7772139684</v>
      </c>
      <c r="K12" s="9" t="n">
        <f aca="false">(parametros_manuales!$D$29*(datos_base!$B$2+datos_base!$B$18+IF(parametros_manuales!$H$29="Todos",datos_base!$B$9+datos_base!$B$23,0))*parametros_manuales!$K$95+parametros_manuales!$E$29*(datos_base!$B$3+datos_base!$B$19+IF(parametros_manuales!$H$29="Todos",datos_base!$B$10+datos_base!$B$24,0))*parametros_manuales!$K$100+parametros_manuales!$F$29*(datos_base!$B$4+datos_base!$B$20+IF(parametros_manuales!$H$29="Todos",datos_base!$B$11+datos_base!$B$25,0))*parametros_manuales!$K$105+parametros_manuales!$G$29*(datos_base!$B$5+datos_base!$B$21+IF(parametros_manuales!$H$29="Todos",datos_base!$B$12+datos_base!$B$26,0))*parametros_manuales!$K$110)*parametros_manuales!$I$29*parametros_manuales!$J$29</f>
        <v>604.19539678705</v>
      </c>
      <c r="L12" s="9" t="n">
        <f aca="false">(parametros_manuales!$D$29*(datos_base!$B$2+datos_base!$B$18+IF(parametros_manuales!$H$29="Todos",datos_base!$B$9+datos_base!$B$23,0))*parametros_manuales!$L$95+parametros_manuales!$E$29*(datos_base!$B$3+datos_base!$B$19+IF(parametros_manuales!$H$29="Todos",datos_base!$B$10+datos_base!$B$24,0))*parametros_manuales!$L$100+parametros_manuales!$F$29*(datos_base!$B$4+datos_base!$B$20+IF(parametros_manuales!$H$29="Todos",datos_base!$B$11+datos_base!$B$25,0))*parametros_manuales!$L$105+parametros_manuales!$G$29*(datos_base!$B$5+datos_base!$B$21+IF(parametros_manuales!$H$29="Todos",datos_base!$B$12+datos_base!$B$26,0))*parametros_manuales!$L$110)*parametros_manuales!$I$29*parametros_manuales!$J$29</f>
        <v>617.6135796057</v>
      </c>
      <c r="M12" s="9" t="n">
        <f aca="false">(parametros_manuales!$D$29*(datos_base!$B$2+datos_base!$B$18+IF(parametros_manuales!$H$29="Todos",datos_base!$B$9+datos_base!$B$23,0))*parametros_manuales!$M$95+parametros_manuales!$E$29*(datos_base!$B$3+datos_base!$B$19+IF(parametros_manuales!$H$29="Todos",datos_base!$B$10+datos_base!$B$24,0))*parametros_manuales!$M$100+parametros_manuales!$F$29*(datos_base!$B$4+datos_base!$B$20+IF(parametros_manuales!$H$29="Todos",datos_base!$B$11+datos_base!$B$25,0))*parametros_manuales!$M$105+parametros_manuales!$G$29*(datos_base!$B$5+datos_base!$B$21+IF(parametros_manuales!$H$29="Todos",datos_base!$B$12+datos_base!$B$26,0))*parametros_manuales!$M$110)*parametros_manuales!$I$29*parametros_manuales!$J$29</f>
        <v>617.6135796057</v>
      </c>
      <c r="N12" s="9" t="n">
        <f aca="false">SUM(B12:M12)</f>
        <v>6862.37310673</v>
      </c>
      <c r="O12" s="9" t="n">
        <f aca="false">MAX(B12:M12)</f>
        <v>617.6135796057</v>
      </c>
      <c r="P12" s="43" t="n">
        <f aca="false">O12/(parametros_manuales!$B$7)</f>
        <v>4.117423864038</v>
      </c>
      <c r="Q12" s="8" t="str">
        <f aca="false">IF(O12=0,"-",INDEX($B$1:$M$1,MATCH(O12,B12:M12,0)))</f>
        <v>Ene</v>
      </c>
    </row>
    <row r="13" customFormat="false" ht="14.25" hidden="false" customHeight="true" outlineLevel="0" collapsed="false">
      <c r="A13" s="8" t="str">
        <f aca="false">parametros_manuales!$B$30</f>
        <v>Soldadura circunferencial de cúpula y fondo</v>
      </c>
      <c r="B13" s="9" t="n">
        <f aca="false">(parametros_manuales!$D$30*(datos_base!$B$2+datos_base!$B$18+IF(parametros_manuales!$H$30="Todos",datos_base!$B$9+datos_base!$B$23,0))*parametros_manuales!$B$95+parametros_manuales!$E$30*(datos_base!$B$3+datos_base!$B$19+IF(parametros_manuales!$H$30="Todos",datos_base!$B$10+datos_base!$B$24,0))*parametros_manuales!$B$100+parametros_manuales!$F$30*(datos_base!$B$4+datos_base!$B$20+IF(parametros_manuales!$H$30="Todos",datos_base!$B$11+datos_base!$B$25,0))*parametros_manuales!$B$105+parametros_manuales!$G$30*(datos_base!$B$5+datos_base!$B$21+IF(parametros_manuales!$H$30="Todos",datos_base!$B$12+datos_base!$B$26,0))*parametros_manuales!$B$110)*parametros_manuales!$I$30*parametros_manuales!$J$30</f>
        <v>617.6135796057</v>
      </c>
      <c r="C13" s="9" t="n">
        <f aca="false">(parametros_manuales!$D$30*(datos_base!$B$2+datos_base!$B$18+IF(parametros_manuales!$H$30="Todos",datos_base!$B$9+datos_base!$B$23,0))*parametros_manuales!$C$95+parametros_manuales!$E$30*(datos_base!$B$3+datos_base!$B$19+IF(parametros_manuales!$H$30="Todos",datos_base!$B$10+datos_base!$B$24,0))*parametros_manuales!$C$100+parametros_manuales!$F$30*(datos_base!$B$4+datos_base!$B$20+IF(parametros_manuales!$H$30="Todos",datos_base!$B$11+datos_base!$B$25,0))*parametros_manuales!$C$105+parametros_manuales!$G$30*(datos_base!$B$5+datos_base!$B$21+IF(parametros_manuales!$H$30="Todos",datos_base!$B$12+datos_base!$B$26,0))*parametros_manuales!$C$110)*parametros_manuales!$I$30*parametros_manuales!$J$30</f>
        <v>590.7772139684</v>
      </c>
      <c r="D13" s="9" t="n">
        <f aca="false">(parametros_manuales!$D$30*(datos_base!$B$2+datos_base!$B$18+IF(parametros_manuales!$H$30="Todos",datos_base!$B$9+datos_base!$B$23,0))*parametros_manuales!$D$95+parametros_manuales!$E$30*(datos_base!$B$3+datos_base!$B$19+IF(parametros_manuales!$H$30="Todos",datos_base!$B$10+datos_base!$B$24,0))*parametros_manuales!$D$100+parametros_manuales!$F$30*(datos_base!$B$4+datos_base!$B$20+IF(parametros_manuales!$H$30="Todos",datos_base!$B$11+datos_base!$B$25,0))*parametros_manuales!$D$105+parametros_manuales!$G$30*(datos_base!$B$5+datos_base!$B$21+IF(parametros_manuales!$H$30="Todos",datos_base!$B$12+datos_base!$B$26,0))*parametros_manuales!$D$110)*parametros_manuales!$I$30*parametros_manuales!$J$30</f>
        <v>562.40803135705</v>
      </c>
      <c r="E13" s="9" t="n">
        <f aca="false">(parametros_manuales!$D$30*(datos_base!$B$2+datos_base!$B$18+IF(parametros_manuales!$H$30="Todos",datos_base!$B$9+datos_base!$B$23,0))*parametros_manuales!$E$95+parametros_manuales!$E$30*(datos_base!$B$3+datos_base!$B$19+IF(parametros_manuales!$H$30="Todos",datos_base!$B$10+datos_base!$B$24,0))*parametros_manuales!$E$100+parametros_manuales!$F$30*(datos_base!$B$4+datos_base!$B$20+IF(parametros_manuales!$H$30="Todos",datos_base!$B$11+datos_base!$B$25,0))*parametros_manuales!$E$105+parametros_manuales!$G$30*(datos_base!$B$5+datos_base!$B$21+IF(parametros_manuales!$H$30="Todos",datos_base!$B$12+datos_base!$B$26,0))*parametros_manuales!$E$110)*parametros_manuales!$I$30*parametros_manuales!$J$30</f>
        <v>541.51434864205</v>
      </c>
      <c r="F13" s="9" t="n">
        <f aca="false">(parametros_manuales!$D$30*(datos_base!$B$2+datos_base!$B$18+IF(parametros_manuales!$H$30="Todos",datos_base!$B$9+datos_base!$B$23,0))*parametros_manuales!$F$95+parametros_manuales!$E$30*(datos_base!$B$3+datos_base!$B$19+IF(parametros_manuales!$H$30="Todos",datos_base!$B$10+datos_base!$B$24,0))*parametros_manuales!$F$100+parametros_manuales!$F$30*(datos_base!$B$4+datos_base!$B$20+IF(parametros_manuales!$H$30="Todos",datos_base!$B$11+datos_base!$B$25,0))*parametros_manuales!$F$105+parametros_manuales!$G$30*(datos_base!$B$5+datos_base!$B$21+IF(parametros_manuales!$H$30="Todos",datos_base!$B$12+datos_base!$B$26,0))*parametros_manuales!$F$110)*parametros_manuales!$I$30*parametros_manuales!$J$30</f>
        <v>507.2024831084</v>
      </c>
      <c r="G13" s="9" t="n">
        <f aca="false">(parametros_manuales!$D$30*(datos_base!$B$2+datos_base!$B$18+IF(parametros_manuales!$H$30="Todos",datos_base!$B$9+datos_base!$B$23,0))*parametros_manuales!$G$95+parametros_manuales!$E$30*(datos_base!$B$3+datos_base!$B$19+IF(parametros_manuales!$H$30="Todos",datos_base!$B$10+datos_base!$B$24,0))*parametros_manuales!$G$100+parametros_manuales!$F$30*(datos_base!$B$4+datos_base!$B$20+IF(parametros_manuales!$H$30="Todos",datos_base!$B$11+datos_base!$B$25,0))*parametros_manuales!$G$105+parametros_manuales!$G$30*(datos_base!$B$5+datos_base!$B$21+IF(parametros_manuales!$H$30="Todos",datos_base!$B$12+datos_base!$B$26,0))*parametros_manuales!$G$110)*parametros_manuales!$I$30*parametros_manuales!$J$30</f>
        <v>493.78430028975</v>
      </c>
      <c r="H13" s="9" t="n">
        <f aca="false">(parametros_manuales!$D$30*(datos_base!$B$2+datos_base!$B$18+IF(parametros_manuales!$H$30="Todos",datos_base!$B$9+datos_base!$B$23,0))*parametros_manuales!$H$95+parametros_manuales!$E$30*(datos_base!$B$3+datos_base!$B$19+IF(parametros_manuales!$H$30="Todos",datos_base!$B$10+datos_base!$B$24,0))*parametros_manuales!$H$100+parametros_manuales!$F$30*(datos_base!$B$4+datos_base!$B$20+IF(parametros_manuales!$H$30="Todos",datos_base!$B$11+datos_base!$B$25,0))*parametros_manuales!$H$105+parametros_manuales!$G$30*(datos_base!$B$5+datos_base!$B$21+IF(parametros_manuales!$H$30="Todos",datos_base!$B$12+datos_base!$B$26,0))*parametros_manuales!$H$110)*parametros_manuales!$I$30*parametros_manuales!$J$30</f>
        <v>528.0961658234</v>
      </c>
      <c r="I13" s="9" t="n">
        <f aca="false">(parametros_manuales!$D$30*(datos_base!$B$2+datos_base!$B$18+IF(parametros_manuales!$H$30="Todos",datos_base!$B$9+datos_base!$B$23,0))*parametros_manuales!$I$95+parametros_manuales!$E$30*(datos_base!$B$3+datos_base!$B$19+IF(parametros_manuales!$H$30="Todos",datos_base!$B$10+datos_base!$B$24,0))*parametros_manuales!$I$100+parametros_manuales!$F$30*(datos_base!$B$4+datos_base!$B$20+IF(parametros_manuales!$H$30="Todos",datos_base!$B$11+datos_base!$B$25,0))*parametros_manuales!$I$105+parametros_manuales!$G$30*(datos_base!$B$5+datos_base!$B$21+IF(parametros_manuales!$H$30="Todos",datos_base!$B$12+datos_base!$B$26,0))*parametros_manuales!$I$110)*parametros_manuales!$I$30*parametros_manuales!$J$30</f>
        <v>590.7772139684</v>
      </c>
      <c r="J13" s="9" t="n">
        <f aca="false">(parametros_manuales!$D$30*(datos_base!$B$2+datos_base!$B$18+IF(parametros_manuales!$H$30="Todos",datos_base!$B$9+datos_base!$B$23,0))*parametros_manuales!$J$95+parametros_manuales!$E$30*(datos_base!$B$3+datos_base!$B$19+IF(parametros_manuales!$H$30="Todos",datos_base!$B$10+datos_base!$B$24,0))*parametros_manuales!$J$100+parametros_manuales!$F$30*(datos_base!$B$4+datos_base!$B$20+IF(parametros_manuales!$H$30="Todos",datos_base!$B$11+datos_base!$B$25,0))*parametros_manuales!$J$105+parametros_manuales!$G$30*(datos_base!$B$5+datos_base!$B$21+IF(parametros_manuales!$H$30="Todos",datos_base!$B$12+datos_base!$B$26,0))*parametros_manuales!$J$110)*parametros_manuales!$I$30*parametros_manuales!$J$30</f>
        <v>590.7772139684</v>
      </c>
      <c r="K13" s="9" t="n">
        <f aca="false">(parametros_manuales!$D$30*(datos_base!$B$2+datos_base!$B$18+IF(parametros_manuales!$H$30="Todos",datos_base!$B$9+datos_base!$B$23,0))*parametros_manuales!$K$95+parametros_manuales!$E$30*(datos_base!$B$3+datos_base!$B$19+IF(parametros_manuales!$H$30="Todos",datos_base!$B$10+datos_base!$B$24,0))*parametros_manuales!$K$100+parametros_manuales!$F$30*(datos_base!$B$4+datos_base!$B$20+IF(parametros_manuales!$H$30="Todos",datos_base!$B$11+datos_base!$B$25,0))*parametros_manuales!$K$105+parametros_manuales!$G$30*(datos_base!$B$5+datos_base!$B$21+IF(parametros_manuales!$H$30="Todos",datos_base!$B$12+datos_base!$B$26,0))*parametros_manuales!$K$110)*parametros_manuales!$I$30*parametros_manuales!$J$30</f>
        <v>604.19539678705</v>
      </c>
      <c r="L13" s="9" t="n">
        <f aca="false">(parametros_manuales!$D$30*(datos_base!$B$2+datos_base!$B$18+IF(parametros_manuales!$H$30="Todos",datos_base!$B$9+datos_base!$B$23,0))*parametros_manuales!$L$95+parametros_manuales!$E$30*(datos_base!$B$3+datos_base!$B$19+IF(parametros_manuales!$H$30="Todos",datos_base!$B$10+datos_base!$B$24,0))*parametros_manuales!$L$100+parametros_manuales!$F$30*(datos_base!$B$4+datos_base!$B$20+IF(parametros_manuales!$H$30="Todos",datos_base!$B$11+datos_base!$B$25,0))*parametros_manuales!$L$105+parametros_manuales!$G$30*(datos_base!$B$5+datos_base!$B$21+IF(parametros_manuales!$H$30="Todos",datos_base!$B$12+datos_base!$B$26,0))*parametros_manuales!$L$110)*parametros_manuales!$I$30*parametros_manuales!$J$30</f>
        <v>617.6135796057</v>
      </c>
      <c r="M13" s="9" t="n">
        <f aca="false">(parametros_manuales!$D$30*(datos_base!$B$2+datos_base!$B$18+IF(parametros_manuales!$H$30="Todos",datos_base!$B$9+datos_base!$B$23,0))*parametros_manuales!$M$95+parametros_manuales!$E$30*(datos_base!$B$3+datos_base!$B$19+IF(parametros_manuales!$H$30="Todos",datos_base!$B$10+datos_base!$B$24,0))*parametros_manuales!$M$100+parametros_manuales!$F$30*(datos_base!$B$4+datos_base!$B$20+IF(parametros_manuales!$H$30="Todos",datos_base!$B$11+datos_base!$B$25,0))*parametros_manuales!$M$105+parametros_manuales!$G$30*(datos_base!$B$5+datos_base!$B$21+IF(parametros_manuales!$H$30="Todos",datos_base!$B$12+datos_base!$B$26,0))*parametros_manuales!$M$110)*parametros_manuales!$I$30*parametros_manuales!$J$30</f>
        <v>617.6135796057</v>
      </c>
      <c r="N13" s="9" t="n">
        <f aca="false">SUM(B13:M13)</f>
        <v>6862.37310673</v>
      </c>
      <c r="O13" s="9" t="n">
        <f aca="false">MAX(B13:M13)</f>
        <v>617.6135796057</v>
      </c>
      <c r="P13" s="43" t="n">
        <f aca="false">O13/(parametros_manuales!$B$7)</f>
        <v>4.117423864038</v>
      </c>
      <c r="Q13" s="8" t="str">
        <f aca="false">IF(O13=0,"-",INDEX($B$1:$M$1,MATCH(O13,B13:M13,0)))</f>
        <v>Ene</v>
      </c>
    </row>
    <row r="14" customFormat="false" ht="14.25" hidden="false" customHeight="true" outlineLevel="0" collapsed="false">
      <c r="A14" s="8" t="str">
        <f aca="false">parametros_manuales!$B$31</f>
        <v>Control de calidad — Espesor</v>
      </c>
      <c r="B14" s="9" t="n">
        <f aca="false">(parametros_manuales!$D$31*(datos_base!$B$2+datos_base!$B$18+IF(parametros_manuales!$H$31="Todos",datos_base!$B$9+datos_base!$B$23,0))*parametros_manuales!$B$95+parametros_manuales!$E$31*(datos_base!$B$3+datos_base!$B$19+IF(parametros_manuales!$H$31="Todos",datos_base!$B$10+datos_base!$B$24,0))*parametros_manuales!$B$100+parametros_manuales!$F$31*(datos_base!$B$4+datos_base!$B$20+IF(parametros_manuales!$H$31="Todos",datos_base!$B$11+datos_base!$B$25,0))*parametros_manuales!$B$105+parametros_manuales!$G$31*(datos_base!$B$5+datos_base!$B$21+IF(parametros_manuales!$H$31="Todos",datos_base!$B$12+datos_base!$B$26,0))*parametros_manuales!$B$110)*parametros_manuales!$I$31*parametros_manuales!$J$31</f>
        <v>12.352271592114</v>
      </c>
      <c r="C14" s="9" t="n">
        <f aca="false">(parametros_manuales!$D$31*(datos_base!$B$2+datos_base!$B$18+IF(parametros_manuales!$H$31="Todos",datos_base!$B$9+datos_base!$B$23,0))*parametros_manuales!$C$95+parametros_manuales!$E$31*(datos_base!$B$3+datos_base!$B$19+IF(parametros_manuales!$H$31="Todos",datos_base!$B$10+datos_base!$B$24,0))*parametros_manuales!$C$100+parametros_manuales!$F$31*(datos_base!$B$4+datos_base!$B$20+IF(parametros_manuales!$H$31="Todos",datos_base!$B$11+datos_base!$B$25,0))*parametros_manuales!$C$105+parametros_manuales!$G$31*(datos_base!$B$5+datos_base!$B$21+IF(parametros_manuales!$H$31="Todos",datos_base!$B$12+datos_base!$B$26,0))*parametros_manuales!$C$110)*parametros_manuales!$I$31*parametros_manuales!$J$31</f>
        <v>11.815544279368</v>
      </c>
      <c r="D14" s="9" t="n">
        <f aca="false">(parametros_manuales!$D$31*(datos_base!$B$2+datos_base!$B$18+IF(parametros_manuales!$H$31="Todos",datos_base!$B$9+datos_base!$B$23,0))*parametros_manuales!$D$95+parametros_manuales!$E$31*(datos_base!$B$3+datos_base!$B$19+IF(parametros_manuales!$H$31="Todos",datos_base!$B$10+datos_base!$B$24,0))*parametros_manuales!$D$100+parametros_manuales!$F$31*(datos_base!$B$4+datos_base!$B$20+IF(parametros_manuales!$H$31="Todos",datos_base!$B$11+datos_base!$B$25,0))*parametros_manuales!$D$105+parametros_manuales!$G$31*(datos_base!$B$5+datos_base!$B$21+IF(parametros_manuales!$H$31="Todos",datos_base!$B$12+datos_base!$B$26,0))*parametros_manuales!$D$110)*parametros_manuales!$I$31*parametros_manuales!$J$31</f>
        <v>11.248160627141</v>
      </c>
      <c r="E14" s="9" t="n">
        <f aca="false">(parametros_manuales!$D$31*(datos_base!$B$2+datos_base!$B$18+IF(parametros_manuales!$H$31="Todos",datos_base!$B$9+datos_base!$B$23,0))*parametros_manuales!$E$95+parametros_manuales!$E$31*(datos_base!$B$3+datos_base!$B$19+IF(parametros_manuales!$H$31="Todos",datos_base!$B$10+datos_base!$B$24,0))*parametros_manuales!$E$100+parametros_manuales!$F$31*(datos_base!$B$4+datos_base!$B$20+IF(parametros_manuales!$H$31="Todos",datos_base!$B$11+datos_base!$B$25,0))*parametros_manuales!$E$105+parametros_manuales!$G$31*(datos_base!$B$5+datos_base!$B$21+IF(parametros_manuales!$H$31="Todos",datos_base!$B$12+datos_base!$B$26,0))*parametros_manuales!$E$110)*parametros_manuales!$I$31*parametros_manuales!$J$31</f>
        <v>10.830286972841</v>
      </c>
      <c r="F14" s="9" t="n">
        <f aca="false">(parametros_manuales!$D$31*(datos_base!$B$2+datos_base!$B$18+IF(parametros_manuales!$H$31="Todos",datos_base!$B$9+datos_base!$B$23,0))*parametros_manuales!$F$95+parametros_manuales!$E$31*(datos_base!$B$3+datos_base!$B$19+IF(parametros_manuales!$H$31="Todos",datos_base!$B$10+datos_base!$B$24,0))*parametros_manuales!$F$100+parametros_manuales!$F$31*(datos_base!$B$4+datos_base!$B$20+IF(parametros_manuales!$H$31="Todos",datos_base!$B$11+datos_base!$B$25,0))*parametros_manuales!$F$105+parametros_manuales!$G$31*(datos_base!$B$5+datos_base!$B$21+IF(parametros_manuales!$H$31="Todos",datos_base!$B$12+datos_base!$B$26,0))*parametros_manuales!$F$110)*parametros_manuales!$I$31*parametros_manuales!$J$31</f>
        <v>10.144049662168</v>
      </c>
      <c r="G14" s="9" t="n">
        <f aca="false">(parametros_manuales!$D$31*(datos_base!$B$2+datos_base!$B$18+IF(parametros_manuales!$H$31="Todos",datos_base!$B$9+datos_base!$B$23,0))*parametros_manuales!$G$95+parametros_manuales!$E$31*(datos_base!$B$3+datos_base!$B$19+IF(parametros_manuales!$H$31="Todos",datos_base!$B$10+datos_base!$B$24,0))*parametros_manuales!$G$100+parametros_manuales!$F$31*(datos_base!$B$4+datos_base!$B$20+IF(parametros_manuales!$H$31="Todos",datos_base!$B$11+datos_base!$B$25,0))*parametros_manuales!$G$105+parametros_manuales!$G$31*(datos_base!$B$5+datos_base!$B$21+IF(parametros_manuales!$H$31="Todos",datos_base!$B$12+datos_base!$B$26,0))*parametros_manuales!$G$110)*parametros_manuales!$I$31*parametros_manuales!$J$31</f>
        <v>9.875686005795</v>
      </c>
      <c r="H14" s="9" t="n">
        <f aca="false">(parametros_manuales!$D$31*(datos_base!$B$2+datos_base!$B$18+IF(parametros_manuales!$H$31="Todos",datos_base!$B$9+datos_base!$B$23,0))*parametros_manuales!$H$95+parametros_manuales!$E$31*(datos_base!$B$3+datos_base!$B$19+IF(parametros_manuales!$H$31="Todos",datos_base!$B$10+datos_base!$B$24,0))*parametros_manuales!$H$100+parametros_manuales!$F$31*(datos_base!$B$4+datos_base!$B$20+IF(parametros_manuales!$H$31="Todos",datos_base!$B$11+datos_base!$B$25,0))*parametros_manuales!$H$105+parametros_manuales!$G$31*(datos_base!$B$5+datos_base!$B$21+IF(parametros_manuales!$H$31="Todos",datos_base!$B$12+datos_base!$B$26,0))*parametros_manuales!$H$110)*parametros_manuales!$I$31*parametros_manuales!$J$31</f>
        <v>10.561923316468</v>
      </c>
      <c r="I14" s="9" t="n">
        <f aca="false">(parametros_manuales!$D$31*(datos_base!$B$2+datos_base!$B$18+IF(parametros_manuales!$H$31="Todos",datos_base!$B$9+datos_base!$B$23,0))*parametros_manuales!$I$95+parametros_manuales!$E$31*(datos_base!$B$3+datos_base!$B$19+IF(parametros_manuales!$H$31="Todos",datos_base!$B$10+datos_base!$B$24,0))*parametros_manuales!$I$100+parametros_manuales!$F$31*(datos_base!$B$4+datos_base!$B$20+IF(parametros_manuales!$H$31="Todos",datos_base!$B$11+datos_base!$B$25,0))*parametros_manuales!$I$105+parametros_manuales!$G$31*(datos_base!$B$5+datos_base!$B$21+IF(parametros_manuales!$H$31="Todos",datos_base!$B$12+datos_base!$B$26,0))*parametros_manuales!$I$110)*parametros_manuales!$I$31*parametros_manuales!$J$31</f>
        <v>11.815544279368</v>
      </c>
      <c r="J14" s="9" t="n">
        <f aca="false">(parametros_manuales!$D$31*(datos_base!$B$2+datos_base!$B$18+IF(parametros_manuales!$H$31="Todos",datos_base!$B$9+datos_base!$B$23,0))*parametros_manuales!$J$95+parametros_manuales!$E$31*(datos_base!$B$3+datos_base!$B$19+IF(parametros_manuales!$H$31="Todos",datos_base!$B$10+datos_base!$B$24,0))*parametros_manuales!$J$100+parametros_manuales!$F$31*(datos_base!$B$4+datos_base!$B$20+IF(parametros_manuales!$H$31="Todos",datos_base!$B$11+datos_base!$B$25,0))*parametros_manuales!$J$105+parametros_manuales!$G$31*(datos_base!$B$5+datos_base!$B$21+IF(parametros_manuales!$H$31="Todos",datos_base!$B$12+datos_base!$B$26,0))*parametros_manuales!$J$110)*parametros_manuales!$I$31*parametros_manuales!$J$31</f>
        <v>11.815544279368</v>
      </c>
      <c r="K14" s="9" t="n">
        <f aca="false">(parametros_manuales!$D$31*(datos_base!$B$2+datos_base!$B$18+IF(parametros_manuales!$H$31="Todos",datos_base!$B$9+datos_base!$B$23,0))*parametros_manuales!$K$95+parametros_manuales!$E$31*(datos_base!$B$3+datos_base!$B$19+IF(parametros_manuales!$H$31="Todos",datos_base!$B$10+datos_base!$B$24,0))*parametros_manuales!$K$100+parametros_manuales!$F$31*(datos_base!$B$4+datos_base!$B$20+IF(parametros_manuales!$H$31="Todos",datos_base!$B$11+datos_base!$B$25,0))*parametros_manuales!$K$105+parametros_manuales!$G$31*(datos_base!$B$5+datos_base!$B$21+IF(parametros_manuales!$H$31="Todos",datos_base!$B$12+datos_base!$B$26,0))*parametros_manuales!$K$110)*parametros_manuales!$I$31*parametros_manuales!$J$31</f>
        <v>12.083907935741</v>
      </c>
      <c r="L14" s="9" t="n">
        <f aca="false">(parametros_manuales!$D$31*(datos_base!$B$2+datos_base!$B$18+IF(parametros_manuales!$H$31="Todos",datos_base!$B$9+datos_base!$B$23,0))*parametros_manuales!$L$95+parametros_manuales!$E$31*(datos_base!$B$3+datos_base!$B$19+IF(parametros_manuales!$H$31="Todos",datos_base!$B$10+datos_base!$B$24,0))*parametros_manuales!$L$100+parametros_manuales!$F$31*(datos_base!$B$4+datos_base!$B$20+IF(parametros_manuales!$H$31="Todos",datos_base!$B$11+datos_base!$B$25,0))*parametros_manuales!$L$105+parametros_manuales!$G$31*(datos_base!$B$5+datos_base!$B$21+IF(parametros_manuales!$H$31="Todos",datos_base!$B$12+datos_base!$B$26,0))*parametros_manuales!$L$110)*parametros_manuales!$I$31*parametros_manuales!$J$31</f>
        <v>12.352271592114</v>
      </c>
      <c r="M14" s="9" t="n">
        <f aca="false">(parametros_manuales!$D$31*(datos_base!$B$2+datos_base!$B$18+IF(parametros_manuales!$H$31="Todos",datos_base!$B$9+datos_base!$B$23,0))*parametros_manuales!$M$95+parametros_manuales!$E$31*(datos_base!$B$3+datos_base!$B$19+IF(parametros_manuales!$H$31="Todos",datos_base!$B$10+datos_base!$B$24,0))*parametros_manuales!$M$100+parametros_manuales!$F$31*(datos_base!$B$4+datos_base!$B$20+IF(parametros_manuales!$H$31="Todos",datos_base!$B$11+datos_base!$B$25,0))*parametros_manuales!$M$105+parametros_manuales!$G$31*(datos_base!$B$5+datos_base!$B$21+IF(parametros_manuales!$H$31="Todos",datos_base!$B$12+datos_base!$B$26,0))*parametros_manuales!$M$110)*parametros_manuales!$I$31*parametros_manuales!$J$31</f>
        <v>12.352271592114</v>
      </c>
      <c r="N14" s="9" t="n">
        <f aca="false">SUM(B14:M14)</f>
        <v>137.2474621346</v>
      </c>
      <c r="O14" s="9" t="n">
        <f aca="false">MAX(B14:M14)</f>
        <v>12.352271592114</v>
      </c>
      <c r="P14" s="43" t="n">
        <f aca="false">O14/(parametros_manuales!$B$7)</f>
        <v>0.08234847728076</v>
      </c>
      <c r="Q14" s="8" t="str">
        <f aca="false">IF(O14=0,"-",INDEX($B$1:$M$1,MATCH(O14,B14:M14,0)))</f>
        <v>Ene</v>
      </c>
    </row>
    <row r="15" customFormat="false" ht="14.25" hidden="false" customHeight="true" outlineLevel="0" collapsed="false">
      <c r="A15" s="8" t="str">
        <f aca="false">parametros_manuales!$B$32</f>
        <v>Prueba hidráulica</v>
      </c>
      <c r="B15" s="9" t="n">
        <f aca="false">(parametros_manuales!$D$32*(datos_base!$B$2+datos_base!$B$18+IF(parametros_manuales!$H$32="Todos",datos_base!$B$9+datos_base!$B$23,0))*parametros_manuales!$B$95+parametros_manuales!$E$32*(datos_base!$B$3+datos_base!$B$19+IF(parametros_manuales!$H$32="Todos",datos_base!$B$10+datos_base!$B$24,0))*parametros_manuales!$B$100+parametros_manuales!$F$32*(datos_base!$B$4+datos_base!$B$20+IF(parametros_manuales!$H$32="Todos",datos_base!$B$11+datos_base!$B$25,0))*parametros_manuales!$B$105+parametros_manuales!$G$32*(datos_base!$B$5+datos_base!$B$21+IF(parametros_manuales!$H$32="Todos",datos_base!$B$12+datos_base!$B$26,0))*parametros_manuales!$B$110)*parametros_manuales!$I$32*parametros_manuales!$J$32</f>
        <v>617.6135796057</v>
      </c>
      <c r="C15" s="9" t="n">
        <f aca="false">(parametros_manuales!$D$32*(datos_base!$B$2+datos_base!$B$18+IF(parametros_manuales!$H$32="Todos",datos_base!$B$9+datos_base!$B$23,0))*parametros_manuales!$C$95+parametros_manuales!$E$32*(datos_base!$B$3+datos_base!$B$19+IF(parametros_manuales!$H$32="Todos",datos_base!$B$10+datos_base!$B$24,0))*parametros_manuales!$C$100+parametros_manuales!$F$32*(datos_base!$B$4+datos_base!$B$20+IF(parametros_manuales!$H$32="Todos",datos_base!$B$11+datos_base!$B$25,0))*parametros_manuales!$C$105+parametros_manuales!$G$32*(datos_base!$B$5+datos_base!$B$21+IF(parametros_manuales!$H$32="Todos",datos_base!$B$12+datos_base!$B$26,0))*parametros_manuales!$C$110)*parametros_manuales!$I$32*parametros_manuales!$J$32</f>
        <v>590.7772139684</v>
      </c>
      <c r="D15" s="9" t="n">
        <f aca="false">(parametros_manuales!$D$32*(datos_base!$B$2+datos_base!$B$18+IF(parametros_manuales!$H$32="Todos",datos_base!$B$9+datos_base!$B$23,0))*parametros_manuales!$D$95+parametros_manuales!$E$32*(datos_base!$B$3+datos_base!$B$19+IF(parametros_manuales!$H$32="Todos",datos_base!$B$10+datos_base!$B$24,0))*parametros_manuales!$D$100+parametros_manuales!$F$32*(datos_base!$B$4+datos_base!$B$20+IF(parametros_manuales!$H$32="Todos",datos_base!$B$11+datos_base!$B$25,0))*parametros_manuales!$D$105+parametros_manuales!$G$32*(datos_base!$B$5+datos_base!$B$21+IF(parametros_manuales!$H$32="Todos",datos_base!$B$12+datos_base!$B$26,0))*parametros_manuales!$D$110)*parametros_manuales!$I$32*parametros_manuales!$J$32</f>
        <v>562.40803135705</v>
      </c>
      <c r="E15" s="9" t="n">
        <f aca="false">(parametros_manuales!$D$32*(datos_base!$B$2+datos_base!$B$18+IF(parametros_manuales!$H$32="Todos",datos_base!$B$9+datos_base!$B$23,0))*parametros_manuales!$E$95+parametros_manuales!$E$32*(datos_base!$B$3+datos_base!$B$19+IF(parametros_manuales!$H$32="Todos",datos_base!$B$10+datos_base!$B$24,0))*parametros_manuales!$E$100+parametros_manuales!$F$32*(datos_base!$B$4+datos_base!$B$20+IF(parametros_manuales!$H$32="Todos",datos_base!$B$11+datos_base!$B$25,0))*parametros_manuales!$E$105+parametros_manuales!$G$32*(datos_base!$B$5+datos_base!$B$21+IF(parametros_manuales!$H$32="Todos",datos_base!$B$12+datos_base!$B$26,0))*parametros_manuales!$E$110)*parametros_manuales!$I$32*parametros_manuales!$J$32</f>
        <v>541.51434864205</v>
      </c>
      <c r="F15" s="9" t="n">
        <f aca="false">(parametros_manuales!$D$32*(datos_base!$B$2+datos_base!$B$18+IF(parametros_manuales!$H$32="Todos",datos_base!$B$9+datos_base!$B$23,0))*parametros_manuales!$F$95+parametros_manuales!$E$32*(datos_base!$B$3+datos_base!$B$19+IF(parametros_manuales!$H$32="Todos",datos_base!$B$10+datos_base!$B$24,0))*parametros_manuales!$F$100+parametros_manuales!$F$32*(datos_base!$B$4+datos_base!$B$20+IF(parametros_manuales!$H$32="Todos",datos_base!$B$11+datos_base!$B$25,0))*parametros_manuales!$F$105+parametros_manuales!$G$32*(datos_base!$B$5+datos_base!$B$21+IF(parametros_manuales!$H$32="Todos",datos_base!$B$12+datos_base!$B$26,0))*parametros_manuales!$F$110)*parametros_manuales!$I$32*parametros_manuales!$J$32</f>
        <v>507.2024831084</v>
      </c>
      <c r="G15" s="9" t="n">
        <f aca="false">(parametros_manuales!$D$32*(datos_base!$B$2+datos_base!$B$18+IF(parametros_manuales!$H$32="Todos",datos_base!$B$9+datos_base!$B$23,0))*parametros_manuales!$G$95+parametros_manuales!$E$32*(datos_base!$B$3+datos_base!$B$19+IF(parametros_manuales!$H$32="Todos",datos_base!$B$10+datos_base!$B$24,0))*parametros_manuales!$G$100+parametros_manuales!$F$32*(datos_base!$B$4+datos_base!$B$20+IF(parametros_manuales!$H$32="Todos",datos_base!$B$11+datos_base!$B$25,0))*parametros_manuales!$G$105+parametros_manuales!$G$32*(datos_base!$B$5+datos_base!$B$21+IF(parametros_manuales!$H$32="Todos",datos_base!$B$12+datos_base!$B$26,0))*parametros_manuales!$G$110)*parametros_manuales!$I$32*parametros_manuales!$J$32</f>
        <v>493.78430028975</v>
      </c>
      <c r="H15" s="9" t="n">
        <f aca="false">(parametros_manuales!$D$32*(datos_base!$B$2+datos_base!$B$18+IF(parametros_manuales!$H$32="Todos",datos_base!$B$9+datos_base!$B$23,0))*parametros_manuales!$H$95+parametros_manuales!$E$32*(datos_base!$B$3+datos_base!$B$19+IF(parametros_manuales!$H$32="Todos",datos_base!$B$10+datos_base!$B$24,0))*parametros_manuales!$H$100+parametros_manuales!$F$32*(datos_base!$B$4+datos_base!$B$20+IF(parametros_manuales!$H$32="Todos",datos_base!$B$11+datos_base!$B$25,0))*parametros_manuales!$H$105+parametros_manuales!$G$32*(datos_base!$B$5+datos_base!$B$21+IF(parametros_manuales!$H$32="Todos",datos_base!$B$12+datos_base!$B$26,0))*parametros_manuales!$H$110)*parametros_manuales!$I$32*parametros_manuales!$J$32</f>
        <v>528.0961658234</v>
      </c>
      <c r="I15" s="9" t="n">
        <f aca="false">(parametros_manuales!$D$32*(datos_base!$B$2+datos_base!$B$18+IF(parametros_manuales!$H$32="Todos",datos_base!$B$9+datos_base!$B$23,0))*parametros_manuales!$I$95+parametros_manuales!$E$32*(datos_base!$B$3+datos_base!$B$19+IF(parametros_manuales!$H$32="Todos",datos_base!$B$10+datos_base!$B$24,0))*parametros_manuales!$I$100+parametros_manuales!$F$32*(datos_base!$B$4+datos_base!$B$20+IF(parametros_manuales!$H$32="Todos",datos_base!$B$11+datos_base!$B$25,0))*parametros_manuales!$I$105+parametros_manuales!$G$32*(datos_base!$B$5+datos_base!$B$21+IF(parametros_manuales!$H$32="Todos",datos_base!$B$12+datos_base!$B$26,0))*parametros_manuales!$I$110)*parametros_manuales!$I$32*parametros_manuales!$J$32</f>
        <v>590.7772139684</v>
      </c>
      <c r="J15" s="9" t="n">
        <f aca="false">(parametros_manuales!$D$32*(datos_base!$B$2+datos_base!$B$18+IF(parametros_manuales!$H$32="Todos",datos_base!$B$9+datos_base!$B$23,0))*parametros_manuales!$J$95+parametros_manuales!$E$32*(datos_base!$B$3+datos_base!$B$19+IF(parametros_manuales!$H$32="Todos",datos_base!$B$10+datos_base!$B$24,0))*parametros_manuales!$J$100+parametros_manuales!$F$32*(datos_base!$B$4+datos_base!$B$20+IF(parametros_manuales!$H$32="Todos",datos_base!$B$11+datos_base!$B$25,0))*parametros_manuales!$J$105+parametros_manuales!$G$32*(datos_base!$B$5+datos_base!$B$21+IF(parametros_manuales!$H$32="Todos",datos_base!$B$12+datos_base!$B$26,0))*parametros_manuales!$J$110)*parametros_manuales!$I$32*parametros_manuales!$J$32</f>
        <v>590.7772139684</v>
      </c>
      <c r="K15" s="9" t="n">
        <f aca="false">(parametros_manuales!$D$32*(datos_base!$B$2+datos_base!$B$18+IF(parametros_manuales!$H$32="Todos",datos_base!$B$9+datos_base!$B$23,0))*parametros_manuales!$K$95+parametros_manuales!$E$32*(datos_base!$B$3+datos_base!$B$19+IF(parametros_manuales!$H$32="Todos",datos_base!$B$10+datos_base!$B$24,0))*parametros_manuales!$K$100+parametros_manuales!$F$32*(datos_base!$B$4+datos_base!$B$20+IF(parametros_manuales!$H$32="Todos",datos_base!$B$11+datos_base!$B$25,0))*parametros_manuales!$K$105+parametros_manuales!$G$32*(datos_base!$B$5+datos_base!$B$21+IF(parametros_manuales!$H$32="Todos",datos_base!$B$12+datos_base!$B$26,0))*parametros_manuales!$K$110)*parametros_manuales!$I$32*parametros_manuales!$J$32</f>
        <v>604.19539678705</v>
      </c>
      <c r="L15" s="9" t="n">
        <f aca="false">(parametros_manuales!$D$32*(datos_base!$B$2+datos_base!$B$18+IF(parametros_manuales!$H$32="Todos",datos_base!$B$9+datos_base!$B$23,0))*parametros_manuales!$L$95+parametros_manuales!$E$32*(datos_base!$B$3+datos_base!$B$19+IF(parametros_manuales!$H$32="Todos",datos_base!$B$10+datos_base!$B$24,0))*parametros_manuales!$L$100+parametros_manuales!$F$32*(datos_base!$B$4+datos_base!$B$20+IF(parametros_manuales!$H$32="Todos",datos_base!$B$11+datos_base!$B$25,0))*parametros_manuales!$L$105+parametros_manuales!$G$32*(datos_base!$B$5+datos_base!$B$21+IF(parametros_manuales!$H$32="Todos",datos_base!$B$12+datos_base!$B$26,0))*parametros_manuales!$L$110)*parametros_manuales!$I$32*parametros_manuales!$J$32</f>
        <v>617.6135796057</v>
      </c>
      <c r="M15" s="9" t="n">
        <f aca="false">(parametros_manuales!$D$32*(datos_base!$B$2+datos_base!$B$18+IF(parametros_manuales!$H$32="Todos",datos_base!$B$9+datos_base!$B$23,0))*parametros_manuales!$M$95+parametros_manuales!$E$32*(datos_base!$B$3+datos_base!$B$19+IF(parametros_manuales!$H$32="Todos",datos_base!$B$10+datos_base!$B$24,0))*parametros_manuales!$M$100+parametros_manuales!$F$32*(datos_base!$B$4+datos_base!$B$20+IF(parametros_manuales!$H$32="Todos",datos_base!$B$11+datos_base!$B$25,0))*parametros_manuales!$M$105+parametros_manuales!$G$32*(datos_base!$B$5+datos_base!$B$21+IF(parametros_manuales!$H$32="Todos",datos_base!$B$12+datos_base!$B$26,0))*parametros_manuales!$M$110)*parametros_manuales!$I$32*parametros_manuales!$J$32</f>
        <v>617.6135796057</v>
      </c>
      <c r="N15" s="9" t="n">
        <f aca="false">SUM(B15:M15)</f>
        <v>6862.37310673</v>
      </c>
      <c r="O15" s="9" t="n">
        <f aca="false">MAX(B15:M15)</f>
        <v>617.6135796057</v>
      </c>
      <c r="P15" s="43" t="n">
        <f aca="false">O15/(parametros_manuales!$B$7)</f>
        <v>4.117423864038</v>
      </c>
      <c r="Q15" s="8" t="str">
        <f aca="false">IF(O15=0,"-",INDEX($B$1:$M$1,MATCH(O15,B15:M15,0)))</f>
        <v>Ene</v>
      </c>
    </row>
    <row r="16" customFormat="false" ht="14.25" hidden="false" customHeight="true" outlineLevel="0" collapsed="false">
      <c r="A16" s="8" t="str">
        <f aca="false">parametros_manuales!$B$33</f>
        <v>Secado</v>
      </c>
      <c r="B16" s="9" t="n">
        <f aca="false">(parametros_manuales!$D$33*(datos_base!$B$2+datos_base!$B$18+IF(parametros_manuales!$H$33="Todos",datos_base!$B$9+datos_base!$B$23,0))*parametros_manuales!$B$95+parametros_manuales!$E$33*(datos_base!$B$3+datos_base!$B$19+IF(parametros_manuales!$H$33="Todos",datos_base!$B$10+datos_base!$B$24,0))*parametros_manuales!$B$100+parametros_manuales!$F$33*(datos_base!$B$4+datos_base!$B$20+IF(parametros_manuales!$H$33="Todos",datos_base!$B$11+datos_base!$B$25,0))*parametros_manuales!$B$105+parametros_manuales!$G$33*(datos_base!$B$5+datos_base!$B$21+IF(parametros_manuales!$H$33="Todos",datos_base!$B$12+datos_base!$B$26,0))*parametros_manuales!$B$110)*parametros_manuales!$I$33*parametros_manuales!$J$33</f>
        <v>617.6135796057</v>
      </c>
      <c r="C16" s="9" t="n">
        <f aca="false">(parametros_manuales!$D$33*(datos_base!$B$2+datos_base!$B$18+IF(parametros_manuales!$H$33="Todos",datos_base!$B$9+datos_base!$B$23,0))*parametros_manuales!$C$95+parametros_manuales!$E$33*(datos_base!$B$3+datos_base!$B$19+IF(parametros_manuales!$H$33="Todos",datos_base!$B$10+datos_base!$B$24,0))*parametros_manuales!$C$100+parametros_manuales!$F$33*(datos_base!$B$4+datos_base!$B$20+IF(parametros_manuales!$H$33="Todos",datos_base!$B$11+datos_base!$B$25,0))*parametros_manuales!$C$105+parametros_manuales!$G$33*(datos_base!$B$5+datos_base!$B$21+IF(parametros_manuales!$H$33="Todos",datos_base!$B$12+datos_base!$B$26,0))*parametros_manuales!$C$110)*parametros_manuales!$I$33*parametros_manuales!$J$33</f>
        <v>590.7772139684</v>
      </c>
      <c r="D16" s="9" t="n">
        <f aca="false">(parametros_manuales!$D$33*(datos_base!$B$2+datos_base!$B$18+IF(parametros_manuales!$H$33="Todos",datos_base!$B$9+datos_base!$B$23,0))*parametros_manuales!$D$95+parametros_manuales!$E$33*(datos_base!$B$3+datos_base!$B$19+IF(parametros_manuales!$H$33="Todos",datos_base!$B$10+datos_base!$B$24,0))*parametros_manuales!$D$100+parametros_manuales!$F$33*(datos_base!$B$4+datos_base!$B$20+IF(parametros_manuales!$H$33="Todos",datos_base!$B$11+datos_base!$B$25,0))*parametros_manuales!$D$105+parametros_manuales!$G$33*(datos_base!$B$5+datos_base!$B$21+IF(parametros_manuales!$H$33="Todos",datos_base!$B$12+datos_base!$B$26,0))*parametros_manuales!$D$110)*parametros_manuales!$I$33*parametros_manuales!$J$33</f>
        <v>562.40803135705</v>
      </c>
      <c r="E16" s="9" t="n">
        <f aca="false">(parametros_manuales!$D$33*(datos_base!$B$2+datos_base!$B$18+IF(parametros_manuales!$H$33="Todos",datos_base!$B$9+datos_base!$B$23,0))*parametros_manuales!$E$95+parametros_manuales!$E$33*(datos_base!$B$3+datos_base!$B$19+IF(parametros_manuales!$H$33="Todos",datos_base!$B$10+datos_base!$B$24,0))*parametros_manuales!$E$100+parametros_manuales!$F$33*(datos_base!$B$4+datos_base!$B$20+IF(parametros_manuales!$H$33="Todos",datos_base!$B$11+datos_base!$B$25,0))*parametros_manuales!$E$105+parametros_manuales!$G$33*(datos_base!$B$5+datos_base!$B$21+IF(parametros_manuales!$H$33="Todos",datos_base!$B$12+datos_base!$B$26,0))*parametros_manuales!$E$110)*parametros_manuales!$I$33*parametros_manuales!$J$33</f>
        <v>541.51434864205</v>
      </c>
      <c r="F16" s="9" t="n">
        <f aca="false">(parametros_manuales!$D$33*(datos_base!$B$2+datos_base!$B$18+IF(parametros_manuales!$H$33="Todos",datos_base!$B$9+datos_base!$B$23,0))*parametros_manuales!$F$95+parametros_manuales!$E$33*(datos_base!$B$3+datos_base!$B$19+IF(parametros_manuales!$H$33="Todos",datos_base!$B$10+datos_base!$B$24,0))*parametros_manuales!$F$100+parametros_manuales!$F$33*(datos_base!$B$4+datos_base!$B$20+IF(parametros_manuales!$H$33="Todos",datos_base!$B$11+datos_base!$B$25,0))*parametros_manuales!$F$105+parametros_manuales!$G$33*(datos_base!$B$5+datos_base!$B$21+IF(parametros_manuales!$H$33="Todos",datos_base!$B$12+datos_base!$B$26,0))*parametros_manuales!$F$110)*parametros_manuales!$I$33*parametros_manuales!$J$33</f>
        <v>507.2024831084</v>
      </c>
      <c r="G16" s="9" t="n">
        <f aca="false">(parametros_manuales!$D$33*(datos_base!$B$2+datos_base!$B$18+IF(parametros_manuales!$H$33="Todos",datos_base!$B$9+datos_base!$B$23,0))*parametros_manuales!$G$95+parametros_manuales!$E$33*(datos_base!$B$3+datos_base!$B$19+IF(parametros_manuales!$H$33="Todos",datos_base!$B$10+datos_base!$B$24,0))*parametros_manuales!$G$100+parametros_manuales!$F$33*(datos_base!$B$4+datos_base!$B$20+IF(parametros_manuales!$H$33="Todos",datos_base!$B$11+datos_base!$B$25,0))*parametros_manuales!$G$105+parametros_manuales!$G$33*(datos_base!$B$5+datos_base!$B$21+IF(parametros_manuales!$H$33="Todos",datos_base!$B$12+datos_base!$B$26,0))*parametros_manuales!$G$110)*parametros_manuales!$I$33*parametros_manuales!$J$33</f>
        <v>493.78430028975</v>
      </c>
      <c r="H16" s="9" t="n">
        <f aca="false">(parametros_manuales!$D$33*(datos_base!$B$2+datos_base!$B$18+IF(parametros_manuales!$H$33="Todos",datos_base!$B$9+datos_base!$B$23,0))*parametros_manuales!$H$95+parametros_manuales!$E$33*(datos_base!$B$3+datos_base!$B$19+IF(parametros_manuales!$H$33="Todos",datos_base!$B$10+datos_base!$B$24,0))*parametros_manuales!$H$100+parametros_manuales!$F$33*(datos_base!$B$4+datos_base!$B$20+IF(parametros_manuales!$H$33="Todos",datos_base!$B$11+datos_base!$B$25,0))*parametros_manuales!$H$105+parametros_manuales!$G$33*(datos_base!$B$5+datos_base!$B$21+IF(parametros_manuales!$H$33="Todos",datos_base!$B$12+datos_base!$B$26,0))*parametros_manuales!$H$110)*parametros_manuales!$I$33*parametros_manuales!$J$33</f>
        <v>528.0961658234</v>
      </c>
      <c r="I16" s="9" t="n">
        <f aca="false">(parametros_manuales!$D$33*(datos_base!$B$2+datos_base!$B$18+IF(parametros_manuales!$H$33="Todos",datos_base!$B$9+datos_base!$B$23,0))*parametros_manuales!$I$95+parametros_manuales!$E$33*(datos_base!$B$3+datos_base!$B$19+IF(parametros_manuales!$H$33="Todos",datos_base!$B$10+datos_base!$B$24,0))*parametros_manuales!$I$100+parametros_manuales!$F$33*(datos_base!$B$4+datos_base!$B$20+IF(parametros_manuales!$H$33="Todos",datos_base!$B$11+datos_base!$B$25,0))*parametros_manuales!$I$105+parametros_manuales!$G$33*(datos_base!$B$5+datos_base!$B$21+IF(parametros_manuales!$H$33="Todos",datos_base!$B$12+datos_base!$B$26,0))*parametros_manuales!$I$110)*parametros_manuales!$I$33*parametros_manuales!$J$33</f>
        <v>590.7772139684</v>
      </c>
      <c r="J16" s="9" t="n">
        <f aca="false">(parametros_manuales!$D$33*(datos_base!$B$2+datos_base!$B$18+IF(parametros_manuales!$H$33="Todos",datos_base!$B$9+datos_base!$B$23,0))*parametros_manuales!$J$95+parametros_manuales!$E$33*(datos_base!$B$3+datos_base!$B$19+IF(parametros_manuales!$H$33="Todos",datos_base!$B$10+datos_base!$B$24,0))*parametros_manuales!$J$100+parametros_manuales!$F$33*(datos_base!$B$4+datos_base!$B$20+IF(parametros_manuales!$H$33="Todos",datos_base!$B$11+datos_base!$B$25,0))*parametros_manuales!$J$105+parametros_manuales!$G$33*(datos_base!$B$5+datos_base!$B$21+IF(parametros_manuales!$H$33="Todos",datos_base!$B$12+datos_base!$B$26,0))*parametros_manuales!$J$110)*parametros_manuales!$I$33*parametros_manuales!$J$33</f>
        <v>590.7772139684</v>
      </c>
      <c r="K16" s="9" t="n">
        <f aca="false">(parametros_manuales!$D$33*(datos_base!$B$2+datos_base!$B$18+IF(parametros_manuales!$H$33="Todos",datos_base!$B$9+datos_base!$B$23,0))*parametros_manuales!$K$95+parametros_manuales!$E$33*(datos_base!$B$3+datos_base!$B$19+IF(parametros_manuales!$H$33="Todos",datos_base!$B$10+datos_base!$B$24,0))*parametros_manuales!$K$100+parametros_manuales!$F$33*(datos_base!$B$4+datos_base!$B$20+IF(parametros_manuales!$H$33="Todos",datos_base!$B$11+datos_base!$B$25,0))*parametros_manuales!$K$105+parametros_manuales!$G$33*(datos_base!$B$5+datos_base!$B$21+IF(parametros_manuales!$H$33="Todos",datos_base!$B$12+datos_base!$B$26,0))*parametros_manuales!$K$110)*parametros_manuales!$I$33*parametros_manuales!$J$33</f>
        <v>604.19539678705</v>
      </c>
      <c r="L16" s="9" t="n">
        <f aca="false">(parametros_manuales!$D$33*(datos_base!$B$2+datos_base!$B$18+IF(parametros_manuales!$H$33="Todos",datos_base!$B$9+datos_base!$B$23,0))*parametros_manuales!$L$95+parametros_manuales!$E$33*(datos_base!$B$3+datos_base!$B$19+IF(parametros_manuales!$H$33="Todos",datos_base!$B$10+datos_base!$B$24,0))*parametros_manuales!$L$100+parametros_manuales!$F$33*(datos_base!$B$4+datos_base!$B$20+IF(parametros_manuales!$H$33="Todos",datos_base!$B$11+datos_base!$B$25,0))*parametros_manuales!$L$105+parametros_manuales!$G$33*(datos_base!$B$5+datos_base!$B$21+IF(parametros_manuales!$H$33="Todos",datos_base!$B$12+datos_base!$B$26,0))*parametros_manuales!$L$110)*parametros_manuales!$I$33*parametros_manuales!$J$33</f>
        <v>617.6135796057</v>
      </c>
      <c r="M16" s="9" t="n">
        <f aca="false">(parametros_manuales!$D$33*(datos_base!$B$2+datos_base!$B$18+IF(parametros_manuales!$H$33="Todos",datos_base!$B$9+datos_base!$B$23,0))*parametros_manuales!$M$95+parametros_manuales!$E$33*(datos_base!$B$3+datos_base!$B$19+IF(parametros_manuales!$H$33="Todos",datos_base!$B$10+datos_base!$B$24,0))*parametros_manuales!$M$100+parametros_manuales!$F$33*(datos_base!$B$4+datos_base!$B$20+IF(parametros_manuales!$H$33="Todos",datos_base!$B$11+datos_base!$B$25,0))*parametros_manuales!$M$105+parametros_manuales!$G$33*(datos_base!$B$5+datos_base!$B$21+IF(parametros_manuales!$H$33="Todos",datos_base!$B$12+datos_base!$B$26,0))*parametros_manuales!$M$110)*parametros_manuales!$I$33*parametros_manuales!$J$33</f>
        <v>617.6135796057</v>
      </c>
      <c r="N16" s="9" t="n">
        <f aca="false">SUM(B16:M16)</f>
        <v>6862.37310673</v>
      </c>
      <c r="O16" s="9" t="n">
        <f aca="false">MAX(B16:M16)</f>
        <v>617.6135796057</v>
      </c>
      <c r="P16" s="43" t="n">
        <f aca="false">O16/(parametros_manuales!$B$7)</f>
        <v>4.117423864038</v>
      </c>
      <c r="Q16" s="8" t="str">
        <f aca="false">IF(O16=0,"-",INDEX($B$1:$M$1,MATCH(O16,B16:M16,0)))</f>
        <v>Ene</v>
      </c>
    </row>
    <row r="17" customFormat="false" ht="14.25" hidden="false" customHeight="true" outlineLevel="0" collapsed="false">
      <c r="A17" s="8" t="str">
        <f aca="false">parametros_manuales!$B$34</f>
        <v>Granallado</v>
      </c>
      <c r="B17" s="9" t="n">
        <f aca="false">(parametros_manuales!$D$34*(datos_base!$B$2+datos_base!$B$18+IF(parametros_manuales!$H$34="Todos",datos_base!$B$9+datos_base!$B$23,0))*parametros_manuales!$B$95+parametros_manuales!$E$34*(datos_base!$B$3+datos_base!$B$19+IF(parametros_manuales!$H$34="Todos",datos_base!$B$10+datos_base!$B$24,0))*parametros_manuales!$B$100+parametros_manuales!$F$34*(datos_base!$B$4+datos_base!$B$20+IF(parametros_manuales!$H$34="Todos",datos_base!$B$11+datos_base!$B$25,0))*parametros_manuales!$B$105+parametros_manuales!$G$34*(datos_base!$B$5+datos_base!$B$21+IF(parametros_manuales!$H$34="Todos",datos_base!$B$12+datos_base!$B$26,0))*parametros_manuales!$B$110)*parametros_manuales!$I$34*parametros_manuales!$J$34</f>
        <v>617.6135796057</v>
      </c>
      <c r="C17" s="9" t="n">
        <f aca="false">(parametros_manuales!$D$34*(datos_base!$B$2+datos_base!$B$18+IF(parametros_manuales!$H$34="Todos",datos_base!$B$9+datos_base!$B$23,0))*parametros_manuales!$C$95+parametros_manuales!$E$34*(datos_base!$B$3+datos_base!$B$19+IF(parametros_manuales!$H$34="Todos",datos_base!$B$10+datos_base!$B$24,0))*parametros_manuales!$C$100+parametros_manuales!$F$34*(datos_base!$B$4+datos_base!$B$20+IF(parametros_manuales!$H$34="Todos",datos_base!$B$11+datos_base!$B$25,0))*parametros_manuales!$C$105+parametros_manuales!$G$34*(datos_base!$B$5+datos_base!$B$21+IF(parametros_manuales!$H$34="Todos",datos_base!$B$12+datos_base!$B$26,0))*parametros_manuales!$C$110)*parametros_manuales!$I$34*parametros_manuales!$J$34</f>
        <v>590.7772139684</v>
      </c>
      <c r="D17" s="9" t="n">
        <f aca="false">(parametros_manuales!$D$34*(datos_base!$B$2+datos_base!$B$18+IF(parametros_manuales!$H$34="Todos",datos_base!$B$9+datos_base!$B$23,0))*parametros_manuales!$D$95+parametros_manuales!$E$34*(datos_base!$B$3+datos_base!$B$19+IF(parametros_manuales!$H$34="Todos",datos_base!$B$10+datos_base!$B$24,0))*parametros_manuales!$D$100+parametros_manuales!$F$34*(datos_base!$B$4+datos_base!$B$20+IF(parametros_manuales!$H$34="Todos",datos_base!$B$11+datos_base!$B$25,0))*parametros_manuales!$D$105+parametros_manuales!$G$34*(datos_base!$B$5+datos_base!$B$21+IF(parametros_manuales!$H$34="Todos",datos_base!$B$12+datos_base!$B$26,0))*parametros_manuales!$D$110)*parametros_manuales!$I$34*parametros_manuales!$J$34</f>
        <v>562.40803135705</v>
      </c>
      <c r="E17" s="9" t="n">
        <f aca="false">(parametros_manuales!$D$34*(datos_base!$B$2+datos_base!$B$18+IF(parametros_manuales!$H$34="Todos",datos_base!$B$9+datos_base!$B$23,0))*parametros_manuales!$E$95+parametros_manuales!$E$34*(datos_base!$B$3+datos_base!$B$19+IF(parametros_manuales!$H$34="Todos",datos_base!$B$10+datos_base!$B$24,0))*parametros_manuales!$E$100+parametros_manuales!$F$34*(datos_base!$B$4+datos_base!$B$20+IF(parametros_manuales!$H$34="Todos",datos_base!$B$11+datos_base!$B$25,0))*parametros_manuales!$E$105+parametros_manuales!$G$34*(datos_base!$B$5+datos_base!$B$21+IF(parametros_manuales!$H$34="Todos",datos_base!$B$12+datos_base!$B$26,0))*parametros_manuales!$E$110)*parametros_manuales!$I$34*parametros_manuales!$J$34</f>
        <v>541.51434864205</v>
      </c>
      <c r="F17" s="9" t="n">
        <f aca="false">(parametros_manuales!$D$34*(datos_base!$B$2+datos_base!$B$18+IF(parametros_manuales!$H$34="Todos",datos_base!$B$9+datos_base!$B$23,0))*parametros_manuales!$F$95+parametros_manuales!$E$34*(datos_base!$B$3+datos_base!$B$19+IF(parametros_manuales!$H$34="Todos",datos_base!$B$10+datos_base!$B$24,0))*parametros_manuales!$F$100+parametros_manuales!$F$34*(datos_base!$B$4+datos_base!$B$20+IF(parametros_manuales!$H$34="Todos",datos_base!$B$11+datos_base!$B$25,0))*parametros_manuales!$F$105+parametros_manuales!$G$34*(datos_base!$B$5+datos_base!$B$21+IF(parametros_manuales!$H$34="Todos",datos_base!$B$12+datos_base!$B$26,0))*parametros_manuales!$F$110)*parametros_manuales!$I$34*parametros_manuales!$J$34</f>
        <v>507.2024831084</v>
      </c>
      <c r="G17" s="9" t="n">
        <f aca="false">(parametros_manuales!$D$34*(datos_base!$B$2+datos_base!$B$18+IF(parametros_manuales!$H$34="Todos",datos_base!$B$9+datos_base!$B$23,0))*parametros_manuales!$G$95+parametros_manuales!$E$34*(datos_base!$B$3+datos_base!$B$19+IF(parametros_manuales!$H$34="Todos",datos_base!$B$10+datos_base!$B$24,0))*parametros_manuales!$G$100+parametros_manuales!$F$34*(datos_base!$B$4+datos_base!$B$20+IF(parametros_manuales!$H$34="Todos",datos_base!$B$11+datos_base!$B$25,0))*parametros_manuales!$G$105+parametros_manuales!$G$34*(datos_base!$B$5+datos_base!$B$21+IF(parametros_manuales!$H$34="Todos",datos_base!$B$12+datos_base!$B$26,0))*parametros_manuales!$G$110)*parametros_manuales!$I$34*parametros_manuales!$J$34</f>
        <v>493.78430028975</v>
      </c>
      <c r="H17" s="9" t="n">
        <f aca="false">(parametros_manuales!$D$34*(datos_base!$B$2+datos_base!$B$18+IF(parametros_manuales!$H$34="Todos",datos_base!$B$9+datos_base!$B$23,0))*parametros_manuales!$H$95+parametros_manuales!$E$34*(datos_base!$B$3+datos_base!$B$19+IF(parametros_manuales!$H$34="Todos",datos_base!$B$10+datos_base!$B$24,0))*parametros_manuales!$H$100+parametros_manuales!$F$34*(datos_base!$B$4+datos_base!$B$20+IF(parametros_manuales!$H$34="Todos",datos_base!$B$11+datos_base!$B$25,0))*parametros_manuales!$H$105+parametros_manuales!$G$34*(datos_base!$B$5+datos_base!$B$21+IF(parametros_manuales!$H$34="Todos",datos_base!$B$12+datos_base!$B$26,0))*parametros_manuales!$H$110)*parametros_manuales!$I$34*parametros_manuales!$J$34</f>
        <v>528.0961658234</v>
      </c>
      <c r="I17" s="9" t="n">
        <f aca="false">(parametros_manuales!$D$34*(datos_base!$B$2+datos_base!$B$18+IF(parametros_manuales!$H$34="Todos",datos_base!$B$9+datos_base!$B$23,0))*parametros_manuales!$I$95+parametros_manuales!$E$34*(datos_base!$B$3+datos_base!$B$19+IF(parametros_manuales!$H$34="Todos",datos_base!$B$10+datos_base!$B$24,0))*parametros_manuales!$I$100+parametros_manuales!$F$34*(datos_base!$B$4+datos_base!$B$20+IF(parametros_manuales!$H$34="Todos",datos_base!$B$11+datos_base!$B$25,0))*parametros_manuales!$I$105+parametros_manuales!$G$34*(datos_base!$B$5+datos_base!$B$21+IF(parametros_manuales!$H$34="Todos",datos_base!$B$12+datos_base!$B$26,0))*parametros_manuales!$I$110)*parametros_manuales!$I$34*parametros_manuales!$J$34</f>
        <v>590.7772139684</v>
      </c>
      <c r="J17" s="9" t="n">
        <f aca="false">(parametros_manuales!$D$34*(datos_base!$B$2+datos_base!$B$18+IF(parametros_manuales!$H$34="Todos",datos_base!$B$9+datos_base!$B$23,0))*parametros_manuales!$J$95+parametros_manuales!$E$34*(datos_base!$B$3+datos_base!$B$19+IF(parametros_manuales!$H$34="Todos",datos_base!$B$10+datos_base!$B$24,0))*parametros_manuales!$J$100+parametros_manuales!$F$34*(datos_base!$B$4+datos_base!$B$20+IF(parametros_manuales!$H$34="Todos",datos_base!$B$11+datos_base!$B$25,0))*parametros_manuales!$J$105+parametros_manuales!$G$34*(datos_base!$B$5+datos_base!$B$21+IF(parametros_manuales!$H$34="Todos",datos_base!$B$12+datos_base!$B$26,0))*parametros_manuales!$J$110)*parametros_manuales!$I$34*parametros_manuales!$J$34</f>
        <v>590.7772139684</v>
      </c>
      <c r="K17" s="9" t="n">
        <f aca="false">(parametros_manuales!$D$34*(datos_base!$B$2+datos_base!$B$18+IF(parametros_manuales!$H$34="Todos",datos_base!$B$9+datos_base!$B$23,0))*parametros_manuales!$K$95+parametros_manuales!$E$34*(datos_base!$B$3+datos_base!$B$19+IF(parametros_manuales!$H$34="Todos",datos_base!$B$10+datos_base!$B$24,0))*parametros_manuales!$K$100+parametros_manuales!$F$34*(datos_base!$B$4+datos_base!$B$20+IF(parametros_manuales!$H$34="Todos",datos_base!$B$11+datos_base!$B$25,0))*parametros_manuales!$K$105+parametros_manuales!$G$34*(datos_base!$B$5+datos_base!$B$21+IF(parametros_manuales!$H$34="Todos",datos_base!$B$12+datos_base!$B$26,0))*parametros_manuales!$K$110)*parametros_manuales!$I$34*parametros_manuales!$J$34</f>
        <v>604.19539678705</v>
      </c>
      <c r="L17" s="9" t="n">
        <f aca="false">(parametros_manuales!$D$34*(datos_base!$B$2+datos_base!$B$18+IF(parametros_manuales!$H$34="Todos",datos_base!$B$9+datos_base!$B$23,0))*parametros_manuales!$L$95+parametros_manuales!$E$34*(datos_base!$B$3+datos_base!$B$19+IF(parametros_manuales!$H$34="Todos",datos_base!$B$10+datos_base!$B$24,0))*parametros_manuales!$L$100+parametros_manuales!$F$34*(datos_base!$B$4+datos_base!$B$20+IF(parametros_manuales!$H$34="Todos",datos_base!$B$11+datos_base!$B$25,0))*parametros_manuales!$L$105+parametros_manuales!$G$34*(datos_base!$B$5+datos_base!$B$21+IF(parametros_manuales!$H$34="Todos",datos_base!$B$12+datos_base!$B$26,0))*parametros_manuales!$L$110)*parametros_manuales!$I$34*parametros_manuales!$J$34</f>
        <v>617.6135796057</v>
      </c>
      <c r="M17" s="9" t="n">
        <f aca="false">(parametros_manuales!$D$34*(datos_base!$B$2+datos_base!$B$18+IF(parametros_manuales!$H$34="Todos",datos_base!$B$9+datos_base!$B$23,0))*parametros_manuales!$M$95+parametros_manuales!$E$34*(datos_base!$B$3+datos_base!$B$19+IF(parametros_manuales!$H$34="Todos",datos_base!$B$10+datos_base!$B$24,0))*parametros_manuales!$M$100+parametros_manuales!$F$34*(datos_base!$B$4+datos_base!$B$20+IF(parametros_manuales!$H$34="Todos",datos_base!$B$11+datos_base!$B$25,0))*parametros_manuales!$M$105+parametros_manuales!$G$34*(datos_base!$B$5+datos_base!$B$21+IF(parametros_manuales!$H$34="Todos",datos_base!$B$12+datos_base!$B$26,0))*parametros_manuales!$M$110)*parametros_manuales!$I$34*parametros_manuales!$J$34</f>
        <v>617.6135796057</v>
      </c>
      <c r="N17" s="9" t="n">
        <f aca="false">SUM(B17:M17)</f>
        <v>6862.37310673</v>
      </c>
      <c r="O17" s="9" t="n">
        <f aca="false">MAX(B17:M17)</f>
        <v>617.6135796057</v>
      </c>
      <c r="P17" s="43" t="n">
        <f aca="false">O17/(parametros_manuales!$B$7)</f>
        <v>4.117423864038</v>
      </c>
      <c r="Q17" s="8" t="str">
        <f aca="false">IF(O17=0,"-",INDEX($B$1:$M$1,MATCH(O17,B17:M17,0)))</f>
        <v>Ene</v>
      </c>
    </row>
    <row r="18" customFormat="false" ht="14.25" hidden="false" customHeight="true" outlineLevel="0" collapsed="false">
      <c r="A18" s="8" t="str">
        <f aca="false">parametros_manuales!$B$35</f>
        <v>Detección de defectos</v>
      </c>
      <c r="B18" s="9" t="n">
        <f aca="false">(parametros_manuales!$D$35*(datos_base!$B$2+datos_base!$B$18+IF(parametros_manuales!$H$35="Todos",datos_base!$B$9+datos_base!$B$23,0))*parametros_manuales!$B$95+parametros_manuales!$E$35*(datos_base!$B$3+datos_base!$B$19+IF(parametros_manuales!$H$35="Todos",datos_base!$B$10+datos_base!$B$24,0))*parametros_manuales!$B$100+parametros_manuales!$F$35*(datos_base!$B$4+datos_base!$B$20+IF(parametros_manuales!$H$35="Todos",datos_base!$B$11+datos_base!$B$25,0))*parametros_manuales!$B$105+parametros_manuales!$G$35*(datos_base!$B$5+datos_base!$B$21+IF(parametros_manuales!$H$35="Todos",datos_base!$B$12+datos_base!$B$26,0))*parametros_manuales!$B$110)*parametros_manuales!$I$35*parametros_manuales!$J$35</f>
        <v>617.6135796057</v>
      </c>
      <c r="C18" s="9" t="n">
        <f aca="false">(parametros_manuales!$D$35*(datos_base!$B$2+datos_base!$B$18+IF(parametros_manuales!$H$35="Todos",datos_base!$B$9+datos_base!$B$23,0))*parametros_manuales!$C$95+parametros_manuales!$E$35*(datos_base!$B$3+datos_base!$B$19+IF(parametros_manuales!$H$35="Todos",datos_base!$B$10+datos_base!$B$24,0))*parametros_manuales!$C$100+parametros_manuales!$F$35*(datos_base!$B$4+datos_base!$B$20+IF(parametros_manuales!$H$35="Todos",datos_base!$B$11+datos_base!$B$25,0))*parametros_manuales!$C$105+parametros_manuales!$G$35*(datos_base!$B$5+datos_base!$B$21+IF(parametros_manuales!$H$35="Todos",datos_base!$B$12+datos_base!$B$26,0))*parametros_manuales!$C$110)*parametros_manuales!$I$35*parametros_manuales!$J$35</f>
        <v>590.7772139684</v>
      </c>
      <c r="D18" s="9" t="n">
        <f aca="false">(parametros_manuales!$D$35*(datos_base!$B$2+datos_base!$B$18+IF(parametros_manuales!$H$35="Todos",datos_base!$B$9+datos_base!$B$23,0))*parametros_manuales!$D$95+parametros_manuales!$E$35*(datos_base!$B$3+datos_base!$B$19+IF(parametros_manuales!$H$35="Todos",datos_base!$B$10+datos_base!$B$24,0))*parametros_manuales!$D$100+parametros_manuales!$F$35*(datos_base!$B$4+datos_base!$B$20+IF(parametros_manuales!$H$35="Todos",datos_base!$B$11+datos_base!$B$25,0))*parametros_manuales!$D$105+parametros_manuales!$G$35*(datos_base!$B$5+datos_base!$B$21+IF(parametros_manuales!$H$35="Todos",datos_base!$B$12+datos_base!$B$26,0))*parametros_manuales!$D$110)*parametros_manuales!$I$35*parametros_manuales!$J$35</f>
        <v>562.40803135705</v>
      </c>
      <c r="E18" s="9" t="n">
        <f aca="false">(parametros_manuales!$D$35*(datos_base!$B$2+datos_base!$B$18+IF(parametros_manuales!$H$35="Todos",datos_base!$B$9+datos_base!$B$23,0))*parametros_manuales!$E$95+parametros_manuales!$E$35*(datos_base!$B$3+datos_base!$B$19+IF(parametros_manuales!$H$35="Todos",datos_base!$B$10+datos_base!$B$24,0))*parametros_manuales!$E$100+parametros_manuales!$F$35*(datos_base!$B$4+datos_base!$B$20+IF(parametros_manuales!$H$35="Todos",datos_base!$B$11+datos_base!$B$25,0))*parametros_manuales!$E$105+parametros_manuales!$G$35*(datos_base!$B$5+datos_base!$B$21+IF(parametros_manuales!$H$35="Todos",datos_base!$B$12+datos_base!$B$26,0))*parametros_manuales!$E$110)*parametros_manuales!$I$35*parametros_manuales!$J$35</f>
        <v>541.51434864205</v>
      </c>
      <c r="F18" s="9" t="n">
        <f aca="false">(parametros_manuales!$D$35*(datos_base!$B$2+datos_base!$B$18+IF(parametros_manuales!$H$35="Todos",datos_base!$B$9+datos_base!$B$23,0))*parametros_manuales!$F$95+parametros_manuales!$E$35*(datos_base!$B$3+datos_base!$B$19+IF(parametros_manuales!$H$35="Todos",datos_base!$B$10+datos_base!$B$24,0))*parametros_manuales!$F$100+parametros_manuales!$F$35*(datos_base!$B$4+datos_base!$B$20+IF(parametros_manuales!$H$35="Todos",datos_base!$B$11+datos_base!$B$25,0))*parametros_manuales!$F$105+parametros_manuales!$G$35*(datos_base!$B$5+datos_base!$B$21+IF(parametros_manuales!$H$35="Todos",datos_base!$B$12+datos_base!$B$26,0))*parametros_manuales!$F$110)*parametros_manuales!$I$35*parametros_manuales!$J$35</f>
        <v>507.2024831084</v>
      </c>
      <c r="G18" s="9" t="n">
        <f aca="false">(parametros_manuales!$D$35*(datos_base!$B$2+datos_base!$B$18+IF(parametros_manuales!$H$35="Todos",datos_base!$B$9+datos_base!$B$23,0))*parametros_manuales!$G$95+parametros_manuales!$E$35*(datos_base!$B$3+datos_base!$B$19+IF(parametros_manuales!$H$35="Todos",datos_base!$B$10+datos_base!$B$24,0))*parametros_manuales!$G$100+parametros_manuales!$F$35*(datos_base!$B$4+datos_base!$B$20+IF(parametros_manuales!$H$35="Todos",datos_base!$B$11+datos_base!$B$25,0))*parametros_manuales!$G$105+parametros_manuales!$G$35*(datos_base!$B$5+datos_base!$B$21+IF(parametros_manuales!$H$35="Todos",datos_base!$B$12+datos_base!$B$26,0))*parametros_manuales!$G$110)*parametros_manuales!$I$35*parametros_manuales!$J$35</f>
        <v>493.78430028975</v>
      </c>
      <c r="H18" s="9" t="n">
        <f aca="false">(parametros_manuales!$D$35*(datos_base!$B$2+datos_base!$B$18+IF(parametros_manuales!$H$35="Todos",datos_base!$B$9+datos_base!$B$23,0))*parametros_manuales!$H$95+parametros_manuales!$E$35*(datos_base!$B$3+datos_base!$B$19+IF(parametros_manuales!$H$35="Todos",datos_base!$B$10+datos_base!$B$24,0))*parametros_manuales!$H$100+parametros_manuales!$F$35*(datos_base!$B$4+datos_base!$B$20+IF(parametros_manuales!$H$35="Todos",datos_base!$B$11+datos_base!$B$25,0))*parametros_manuales!$H$105+parametros_manuales!$G$35*(datos_base!$B$5+datos_base!$B$21+IF(parametros_manuales!$H$35="Todos",datos_base!$B$12+datos_base!$B$26,0))*parametros_manuales!$H$110)*parametros_manuales!$I$35*parametros_manuales!$J$35</f>
        <v>528.0961658234</v>
      </c>
      <c r="I18" s="9" t="n">
        <f aca="false">(parametros_manuales!$D$35*(datos_base!$B$2+datos_base!$B$18+IF(parametros_manuales!$H$35="Todos",datos_base!$B$9+datos_base!$B$23,0))*parametros_manuales!$I$95+parametros_manuales!$E$35*(datos_base!$B$3+datos_base!$B$19+IF(parametros_manuales!$H$35="Todos",datos_base!$B$10+datos_base!$B$24,0))*parametros_manuales!$I$100+parametros_manuales!$F$35*(datos_base!$B$4+datos_base!$B$20+IF(parametros_manuales!$H$35="Todos",datos_base!$B$11+datos_base!$B$25,0))*parametros_manuales!$I$105+parametros_manuales!$G$35*(datos_base!$B$5+datos_base!$B$21+IF(parametros_manuales!$H$35="Todos",datos_base!$B$12+datos_base!$B$26,0))*parametros_manuales!$I$110)*parametros_manuales!$I$35*parametros_manuales!$J$35</f>
        <v>590.7772139684</v>
      </c>
      <c r="J18" s="9" t="n">
        <f aca="false">(parametros_manuales!$D$35*(datos_base!$B$2+datos_base!$B$18+IF(parametros_manuales!$H$35="Todos",datos_base!$B$9+datos_base!$B$23,0))*parametros_manuales!$J$95+parametros_manuales!$E$35*(datos_base!$B$3+datos_base!$B$19+IF(parametros_manuales!$H$35="Todos",datos_base!$B$10+datos_base!$B$24,0))*parametros_manuales!$J$100+parametros_manuales!$F$35*(datos_base!$B$4+datos_base!$B$20+IF(parametros_manuales!$H$35="Todos",datos_base!$B$11+datos_base!$B$25,0))*parametros_manuales!$J$105+parametros_manuales!$G$35*(datos_base!$B$5+datos_base!$B$21+IF(parametros_manuales!$H$35="Todos",datos_base!$B$12+datos_base!$B$26,0))*parametros_manuales!$J$110)*parametros_manuales!$I$35*parametros_manuales!$J$35</f>
        <v>590.7772139684</v>
      </c>
      <c r="K18" s="9" t="n">
        <f aca="false">(parametros_manuales!$D$35*(datos_base!$B$2+datos_base!$B$18+IF(parametros_manuales!$H$35="Todos",datos_base!$B$9+datos_base!$B$23,0))*parametros_manuales!$K$95+parametros_manuales!$E$35*(datos_base!$B$3+datos_base!$B$19+IF(parametros_manuales!$H$35="Todos",datos_base!$B$10+datos_base!$B$24,0))*parametros_manuales!$K$100+parametros_manuales!$F$35*(datos_base!$B$4+datos_base!$B$20+IF(parametros_manuales!$H$35="Todos",datos_base!$B$11+datos_base!$B$25,0))*parametros_manuales!$K$105+parametros_manuales!$G$35*(datos_base!$B$5+datos_base!$B$21+IF(parametros_manuales!$H$35="Todos",datos_base!$B$12+datos_base!$B$26,0))*parametros_manuales!$K$110)*parametros_manuales!$I$35*parametros_manuales!$J$35</f>
        <v>604.19539678705</v>
      </c>
      <c r="L18" s="9" t="n">
        <f aca="false">(parametros_manuales!$D$35*(datos_base!$B$2+datos_base!$B$18+IF(parametros_manuales!$H$35="Todos",datos_base!$B$9+datos_base!$B$23,0))*parametros_manuales!$L$95+parametros_manuales!$E$35*(datos_base!$B$3+datos_base!$B$19+IF(parametros_manuales!$H$35="Todos",datos_base!$B$10+datos_base!$B$24,0))*parametros_manuales!$L$100+parametros_manuales!$F$35*(datos_base!$B$4+datos_base!$B$20+IF(parametros_manuales!$H$35="Todos",datos_base!$B$11+datos_base!$B$25,0))*parametros_manuales!$L$105+parametros_manuales!$G$35*(datos_base!$B$5+datos_base!$B$21+IF(parametros_manuales!$H$35="Todos",datos_base!$B$12+datos_base!$B$26,0))*parametros_manuales!$L$110)*parametros_manuales!$I$35*parametros_manuales!$J$35</f>
        <v>617.6135796057</v>
      </c>
      <c r="M18" s="9" t="n">
        <f aca="false">(parametros_manuales!$D$35*(datos_base!$B$2+datos_base!$B$18+IF(parametros_manuales!$H$35="Todos",datos_base!$B$9+datos_base!$B$23,0))*parametros_manuales!$M$95+parametros_manuales!$E$35*(datos_base!$B$3+datos_base!$B$19+IF(parametros_manuales!$H$35="Todos",datos_base!$B$10+datos_base!$B$24,0))*parametros_manuales!$M$100+parametros_manuales!$F$35*(datos_base!$B$4+datos_base!$B$20+IF(parametros_manuales!$H$35="Todos",datos_base!$B$11+datos_base!$B$25,0))*parametros_manuales!$M$105+parametros_manuales!$G$35*(datos_base!$B$5+datos_base!$B$21+IF(parametros_manuales!$H$35="Todos",datos_base!$B$12+datos_base!$B$26,0))*parametros_manuales!$M$110)*parametros_manuales!$I$35*parametros_manuales!$J$35</f>
        <v>617.6135796057</v>
      </c>
      <c r="N18" s="9" t="n">
        <f aca="false">SUM(B18:M18)</f>
        <v>6862.37310673</v>
      </c>
      <c r="O18" s="9" t="n">
        <f aca="false">MAX(B18:M18)</f>
        <v>617.6135796057</v>
      </c>
      <c r="P18" s="43" t="n">
        <f aca="false">O18/(parametros_manuales!$B$7)</f>
        <v>4.117423864038</v>
      </c>
      <c r="Q18" s="8" t="str">
        <f aca="false">IF(O18=0,"-",INDEX($B$1:$M$1,MATCH(O18,B18:M18,0)))</f>
        <v>Ene</v>
      </c>
    </row>
    <row r="19" customFormat="false" ht="14.25" hidden="false" customHeight="true" outlineLevel="0" collapsed="false">
      <c r="A19" s="8" t="str">
        <f aca="false">parametros_manuales!$B$36</f>
        <v>Corrección de defectos</v>
      </c>
      <c r="B19" s="9" t="n">
        <f aca="false">(parametros_manuales!$D$36*(datos_base!$B$2+datos_base!$B$18+IF(parametros_manuales!$H$36="Todos",datos_base!$B$9+datos_base!$B$23,0))*parametros_manuales!$B$95+parametros_manuales!$E$36*(datos_base!$B$3+datos_base!$B$19+IF(parametros_manuales!$H$36="Todos",datos_base!$B$10+datos_base!$B$24,0))*parametros_manuales!$B$100+parametros_manuales!$F$36*(datos_base!$B$4+datos_base!$B$20+IF(parametros_manuales!$H$36="Todos",datos_base!$B$11+datos_base!$B$25,0))*parametros_manuales!$B$105+parametros_manuales!$G$36*(datos_base!$B$5+datos_base!$B$21+IF(parametros_manuales!$H$36="Todos",datos_base!$B$12+datos_base!$B$26,0))*parametros_manuales!$B$110)*parametros_manuales!$I$36*parametros_manuales!$J$36</f>
        <v>30.880678980285</v>
      </c>
      <c r="C19" s="9" t="n">
        <f aca="false">(parametros_manuales!$D$36*(datos_base!$B$2+datos_base!$B$18+IF(parametros_manuales!$H$36="Todos",datos_base!$B$9+datos_base!$B$23,0))*parametros_manuales!$C$95+parametros_manuales!$E$36*(datos_base!$B$3+datos_base!$B$19+IF(parametros_manuales!$H$36="Todos",datos_base!$B$10+datos_base!$B$24,0))*parametros_manuales!$C$100+parametros_manuales!$F$36*(datos_base!$B$4+datos_base!$B$20+IF(parametros_manuales!$H$36="Todos",datos_base!$B$11+datos_base!$B$25,0))*parametros_manuales!$C$105+parametros_manuales!$G$36*(datos_base!$B$5+datos_base!$B$21+IF(parametros_manuales!$H$36="Todos",datos_base!$B$12+datos_base!$B$26,0))*parametros_manuales!$C$110)*parametros_manuales!$I$36*parametros_manuales!$J$36</f>
        <v>29.53886069842</v>
      </c>
      <c r="D19" s="9" t="n">
        <f aca="false">(parametros_manuales!$D$36*(datos_base!$B$2+datos_base!$B$18+IF(parametros_manuales!$H$36="Todos",datos_base!$B$9+datos_base!$B$23,0))*parametros_manuales!$D$95+parametros_manuales!$E$36*(datos_base!$B$3+datos_base!$B$19+IF(parametros_manuales!$H$36="Todos",datos_base!$B$10+datos_base!$B$24,0))*parametros_manuales!$D$100+parametros_manuales!$F$36*(datos_base!$B$4+datos_base!$B$20+IF(parametros_manuales!$H$36="Todos",datos_base!$B$11+datos_base!$B$25,0))*parametros_manuales!$D$105+parametros_manuales!$G$36*(datos_base!$B$5+datos_base!$B$21+IF(parametros_manuales!$H$36="Todos",datos_base!$B$12+datos_base!$B$26,0))*parametros_manuales!$D$110)*parametros_manuales!$I$36*parametros_manuales!$J$36</f>
        <v>28.1204015678525</v>
      </c>
      <c r="E19" s="9" t="n">
        <f aca="false">(parametros_manuales!$D$36*(datos_base!$B$2+datos_base!$B$18+IF(parametros_manuales!$H$36="Todos",datos_base!$B$9+datos_base!$B$23,0))*parametros_manuales!$E$95+parametros_manuales!$E$36*(datos_base!$B$3+datos_base!$B$19+IF(parametros_manuales!$H$36="Todos",datos_base!$B$10+datos_base!$B$24,0))*parametros_manuales!$E$100+parametros_manuales!$F$36*(datos_base!$B$4+datos_base!$B$20+IF(parametros_manuales!$H$36="Todos",datos_base!$B$11+datos_base!$B$25,0))*parametros_manuales!$E$105+parametros_manuales!$G$36*(datos_base!$B$5+datos_base!$B$21+IF(parametros_manuales!$H$36="Todos",datos_base!$B$12+datos_base!$B$26,0))*parametros_manuales!$E$110)*parametros_manuales!$I$36*parametros_manuales!$J$36</f>
        <v>27.0757174321025</v>
      </c>
      <c r="F19" s="9" t="n">
        <f aca="false">(parametros_manuales!$D$36*(datos_base!$B$2+datos_base!$B$18+IF(parametros_manuales!$H$36="Todos",datos_base!$B$9+datos_base!$B$23,0))*parametros_manuales!$F$95+parametros_manuales!$E$36*(datos_base!$B$3+datos_base!$B$19+IF(parametros_manuales!$H$36="Todos",datos_base!$B$10+datos_base!$B$24,0))*parametros_manuales!$F$100+parametros_manuales!$F$36*(datos_base!$B$4+datos_base!$B$20+IF(parametros_manuales!$H$36="Todos",datos_base!$B$11+datos_base!$B$25,0))*parametros_manuales!$F$105+parametros_manuales!$G$36*(datos_base!$B$5+datos_base!$B$21+IF(parametros_manuales!$H$36="Todos",datos_base!$B$12+datos_base!$B$26,0))*parametros_manuales!$F$110)*parametros_manuales!$I$36*parametros_manuales!$J$36</f>
        <v>25.36012415542</v>
      </c>
      <c r="G19" s="9" t="n">
        <f aca="false">(parametros_manuales!$D$36*(datos_base!$B$2+datos_base!$B$18+IF(parametros_manuales!$H$36="Todos",datos_base!$B$9+datos_base!$B$23,0))*parametros_manuales!$G$95+parametros_manuales!$E$36*(datos_base!$B$3+datos_base!$B$19+IF(parametros_manuales!$H$36="Todos",datos_base!$B$10+datos_base!$B$24,0))*parametros_manuales!$G$100+parametros_manuales!$F$36*(datos_base!$B$4+datos_base!$B$20+IF(parametros_manuales!$H$36="Todos",datos_base!$B$11+datos_base!$B$25,0))*parametros_manuales!$G$105+parametros_manuales!$G$36*(datos_base!$B$5+datos_base!$B$21+IF(parametros_manuales!$H$36="Todos",datos_base!$B$12+datos_base!$B$26,0))*parametros_manuales!$G$110)*parametros_manuales!$I$36*parametros_manuales!$J$36</f>
        <v>24.6892150144875</v>
      </c>
      <c r="H19" s="9" t="n">
        <f aca="false">(parametros_manuales!$D$36*(datos_base!$B$2+datos_base!$B$18+IF(parametros_manuales!$H$36="Todos",datos_base!$B$9+datos_base!$B$23,0))*parametros_manuales!$H$95+parametros_manuales!$E$36*(datos_base!$B$3+datos_base!$B$19+IF(parametros_manuales!$H$36="Todos",datos_base!$B$10+datos_base!$B$24,0))*parametros_manuales!$H$100+parametros_manuales!$F$36*(datos_base!$B$4+datos_base!$B$20+IF(parametros_manuales!$H$36="Todos",datos_base!$B$11+datos_base!$B$25,0))*parametros_manuales!$H$105+parametros_manuales!$G$36*(datos_base!$B$5+datos_base!$B$21+IF(parametros_manuales!$H$36="Todos",datos_base!$B$12+datos_base!$B$26,0))*parametros_manuales!$H$110)*parametros_manuales!$I$36*parametros_manuales!$J$36</f>
        <v>26.40480829117</v>
      </c>
      <c r="I19" s="9" t="n">
        <f aca="false">(parametros_manuales!$D$36*(datos_base!$B$2+datos_base!$B$18+IF(parametros_manuales!$H$36="Todos",datos_base!$B$9+datos_base!$B$23,0))*parametros_manuales!$I$95+parametros_manuales!$E$36*(datos_base!$B$3+datos_base!$B$19+IF(parametros_manuales!$H$36="Todos",datos_base!$B$10+datos_base!$B$24,0))*parametros_manuales!$I$100+parametros_manuales!$F$36*(datos_base!$B$4+datos_base!$B$20+IF(parametros_manuales!$H$36="Todos",datos_base!$B$11+datos_base!$B$25,0))*parametros_manuales!$I$105+parametros_manuales!$G$36*(datos_base!$B$5+datos_base!$B$21+IF(parametros_manuales!$H$36="Todos",datos_base!$B$12+datos_base!$B$26,0))*parametros_manuales!$I$110)*parametros_manuales!$I$36*parametros_manuales!$J$36</f>
        <v>29.53886069842</v>
      </c>
      <c r="J19" s="9" t="n">
        <f aca="false">(parametros_manuales!$D$36*(datos_base!$B$2+datos_base!$B$18+IF(parametros_manuales!$H$36="Todos",datos_base!$B$9+datos_base!$B$23,0))*parametros_manuales!$J$95+parametros_manuales!$E$36*(datos_base!$B$3+datos_base!$B$19+IF(parametros_manuales!$H$36="Todos",datos_base!$B$10+datos_base!$B$24,0))*parametros_manuales!$J$100+parametros_manuales!$F$36*(datos_base!$B$4+datos_base!$B$20+IF(parametros_manuales!$H$36="Todos",datos_base!$B$11+datos_base!$B$25,0))*parametros_manuales!$J$105+parametros_manuales!$G$36*(datos_base!$B$5+datos_base!$B$21+IF(parametros_manuales!$H$36="Todos",datos_base!$B$12+datos_base!$B$26,0))*parametros_manuales!$J$110)*parametros_manuales!$I$36*parametros_manuales!$J$36</f>
        <v>29.53886069842</v>
      </c>
      <c r="K19" s="9" t="n">
        <f aca="false">(parametros_manuales!$D$36*(datos_base!$B$2+datos_base!$B$18+IF(parametros_manuales!$H$36="Todos",datos_base!$B$9+datos_base!$B$23,0))*parametros_manuales!$K$95+parametros_manuales!$E$36*(datos_base!$B$3+datos_base!$B$19+IF(parametros_manuales!$H$36="Todos",datos_base!$B$10+datos_base!$B$24,0))*parametros_manuales!$K$100+parametros_manuales!$F$36*(datos_base!$B$4+datos_base!$B$20+IF(parametros_manuales!$H$36="Todos",datos_base!$B$11+datos_base!$B$25,0))*parametros_manuales!$K$105+parametros_manuales!$G$36*(datos_base!$B$5+datos_base!$B$21+IF(parametros_manuales!$H$36="Todos",datos_base!$B$12+datos_base!$B$26,0))*parametros_manuales!$K$110)*parametros_manuales!$I$36*parametros_manuales!$J$36</f>
        <v>30.2097698393525</v>
      </c>
      <c r="L19" s="9" t="n">
        <f aca="false">(parametros_manuales!$D$36*(datos_base!$B$2+datos_base!$B$18+IF(parametros_manuales!$H$36="Todos",datos_base!$B$9+datos_base!$B$23,0))*parametros_manuales!$L$95+parametros_manuales!$E$36*(datos_base!$B$3+datos_base!$B$19+IF(parametros_manuales!$H$36="Todos",datos_base!$B$10+datos_base!$B$24,0))*parametros_manuales!$L$100+parametros_manuales!$F$36*(datos_base!$B$4+datos_base!$B$20+IF(parametros_manuales!$H$36="Todos",datos_base!$B$11+datos_base!$B$25,0))*parametros_manuales!$L$105+parametros_manuales!$G$36*(datos_base!$B$5+datos_base!$B$21+IF(parametros_manuales!$H$36="Todos",datos_base!$B$12+datos_base!$B$26,0))*parametros_manuales!$L$110)*parametros_manuales!$I$36*parametros_manuales!$J$36</f>
        <v>30.880678980285</v>
      </c>
      <c r="M19" s="9" t="n">
        <f aca="false">(parametros_manuales!$D$36*(datos_base!$B$2+datos_base!$B$18+IF(parametros_manuales!$H$36="Todos",datos_base!$B$9+datos_base!$B$23,0))*parametros_manuales!$M$95+parametros_manuales!$E$36*(datos_base!$B$3+datos_base!$B$19+IF(parametros_manuales!$H$36="Todos",datos_base!$B$10+datos_base!$B$24,0))*parametros_manuales!$M$100+parametros_manuales!$F$36*(datos_base!$B$4+datos_base!$B$20+IF(parametros_manuales!$H$36="Todos",datos_base!$B$11+datos_base!$B$25,0))*parametros_manuales!$M$105+parametros_manuales!$G$36*(datos_base!$B$5+datos_base!$B$21+IF(parametros_manuales!$H$36="Todos",datos_base!$B$12+datos_base!$B$26,0))*parametros_manuales!$M$110)*parametros_manuales!$I$36*parametros_manuales!$J$36</f>
        <v>30.880678980285</v>
      </c>
      <c r="N19" s="9" t="n">
        <f aca="false">SUM(B19:M19)</f>
        <v>343.1186553365</v>
      </c>
      <c r="O19" s="9" t="n">
        <f aca="false">MAX(B19:M19)</f>
        <v>30.880678980285</v>
      </c>
      <c r="P19" s="43" t="n">
        <f aca="false">O19/(parametros_manuales!$B$7)</f>
        <v>0.2058711932019</v>
      </c>
      <c r="Q19" s="8" t="str">
        <f aca="false">IF(O19=0,"-",INDEX($B$1:$M$1,MATCH(O19,B19:M19,0)))</f>
        <v>Ene</v>
      </c>
    </row>
    <row r="20" customFormat="false" ht="14.25" hidden="false" customHeight="true" outlineLevel="0" collapsed="false">
      <c r="A20" s="8" t="str">
        <f aca="false">parametros_manuales!$B$37</f>
        <v>Pintura en polvo + horno</v>
      </c>
      <c r="B20" s="9" t="n">
        <f aca="false">(parametros_manuales!$D$37*(datos_base!$B$2+datos_base!$B$18+IF(parametros_manuales!$H$37="Todos",datos_base!$B$9+datos_base!$B$23,0))*parametros_manuales!$B$95+parametros_manuales!$E$37*(datos_base!$B$3+datos_base!$B$19+IF(parametros_manuales!$H$37="Todos",datos_base!$B$10+datos_base!$B$24,0))*parametros_manuales!$B$100+parametros_manuales!$F$37*(datos_base!$B$4+datos_base!$B$20+IF(parametros_manuales!$H$37="Todos",datos_base!$B$11+datos_base!$B$25,0))*parametros_manuales!$B$105+parametros_manuales!$G$37*(datos_base!$B$5+datos_base!$B$21+IF(parametros_manuales!$H$37="Todos",datos_base!$B$12+datos_base!$B$26,0))*parametros_manuales!$B$110)*parametros_manuales!$I$37*parametros_manuales!$J$37</f>
        <v>617.6135796057</v>
      </c>
      <c r="C20" s="9" t="n">
        <f aca="false">(parametros_manuales!$D$37*(datos_base!$B$2+datos_base!$B$18+IF(parametros_manuales!$H$37="Todos",datos_base!$B$9+datos_base!$B$23,0))*parametros_manuales!$C$95+parametros_manuales!$E$37*(datos_base!$B$3+datos_base!$B$19+IF(parametros_manuales!$H$37="Todos",datos_base!$B$10+datos_base!$B$24,0))*parametros_manuales!$C$100+parametros_manuales!$F$37*(datos_base!$B$4+datos_base!$B$20+IF(parametros_manuales!$H$37="Todos",datos_base!$B$11+datos_base!$B$25,0))*parametros_manuales!$C$105+parametros_manuales!$G$37*(datos_base!$B$5+datos_base!$B$21+IF(parametros_manuales!$H$37="Todos",datos_base!$B$12+datos_base!$B$26,0))*parametros_manuales!$C$110)*parametros_manuales!$I$37*parametros_manuales!$J$37</f>
        <v>590.7772139684</v>
      </c>
      <c r="D20" s="9" t="n">
        <f aca="false">(parametros_manuales!$D$37*(datos_base!$B$2+datos_base!$B$18+IF(parametros_manuales!$H$37="Todos",datos_base!$B$9+datos_base!$B$23,0))*parametros_manuales!$D$95+parametros_manuales!$E$37*(datos_base!$B$3+datos_base!$B$19+IF(parametros_manuales!$H$37="Todos",datos_base!$B$10+datos_base!$B$24,0))*parametros_manuales!$D$100+parametros_manuales!$F$37*(datos_base!$B$4+datos_base!$B$20+IF(parametros_manuales!$H$37="Todos",datos_base!$B$11+datos_base!$B$25,0))*parametros_manuales!$D$105+parametros_manuales!$G$37*(datos_base!$B$5+datos_base!$B$21+IF(parametros_manuales!$H$37="Todos",datos_base!$B$12+datos_base!$B$26,0))*parametros_manuales!$D$110)*parametros_manuales!$I$37*parametros_manuales!$J$37</f>
        <v>562.40803135705</v>
      </c>
      <c r="E20" s="9" t="n">
        <f aca="false">(parametros_manuales!$D$37*(datos_base!$B$2+datos_base!$B$18+IF(parametros_manuales!$H$37="Todos",datos_base!$B$9+datos_base!$B$23,0))*parametros_manuales!$E$95+parametros_manuales!$E$37*(datos_base!$B$3+datos_base!$B$19+IF(parametros_manuales!$H$37="Todos",datos_base!$B$10+datos_base!$B$24,0))*parametros_manuales!$E$100+parametros_manuales!$F$37*(datos_base!$B$4+datos_base!$B$20+IF(parametros_manuales!$H$37="Todos",datos_base!$B$11+datos_base!$B$25,0))*parametros_manuales!$E$105+parametros_manuales!$G$37*(datos_base!$B$5+datos_base!$B$21+IF(parametros_manuales!$H$37="Todos",datos_base!$B$12+datos_base!$B$26,0))*parametros_manuales!$E$110)*parametros_manuales!$I$37*parametros_manuales!$J$37</f>
        <v>541.51434864205</v>
      </c>
      <c r="F20" s="9" t="n">
        <f aca="false">(parametros_manuales!$D$37*(datos_base!$B$2+datos_base!$B$18+IF(parametros_manuales!$H$37="Todos",datos_base!$B$9+datos_base!$B$23,0))*parametros_manuales!$F$95+parametros_manuales!$E$37*(datos_base!$B$3+datos_base!$B$19+IF(parametros_manuales!$H$37="Todos",datos_base!$B$10+datos_base!$B$24,0))*parametros_manuales!$F$100+parametros_manuales!$F$37*(datos_base!$B$4+datos_base!$B$20+IF(parametros_manuales!$H$37="Todos",datos_base!$B$11+datos_base!$B$25,0))*parametros_manuales!$F$105+parametros_manuales!$G$37*(datos_base!$B$5+datos_base!$B$21+IF(parametros_manuales!$H$37="Todos",datos_base!$B$12+datos_base!$B$26,0))*parametros_manuales!$F$110)*parametros_manuales!$I$37*parametros_manuales!$J$37</f>
        <v>507.2024831084</v>
      </c>
      <c r="G20" s="9" t="n">
        <f aca="false">(parametros_manuales!$D$37*(datos_base!$B$2+datos_base!$B$18+IF(parametros_manuales!$H$37="Todos",datos_base!$B$9+datos_base!$B$23,0))*parametros_manuales!$G$95+parametros_manuales!$E$37*(datos_base!$B$3+datos_base!$B$19+IF(parametros_manuales!$H$37="Todos",datos_base!$B$10+datos_base!$B$24,0))*parametros_manuales!$G$100+parametros_manuales!$F$37*(datos_base!$B$4+datos_base!$B$20+IF(parametros_manuales!$H$37="Todos",datos_base!$B$11+datos_base!$B$25,0))*parametros_manuales!$G$105+parametros_manuales!$G$37*(datos_base!$B$5+datos_base!$B$21+IF(parametros_manuales!$H$37="Todos",datos_base!$B$12+datos_base!$B$26,0))*parametros_manuales!$G$110)*parametros_manuales!$I$37*parametros_manuales!$J$37</f>
        <v>493.78430028975</v>
      </c>
      <c r="H20" s="9" t="n">
        <f aca="false">(parametros_manuales!$D$37*(datos_base!$B$2+datos_base!$B$18+IF(parametros_manuales!$H$37="Todos",datos_base!$B$9+datos_base!$B$23,0))*parametros_manuales!$H$95+parametros_manuales!$E$37*(datos_base!$B$3+datos_base!$B$19+IF(parametros_manuales!$H$37="Todos",datos_base!$B$10+datos_base!$B$24,0))*parametros_manuales!$H$100+parametros_manuales!$F$37*(datos_base!$B$4+datos_base!$B$20+IF(parametros_manuales!$H$37="Todos",datos_base!$B$11+datos_base!$B$25,0))*parametros_manuales!$H$105+parametros_manuales!$G$37*(datos_base!$B$5+datos_base!$B$21+IF(parametros_manuales!$H$37="Todos",datos_base!$B$12+datos_base!$B$26,0))*parametros_manuales!$H$110)*parametros_manuales!$I$37*parametros_manuales!$J$37</f>
        <v>528.0961658234</v>
      </c>
      <c r="I20" s="9" t="n">
        <f aca="false">(parametros_manuales!$D$37*(datos_base!$B$2+datos_base!$B$18+IF(parametros_manuales!$H$37="Todos",datos_base!$B$9+datos_base!$B$23,0))*parametros_manuales!$I$95+parametros_manuales!$E$37*(datos_base!$B$3+datos_base!$B$19+IF(parametros_manuales!$H$37="Todos",datos_base!$B$10+datos_base!$B$24,0))*parametros_manuales!$I$100+parametros_manuales!$F$37*(datos_base!$B$4+datos_base!$B$20+IF(parametros_manuales!$H$37="Todos",datos_base!$B$11+datos_base!$B$25,0))*parametros_manuales!$I$105+parametros_manuales!$G$37*(datos_base!$B$5+datos_base!$B$21+IF(parametros_manuales!$H$37="Todos",datos_base!$B$12+datos_base!$B$26,0))*parametros_manuales!$I$110)*parametros_manuales!$I$37*parametros_manuales!$J$37</f>
        <v>590.7772139684</v>
      </c>
      <c r="J20" s="9" t="n">
        <f aca="false">(parametros_manuales!$D$37*(datos_base!$B$2+datos_base!$B$18+IF(parametros_manuales!$H$37="Todos",datos_base!$B$9+datos_base!$B$23,0))*parametros_manuales!$J$95+parametros_manuales!$E$37*(datos_base!$B$3+datos_base!$B$19+IF(parametros_manuales!$H$37="Todos",datos_base!$B$10+datos_base!$B$24,0))*parametros_manuales!$J$100+parametros_manuales!$F$37*(datos_base!$B$4+datos_base!$B$20+IF(parametros_manuales!$H$37="Todos",datos_base!$B$11+datos_base!$B$25,0))*parametros_manuales!$J$105+parametros_manuales!$G$37*(datos_base!$B$5+datos_base!$B$21+IF(parametros_manuales!$H$37="Todos",datos_base!$B$12+datos_base!$B$26,0))*parametros_manuales!$J$110)*parametros_manuales!$I$37*parametros_manuales!$J$37</f>
        <v>590.7772139684</v>
      </c>
      <c r="K20" s="9" t="n">
        <f aca="false">(parametros_manuales!$D$37*(datos_base!$B$2+datos_base!$B$18+IF(parametros_manuales!$H$37="Todos",datos_base!$B$9+datos_base!$B$23,0))*parametros_manuales!$K$95+parametros_manuales!$E$37*(datos_base!$B$3+datos_base!$B$19+IF(parametros_manuales!$H$37="Todos",datos_base!$B$10+datos_base!$B$24,0))*parametros_manuales!$K$100+parametros_manuales!$F$37*(datos_base!$B$4+datos_base!$B$20+IF(parametros_manuales!$H$37="Todos",datos_base!$B$11+datos_base!$B$25,0))*parametros_manuales!$K$105+parametros_manuales!$G$37*(datos_base!$B$5+datos_base!$B$21+IF(parametros_manuales!$H$37="Todos",datos_base!$B$12+datos_base!$B$26,0))*parametros_manuales!$K$110)*parametros_manuales!$I$37*parametros_manuales!$J$37</f>
        <v>604.19539678705</v>
      </c>
      <c r="L20" s="9" t="n">
        <f aca="false">(parametros_manuales!$D$37*(datos_base!$B$2+datos_base!$B$18+IF(parametros_manuales!$H$37="Todos",datos_base!$B$9+datos_base!$B$23,0))*parametros_manuales!$L$95+parametros_manuales!$E$37*(datos_base!$B$3+datos_base!$B$19+IF(parametros_manuales!$H$37="Todos",datos_base!$B$10+datos_base!$B$24,0))*parametros_manuales!$L$100+parametros_manuales!$F$37*(datos_base!$B$4+datos_base!$B$20+IF(parametros_manuales!$H$37="Todos",datos_base!$B$11+datos_base!$B$25,0))*parametros_manuales!$L$105+parametros_manuales!$G$37*(datos_base!$B$5+datos_base!$B$21+IF(parametros_manuales!$H$37="Todos",datos_base!$B$12+datos_base!$B$26,0))*parametros_manuales!$L$110)*parametros_manuales!$I$37*parametros_manuales!$J$37</f>
        <v>617.6135796057</v>
      </c>
      <c r="M20" s="9" t="n">
        <f aca="false">(parametros_manuales!$D$37*(datos_base!$B$2+datos_base!$B$18+IF(parametros_manuales!$H$37="Todos",datos_base!$B$9+datos_base!$B$23,0))*parametros_manuales!$M$95+parametros_manuales!$E$37*(datos_base!$B$3+datos_base!$B$19+IF(parametros_manuales!$H$37="Todos",datos_base!$B$10+datos_base!$B$24,0))*parametros_manuales!$M$100+parametros_manuales!$F$37*(datos_base!$B$4+datos_base!$B$20+IF(parametros_manuales!$H$37="Todos",datos_base!$B$11+datos_base!$B$25,0))*parametros_manuales!$M$105+parametros_manuales!$G$37*(datos_base!$B$5+datos_base!$B$21+IF(parametros_manuales!$H$37="Todos",datos_base!$B$12+datos_base!$B$26,0))*parametros_manuales!$M$110)*parametros_manuales!$I$37*parametros_manuales!$J$37</f>
        <v>617.6135796057</v>
      </c>
      <c r="N20" s="9" t="n">
        <f aca="false">SUM(B20:M20)</f>
        <v>6862.37310673</v>
      </c>
      <c r="O20" s="9" t="n">
        <f aca="false">MAX(B20:M20)</f>
        <v>617.6135796057</v>
      </c>
      <c r="P20" s="43" t="n">
        <f aca="false">O20/(parametros_manuales!$B$7)</f>
        <v>4.117423864038</v>
      </c>
      <c r="Q20" s="8" t="str">
        <f aca="false">IF(O20=0,"-",INDEX($B$1:$M$1,MATCH(O20,B20:M20,0)))</f>
        <v>Ene</v>
      </c>
    </row>
    <row r="21" customFormat="false" ht="14.25" hidden="false" customHeight="true" outlineLevel="0" collapsed="false">
      <c r="A21" s="8" t="str">
        <f aca="false">parametros_manuales!$B$38</f>
        <v>Carga de polvo</v>
      </c>
      <c r="B21" s="9" t="n">
        <f aca="false">(parametros_manuales!$D$38*(datos_base!$B$2+datos_base!$B$18+IF(parametros_manuales!$H$38="Todos",datos_base!$B$9+datos_base!$B$23,0))*parametros_manuales!$B$95+parametros_manuales!$E$38*(datos_base!$B$3+datos_base!$B$19+IF(parametros_manuales!$H$38="Todos",datos_base!$B$10+datos_base!$B$24,0))*parametros_manuales!$B$100+parametros_manuales!$F$38*(datos_base!$B$4+datos_base!$B$20+IF(parametros_manuales!$H$38="Todos",datos_base!$B$11+datos_base!$B$25,0))*parametros_manuales!$B$105+parametros_manuales!$G$38*(datos_base!$B$5+datos_base!$B$21+IF(parametros_manuales!$H$38="Todos",datos_base!$B$12+datos_base!$B$26,0))*parametros_manuales!$B$110)*parametros_manuales!$I$38*parametros_manuales!$J$38</f>
        <v>615.2735796057</v>
      </c>
      <c r="C21" s="9" t="n">
        <f aca="false">(parametros_manuales!$D$38*(datos_base!$B$2+datos_base!$B$18+IF(parametros_manuales!$H$38="Todos",datos_base!$B$9+datos_base!$B$23,0))*parametros_manuales!$C$95+parametros_manuales!$E$38*(datos_base!$B$3+datos_base!$B$19+IF(parametros_manuales!$H$38="Todos",datos_base!$B$10+datos_base!$B$24,0))*parametros_manuales!$C$100+parametros_manuales!$F$38*(datos_base!$B$4+datos_base!$B$20+IF(parametros_manuales!$H$38="Todos",datos_base!$B$11+datos_base!$B$25,0))*parametros_manuales!$C$105+parametros_manuales!$G$38*(datos_base!$B$5+datos_base!$B$21+IF(parametros_manuales!$H$38="Todos",datos_base!$B$12+datos_base!$B$26,0))*parametros_manuales!$C$110)*parametros_manuales!$I$38*parametros_manuales!$J$38</f>
        <v>588.6972139684</v>
      </c>
      <c r="D21" s="9" t="n">
        <f aca="false">(parametros_manuales!$D$38*(datos_base!$B$2+datos_base!$B$18+IF(parametros_manuales!$H$38="Todos",datos_base!$B$9+datos_base!$B$23,0))*parametros_manuales!$D$95+parametros_manuales!$E$38*(datos_base!$B$3+datos_base!$B$19+IF(parametros_manuales!$H$38="Todos",datos_base!$B$10+datos_base!$B$24,0))*parametros_manuales!$D$100+parametros_manuales!$F$38*(datos_base!$B$4+datos_base!$B$20+IF(parametros_manuales!$H$38="Todos",datos_base!$B$11+datos_base!$B$25,0))*parametros_manuales!$D$105+parametros_manuales!$G$38*(datos_base!$B$5+datos_base!$B$21+IF(parametros_manuales!$H$38="Todos",datos_base!$B$12+datos_base!$B$26,0))*parametros_manuales!$D$110)*parametros_manuales!$I$38*parametros_manuales!$J$38</f>
        <v>560.19803135705</v>
      </c>
      <c r="E21" s="9" t="n">
        <f aca="false">(parametros_manuales!$D$38*(datos_base!$B$2+datos_base!$B$18+IF(parametros_manuales!$H$38="Todos",datos_base!$B$9+datos_base!$B$23,0))*parametros_manuales!$E$95+parametros_manuales!$E$38*(datos_base!$B$3+datos_base!$B$19+IF(parametros_manuales!$H$38="Todos",datos_base!$B$10+datos_base!$B$24,0))*parametros_manuales!$E$100+parametros_manuales!$F$38*(datos_base!$B$4+datos_base!$B$20+IF(parametros_manuales!$H$38="Todos",datos_base!$B$11+datos_base!$B$25,0))*parametros_manuales!$E$105+parametros_manuales!$G$38*(datos_base!$B$5+datos_base!$B$21+IF(parametros_manuales!$H$38="Todos",datos_base!$B$12+datos_base!$B$26,0))*parametros_manuales!$E$110)*parametros_manuales!$I$38*parametros_manuales!$J$38</f>
        <v>539.30434864205</v>
      </c>
      <c r="F21" s="9" t="n">
        <f aca="false">(parametros_manuales!$D$38*(datos_base!$B$2+datos_base!$B$18+IF(parametros_manuales!$H$38="Todos",datos_base!$B$9+datos_base!$B$23,0))*parametros_manuales!$F$95+parametros_manuales!$E$38*(datos_base!$B$3+datos_base!$B$19+IF(parametros_manuales!$H$38="Todos",datos_base!$B$10+datos_base!$B$24,0))*parametros_manuales!$F$100+parametros_manuales!$F$38*(datos_base!$B$4+datos_base!$B$20+IF(parametros_manuales!$H$38="Todos",datos_base!$B$11+datos_base!$B$25,0))*parametros_manuales!$F$105+parametros_manuales!$G$38*(datos_base!$B$5+datos_base!$B$21+IF(parametros_manuales!$H$38="Todos",datos_base!$B$12+datos_base!$B$26,0))*parametros_manuales!$F$110)*parametros_manuales!$I$38*parametros_manuales!$J$38</f>
        <v>505.1224831084</v>
      </c>
      <c r="G21" s="9" t="n">
        <f aca="false">(parametros_manuales!$D$38*(datos_base!$B$2+datos_base!$B$18+IF(parametros_manuales!$H$38="Todos",datos_base!$B$9+datos_base!$B$23,0))*parametros_manuales!$G$95+parametros_manuales!$E$38*(datos_base!$B$3+datos_base!$B$19+IF(parametros_manuales!$H$38="Todos",datos_base!$B$10+datos_base!$B$24,0))*parametros_manuales!$G$100+parametros_manuales!$F$38*(datos_base!$B$4+datos_base!$B$20+IF(parametros_manuales!$H$38="Todos",datos_base!$B$11+datos_base!$B$25,0))*parametros_manuales!$G$105+parametros_manuales!$G$38*(datos_base!$B$5+datos_base!$B$21+IF(parametros_manuales!$H$38="Todos",datos_base!$B$12+datos_base!$B$26,0))*parametros_manuales!$G$110)*parametros_manuales!$I$38*parametros_manuales!$J$38</f>
        <v>491.83430028975</v>
      </c>
      <c r="H21" s="9" t="n">
        <f aca="false">(parametros_manuales!$D$38*(datos_base!$B$2+datos_base!$B$18+IF(parametros_manuales!$H$38="Todos",datos_base!$B$9+datos_base!$B$23,0))*parametros_manuales!$H$95+parametros_manuales!$E$38*(datos_base!$B$3+datos_base!$B$19+IF(parametros_manuales!$H$38="Todos",datos_base!$B$10+datos_base!$B$24,0))*parametros_manuales!$H$100+parametros_manuales!$F$38*(datos_base!$B$4+datos_base!$B$20+IF(parametros_manuales!$H$38="Todos",datos_base!$B$11+datos_base!$B$25,0))*parametros_manuales!$H$105+parametros_manuales!$G$38*(datos_base!$B$5+datos_base!$B$21+IF(parametros_manuales!$H$38="Todos",datos_base!$B$12+datos_base!$B$26,0))*parametros_manuales!$H$110)*parametros_manuales!$I$38*parametros_manuales!$J$38</f>
        <v>526.0161658234</v>
      </c>
      <c r="I21" s="9" t="n">
        <f aca="false">(parametros_manuales!$D$38*(datos_base!$B$2+datos_base!$B$18+IF(parametros_manuales!$H$38="Todos",datos_base!$B$9+datos_base!$B$23,0))*parametros_manuales!$I$95+parametros_manuales!$E$38*(datos_base!$B$3+datos_base!$B$19+IF(parametros_manuales!$H$38="Todos",datos_base!$B$10+datos_base!$B$24,0))*parametros_manuales!$I$100+parametros_manuales!$F$38*(datos_base!$B$4+datos_base!$B$20+IF(parametros_manuales!$H$38="Todos",datos_base!$B$11+datos_base!$B$25,0))*parametros_manuales!$I$105+parametros_manuales!$G$38*(datos_base!$B$5+datos_base!$B$21+IF(parametros_manuales!$H$38="Todos",datos_base!$B$12+datos_base!$B$26,0))*parametros_manuales!$I$110)*parametros_manuales!$I$38*parametros_manuales!$J$38</f>
        <v>588.6972139684</v>
      </c>
      <c r="J21" s="9" t="n">
        <f aca="false">(parametros_manuales!$D$38*(datos_base!$B$2+datos_base!$B$18+IF(parametros_manuales!$H$38="Todos",datos_base!$B$9+datos_base!$B$23,0))*parametros_manuales!$J$95+parametros_manuales!$E$38*(datos_base!$B$3+datos_base!$B$19+IF(parametros_manuales!$H$38="Todos",datos_base!$B$10+datos_base!$B$24,0))*parametros_manuales!$J$100+parametros_manuales!$F$38*(datos_base!$B$4+datos_base!$B$20+IF(parametros_manuales!$H$38="Todos",datos_base!$B$11+datos_base!$B$25,0))*parametros_manuales!$J$105+parametros_manuales!$G$38*(datos_base!$B$5+datos_base!$B$21+IF(parametros_manuales!$H$38="Todos",datos_base!$B$12+datos_base!$B$26,0))*parametros_manuales!$J$110)*parametros_manuales!$I$38*parametros_manuales!$J$38</f>
        <v>588.6972139684</v>
      </c>
      <c r="K21" s="9" t="n">
        <f aca="false">(parametros_manuales!$D$38*(datos_base!$B$2+datos_base!$B$18+IF(parametros_manuales!$H$38="Todos",datos_base!$B$9+datos_base!$B$23,0))*parametros_manuales!$K$95+parametros_manuales!$E$38*(datos_base!$B$3+datos_base!$B$19+IF(parametros_manuales!$H$38="Todos",datos_base!$B$10+datos_base!$B$24,0))*parametros_manuales!$K$100+parametros_manuales!$F$38*(datos_base!$B$4+datos_base!$B$20+IF(parametros_manuales!$H$38="Todos",datos_base!$B$11+datos_base!$B$25,0))*parametros_manuales!$K$105+parametros_manuales!$G$38*(datos_base!$B$5+datos_base!$B$21+IF(parametros_manuales!$H$38="Todos",datos_base!$B$12+datos_base!$B$26,0))*parametros_manuales!$K$110)*parametros_manuales!$I$38*parametros_manuales!$J$38</f>
        <v>601.98539678705</v>
      </c>
      <c r="L21" s="9" t="n">
        <f aca="false">(parametros_manuales!$D$38*(datos_base!$B$2+datos_base!$B$18+IF(parametros_manuales!$H$38="Todos",datos_base!$B$9+datos_base!$B$23,0))*parametros_manuales!$L$95+parametros_manuales!$E$38*(datos_base!$B$3+datos_base!$B$19+IF(parametros_manuales!$H$38="Todos",datos_base!$B$10+datos_base!$B$24,0))*parametros_manuales!$L$100+parametros_manuales!$F$38*(datos_base!$B$4+datos_base!$B$20+IF(parametros_manuales!$H$38="Todos",datos_base!$B$11+datos_base!$B$25,0))*parametros_manuales!$L$105+parametros_manuales!$G$38*(datos_base!$B$5+datos_base!$B$21+IF(parametros_manuales!$H$38="Todos",datos_base!$B$12+datos_base!$B$26,0))*parametros_manuales!$L$110)*parametros_manuales!$I$38*parametros_manuales!$J$38</f>
        <v>615.2735796057</v>
      </c>
      <c r="M21" s="9" t="n">
        <f aca="false">(parametros_manuales!$D$38*(datos_base!$B$2+datos_base!$B$18+IF(parametros_manuales!$H$38="Todos",datos_base!$B$9+datos_base!$B$23,0))*parametros_manuales!$M$95+parametros_manuales!$E$38*(datos_base!$B$3+datos_base!$B$19+IF(parametros_manuales!$H$38="Todos",datos_base!$B$10+datos_base!$B$24,0))*parametros_manuales!$M$100+parametros_manuales!$F$38*(datos_base!$B$4+datos_base!$B$20+IF(parametros_manuales!$H$38="Todos",datos_base!$B$11+datos_base!$B$25,0))*parametros_manuales!$M$105+parametros_manuales!$G$38*(datos_base!$B$5+datos_base!$B$21+IF(parametros_manuales!$H$38="Todos",datos_base!$B$12+datos_base!$B$26,0))*parametros_manuales!$M$110)*parametros_manuales!$I$38*parametros_manuales!$J$38</f>
        <v>615.2735796057</v>
      </c>
      <c r="N21" s="9" t="n">
        <f aca="false">SUM(B21:M21)</f>
        <v>6836.37310673</v>
      </c>
      <c r="O21" s="9" t="n">
        <f aca="false">MAX(B21:M21)</f>
        <v>615.2735796057</v>
      </c>
      <c r="P21" s="43" t="n">
        <f aca="false">O21/(parametros_manuales!$B$7)</f>
        <v>4.101823864038</v>
      </c>
      <c r="Q21" s="8" t="str">
        <f aca="false">IF(O21=0,"-",INDEX($B$1:$M$1,MATCH(O21,B21:M21,0)))</f>
        <v>Ene</v>
      </c>
    </row>
    <row r="22" customFormat="false" ht="14.25" hidden="false" customHeight="true" outlineLevel="0" collapsed="false">
      <c r="A22" s="8" t="str">
        <f aca="false">parametros_manuales!$B$39</f>
        <v>Ensamblaje</v>
      </c>
      <c r="B22" s="9" t="n">
        <f aca="false">(parametros_manuales!$D$39*(datos_base!$B$2+datos_base!$B$18+IF(parametros_manuales!$H$39="Todos",datos_base!$B$9+datos_base!$B$23,0))*parametros_manuales!$B$95+parametros_manuales!$E$39*(datos_base!$B$3+datos_base!$B$19+IF(parametros_manuales!$H$39="Todos",datos_base!$B$10+datos_base!$B$24,0))*parametros_manuales!$B$100+parametros_manuales!$F$39*(datos_base!$B$4+datos_base!$B$20+IF(parametros_manuales!$H$39="Todos",datos_base!$B$11+datos_base!$B$25,0))*parametros_manuales!$B$105+parametros_manuales!$G$39*(datos_base!$B$5+datos_base!$B$21+IF(parametros_manuales!$H$39="Todos",datos_base!$B$12+datos_base!$B$26,0))*parametros_manuales!$B$110)*parametros_manuales!$I$39*parametros_manuales!$J$39</f>
        <v>615.2735796057</v>
      </c>
      <c r="C22" s="9" t="n">
        <f aca="false">(parametros_manuales!$D$39*(datos_base!$B$2+datos_base!$B$18+IF(parametros_manuales!$H$39="Todos",datos_base!$B$9+datos_base!$B$23,0))*parametros_manuales!$C$95+parametros_manuales!$E$39*(datos_base!$B$3+datos_base!$B$19+IF(parametros_manuales!$H$39="Todos",datos_base!$B$10+datos_base!$B$24,0))*parametros_manuales!$C$100+parametros_manuales!$F$39*(datos_base!$B$4+datos_base!$B$20+IF(parametros_manuales!$H$39="Todos",datos_base!$B$11+datos_base!$B$25,0))*parametros_manuales!$C$105+parametros_manuales!$G$39*(datos_base!$B$5+datos_base!$B$21+IF(parametros_manuales!$H$39="Todos",datos_base!$B$12+datos_base!$B$26,0))*parametros_manuales!$C$110)*parametros_manuales!$I$39*parametros_manuales!$J$39</f>
        <v>588.6972139684</v>
      </c>
      <c r="D22" s="9" t="n">
        <f aca="false">(parametros_manuales!$D$39*(datos_base!$B$2+datos_base!$B$18+IF(parametros_manuales!$H$39="Todos",datos_base!$B$9+datos_base!$B$23,0))*parametros_manuales!$D$95+parametros_manuales!$E$39*(datos_base!$B$3+datos_base!$B$19+IF(parametros_manuales!$H$39="Todos",datos_base!$B$10+datos_base!$B$24,0))*parametros_manuales!$D$100+parametros_manuales!$F$39*(datos_base!$B$4+datos_base!$B$20+IF(parametros_manuales!$H$39="Todos",datos_base!$B$11+datos_base!$B$25,0))*parametros_manuales!$D$105+parametros_manuales!$G$39*(datos_base!$B$5+datos_base!$B$21+IF(parametros_manuales!$H$39="Todos",datos_base!$B$12+datos_base!$B$26,0))*parametros_manuales!$D$110)*parametros_manuales!$I$39*parametros_manuales!$J$39</f>
        <v>560.19803135705</v>
      </c>
      <c r="E22" s="9" t="n">
        <f aca="false">(parametros_manuales!$D$39*(datos_base!$B$2+datos_base!$B$18+IF(parametros_manuales!$H$39="Todos",datos_base!$B$9+datos_base!$B$23,0))*parametros_manuales!$E$95+parametros_manuales!$E$39*(datos_base!$B$3+datos_base!$B$19+IF(parametros_manuales!$H$39="Todos",datos_base!$B$10+datos_base!$B$24,0))*parametros_manuales!$E$100+parametros_manuales!$F$39*(datos_base!$B$4+datos_base!$B$20+IF(parametros_manuales!$H$39="Todos",datos_base!$B$11+datos_base!$B$25,0))*parametros_manuales!$E$105+parametros_manuales!$G$39*(datos_base!$B$5+datos_base!$B$21+IF(parametros_manuales!$H$39="Todos",datos_base!$B$12+datos_base!$B$26,0))*parametros_manuales!$E$110)*parametros_manuales!$I$39*parametros_manuales!$J$39</f>
        <v>539.30434864205</v>
      </c>
      <c r="F22" s="9" t="n">
        <f aca="false">(parametros_manuales!$D$39*(datos_base!$B$2+datos_base!$B$18+IF(parametros_manuales!$H$39="Todos",datos_base!$B$9+datos_base!$B$23,0))*parametros_manuales!$F$95+parametros_manuales!$E$39*(datos_base!$B$3+datos_base!$B$19+IF(parametros_manuales!$H$39="Todos",datos_base!$B$10+datos_base!$B$24,0))*parametros_manuales!$F$100+parametros_manuales!$F$39*(datos_base!$B$4+datos_base!$B$20+IF(parametros_manuales!$H$39="Todos",datos_base!$B$11+datos_base!$B$25,0))*parametros_manuales!$F$105+parametros_manuales!$G$39*(datos_base!$B$5+datos_base!$B$21+IF(parametros_manuales!$H$39="Todos",datos_base!$B$12+datos_base!$B$26,0))*parametros_manuales!$F$110)*parametros_manuales!$I$39*parametros_manuales!$J$39</f>
        <v>505.1224831084</v>
      </c>
      <c r="G22" s="9" t="n">
        <f aca="false">(parametros_manuales!$D$39*(datos_base!$B$2+datos_base!$B$18+IF(parametros_manuales!$H$39="Todos",datos_base!$B$9+datos_base!$B$23,0))*parametros_manuales!$G$95+parametros_manuales!$E$39*(datos_base!$B$3+datos_base!$B$19+IF(parametros_manuales!$H$39="Todos",datos_base!$B$10+datos_base!$B$24,0))*parametros_manuales!$G$100+parametros_manuales!$F$39*(datos_base!$B$4+datos_base!$B$20+IF(parametros_manuales!$H$39="Todos",datos_base!$B$11+datos_base!$B$25,0))*parametros_manuales!$G$105+parametros_manuales!$G$39*(datos_base!$B$5+datos_base!$B$21+IF(parametros_manuales!$H$39="Todos",datos_base!$B$12+datos_base!$B$26,0))*parametros_manuales!$G$110)*parametros_manuales!$I$39*parametros_manuales!$J$39</f>
        <v>491.83430028975</v>
      </c>
      <c r="H22" s="9" t="n">
        <f aca="false">(parametros_manuales!$D$39*(datos_base!$B$2+datos_base!$B$18+IF(parametros_manuales!$H$39="Todos",datos_base!$B$9+datos_base!$B$23,0))*parametros_manuales!$H$95+parametros_manuales!$E$39*(datos_base!$B$3+datos_base!$B$19+IF(parametros_manuales!$H$39="Todos",datos_base!$B$10+datos_base!$B$24,0))*parametros_manuales!$H$100+parametros_manuales!$F$39*(datos_base!$B$4+datos_base!$B$20+IF(parametros_manuales!$H$39="Todos",datos_base!$B$11+datos_base!$B$25,0))*parametros_manuales!$H$105+parametros_manuales!$G$39*(datos_base!$B$5+datos_base!$B$21+IF(parametros_manuales!$H$39="Todos",datos_base!$B$12+datos_base!$B$26,0))*parametros_manuales!$H$110)*parametros_manuales!$I$39*parametros_manuales!$J$39</f>
        <v>526.0161658234</v>
      </c>
      <c r="I22" s="9" t="n">
        <f aca="false">(parametros_manuales!$D$39*(datos_base!$B$2+datos_base!$B$18+IF(parametros_manuales!$H$39="Todos",datos_base!$B$9+datos_base!$B$23,0))*parametros_manuales!$I$95+parametros_manuales!$E$39*(datos_base!$B$3+datos_base!$B$19+IF(parametros_manuales!$H$39="Todos",datos_base!$B$10+datos_base!$B$24,0))*parametros_manuales!$I$100+parametros_manuales!$F$39*(datos_base!$B$4+datos_base!$B$20+IF(parametros_manuales!$H$39="Todos",datos_base!$B$11+datos_base!$B$25,0))*parametros_manuales!$I$105+parametros_manuales!$G$39*(datos_base!$B$5+datos_base!$B$21+IF(parametros_manuales!$H$39="Todos",datos_base!$B$12+datos_base!$B$26,0))*parametros_manuales!$I$110)*parametros_manuales!$I$39*parametros_manuales!$J$39</f>
        <v>588.6972139684</v>
      </c>
      <c r="J22" s="9" t="n">
        <f aca="false">(parametros_manuales!$D$39*(datos_base!$B$2+datos_base!$B$18+IF(parametros_manuales!$H$39="Todos",datos_base!$B$9+datos_base!$B$23,0))*parametros_manuales!$J$95+parametros_manuales!$E$39*(datos_base!$B$3+datos_base!$B$19+IF(parametros_manuales!$H$39="Todos",datos_base!$B$10+datos_base!$B$24,0))*parametros_manuales!$J$100+parametros_manuales!$F$39*(datos_base!$B$4+datos_base!$B$20+IF(parametros_manuales!$H$39="Todos",datos_base!$B$11+datos_base!$B$25,0))*parametros_manuales!$J$105+parametros_manuales!$G$39*(datos_base!$B$5+datos_base!$B$21+IF(parametros_manuales!$H$39="Todos",datos_base!$B$12+datos_base!$B$26,0))*parametros_manuales!$J$110)*parametros_manuales!$I$39*parametros_manuales!$J$39</f>
        <v>588.6972139684</v>
      </c>
      <c r="K22" s="9" t="n">
        <f aca="false">(parametros_manuales!$D$39*(datos_base!$B$2+datos_base!$B$18+IF(parametros_manuales!$H$39="Todos",datos_base!$B$9+datos_base!$B$23,0))*parametros_manuales!$K$95+parametros_manuales!$E$39*(datos_base!$B$3+datos_base!$B$19+IF(parametros_manuales!$H$39="Todos",datos_base!$B$10+datos_base!$B$24,0))*parametros_manuales!$K$100+parametros_manuales!$F$39*(datos_base!$B$4+datos_base!$B$20+IF(parametros_manuales!$H$39="Todos",datos_base!$B$11+datos_base!$B$25,0))*parametros_manuales!$K$105+parametros_manuales!$G$39*(datos_base!$B$5+datos_base!$B$21+IF(parametros_manuales!$H$39="Todos",datos_base!$B$12+datos_base!$B$26,0))*parametros_manuales!$K$110)*parametros_manuales!$I$39*parametros_manuales!$J$39</f>
        <v>601.98539678705</v>
      </c>
      <c r="L22" s="9" t="n">
        <f aca="false">(parametros_manuales!$D$39*(datos_base!$B$2+datos_base!$B$18+IF(parametros_manuales!$H$39="Todos",datos_base!$B$9+datos_base!$B$23,0))*parametros_manuales!$L$95+parametros_manuales!$E$39*(datos_base!$B$3+datos_base!$B$19+IF(parametros_manuales!$H$39="Todos",datos_base!$B$10+datos_base!$B$24,0))*parametros_manuales!$L$100+parametros_manuales!$F$39*(datos_base!$B$4+datos_base!$B$20+IF(parametros_manuales!$H$39="Todos",datos_base!$B$11+datos_base!$B$25,0))*parametros_manuales!$L$105+parametros_manuales!$G$39*(datos_base!$B$5+datos_base!$B$21+IF(parametros_manuales!$H$39="Todos",datos_base!$B$12+datos_base!$B$26,0))*parametros_manuales!$L$110)*parametros_manuales!$I$39*parametros_manuales!$J$39</f>
        <v>615.2735796057</v>
      </c>
      <c r="M22" s="9" t="n">
        <f aca="false">(parametros_manuales!$D$39*(datos_base!$B$2+datos_base!$B$18+IF(parametros_manuales!$H$39="Todos",datos_base!$B$9+datos_base!$B$23,0))*parametros_manuales!$M$95+parametros_manuales!$E$39*(datos_base!$B$3+datos_base!$B$19+IF(parametros_manuales!$H$39="Todos",datos_base!$B$10+datos_base!$B$24,0))*parametros_manuales!$M$100+parametros_manuales!$F$39*(datos_base!$B$4+datos_base!$B$20+IF(parametros_manuales!$H$39="Todos",datos_base!$B$11+datos_base!$B$25,0))*parametros_manuales!$M$105+parametros_manuales!$G$39*(datos_base!$B$5+datos_base!$B$21+IF(parametros_manuales!$H$39="Todos",datos_base!$B$12+datos_base!$B$26,0))*parametros_manuales!$M$110)*parametros_manuales!$I$39*parametros_manuales!$J$39</f>
        <v>615.2735796057</v>
      </c>
      <c r="N22" s="9" t="n">
        <f aca="false">SUM(B22:M22)</f>
        <v>6836.37310673</v>
      </c>
      <c r="O22" s="9" t="n">
        <f aca="false">MAX(B22:M22)</f>
        <v>615.2735796057</v>
      </c>
      <c r="P22" s="43" t="n">
        <f aca="false">O22/(parametros_manuales!$B$7)</f>
        <v>4.101823864038</v>
      </c>
      <c r="Q22" s="8" t="str">
        <f aca="false">IF(O22=0,"-",INDEX($B$1:$M$1,MATCH(O22,B22:M22,0)))</f>
        <v>Ene</v>
      </c>
    </row>
    <row r="23" customFormat="false" ht="14.25" hidden="false" customHeight="true" outlineLevel="0" collapsed="false">
      <c r="A23" s="8" t="str">
        <f aca="false">parametros_manuales!$B$40</f>
        <v>Presurización</v>
      </c>
      <c r="B23" s="9" t="n">
        <f aca="false">(parametros_manuales!$D$40*(datos_base!$B$2+datos_base!$B$18+IF(parametros_manuales!$H$40="Todos",datos_base!$B$9+datos_base!$B$23,0))*parametros_manuales!$B$95+parametros_manuales!$E$40*(datos_base!$B$3+datos_base!$B$19+IF(parametros_manuales!$H$40="Todos",datos_base!$B$10+datos_base!$B$24,0))*parametros_manuales!$B$100+parametros_manuales!$F$40*(datos_base!$B$4+datos_base!$B$20+IF(parametros_manuales!$H$40="Todos",datos_base!$B$11+datos_base!$B$25,0))*parametros_manuales!$B$105+parametros_manuales!$G$40*(datos_base!$B$5+datos_base!$B$21+IF(parametros_manuales!$H$40="Todos",datos_base!$B$12+datos_base!$B$26,0))*parametros_manuales!$B$110)*parametros_manuales!$I$40*parametros_manuales!$J$40</f>
        <v>615.2735796057</v>
      </c>
      <c r="C23" s="9" t="n">
        <f aca="false">(parametros_manuales!$D$40*(datos_base!$B$2+datos_base!$B$18+IF(parametros_manuales!$H$40="Todos",datos_base!$B$9+datos_base!$B$23,0))*parametros_manuales!$C$95+parametros_manuales!$E$40*(datos_base!$B$3+datos_base!$B$19+IF(parametros_manuales!$H$40="Todos",datos_base!$B$10+datos_base!$B$24,0))*parametros_manuales!$C$100+parametros_manuales!$F$40*(datos_base!$B$4+datos_base!$B$20+IF(parametros_manuales!$H$40="Todos",datos_base!$B$11+datos_base!$B$25,0))*parametros_manuales!$C$105+parametros_manuales!$G$40*(datos_base!$B$5+datos_base!$B$21+IF(parametros_manuales!$H$40="Todos",datos_base!$B$12+datos_base!$B$26,0))*parametros_manuales!$C$110)*parametros_manuales!$I$40*parametros_manuales!$J$40</f>
        <v>588.6972139684</v>
      </c>
      <c r="D23" s="9" t="n">
        <f aca="false">(parametros_manuales!$D$40*(datos_base!$B$2+datos_base!$B$18+IF(parametros_manuales!$H$40="Todos",datos_base!$B$9+datos_base!$B$23,0))*parametros_manuales!$D$95+parametros_manuales!$E$40*(datos_base!$B$3+datos_base!$B$19+IF(parametros_manuales!$H$40="Todos",datos_base!$B$10+datos_base!$B$24,0))*parametros_manuales!$D$100+parametros_manuales!$F$40*(datos_base!$B$4+datos_base!$B$20+IF(parametros_manuales!$H$40="Todos",datos_base!$B$11+datos_base!$B$25,0))*parametros_manuales!$D$105+parametros_manuales!$G$40*(datos_base!$B$5+datos_base!$B$21+IF(parametros_manuales!$H$40="Todos",datos_base!$B$12+datos_base!$B$26,0))*parametros_manuales!$D$110)*parametros_manuales!$I$40*parametros_manuales!$J$40</f>
        <v>560.19803135705</v>
      </c>
      <c r="E23" s="9" t="n">
        <f aca="false">(parametros_manuales!$D$40*(datos_base!$B$2+datos_base!$B$18+IF(parametros_manuales!$H$40="Todos",datos_base!$B$9+datos_base!$B$23,0))*parametros_manuales!$E$95+parametros_manuales!$E$40*(datos_base!$B$3+datos_base!$B$19+IF(parametros_manuales!$H$40="Todos",datos_base!$B$10+datos_base!$B$24,0))*parametros_manuales!$E$100+parametros_manuales!$F$40*(datos_base!$B$4+datos_base!$B$20+IF(parametros_manuales!$H$40="Todos",datos_base!$B$11+datos_base!$B$25,0))*parametros_manuales!$E$105+parametros_manuales!$G$40*(datos_base!$B$5+datos_base!$B$21+IF(parametros_manuales!$H$40="Todos",datos_base!$B$12+datos_base!$B$26,0))*parametros_manuales!$E$110)*parametros_manuales!$I$40*parametros_manuales!$J$40</f>
        <v>539.30434864205</v>
      </c>
      <c r="F23" s="9" t="n">
        <f aca="false">(parametros_manuales!$D$40*(datos_base!$B$2+datos_base!$B$18+IF(parametros_manuales!$H$40="Todos",datos_base!$B$9+datos_base!$B$23,0))*parametros_manuales!$F$95+parametros_manuales!$E$40*(datos_base!$B$3+datos_base!$B$19+IF(parametros_manuales!$H$40="Todos",datos_base!$B$10+datos_base!$B$24,0))*parametros_manuales!$F$100+parametros_manuales!$F$40*(datos_base!$B$4+datos_base!$B$20+IF(parametros_manuales!$H$40="Todos",datos_base!$B$11+datos_base!$B$25,0))*parametros_manuales!$F$105+parametros_manuales!$G$40*(datos_base!$B$5+datos_base!$B$21+IF(parametros_manuales!$H$40="Todos",datos_base!$B$12+datos_base!$B$26,0))*parametros_manuales!$F$110)*parametros_manuales!$I$40*parametros_manuales!$J$40</f>
        <v>505.1224831084</v>
      </c>
      <c r="G23" s="9" t="n">
        <f aca="false">(parametros_manuales!$D$40*(datos_base!$B$2+datos_base!$B$18+IF(parametros_manuales!$H$40="Todos",datos_base!$B$9+datos_base!$B$23,0))*parametros_manuales!$G$95+parametros_manuales!$E$40*(datos_base!$B$3+datos_base!$B$19+IF(parametros_manuales!$H$40="Todos",datos_base!$B$10+datos_base!$B$24,0))*parametros_manuales!$G$100+parametros_manuales!$F$40*(datos_base!$B$4+datos_base!$B$20+IF(parametros_manuales!$H$40="Todos",datos_base!$B$11+datos_base!$B$25,0))*parametros_manuales!$G$105+parametros_manuales!$G$40*(datos_base!$B$5+datos_base!$B$21+IF(parametros_manuales!$H$40="Todos",datos_base!$B$12+datos_base!$B$26,0))*parametros_manuales!$G$110)*parametros_manuales!$I$40*parametros_manuales!$J$40</f>
        <v>491.83430028975</v>
      </c>
      <c r="H23" s="9" t="n">
        <f aca="false">(parametros_manuales!$D$40*(datos_base!$B$2+datos_base!$B$18+IF(parametros_manuales!$H$40="Todos",datos_base!$B$9+datos_base!$B$23,0))*parametros_manuales!$H$95+parametros_manuales!$E$40*(datos_base!$B$3+datos_base!$B$19+IF(parametros_manuales!$H$40="Todos",datos_base!$B$10+datos_base!$B$24,0))*parametros_manuales!$H$100+parametros_manuales!$F$40*(datos_base!$B$4+datos_base!$B$20+IF(parametros_manuales!$H$40="Todos",datos_base!$B$11+datos_base!$B$25,0))*parametros_manuales!$H$105+parametros_manuales!$G$40*(datos_base!$B$5+datos_base!$B$21+IF(parametros_manuales!$H$40="Todos",datos_base!$B$12+datos_base!$B$26,0))*parametros_manuales!$H$110)*parametros_manuales!$I$40*parametros_manuales!$J$40</f>
        <v>526.0161658234</v>
      </c>
      <c r="I23" s="9" t="n">
        <f aca="false">(parametros_manuales!$D$40*(datos_base!$B$2+datos_base!$B$18+IF(parametros_manuales!$H$40="Todos",datos_base!$B$9+datos_base!$B$23,0))*parametros_manuales!$I$95+parametros_manuales!$E$40*(datos_base!$B$3+datos_base!$B$19+IF(parametros_manuales!$H$40="Todos",datos_base!$B$10+datos_base!$B$24,0))*parametros_manuales!$I$100+parametros_manuales!$F$40*(datos_base!$B$4+datos_base!$B$20+IF(parametros_manuales!$H$40="Todos",datos_base!$B$11+datos_base!$B$25,0))*parametros_manuales!$I$105+parametros_manuales!$G$40*(datos_base!$B$5+datos_base!$B$21+IF(parametros_manuales!$H$40="Todos",datos_base!$B$12+datos_base!$B$26,0))*parametros_manuales!$I$110)*parametros_manuales!$I$40*parametros_manuales!$J$40</f>
        <v>588.6972139684</v>
      </c>
      <c r="J23" s="9" t="n">
        <f aca="false">(parametros_manuales!$D$40*(datos_base!$B$2+datos_base!$B$18+IF(parametros_manuales!$H$40="Todos",datos_base!$B$9+datos_base!$B$23,0))*parametros_manuales!$J$95+parametros_manuales!$E$40*(datos_base!$B$3+datos_base!$B$19+IF(parametros_manuales!$H$40="Todos",datos_base!$B$10+datos_base!$B$24,0))*parametros_manuales!$J$100+parametros_manuales!$F$40*(datos_base!$B$4+datos_base!$B$20+IF(parametros_manuales!$H$40="Todos",datos_base!$B$11+datos_base!$B$25,0))*parametros_manuales!$J$105+parametros_manuales!$G$40*(datos_base!$B$5+datos_base!$B$21+IF(parametros_manuales!$H$40="Todos",datos_base!$B$12+datos_base!$B$26,0))*parametros_manuales!$J$110)*parametros_manuales!$I$40*parametros_manuales!$J$40</f>
        <v>588.6972139684</v>
      </c>
      <c r="K23" s="9" t="n">
        <f aca="false">(parametros_manuales!$D$40*(datos_base!$B$2+datos_base!$B$18+IF(parametros_manuales!$H$40="Todos",datos_base!$B$9+datos_base!$B$23,0))*parametros_manuales!$K$95+parametros_manuales!$E$40*(datos_base!$B$3+datos_base!$B$19+IF(parametros_manuales!$H$40="Todos",datos_base!$B$10+datos_base!$B$24,0))*parametros_manuales!$K$100+parametros_manuales!$F$40*(datos_base!$B$4+datos_base!$B$20+IF(parametros_manuales!$H$40="Todos",datos_base!$B$11+datos_base!$B$25,0))*parametros_manuales!$K$105+parametros_manuales!$G$40*(datos_base!$B$5+datos_base!$B$21+IF(parametros_manuales!$H$40="Todos",datos_base!$B$12+datos_base!$B$26,0))*parametros_manuales!$K$110)*parametros_manuales!$I$40*parametros_manuales!$J$40</f>
        <v>601.98539678705</v>
      </c>
      <c r="L23" s="9" t="n">
        <f aca="false">(parametros_manuales!$D$40*(datos_base!$B$2+datos_base!$B$18+IF(parametros_manuales!$H$40="Todos",datos_base!$B$9+datos_base!$B$23,0))*parametros_manuales!$L$95+parametros_manuales!$E$40*(datos_base!$B$3+datos_base!$B$19+IF(parametros_manuales!$H$40="Todos",datos_base!$B$10+datos_base!$B$24,0))*parametros_manuales!$L$100+parametros_manuales!$F$40*(datos_base!$B$4+datos_base!$B$20+IF(parametros_manuales!$H$40="Todos",datos_base!$B$11+datos_base!$B$25,0))*parametros_manuales!$L$105+parametros_manuales!$G$40*(datos_base!$B$5+datos_base!$B$21+IF(parametros_manuales!$H$40="Todos",datos_base!$B$12+datos_base!$B$26,0))*parametros_manuales!$L$110)*parametros_manuales!$I$40*parametros_manuales!$J$40</f>
        <v>615.2735796057</v>
      </c>
      <c r="M23" s="9" t="n">
        <f aca="false">(parametros_manuales!$D$40*(datos_base!$B$2+datos_base!$B$18+IF(parametros_manuales!$H$40="Todos",datos_base!$B$9+datos_base!$B$23,0))*parametros_manuales!$M$95+parametros_manuales!$E$40*(datos_base!$B$3+datos_base!$B$19+IF(parametros_manuales!$H$40="Todos",datos_base!$B$10+datos_base!$B$24,0))*parametros_manuales!$M$100+parametros_manuales!$F$40*(datos_base!$B$4+datos_base!$B$20+IF(parametros_manuales!$H$40="Todos",datos_base!$B$11+datos_base!$B$25,0))*parametros_manuales!$M$105+parametros_manuales!$G$40*(datos_base!$B$5+datos_base!$B$21+IF(parametros_manuales!$H$40="Todos",datos_base!$B$12+datos_base!$B$26,0))*parametros_manuales!$M$110)*parametros_manuales!$I$40*parametros_manuales!$J$40</f>
        <v>615.2735796057</v>
      </c>
      <c r="N23" s="9" t="n">
        <f aca="false">SUM(B23:M23)</f>
        <v>6836.37310673</v>
      </c>
      <c r="O23" s="9" t="n">
        <f aca="false">MAX(B23:M23)</f>
        <v>615.2735796057</v>
      </c>
      <c r="P23" s="43" t="n">
        <f aca="false">O23/(parametros_manuales!$B$7)</f>
        <v>4.101823864038</v>
      </c>
      <c r="Q23" s="8" t="str">
        <f aca="false">IF(O23=0,"-",INDEX($B$1:$M$1,MATCH(O23,B23:M23,0)))</f>
        <v>Ene</v>
      </c>
    </row>
    <row r="24" customFormat="false" ht="14.25" hidden="false" customHeight="true" outlineLevel="0" collapsed="false">
      <c r="A24" s="8" t="str">
        <f aca="false">parametros_manuales!$B$41</f>
        <v>Control de calidad — Ensayo de pérdidas</v>
      </c>
      <c r="B24" s="9" t="n">
        <f aca="false">(parametros_manuales!$D$41*(datos_base!$B$2+datos_base!$B$18+IF(parametros_manuales!$H$41="Todos",datos_base!$B$9+datos_base!$B$23,0))*parametros_manuales!$B$95+parametros_manuales!$E$41*(datos_base!$B$3+datos_base!$B$19+IF(parametros_manuales!$H$41="Todos",datos_base!$B$10+datos_base!$B$24,0))*parametros_manuales!$B$100+parametros_manuales!$F$41*(datos_base!$B$4+datos_base!$B$20+IF(parametros_manuales!$H$41="Todos",datos_base!$B$11+datos_base!$B$25,0))*parametros_manuales!$B$105+parametros_manuales!$G$41*(datos_base!$B$5+datos_base!$B$21+IF(parametros_manuales!$H$41="Todos",datos_base!$B$12+datos_base!$B$26,0))*parametros_manuales!$B$110)*parametros_manuales!$I$41*parametros_manuales!$J$41</f>
        <v>615.2735796057</v>
      </c>
      <c r="C24" s="9" t="n">
        <f aca="false">(parametros_manuales!$D$41*(datos_base!$B$2+datos_base!$B$18+IF(parametros_manuales!$H$41="Todos",datos_base!$B$9+datos_base!$B$23,0))*parametros_manuales!$C$95+parametros_manuales!$E$41*(datos_base!$B$3+datos_base!$B$19+IF(parametros_manuales!$H$41="Todos",datos_base!$B$10+datos_base!$B$24,0))*parametros_manuales!$C$100+parametros_manuales!$F$41*(datos_base!$B$4+datos_base!$B$20+IF(parametros_manuales!$H$41="Todos",datos_base!$B$11+datos_base!$B$25,0))*parametros_manuales!$C$105+parametros_manuales!$G$41*(datos_base!$B$5+datos_base!$B$21+IF(parametros_manuales!$H$41="Todos",datos_base!$B$12+datos_base!$B$26,0))*parametros_manuales!$C$110)*parametros_manuales!$I$41*parametros_manuales!$J$41</f>
        <v>588.6972139684</v>
      </c>
      <c r="D24" s="9" t="n">
        <f aca="false">(parametros_manuales!$D$41*(datos_base!$B$2+datos_base!$B$18+IF(parametros_manuales!$H$41="Todos",datos_base!$B$9+datos_base!$B$23,0))*parametros_manuales!$D$95+parametros_manuales!$E$41*(datos_base!$B$3+datos_base!$B$19+IF(parametros_manuales!$H$41="Todos",datos_base!$B$10+datos_base!$B$24,0))*parametros_manuales!$D$100+parametros_manuales!$F$41*(datos_base!$B$4+datos_base!$B$20+IF(parametros_manuales!$H$41="Todos",datos_base!$B$11+datos_base!$B$25,0))*parametros_manuales!$D$105+parametros_manuales!$G$41*(datos_base!$B$5+datos_base!$B$21+IF(parametros_manuales!$H$41="Todos",datos_base!$B$12+datos_base!$B$26,0))*parametros_manuales!$D$110)*parametros_manuales!$I$41*parametros_manuales!$J$41</f>
        <v>560.19803135705</v>
      </c>
      <c r="E24" s="9" t="n">
        <f aca="false">(parametros_manuales!$D$41*(datos_base!$B$2+datos_base!$B$18+IF(parametros_manuales!$H$41="Todos",datos_base!$B$9+datos_base!$B$23,0))*parametros_manuales!$E$95+parametros_manuales!$E$41*(datos_base!$B$3+datos_base!$B$19+IF(parametros_manuales!$H$41="Todos",datos_base!$B$10+datos_base!$B$24,0))*parametros_manuales!$E$100+parametros_manuales!$F$41*(datos_base!$B$4+datos_base!$B$20+IF(parametros_manuales!$H$41="Todos",datos_base!$B$11+datos_base!$B$25,0))*parametros_manuales!$E$105+parametros_manuales!$G$41*(datos_base!$B$5+datos_base!$B$21+IF(parametros_manuales!$H$41="Todos",datos_base!$B$12+datos_base!$B$26,0))*parametros_manuales!$E$110)*parametros_manuales!$I$41*parametros_manuales!$J$41</f>
        <v>539.30434864205</v>
      </c>
      <c r="F24" s="9" t="n">
        <f aca="false">(parametros_manuales!$D$41*(datos_base!$B$2+datos_base!$B$18+IF(parametros_manuales!$H$41="Todos",datos_base!$B$9+datos_base!$B$23,0))*parametros_manuales!$F$95+parametros_manuales!$E$41*(datos_base!$B$3+datos_base!$B$19+IF(parametros_manuales!$H$41="Todos",datos_base!$B$10+datos_base!$B$24,0))*parametros_manuales!$F$100+parametros_manuales!$F$41*(datos_base!$B$4+datos_base!$B$20+IF(parametros_manuales!$H$41="Todos",datos_base!$B$11+datos_base!$B$25,0))*parametros_manuales!$F$105+parametros_manuales!$G$41*(datos_base!$B$5+datos_base!$B$21+IF(parametros_manuales!$H$41="Todos",datos_base!$B$12+datos_base!$B$26,0))*parametros_manuales!$F$110)*parametros_manuales!$I$41*parametros_manuales!$J$41</f>
        <v>505.1224831084</v>
      </c>
      <c r="G24" s="9" t="n">
        <f aca="false">(parametros_manuales!$D$41*(datos_base!$B$2+datos_base!$B$18+IF(parametros_manuales!$H$41="Todos",datos_base!$B$9+datos_base!$B$23,0))*parametros_manuales!$G$95+parametros_manuales!$E$41*(datos_base!$B$3+datos_base!$B$19+IF(parametros_manuales!$H$41="Todos",datos_base!$B$10+datos_base!$B$24,0))*parametros_manuales!$G$100+parametros_manuales!$F$41*(datos_base!$B$4+datos_base!$B$20+IF(parametros_manuales!$H$41="Todos",datos_base!$B$11+datos_base!$B$25,0))*parametros_manuales!$G$105+parametros_manuales!$G$41*(datos_base!$B$5+datos_base!$B$21+IF(parametros_manuales!$H$41="Todos",datos_base!$B$12+datos_base!$B$26,0))*parametros_manuales!$G$110)*parametros_manuales!$I$41*parametros_manuales!$J$41</f>
        <v>491.83430028975</v>
      </c>
      <c r="H24" s="9" t="n">
        <f aca="false">(parametros_manuales!$D$41*(datos_base!$B$2+datos_base!$B$18+IF(parametros_manuales!$H$41="Todos",datos_base!$B$9+datos_base!$B$23,0))*parametros_manuales!$H$95+parametros_manuales!$E$41*(datos_base!$B$3+datos_base!$B$19+IF(parametros_manuales!$H$41="Todos",datos_base!$B$10+datos_base!$B$24,0))*parametros_manuales!$H$100+parametros_manuales!$F$41*(datos_base!$B$4+datos_base!$B$20+IF(parametros_manuales!$H$41="Todos",datos_base!$B$11+datos_base!$B$25,0))*parametros_manuales!$H$105+parametros_manuales!$G$41*(datos_base!$B$5+datos_base!$B$21+IF(parametros_manuales!$H$41="Todos",datos_base!$B$12+datos_base!$B$26,0))*parametros_manuales!$H$110)*parametros_manuales!$I$41*parametros_manuales!$J$41</f>
        <v>526.0161658234</v>
      </c>
      <c r="I24" s="9" t="n">
        <f aca="false">(parametros_manuales!$D$41*(datos_base!$B$2+datos_base!$B$18+IF(parametros_manuales!$H$41="Todos",datos_base!$B$9+datos_base!$B$23,0))*parametros_manuales!$I$95+parametros_manuales!$E$41*(datos_base!$B$3+datos_base!$B$19+IF(parametros_manuales!$H$41="Todos",datos_base!$B$10+datos_base!$B$24,0))*parametros_manuales!$I$100+parametros_manuales!$F$41*(datos_base!$B$4+datos_base!$B$20+IF(parametros_manuales!$H$41="Todos",datos_base!$B$11+datos_base!$B$25,0))*parametros_manuales!$I$105+parametros_manuales!$G$41*(datos_base!$B$5+datos_base!$B$21+IF(parametros_manuales!$H$41="Todos",datos_base!$B$12+datos_base!$B$26,0))*parametros_manuales!$I$110)*parametros_manuales!$I$41*parametros_manuales!$J$41</f>
        <v>588.6972139684</v>
      </c>
      <c r="J24" s="9" t="n">
        <f aca="false">(parametros_manuales!$D$41*(datos_base!$B$2+datos_base!$B$18+IF(parametros_manuales!$H$41="Todos",datos_base!$B$9+datos_base!$B$23,0))*parametros_manuales!$J$95+parametros_manuales!$E$41*(datos_base!$B$3+datos_base!$B$19+IF(parametros_manuales!$H$41="Todos",datos_base!$B$10+datos_base!$B$24,0))*parametros_manuales!$J$100+parametros_manuales!$F$41*(datos_base!$B$4+datos_base!$B$20+IF(parametros_manuales!$H$41="Todos",datos_base!$B$11+datos_base!$B$25,0))*parametros_manuales!$J$105+parametros_manuales!$G$41*(datos_base!$B$5+datos_base!$B$21+IF(parametros_manuales!$H$41="Todos",datos_base!$B$12+datos_base!$B$26,0))*parametros_manuales!$J$110)*parametros_manuales!$I$41*parametros_manuales!$J$41</f>
        <v>588.6972139684</v>
      </c>
      <c r="K24" s="9" t="n">
        <f aca="false">(parametros_manuales!$D$41*(datos_base!$B$2+datos_base!$B$18+IF(parametros_manuales!$H$41="Todos",datos_base!$B$9+datos_base!$B$23,0))*parametros_manuales!$K$95+parametros_manuales!$E$41*(datos_base!$B$3+datos_base!$B$19+IF(parametros_manuales!$H$41="Todos",datos_base!$B$10+datos_base!$B$24,0))*parametros_manuales!$K$100+parametros_manuales!$F$41*(datos_base!$B$4+datos_base!$B$20+IF(parametros_manuales!$H$41="Todos",datos_base!$B$11+datos_base!$B$25,0))*parametros_manuales!$K$105+parametros_manuales!$G$41*(datos_base!$B$5+datos_base!$B$21+IF(parametros_manuales!$H$41="Todos",datos_base!$B$12+datos_base!$B$26,0))*parametros_manuales!$K$110)*parametros_manuales!$I$41*parametros_manuales!$J$41</f>
        <v>601.98539678705</v>
      </c>
      <c r="L24" s="9" t="n">
        <f aca="false">(parametros_manuales!$D$41*(datos_base!$B$2+datos_base!$B$18+IF(parametros_manuales!$H$41="Todos",datos_base!$B$9+datos_base!$B$23,0))*parametros_manuales!$L$95+parametros_manuales!$E$41*(datos_base!$B$3+datos_base!$B$19+IF(parametros_manuales!$H$41="Todos",datos_base!$B$10+datos_base!$B$24,0))*parametros_manuales!$L$100+parametros_manuales!$F$41*(datos_base!$B$4+datos_base!$B$20+IF(parametros_manuales!$H$41="Todos",datos_base!$B$11+datos_base!$B$25,0))*parametros_manuales!$L$105+parametros_manuales!$G$41*(datos_base!$B$5+datos_base!$B$21+IF(parametros_manuales!$H$41="Todos",datos_base!$B$12+datos_base!$B$26,0))*parametros_manuales!$L$110)*parametros_manuales!$I$41*parametros_manuales!$J$41</f>
        <v>615.2735796057</v>
      </c>
      <c r="M24" s="9" t="n">
        <f aca="false">(parametros_manuales!$D$41*(datos_base!$B$2+datos_base!$B$18+IF(parametros_manuales!$H$41="Todos",datos_base!$B$9+datos_base!$B$23,0))*parametros_manuales!$M$95+parametros_manuales!$E$41*(datos_base!$B$3+datos_base!$B$19+IF(parametros_manuales!$H$41="Todos",datos_base!$B$10+datos_base!$B$24,0))*parametros_manuales!$M$100+parametros_manuales!$F$41*(datos_base!$B$4+datos_base!$B$20+IF(parametros_manuales!$H$41="Todos",datos_base!$B$11+datos_base!$B$25,0))*parametros_manuales!$M$105+parametros_manuales!$G$41*(datos_base!$B$5+datos_base!$B$21+IF(parametros_manuales!$H$41="Todos",datos_base!$B$12+datos_base!$B$26,0))*parametros_manuales!$M$110)*parametros_manuales!$I$41*parametros_manuales!$J$41</f>
        <v>615.2735796057</v>
      </c>
      <c r="N24" s="9" t="n">
        <f aca="false">SUM(B24:M24)</f>
        <v>6836.37310673</v>
      </c>
      <c r="O24" s="9" t="n">
        <f aca="false">MAX(B24:M24)</f>
        <v>615.2735796057</v>
      </c>
      <c r="P24" s="43" t="n">
        <f aca="false">O24/(parametros_manuales!$B$7)</f>
        <v>4.101823864038</v>
      </c>
      <c r="Q24" s="8" t="str">
        <f aca="false">IF(O24=0,"-",INDEX($B$1:$M$1,MATCH(O24,B24:M24,0)))</f>
        <v>Ene</v>
      </c>
    </row>
    <row r="25" customFormat="false" ht="14.25" hidden="false" customHeight="true" outlineLevel="0" collapsed="false">
      <c r="A25" s="8" t="str">
        <f aca="false">parametros_manuales!$B$42</f>
        <v>Etiquetado</v>
      </c>
      <c r="B25" s="9" t="n">
        <f aca="false">(parametros_manuales!$D$42*(datos_base!$B$2+datos_base!$B$18+IF(parametros_manuales!$H$42="Todos",datos_base!$B$9+datos_base!$B$23,0))*parametros_manuales!$B$95+parametros_manuales!$E$42*(datos_base!$B$3+datos_base!$B$19+IF(parametros_manuales!$H$42="Todos",datos_base!$B$10+datos_base!$B$24,0))*parametros_manuales!$B$100+parametros_manuales!$F$42*(datos_base!$B$4+datos_base!$B$20+IF(parametros_manuales!$H$42="Todos",datos_base!$B$11+datos_base!$B$25,0))*parametros_manuales!$B$105+parametros_manuales!$G$42*(datos_base!$B$5+datos_base!$B$21+IF(parametros_manuales!$H$42="Todos",datos_base!$B$12+datos_base!$B$26,0))*parametros_manuales!$B$110)*parametros_manuales!$I$42*parametros_manuales!$J$42</f>
        <v>615.2735796057</v>
      </c>
      <c r="C25" s="9" t="n">
        <f aca="false">(parametros_manuales!$D$42*(datos_base!$B$2+datos_base!$B$18+IF(parametros_manuales!$H$42="Todos",datos_base!$B$9+datos_base!$B$23,0))*parametros_manuales!$C$95+parametros_manuales!$E$42*(datos_base!$B$3+datos_base!$B$19+IF(parametros_manuales!$H$42="Todos",datos_base!$B$10+datos_base!$B$24,0))*parametros_manuales!$C$100+parametros_manuales!$F$42*(datos_base!$B$4+datos_base!$B$20+IF(parametros_manuales!$H$42="Todos",datos_base!$B$11+datos_base!$B$25,0))*parametros_manuales!$C$105+parametros_manuales!$G$42*(datos_base!$B$5+datos_base!$B$21+IF(parametros_manuales!$H$42="Todos",datos_base!$B$12+datos_base!$B$26,0))*parametros_manuales!$C$110)*parametros_manuales!$I$42*parametros_manuales!$J$42</f>
        <v>588.6972139684</v>
      </c>
      <c r="D25" s="9" t="n">
        <f aca="false">(parametros_manuales!$D$42*(datos_base!$B$2+datos_base!$B$18+IF(parametros_manuales!$H$42="Todos",datos_base!$B$9+datos_base!$B$23,0))*parametros_manuales!$D$95+parametros_manuales!$E$42*(datos_base!$B$3+datos_base!$B$19+IF(parametros_manuales!$H$42="Todos",datos_base!$B$10+datos_base!$B$24,0))*parametros_manuales!$D$100+parametros_manuales!$F$42*(datos_base!$B$4+datos_base!$B$20+IF(parametros_manuales!$H$42="Todos",datos_base!$B$11+datos_base!$B$25,0))*parametros_manuales!$D$105+parametros_manuales!$G$42*(datos_base!$B$5+datos_base!$B$21+IF(parametros_manuales!$H$42="Todos",datos_base!$B$12+datos_base!$B$26,0))*parametros_manuales!$D$110)*parametros_manuales!$I$42*parametros_manuales!$J$42</f>
        <v>560.19803135705</v>
      </c>
      <c r="E25" s="9" t="n">
        <f aca="false">(parametros_manuales!$D$42*(datos_base!$B$2+datos_base!$B$18+IF(parametros_manuales!$H$42="Todos",datos_base!$B$9+datos_base!$B$23,0))*parametros_manuales!$E$95+parametros_manuales!$E$42*(datos_base!$B$3+datos_base!$B$19+IF(parametros_manuales!$H$42="Todos",datos_base!$B$10+datos_base!$B$24,0))*parametros_manuales!$E$100+parametros_manuales!$F$42*(datos_base!$B$4+datos_base!$B$20+IF(parametros_manuales!$H$42="Todos",datos_base!$B$11+datos_base!$B$25,0))*parametros_manuales!$E$105+parametros_manuales!$G$42*(datos_base!$B$5+datos_base!$B$21+IF(parametros_manuales!$H$42="Todos",datos_base!$B$12+datos_base!$B$26,0))*parametros_manuales!$E$110)*parametros_manuales!$I$42*parametros_manuales!$J$42</f>
        <v>539.30434864205</v>
      </c>
      <c r="F25" s="9" t="n">
        <f aca="false">(parametros_manuales!$D$42*(datos_base!$B$2+datos_base!$B$18+IF(parametros_manuales!$H$42="Todos",datos_base!$B$9+datos_base!$B$23,0))*parametros_manuales!$F$95+parametros_manuales!$E$42*(datos_base!$B$3+datos_base!$B$19+IF(parametros_manuales!$H$42="Todos",datos_base!$B$10+datos_base!$B$24,0))*parametros_manuales!$F$100+parametros_manuales!$F$42*(datos_base!$B$4+datos_base!$B$20+IF(parametros_manuales!$H$42="Todos",datos_base!$B$11+datos_base!$B$25,0))*parametros_manuales!$F$105+parametros_manuales!$G$42*(datos_base!$B$5+datos_base!$B$21+IF(parametros_manuales!$H$42="Todos",datos_base!$B$12+datos_base!$B$26,0))*parametros_manuales!$F$110)*parametros_manuales!$I$42*parametros_manuales!$J$42</f>
        <v>505.1224831084</v>
      </c>
      <c r="G25" s="9" t="n">
        <f aca="false">(parametros_manuales!$D$42*(datos_base!$B$2+datos_base!$B$18+IF(parametros_manuales!$H$42="Todos",datos_base!$B$9+datos_base!$B$23,0))*parametros_manuales!$G$95+parametros_manuales!$E$42*(datos_base!$B$3+datos_base!$B$19+IF(parametros_manuales!$H$42="Todos",datos_base!$B$10+datos_base!$B$24,0))*parametros_manuales!$G$100+parametros_manuales!$F$42*(datos_base!$B$4+datos_base!$B$20+IF(parametros_manuales!$H$42="Todos",datos_base!$B$11+datos_base!$B$25,0))*parametros_manuales!$G$105+parametros_manuales!$G$42*(datos_base!$B$5+datos_base!$B$21+IF(parametros_manuales!$H$42="Todos",datos_base!$B$12+datos_base!$B$26,0))*parametros_manuales!$G$110)*parametros_manuales!$I$42*parametros_manuales!$J$42</f>
        <v>491.83430028975</v>
      </c>
      <c r="H25" s="9" t="n">
        <f aca="false">(parametros_manuales!$D$42*(datos_base!$B$2+datos_base!$B$18+IF(parametros_manuales!$H$42="Todos",datos_base!$B$9+datos_base!$B$23,0))*parametros_manuales!$H$95+parametros_manuales!$E$42*(datos_base!$B$3+datos_base!$B$19+IF(parametros_manuales!$H$42="Todos",datos_base!$B$10+datos_base!$B$24,0))*parametros_manuales!$H$100+parametros_manuales!$F$42*(datos_base!$B$4+datos_base!$B$20+IF(parametros_manuales!$H$42="Todos",datos_base!$B$11+datos_base!$B$25,0))*parametros_manuales!$H$105+parametros_manuales!$G$42*(datos_base!$B$5+datos_base!$B$21+IF(parametros_manuales!$H$42="Todos",datos_base!$B$12+datos_base!$B$26,0))*parametros_manuales!$H$110)*parametros_manuales!$I$42*parametros_manuales!$J$42</f>
        <v>526.0161658234</v>
      </c>
      <c r="I25" s="9" t="n">
        <f aca="false">(parametros_manuales!$D$42*(datos_base!$B$2+datos_base!$B$18+IF(parametros_manuales!$H$42="Todos",datos_base!$B$9+datos_base!$B$23,0))*parametros_manuales!$I$95+parametros_manuales!$E$42*(datos_base!$B$3+datos_base!$B$19+IF(parametros_manuales!$H$42="Todos",datos_base!$B$10+datos_base!$B$24,0))*parametros_manuales!$I$100+parametros_manuales!$F$42*(datos_base!$B$4+datos_base!$B$20+IF(parametros_manuales!$H$42="Todos",datos_base!$B$11+datos_base!$B$25,0))*parametros_manuales!$I$105+parametros_manuales!$G$42*(datos_base!$B$5+datos_base!$B$21+IF(parametros_manuales!$H$42="Todos",datos_base!$B$12+datos_base!$B$26,0))*parametros_manuales!$I$110)*parametros_manuales!$I$42*parametros_manuales!$J$42</f>
        <v>588.6972139684</v>
      </c>
      <c r="J25" s="9" t="n">
        <f aca="false">(parametros_manuales!$D$42*(datos_base!$B$2+datos_base!$B$18+IF(parametros_manuales!$H$42="Todos",datos_base!$B$9+datos_base!$B$23,0))*parametros_manuales!$J$95+parametros_manuales!$E$42*(datos_base!$B$3+datos_base!$B$19+IF(parametros_manuales!$H$42="Todos",datos_base!$B$10+datos_base!$B$24,0))*parametros_manuales!$J$100+parametros_manuales!$F$42*(datos_base!$B$4+datos_base!$B$20+IF(parametros_manuales!$H$42="Todos",datos_base!$B$11+datos_base!$B$25,0))*parametros_manuales!$J$105+parametros_manuales!$G$42*(datos_base!$B$5+datos_base!$B$21+IF(parametros_manuales!$H$42="Todos",datos_base!$B$12+datos_base!$B$26,0))*parametros_manuales!$J$110)*parametros_manuales!$I$42*parametros_manuales!$J$42</f>
        <v>588.6972139684</v>
      </c>
      <c r="K25" s="9" t="n">
        <f aca="false">(parametros_manuales!$D$42*(datos_base!$B$2+datos_base!$B$18+IF(parametros_manuales!$H$42="Todos",datos_base!$B$9+datos_base!$B$23,0))*parametros_manuales!$K$95+parametros_manuales!$E$42*(datos_base!$B$3+datos_base!$B$19+IF(parametros_manuales!$H$42="Todos",datos_base!$B$10+datos_base!$B$24,0))*parametros_manuales!$K$100+parametros_manuales!$F$42*(datos_base!$B$4+datos_base!$B$20+IF(parametros_manuales!$H$42="Todos",datos_base!$B$11+datos_base!$B$25,0))*parametros_manuales!$K$105+parametros_manuales!$G$42*(datos_base!$B$5+datos_base!$B$21+IF(parametros_manuales!$H$42="Todos",datos_base!$B$12+datos_base!$B$26,0))*parametros_manuales!$K$110)*parametros_manuales!$I$42*parametros_manuales!$J$42</f>
        <v>601.98539678705</v>
      </c>
      <c r="L25" s="9" t="n">
        <f aca="false">(parametros_manuales!$D$42*(datos_base!$B$2+datos_base!$B$18+IF(parametros_manuales!$H$42="Todos",datos_base!$B$9+datos_base!$B$23,0))*parametros_manuales!$L$95+parametros_manuales!$E$42*(datos_base!$B$3+datos_base!$B$19+IF(parametros_manuales!$H$42="Todos",datos_base!$B$10+datos_base!$B$24,0))*parametros_manuales!$L$100+parametros_manuales!$F$42*(datos_base!$B$4+datos_base!$B$20+IF(parametros_manuales!$H$42="Todos",datos_base!$B$11+datos_base!$B$25,0))*parametros_manuales!$L$105+parametros_manuales!$G$42*(datos_base!$B$5+datos_base!$B$21+IF(parametros_manuales!$H$42="Todos",datos_base!$B$12+datos_base!$B$26,0))*parametros_manuales!$L$110)*parametros_manuales!$I$42*parametros_manuales!$J$42</f>
        <v>615.2735796057</v>
      </c>
      <c r="M25" s="9" t="n">
        <f aca="false">(parametros_manuales!$D$42*(datos_base!$B$2+datos_base!$B$18+IF(parametros_manuales!$H$42="Todos",datos_base!$B$9+datos_base!$B$23,0))*parametros_manuales!$M$95+parametros_manuales!$E$42*(datos_base!$B$3+datos_base!$B$19+IF(parametros_manuales!$H$42="Todos",datos_base!$B$10+datos_base!$B$24,0))*parametros_manuales!$M$100+parametros_manuales!$F$42*(datos_base!$B$4+datos_base!$B$20+IF(parametros_manuales!$H$42="Todos",datos_base!$B$11+datos_base!$B$25,0))*parametros_manuales!$M$105+parametros_manuales!$G$42*(datos_base!$B$5+datos_base!$B$21+IF(parametros_manuales!$H$42="Todos",datos_base!$B$12+datos_base!$B$26,0))*parametros_manuales!$M$110)*parametros_manuales!$I$42*parametros_manuales!$J$42</f>
        <v>615.2735796057</v>
      </c>
      <c r="N25" s="9" t="n">
        <f aca="false">SUM(B25:M25)</f>
        <v>6836.37310673</v>
      </c>
      <c r="O25" s="9" t="n">
        <f aca="false">MAX(B25:M25)</f>
        <v>615.2735796057</v>
      </c>
      <c r="P25" s="43" t="n">
        <f aca="false">O25/(parametros_manuales!$B$7)</f>
        <v>4.101823864038</v>
      </c>
      <c r="Q25" s="8" t="str">
        <f aca="false">IF(O25=0,"-",INDEX($B$1:$M$1,MATCH(O25,B25:M25,0)))</f>
        <v>Ene</v>
      </c>
    </row>
    <row r="26" customFormat="false" ht="14.25" hidden="false" customHeight="true" outlineLevel="0" collapsed="false">
      <c r="A26" s="8" t="str">
        <f aca="false">parametros_manuales!$B$43</f>
        <v>Embalaje y paletizado</v>
      </c>
      <c r="B26" s="9" t="n">
        <f aca="false">(parametros_manuales!$D$43*(datos_base!$B$2+datos_base!$B$18+IF(parametros_manuales!$H$43="Todos",datos_base!$B$9+datos_base!$B$23,0))*parametros_manuales!$B$95+parametros_manuales!$E$43*(datos_base!$B$3+datos_base!$B$19+IF(parametros_manuales!$H$43="Todos",datos_base!$B$10+datos_base!$B$24,0))*parametros_manuales!$B$100+parametros_manuales!$F$43*(datos_base!$B$4+datos_base!$B$20+IF(parametros_manuales!$H$43="Todos",datos_base!$B$11+datos_base!$B$25,0))*parametros_manuales!$B$105+parametros_manuales!$G$43*(datos_base!$B$5+datos_base!$B$21+IF(parametros_manuales!$H$43="Todos",datos_base!$B$12+datos_base!$B$26,0))*parametros_manuales!$B$110)*parametros_manuales!$I$43*parametros_manuales!$J$43</f>
        <v>617.6135796057</v>
      </c>
      <c r="C26" s="9" t="n">
        <f aca="false">(parametros_manuales!$D$43*(datos_base!$B$2+datos_base!$B$18+IF(parametros_manuales!$H$43="Todos",datos_base!$B$9+datos_base!$B$23,0))*parametros_manuales!$C$95+parametros_manuales!$E$43*(datos_base!$B$3+datos_base!$B$19+IF(parametros_manuales!$H$43="Todos",datos_base!$B$10+datos_base!$B$24,0))*parametros_manuales!$C$100+parametros_manuales!$F$43*(datos_base!$B$4+datos_base!$B$20+IF(parametros_manuales!$H$43="Todos",datos_base!$B$11+datos_base!$B$25,0))*parametros_manuales!$C$105+parametros_manuales!$G$43*(datos_base!$B$5+datos_base!$B$21+IF(parametros_manuales!$H$43="Todos",datos_base!$B$12+datos_base!$B$26,0))*parametros_manuales!$C$110)*parametros_manuales!$I$43*parametros_manuales!$J$43</f>
        <v>590.7772139684</v>
      </c>
      <c r="D26" s="9" t="n">
        <f aca="false">(parametros_manuales!$D$43*(datos_base!$B$2+datos_base!$B$18+IF(parametros_manuales!$H$43="Todos",datos_base!$B$9+datos_base!$B$23,0))*parametros_manuales!$D$95+parametros_manuales!$E$43*(datos_base!$B$3+datos_base!$B$19+IF(parametros_manuales!$H$43="Todos",datos_base!$B$10+datos_base!$B$24,0))*parametros_manuales!$D$100+parametros_manuales!$F$43*(datos_base!$B$4+datos_base!$B$20+IF(parametros_manuales!$H$43="Todos",datos_base!$B$11+datos_base!$B$25,0))*parametros_manuales!$D$105+parametros_manuales!$G$43*(datos_base!$B$5+datos_base!$B$21+IF(parametros_manuales!$H$43="Todos",datos_base!$B$12+datos_base!$B$26,0))*parametros_manuales!$D$110)*parametros_manuales!$I$43*parametros_manuales!$J$43</f>
        <v>562.40803135705</v>
      </c>
      <c r="E26" s="9" t="n">
        <f aca="false">(parametros_manuales!$D$43*(datos_base!$B$2+datos_base!$B$18+IF(parametros_manuales!$H$43="Todos",datos_base!$B$9+datos_base!$B$23,0))*parametros_manuales!$E$95+parametros_manuales!$E$43*(datos_base!$B$3+datos_base!$B$19+IF(parametros_manuales!$H$43="Todos",datos_base!$B$10+datos_base!$B$24,0))*parametros_manuales!$E$100+parametros_manuales!$F$43*(datos_base!$B$4+datos_base!$B$20+IF(parametros_manuales!$H$43="Todos",datos_base!$B$11+datos_base!$B$25,0))*parametros_manuales!$E$105+parametros_manuales!$G$43*(datos_base!$B$5+datos_base!$B$21+IF(parametros_manuales!$H$43="Todos",datos_base!$B$12+datos_base!$B$26,0))*parametros_manuales!$E$110)*parametros_manuales!$I$43*parametros_manuales!$J$43</f>
        <v>541.51434864205</v>
      </c>
      <c r="F26" s="9" t="n">
        <f aca="false">(parametros_manuales!$D$43*(datos_base!$B$2+datos_base!$B$18+IF(parametros_manuales!$H$43="Todos",datos_base!$B$9+datos_base!$B$23,0))*parametros_manuales!$F$95+parametros_manuales!$E$43*(datos_base!$B$3+datos_base!$B$19+IF(parametros_manuales!$H$43="Todos",datos_base!$B$10+datos_base!$B$24,0))*parametros_manuales!$F$100+parametros_manuales!$F$43*(datos_base!$B$4+datos_base!$B$20+IF(parametros_manuales!$H$43="Todos",datos_base!$B$11+datos_base!$B$25,0))*parametros_manuales!$F$105+parametros_manuales!$G$43*(datos_base!$B$5+datos_base!$B$21+IF(parametros_manuales!$H$43="Todos",datos_base!$B$12+datos_base!$B$26,0))*parametros_manuales!$F$110)*parametros_manuales!$I$43*parametros_manuales!$J$43</f>
        <v>507.2024831084</v>
      </c>
      <c r="G26" s="9" t="n">
        <f aca="false">(parametros_manuales!$D$43*(datos_base!$B$2+datos_base!$B$18+IF(parametros_manuales!$H$43="Todos",datos_base!$B$9+datos_base!$B$23,0))*parametros_manuales!$G$95+parametros_manuales!$E$43*(datos_base!$B$3+datos_base!$B$19+IF(parametros_manuales!$H$43="Todos",datos_base!$B$10+datos_base!$B$24,0))*parametros_manuales!$G$100+parametros_manuales!$F$43*(datos_base!$B$4+datos_base!$B$20+IF(parametros_manuales!$H$43="Todos",datos_base!$B$11+datos_base!$B$25,0))*parametros_manuales!$G$105+parametros_manuales!$G$43*(datos_base!$B$5+datos_base!$B$21+IF(parametros_manuales!$H$43="Todos",datos_base!$B$12+datos_base!$B$26,0))*parametros_manuales!$G$110)*parametros_manuales!$I$43*parametros_manuales!$J$43</f>
        <v>493.78430028975</v>
      </c>
      <c r="H26" s="9" t="n">
        <f aca="false">(parametros_manuales!$D$43*(datos_base!$B$2+datos_base!$B$18+IF(parametros_manuales!$H$43="Todos",datos_base!$B$9+datos_base!$B$23,0))*parametros_manuales!$H$95+parametros_manuales!$E$43*(datos_base!$B$3+datos_base!$B$19+IF(parametros_manuales!$H$43="Todos",datos_base!$B$10+datos_base!$B$24,0))*parametros_manuales!$H$100+parametros_manuales!$F$43*(datos_base!$B$4+datos_base!$B$20+IF(parametros_manuales!$H$43="Todos",datos_base!$B$11+datos_base!$B$25,0))*parametros_manuales!$H$105+parametros_manuales!$G$43*(datos_base!$B$5+datos_base!$B$21+IF(parametros_manuales!$H$43="Todos",datos_base!$B$12+datos_base!$B$26,0))*parametros_manuales!$H$110)*parametros_manuales!$I$43*parametros_manuales!$J$43</f>
        <v>528.0961658234</v>
      </c>
      <c r="I26" s="9" t="n">
        <f aca="false">(parametros_manuales!$D$43*(datos_base!$B$2+datos_base!$B$18+IF(parametros_manuales!$H$43="Todos",datos_base!$B$9+datos_base!$B$23,0))*parametros_manuales!$I$95+parametros_manuales!$E$43*(datos_base!$B$3+datos_base!$B$19+IF(parametros_manuales!$H$43="Todos",datos_base!$B$10+datos_base!$B$24,0))*parametros_manuales!$I$100+parametros_manuales!$F$43*(datos_base!$B$4+datos_base!$B$20+IF(parametros_manuales!$H$43="Todos",datos_base!$B$11+datos_base!$B$25,0))*parametros_manuales!$I$105+parametros_manuales!$G$43*(datos_base!$B$5+datos_base!$B$21+IF(parametros_manuales!$H$43="Todos",datos_base!$B$12+datos_base!$B$26,0))*parametros_manuales!$I$110)*parametros_manuales!$I$43*parametros_manuales!$J$43</f>
        <v>590.7772139684</v>
      </c>
      <c r="J26" s="9" t="n">
        <f aca="false">(parametros_manuales!$D$43*(datos_base!$B$2+datos_base!$B$18+IF(parametros_manuales!$H$43="Todos",datos_base!$B$9+datos_base!$B$23,0))*parametros_manuales!$J$95+parametros_manuales!$E$43*(datos_base!$B$3+datos_base!$B$19+IF(parametros_manuales!$H$43="Todos",datos_base!$B$10+datos_base!$B$24,0))*parametros_manuales!$J$100+parametros_manuales!$F$43*(datos_base!$B$4+datos_base!$B$20+IF(parametros_manuales!$H$43="Todos",datos_base!$B$11+datos_base!$B$25,0))*parametros_manuales!$J$105+parametros_manuales!$G$43*(datos_base!$B$5+datos_base!$B$21+IF(parametros_manuales!$H$43="Todos",datos_base!$B$12+datos_base!$B$26,0))*parametros_manuales!$J$110)*parametros_manuales!$I$43*parametros_manuales!$J$43</f>
        <v>590.7772139684</v>
      </c>
      <c r="K26" s="9" t="n">
        <f aca="false">(parametros_manuales!$D$43*(datos_base!$B$2+datos_base!$B$18+IF(parametros_manuales!$H$43="Todos",datos_base!$B$9+datos_base!$B$23,0))*parametros_manuales!$K$95+parametros_manuales!$E$43*(datos_base!$B$3+datos_base!$B$19+IF(parametros_manuales!$H$43="Todos",datos_base!$B$10+datos_base!$B$24,0))*parametros_manuales!$K$100+parametros_manuales!$F$43*(datos_base!$B$4+datos_base!$B$20+IF(parametros_manuales!$H$43="Todos",datos_base!$B$11+datos_base!$B$25,0))*parametros_manuales!$K$105+parametros_manuales!$G$43*(datos_base!$B$5+datos_base!$B$21+IF(parametros_manuales!$H$43="Todos",datos_base!$B$12+datos_base!$B$26,0))*parametros_manuales!$K$110)*parametros_manuales!$I$43*parametros_manuales!$J$43</f>
        <v>604.19539678705</v>
      </c>
      <c r="L26" s="9" t="n">
        <f aca="false">(parametros_manuales!$D$43*(datos_base!$B$2+datos_base!$B$18+IF(parametros_manuales!$H$43="Todos",datos_base!$B$9+datos_base!$B$23,0))*parametros_manuales!$L$95+parametros_manuales!$E$43*(datos_base!$B$3+datos_base!$B$19+IF(parametros_manuales!$H$43="Todos",datos_base!$B$10+datos_base!$B$24,0))*parametros_manuales!$L$100+parametros_manuales!$F$43*(datos_base!$B$4+datos_base!$B$20+IF(parametros_manuales!$H$43="Todos",datos_base!$B$11+datos_base!$B$25,0))*parametros_manuales!$L$105+parametros_manuales!$G$43*(datos_base!$B$5+datos_base!$B$21+IF(parametros_manuales!$H$43="Todos",datos_base!$B$12+datos_base!$B$26,0))*parametros_manuales!$L$110)*parametros_manuales!$I$43*parametros_manuales!$J$43</f>
        <v>617.6135796057</v>
      </c>
      <c r="M26" s="9" t="n">
        <f aca="false">(parametros_manuales!$D$43*(datos_base!$B$2+datos_base!$B$18+IF(parametros_manuales!$H$43="Todos",datos_base!$B$9+datos_base!$B$23,0))*parametros_manuales!$M$95+parametros_manuales!$E$43*(datos_base!$B$3+datos_base!$B$19+IF(parametros_manuales!$H$43="Todos",datos_base!$B$10+datos_base!$B$24,0))*parametros_manuales!$M$100+parametros_manuales!$F$43*(datos_base!$B$4+datos_base!$B$20+IF(parametros_manuales!$H$43="Todos",datos_base!$B$11+datos_base!$B$25,0))*parametros_manuales!$M$105+parametros_manuales!$G$43*(datos_base!$B$5+datos_base!$B$21+IF(parametros_manuales!$H$43="Todos",datos_base!$B$12+datos_base!$B$26,0))*parametros_manuales!$M$110)*parametros_manuales!$I$43*parametros_manuales!$J$43</f>
        <v>617.6135796057</v>
      </c>
      <c r="N26" s="9" t="n">
        <f aca="false">SUM(B26:M26)</f>
        <v>6862.37310673</v>
      </c>
      <c r="O26" s="9" t="n">
        <f aca="false">MAX(B26:M26)</f>
        <v>617.6135796057</v>
      </c>
      <c r="P26" s="43" t="n">
        <f aca="false">O26/(parametros_manuales!$B$7)</f>
        <v>4.117423864038</v>
      </c>
      <c r="Q26" s="8" t="str">
        <f aca="false">IF(O26=0,"-",INDEX($B$1:$M$1,MATCH(O26,B26:M26,0)))</f>
        <v>Ene</v>
      </c>
    </row>
    <row r="27" customFormat="false" ht="14.25" hidden="false" customHeight="true" outlineLevel="0" collapsed="false"/>
    <row r="28" customFormat="false" ht="14.25" hidden="false" customHeight="true" outlineLevel="0" collapsed="false">
      <c r="A28" s="7" t="s">
        <v>191</v>
      </c>
      <c r="B28" s="7" t="s">
        <v>61</v>
      </c>
      <c r="C28" s="7" t="s">
        <v>62</v>
      </c>
      <c r="D28" s="7" t="s">
        <v>63</v>
      </c>
      <c r="E28" s="7" t="s">
        <v>64</v>
      </c>
      <c r="F28" s="7" t="s">
        <v>65</v>
      </c>
      <c r="G28" s="7" t="s">
        <v>66</v>
      </c>
      <c r="H28" s="7" t="s">
        <v>67</v>
      </c>
      <c r="I28" s="7" t="s">
        <v>68</v>
      </c>
      <c r="J28" s="7" t="s">
        <v>69</v>
      </c>
      <c r="K28" s="7" t="s">
        <v>70</v>
      </c>
      <c r="L28" s="7" t="s">
        <v>71</v>
      </c>
      <c r="M28" s="7" t="s">
        <v>72</v>
      </c>
      <c r="N28" s="7" t="s">
        <v>183</v>
      </c>
      <c r="O28" s="7" t="s">
        <v>188</v>
      </c>
      <c r="P28" s="7" t="s">
        <v>189</v>
      </c>
      <c r="Q28" s="7" t="s">
        <v>190</v>
      </c>
    </row>
    <row r="29" customFormat="false" ht="14.25" hidden="false" customHeight="true" outlineLevel="0" collapsed="false">
      <c r="A29" s="8" t="str">
        <f aca="false">parametros_manuales!$B$19</f>
        <v>Recepción de materia prima</v>
      </c>
      <c r="B29" s="9" t="n">
        <f aca="false">(parametros_manuales!$D$19*(datos_base!$C$2+datos_base!$C$18+IF(parametros_manuales!$H$19="Todos",datos_base!$C$9+datos_base!$C$23,0))*parametros_manuales!$B$95+parametros_manuales!$E$19*(datos_base!$C$3+datos_base!$C$19+IF(parametros_manuales!$H$19="Todos",datos_base!$C$10+datos_base!$C$24,0))*parametros_manuales!$B$100+parametros_manuales!$F$19*(datos_base!$C$4+datos_base!$C$20+IF(parametros_manuales!$H$19="Todos",datos_base!$C$11+datos_base!$C$25,0))*parametros_manuales!$B$105+parametros_manuales!$G$19*(datos_base!$C$5+datos_base!$C$21+IF(parametros_manuales!$H$19="Todos",datos_base!$C$12+datos_base!$C$26,0))*parametros_manuales!$B$110)*parametros_manuales!$I$19*parametros_manuales!$J$19</f>
        <v>976.45838445</v>
      </c>
      <c r="C29" s="9" t="n">
        <f aca="false">(parametros_manuales!$D$19*(datos_base!$C$2+datos_base!$C$18+IF(parametros_manuales!$H$19="Todos",datos_base!$C$9+datos_base!$C$23,0))*parametros_manuales!$C$95+parametros_manuales!$E$19*(datos_base!$C$3+datos_base!$C$19+IF(parametros_manuales!$H$19="Todos",datos_base!$C$10+datos_base!$C$24,0))*parametros_manuales!$C$100+parametros_manuales!$F$19*(datos_base!$C$4+datos_base!$C$20+IF(parametros_manuales!$H$19="Todos",datos_base!$C$11+datos_base!$C$25,0))*parametros_manuales!$C$105+parametros_manuales!$G$19*(datos_base!$C$5+datos_base!$C$21+IF(parametros_manuales!$H$19="Todos",datos_base!$C$12+datos_base!$C$26,0))*parametros_manuales!$C$110)*parametros_manuales!$I$19*parametros_manuales!$J$19</f>
        <v>927.93604817</v>
      </c>
      <c r="D29" s="9" t="n">
        <f aca="false">(parametros_manuales!$D$19*(datos_base!$C$2+datos_base!$C$18+IF(parametros_manuales!$H$19="Todos",datos_base!$C$9+datos_base!$C$23,0))*parametros_manuales!$D$95+parametros_manuales!$E$19*(datos_base!$C$3+datos_base!$C$19+IF(parametros_manuales!$H$19="Todos",datos_base!$C$10+datos_base!$C$24,0))*parametros_manuales!$D$100+parametros_manuales!$F$19*(datos_base!$C$4+datos_base!$C$20+IF(parametros_manuales!$H$19="Todos",datos_base!$C$11+datos_base!$C$25,0))*parametros_manuales!$D$105+parametros_manuales!$G$19*(datos_base!$C$5+datos_base!$C$21+IF(parametros_manuales!$H$19="Todos",datos_base!$C$12+datos_base!$C$26,0))*parametros_manuales!$D$110)*parametros_manuales!$I$19*parametros_manuales!$J$19</f>
        <v>892.22417654</v>
      </c>
      <c r="E29" s="9" t="n">
        <f aca="false">(parametros_manuales!$D$19*(datos_base!$C$2+datos_base!$C$18+IF(parametros_manuales!$H$19="Todos",datos_base!$C$9+datos_base!$C$23,0))*parametros_manuales!$E$95+parametros_manuales!$E$19*(datos_base!$C$3+datos_base!$C$19+IF(parametros_manuales!$H$19="Todos",datos_base!$C$10+datos_base!$C$24,0))*parametros_manuales!$E$100+parametros_manuales!$F$19*(datos_base!$C$4+datos_base!$C$20+IF(parametros_manuales!$H$19="Todos",datos_base!$C$11+datos_base!$C$25,0))*parametros_manuales!$E$105+parametros_manuales!$G$19*(datos_base!$C$5+datos_base!$C$21+IF(parametros_manuales!$H$19="Todos",datos_base!$C$12+datos_base!$C$26,0))*parametros_manuales!$E$110)*parametros_manuales!$I$19*parametros_manuales!$J$19</f>
        <v>862.237656655</v>
      </c>
      <c r="F29" s="9" t="n">
        <f aca="false">(parametros_manuales!$D$19*(datos_base!$C$2+datos_base!$C$18+IF(parametros_manuales!$H$19="Todos",datos_base!$C$9+datos_base!$C$23,0))*parametros_manuales!$F$95+parametros_manuales!$E$19*(datos_base!$C$3+datos_base!$C$19+IF(parametros_manuales!$H$19="Todos",datos_base!$C$10+datos_base!$C$24,0))*parametros_manuales!$F$100+parametros_manuales!$F$19*(datos_base!$C$4+datos_base!$C$20+IF(parametros_manuales!$H$19="Todos",datos_base!$C$11+datos_base!$C$25,0))*parametros_manuales!$F$105+parametros_manuales!$G$19*(datos_base!$C$5+datos_base!$C$21+IF(parametros_manuales!$H$19="Todos",datos_base!$C$12+datos_base!$C$26,0))*parametros_manuales!$F$110)*parametros_manuales!$I$19*parametros_manuales!$J$19</f>
        <v>807.98996863</v>
      </c>
      <c r="G29" s="9" t="n">
        <f aca="false">(parametros_manuales!$D$19*(datos_base!$C$2+datos_base!$C$18+IF(parametros_manuales!$H$19="Todos",datos_base!$C$9+datos_base!$C$23,0))*parametros_manuales!$G$95+parametros_manuales!$E$19*(datos_base!$C$3+datos_base!$C$19+IF(parametros_manuales!$H$19="Todos",datos_base!$C$10+datos_base!$C$24,0))*parametros_manuales!$G$100+parametros_manuales!$F$19*(datos_base!$C$4+datos_base!$C$20+IF(parametros_manuales!$H$19="Todos",datos_base!$C$11+datos_base!$C$25,0))*parametros_manuales!$G$105+parametros_manuales!$G$19*(datos_base!$C$5+datos_base!$C$21+IF(parametros_manuales!$H$19="Todos",datos_base!$C$12+datos_base!$C$26,0))*parametros_manuales!$G$110)*parametros_manuales!$I$19*parametros_manuales!$J$19</f>
        <v>783.72880049</v>
      </c>
      <c r="H29" s="9" t="n">
        <f aca="false">(parametros_manuales!$D$19*(datos_base!$C$2+datos_base!$C$18+IF(parametros_manuales!$H$19="Todos",datos_base!$C$9+datos_base!$C$23,0))*parametros_manuales!$H$95+parametros_manuales!$E$19*(datos_base!$C$3+datos_base!$C$19+IF(parametros_manuales!$H$19="Todos",datos_base!$C$10+datos_base!$C$24,0))*parametros_manuales!$H$100+parametros_manuales!$F$19*(datos_base!$C$4+datos_base!$C$20+IF(parametros_manuales!$H$19="Todos",datos_base!$C$11+datos_base!$C$25,0))*parametros_manuales!$H$105+parametros_manuales!$G$19*(datos_base!$C$5+datos_base!$C$21+IF(parametros_manuales!$H$19="Todos",datos_base!$C$12+datos_base!$C$26,0))*parametros_manuales!$H$110)*parametros_manuales!$I$19*parametros_manuales!$J$19</f>
        <v>837.976488515</v>
      </c>
      <c r="I29" s="9" t="n">
        <f aca="false">(parametros_manuales!$D$19*(datos_base!$C$2+datos_base!$C$18+IF(parametros_manuales!$H$19="Todos",datos_base!$C$9+datos_base!$C$23,0))*parametros_manuales!$I$95+parametros_manuales!$E$19*(datos_base!$C$3+datos_base!$C$19+IF(parametros_manuales!$H$19="Todos",datos_base!$C$10+datos_base!$C$24,0))*parametros_manuales!$I$100+parametros_manuales!$F$19*(datos_base!$C$4+datos_base!$C$20+IF(parametros_manuales!$H$19="Todos",datos_base!$C$11+datos_base!$C$25,0))*parametros_manuales!$I$105+parametros_manuales!$G$19*(datos_base!$C$5+datos_base!$C$21+IF(parametros_manuales!$H$19="Todos",datos_base!$C$12+datos_base!$C$26,0))*parametros_manuales!$I$110)*parametros_manuales!$I$19*parametros_manuales!$J$19</f>
        <v>927.93604817</v>
      </c>
      <c r="J29" s="9" t="n">
        <f aca="false">(parametros_manuales!$D$19*(datos_base!$C$2+datos_base!$C$18+IF(parametros_manuales!$H$19="Todos",datos_base!$C$9+datos_base!$C$23,0))*parametros_manuales!$J$95+parametros_manuales!$E$19*(datos_base!$C$3+datos_base!$C$19+IF(parametros_manuales!$H$19="Todos",datos_base!$C$10+datos_base!$C$24,0))*parametros_manuales!$J$100+parametros_manuales!$F$19*(datos_base!$C$4+datos_base!$C$20+IF(parametros_manuales!$H$19="Todos",datos_base!$C$11+datos_base!$C$25,0))*parametros_manuales!$J$105+parametros_manuales!$G$19*(datos_base!$C$5+datos_base!$C$21+IF(parametros_manuales!$H$19="Todos",datos_base!$C$12+datos_base!$C$26,0))*parametros_manuales!$J$110)*parametros_manuales!$I$19*parametros_manuales!$J$19</f>
        <v>927.93604817</v>
      </c>
      <c r="K29" s="9" t="n">
        <f aca="false">(parametros_manuales!$D$19*(datos_base!$C$2+datos_base!$C$18+IF(parametros_manuales!$H$19="Todos",datos_base!$C$9+datos_base!$C$23,0))*parametros_manuales!$K$95+parametros_manuales!$E$19*(datos_base!$C$3+datos_base!$C$19+IF(parametros_manuales!$H$19="Todos",datos_base!$C$10+datos_base!$C$24,0))*parametros_manuales!$K$100+parametros_manuales!$F$19*(datos_base!$C$4+datos_base!$C$20+IF(parametros_manuales!$H$19="Todos",datos_base!$C$11+datos_base!$C$25,0))*parametros_manuales!$K$105+parametros_manuales!$G$19*(datos_base!$C$5+datos_base!$C$21+IF(parametros_manuales!$H$19="Todos",datos_base!$C$12+datos_base!$C$26,0))*parametros_manuales!$K$110)*parametros_manuales!$I$19*parametros_manuales!$J$19</f>
        <v>952.19721631</v>
      </c>
      <c r="L29" s="9" t="n">
        <f aca="false">(parametros_manuales!$D$19*(datos_base!$C$2+datos_base!$C$18+IF(parametros_manuales!$H$19="Todos",datos_base!$C$9+datos_base!$C$23,0))*parametros_manuales!$L$95+parametros_manuales!$E$19*(datos_base!$C$3+datos_base!$C$19+IF(parametros_manuales!$H$19="Todos",datos_base!$C$10+datos_base!$C$24,0))*parametros_manuales!$L$100+parametros_manuales!$F$19*(datos_base!$C$4+datos_base!$C$20+IF(parametros_manuales!$H$19="Todos",datos_base!$C$11+datos_base!$C$25,0))*parametros_manuales!$L$105+parametros_manuales!$G$19*(datos_base!$C$5+datos_base!$C$21+IF(parametros_manuales!$H$19="Todos",datos_base!$C$12+datos_base!$C$26,0))*parametros_manuales!$L$110)*parametros_manuales!$I$19*parametros_manuales!$J$19</f>
        <v>976.45838445</v>
      </c>
      <c r="M29" s="9" t="n">
        <f aca="false">(parametros_manuales!$D$19*(datos_base!$C$2+datos_base!$C$18+IF(parametros_manuales!$H$19="Todos",datos_base!$C$9+datos_base!$C$23,0))*parametros_manuales!$M$95+parametros_manuales!$E$19*(datos_base!$C$3+datos_base!$C$19+IF(parametros_manuales!$H$19="Todos",datos_base!$C$10+datos_base!$C$24,0))*parametros_manuales!$M$100+parametros_manuales!$F$19*(datos_base!$C$4+datos_base!$C$20+IF(parametros_manuales!$H$19="Todos",datos_base!$C$11+datos_base!$C$25,0))*parametros_manuales!$M$105+parametros_manuales!$G$19*(datos_base!$C$5+datos_base!$C$21+IF(parametros_manuales!$H$19="Todos",datos_base!$C$12+datos_base!$C$26,0))*parametros_manuales!$M$110)*parametros_manuales!$I$19*parametros_manuales!$J$19</f>
        <v>976.45838445</v>
      </c>
      <c r="N29" s="9" t="n">
        <f aca="false">SUM(B29:M29)</f>
        <v>10849.537605</v>
      </c>
      <c r="O29" s="9" t="n">
        <f aca="false">MAX(B29:M29)</f>
        <v>976.45838445</v>
      </c>
      <c r="P29" s="43" t="n">
        <f aca="false">O29/(parametros_manuales!$B$7)</f>
        <v>6.509722563</v>
      </c>
      <c r="Q29" s="8" t="str">
        <f aca="false">IF(O29=0,"-",INDEX($B$28:$M$28,MATCH(O29,B29:M29,0)))</f>
        <v>Ene</v>
      </c>
    </row>
    <row r="30" customFormat="false" ht="14.25" hidden="false" customHeight="true" outlineLevel="0" collapsed="false">
      <c r="A30" s="8" t="str">
        <f aca="false">parametros_manuales!$B$20</f>
        <v>Corte de chapa (guillotina) — 2,5 a 10 kg</v>
      </c>
      <c r="B30" s="9" t="n">
        <f aca="false">(parametros_manuales!$D$20*(datos_base!$C$2+datos_base!$C$18+IF(parametros_manuales!$H$20="Todos",datos_base!$C$9+datos_base!$C$23,0))*parametros_manuales!$B$95+parametros_manuales!$E$20*(datos_base!$C$3+datos_base!$C$19+IF(parametros_manuales!$H$20="Todos",datos_base!$C$10+datos_base!$C$24,0))*parametros_manuales!$B$100+parametros_manuales!$F$20*(datos_base!$C$4+datos_base!$C$20+IF(parametros_manuales!$H$20="Todos",datos_base!$C$11+datos_base!$C$25,0))*parametros_manuales!$B$105+parametros_manuales!$G$20*(datos_base!$C$5+datos_base!$C$21+IF(parametros_manuales!$H$20="Todos",datos_base!$C$12+datos_base!$C$26,0))*parametros_manuales!$B$110)*parametros_manuales!$I$20*parametros_manuales!$J$20</f>
        <v>436.70102652</v>
      </c>
      <c r="C30" s="9" t="n">
        <f aca="false">(parametros_manuales!$D$20*(datos_base!$C$2+datos_base!$C$18+IF(parametros_manuales!$H$20="Todos",datos_base!$C$9+datos_base!$C$23,0))*parametros_manuales!$C$95+parametros_manuales!$E$20*(datos_base!$C$3+datos_base!$C$19+IF(parametros_manuales!$H$20="Todos",datos_base!$C$10+datos_base!$C$24,0))*parametros_manuales!$C$100+parametros_manuales!$F$20*(datos_base!$C$4+datos_base!$C$20+IF(parametros_manuales!$H$20="Todos",datos_base!$C$11+datos_base!$C$25,0))*parametros_manuales!$C$105+parametros_manuales!$G$20*(datos_base!$C$5+datos_base!$C$21+IF(parametros_manuales!$H$20="Todos",datos_base!$C$12+datos_base!$C$26,0))*parametros_manuales!$C$110)*parametros_manuales!$I$20*parametros_manuales!$J$20</f>
        <v>388.17869024</v>
      </c>
      <c r="D30" s="9" t="n">
        <f aca="false">(parametros_manuales!$D$20*(datos_base!$C$2+datos_base!$C$18+IF(parametros_manuales!$H$20="Todos",datos_base!$C$9+datos_base!$C$23,0))*parametros_manuales!$D$95+parametros_manuales!$E$20*(datos_base!$C$3+datos_base!$C$19+IF(parametros_manuales!$H$20="Todos",datos_base!$C$10+datos_base!$C$24,0))*parametros_manuales!$D$100+parametros_manuales!$F$20*(datos_base!$C$4+datos_base!$C$20+IF(parametros_manuales!$H$20="Todos",datos_base!$C$11+datos_base!$C$25,0))*parametros_manuales!$D$105+parametros_manuales!$G$20*(datos_base!$C$5+datos_base!$C$21+IF(parametros_manuales!$H$20="Todos",datos_base!$C$12+datos_base!$C$26,0))*parametros_manuales!$D$110)*parametros_manuales!$I$20*parametros_manuales!$J$20</f>
        <v>412.43985838</v>
      </c>
      <c r="E30" s="9" t="n">
        <f aca="false">(parametros_manuales!$D$20*(datos_base!$C$2+datos_base!$C$18+IF(parametros_manuales!$H$20="Todos",datos_base!$C$9+datos_base!$C$23,0))*parametros_manuales!$E$95+parametros_manuales!$E$20*(datos_base!$C$3+datos_base!$C$19+IF(parametros_manuales!$H$20="Todos",datos_base!$C$10+datos_base!$C$24,0))*parametros_manuales!$E$100+parametros_manuales!$F$20*(datos_base!$C$4+datos_base!$C$20+IF(parametros_manuales!$H$20="Todos",datos_base!$C$11+datos_base!$C$25,0))*parametros_manuales!$E$105+parametros_manuales!$G$20*(datos_base!$C$5+datos_base!$C$21+IF(parametros_manuales!$H$20="Todos",datos_base!$C$12+datos_base!$C$26,0))*parametros_manuales!$E$110)*parametros_manuales!$I$20*parametros_manuales!$J$20</f>
        <v>412.43985838</v>
      </c>
      <c r="F30" s="9" t="n">
        <f aca="false">(parametros_manuales!$D$20*(datos_base!$C$2+datos_base!$C$18+IF(parametros_manuales!$H$20="Todos",datos_base!$C$9+datos_base!$C$23,0))*parametros_manuales!$F$95+parametros_manuales!$E$20*(datos_base!$C$3+datos_base!$C$19+IF(parametros_manuales!$H$20="Todos",datos_base!$C$10+datos_base!$C$24,0))*parametros_manuales!$F$100+parametros_manuales!$F$20*(datos_base!$C$4+datos_base!$C$20+IF(parametros_manuales!$H$20="Todos",datos_base!$C$11+datos_base!$C$25,0))*parametros_manuales!$F$105+parametros_manuales!$G$20*(datos_base!$C$5+datos_base!$C$21+IF(parametros_manuales!$H$20="Todos",datos_base!$C$12+datos_base!$C$26,0))*parametros_manuales!$F$110)*parametros_manuales!$I$20*parametros_manuales!$J$20</f>
        <v>388.17869024</v>
      </c>
      <c r="G30" s="9" t="n">
        <f aca="false">(parametros_manuales!$D$20*(datos_base!$C$2+datos_base!$C$18+IF(parametros_manuales!$H$20="Todos",datos_base!$C$9+datos_base!$C$23,0))*parametros_manuales!$G$95+parametros_manuales!$E$20*(datos_base!$C$3+datos_base!$C$19+IF(parametros_manuales!$H$20="Todos",datos_base!$C$10+datos_base!$C$24,0))*parametros_manuales!$G$100+parametros_manuales!$F$20*(datos_base!$C$4+datos_base!$C$20+IF(parametros_manuales!$H$20="Todos",datos_base!$C$11+datos_base!$C$25,0))*parametros_manuales!$G$105+parametros_manuales!$G$20*(datos_base!$C$5+datos_base!$C$21+IF(parametros_manuales!$H$20="Todos",datos_base!$C$12+datos_base!$C$26,0))*parametros_manuales!$G$110)*parametros_manuales!$I$20*parametros_manuales!$J$20</f>
        <v>363.9175221</v>
      </c>
      <c r="H30" s="9" t="n">
        <f aca="false">(parametros_manuales!$D$20*(datos_base!$C$2+datos_base!$C$18+IF(parametros_manuales!$H$20="Todos",datos_base!$C$9+datos_base!$C$23,0))*parametros_manuales!$H$95+parametros_manuales!$E$20*(datos_base!$C$3+datos_base!$C$19+IF(parametros_manuales!$H$20="Todos",datos_base!$C$10+datos_base!$C$24,0))*parametros_manuales!$H$100+parametros_manuales!$F$20*(datos_base!$C$4+datos_base!$C$20+IF(parametros_manuales!$H$20="Todos",datos_base!$C$11+datos_base!$C$25,0))*parametros_manuales!$H$105+parametros_manuales!$G$20*(datos_base!$C$5+datos_base!$C$21+IF(parametros_manuales!$H$20="Todos",datos_base!$C$12+datos_base!$C$26,0))*parametros_manuales!$H$110)*parametros_manuales!$I$20*parametros_manuales!$J$20</f>
        <v>388.17869024</v>
      </c>
      <c r="I30" s="9" t="n">
        <f aca="false">(parametros_manuales!$D$20*(datos_base!$C$2+datos_base!$C$18+IF(parametros_manuales!$H$20="Todos",datos_base!$C$9+datos_base!$C$23,0))*parametros_manuales!$I$95+parametros_manuales!$E$20*(datos_base!$C$3+datos_base!$C$19+IF(parametros_manuales!$H$20="Todos",datos_base!$C$10+datos_base!$C$24,0))*parametros_manuales!$I$100+parametros_manuales!$F$20*(datos_base!$C$4+datos_base!$C$20+IF(parametros_manuales!$H$20="Todos",datos_base!$C$11+datos_base!$C$25,0))*parametros_manuales!$I$105+parametros_manuales!$G$20*(datos_base!$C$5+datos_base!$C$21+IF(parametros_manuales!$H$20="Todos",datos_base!$C$12+datos_base!$C$26,0))*parametros_manuales!$I$110)*parametros_manuales!$I$20*parametros_manuales!$J$20</f>
        <v>388.17869024</v>
      </c>
      <c r="J30" s="9" t="n">
        <f aca="false">(parametros_manuales!$D$20*(datos_base!$C$2+datos_base!$C$18+IF(parametros_manuales!$H$20="Todos",datos_base!$C$9+datos_base!$C$23,0))*parametros_manuales!$J$95+parametros_manuales!$E$20*(datos_base!$C$3+datos_base!$C$19+IF(parametros_manuales!$H$20="Todos",datos_base!$C$10+datos_base!$C$24,0))*parametros_manuales!$J$100+parametros_manuales!$F$20*(datos_base!$C$4+datos_base!$C$20+IF(parametros_manuales!$H$20="Todos",datos_base!$C$11+datos_base!$C$25,0))*parametros_manuales!$J$105+parametros_manuales!$G$20*(datos_base!$C$5+datos_base!$C$21+IF(parametros_manuales!$H$20="Todos",datos_base!$C$12+datos_base!$C$26,0))*parametros_manuales!$J$110)*parametros_manuales!$I$20*parametros_manuales!$J$20</f>
        <v>388.17869024</v>
      </c>
      <c r="K30" s="9" t="n">
        <f aca="false">(parametros_manuales!$D$20*(datos_base!$C$2+datos_base!$C$18+IF(parametros_manuales!$H$20="Todos",datos_base!$C$9+datos_base!$C$23,0))*parametros_manuales!$K$95+parametros_manuales!$E$20*(datos_base!$C$3+datos_base!$C$19+IF(parametros_manuales!$H$20="Todos",datos_base!$C$10+datos_base!$C$24,0))*parametros_manuales!$K$100+parametros_manuales!$F$20*(datos_base!$C$4+datos_base!$C$20+IF(parametros_manuales!$H$20="Todos",datos_base!$C$11+datos_base!$C$25,0))*parametros_manuales!$K$105+parametros_manuales!$G$20*(datos_base!$C$5+datos_base!$C$21+IF(parametros_manuales!$H$20="Todos",datos_base!$C$12+datos_base!$C$26,0))*parametros_manuales!$K$110)*parametros_manuales!$I$20*parametros_manuales!$J$20</f>
        <v>412.43985838</v>
      </c>
      <c r="L30" s="9" t="n">
        <f aca="false">(parametros_manuales!$D$20*(datos_base!$C$2+datos_base!$C$18+IF(parametros_manuales!$H$20="Todos",datos_base!$C$9+datos_base!$C$23,0))*parametros_manuales!$L$95+parametros_manuales!$E$20*(datos_base!$C$3+datos_base!$C$19+IF(parametros_manuales!$H$20="Todos",datos_base!$C$10+datos_base!$C$24,0))*parametros_manuales!$L$100+parametros_manuales!$F$20*(datos_base!$C$4+datos_base!$C$20+IF(parametros_manuales!$H$20="Todos",datos_base!$C$11+datos_base!$C$25,0))*parametros_manuales!$L$105+parametros_manuales!$G$20*(datos_base!$C$5+datos_base!$C$21+IF(parametros_manuales!$H$20="Todos",datos_base!$C$12+datos_base!$C$26,0))*parametros_manuales!$L$110)*parametros_manuales!$I$20*parametros_manuales!$J$20</f>
        <v>436.70102652</v>
      </c>
      <c r="M30" s="9" t="n">
        <f aca="false">(parametros_manuales!$D$20*(datos_base!$C$2+datos_base!$C$18+IF(parametros_manuales!$H$20="Todos",datos_base!$C$9+datos_base!$C$23,0))*parametros_manuales!$M$95+parametros_manuales!$E$20*(datos_base!$C$3+datos_base!$C$19+IF(parametros_manuales!$H$20="Todos",datos_base!$C$10+datos_base!$C$24,0))*parametros_manuales!$M$100+parametros_manuales!$F$20*(datos_base!$C$4+datos_base!$C$20+IF(parametros_manuales!$H$20="Todos",datos_base!$C$11+datos_base!$C$25,0))*parametros_manuales!$M$105+parametros_manuales!$G$20*(datos_base!$C$5+datos_base!$C$21+IF(parametros_manuales!$H$20="Todos",datos_base!$C$12+datos_base!$C$26,0))*parametros_manuales!$M$110)*parametros_manuales!$I$20*parametros_manuales!$J$20</f>
        <v>436.70102652</v>
      </c>
      <c r="N30" s="9" t="n">
        <f aca="false">SUM(B30:M30)</f>
        <v>4852.233628</v>
      </c>
      <c r="O30" s="9" t="n">
        <f aca="false">MAX(B30:M30)</f>
        <v>436.70102652</v>
      </c>
      <c r="P30" s="43" t="n">
        <f aca="false">O30/(parametros_manuales!$B$7)</f>
        <v>2.9113401768</v>
      </c>
      <c r="Q30" s="8" t="str">
        <f aca="false">IF(O30=0,"-",INDEX($B$28:$M$28,MATCH(O30,B30:M30,0)))</f>
        <v>Ene</v>
      </c>
    </row>
    <row r="31" customFormat="false" ht="14.25" hidden="false" customHeight="true" outlineLevel="0" collapsed="false">
      <c r="A31" s="8" t="str">
        <f aca="false">parametros_manuales!$B$21</f>
        <v>Corte de tubo — 1 kg</v>
      </c>
      <c r="B31" s="9" t="n">
        <f aca="false">(parametros_manuales!$D$21*(datos_base!$C$2+datos_base!$C$18+IF(parametros_manuales!$H$21="Todos",datos_base!$C$9+datos_base!$C$23,0))*parametros_manuales!$B$95+parametros_manuales!$E$21*(datos_base!$C$3+datos_base!$C$19+IF(parametros_manuales!$H$21="Todos",datos_base!$C$10+datos_base!$C$24,0))*parametros_manuales!$B$100+parametros_manuales!$F$21*(datos_base!$C$4+datos_base!$C$20+IF(parametros_manuales!$H$21="Todos",datos_base!$C$11+datos_base!$C$25,0))*parametros_manuales!$B$105+parametros_manuales!$G$21*(datos_base!$C$5+datos_base!$C$21+IF(parametros_manuales!$H$21="Todos",datos_base!$C$12+datos_base!$C$26,0))*parametros_manuales!$B$110)*parametros_manuales!$I$21*parametros_manuales!$J$21</f>
        <v>539.75735793</v>
      </c>
      <c r="C31" s="9" t="n">
        <f aca="false">(parametros_manuales!$D$21*(datos_base!$C$2+datos_base!$C$18+IF(parametros_manuales!$H$21="Todos",datos_base!$C$9+datos_base!$C$23,0))*parametros_manuales!$C$95+parametros_manuales!$E$21*(datos_base!$C$3+datos_base!$C$19+IF(parametros_manuales!$H$21="Todos",datos_base!$C$10+datos_base!$C$24,0))*parametros_manuales!$C$100+parametros_manuales!$F$21*(datos_base!$C$4+datos_base!$C$20+IF(parametros_manuales!$H$21="Todos",datos_base!$C$11+datos_base!$C$25,0))*parametros_manuales!$C$105+parametros_manuales!$G$21*(datos_base!$C$5+datos_base!$C$21+IF(parametros_manuales!$H$21="Todos",datos_base!$C$12+datos_base!$C$26,0))*parametros_manuales!$C$110)*parametros_manuales!$I$21*parametros_manuales!$J$21</f>
        <v>539.75735793</v>
      </c>
      <c r="D31" s="9" t="n">
        <f aca="false">(parametros_manuales!$D$21*(datos_base!$C$2+datos_base!$C$18+IF(parametros_manuales!$H$21="Todos",datos_base!$C$9+datos_base!$C$23,0))*parametros_manuales!$D$95+parametros_manuales!$E$21*(datos_base!$C$3+datos_base!$C$19+IF(parametros_manuales!$H$21="Todos",datos_base!$C$10+datos_base!$C$24,0))*parametros_manuales!$D$100+parametros_manuales!$F$21*(datos_base!$C$4+datos_base!$C$20+IF(parametros_manuales!$H$21="Todos",datos_base!$C$11+datos_base!$C$25,0))*parametros_manuales!$D$105+parametros_manuales!$G$21*(datos_base!$C$5+datos_base!$C$21+IF(parametros_manuales!$H$21="Todos",datos_base!$C$12+datos_base!$C$26,0))*parametros_manuales!$D$110)*parametros_manuales!$I$21*parametros_manuales!$J$21</f>
        <v>479.78431816</v>
      </c>
      <c r="E31" s="9" t="n">
        <f aca="false">(parametros_manuales!$D$21*(datos_base!$C$2+datos_base!$C$18+IF(parametros_manuales!$H$21="Todos",datos_base!$C$9+datos_base!$C$23,0))*parametros_manuales!$E$95+parametros_manuales!$E$21*(datos_base!$C$3+datos_base!$C$19+IF(parametros_manuales!$H$21="Todos",datos_base!$C$10+datos_base!$C$24,0))*parametros_manuales!$E$100+parametros_manuales!$F$21*(datos_base!$C$4+datos_base!$C$20+IF(parametros_manuales!$H$21="Todos",datos_base!$C$11+datos_base!$C$25,0))*parametros_manuales!$E$105+parametros_manuales!$G$21*(datos_base!$C$5+datos_base!$C$21+IF(parametros_manuales!$H$21="Todos",datos_base!$C$12+datos_base!$C$26,0))*parametros_manuales!$E$110)*parametros_manuales!$I$21*parametros_manuales!$J$21</f>
        <v>449.797798275</v>
      </c>
      <c r="F31" s="9" t="n">
        <f aca="false">(parametros_manuales!$D$21*(datos_base!$C$2+datos_base!$C$18+IF(parametros_manuales!$H$21="Todos",datos_base!$C$9+datos_base!$C$23,0))*parametros_manuales!$F$95+parametros_manuales!$E$21*(datos_base!$C$3+datos_base!$C$19+IF(parametros_manuales!$H$21="Todos",datos_base!$C$10+datos_base!$C$24,0))*parametros_manuales!$F$100+parametros_manuales!$F$21*(datos_base!$C$4+datos_base!$C$20+IF(parametros_manuales!$H$21="Todos",datos_base!$C$11+datos_base!$C$25,0))*parametros_manuales!$F$105+parametros_manuales!$G$21*(datos_base!$C$5+datos_base!$C$21+IF(parametros_manuales!$H$21="Todos",datos_base!$C$12+datos_base!$C$26,0))*parametros_manuales!$F$110)*parametros_manuales!$I$21*parametros_manuales!$J$21</f>
        <v>419.81127839</v>
      </c>
      <c r="G31" s="9" t="n">
        <f aca="false">(parametros_manuales!$D$21*(datos_base!$C$2+datos_base!$C$18+IF(parametros_manuales!$H$21="Todos",datos_base!$C$9+datos_base!$C$23,0))*parametros_manuales!$G$95+parametros_manuales!$E$21*(datos_base!$C$3+datos_base!$C$19+IF(parametros_manuales!$H$21="Todos",datos_base!$C$10+datos_base!$C$24,0))*parametros_manuales!$G$100+parametros_manuales!$F$21*(datos_base!$C$4+datos_base!$C$20+IF(parametros_manuales!$H$21="Todos",datos_base!$C$11+datos_base!$C$25,0))*parametros_manuales!$G$105+parametros_manuales!$G$21*(datos_base!$C$5+datos_base!$C$21+IF(parametros_manuales!$H$21="Todos",datos_base!$C$12+datos_base!$C$26,0))*parametros_manuales!$G$110)*parametros_manuales!$I$21*parametros_manuales!$J$21</f>
        <v>419.81127839</v>
      </c>
      <c r="H31" s="9" t="n">
        <f aca="false">(parametros_manuales!$D$21*(datos_base!$C$2+datos_base!$C$18+IF(parametros_manuales!$H$21="Todos",datos_base!$C$9+datos_base!$C$23,0))*parametros_manuales!$H$95+parametros_manuales!$E$21*(datos_base!$C$3+datos_base!$C$19+IF(parametros_manuales!$H$21="Todos",datos_base!$C$10+datos_base!$C$24,0))*parametros_manuales!$H$100+parametros_manuales!$F$21*(datos_base!$C$4+datos_base!$C$20+IF(parametros_manuales!$H$21="Todos",datos_base!$C$11+datos_base!$C$25,0))*parametros_manuales!$H$105+parametros_manuales!$G$21*(datos_base!$C$5+datos_base!$C$21+IF(parametros_manuales!$H$21="Todos",datos_base!$C$12+datos_base!$C$26,0))*parametros_manuales!$H$110)*parametros_manuales!$I$21*parametros_manuales!$J$21</f>
        <v>449.797798275</v>
      </c>
      <c r="I31" s="9" t="n">
        <f aca="false">(parametros_manuales!$D$21*(datos_base!$C$2+datos_base!$C$18+IF(parametros_manuales!$H$21="Todos",datos_base!$C$9+datos_base!$C$23,0))*parametros_manuales!$I$95+parametros_manuales!$E$21*(datos_base!$C$3+datos_base!$C$19+IF(parametros_manuales!$H$21="Todos",datos_base!$C$10+datos_base!$C$24,0))*parametros_manuales!$I$100+parametros_manuales!$F$21*(datos_base!$C$4+datos_base!$C$20+IF(parametros_manuales!$H$21="Todos",datos_base!$C$11+datos_base!$C$25,0))*parametros_manuales!$I$105+parametros_manuales!$G$21*(datos_base!$C$5+datos_base!$C$21+IF(parametros_manuales!$H$21="Todos",datos_base!$C$12+datos_base!$C$26,0))*parametros_manuales!$I$110)*parametros_manuales!$I$21*parametros_manuales!$J$21</f>
        <v>539.75735793</v>
      </c>
      <c r="J31" s="9" t="n">
        <f aca="false">(parametros_manuales!$D$21*(datos_base!$C$2+datos_base!$C$18+IF(parametros_manuales!$H$21="Todos",datos_base!$C$9+datos_base!$C$23,0))*parametros_manuales!$J$95+parametros_manuales!$E$21*(datos_base!$C$3+datos_base!$C$19+IF(parametros_manuales!$H$21="Todos",datos_base!$C$10+datos_base!$C$24,0))*parametros_manuales!$J$100+parametros_manuales!$F$21*(datos_base!$C$4+datos_base!$C$20+IF(parametros_manuales!$H$21="Todos",datos_base!$C$11+datos_base!$C$25,0))*parametros_manuales!$J$105+parametros_manuales!$G$21*(datos_base!$C$5+datos_base!$C$21+IF(parametros_manuales!$H$21="Todos",datos_base!$C$12+datos_base!$C$26,0))*parametros_manuales!$J$110)*parametros_manuales!$I$21*parametros_manuales!$J$21</f>
        <v>539.75735793</v>
      </c>
      <c r="K31" s="9" t="n">
        <f aca="false">(parametros_manuales!$D$21*(datos_base!$C$2+datos_base!$C$18+IF(parametros_manuales!$H$21="Todos",datos_base!$C$9+datos_base!$C$23,0))*parametros_manuales!$K$95+parametros_manuales!$E$21*(datos_base!$C$3+datos_base!$C$19+IF(parametros_manuales!$H$21="Todos",datos_base!$C$10+datos_base!$C$24,0))*parametros_manuales!$K$100+parametros_manuales!$F$21*(datos_base!$C$4+datos_base!$C$20+IF(parametros_manuales!$H$21="Todos",datos_base!$C$11+datos_base!$C$25,0))*parametros_manuales!$K$105+parametros_manuales!$G$21*(datos_base!$C$5+datos_base!$C$21+IF(parametros_manuales!$H$21="Todos",datos_base!$C$12+datos_base!$C$26,0))*parametros_manuales!$K$110)*parametros_manuales!$I$21*parametros_manuales!$J$21</f>
        <v>539.75735793</v>
      </c>
      <c r="L31" s="9" t="n">
        <f aca="false">(parametros_manuales!$D$21*(datos_base!$C$2+datos_base!$C$18+IF(parametros_manuales!$H$21="Todos",datos_base!$C$9+datos_base!$C$23,0))*parametros_manuales!$L$95+parametros_manuales!$E$21*(datos_base!$C$3+datos_base!$C$19+IF(parametros_manuales!$H$21="Todos",datos_base!$C$10+datos_base!$C$24,0))*parametros_manuales!$L$100+parametros_manuales!$F$21*(datos_base!$C$4+datos_base!$C$20+IF(parametros_manuales!$H$21="Todos",datos_base!$C$11+datos_base!$C$25,0))*parametros_manuales!$L$105+parametros_manuales!$G$21*(datos_base!$C$5+datos_base!$C$21+IF(parametros_manuales!$H$21="Todos",datos_base!$C$12+datos_base!$C$26,0))*parametros_manuales!$L$110)*parametros_manuales!$I$21*parametros_manuales!$J$21</f>
        <v>539.75735793</v>
      </c>
      <c r="M31" s="9" t="n">
        <f aca="false">(parametros_manuales!$D$21*(datos_base!$C$2+datos_base!$C$18+IF(parametros_manuales!$H$21="Todos",datos_base!$C$9+datos_base!$C$23,0))*parametros_manuales!$M$95+parametros_manuales!$E$21*(datos_base!$C$3+datos_base!$C$19+IF(parametros_manuales!$H$21="Todos",datos_base!$C$10+datos_base!$C$24,0))*parametros_manuales!$M$100+parametros_manuales!$F$21*(datos_base!$C$4+datos_base!$C$20+IF(parametros_manuales!$H$21="Todos",datos_base!$C$11+datos_base!$C$25,0))*parametros_manuales!$M$105+parametros_manuales!$G$21*(datos_base!$C$5+datos_base!$C$21+IF(parametros_manuales!$H$21="Todos",datos_base!$C$12+datos_base!$C$26,0))*parametros_manuales!$M$110)*parametros_manuales!$I$21*parametros_manuales!$J$21</f>
        <v>539.75735793</v>
      </c>
      <c r="N31" s="9" t="n">
        <f aca="false">SUM(B31:M31)</f>
        <v>5997.303977</v>
      </c>
      <c r="O31" s="9" t="n">
        <f aca="false">MAX(B31:M31)</f>
        <v>539.75735793</v>
      </c>
      <c r="P31" s="43" t="n">
        <f aca="false">O31/(parametros_manuales!$B$7)</f>
        <v>3.5983823862</v>
      </c>
      <c r="Q31" s="8" t="str">
        <f aca="false">IF(O31=0,"-",INDEX($B$28:$M$28,MATCH(O31,B31:M31,0)))</f>
        <v>Ene</v>
      </c>
    </row>
    <row r="32" customFormat="false" ht="14.25" hidden="false" customHeight="true" outlineLevel="0" collapsed="false">
      <c r="A32" s="8" t="str">
        <f aca="false">parametros_manuales!$B$22</f>
        <v>Corte de disco y embutido (cúpula y fondo)</v>
      </c>
      <c r="B32" s="9" t="n">
        <f aca="false">(parametros_manuales!$D$22*(datos_base!$C$2+datos_base!$C$18+IF(parametros_manuales!$H$22="Todos",datos_base!$C$9+datos_base!$C$23,0))*parametros_manuales!$B$95+parametros_manuales!$E$22*(datos_base!$C$3+datos_base!$C$19+IF(parametros_manuales!$H$22="Todos",datos_base!$C$10+datos_base!$C$24,0))*parametros_manuales!$B$100+parametros_manuales!$F$22*(datos_base!$C$4+datos_base!$C$20+IF(parametros_manuales!$H$22="Todos",datos_base!$C$11+datos_base!$C$25,0))*parametros_manuales!$B$105+parametros_manuales!$G$22*(datos_base!$C$5+datos_base!$C$21+IF(parametros_manuales!$H$22="Todos",datos_base!$C$12+datos_base!$C$26,0))*parametros_manuales!$B$110)*parametros_manuales!$I$22*parametros_manuales!$J$22</f>
        <v>1952.9167689</v>
      </c>
      <c r="C32" s="9" t="n">
        <f aca="false">(parametros_manuales!$D$22*(datos_base!$C$2+datos_base!$C$18+IF(parametros_manuales!$H$22="Todos",datos_base!$C$9+datos_base!$C$23,0))*parametros_manuales!$C$95+parametros_manuales!$E$22*(datos_base!$C$3+datos_base!$C$19+IF(parametros_manuales!$H$22="Todos",datos_base!$C$10+datos_base!$C$24,0))*parametros_manuales!$C$100+parametros_manuales!$F$22*(datos_base!$C$4+datos_base!$C$20+IF(parametros_manuales!$H$22="Todos",datos_base!$C$11+datos_base!$C$25,0))*parametros_manuales!$C$105+parametros_manuales!$G$22*(datos_base!$C$5+datos_base!$C$21+IF(parametros_manuales!$H$22="Todos",datos_base!$C$12+datos_base!$C$26,0))*parametros_manuales!$C$110)*parametros_manuales!$I$22*parametros_manuales!$J$22</f>
        <v>1855.87209634</v>
      </c>
      <c r="D32" s="9" t="n">
        <f aca="false">(parametros_manuales!$D$22*(datos_base!$C$2+datos_base!$C$18+IF(parametros_manuales!$H$22="Todos",datos_base!$C$9+datos_base!$C$23,0))*parametros_manuales!$D$95+parametros_manuales!$E$22*(datos_base!$C$3+datos_base!$C$19+IF(parametros_manuales!$H$22="Todos",datos_base!$C$10+datos_base!$C$24,0))*parametros_manuales!$D$100+parametros_manuales!$F$22*(datos_base!$C$4+datos_base!$C$20+IF(parametros_manuales!$H$22="Todos",datos_base!$C$11+datos_base!$C$25,0))*parametros_manuales!$D$105+parametros_manuales!$G$22*(datos_base!$C$5+datos_base!$C$21+IF(parametros_manuales!$H$22="Todos",datos_base!$C$12+datos_base!$C$26,0))*parametros_manuales!$D$110)*parametros_manuales!$I$22*parametros_manuales!$J$22</f>
        <v>1784.44835308</v>
      </c>
      <c r="E32" s="9" t="n">
        <f aca="false">(parametros_manuales!$D$22*(datos_base!$C$2+datos_base!$C$18+IF(parametros_manuales!$H$22="Todos",datos_base!$C$9+datos_base!$C$23,0))*parametros_manuales!$E$95+parametros_manuales!$E$22*(datos_base!$C$3+datos_base!$C$19+IF(parametros_manuales!$H$22="Todos",datos_base!$C$10+datos_base!$C$24,0))*parametros_manuales!$E$100+parametros_manuales!$F$22*(datos_base!$C$4+datos_base!$C$20+IF(parametros_manuales!$H$22="Todos",datos_base!$C$11+datos_base!$C$25,0))*parametros_manuales!$E$105+parametros_manuales!$G$22*(datos_base!$C$5+datos_base!$C$21+IF(parametros_manuales!$H$22="Todos",datos_base!$C$12+datos_base!$C$26,0))*parametros_manuales!$E$110)*parametros_manuales!$I$22*parametros_manuales!$J$22</f>
        <v>1724.47531331</v>
      </c>
      <c r="F32" s="9" t="n">
        <f aca="false">(parametros_manuales!$D$22*(datos_base!$C$2+datos_base!$C$18+IF(parametros_manuales!$H$22="Todos",datos_base!$C$9+datos_base!$C$23,0))*parametros_manuales!$F$95+parametros_manuales!$E$22*(datos_base!$C$3+datos_base!$C$19+IF(parametros_manuales!$H$22="Todos",datos_base!$C$10+datos_base!$C$24,0))*parametros_manuales!$F$100+parametros_manuales!$F$22*(datos_base!$C$4+datos_base!$C$20+IF(parametros_manuales!$H$22="Todos",datos_base!$C$11+datos_base!$C$25,0))*parametros_manuales!$F$105+parametros_manuales!$G$22*(datos_base!$C$5+datos_base!$C$21+IF(parametros_manuales!$H$22="Todos",datos_base!$C$12+datos_base!$C$26,0))*parametros_manuales!$F$110)*parametros_manuales!$I$22*parametros_manuales!$J$22</f>
        <v>1615.97993726</v>
      </c>
      <c r="G32" s="9" t="n">
        <f aca="false">(parametros_manuales!$D$22*(datos_base!$C$2+datos_base!$C$18+IF(parametros_manuales!$H$22="Todos",datos_base!$C$9+datos_base!$C$23,0))*parametros_manuales!$G$95+parametros_manuales!$E$22*(datos_base!$C$3+datos_base!$C$19+IF(parametros_manuales!$H$22="Todos",datos_base!$C$10+datos_base!$C$24,0))*parametros_manuales!$G$100+parametros_manuales!$F$22*(datos_base!$C$4+datos_base!$C$20+IF(parametros_manuales!$H$22="Todos",datos_base!$C$11+datos_base!$C$25,0))*parametros_manuales!$G$105+parametros_manuales!$G$22*(datos_base!$C$5+datos_base!$C$21+IF(parametros_manuales!$H$22="Todos",datos_base!$C$12+datos_base!$C$26,0))*parametros_manuales!$G$110)*parametros_manuales!$I$22*parametros_manuales!$J$22</f>
        <v>1567.45760098</v>
      </c>
      <c r="H32" s="9" t="n">
        <f aca="false">(parametros_manuales!$D$22*(datos_base!$C$2+datos_base!$C$18+IF(parametros_manuales!$H$22="Todos",datos_base!$C$9+datos_base!$C$23,0))*parametros_manuales!$H$95+parametros_manuales!$E$22*(datos_base!$C$3+datos_base!$C$19+IF(parametros_manuales!$H$22="Todos",datos_base!$C$10+datos_base!$C$24,0))*parametros_manuales!$H$100+parametros_manuales!$F$22*(datos_base!$C$4+datos_base!$C$20+IF(parametros_manuales!$H$22="Todos",datos_base!$C$11+datos_base!$C$25,0))*parametros_manuales!$H$105+parametros_manuales!$G$22*(datos_base!$C$5+datos_base!$C$21+IF(parametros_manuales!$H$22="Todos",datos_base!$C$12+datos_base!$C$26,0))*parametros_manuales!$H$110)*parametros_manuales!$I$22*parametros_manuales!$J$22</f>
        <v>1675.95297703</v>
      </c>
      <c r="I32" s="9" t="n">
        <f aca="false">(parametros_manuales!$D$22*(datos_base!$C$2+datos_base!$C$18+IF(parametros_manuales!$H$22="Todos",datos_base!$C$9+datos_base!$C$23,0))*parametros_manuales!$I$95+parametros_manuales!$E$22*(datos_base!$C$3+datos_base!$C$19+IF(parametros_manuales!$H$22="Todos",datos_base!$C$10+datos_base!$C$24,0))*parametros_manuales!$I$100+parametros_manuales!$F$22*(datos_base!$C$4+datos_base!$C$20+IF(parametros_manuales!$H$22="Todos",datos_base!$C$11+datos_base!$C$25,0))*parametros_manuales!$I$105+parametros_manuales!$G$22*(datos_base!$C$5+datos_base!$C$21+IF(parametros_manuales!$H$22="Todos",datos_base!$C$12+datos_base!$C$26,0))*parametros_manuales!$I$110)*parametros_manuales!$I$22*parametros_manuales!$J$22</f>
        <v>1855.87209634</v>
      </c>
      <c r="J32" s="9" t="n">
        <f aca="false">(parametros_manuales!$D$22*(datos_base!$C$2+datos_base!$C$18+IF(parametros_manuales!$H$22="Todos",datos_base!$C$9+datos_base!$C$23,0))*parametros_manuales!$J$95+parametros_manuales!$E$22*(datos_base!$C$3+datos_base!$C$19+IF(parametros_manuales!$H$22="Todos",datos_base!$C$10+datos_base!$C$24,0))*parametros_manuales!$J$100+parametros_manuales!$F$22*(datos_base!$C$4+datos_base!$C$20+IF(parametros_manuales!$H$22="Todos",datos_base!$C$11+datos_base!$C$25,0))*parametros_manuales!$J$105+parametros_manuales!$G$22*(datos_base!$C$5+datos_base!$C$21+IF(parametros_manuales!$H$22="Todos",datos_base!$C$12+datos_base!$C$26,0))*parametros_manuales!$J$110)*parametros_manuales!$I$22*parametros_manuales!$J$22</f>
        <v>1855.87209634</v>
      </c>
      <c r="K32" s="9" t="n">
        <f aca="false">(parametros_manuales!$D$22*(datos_base!$C$2+datos_base!$C$18+IF(parametros_manuales!$H$22="Todos",datos_base!$C$9+datos_base!$C$23,0))*parametros_manuales!$K$95+parametros_manuales!$E$22*(datos_base!$C$3+datos_base!$C$19+IF(parametros_manuales!$H$22="Todos",datos_base!$C$10+datos_base!$C$24,0))*parametros_manuales!$K$100+parametros_manuales!$F$22*(datos_base!$C$4+datos_base!$C$20+IF(parametros_manuales!$H$22="Todos",datos_base!$C$11+datos_base!$C$25,0))*parametros_manuales!$K$105+parametros_manuales!$G$22*(datos_base!$C$5+datos_base!$C$21+IF(parametros_manuales!$H$22="Todos",datos_base!$C$12+datos_base!$C$26,0))*parametros_manuales!$K$110)*parametros_manuales!$I$22*parametros_manuales!$J$22</f>
        <v>1904.39443262</v>
      </c>
      <c r="L32" s="9" t="n">
        <f aca="false">(parametros_manuales!$D$22*(datos_base!$C$2+datos_base!$C$18+IF(parametros_manuales!$H$22="Todos",datos_base!$C$9+datos_base!$C$23,0))*parametros_manuales!$L$95+parametros_manuales!$E$22*(datos_base!$C$3+datos_base!$C$19+IF(parametros_manuales!$H$22="Todos",datos_base!$C$10+datos_base!$C$24,0))*parametros_manuales!$L$100+parametros_manuales!$F$22*(datos_base!$C$4+datos_base!$C$20+IF(parametros_manuales!$H$22="Todos",datos_base!$C$11+datos_base!$C$25,0))*parametros_manuales!$L$105+parametros_manuales!$G$22*(datos_base!$C$5+datos_base!$C$21+IF(parametros_manuales!$H$22="Todos",datos_base!$C$12+datos_base!$C$26,0))*parametros_manuales!$L$110)*parametros_manuales!$I$22*parametros_manuales!$J$22</f>
        <v>1952.9167689</v>
      </c>
      <c r="M32" s="9" t="n">
        <f aca="false">(parametros_manuales!$D$22*(datos_base!$C$2+datos_base!$C$18+IF(parametros_manuales!$H$22="Todos",datos_base!$C$9+datos_base!$C$23,0))*parametros_manuales!$M$95+parametros_manuales!$E$22*(datos_base!$C$3+datos_base!$C$19+IF(parametros_manuales!$H$22="Todos",datos_base!$C$10+datos_base!$C$24,0))*parametros_manuales!$M$100+parametros_manuales!$F$22*(datos_base!$C$4+datos_base!$C$20+IF(parametros_manuales!$H$22="Todos",datos_base!$C$11+datos_base!$C$25,0))*parametros_manuales!$M$105+parametros_manuales!$G$22*(datos_base!$C$5+datos_base!$C$21+IF(parametros_manuales!$H$22="Todos",datos_base!$C$12+datos_base!$C$26,0))*parametros_manuales!$M$110)*parametros_manuales!$I$22*parametros_manuales!$J$22</f>
        <v>1952.9167689</v>
      </c>
      <c r="N32" s="9" t="n">
        <f aca="false">SUM(B32:M32)</f>
        <v>21699.07521</v>
      </c>
      <c r="O32" s="9" t="n">
        <f aca="false">MAX(B32:M32)</f>
        <v>1952.9167689</v>
      </c>
      <c r="P32" s="43" t="n">
        <f aca="false">O32/(parametros_manuales!$B$7)</f>
        <v>13.019445126</v>
      </c>
      <c r="Q32" s="8" t="str">
        <f aca="false">IF(O32=0,"-",INDEX($B$28:$M$28,MATCH(O32,B32:M32,0)))</f>
        <v>Ene</v>
      </c>
    </row>
    <row r="33" customFormat="false" ht="14.25" hidden="false" customHeight="true" outlineLevel="0" collapsed="false">
      <c r="A33" s="8" t="str">
        <f aca="false">parametros_manuales!$B$23</f>
        <v>Preparación de cuello</v>
      </c>
      <c r="B33" s="9" t="n">
        <f aca="false">(parametros_manuales!$D$23*(datos_base!$C$2+datos_base!$C$18+IF(parametros_manuales!$H$23="Todos",datos_base!$C$9+datos_base!$C$23,0))*parametros_manuales!$B$95+parametros_manuales!$E$23*(datos_base!$C$3+datos_base!$C$19+IF(parametros_manuales!$H$23="Todos",datos_base!$C$10+datos_base!$C$24,0))*parametros_manuales!$B$100+parametros_manuales!$F$23*(datos_base!$C$4+datos_base!$C$20+IF(parametros_manuales!$H$23="Todos",datos_base!$C$11+datos_base!$C$25,0))*parametros_manuales!$B$105+parametros_manuales!$G$23*(datos_base!$C$5+datos_base!$C$21+IF(parametros_manuales!$H$23="Todos",datos_base!$C$12+datos_base!$C$26,0))*parametros_manuales!$B$110)*parametros_manuales!$I$23*parametros_manuales!$J$23</f>
        <v>976.45838445</v>
      </c>
      <c r="C33" s="9" t="n">
        <f aca="false">(parametros_manuales!$D$23*(datos_base!$C$2+datos_base!$C$18+IF(parametros_manuales!$H$23="Todos",datos_base!$C$9+datos_base!$C$23,0))*parametros_manuales!$C$95+parametros_manuales!$E$23*(datos_base!$C$3+datos_base!$C$19+IF(parametros_manuales!$H$23="Todos",datos_base!$C$10+datos_base!$C$24,0))*parametros_manuales!$C$100+parametros_manuales!$F$23*(datos_base!$C$4+datos_base!$C$20+IF(parametros_manuales!$H$23="Todos",datos_base!$C$11+datos_base!$C$25,0))*parametros_manuales!$C$105+parametros_manuales!$G$23*(datos_base!$C$5+datos_base!$C$21+IF(parametros_manuales!$H$23="Todos",datos_base!$C$12+datos_base!$C$26,0))*parametros_manuales!$C$110)*parametros_manuales!$I$23*parametros_manuales!$J$23</f>
        <v>927.93604817</v>
      </c>
      <c r="D33" s="9" t="n">
        <f aca="false">(parametros_manuales!$D$23*(datos_base!$C$2+datos_base!$C$18+IF(parametros_manuales!$H$23="Todos",datos_base!$C$9+datos_base!$C$23,0))*parametros_manuales!$D$95+parametros_manuales!$E$23*(datos_base!$C$3+datos_base!$C$19+IF(parametros_manuales!$H$23="Todos",datos_base!$C$10+datos_base!$C$24,0))*parametros_manuales!$D$100+parametros_manuales!$F$23*(datos_base!$C$4+datos_base!$C$20+IF(parametros_manuales!$H$23="Todos",datos_base!$C$11+datos_base!$C$25,0))*parametros_manuales!$D$105+parametros_manuales!$G$23*(datos_base!$C$5+datos_base!$C$21+IF(parametros_manuales!$H$23="Todos",datos_base!$C$12+datos_base!$C$26,0))*parametros_manuales!$D$110)*parametros_manuales!$I$23*parametros_manuales!$J$23</f>
        <v>892.22417654</v>
      </c>
      <c r="E33" s="9" t="n">
        <f aca="false">(parametros_manuales!$D$23*(datos_base!$C$2+datos_base!$C$18+IF(parametros_manuales!$H$23="Todos",datos_base!$C$9+datos_base!$C$23,0))*parametros_manuales!$E$95+parametros_manuales!$E$23*(datos_base!$C$3+datos_base!$C$19+IF(parametros_manuales!$H$23="Todos",datos_base!$C$10+datos_base!$C$24,0))*parametros_manuales!$E$100+parametros_manuales!$F$23*(datos_base!$C$4+datos_base!$C$20+IF(parametros_manuales!$H$23="Todos",datos_base!$C$11+datos_base!$C$25,0))*parametros_manuales!$E$105+parametros_manuales!$G$23*(datos_base!$C$5+datos_base!$C$21+IF(parametros_manuales!$H$23="Todos",datos_base!$C$12+datos_base!$C$26,0))*parametros_manuales!$E$110)*parametros_manuales!$I$23*parametros_manuales!$J$23</f>
        <v>862.237656655</v>
      </c>
      <c r="F33" s="9" t="n">
        <f aca="false">(parametros_manuales!$D$23*(datos_base!$C$2+datos_base!$C$18+IF(parametros_manuales!$H$23="Todos",datos_base!$C$9+datos_base!$C$23,0))*parametros_manuales!$F$95+parametros_manuales!$E$23*(datos_base!$C$3+datos_base!$C$19+IF(parametros_manuales!$H$23="Todos",datos_base!$C$10+datos_base!$C$24,0))*parametros_manuales!$F$100+parametros_manuales!$F$23*(datos_base!$C$4+datos_base!$C$20+IF(parametros_manuales!$H$23="Todos",datos_base!$C$11+datos_base!$C$25,0))*parametros_manuales!$F$105+parametros_manuales!$G$23*(datos_base!$C$5+datos_base!$C$21+IF(parametros_manuales!$H$23="Todos",datos_base!$C$12+datos_base!$C$26,0))*parametros_manuales!$F$110)*parametros_manuales!$I$23*parametros_manuales!$J$23</f>
        <v>807.98996863</v>
      </c>
      <c r="G33" s="9" t="n">
        <f aca="false">(parametros_manuales!$D$23*(datos_base!$C$2+datos_base!$C$18+IF(parametros_manuales!$H$23="Todos",datos_base!$C$9+datos_base!$C$23,0))*parametros_manuales!$G$95+parametros_manuales!$E$23*(datos_base!$C$3+datos_base!$C$19+IF(parametros_manuales!$H$23="Todos",datos_base!$C$10+datos_base!$C$24,0))*parametros_manuales!$G$100+parametros_manuales!$F$23*(datos_base!$C$4+datos_base!$C$20+IF(parametros_manuales!$H$23="Todos",datos_base!$C$11+datos_base!$C$25,0))*parametros_manuales!$G$105+parametros_manuales!$G$23*(datos_base!$C$5+datos_base!$C$21+IF(parametros_manuales!$H$23="Todos",datos_base!$C$12+datos_base!$C$26,0))*parametros_manuales!$G$110)*parametros_manuales!$I$23*parametros_manuales!$J$23</f>
        <v>783.72880049</v>
      </c>
      <c r="H33" s="9" t="n">
        <f aca="false">(parametros_manuales!$D$23*(datos_base!$C$2+datos_base!$C$18+IF(parametros_manuales!$H$23="Todos",datos_base!$C$9+datos_base!$C$23,0))*parametros_manuales!$H$95+parametros_manuales!$E$23*(datos_base!$C$3+datos_base!$C$19+IF(parametros_manuales!$H$23="Todos",datos_base!$C$10+datos_base!$C$24,0))*parametros_manuales!$H$100+parametros_manuales!$F$23*(datos_base!$C$4+datos_base!$C$20+IF(parametros_manuales!$H$23="Todos",datos_base!$C$11+datos_base!$C$25,0))*parametros_manuales!$H$105+parametros_manuales!$G$23*(datos_base!$C$5+datos_base!$C$21+IF(parametros_manuales!$H$23="Todos",datos_base!$C$12+datos_base!$C$26,0))*parametros_manuales!$H$110)*parametros_manuales!$I$23*parametros_manuales!$J$23</f>
        <v>837.976488515</v>
      </c>
      <c r="I33" s="9" t="n">
        <f aca="false">(parametros_manuales!$D$23*(datos_base!$C$2+datos_base!$C$18+IF(parametros_manuales!$H$23="Todos",datos_base!$C$9+datos_base!$C$23,0))*parametros_manuales!$I$95+parametros_manuales!$E$23*(datos_base!$C$3+datos_base!$C$19+IF(parametros_manuales!$H$23="Todos",datos_base!$C$10+datos_base!$C$24,0))*parametros_manuales!$I$100+parametros_manuales!$F$23*(datos_base!$C$4+datos_base!$C$20+IF(parametros_manuales!$H$23="Todos",datos_base!$C$11+datos_base!$C$25,0))*parametros_manuales!$I$105+parametros_manuales!$G$23*(datos_base!$C$5+datos_base!$C$21+IF(parametros_manuales!$H$23="Todos",datos_base!$C$12+datos_base!$C$26,0))*parametros_manuales!$I$110)*parametros_manuales!$I$23*parametros_manuales!$J$23</f>
        <v>927.93604817</v>
      </c>
      <c r="J33" s="9" t="n">
        <f aca="false">(parametros_manuales!$D$23*(datos_base!$C$2+datos_base!$C$18+IF(parametros_manuales!$H$23="Todos",datos_base!$C$9+datos_base!$C$23,0))*parametros_manuales!$J$95+parametros_manuales!$E$23*(datos_base!$C$3+datos_base!$C$19+IF(parametros_manuales!$H$23="Todos",datos_base!$C$10+datos_base!$C$24,0))*parametros_manuales!$J$100+parametros_manuales!$F$23*(datos_base!$C$4+datos_base!$C$20+IF(parametros_manuales!$H$23="Todos",datos_base!$C$11+datos_base!$C$25,0))*parametros_manuales!$J$105+parametros_manuales!$G$23*(datos_base!$C$5+datos_base!$C$21+IF(parametros_manuales!$H$23="Todos",datos_base!$C$12+datos_base!$C$26,0))*parametros_manuales!$J$110)*parametros_manuales!$I$23*parametros_manuales!$J$23</f>
        <v>927.93604817</v>
      </c>
      <c r="K33" s="9" t="n">
        <f aca="false">(parametros_manuales!$D$23*(datos_base!$C$2+datos_base!$C$18+IF(parametros_manuales!$H$23="Todos",datos_base!$C$9+datos_base!$C$23,0))*parametros_manuales!$K$95+parametros_manuales!$E$23*(datos_base!$C$3+datos_base!$C$19+IF(parametros_manuales!$H$23="Todos",datos_base!$C$10+datos_base!$C$24,0))*parametros_manuales!$K$100+parametros_manuales!$F$23*(datos_base!$C$4+datos_base!$C$20+IF(parametros_manuales!$H$23="Todos",datos_base!$C$11+datos_base!$C$25,0))*parametros_manuales!$K$105+parametros_manuales!$G$23*(datos_base!$C$5+datos_base!$C$21+IF(parametros_manuales!$H$23="Todos",datos_base!$C$12+datos_base!$C$26,0))*parametros_manuales!$K$110)*parametros_manuales!$I$23*parametros_manuales!$J$23</f>
        <v>952.19721631</v>
      </c>
      <c r="L33" s="9" t="n">
        <f aca="false">(parametros_manuales!$D$23*(datos_base!$C$2+datos_base!$C$18+IF(parametros_manuales!$H$23="Todos",datos_base!$C$9+datos_base!$C$23,0))*parametros_manuales!$L$95+parametros_manuales!$E$23*(datos_base!$C$3+datos_base!$C$19+IF(parametros_manuales!$H$23="Todos",datos_base!$C$10+datos_base!$C$24,0))*parametros_manuales!$L$100+parametros_manuales!$F$23*(datos_base!$C$4+datos_base!$C$20+IF(parametros_manuales!$H$23="Todos",datos_base!$C$11+datos_base!$C$25,0))*parametros_manuales!$L$105+parametros_manuales!$G$23*(datos_base!$C$5+datos_base!$C$21+IF(parametros_manuales!$H$23="Todos",datos_base!$C$12+datos_base!$C$26,0))*parametros_manuales!$L$110)*parametros_manuales!$I$23*parametros_manuales!$J$23</f>
        <v>976.45838445</v>
      </c>
      <c r="M33" s="9" t="n">
        <f aca="false">(parametros_manuales!$D$23*(datos_base!$C$2+datos_base!$C$18+IF(parametros_manuales!$H$23="Todos",datos_base!$C$9+datos_base!$C$23,0))*parametros_manuales!$M$95+parametros_manuales!$E$23*(datos_base!$C$3+datos_base!$C$19+IF(parametros_manuales!$H$23="Todos",datos_base!$C$10+datos_base!$C$24,0))*parametros_manuales!$M$100+parametros_manuales!$F$23*(datos_base!$C$4+datos_base!$C$20+IF(parametros_manuales!$H$23="Todos",datos_base!$C$11+datos_base!$C$25,0))*parametros_manuales!$M$105+parametros_manuales!$G$23*(datos_base!$C$5+datos_base!$C$21+IF(parametros_manuales!$H$23="Todos",datos_base!$C$12+datos_base!$C$26,0))*parametros_manuales!$M$110)*parametros_manuales!$I$23*parametros_manuales!$J$23</f>
        <v>976.45838445</v>
      </c>
      <c r="N33" s="9" t="n">
        <f aca="false">SUM(B33:M33)</f>
        <v>10849.537605</v>
      </c>
      <c r="O33" s="9" t="n">
        <f aca="false">MAX(B33:M33)</f>
        <v>976.45838445</v>
      </c>
      <c r="P33" s="43" t="n">
        <f aca="false">O33/(parametros_manuales!$B$7)</f>
        <v>6.509722563</v>
      </c>
      <c r="Q33" s="8" t="str">
        <f aca="false">IF(O33=0,"-",INDEX($B$28:$M$28,MATCH(O33,B33:M33,0)))</f>
        <v>Ene</v>
      </c>
    </row>
    <row r="34" customFormat="false" ht="14.25" hidden="false" customHeight="true" outlineLevel="0" collapsed="false">
      <c r="A34" s="8" t="str">
        <f aca="false">parametros_manuales!$B$24</f>
        <v>Numerado de cúpula</v>
      </c>
      <c r="B34" s="9" t="n">
        <f aca="false">(parametros_manuales!$D$24*(datos_base!$C$2+datos_base!$C$18+IF(parametros_manuales!$H$24="Todos",datos_base!$C$9+datos_base!$C$23,0))*parametros_manuales!$B$95+parametros_manuales!$E$24*(datos_base!$C$3+datos_base!$C$19+IF(parametros_manuales!$H$24="Todos",datos_base!$C$10+datos_base!$C$24,0))*parametros_manuales!$B$100+parametros_manuales!$F$24*(datos_base!$C$4+datos_base!$C$20+IF(parametros_manuales!$H$24="Todos",datos_base!$C$11+datos_base!$C$25,0))*parametros_manuales!$B$105+parametros_manuales!$G$24*(datos_base!$C$5+datos_base!$C$21+IF(parametros_manuales!$H$24="Todos",datos_base!$C$12+datos_base!$C$26,0))*parametros_manuales!$B$110)*parametros_manuales!$I$24*parametros_manuales!$J$24</f>
        <v>976.45838445</v>
      </c>
      <c r="C34" s="9" t="n">
        <f aca="false">(parametros_manuales!$D$24*(datos_base!$C$2+datos_base!$C$18+IF(parametros_manuales!$H$24="Todos",datos_base!$C$9+datos_base!$C$23,0))*parametros_manuales!$C$95+parametros_manuales!$E$24*(datos_base!$C$3+datos_base!$C$19+IF(parametros_manuales!$H$24="Todos",datos_base!$C$10+datos_base!$C$24,0))*parametros_manuales!$C$100+parametros_manuales!$F$24*(datos_base!$C$4+datos_base!$C$20+IF(parametros_manuales!$H$24="Todos",datos_base!$C$11+datos_base!$C$25,0))*parametros_manuales!$C$105+parametros_manuales!$G$24*(datos_base!$C$5+datos_base!$C$21+IF(parametros_manuales!$H$24="Todos",datos_base!$C$12+datos_base!$C$26,0))*parametros_manuales!$C$110)*parametros_manuales!$I$24*parametros_manuales!$J$24</f>
        <v>927.93604817</v>
      </c>
      <c r="D34" s="9" t="n">
        <f aca="false">(parametros_manuales!$D$24*(datos_base!$C$2+datos_base!$C$18+IF(parametros_manuales!$H$24="Todos",datos_base!$C$9+datos_base!$C$23,0))*parametros_manuales!$D$95+parametros_manuales!$E$24*(datos_base!$C$3+datos_base!$C$19+IF(parametros_manuales!$H$24="Todos",datos_base!$C$10+datos_base!$C$24,0))*parametros_manuales!$D$100+parametros_manuales!$F$24*(datos_base!$C$4+datos_base!$C$20+IF(parametros_manuales!$H$24="Todos",datos_base!$C$11+datos_base!$C$25,0))*parametros_manuales!$D$105+parametros_manuales!$G$24*(datos_base!$C$5+datos_base!$C$21+IF(parametros_manuales!$H$24="Todos",datos_base!$C$12+datos_base!$C$26,0))*parametros_manuales!$D$110)*parametros_manuales!$I$24*parametros_manuales!$J$24</f>
        <v>892.22417654</v>
      </c>
      <c r="E34" s="9" t="n">
        <f aca="false">(parametros_manuales!$D$24*(datos_base!$C$2+datos_base!$C$18+IF(parametros_manuales!$H$24="Todos",datos_base!$C$9+datos_base!$C$23,0))*parametros_manuales!$E$95+parametros_manuales!$E$24*(datos_base!$C$3+datos_base!$C$19+IF(parametros_manuales!$H$24="Todos",datos_base!$C$10+datos_base!$C$24,0))*parametros_manuales!$E$100+parametros_manuales!$F$24*(datos_base!$C$4+datos_base!$C$20+IF(parametros_manuales!$H$24="Todos",datos_base!$C$11+datos_base!$C$25,0))*parametros_manuales!$E$105+parametros_manuales!$G$24*(datos_base!$C$5+datos_base!$C$21+IF(parametros_manuales!$H$24="Todos",datos_base!$C$12+datos_base!$C$26,0))*parametros_manuales!$E$110)*parametros_manuales!$I$24*parametros_manuales!$J$24</f>
        <v>862.237656655</v>
      </c>
      <c r="F34" s="9" t="n">
        <f aca="false">(parametros_manuales!$D$24*(datos_base!$C$2+datos_base!$C$18+IF(parametros_manuales!$H$24="Todos",datos_base!$C$9+datos_base!$C$23,0))*parametros_manuales!$F$95+parametros_manuales!$E$24*(datos_base!$C$3+datos_base!$C$19+IF(parametros_manuales!$H$24="Todos",datos_base!$C$10+datos_base!$C$24,0))*parametros_manuales!$F$100+parametros_manuales!$F$24*(datos_base!$C$4+datos_base!$C$20+IF(parametros_manuales!$H$24="Todos",datos_base!$C$11+datos_base!$C$25,0))*parametros_manuales!$F$105+parametros_manuales!$G$24*(datos_base!$C$5+datos_base!$C$21+IF(parametros_manuales!$H$24="Todos",datos_base!$C$12+datos_base!$C$26,0))*parametros_manuales!$F$110)*parametros_manuales!$I$24*parametros_manuales!$J$24</f>
        <v>807.98996863</v>
      </c>
      <c r="G34" s="9" t="n">
        <f aca="false">(parametros_manuales!$D$24*(datos_base!$C$2+datos_base!$C$18+IF(parametros_manuales!$H$24="Todos",datos_base!$C$9+datos_base!$C$23,0))*parametros_manuales!$G$95+parametros_manuales!$E$24*(datos_base!$C$3+datos_base!$C$19+IF(parametros_manuales!$H$24="Todos",datos_base!$C$10+datos_base!$C$24,0))*parametros_manuales!$G$100+parametros_manuales!$F$24*(datos_base!$C$4+datos_base!$C$20+IF(parametros_manuales!$H$24="Todos",datos_base!$C$11+datos_base!$C$25,0))*parametros_manuales!$G$105+parametros_manuales!$G$24*(datos_base!$C$5+datos_base!$C$21+IF(parametros_manuales!$H$24="Todos",datos_base!$C$12+datos_base!$C$26,0))*parametros_manuales!$G$110)*parametros_manuales!$I$24*parametros_manuales!$J$24</f>
        <v>783.72880049</v>
      </c>
      <c r="H34" s="9" t="n">
        <f aca="false">(parametros_manuales!$D$24*(datos_base!$C$2+datos_base!$C$18+IF(parametros_manuales!$H$24="Todos",datos_base!$C$9+datos_base!$C$23,0))*parametros_manuales!$H$95+parametros_manuales!$E$24*(datos_base!$C$3+datos_base!$C$19+IF(parametros_manuales!$H$24="Todos",datos_base!$C$10+datos_base!$C$24,0))*parametros_manuales!$H$100+parametros_manuales!$F$24*(datos_base!$C$4+datos_base!$C$20+IF(parametros_manuales!$H$24="Todos",datos_base!$C$11+datos_base!$C$25,0))*parametros_manuales!$H$105+parametros_manuales!$G$24*(datos_base!$C$5+datos_base!$C$21+IF(parametros_manuales!$H$24="Todos",datos_base!$C$12+datos_base!$C$26,0))*parametros_manuales!$H$110)*parametros_manuales!$I$24*parametros_manuales!$J$24</f>
        <v>837.976488515</v>
      </c>
      <c r="I34" s="9" t="n">
        <f aca="false">(parametros_manuales!$D$24*(datos_base!$C$2+datos_base!$C$18+IF(parametros_manuales!$H$24="Todos",datos_base!$C$9+datos_base!$C$23,0))*parametros_manuales!$I$95+parametros_manuales!$E$24*(datos_base!$C$3+datos_base!$C$19+IF(parametros_manuales!$H$24="Todos",datos_base!$C$10+datos_base!$C$24,0))*parametros_manuales!$I$100+parametros_manuales!$F$24*(datos_base!$C$4+datos_base!$C$20+IF(parametros_manuales!$H$24="Todos",datos_base!$C$11+datos_base!$C$25,0))*parametros_manuales!$I$105+parametros_manuales!$G$24*(datos_base!$C$5+datos_base!$C$21+IF(parametros_manuales!$H$24="Todos",datos_base!$C$12+datos_base!$C$26,0))*parametros_manuales!$I$110)*parametros_manuales!$I$24*parametros_manuales!$J$24</f>
        <v>927.93604817</v>
      </c>
      <c r="J34" s="9" t="n">
        <f aca="false">(parametros_manuales!$D$24*(datos_base!$C$2+datos_base!$C$18+IF(parametros_manuales!$H$24="Todos",datos_base!$C$9+datos_base!$C$23,0))*parametros_manuales!$J$95+parametros_manuales!$E$24*(datos_base!$C$3+datos_base!$C$19+IF(parametros_manuales!$H$24="Todos",datos_base!$C$10+datos_base!$C$24,0))*parametros_manuales!$J$100+parametros_manuales!$F$24*(datos_base!$C$4+datos_base!$C$20+IF(parametros_manuales!$H$24="Todos",datos_base!$C$11+datos_base!$C$25,0))*parametros_manuales!$J$105+parametros_manuales!$G$24*(datos_base!$C$5+datos_base!$C$21+IF(parametros_manuales!$H$24="Todos",datos_base!$C$12+datos_base!$C$26,0))*parametros_manuales!$J$110)*parametros_manuales!$I$24*parametros_manuales!$J$24</f>
        <v>927.93604817</v>
      </c>
      <c r="K34" s="9" t="n">
        <f aca="false">(parametros_manuales!$D$24*(datos_base!$C$2+datos_base!$C$18+IF(parametros_manuales!$H$24="Todos",datos_base!$C$9+datos_base!$C$23,0))*parametros_manuales!$K$95+parametros_manuales!$E$24*(datos_base!$C$3+datos_base!$C$19+IF(parametros_manuales!$H$24="Todos",datos_base!$C$10+datos_base!$C$24,0))*parametros_manuales!$K$100+parametros_manuales!$F$24*(datos_base!$C$4+datos_base!$C$20+IF(parametros_manuales!$H$24="Todos",datos_base!$C$11+datos_base!$C$25,0))*parametros_manuales!$K$105+parametros_manuales!$G$24*(datos_base!$C$5+datos_base!$C$21+IF(parametros_manuales!$H$24="Todos",datos_base!$C$12+datos_base!$C$26,0))*parametros_manuales!$K$110)*parametros_manuales!$I$24*parametros_manuales!$J$24</f>
        <v>952.19721631</v>
      </c>
      <c r="L34" s="9" t="n">
        <f aca="false">(parametros_manuales!$D$24*(datos_base!$C$2+datos_base!$C$18+IF(parametros_manuales!$H$24="Todos",datos_base!$C$9+datos_base!$C$23,0))*parametros_manuales!$L$95+parametros_manuales!$E$24*(datos_base!$C$3+datos_base!$C$19+IF(parametros_manuales!$H$24="Todos",datos_base!$C$10+datos_base!$C$24,0))*parametros_manuales!$L$100+parametros_manuales!$F$24*(datos_base!$C$4+datos_base!$C$20+IF(parametros_manuales!$H$24="Todos",datos_base!$C$11+datos_base!$C$25,0))*parametros_manuales!$L$105+parametros_manuales!$G$24*(datos_base!$C$5+datos_base!$C$21+IF(parametros_manuales!$H$24="Todos",datos_base!$C$12+datos_base!$C$26,0))*parametros_manuales!$L$110)*parametros_manuales!$I$24*parametros_manuales!$J$24</f>
        <v>976.45838445</v>
      </c>
      <c r="M34" s="9" t="n">
        <f aca="false">(parametros_manuales!$D$24*(datos_base!$C$2+datos_base!$C$18+IF(parametros_manuales!$H$24="Todos",datos_base!$C$9+datos_base!$C$23,0))*parametros_manuales!$M$95+parametros_manuales!$E$24*(datos_base!$C$3+datos_base!$C$19+IF(parametros_manuales!$H$24="Todos",datos_base!$C$10+datos_base!$C$24,0))*parametros_manuales!$M$100+parametros_manuales!$F$24*(datos_base!$C$4+datos_base!$C$20+IF(parametros_manuales!$H$24="Todos",datos_base!$C$11+datos_base!$C$25,0))*parametros_manuales!$M$105+parametros_manuales!$G$24*(datos_base!$C$5+datos_base!$C$21+IF(parametros_manuales!$H$24="Todos",datos_base!$C$12+datos_base!$C$26,0))*parametros_manuales!$M$110)*parametros_manuales!$I$24*parametros_manuales!$J$24</f>
        <v>976.45838445</v>
      </c>
      <c r="N34" s="9" t="n">
        <f aca="false">SUM(B34:M34)</f>
        <v>10849.537605</v>
      </c>
      <c r="O34" s="9" t="n">
        <f aca="false">MAX(B34:M34)</f>
        <v>976.45838445</v>
      </c>
      <c r="P34" s="43" t="n">
        <f aca="false">O34/(parametros_manuales!$B$7)</f>
        <v>6.509722563</v>
      </c>
      <c r="Q34" s="8" t="str">
        <f aca="false">IF(O34=0,"-",INDEX($B$28:$M$28,MATCH(O34,B34:M34,0)))</f>
        <v>Ene</v>
      </c>
    </row>
    <row r="35" customFormat="false" ht="14.25" hidden="false" customHeight="true" outlineLevel="0" collapsed="false">
      <c r="A35" s="8" t="str">
        <f aca="false">parametros_manuales!$B$25</f>
        <v>Soldadura del cuello a la cúpula</v>
      </c>
      <c r="B35" s="9" t="n">
        <f aca="false">(parametros_manuales!$D$25*(datos_base!$C$2+datos_base!$C$18+IF(parametros_manuales!$H$25="Todos",datos_base!$C$9+datos_base!$C$23,0))*parametros_manuales!$B$95+parametros_manuales!$E$25*(datos_base!$C$3+datos_base!$C$19+IF(parametros_manuales!$H$25="Todos",datos_base!$C$10+datos_base!$C$24,0))*parametros_manuales!$B$100+parametros_manuales!$F$25*(datos_base!$C$4+datos_base!$C$20+IF(parametros_manuales!$H$25="Todos",datos_base!$C$11+datos_base!$C$25,0))*parametros_manuales!$B$105+parametros_manuales!$G$25*(datos_base!$C$5+datos_base!$C$21+IF(parametros_manuales!$H$25="Todos",datos_base!$C$12+datos_base!$C$26,0))*parametros_manuales!$B$110)*parametros_manuales!$I$25*parametros_manuales!$J$25</f>
        <v>976.45838445</v>
      </c>
      <c r="C35" s="9" t="n">
        <f aca="false">(parametros_manuales!$D$25*(datos_base!$C$2+datos_base!$C$18+IF(parametros_manuales!$H$25="Todos",datos_base!$C$9+datos_base!$C$23,0))*parametros_manuales!$C$95+parametros_manuales!$E$25*(datos_base!$C$3+datos_base!$C$19+IF(parametros_manuales!$H$25="Todos",datos_base!$C$10+datos_base!$C$24,0))*parametros_manuales!$C$100+parametros_manuales!$F$25*(datos_base!$C$4+datos_base!$C$20+IF(parametros_manuales!$H$25="Todos",datos_base!$C$11+datos_base!$C$25,0))*parametros_manuales!$C$105+parametros_manuales!$G$25*(datos_base!$C$5+datos_base!$C$21+IF(parametros_manuales!$H$25="Todos",datos_base!$C$12+datos_base!$C$26,0))*parametros_manuales!$C$110)*parametros_manuales!$I$25*parametros_manuales!$J$25</f>
        <v>927.93604817</v>
      </c>
      <c r="D35" s="9" t="n">
        <f aca="false">(parametros_manuales!$D$25*(datos_base!$C$2+datos_base!$C$18+IF(parametros_manuales!$H$25="Todos",datos_base!$C$9+datos_base!$C$23,0))*parametros_manuales!$D$95+parametros_manuales!$E$25*(datos_base!$C$3+datos_base!$C$19+IF(parametros_manuales!$H$25="Todos",datos_base!$C$10+datos_base!$C$24,0))*parametros_manuales!$D$100+parametros_manuales!$F$25*(datos_base!$C$4+datos_base!$C$20+IF(parametros_manuales!$H$25="Todos",datos_base!$C$11+datos_base!$C$25,0))*parametros_manuales!$D$105+parametros_manuales!$G$25*(datos_base!$C$5+datos_base!$C$21+IF(parametros_manuales!$H$25="Todos",datos_base!$C$12+datos_base!$C$26,0))*parametros_manuales!$D$110)*parametros_manuales!$I$25*parametros_manuales!$J$25</f>
        <v>892.22417654</v>
      </c>
      <c r="E35" s="9" t="n">
        <f aca="false">(parametros_manuales!$D$25*(datos_base!$C$2+datos_base!$C$18+IF(parametros_manuales!$H$25="Todos",datos_base!$C$9+datos_base!$C$23,0))*parametros_manuales!$E$95+parametros_manuales!$E$25*(datos_base!$C$3+datos_base!$C$19+IF(parametros_manuales!$H$25="Todos",datos_base!$C$10+datos_base!$C$24,0))*parametros_manuales!$E$100+parametros_manuales!$F$25*(datos_base!$C$4+datos_base!$C$20+IF(parametros_manuales!$H$25="Todos",datos_base!$C$11+datos_base!$C$25,0))*parametros_manuales!$E$105+parametros_manuales!$G$25*(datos_base!$C$5+datos_base!$C$21+IF(parametros_manuales!$H$25="Todos",datos_base!$C$12+datos_base!$C$26,0))*parametros_manuales!$E$110)*parametros_manuales!$I$25*parametros_manuales!$J$25</f>
        <v>862.237656655</v>
      </c>
      <c r="F35" s="9" t="n">
        <f aca="false">(parametros_manuales!$D$25*(datos_base!$C$2+datos_base!$C$18+IF(parametros_manuales!$H$25="Todos",datos_base!$C$9+datos_base!$C$23,0))*parametros_manuales!$F$95+parametros_manuales!$E$25*(datos_base!$C$3+datos_base!$C$19+IF(parametros_manuales!$H$25="Todos",datos_base!$C$10+datos_base!$C$24,0))*parametros_manuales!$F$100+parametros_manuales!$F$25*(datos_base!$C$4+datos_base!$C$20+IF(parametros_manuales!$H$25="Todos",datos_base!$C$11+datos_base!$C$25,0))*parametros_manuales!$F$105+parametros_manuales!$G$25*(datos_base!$C$5+datos_base!$C$21+IF(parametros_manuales!$H$25="Todos",datos_base!$C$12+datos_base!$C$26,0))*parametros_manuales!$F$110)*parametros_manuales!$I$25*parametros_manuales!$J$25</f>
        <v>807.98996863</v>
      </c>
      <c r="G35" s="9" t="n">
        <f aca="false">(parametros_manuales!$D$25*(datos_base!$C$2+datos_base!$C$18+IF(parametros_manuales!$H$25="Todos",datos_base!$C$9+datos_base!$C$23,0))*parametros_manuales!$G$95+parametros_manuales!$E$25*(datos_base!$C$3+datos_base!$C$19+IF(parametros_manuales!$H$25="Todos",datos_base!$C$10+datos_base!$C$24,0))*parametros_manuales!$G$100+parametros_manuales!$F$25*(datos_base!$C$4+datos_base!$C$20+IF(parametros_manuales!$H$25="Todos",datos_base!$C$11+datos_base!$C$25,0))*parametros_manuales!$G$105+parametros_manuales!$G$25*(datos_base!$C$5+datos_base!$C$21+IF(parametros_manuales!$H$25="Todos",datos_base!$C$12+datos_base!$C$26,0))*parametros_manuales!$G$110)*parametros_manuales!$I$25*parametros_manuales!$J$25</f>
        <v>783.72880049</v>
      </c>
      <c r="H35" s="9" t="n">
        <f aca="false">(parametros_manuales!$D$25*(datos_base!$C$2+datos_base!$C$18+IF(parametros_manuales!$H$25="Todos",datos_base!$C$9+datos_base!$C$23,0))*parametros_manuales!$H$95+parametros_manuales!$E$25*(datos_base!$C$3+datos_base!$C$19+IF(parametros_manuales!$H$25="Todos",datos_base!$C$10+datos_base!$C$24,0))*parametros_manuales!$H$100+parametros_manuales!$F$25*(datos_base!$C$4+datos_base!$C$20+IF(parametros_manuales!$H$25="Todos",datos_base!$C$11+datos_base!$C$25,0))*parametros_manuales!$H$105+parametros_manuales!$G$25*(datos_base!$C$5+datos_base!$C$21+IF(parametros_manuales!$H$25="Todos",datos_base!$C$12+datos_base!$C$26,0))*parametros_manuales!$H$110)*parametros_manuales!$I$25*parametros_manuales!$J$25</f>
        <v>837.976488515</v>
      </c>
      <c r="I35" s="9" t="n">
        <f aca="false">(parametros_manuales!$D$25*(datos_base!$C$2+datos_base!$C$18+IF(parametros_manuales!$H$25="Todos",datos_base!$C$9+datos_base!$C$23,0))*parametros_manuales!$I$95+parametros_manuales!$E$25*(datos_base!$C$3+datos_base!$C$19+IF(parametros_manuales!$H$25="Todos",datos_base!$C$10+datos_base!$C$24,0))*parametros_manuales!$I$100+parametros_manuales!$F$25*(datos_base!$C$4+datos_base!$C$20+IF(parametros_manuales!$H$25="Todos",datos_base!$C$11+datos_base!$C$25,0))*parametros_manuales!$I$105+parametros_manuales!$G$25*(datos_base!$C$5+datos_base!$C$21+IF(parametros_manuales!$H$25="Todos",datos_base!$C$12+datos_base!$C$26,0))*parametros_manuales!$I$110)*parametros_manuales!$I$25*parametros_manuales!$J$25</f>
        <v>927.93604817</v>
      </c>
      <c r="J35" s="9" t="n">
        <f aca="false">(parametros_manuales!$D$25*(datos_base!$C$2+datos_base!$C$18+IF(parametros_manuales!$H$25="Todos",datos_base!$C$9+datos_base!$C$23,0))*parametros_manuales!$J$95+parametros_manuales!$E$25*(datos_base!$C$3+datos_base!$C$19+IF(parametros_manuales!$H$25="Todos",datos_base!$C$10+datos_base!$C$24,0))*parametros_manuales!$J$100+parametros_manuales!$F$25*(datos_base!$C$4+datos_base!$C$20+IF(parametros_manuales!$H$25="Todos",datos_base!$C$11+datos_base!$C$25,0))*parametros_manuales!$J$105+parametros_manuales!$G$25*(datos_base!$C$5+datos_base!$C$21+IF(parametros_manuales!$H$25="Todos",datos_base!$C$12+datos_base!$C$26,0))*parametros_manuales!$J$110)*parametros_manuales!$I$25*parametros_manuales!$J$25</f>
        <v>927.93604817</v>
      </c>
      <c r="K35" s="9" t="n">
        <f aca="false">(parametros_manuales!$D$25*(datos_base!$C$2+datos_base!$C$18+IF(parametros_manuales!$H$25="Todos",datos_base!$C$9+datos_base!$C$23,0))*parametros_manuales!$K$95+parametros_manuales!$E$25*(datos_base!$C$3+datos_base!$C$19+IF(parametros_manuales!$H$25="Todos",datos_base!$C$10+datos_base!$C$24,0))*parametros_manuales!$K$100+parametros_manuales!$F$25*(datos_base!$C$4+datos_base!$C$20+IF(parametros_manuales!$H$25="Todos",datos_base!$C$11+datos_base!$C$25,0))*parametros_manuales!$K$105+parametros_manuales!$G$25*(datos_base!$C$5+datos_base!$C$21+IF(parametros_manuales!$H$25="Todos",datos_base!$C$12+datos_base!$C$26,0))*parametros_manuales!$K$110)*parametros_manuales!$I$25*parametros_manuales!$J$25</f>
        <v>952.19721631</v>
      </c>
      <c r="L35" s="9" t="n">
        <f aca="false">(parametros_manuales!$D$25*(datos_base!$C$2+datos_base!$C$18+IF(parametros_manuales!$H$25="Todos",datos_base!$C$9+datos_base!$C$23,0))*parametros_manuales!$L$95+parametros_manuales!$E$25*(datos_base!$C$3+datos_base!$C$19+IF(parametros_manuales!$H$25="Todos",datos_base!$C$10+datos_base!$C$24,0))*parametros_manuales!$L$100+parametros_manuales!$F$25*(datos_base!$C$4+datos_base!$C$20+IF(parametros_manuales!$H$25="Todos",datos_base!$C$11+datos_base!$C$25,0))*parametros_manuales!$L$105+parametros_manuales!$G$25*(datos_base!$C$5+datos_base!$C$21+IF(parametros_manuales!$H$25="Todos",datos_base!$C$12+datos_base!$C$26,0))*parametros_manuales!$L$110)*parametros_manuales!$I$25*parametros_manuales!$J$25</f>
        <v>976.45838445</v>
      </c>
      <c r="M35" s="9" t="n">
        <f aca="false">(parametros_manuales!$D$25*(datos_base!$C$2+datos_base!$C$18+IF(parametros_manuales!$H$25="Todos",datos_base!$C$9+datos_base!$C$23,0))*parametros_manuales!$M$95+parametros_manuales!$E$25*(datos_base!$C$3+datos_base!$C$19+IF(parametros_manuales!$H$25="Todos",datos_base!$C$10+datos_base!$C$24,0))*parametros_manuales!$M$100+parametros_manuales!$F$25*(datos_base!$C$4+datos_base!$C$20+IF(parametros_manuales!$H$25="Todos",datos_base!$C$11+datos_base!$C$25,0))*parametros_manuales!$M$105+parametros_manuales!$G$25*(datos_base!$C$5+datos_base!$C$21+IF(parametros_manuales!$H$25="Todos",datos_base!$C$12+datos_base!$C$26,0))*parametros_manuales!$M$110)*parametros_manuales!$I$25*parametros_manuales!$J$25</f>
        <v>976.45838445</v>
      </c>
      <c r="N35" s="9" t="n">
        <f aca="false">SUM(B35:M35)</f>
        <v>10849.537605</v>
      </c>
      <c r="O35" s="9" t="n">
        <f aca="false">MAX(B35:M35)</f>
        <v>976.45838445</v>
      </c>
      <c r="P35" s="43" t="n">
        <f aca="false">O35/(parametros_manuales!$B$7)</f>
        <v>6.509722563</v>
      </c>
      <c r="Q35" s="8" t="str">
        <f aca="false">IF(O35=0,"-",INDEX($B$28:$M$28,MATCH(O35,B35:M35,0)))</f>
        <v>Ene</v>
      </c>
    </row>
    <row r="36" customFormat="false" ht="14.25" hidden="false" customHeight="true" outlineLevel="0" collapsed="false">
      <c r="A36" s="8" t="str">
        <f aca="false">parametros_manuales!$B$26</f>
        <v>Cilindrado</v>
      </c>
      <c r="B36" s="9" t="n">
        <f aca="false">(parametros_manuales!$D$26*(datos_base!$C$2+datos_base!$C$18+IF(parametros_manuales!$H$26="Todos",datos_base!$C$9+datos_base!$C$23,0))*parametros_manuales!$B$95+parametros_manuales!$E$26*(datos_base!$C$3+datos_base!$C$19+IF(parametros_manuales!$H$26="Todos",datos_base!$C$10+datos_base!$C$24,0))*parametros_manuales!$B$100+parametros_manuales!$F$26*(datos_base!$C$4+datos_base!$C$20+IF(parametros_manuales!$H$26="Todos",datos_base!$C$11+datos_base!$C$25,0))*parametros_manuales!$B$105+parametros_manuales!$G$26*(datos_base!$C$5+datos_base!$C$21+IF(parametros_manuales!$H$26="Todos",datos_base!$C$12+datos_base!$C$26,0))*parametros_manuales!$B$110)*parametros_manuales!$I$26*parametros_manuales!$J$26</f>
        <v>436.70102652</v>
      </c>
      <c r="C36" s="9" t="n">
        <f aca="false">(parametros_manuales!$D$26*(datos_base!$C$2+datos_base!$C$18+IF(parametros_manuales!$H$26="Todos",datos_base!$C$9+datos_base!$C$23,0))*parametros_manuales!$C$95+parametros_manuales!$E$26*(datos_base!$C$3+datos_base!$C$19+IF(parametros_manuales!$H$26="Todos",datos_base!$C$10+datos_base!$C$24,0))*parametros_manuales!$C$100+parametros_manuales!$F$26*(datos_base!$C$4+datos_base!$C$20+IF(parametros_manuales!$H$26="Todos",datos_base!$C$11+datos_base!$C$25,0))*parametros_manuales!$C$105+parametros_manuales!$G$26*(datos_base!$C$5+datos_base!$C$21+IF(parametros_manuales!$H$26="Todos",datos_base!$C$12+datos_base!$C$26,0))*parametros_manuales!$C$110)*parametros_manuales!$I$26*parametros_manuales!$J$26</f>
        <v>388.17869024</v>
      </c>
      <c r="D36" s="9" t="n">
        <f aca="false">(parametros_manuales!$D$26*(datos_base!$C$2+datos_base!$C$18+IF(parametros_manuales!$H$26="Todos",datos_base!$C$9+datos_base!$C$23,0))*parametros_manuales!$D$95+parametros_manuales!$E$26*(datos_base!$C$3+datos_base!$C$19+IF(parametros_manuales!$H$26="Todos",datos_base!$C$10+datos_base!$C$24,0))*parametros_manuales!$D$100+parametros_manuales!$F$26*(datos_base!$C$4+datos_base!$C$20+IF(parametros_manuales!$H$26="Todos",datos_base!$C$11+datos_base!$C$25,0))*parametros_manuales!$D$105+parametros_manuales!$G$26*(datos_base!$C$5+datos_base!$C$21+IF(parametros_manuales!$H$26="Todos",datos_base!$C$12+datos_base!$C$26,0))*parametros_manuales!$D$110)*parametros_manuales!$I$26*parametros_manuales!$J$26</f>
        <v>412.43985838</v>
      </c>
      <c r="E36" s="9" t="n">
        <f aca="false">(parametros_manuales!$D$26*(datos_base!$C$2+datos_base!$C$18+IF(parametros_manuales!$H$26="Todos",datos_base!$C$9+datos_base!$C$23,0))*parametros_manuales!$E$95+parametros_manuales!$E$26*(datos_base!$C$3+datos_base!$C$19+IF(parametros_manuales!$H$26="Todos",datos_base!$C$10+datos_base!$C$24,0))*parametros_manuales!$E$100+parametros_manuales!$F$26*(datos_base!$C$4+datos_base!$C$20+IF(parametros_manuales!$H$26="Todos",datos_base!$C$11+datos_base!$C$25,0))*parametros_manuales!$E$105+parametros_manuales!$G$26*(datos_base!$C$5+datos_base!$C$21+IF(parametros_manuales!$H$26="Todos",datos_base!$C$12+datos_base!$C$26,0))*parametros_manuales!$E$110)*parametros_manuales!$I$26*parametros_manuales!$J$26</f>
        <v>412.43985838</v>
      </c>
      <c r="F36" s="9" t="n">
        <f aca="false">(parametros_manuales!$D$26*(datos_base!$C$2+datos_base!$C$18+IF(parametros_manuales!$H$26="Todos",datos_base!$C$9+datos_base!$C$23,0))*parametros_manuales!$F$95+parametros_manuales!$E$26*(datos_base!$C$3+datos_base!$C$19+IF(parametros_manuales!$H$26="Todos",datos_base!$C$10+datos_base!$C$24,0))*parametros_manuales!$F$100+parametros_manuales!$F$26*(datos_base!$C$4+datos_base!$C$20+IF(parametros_manuales!$H$26="Todos",datos_base!$C$11+datos_base!$C$25,0))*parametros_manuales!$F$105+parametros_manuales!$G$26*(datos_base!$C$5+datos_base!$C$21+IF(parametros_manuales!$H$26="Todos",datos_base!$C$12+datos_base!$C$26,0))*parametros_manuales!$F$110)*parametros_manuales!$I$26*parametros_manuales!$J$26</f>
        <v>388.17869024</v>
      </c>
      <c r="G36" s="9" t="n">
        <f aca="false">(parametros_manuales!$D$26*(datos_base!$C$2+datos_base!$C$18+IF(parametros_manuales!$H$26="Todos",datos_base!$C$9+datos_base!$C$23,0))*parametros_manuales!$G$95+parametros_manuales!$E$26*(datos_base!$C$3+datos_base!$C$19+IF(parametros_manuales!$H$26="Todos",datos_base!$C$10+datos_base!$C$24,0))*parametros_manuales!$G$100+parametros_manuales!$F$26*(datos_base!$C$4+datos_base!$C$20+IF(parametros_manuales!$H$26="Todos",datos_base!$C$11+datos_base!$C$25,0))*parametros_manuales!$G$105+parametros_manuales!$G$26*(datos_base!$C$5+datos_base!$C$21+IF(parametros_manuales!$H$26="Todos",datos_base!$C$12+datos_base!$C$26,0))*parametros_manuales!$G$110)*parametros_manuales!$I$26*parametros_manuales!$J$26</f>
        <v>363.9175221</v>
      </c>
      <c r="H36" s="9" t="n">
        <f aca="false">(parametros_manuales!$D$26*(datos_base!$C$2+datos_base!$C$18+IF(parametros_manuales!$H$26="Todos",datos_base!$C$9+datos_base!$C$23,0))*parametros_manuales!$H$95+parametros_manuales!$E$26*(datos_base!$C$3+datos_base!$C$19+IF(parametros_manuales!$H$26="Todos",datos_base!$C$10+datos_base!$C$24,0))*parametros_manuales!$H$100+parametros_manuales!$F$26*(datos_base!$C$4+datos_base!$C$20+IF(parametros_manuales!$H$26="Todos",datos_base!$C$11+datos_base!$C$25,0))*parametros_manuales!$H$105+parametros_manuales!$G$26*(datos_base!$C$5+datos_base!$C$21+IF(parametros_manuales!$H$26="Todos",datos_base!$C$12+datos_base!$C$26,0))*parametros_manuales!$H$110)*parametros_manuales!$I$26*parametros_manuales!$J$26</f>
        <v>388.17869024</v>
      </c>
      <c r="I36" s="9" t="n">
        <f aca="false">(parametros_manuales!$D$26*(datos_base!$C$2+datos_base!$C$18+IF(parametros_manuales!$H$26="Todos",datos_base!$C$9+datos_base!$C$23,0))*parametros_manuales!$I$95+parametros_manuales!$E$26*(datos_base!$C$3+datos_base!$C$19+IF(parametros_manuales!$H$26="Todos",datos_base!$C$10+datos_base!$C$24,0))*parametros_manuales!$I$100+parametros_manuales!$F$26*(datos_base!$C$4+datos_base!$C$20+IF(parametros_manuales!$H$26="Todos",datos_base!$C$11+datos_base!$C$25,0))*parametros_manuales!$I$105+parametros_manuales!$G$26*(datos_base!$C$5+datos_base!$C$21+IF(parametros_manuales!$H$26="Todos",datos_base!$C$12+datos_base!$C$26,0))*parametros_manuales!$I$110)*parametros_manuales!$I$26*parametros_manuales!$J$26</f>
        <v>388.17869024</v>
      </c>
      <c r="J36" s="9" t="n">
        <f aca="false">(parametros_manuales!$D$26*(datos_base!$C$2+datos_base!$C$18+IF(parametros_manuales!$H$26="Todos",datos_base!$C$9+datos_base!$C$23,0))*parametros_manuales!$J$95+parametros_manuales!$E$26*(datos_base!$C$3+datos_base!$C$19+IF(parametros_manuales!$H$26="Todos",datos_base!$C$10+datos_base!$C$24,0))*parametros_manuales!$J$100+parametros_manuales!$F$26*(datos_base!$C$4+datos_base!$C$20+IF(parametros_manuales!$H$26="Todos",datos_base!$C$11+datos_base!$C$25,0))*parametros_manuales!$J$105+parametros_manuales!$G$26*(datos_base!$C$5+datos_base!$C$21+IF(parametros_manuales!$H$26="Todos",datos_base!$C$12+datos_base!$C$26,0))*parametros_manuales!$J$110)*parametros_manuales!$I$26*parametros_manuales!$J$26</f>
        <v>388.17869024</v>
      </c>
      <c r="K36" s="9" t="n">
        <f aca="false">(parametros_manuales!$D$26*(datos_base!$C$2+datos_base!$C$18+IF(parametros_manuales!$H$26="Todos",datos_base!$C$9+datos_base!$C$23,0))*parametros_manuales!$K$95+parametros_manuales!$E$26*(datos_base!$C$3+datos_base!$C$19+IF(parametros_manuales!$H$26="Todos",datos_base!$C$10+datos_base!$C$24,0))*parametros_manuales!$K$100+parametros_manuales!$F$26*(datos_base!$C$4+datos_base!$C$20+IF(parametros_manuales!$H$26="Todos",datos_base!$C$11+datos_base!$C$25,0))*parametros_manuales!$K$105+parametros_manuales!$G$26*(datos_base!$C$5+datos_base!$C$21+IF(parametros_manuales!$H$26="Todos",datos_base!$C$12+datos_base!$C$26,0))*parametros_manuales!$K$110)*parametros_manuales!$I$26*parametros_manuales!$J$26</f>
        <v>412.43985838</v>
      </c>
      <c r="L36" s="9" t="n">
        <f aca="false">(parametros_manuales!$D$26*(datos_base!$C$2+datos_base!$C$18+IF(parametros_manuales!$H$26="Todos",datos_base!$C$9+datos_base!$C$23,0))*parametros_manuales!$L$95+parametros_manuales!$E$26*(datos_base!$C$3+datos_base!$C$19+IF(parametros_manuales!$H$26="Todos",datos_base!$C$10+datos_base!$C$24,0))*parametros_manuales!$L$100+parametros_manuales!$F$26*(datos_base!$C$4+datos_base!$C$20+IF(parametros_manuales!$H$26="Todos",datos_base!$C$11+datos_base!$C$25,0))*parametros_manuales!$L$105+parametros_manuales!$G$26*(datos_base!$C$5+datos_base!$C$21+IF(parametros_manuales!$H$26="Todos",datos_base!$C$12+datos_base!$C$26,0))*parametros_manuales!$L$110)*parametros_manuales!$I$26*parametros_manuales!$J$26</f>
        <v>436.70102652</v>
      </c>
      <c r="M36" s="9" t="n">
        <f aca="false">(parametros_manuales!$D$26*(datos_base!$C$2+datos_base!$C$18+IF(parametros_manuales!$H$26="Todos",datos_base!$C$9+datos_base!$C$23,0))*parametros_manuales!$M$95+parametros_manuales!$E$26*(datos_base!$C$3+datos_base!$C$19+IF(parametros_manuales!$H$26="Todos",datos_base!$C$10+datos_base!$C$24,0))*parametros_manuales!$M$100+parametros_manuales!$F$26*(datos_base!$C$4+datos_base!$C$20+IF(parametros_manuales!$H$26="Todos",datos_base!$C$11+datos_base!$C$25,0))*parametros_manuales!$M$105+parametros_manuales!$G$26*(datos_base!$C$5+datos_base!$C$21+IF(parametros_manuales!$H$26="Todos",datos_base!$C$12+datos_base!$C$26,0))*parametros_manuales!$M$110)*parametros_manuales!$I$26*parametros_manuales!$J$26</f>
        <v>436.70102652</v>
      </c>
      <c r="N36" s="9" t="n">
        <f aca="false">SUM(B36:M36)</f>
        <v>4852.233628</v>
      </c>
      <c r="O36" s="9" t="n">
        <f aca="false">MAX(B36:M36)</f>
        <v>436.70102652</v>
      </c>
      <c r="P36" s="43" t="n">
        <f aca="false">O36/(parametros_manuales!$B$7)</f>
        <v>2.9113401768</v>
      </c>
      <c r="Q36" s="8" t="str">
        <f aca="false">IF(O36=0,"-",INDEX($B$28:$M$28,MATCH(O36,B36:M36,0)))</f>
        <v>Ene</v>
      </c>
    </row>
    <row r="37" customFormat="false" ht="14.25" hidden="false" customHeight="true" outlineLevel="0" collapsed="false">
      <c r="A37" s="8" t="str">
        <f aca="false">parametros_manuales!$B$27</f>
        <v>Soldadura longitudinal</v>
      </c>
      <c r="B37" s="9" t="n">
        <f aca="false">(parametros_manuales!$D$27*(datos_base!$C$2+datos_base!$C$18+IF(parametros_manuales!$H$27="Todos",datos_base!$C$9+datos_base!$C$23,0))*parametros_manuales!$B$95+parametros_manuales!$E$27*(datos_base!$C$3+datos_base!$C$19+IF(parametros_manuales!$H$27="Todos",datos_base!$C$10+datos_base!$C$24,0))*parametros_manuales!$B$100+parametros_manuales!$F$27*(datos_base!$C$4+datos_base!$C$20+IF(parametros_manuales!$H$27="Todos",datos_base!$C$11+datos_base!$C$25,0))*parametros_manuales!$B$105+parametros_manuales!$G$27*(datos_base!$C$5+datos_base!$C$21+IF(parametros_manuales!$H$27="Todos",datos_base!$C$12+datos_base!$C$26,0))*parametros_manuales!$B$110)*parametros_manuales!$I$27*parametros_manuales!$J$27</f>
        <v>436.70102652</v>
      </c>
      <c r="C37" s="9" t="n">
        <f aca="false">(parametros_manuales!$D$27*(datos_base!$C$2+datos_base!$C$18+IF(parametros_manuales!$H$27="Todos",datos_base!$C$9+datos_base!$C$23,0))*parametros_manuales!$C$95+parametros_manuales!$E$27*(datos_base!$C$3+datos_base!$C$19+IF(parametros_manuales!$H$27="Todos",datos_base!$C$10+datos_base!$C$24,0))*parametros_manuales!$C$100+parametros_manuales!$F$27*(datos_base!$C$4+datos_base!$C$20+IF(parametros_manuales!$H$27="Todos",datos_base!$C$11+datos_base!$C$25,0))*parametros_manuales!$C$105+parametros_manuales!$G$27*(datos_base!$C$5+datos_base!$C$21+IF(parametros_manuales!$H$27="Todos",datos_base!$C$12+datos_base!$C$26,0))*parametros_manuales!$C$110)*parametros_manuales!$I$27*parametros_manuales!$J$27</f>
        <v>388.17869024</v>
      </c>
      <c r="D37" s="9" t="n">
        <f aca="false">(parametros_manuales!$D$27*(datos_base!$C$2+datos_base!$C$18+IF(parametros_manuales!$H$27="Todos",datos_base!$C$9+datos_base!$C$23,0))*parametros_manuales!$D$95+parametros_manuales!$E$27*(datos_base!$C$3+datos_base!$C$19+IF(parametros_manuales!$H$27="Todos",datos_base!$C$10+datos_base!$C$24,0))*parametros_manuales!$D$100+parametros_manuales!$F$27*(datos_base!$C$4+datos_base!$C$20+IF(parametros_manuales!$H$27="Todos",datos_base!$C$11+datos_base!$C$25,0))*parametros_manuales!$D$105+parametros_manuales!$G$27*(datos_base!$C$5+datos_base!$C$21+IF(parametros_manuales!$H$27="Todos",datos_base!$C$12+datos_base!$C$26,0))*parametros_manuales!$D$110)*parametros_manuales!$I$27*parametros_manuales!$J$27</f>
        <v>412.43985838</v>
      </c>
      <c r="E37" s="9" t="n">
        <f aca="false">(parametros_manuales!$D$27*(datos_base!$C$2+datos_base!$C$18+IF(parametros_manuales!$H$27="Todos",datos_base!$C$9+datos_base!$C$23,0))*parametros_manuales!$E$95+parametros_manuales!$E$27*(datos_base!$C$3+datos_base!$C$19+IF(parametros_manuales!$H$27="Todos",datos_base!$C$10+datos_base!$C$24,0))*parametros_manuales!$E$100+parametros_manuales!$F$27*(datos_base!$C$4+datos_base!$C$20+IF(parametros_manuales!$H$27="Todos",datos_base!$C$11+datos_base!$C$25,0))*parametros_manuales!$E$105+parametros_manuales!$G$27*(datos_base!$C$5+datos_base!$C$21+IF(parametros_manuales!$H$27="Todos",datos_base!$C$12+datos_base!$C$26,0))*parametros_manuales!$E$110)*parametros_manuales!$I$27*parametros_manuales!$J$27</f>
        <v>412.43985838</v>
      </c>
      <c r="F37" s="9" t="n">
        <f aca="false">(parametros_manuales!$D$27*(datos_base!$C$2+datos_base!$C$18+IF(parametros_manuales!$H$27="Todos",datos_base!$C$9+datos_base!$C$23,0))*parametros_manuales!$F$95+parametros_manuales!$E$27*(datos_base!$C$3+datos_base!$C$19+IF(parametros_manuales!$H$27="Todos",datos_base!$C$10+datos_base!$C$24,0))*parametros_manuales!$F$100+parametros_manuales!$F$27*(datos_base!$C$4+datos_base!$C$20+IF(parametros_manuales!$H$27="Todos",datos_base!$C$11+datos_base!$C$25,0))*parametros_manuales!$F$105+parametros_manuales!$G$27*(datos_base!$C$5+datos_base!$C$21+IF(parametros_manuales!$H$27="Todos",datos_base!$C$12+datos_base!$C$26,0))*parametros_manuales!$F$110)*parametros_manuales!$I$27*parametros_manuales!$J$27</f>
        <v>388.17869024</v>
      </c>
      <c r="G37" s="9" t="n">
        <f aca="false">(parametros_manuales!$D$27*(datos_base!$C$2+datos_base!$C$18+IF(parametros_manuales!$H$27="Todos",datos_base!$C$9+datos_base!$C$23,0))*parametros_manuales!$G$95+parametros_manuales!$E$27*(datos_base!$C$3+datos_base!$C$19+IF(parametros_manuales!$H$27="Todos",datos_base!$C$10+datos_base!$C$24,0))*parametros_manuales!$G$100+parametros_manuales!$F$27*(datos_base!$C$4+datos_base!$C$20+IF(parametros_manuales!$H$27="Todos",datos_base!$C$11+datos_base!$C$25,0))*parametros_manuales!$G$105+parametros_manuales!$G$27*(datos_base!$C$5+datos_base!$C$21+IF(parametros_manuales!$H$27="Todos",datos_base!$C$12+datos_base!$C$26,0))*parametros_manuales!$G$110)*parametros_manuales!$I$27*parametros_manuales!$J$27</f>
        <v>363.9175221</v>
      </c>
      <c r="H37" s="9" t="n">
        <f aca="false">(parametros_manuales!$D$27*(datos_base!$C$2+datos_base!$C$18+IF(parametros_manuales!$H$27="Todos",datos_base!$C$9+datos_base!$C$23,0))*parametros_manuales!$H$95+parametros_manuales!$E$27*(datos_base!$C$3+datos_base!$C$19+IF(parametros_manuales!$H$27="Todos",datos_base!$C$10+datos_base!$C$24,0))*parametros_manuales!$H$100+parametros_manuales!$F$27*(datos_base!$C$4+datos_base!$C$20+IF(parametros_manuales!$H$27="Todos",datos_base!$C$11+datos_base!$C$25,0))*parametros_manuales!$H$105+parametros_manuales!$G$27*(datos_base!$C$5+datos_base!$C$21+IF(parametros_manuales!$H$27="Todos",datos_base!$C$12+datos_base!$C$26,0))*parametros_manuales!$H$110)*parametros_manuales!$I$27*parametros_manuales!$J$27</f>
        <v>388.17869024</v>
      </c>
      <c r="I37" s="9" t="n">
        <f aca="false">(parametros_manuales!$D$27*(datos_base!$C$2+datos_base!$C$18+IF(parametros_manuales!$H$27="Todos",datos_base!$C$9+datos_base!$C$23,0))*parametros_manuales!$I$95+parametros_manuales!$E$27*(datos_base!$C$3+datos_base!$C$19+IF(parametros_manuales!$H$27="Todos",datos_base!$C$10+datos_base!$C$24,0))*parametros_manuales!$I$100+parametros_manuales!$F$27*(datos_base!$C$4+datos_base!$C$20+IF(parametros_manuales!$H$27="Todos",datos_base!$C$11+datos_base!$C$25,0))*parametros_manuales!$I$105+parametros_manuales!$G$27*(datos_base!$C$5+datos_base!$C$21+IF(parametros_manuales!$H$27="Todos",datos_base!$C$12+datos_base!$C$26,0))*parametros_manuales!$I$110)*parametros_manuales!$I$27*parametros_manuales!$J$27</f>
        <v>388.17869024</v>
      </c>
      <c r="J37" s="9" t="n">
        <f aca="false">(parametros_manuales!$D$27*(datos_base!$C$2+datos_base!$C$18+IF(parametros_manuales!$H$27="Todos",datos_base!$C$9+datos_base!$C$23,0))*parametros_manuales!$J$95+parametros_manuales!$E$27*(datos_base!$C$3+datos_base!$C$19+IF(parametros_manuales!$H$27="Todos",datos_base!$C$10+datos_base!$C$24,0))*parametros_manuales!$J$100+parametros_manuales!$F$27*(datos_base!$C$4+datos_base!$C$20+IF(parametros_manuales!$H$27="Todos",datos_base!$C$11+datos_base!$C$25,0))*parametros_manuales!$J$105+parametros_manuales!$G$27*(datos_base!$C$5+datos_base!$C$21+IF(parametros_manuales!$H$27="Todos",datos_base!$C$12+datos_base!$C$26,0))*parametros_manuales!$J$110)*parametros_manuales!$I$27*parametros_manuales!$J$27</f>
        <v>388.17869024</v>
      </c>
      <c r="K37" s="9" t="n">
        <f aca="false">(parametros_manuales!$D$27*(datos_base!$C$2+datos_base!$C$18+IF(parametros_manuales!$H$27="Todos",datos_base!$C$9+datos_base!$C$23,0))*parametros_manuales!$K$95+parametros_manuales!$E$27*(datos_base!$C$3+datos_base!$C$19+IF(parametros_manuales!$H$27="Todos",datos_base!$C$10+datos_base!$C$24,0))*parametros_manuales!$K$100+parametros_manuales!$F$27*(datos_base!$C$4+datos_base!$C$20+IF(parametros_manuales!$H$27="Todos",datos_base!$C$11+datos_base!$C$25,0))*parametros_manuales!$K$105+parametros_manuales!$G$27*(datos_base!$C$5+datos_base!$C$21+IF(parametros_manuales!$H$27="Todos",datos_base!$C$12+datos_base!$C$26,0))*parametros_manuales!$K$110)*parametros_manuales!$I$27*parametros_manuales!$J$27</f>
        <v>412.43985838</v>
      </c>
      <c r="L37" s="9" t="n">
        <f aca="false">(parametros_manuales!$D$27*(datos_base!$C$2+datos_base!$C$18+IF(parametros_manuales!$H$27="Todos",datos_base!$C$9+datos_base!$C$23,0))*parametros_manuales!$L$95+parametros_manuales!$E$27*(datos_base!$C$3+datos_base!$C$19+IF(parametros_manuales!$H$27="Todos",datos_base!$C$10+datos_base!$C$24,0))*parametros_manuales!$L$100+parametros_manuales!$F$27*(datos_base!$C$4+datos_base!$C$20+IF(parametros_manuales!$H$27="Todos",datos_base!$C$11+datos_base!$C$25,0))*parametros_manuales!$L$105+parametros_manuales!$G$27*(datos_base!$C$5+datos_base!$C$21+IF(parametros_manuales!$H$27="Todos",datos_base!$C$12+datos_base!$C$26,0))*parametros_manuales!$L$110)*parametros_manuales!$I$27*parametros_manuales!$J$27</f>
        <v>436.70102652</v>
      </c>
      <c r="M37" s="9" t="n">
        <f aca="false">(parametros_manuales!$D$27*(datos_base!$C$2+datos_base!$C$18+IF(parametros_manuales!$H$27="Todos",datos_base!$C$9+datos_base!$C$23,0))*parametros_manuales!$M$95+parametros_manuales!$E$27*(datos_base!$C$3+datos_base!$C$19+IF(parametros_manuales!$H$27="Todos",datos_base!$C$10+datos_base!$C$24,0))*parametros_manuales!$M$100+parametros_manuales!$F$27*(datos_base!$C$4+datos_base!$C$20+IF(parametros_manuales!$H$27="Todos",datos_base!$C$11+datos_base!$C$25,0))*parametros_manuales!$M$105+parametros_manuales!$G$27*(datos_base!$C$5+datos_base!$C$21+IF(parametros_manuales!$H$27="Todos",datos_base!$C$12+datos_base!$C$26,0))*parametros_manuales!$M$110)*parametros_manuales!$I$27*parametros_manuales!$J$27</f>
        <v>436.70102652</v>
      </c>
      <c r="N37" s="9" t="n">
        <f aca="false">SUM(B37:M37)</f>
        <v>4852.233628</v>
      </c>
      <c r="O37" s="9" t="n">
        <f aca="false">MAX(B37:M37)</f>
        <v>436.70102652</v>
      </c>
      <c r="P37" s="43" t="n">
        <f aca="false">O37/(parametros_manuales!$B$7)</f>
        <v>2.9113401768</v>
      </c>
      <c r="Q37" s="8" t="str">
        <f aca="false">IF(O37=0,"-",INDEX($B$28:$M$28,MATCH(O37,B37:M37,0)))</f>
        <v>Ene</v>
      </c>
    </row>
    <row r="38" customFormat="false" ht="14.25" hidden="false" customHeight="true" outlineLevel="0" collapsed="false">
      <c r="A38" s="8" t="str">
        <f aca="false">parametros_manuales!$B$28</f>
        <v>Encastre de fondo</v>
      </c>
      <c r="B38" s="9" t="n">
        <f aca="false">(parametros_manuales!$D$28*(datos_base!$C$2+datos_base!$C$18+IF(parametros_manuales!$H$28="Todos",datos_base!$C$9+datos_base!$C$23,0))*parametros_manuales!$B$95+parametros_manuales!$E$28*(datos_base!$C$3+datos_base!$C$19+IF(parametros_manuales!$H$28="Todos",datos_base!$C$10+datos_base!$C$24,0))*parametros_manuales!$B$100+parametros_manuales!$F$28*(datos_base!$C$4+datos_base!$C$20+IF(parametros_manuales!$H$28="Todos",datos_base!$C$11+datos_base!$C$25,0))*parametros_manuales!$B$105+parametros_manuales!$G$28*(datos_base!$C$5+datos_base!$C$21+IF(parametros_manuales!$H$28="Todos",datos_base!$C$12+datos_base!$C$26,0))*parametros_manuales!$B$110)*parametros_manuales!$I$28*parametros_manuales!$J$28</f>
        <v>976.45838445</v>
      </c>
      <c r="C38" s="9" t="n">
        <f aca="false">(parametros_manuales!$D$28*(datos_base!$C$2+datos_base!$C$18+IF(parametros_manuales!$H$28="Todos",datos_base!$C$9+datos_base!$C$23,0))*parametros_manuales!$C$95+parametros_manuales!$E$28*(datos_base!$C$3+datos_base!$C$19+IF(parametros_manuales!$H$28="Todos",datos_base!$C$10+datos_base!$C$24,0))*parametros_manuales!$C$100+parametros_manuales!$F$28*(datos_base!$C$4+datos_base!$C$20+IF(parametros_manuales!$H$28="Todos",datos_base!$C$11+datos_base!$C$25,0))*parametros_manuales!$C$105+parametros_manuales!$G$28*(datos_base!$C$5+datos_base!$C$21+IF(parametros_manuales!$H$28="Todos",datos_base!$C$12+datos_base!$C$26,0))*parametros_manuales!$C$110)*parametros_manuales!$I$28*parametros_manuales!$J$28</f>
        <v>927.93604817</v>
      </c>
      <c r="D38" s="9" t="n">
        <f aca="false">(parametros_manuales!$D$28*(datos_base!$C$2+datos_base!$C$18+IF(parametros_manuales!$H$28="Todos",datos_base!$C$9+datos_base!$C$23,0))*parametros_manuales!$D$95+parametros_manuales!$E$28*(datos_base!$C$3+datos_base!$C$19+IF(parametros_manuales!$H$28="Todos",datos_base!$C$10+datos_base!$C$24,0))*parametros_manuales!$D$100+parametros_manuales!$F$28*(datos_base!$C$4+datos_base!$C$20+IF(parametros_manuales!$H$28="Todos",datos_base!$C$11+datos_base!$C$25,0))*parametros_manuales!$D$105+parametros_manuales!$G$28*(datos_base!$C$5+datos_base!$C$21+IF(parametros_manuales!$H$28="Todos",datos_base!$C$12+datos_base!$C$26,0))*parametros_manuales!$D$110)*parametros_manuales!$I$28*parametros_manuales!$J$28</f>
        <v>892.22417654</v>
      </c>
      <c r="E38" s="9" t="n">
        <f aca="false">(parametros_manuales!$D$28*(datos_base!$C$2+datos_base!$C$18+IF(parametros_manuales!$H$28="Todos",datos_base!$C$9+datos_base!$C$23,0))*parametros_manuales!$E$95+parametros_manuales!$E$28*(datos_base!$C$3+datos_base!$C$19+IF(parametros_manuales!$H$28="Todos",datos_base!$C$10+datos_base!$C$24,0))*parametros_manuales!$E$100+parametros_manuales!$F$28*(datos_base!$C$4+datos_base!$C$20+IF(parametros_manuales!$H$28="Todos",datos_base!$C$11+datos_base!$C$25,0))*parametros_manuales!$E$105+parametros_manuales!$G$28*(datos_base!$C$5+datos_base!$C$21+IF(parametros_manuales!$H$28="Todos",datos_base!$C$12+datos_base!$C$26,0))*parametros_manuales!$E$110)*parametros_manuales!$I$28*parametros_manuales!$J$28</f>
        <v>862.237656655</v>
      </c>
      <c r="F38" s="9" t="n">
        <f aca="false">(parametros_manuales!$D$28*(datos_base!$C$2+datos_base!$C$18+IF(parametros_manuales!$H$28="Todos",datos_base!$C$9+datos_base!$C$23,0))*parametros_manuales!$F$95+parametros_manuales!$E$28*(datos_base!$C$3+datos_base!$C$19+IF(parametros_manuales!$H$28="Todos",datos_base!$C$10+datos_base!$C$24,0))*parametros_manuales!$F$100+parametros_manuales!$F$28*(datos_base!$C$4+datos_base!$C$20+IF(parametros_manuales!$H$28="Todos",datos_base!$C$11+datos_base!$C$25,0))*parametros_manuales!$F$105+parametros_manuales!$G$28*(datos_base!$C$5+datos_base!$C$21+IF(parametros_manuales!$H$28="Todos",datos_base!$C$12+datos_base!$C$26,0))*parametros_manuales!$F$110)*parametros_manuales!$I$28*parametros_manuales!$J$28</f>
        <v>807.98996863</v>
      </c>
      <c r="G38" s="9" t="n">
        <f aca="false">(parametros_manuales!$D$28*(datos_base!$C$2+datos_base!$C$18+IF(parametros_manuales!$H$28="Todos",datos_base!$C$9+datos_base!$C$23,0))*parametros_manuales!$G$95+parametros_manuales!$E$28*(datos_base!$C$3+datos_base!$C$19+IF(parametros_manuales!$H$28="Todos",datos_base!$C$10+datos_base!$C$24,0))*parametros_manuales!$G$100+parametros_manuales!$F$28*(datos_base!$C$4+datos_base!$C$20+IF(parametros_manuales!$H$28="Todos",datos_base!$C$11+datos_base!$C$25,0))*parametros_manuales!$G$105+parametros_manuales!$G$28*(datos_base!$C$5+datos_base!$C$21+IF(parametros_manuales!$H$28="Todos",datos_base!$C$12+datos_base!$C$26,0))*parametros_manuales!$G$110)*parametros_manuales!$I$28*parametros_manuales!$J$28</f>
        <v>783.72880049</v>
      </c>
      <c r="H38" s="9" t="n">
        <f aca="false">(parametros_manuales!$D$28*(datos_base!$C$2+datos_base!$C$18+IF(parametros_manuales!$H$28="Todos",datos_base!$C$9+datos_base!$C$23,0))*parametros_manuales!$H$95+parametros_manuales!$E$28*(datos_base!$C$3+datos_base!$C$19+IF(parametros_manuales!$H$28="Todos",datos_base!$C$10+datos_base!$C$24,0))*parametros_manuales!$H$100+parametros_manuales!$F$28*(datos_base!$C$4+datos_base!$C$20+IF(parametros_manuales!$H$28="Todos",datos_base!$C$11+datos_base!$C$25,0))*parametros_manuales!$H$105+parametros_manuales!$G$28*(datos_base!$C$5+datos_base!$C$21+IF(parametros_manuales!$H$28="Todos",datos_base!$C$12+datos_base!$C$26,0))*parametros_manuales!$H$110)*parametros_manuales!$I$28*parametros_manuales!$J$28</f>
        <v>837.976488515</v>
      </c>
      <c r="I38" s="9" t="n">
        <f aca="false">(parametros_manuales!$D$28*(datos_base!$C$2+datos_base!$C$18+IF(parametros_manuales!$H$28="Todos",datos_base!$C$9+datos_base!$C$23,0))*parametros_manuales!$I$95+parametros_manuales!$E$28*(datos_base!$C$3+datos_base!$C$19+IF(parametros_manuales!$H$28="Todos",datos_base!$C$10+datos_base!$C$24,0))*parametros_manuales!$I$100+parametros_manuales!$F$28*(datos_base!$C$4+datos_base!$C$20+IF(parametros_manuales!$H$28="Todos",datos_base!$C$11+datos_base!$C$25,0))*parametros_manuales!$I$105+parametros_manuales!$G$28*(datos_base!$C$5+datos_base!$C$21+IF(parametros_manuales!$H$28="Todos",datos_base!$C$12+datos_base!$C$26,0))*parametros_manuales!$I$110)*parametros_manuales!$I$28*parametros_manuales!$J$28</f>
        <v>927.93604817</v>
      </c>
      <c r="J38" s="9" t="n">
        <f aca="false">(parametros_manuales!$D$28*(datos_base!$C$2+datos_base!$C$18+IF(parametros_manuales!$H$28="Todos",datos_base!$C$9+datos_base!$C$23,0))*parametros_manuales!$J$95+parametros_manuales!$E$28*(datos_base!$C$3+datos_base!$C$19+IF(parametros_manuales!$H$28="Todos",datos_base!$C$10+datos_base!$C$24,0))*parametros_manuales!$J$100+parametros_manuales!$F$28*(datos_base!$C$4+datos_base!$C$20+IF(parametros_manuales!$H$28="Todos",datos_base!$C$11+datos_base!$C$25,0))*parametros_manuales!$J$105+parametros_manuales!$G$28*(datos_base!$C$5+datos_base!$C$21+IF(parametros_manuales!$H$28="Todos",datos_base!$C$12+datos_base!$C$26,0))*parametros_manuales!$J$110)*parametros_manuales!$I$28*parametros_manuales!$J$28</f>
        <v>927.93604817</v>
      </c>
      <c r="K38" s="9" t="n">
        <f aca="false">(parametros_manuales!$D$28*(datos_base!$C$2+datos_base!$C$18+IF(parametros_manuales!$H$28="Todos",datos_base!$C$9+datos_base!$C$23,0))*parametros_manuales!$K$95+parametros_manuales!$E$28*(datos_base!$C$3+datos_base!$C$19+IF(parametros_manuales!$H$28="Todos",datos_base!$C$10+datos_base!$C$24,0))*parametros_manuales!$K$100+parametros_manuales!$F$28*(datos_base!$C$4+datos_base!$C$20+IF(parametros_manuales!$H$28="Todos",datos_base!$C$11+datos_base!$C$25,0))*parametros_manuales!$K$105+parametros_manuales!$G$28*(datos_base!$C$5+datos_base!$C$21+IF(parametros_manuales!$H$28="Todos",datos_base!$C$12+datos_base!$C$26,0))*parametros_manuales!$K$110)*parametros_manuales!$I$28*parametros_manuales!$J$28</f>
        <v>952.19721631</v>
      </c>
      <c r="L38" s="9" t="n">
        <f aca="false">(parametros_manuales!$D$28*(datos_base!$C$2+datos_base!$C$18+IF(parametros_manuales!$H$28="Todos",datos_base!$C$9+datos_base!$C$23,0))*parametros_manuales!$L$95+parametros_manuales!$E$28*(datos_base!$C$3+datos_base!$C$19+IF(parametros_manuales!$H$28="Todos",datos_base!$C$10+datos_base!$C$24,0))*parametros_manuales!$L$100+parametros_manuales!$F$28*(datos_base!$C$4+datos_base!$C$20+IF(parametros_manuales!$H$28="Todos",datos_base!$C$11+datos_base!$C$25,0))*parametros_manuales!$L$105+parametros_manuales!$G$28*(datos_base!$C$5+datos_base!$C$21+IF(parametros_manuales!$H$28="Todos",datos_base!$C$12+datos_base!$C$26,0))*parametros_manuales!$L$110)*parametros_manuales!$I$28*parametros_manuales!$J$28</f>
        <v>976.45838445</v>
      </c>
      <c r="M38" s="9" t="n">
        <f aca="false">(parametros_manuales!$D$28*(datos_base!$C$2+datos_base!$C$18+IF(parametros_manuales!$H$28="Todos",datos_base!$C$9+datos_base!$C$23,0))*parametros_manuales!$M$95+parametros_manuales!$E$28*(datos_base!$C$3+datos_base!$C$19+IF(parametros_manuales!$H$28="Todos",datos_base!$C$10+datos_base!$C$24,0))*parametros_manuales!$M$100+parametros_manuales!$F$28*(datos_base!$C$4+datos_base!$C$20+IF(parametros_manuales!$H$28="Todos",datos_base!$C$11+datos_base!$C$25,0))*parametros_manuales!$M$105+parametros_manuales!$G$28*(datos_base!$C$5+datos_base!$C$21+IF(parametros_manuales!$H$28="Todos",datos_base!$C$12+datos_base!$C$26,0))*parametros_manuales!$M$110)*parametros_manuales!$I$28*parametros_manuales!$J$28</f>
        <v>976.45838445</v>
      </c>
      <c r="N38" s="9" t="n">
        <f aca="false">SUM(B38:M38)</f>
        <v>10849.537605</v>
      </c>
      <c r="O38" s="9" t="n">
        <f aca="false">MAX(B38:M38)</f>
        <v>976.45838445</v>
      </c>
      <c r="P38" s="43" t="n">
        <f aca="false">O38/(parametros_manuales!$B$7)</f>
        <v>6.509722563</v>
      </c>
      <c r="Q38" s="8" t="str">
        <f aca="false">IF(O38=0,"-",INDEX($B$28:$M$28,MATCH(O38,B38:M38,0)))</f>
        <v>Ene</v>
      </c>
    </row>
    <row r="39" customFormat="false" ht="14.25" hidden="false" customHeight="true" outlineLevel="0" collapsed="false">
      <c r="A39" s="8" t="str">
        <f aca="false">parametros_manuales!$B$29</f>
        <v>Bordoneado</v>
      </c>
      <c r="B39" s="9" t="n">
        <f aca="false">(parametros_manuales!$D$29*(datos_base!$C$2+datos_base!$C$18+IF(parametros_manuales!$H$29="Todos",datos_base!$C$9+datos_base!$C$23,0))*parametros_manuales!$B$95+parametros_manuales!$E$29*(datos_base!$C$3+datos_base!$C$19+IF(parametros_manuales!$H$29="Todos",datos_base!$C$10+datos_base!$C$24,0))*parametros_manuales!$B$100+parametros_manuales!$F$29*(datos_base!$C$4+datos_base!$C$20+IF(parametros_manuales!$H$29="Todos",datos_base!$C$11+datos_base!$C$25,0))*parametros_manuales!$B$105+parametros_manuales!$G$29*(datos_base!$C$5+datos_base!$C$21+IF(parametros_manuales!$H$29="Todos",datos_base!$C$12+datos_base!$C$26,0))*parametros_manuales!$B$110)*parametros_manuales!$I$29*parametros_manuales!$J$29</f>
        <v>976.45838445</v>
      </c>
      <c r="C39" s="9" t="n">
        <f aca="false">(parametros_manuales!$D$29*(datos_base!$C$2+datos_base!$C$18+IF(parametros_manuales!$H$29="Todos",datos_base!$C$9+datos_base!$C$23,0))*parametros_manuales!$C$95+parametros_manuales!$E$29*(datos_base!$C$3+datos_base!$C$19+IF(parametros_manuales!$H$29="Todos",datos_base!$C$10+datos_base!$C$24,0))*parametros_manuales!$C$100+parametros_manuales!$F$29*(datos_base!$C$4+datos_base!$C$20+IF(parametros_manuales!$H$29="Todos",datos_base!$C$11+datos_base!$C$25,0))*parametros_manuales!$C$105+parametros_manuales!$G$29*(datos_base!$C$5+datos_base!$C$21+IF(parametros_manuales!$H$29="Todos",datos_base!$C$12+datos_base!$C$26,0))*parametros_manuales!$C$110)*parametros_manuales!$I$29*parametros_manuales!$J$29</f>
        <v>927.93604817</v>
      </c>
      <c r="D39" s="9" t="n">
        <f aca="false">(parametros_manuales!$D$29*(datos_base!$C$2+datos_base!$C$18+IF(parametros_manuales!$H$29="Todos",datos_base!$C$9+datos_base!$C$23,0))*parametros_manuales!$D$95+parametros_manuales!$E$29*(datos_base!$C$3+datos_base!$C$19+IF(parametros_manuales!$H$29="Todos",datos_base!$C$10+datos_base!$C$24,0))*parametros_manuales!$D$100+parametros_manuales!$F$29*(datos_base!$C$4+datos_base!$C$20+IF(parametros_manuales!$H$29="Todos",datos_base!$C$11+datos_base!$C$25,0))*parametros_manuales!$D$105+parametros_manuales!$G$29*(datos_base!$C$5+datos_base!$C$21+IF(parametros_manuales!$H$29="Todos",datos_base!$C$12+datos_base!$C$26,0))*parametros_manuales!$D$110)*parametros_manuales!$I$29*parametros_manuales!$J$29</f>
        <v>892.22417654</v>
      </c>
      <c r="E39" s="9" t="n">
        <f aca="false">(parametros_manuales!$D$29*(datos_base!$C$2+datos_base!$C$18+IF(parametros_manuales!$H$29="Todos",datos_base!$C$9+datos_base!$C$23,0))*parametros_manuales!$E$95+parametros_manuales!$E$29*(datos_base!$C$3+datos_base!$C$19+IF(parametros_manuales!$H$29="Todos",datos_base!$C$10+datos_base!$C$24,0))*parametros_manuales!$E$100+parametros_manuales!$F$29*(datos_base!$C$4+datos_base!$C$20+IF(parametros_manuales!$H$29="Todos",datos_base!$C$11+datos_base!$C$25,0))*parametros_manuales!$E$105+parametros_manuales!$G$29*(datos_base!$C$5+datos_base!$C$21+IF(parametros_manuales!$H$29="Todos",datos_base!$C$12+datos_base!$C$26,0))*parametros_manuales!$E$110)*parametros_manuales!$I$29*parametros_manuales!$J$29</f>
        <v>862.237656655</v>
      </c>
      <c r="F39" s="9" t="n">
        <f aca="false">(parametros_manuales!$D$29*(datos_base!$C$2+datos_base!$C$18+IF(parametros_manuales!$H$29="Todos",datos_base!$C$9+datos_base!$C$23,0))*parametros_manuales!$F$95+parametros_manuales!$E$29*(datos_base!$C$3+datos_base!$C$19+IF(parametros_manuales!$H$29="Todos",datos_base!$C$10+datos_base!$C$24,0))*parametros_manuales!$F$100+parametros_manuales!$F$29*(datos_base!$C$4+datos_base!$C$20+IF(parametros_manuales!$H$29="Todos",datos_base!$C$11+datos_base!$C$25,0))*parametros_manuales!$F$105+parametros_manuales!$G$29*(datos_base!$C$5+datos_base!$C$21+IF(parametros_manuales!$H$29="Todos",datos_base!$C$12+datos_base!$C$26,0))*parametros_manuales!$F$110)*parametros_manuales!$I$29*parametros_manuales!$J$29</f>
        <v>807.98996863</v>
      </c>
      <c r="G39" s="9" t="n">
        <f aca="false">(parametros_manuales!$D$29*(datos_base!$C$2+datos_base!$C$18+IF(parametros_manuales!$H$29="Todos",datos_base!$C$9+datos_base!$C$23,0))*parametros_manuales!$G$95+parametros_manuales!$E$29*(datos_base!$C$3+datos_base!$C$19+IF(parametros_manuales!$H$29="Todos",datos_base!$C$10+datos_base!$C$24,0))*parametros_manuales!$G$100+parametros_manuales!$F$29*(datos_base!$C$4+datos_base!$C$20+IF(parametros_manuales!$H$29="Todos",datos_base!$C$11+datos_base!$C$25,0))*parametros_manuales!$G$105+parametros_manuales!$G$29*(datos_base!$C$5+datos_base!$C$21+IF(parametros_manuales!$H$29="Todos",datos_base!$C$12+datos_base!$C$26,0))*parametros_manuales!$G$110)*parametros_manuales!$I$29*parametros_manuales!$J$29</f>
        <v>783.72880049</v>
      </c>
      <c r="H39" s="9" t="n">
        <f aca="false">(parametros_manuales!$D$29*(datos_base!$C$2+datos_base!$C$18+IF(parametros_manuales!$H$29="Todos",datos_base!$C$9+datos_base!$C$23,0))*parametros_manuales!$H$95+parametros_manuales!$E$29*(datos_base!$C$3+datos_base!$C$19+IF(parametros_manuales!$H$29="Todos",datos_base!$C$10+datos_base!$C$24,0))*parametros_manuales!$H$100+parametros_manuales!$F$29*(datos_base!$C$4+datos_base!$C$20+IF(parametros_manuales!$H$29="Todos",datos_base!$C$11+datos_base!$C$25,0))*parametros_manuales!$H$105+parametros_manuales!$G$29*(datos_base!$C$5+datos_base!$C$21+IF(parametros_manuales!$H$29="Todos",datos_base!$C$12+datos_base!$C$26,0))*parametros_manuales!$H$110)*parametros_manuales!$I$29*parametros_manuales!$J$29</f>
        <v>837.976488515</v>
      </c>
      <c r="I39" s="9" t="n">
        <f aca="false">(parametros_manuales!$D$29*(datos_base!$C$2+datos_base!$C$18+IF(parametros_manuales!$H$29="Todos",datos_base!$C$9+datos_base!$C$23,0))*parametros_manuales!$I$95+parametros_manuales!$E$29*(datos_base!$C$3+datos_base!$C$19+IF(parametros_manuales!$H$29="Todos",datos_base!$C$10+datos_base!$C$24,0))*parametros_manuales!$I$100+parametros_manuales!$F$29*(datos_base!$C$4+datos_base!$C$20+IF(parametros_manuales!$H$29="Todos",datos_base!$C$11+datos_base!$C$25,0))*parametros_manuales!$I$105+parametros_manuales!$G$29*(datos_base!$C$5+datos_base!$C$21+IF(parametros_manuales!$H$29="Todos",datos_base!$C$12+datos_base!$C$26,0))*parametros_manuales!$I$110)*parametros_manuales!$I$29*parametros_manuales!$J$29</f>
        <v>927.93604817</v>
      </c>
      <c r="J39" s="9" t="n">
        <f aca="false">(parametros_manuales!$D$29*(datos_base!$C$2+datos_base!$C$18+IF(parametros_manuales!$H$29="Todos",datos_base!$C$9+datos_base!$C$23,0))*parametros_manuales!$J$95+parametros_manuales!$E$29*(datos_base!$C$3+datos_base!$C$19+IF(parametros_manuales!$H$29="Todos",datos_base!$C$10+datos_base!$C$24,0))*parametros_manuales!$J$100+parametros_manuales!$F$29*(datos_base!$C$4+datos_base!$C$20+IF(parametros_manuales!$H$29="Todos",datos_base!$C$11+datos_base!$C$25,0))*parametros_manuales!$J$105+parametros_manuales!$G$29*(datos_base!$C$5+datos_base!$C$21+IF(parametros_manuales!$H$29="Todos",datos_base!$C$12+datos_base!$C$26,0))*parametros_manuales!$J$110)*parametros_manuales!$I$29*parametros_manuales!$J$29</f>
        <v>927.93604817</v>
      </c>
      <c r="K39" s="9" t="n">
        <f aca="false">(parametros_manuales!$D$29*(datos_base!$C$2+datos_base!$C$18+IF(parametros_manuales!$H$29="Todos",datos_base!$C$9+datos_base!$C$23,0))*parametros_manuales!$K$95+parametros_manuales!$E$29*(datos_base!$C$3+datos_base!$C$19+IF(parametros_manuales!$H$29="Todos",datos_base!$C$10+datos_base!$C$24,0))*parametros_manuales!$K$100+parametros_manuales!$F$29*(datos_base!$C$4+datos_base!$C$20+IF(parametros_manuales!$H$29="Todos",datos_base!$C$11+datos_base!$C$25,0))*parametros_manuales!$K$105+parametros_manuales!$G$29*(datos_base!$C$5+datos_base!$C$21+IF(parametros_manuales!$H$29="Todos",datos_base!$C$12+datos_base!$C$26,0))*parametros_manuales!$K$110)*parametros_manuales!$I$29*parametros_manuales!$J$29</f>
        <v>952.19721631</v>
      </c>
      <c r="L39" s="9" t="n">
        <f aca="false">(parametros_manuales!$D$29*(datos_base!$C$2+datos_base!$C$18+IF(parametros_manuales!$H$29="Todos",datos_base!$C$9+datos_base!$C$23,0))*parametros_manuales!$L$95+parametros_manuales!$E$29*(datos_base!$C$3+datos_base!$C$19+IF(parametros_manuales!$H$29="Todos",datos_base!$C$10+datos_base!$C$24,0))*parametros_manuales!$L$100+parametros_manuales!$F$29*(datos_base!$C$4+datos_base!$C$20+IF(parametros_manuales!$H$29="Todos",datos_base!$C$11+datos_base!$C$25,0))*parametros_manuales!$L$105+parametros_manuales!$G$29*(datos_base!$C$5+datos_base!$C$21+IF(parametros_manuales!$H$29="Todos",datos_base!$C$12+datos_base!$C$26,0))*parametros_manuales!$L$110)*parametros_manuales!$I$29*parametros_manuales!$J$29</f>
        <v>976.45838445</v>
      </c>
      <c r="M39" s="9" t="n">
        <f aca="false">(parametros_manuales!$D$29*(datos_base!$C$2+datos_base!$C$18+IF(parametros_manuales!$H$29="Todos",datos_base!$C$9+datos_base!$C$23,0))*parametros_manuales!$M$95+parametros_manuales!$E$29*(datos_base!$C$3+datos_base!$C$19+IF(parametros_manuales!$H$29="Todos",datos_base!$C$10+datos_base!$C$24,0))*parametros_manuales!$M$100+parametros_manuales!$F$29*(datos_base!$C$4+datos_base!$C$20+IF(parametros_manuales!$H$29="Todos",datos_base!$C$11+datos_base!$C$25,0))*parametros_manuales!$M$105+parametros_manuales!$G$29*(datos_base!$C$5+datos_base!$C$21+IF(parametros_manuales!$H$29="Todos",datos_base!$C$12+datos_base!$C$26,0))*parametros_manuales!$M$110)*parametros_manuales!$I$29*parametros_manuales!$J$29</f>
        <v>976.45838445</v>
      </c>
      <c r="N39" s="9" t="n">
        <f aca="false">SUM(B39:M39)</f>
        <v>10849.537605</v>
      </c>
      <c r="O39" s="9" t="n">
        <f aca="false">MAX(B39:M39)</f>
        <v>976.45838445</v>
      </c>
      <c r="P39" s="43" t="n">
        <f aca="false">O39/(parametros_manuales!$B$7)</f>
        <v>6.509722563</v>
      </c>
      <c r="Q39" s="8" t="str">
        <f aca="false">IF(O39=0,"-",INDEX($B$28:$M$28,MATCH(O39,B39:M39,0)))</f>
        <v>Ene</v>
      </c>
    </row>
    <row r="40" customFormat="false" ht="14.25" hidden="false" customHeight="true" outlineLevel="0" collapsed="false">
      <c r="A40" s="8" t="str">
        <f aca="false">parametros_manuales!$B$30</f>
        <v>Soldadura circunferencial de cúpula y fondo</v>
      </c>
      <c r="B40" s="9" t="n">
        <f aca="false">(parametros_manuales!$D$30*(datos_base!$C$2+datos_base!$C$18+IF(parametros_manuales!$H$30="Todos",datos_base!$C$9+datos_base!$C$23,0))*parametros_manuales!$B$95+parametros_manuales!$E$30*(datos_base!$C$3+datos_base!$C$19+IF(parametros_manuales!$H$30="Todos",datos_base!$C$10+datos_base!$C$24,0))*parametros_manuales!$B$100+parametros_manuales!$F$30*(datos_base!$C$4+datos_base!$C$20+IF(parametros_manuales!$H$30="Todos",datos_base!$C$11+datos_base!$C$25,0))*parametros_manuales!$B$105+parametros_manuales!$G$30*(datos_base!$C$5+datos_base!$C$21+IF(parametros_manuales!$H$30="Todos",datos_base!$C$12+datos_base!$C$26,0))*parametros_manuales!$B$110)*parametros_manuales!$I$30*parametros_manuales!$J$30</f>
        <v>976.45838445</v>
      </c>
      <c r="C40" s="9" t="n">
        <f aca="false">(parametros_manuales!$D$30*(datos_base!$C$2+datos_base!$C$18+IF(parametros_manuales!$H$30="Todos",datos_base!$C$9+datos_base!$C$23,0))*parametros_manuales!$C$95+parametros_manuales!$E$30*(datos_base!$C$3+datos_base!$C$19+IF(parametros_manuales!$H$30="Todos",datos_base!$C$10+datos_base!$C$24,0))*parametros_manuales!$C$100+parametros_manuales!$F$30*(datos_base!$C$4+datos_base!$C$20+IF(parametros_manuales!$H$30="Todos",datos_base!$C$11+datos_base!$C$25,0))*parametros_manuales!$C$105+parametros_manuales!$G$30*(datos_base!$C$5+datos_base!$C$21+IF(parametros_manuales!$H$30="Todos",datos_base!$C$12+datos_base!$C$26,0))*parametros_manuales!$C$110)*parametros_manuales!$I$30*parametros_manuales!$J$30</f>
        <v>927.93604817</v>
      </c>
      <c r="D40" s="9" t="n">
        <f aca="false">(parametros_manuales!$D$30*(datos_base!$C$2+datos_base!$C$18+IF(parametros_manuales!$H$30="Todos",datos_base!$C$9+datos_base!$C$23,0))*parametros_manuales!$D$95+parametros_manuales!$E$30*(datos_base!$C$3+datos_base!$C$19+IF(parametros_manuales!$H$30="Todos",datos_base!$C$10+datos_base!$C$24,0))*parametros_manuales!$D$100+parametros_manuales!$F$30*(datos_base!$C$4+datos_base!$C$20+IF(parametros_manuales!$H$30="Todos",datos_base!$C$11+datos_base!$C$25,0))*parametros_manuales!$D$105+parametros_manuales!$G$30*(datos_base!$C$5+datos_base!$C$21+IF(parametros_manuales!$H$30="Todos",datos_base!$C$12+datos_base!$C$26,0))*parametros_manuales!$D$110)*parametros_manuales!$I$30*parametros_manuales!$J$30</f>
        <v>892.22417654</v>
      </c>
      <c r="E40" s="9" t="n">
        <f aca="false">(parametros_manuales!$D$30*(datos_base!$C$2+datos_base!$C$18+IF(parametros_manuales!$H$30="Todos",datos_base!$C$9+datos_base!$C$23,0))*parametros_manuales!$E$95+parametros_manuales!$E$30*(datos_base!$C$3+datos_base!$C$19+IF(parametros_manuales!$H$30="Todos",datos_base!$C$10+datos_base!$C$24,0))*parametros_manuales!$E$100+parametros_manuales!$F$30*(datos_base!$C$4+datos_base!$C$20+IF(parametros_manuales!$H$30="Todos",datos_base!$C$11+datos_base!$C$25,0))*parametros_manuales!$E$105+parametros_manuales!$G$30*(datos_base!$C$5+datos_base!$C$21+IF(parametros_manuales!$H$30="Todos",datos_base!$C$12+datos_base!$C$26,0))*parametros_manuales!$E$110)*parametros_manuales!$I$30*parametros_manuales!$J$30</f>
        <v>862.237656655</v>
      </c>
      <c r="F40" s="9" t="n">
        <f aca="false">(parametros_manuales!$D$30*(datos_base!$C$2+datos_base!$C$18+IF(parametros_manuales!$H$30="Todos",datos_base!$C$9+datos_base!$C$23,0))*parametros_manuales!$F$95+parametros_manuales!$E$30*(datos_base!$C$3+datos_base!$C$19+IF(parametros_manuales!$H$30="Todos",datos_base!$C$10+datos_base!$C$24,0))*parametros_manuales!$F$100+parametros_manuales!$F$30*(datos_base!$C$4+datos_base!$C$20+IF(parametros_manuales!$H$30="Todos",datos_base!$C$11+datos_base!$C$25,0))*parametros_manuales!$F$105+parametros_manuales!$G$30*(datos_base!$C$5+datos_base!$C$21+IF(parametros_manuales!$H$30="Todos",datos_base!$C$12+datos_base!$C$26,0))*parametros_manuales!$F$110)*parametros_manuales!$I$30*parametros_manuales!$J$30</f>
        <v>807.98996863</v>
      </c>
      <c r="G40" s="9" t="n">
        <f aca="false">(parametros_manuales!$D$30*(datos_base!$C$2+datos_base!$C$18+IF(parametros_manuales!$H$30="Todos",datos_base!$C$9+datos_base!$C$23,0))*parametros_manuales!$G$95+parametros_manuales!$E$30*(datos_base!$C$3+datos_base!$C$19+IF(parametros_manuales!$H$30="Todos",datos_base!$C$10+datos_base!$C$24,0))*parametros_manuales!$G$100+parametros_manuales!$F$30*(datos_base!$C$4+datos_base!$C$20+IF(parametros_manuales!$H$30="Todos",datos_base!$C$11+datos_base!$C$25,0))*parametros_manuales!$G$105+parametros_manuales!$G$30*(datos_base!$C$5+datos_base!$C$21+IF(parametros_manuales!$H$30="Todos",datos_base!$C$12+datos_base!$C$26,0))*parametros_manuales!$G$110)*parametros_manuales!$I$30*parametros_manuales!$J$30</f>
        <v>783.72880049</v>
      </c>
      <c r="H40" s="9" t="n">
        <f aca="false">(parametros_manuales!$D$30*(datos_base!$C$2+datos_base!$C$18+IF(parametros_manuales!$H$30="Todos",datos_base!$C$9+datos_base!$C$23,0))*parametros_manuales!$H$95+parametros_manuales!$E$30*(datos_base!$C$3+datos_base!$C$19+IF(parametros_manuales!$H$30="Todos",datos_base!$C$10+datos_base!$C$24,0))*parametros_manuales!$H$100+parametros_manuales!$F$30*(datos_base!$C$4+datos_base!$C$20+IF(parametros_manuales!$H$30="Todos",datos_base!$C$11+datos_base!$C$25,0))*parametros_manuales!$H$105+parametros_manuales!$G$30*(datos_base!$C$5+datos_base!$C$21+IF(parametros_manuales!$H$30="Todos",datos_base!$C$12+datos_base!$C$26,0))*parametros_manuales!$H$110)*parametros_manuales!$I$30*parametros_manuales!$J$30</f>
        <v>837.976488515</v>
      </c>
      <c r="I40" s="9" t="n">
        <f aca="false">(parametros_manuales!$D$30*(datos_base!$C$2+datos_base!$C$18+IF(parametros_manuales!$H$30="Todos",datos_base!$C$9+datos_base!$C$23,0))*parametros_manuales!$I$95+parametros_manuales!$E$30*(datos_base!$C$3+datos_base!$C$19+IF(parametros_manuales!$H$30="Todos",datos_base!$C$10+datos_base!$C$24,0))*parametros_manuales!$I$100+parametros_manuales!$F$30*(datos_base!$C$4+datos_base!$C$20+IF(parametros_manuales!$H$30="Todos",datos_base!$C$11+datos_base!$C$25,0))*parametros_manuales!$I$105+parametros_manuales!$G$30*(datos_base!$C$5+datos_base!$C$21+IF(parametros_manuales!$H$30="Todos",datos_base!$C$12+datos_base!$C$26,0))*parametros_manuales!$I$110)*parametros_manuales!$I$30*parametros_manuales!$J$30</f>
        <v>927.93604817</v>
      </c>
      <c r="J40" s="9" t="n">
        <f aca="false">(parametros_manuales!$D$30*(datos_base!$C$2+datos_base!$C$18+IF(parametros_manuales!$H$30="Todos",datos_base!$C$9+datos_base!$C$23,0))*parametros_manuales!$J$95+parametros_manuales!$E$30*(datos_base!$C$3+datos_base!$C$19+IF(parametros_manuales!$H$30="Todos",datos_base!$C$10+datos_base!$C$24,0))*parametros_manuales!$J$100+parametros_manuales!$F$30*(datos_base!$C$4+datos_base!$C$20+IF(parametros_manuales!$H$30="Todos",datos_base!$C$11+datos_base!$C$25,0))*parametros_manuales!$J$105+parametros_manuales!$G$30*(datos_base!$C$5+datos_base!$C$21+IF(parametros_manuales!$H$30="Todos",datos_base!$C$12+datos_base!$C$26,0))*parametros_manuales!$J$110)*parametros_manuales!$I$30*parametros_manuales!$J$30</f>
        <v>927.93604817</v>
      </c>
      <c r="K40" s="9" t="n">
        <f aca="false">(parametros_manuales!$D$30*(datos_base!$C$2+datos_base!$C$18+IF(parametros_manuales!$H$30="Todos",datos_base!$C$9+datos_base!$C$23,0))*parametros_manuales!$K$95+parametros_manuales!$E$30*(datos_base!$C$3+datos_base!$C$19+IF(parametros_manuales!$H$30="Todos",datos_base!$C$10+datos_base!$C$24,0))*parametros_manuales!$K$100+parametros_manuales!$F$30*(datos_base!$C$4+datos_base!$C$20+IF(parametros_manuales!$H$30="Todos",datos_base!$C$11+datos_base!$C$25,0))*parametros_manuales!$K$105+parametros_manuales!$G$30*(datos_base!$C$5+datos_base!$C$21+IF(parametros_manuales!$H$30="Todos",datos_base!$C$12+datos_base!$C$26,0))*parametros_manuales!$K$110)*parametros_manuales!$I$30*parametros_manuales!$J$30</f>
        <v>952.19721631</v>
      </c>
      <c r="L40" s="9" t="n">
        <f aca="false">(parametros_manuales!$D$30*(datos_base!$C$2+datos_base!$C$18+IF(parametros_manuales!$H$30="Todos",datos_base!$C$9+datos_base!$C$23,0))*parametros_manuales!$L$95+parametros_manuales!$E$30*(datos_base!$C$3+datos_base!$C$19+IF(parametros_manuales!$H$30="Todos",datos_base!$C$10+datos_base!$C$24,0))*parametros_manuales!$L$100+parametros_manuales!$F$30*(datos_base!$C$4+datos_base!$C$20+IF(parametros_manuales!$H$30="Todos",datos_base!$C$11+datos_base!$C$25,0))*parametros_manuales!$L$105+parametros_manuales!$G$30*(datos_base!$C$5+datos_base!$C$21+IF(parametros_manuales!$H$30="Todos",datos_base!$C$12+datos_base!$C$26,0))*parametros_manuales!$L$110)*parametros_manuales!$I$30*parametros_manuales!$J$30</f>
        <v>976.45838445</v>
      </c>
      <c r="M40" s="9" t="n">
        <f aca="false">(parametros_manuales!$D$30*(datos_base!$C$2+datos_base!$C$18+IF(parametros_manuales!$H$30="Todos",datos_base!$C$9+datos_base!$C$23,0))*parametros_manuales!$M$95+parametros_manuales!$E$30*(datos_base!$C$3+datos_base!$C$19+IF(parametros_manuales!$H$30="Todos",datos_base!$C$10+datos_base!$C$24,0))*parametros_manuales!$M$100+parametros_manuales!$F$30*(datos_base!$C$4+datos_base!$C$20+IF(parametros_manuales!$H$30="Todos",datos_base!$C$11+datos_base!$C$25,0))*parametros_manuales!$M$105+parametros_manuales!$G$30*(datos_base!$C$5+datos_base!$C$21+IF(parametros_manuales!$H$30="Todos",datos_base!$C$12+datos_base!$C$26,0))*parametros_manuales!$M$110)*parametros_manuales!$I$30*parametros_manuales!$J$30</f>
        <v>976.45838445</v>
      </c>
      <c r="N40" s="9" t="n">
        <f aca="false">SUM(B40:M40)</f>
        <v>10849.537605</v>
      </c>
      <c r="O40" s="9" t="n">
        <f aca="false">MAX(B40:M40)</f>
        <v>976.45838445</v>
      </c>
      <c r="P40" s="43" t="n">
        <f aca="false">O40/(parametros_manuales!$B$7)</f>
        <v>6.509722563</v>
      </c>
      <c r="Q40" s="8" t="str">
        <f aca="false">IF(O40=0,"-",INDEX($B$28:$M$28,MATCH(O40,B40:M40,0)))</f>
        <v>Ene</v>
      </c>
    </row>
    <row r="41" customFormat="false" ht="14.25" hidden="false" customHeight="true" outlineLevel="0" collapsed="false">
      <c r="A41" s="8" t="str">
        <f aca="false">parametros_manuales!$B$31</f>
        <v>Control de calidad — Espesor</v>
      </c>
      <c r="B41" s="9" t="n">
        <f aca="false">(parametros_manuales!$D$31*(datos_base!$C$2+datos_base!$C$18+IF(parametros_manuales!$H$31="Todos",datos_base!$C$9+datos_base!$C$23,0))*parametros_manuales!$B$95+parametros_manuales!$E$31*(datos_base!$C$3+datos_base!$C$19+IF(parametros_manuales!$H$31="Todos",datos_base!$C$10+datos_base!$C$24,0))*parametros_manuales!$B$100+parametros_manuales!$F$31*(datos_base!$C$4+datos_base!$C$20+IF(parametros_manuales!$H$31="Todos",datos_base!$C$11+datos_base!$C$25,0))*parametros_manuales!$B$105+parametros_manuales!$G$31*(datos_base!$C$5+datos_base!$C$21+IF(parametros_manuales!$H$31="Todos",datos_base!$C$12+datos_base!$C$26,0))*parametros_manuales!$B$110)*parametros_manuales!$I$31*parametros_manuales!$J$31</f>
        <v>19.529167689</v>
      </c>
      <c r="C41" s="9" t="n">
        <f aca="false">(parametros_manuales!$D$31*(datos_base!$C$2+datos_base!$C$18+IF(parametros_manuales!$H$31="Todos",datos_base!$C$9+datos_base!$C$23,0))*parametros_manuales!$C$95+parametros_manuales!$E$31*(datos_base!$C$3+datos_base!$C$19+IF(parametros_manuales!$H$31="Todos",datos_base!$C$10+datos_base!$C$24,0))*parametros_manuales!$C$100+parametros_manuales!$F$31*(datos_base!$C$4+datos_base!$C$20+IF(parametros_manuales!$H$31="Todos",datos_base!$C$11+datos_base!$C$25,0))*parametros_manuales!$C$105+parametros_manuales!$G$31*(datos_base!$C$5+datos_base!$C$21+IF(parametros_manuales!$H$31="Todos",datos_base!$C$12+datos_base!$C$26,0))*parametros_manuales!$C$110)*parametros_manuales!$I$31*parametros_manuales!$J$31</f>
        <v>18.5587209634</v>
      </c>
      <c r="D41" s="9" t="n">
        <f aca="false">(parametros_manuales!$D$31*(datos_base!$C$2+datos_base!$C$18+IF(parametros_manuales!$H$31="Todos",datos_base!$C$9+datos_base!$C$23,0))*parametros_manuales!$D$95+parametros_manuales!$E$31*(datos_base!$C$3+datos_base!$C$19+IF(parametros_manuales!$H$31="Todos",datos_base!$C$10+datos_base!$C$24,0))*parametros_manuales!$D$100+parametros_manuales!$F$31*(datos_base!$C$4+datos_base!$C$20+IF(parametros_manuales!$H$31="Todos",datos_base!$C$11+datos_base!$C$25,0))*parametros_manuales!$D$105+parametros_manuales!$G$31*(datos_base!$C$5+datos_base!$C$21+IF(parametros_manuales!$H$31="Todos",datos_base!$C$12+datos_base!$C$26,0))*parametros_manuales!$D$110)*parametros_manuales!$I$31*parametros_manuales!$J$31</f>
        <v>17.8444835308</v>
      </c>
      <c r="E41" s="9" t="n">
        <f aca="false">(parametros_manuales!$D$31*(datos_base!$C$2+datos_base!$C$18+IF(parametros_manuales!$H$31="Todos",datos_base!$C$9+datos_base!$C$23,0))*parametros_manuales!$E$95+parametros_manuales!$E$31*(datos_base!$C$3+datos_base!$C$19+IF(parametros_manuales!$H$31="Todos",datos_base!$C$10+datos_base!$C$24,0))*parametros_manuales!$E$100+parametros_manuales!$F$31*(datos_base!$C$4+datos_base!$C$20+IF(parametros_manuales!$H$31="Todos",datos_base!$C$11+datos_base!$C$25,0))*parametros_manuales!$E$105+parametros_manuales!$G$31*(datos_base!$C$5+datos_base!$C$21+IF(parametros_manuales!$H$31="Todos",datos_base!$C$12+datos_base!$C$26,0))*parametros_manuales!$E$110)*parametros_manuales!$I$31*parametros_manuales!$J$31</f>
        <v>17.2447531331</v>
      </c>
      <c r="F41" s="9" t="n">
        <f aca="false">(parametros_manuales!$D$31*(datos_base!$C$2+datos_base!$C$18+IF(parametros_manuales!$H$31="Todos",datos_base!$C$9+datos_base!$C$23,0))*parametros_manuales!$F$95+parametros_manuales!$E$31*(datos_base!$C$3+datos_base!$C$19+IF(parametros_manuales!$H$31="Todos",datos_base!$C$10+datos_base!$C$24,0))*parametros_manuales!$F$100+parametros_manuales!$F$31*(datos_base!$C$4+datos_base!$C$20+IF(parametros_manuales!$H$31="Todos",datos_base!$C$11+datos_base!$C$25,0))*parametros_manuales!$F$105+parametros_manuales!$G$31*(datos_base!$C$5+datos_base!$C$21+IF(parametros_manuales!$H$31="Todos",datos_base!$C$12+datos_base!$C$26,0))*parametros_manuales!$F$110)*parametros_manuales!$I$31*parametros_manuales!$J$31</f>
        <v>16.1597993726</v>
      </c>
      <c r="G41" s="9" t="n">
        <f aca="false">(parametros_manuales!$D$31*(datos_base!$C$2+datos_base!$C$18+IF(parametros_manuales!$H$31="Todos",datos_base!$C$9+datos_base!$C$23,0))*parametros_manuales!$G$95+parametros_manuales!$E$31*(datos_base!$C$3+datos_base!$C$19+IF(parametros_manuales!$H$31="Todos",datos_base!$C$10+datos_base!$C$24,0))*parametros_manuales!$G$100+parametros_manuales!$F$31*(datos_base!$C$4+datos_base!$C$20+IF(parametros_manuales!$H$31="Todos",datos_base!$C$11+datos_base!$C$25,0))*parametros_manuales!$G$105+parametros_manuales!$G$31*(datos_base!$C$5+datos_base!$C$21+IF(parametros_manuales!$H$31="Todos",datos_base!$C$12+datos_base!$C$26,0))*parametros_manuales!$G$110)*parametros_manuales!$I$31*parametros_manuales!$J$31</f>
        <v>15.6745760098</v>
      </c>
      <c r="H41" s="9" t="n">
        <f aca="false">(parametros_manuales!$D$31*(datos_base!$C$2+datos_base!$C$18+IF(parametros_manuales!$H$31="Todos",datos_base!$C$9+datos_base!$C$23,0))*parametros_manuales!$H$95+parametros_manuales!$E$31*(datos_base!$C$3+datos_base!$C$19+IF(parametros_manuales!$H$31="Todos",datos_base!$C$10+datos_base!$C$24,0))*parametros_manuales!$H$100+parametros_manuales!$F$31*(datos_base!$C$4+datos_base!$C$20+IF(parametros_manuales!$H$31="Todos",datos_base!$C$11+datos_base!$C$25,0))*parametros_manuales!$H$105+parametros_manuales!$G$31*(datos_base!$C$5+datos_base!$C$21+IF(parametros_manuales!$H$31="Todos",datos_base!$C$12+datos_base!$C$26,0))*parametros_manuales!$H$110)*parametros_manuales!$I$31*parametros_manuales!$J$31</f>
        <v>16.7595297703</v>
      </c>
      <c r="I41" s="9" t="n">
        <f aca="false">(parametros_manuales!$D$31*(datos_base!$C$2+datos_base!$C$18+IF(parametros_manuales!$H$31="Todos",datos_base!$C$9+datos_base!$C$23,0))*parametros_manuales!$I$95+parametros_manuales!$E$31*(datos_base!$C$3+datos_base!$C$19+IF(parametros_manuales!$H$31="Todos",datos_base!$C$10+datos_base!$C$24,0))*parametros_manuales!$I$100+parametros_manuales!$F$31*(datos_base!$C$4+datos_base!$C$20+IF(parametros_manuales!$H$31="Todos",datos_base!$C$11+datos_base!$C$25,0))*parametros_manuales!$I$105+parametros_manuales!$G$31*(datos_base!$C$5+datos_base!$C$21+IF(parametros_manuales!$H$31="Todos",datos_base!$C$12+datos_base!$C$26,0))*parametros_manuales!$I$110)*parametros_manuales!$I$31*parametros_manuales!$J$31</f>
        <v>18.5587209634</v>
      </c>
      <c r="J41" s="9" t="n">
        <f aca="false">(parametros_manuales!$D$31*(datos_base!$C$2+datos_base!$C$18+IF(parametros_manuales!$H$31="Todos",datos_base!$C$9+datos_base!$C$23,0))*parametros_manuales!$J$95+parametros_manuales!$E$31*(datos_base!$C$3+datos_base!$C$19+IF(parametros_manuales!$H$31="Todos",datos_base!$C$10+datos_base!$C$24,0))*parametros_manuales!$J$100+parametros_manuales!$F$31*(datos_base!$C$4+datos_base!$C$20+IF(parametros_manuales!$H$31="Todos",datos_base!$C$11+datos_base!$C$25,0))*parametros_manuales!$J$105+parametros_manuales!$G$31*(datos_base!$C$5+datos_base!$C$21+IF(parametros_manuales!$H$31="Todos",datos_base!$C$12+datos_base!$C$26,0))*parametros_manuales!$J$110)*parametros_manuales!$I$31*parametros_manuales!$J$31</f>
        <v>18.5587209634</v>
      </c>
      <c r="K41" s="9" t="n">
        <f aca="false">(parametros_manuales!$D$31*(datos_base!$C$2+datos_base!$C$18+IF(parametros_manuales!$H$31="Todos",datos_base!$C$9+datos_base!$C$23,0))*parametros_manuales!$K$95+parametros_manuales!$E$31*(datos_base!$C$3+datos_base!$C$19+IF(parametros_manuales!$H$31="Todos",datos_base!$C$10+datos_base!$C$24,0))*parametros_manuales!$K$100+parametros_manuales!$F$31*(datos_base!$C$4+datos_base!$C$20+IF(parametros_manuales!$H$31="Todos",datos_base!$C$11+datos_base!$C$25,0))*parametros_manuales!$K$105+parametros_manuales!$G$31*(datos_base!$C$5+datos_base!$C$21+IF(parametros_manuales!$H$31="Todos",datos_base!$C$12+datos_base!$C$26,0))*parametros_manuales!$K$110)*parametros_manuales!$I$31*parametros_manuales!$J$31</f>
        <v>19.0439443262</v>
      </c>
      <c r="L41" s="9" t="n">
        <f aca="false">(parametros_manuales!$D$31*(datos_base!$C$2+datos_base!$C$18+IF(parametros_manuales!$H$31="Todos",datos_base!$C$9+datos_base!$C$23,0))*parametros_manuales!$L$95+parametros_manuales!$E$31*(datos_base!$C$3+datos_base!$C$19+IF(parametros_manuales!$H$31="Todos",datos_base!$C$10+datos_base!$C$24,0))*parametros_manuales!$L$100+parametros_manuales!$F$31*(datos_base!$C$4+datos_base!$C$20+IF(parametros_manuales!$H$31="Todos",datos_base!$C$11+datos_base!$C$25,0))*parametros_manuales!$L$105+parametros_manuales!$G$31*(datos_base!$C$5+datos_base!$C$21+IF(parametros_manuales!$H$31="Todos",datos_base!$C$12+datos_base!$C$26,0))*parametros_manuales!$L$110)*parametros_manuales!$I$31*parametros_manuales!$J$31</f>
        <v>19.529167689</v>
      </c>
      <c r="M41" s="9" t="n">
        <f aca="false">(parametros_manuales!$D$31*(datos_base!$C$2+datos_base!$C$18+IF(parametros_manuales!$H$31="Todos",datos_base!$C$9+datos_base!$C$23,0))*parametros_manuales!$M$95+parametros_manuales!$E$31*(datos_base!$C$3+datos_base!$C$19+IF(parametros_manuales!$H$31="Todos",datos_base!$C$10+datos_base!$C$24,0))*parametros_manuales!$M$100+parametros_manuales!$F$31*(datos_base!$C$4+datos_base!$C$20+IF(parametros_manuales!$H$31="Todos",datos_base!$C$11+datos_base!$C$25,0))*parametros_manuales!$M$105+parametros_manuales!$G$31*(datos_base!$C$5+datos_base!$C$21+IF(parametros_manuales!$H$31="Todos",datos_base!$C$12+datos_base!$C$26,0))*parametros_manuales!$M$110)*parametros_manuales!$I$31*parametros_manuales!$J$31</f>
        <v>19.529167689</v>
      </c>
      <c r="N41" s="9" t="n">
        <f aca="false">SUM(B41:M41)</f>
        <v>216.9907521</v>
      </c>
      <c r="O41" s="9" t="n">
        <f aca="false">MAX(B41:M41)</f>
        <v>19.529167689</v>
      </c>
      <c r="P41" s="43" t="n">
        <f aca="false">O41/(parametros_manuales!$B$7)</f>
        <v>0.13019445126</v>
      </c>
      <c r="Q41" s="8" t="str">
        <f aca="false">IF(O41=0,"-",INDEX($B$28:$M$28,MATCH(O41,B41:M41,0)))</f>
        <v>Ene</v>
      </c>
    </row>
    <row r="42" customFormat="false" ht="14.25" hidden="false" customHeight="true" outlineLevel="0" collapsed="false">
      <c r="A42" s="8" t="str">
        <f aca="false">parametros_manuales!$B$32</f>
        <v>Prueba hidráulica</v>
      </c>
      <c r="B42" s="9" t="n">
        <f aca="false">(parametros_manuales!$D$32*(datos_base!$C$2+datos_base!$C$18+IF(parametros_manuales!$H$32="Todos",datos_base!$C$9+datos_base!$C$23,0))*parametros_manuales!$B$95+parametros_manuales!$E$32*(datos_base!$C$3+datos_base!$C$19+IF(parametros_manuales!$H$32="Todos",datos_base!$C$10+datos_base!$C$24,0))*parametros_manuales!$B$100+parametros_manuales!$F$32*(datos_base!$C$4+datos_base!$C$20+IF(parametros_manuales!$H$32="Todos",datos_base!$C$11+datos_base!$C$25,0))*parametros_manuales!$B$105+parametros_manuales!$G$32*(datos_base!$C$5+datos_base!$C$21+IF(parametros_manuales!$H$32="Todos",datos_base!$C$12+datos_base!$C$26,0))*parametros_manuales!$B$110)*parametros_manuales!$I$32*parametros_manuales!$J$32</f>
        <v>976.45838445</v>
      </c>
      <c r="C42" s="9" t="n">
        <f aca="false">(parametros_manuales!$D$32*(datos_base!$C$2+datos_base!$C$18+IF(parametros_manuales!$H$32="Todos",datos_base!$C$9+datos_base!$C$23,0))*parametros_manuales!$C$95+parametros_manuales!$E$32*(datos_base!$C$3+datos_base!$C$19+IF(parametros_manuales!$H$32="Todos",datos_base!$C$10+datos_base!$C$24,0))*parametros_manuales!$C$100+parametros_manuales!$F$32*(datos_base!$C$4+datos_base!$C$20+IF(parametros_manuales!$H$32="Todos",datos_base!$C$11+datos_base!$C$25,0))*parametros_manuales!$C$105+parametros_manuales!$G$32*(datos_base!$C$5+datos_base!$C$21+IF(parametros_manuales!$H$32="Todos",datos_base!$C$12+datos_base!$C$26,0))*parametros_manuales!$C$110)*parametros_manuales!$I$32*parametros_manuales!$J$32</f>
        <v>927.93604817</v>
      </c>
      <c r="D42" s="9" t="n">
        <f aca="false">(parametros_manuales!$D$32*(datos_base!$C$2+datos_base!$C$18+IF(parametros_manuales!$H$32="Todos",datos_base!$C$9+datos_base!$C$23,0))*parametros_manuales!$D$95+parametros_manuales!$E$32*(datos_base!$C$3+datos_base!$C$19+IF(parametros_manuales!$H$32="Todos",datos_base!$C$10+datos_base!$C$24,0))*parametros_manuales!$D$100+parametros_manuales!$F$32*(datos_base!$C$4+datos_base!$C$20+IF(parametros_manuales!$H$32="Todos",datos_base!$C$11+datos_base!$C$25,0))*parametros_manuales!$D$105+parametros_manuales!$G$32*(datos_base!$C$5+datos_base!$C$21+IF(parametros_manuales!$H$32="Todos",datos_base!$C$12+datos_base!$C$26,0))*parametros_manuales!$D$110)*parametros_manuales!$I$32*parametros_manuales!$J$32</f>
        <v>892.22417654</v>
      </c>
      <c r="E42" s="9" t="n">
        <f aca="false">(parametros_manuales!$D$32*(datos_base!$C$2+datos_base!$C$18+IF(parametros_manuales!$H$32="Todos",datos_base!$C$9+datos_base!$C$23,0))*parametros_manuales!$E$95+parametros_manuales!$E$32*(datos_base!$C$3+datos_base!$C$19+IF(parametros_manuales!$H$32="Todos",datos_base!$C$10+datos_base!$C$24,0))*parametros_manuales!$E$100+parametros_manuales!$F$32*(datos_base!$C$4+datos_base!$C$20+IF(parametros_manuales!$H$32="Todos",datos_base!$C$11+datos_base!$C$25,0))*parametros_manuales!$E$105+parametros_manuales!$G$32*(datos_base!$C$5+datos_base!$C$21+IF(parametros_manuales!$H$32="Todos",datos_base!$C$12+datos_base!$C$26,0))*parametros_manuales!$E$110)*parametros_manuales!$I$32*parametros_manuales!$J$32</f>
        <v>862.237656655</v>
      </c>
      <c r="F42" s="9" t="n">
        <f aca="false">(parametros_manuales!$D$32*(datos_base!$C$2+datos_base!$C$18+IF(parametros_manuales!$H$32="Todos",datos_base!$C$9+datos_base!$C$23,0))*parametros_manuales!$F$95+parametros_manuales!$E$32*(datos_base!$C$3+datos_base!$C$19+IF(parametros_manuales!$H$32="Todos",datos_base!$C$10+datos_base!$C$24,0))*parametros_manuales!$F$100+parametros_manuales!$F$32*(datos_base!$C$4+datos_base!$C$20+IF(parametros_manuales!$H$32="Todos",datos_base!$C$11+datos_base!$C$25,0))*parametros_manuales!$F$105+parametros_manuales!$G$32*(datos_base!$C$5+datos_base!$C$21+IF(parametros_manuales!$H$32="Todos",datos_base!$C$12+datos_base!$C$26,0))*parametros_manuales!$F$110)*parametros_manuales!$I$32*parametros_manuales!$J$32</f>
        <v>807.98996863</v>
      </c>
      <c r="G42" s="9" t="n">
        <f aca="false">(parametros_manuales!$D$32*(datos_base!$C$2+datos_base!$C$18+IF(parametros_manuales!$H$32="Todos",datos_base!$C$9+datos_base!$C$23,0))*parametros_manuales!$G$95+parametros_manuales!$E$32*(datos_base!$C$3+datos_base!$C$19+IF(parametros_manuales!$H$32="Todos",datos_base!$C$10+datos_base!$C$24,0))*parametros_manuales!$G$100+parametros_manuales!$F$32*(datos_base!$C$4+datos_base!$C$20+IF(parametros_manuales!$H$32="Todos",datos_base!$C$11+datos_base!$C$25,0))*parametros_manuales!$G$105+parametros_manuales!$G$32*(datos_base!$C$5+datos_base!$C$21+IF(parametros_manuales!$H$32="Todos",datos_base!$C$12+datos_base!$C$26,0))*parametros_manuales!$G$110)*parametros_manuales!$I$32*parametros_manuales!$J$32</f>
        <v>783.72880049</v>
      </c>
      <c r="H42" s="9" t="n">
        <f aca="false">(parametros_manuales!$D$32*(datos_base!$C$2+datos_base!$C$18+IF(parametros_manuales!$H$32="Todos",datos_base!$C$9+datos_base!$C$23,0))*parametros_manuales!$H$95+parametros_manuales!$E$32*(datos_base!$C$3+datos_base!$C$19+IF(parametros_manuales!$H$32="Todos",datos_base!$C$10+datos_base!$C$24,0))*parametros_manuales!$H$100+parametros_manuales!$F$32*(datos_base!$C$4+datos_base!$C$20+IF(parametros_manuales!$H$32="Todos",datos_base!$C$11+datos_base!$C$25,0))*parametros_manuales!$H$105+parametros_manuales!$G$32*(datos_base!$C$5+datos_base!$C$21+IF(parametros_manuales!$H$32="Todos",datos_base!$C$12+datos_base!$C$26,0))*parametros_manuales!$H$110)*parametros_manuales!$I$32*parametros_manuales!$J$32</f>
        <v>837.976488515</v>
      </c>
      <c r="I42" s="9" t="n">
        <f aca="false">(parametros_manuales!$D$32*(datos_base!$C$2+datos_base!$C$18+IF(parametros_manuales!$H$32="Todos",datos_base!$C$9+datos_base!$C$23,0))*parametros_manuales!$I$95+parametros_manuales!$E$32*(datos_base!$C$3+datos_base!$C$19+IF(parametros_manuales!$H$32="Todos",datos_base!$C$10+datos_base!$C$24,0))*parametros_manuales!$I$100+parametros_manuales!$F$32*(datos_base!$C$4+datos_base!$C$20+IF(parametros_manuales!$H$32="Todos",datos_base!$C$11+datos_base!$C$25,0))*parametros_manuales!$I$105+parametros_manuales!$G$32*(datos_base!$C$5+datos_base!$C$21+IF(parametros_manuales!$H$32="Todos",datos_base!$C$12+datos_base!$C$26,0))*parametros_manuales!$I$110)*parametros_manuales!$I$32*parametros_manuales!$J$32</f>
        <v>927.93604817</v>
      </c>
      <c r="J42" s="9" t="n">
        <f aca="false">(parametros_manuales!$D$32*(datos_base!$C$2+datos_base!$C$18+IF(parametros_manuales!$H$32="Todos",datos_base!$C$9+datos_base!$C$23,0))*parametros_manuales!$J$95+parametros_manuales!$E$32*(datos_base!$C$3+datos_base!$C$19+IF(parametros_manuales!$H$32="Todos",datos_base!$C$10+datos_base!$C$24,0))*parametros_manuales!$J$100+parametros_manuales!$F$32*(datos_base!$C$4+datos_base!$C$20+IF(parametros_manuales!$H$32="Todos",datos_base!$C$11+datos_base!$C$25,0))*parametros_manuales!$J$105+parametros_manuales!$G$32*(datos_base!$C$5+datos_base!$C$21+IF(parametros_manuales!$H$32="Todos",datos_base!$C$12+datos_base!$C$26,0))*parametros_manuales!$J$110)*parametros_manuales!$I$32*parametros_manuales!$J$32</f>
        <v>927.93604817</v>
      </c>
      <c r="K42" s="9" t="n">
        <f aca="false">(parametros_manuales!$D$32*(datos_base!$C$2+datos_base!$C$18+IF(parametros_manuales!$H$32="Todos",datos_base!$C$9+datos_base!$C$23,0))*parametros_manuales!$K$95+parametros_manuales!$E$32*(datos_base!$C$3+datos_base!$C$19+IF(parametros_manuales!$H$32="Todos",datos_base!$C$10+datos_base!$C$24,0))*parametros_manuales!$K$100+parametros_manuales!$F$32*(datos_base!$C$4+datos_base!$C$20+IF(parametros_manuales!$H$32="Todos",datos_base!$C$11+datos_base!$C$25,0))*parametros_manuales!$K$105+parametros_manuales!$G$32*(datos_base!$C$5+datos_base!$C$21+IF(parametros_manuales!$H$32="Todos",datos_base!$C$12+datos_base!$C$26,0))*parametros_manuales!$K$110)*parametros_manuales!$I$32*parametros_manuales!$J$32</f>
        <v>952.19721631</v>
      </c>
      <c r="L42" s="9" t="n">
        <f aca="false">(parametros_manuales!$D$32*(datos_base!$C$2+datos_base!$C$18+IF(parametros_manuales!$H$32="Todos",datos_base!$C$9+datos_base!$C$23,0))*parametros_manuales!$L$95+parametros_manuales!$E$32*(datos_base!$C$3+datos_base!$C$19+IF(parametros_manuales!$H$32="Todos",datos_base!$C$10+datos_base!$C$24,0))*parametros_manuales!$L$100+parametros_manuales!$F$32*(datos_base!$C$4+datos_base!$C$20+IF(parametros_manuales!$H$32="Todos",datos_base!$C$11+datos_base!$C$25,0))*parametros_manuales!$L$105+parametros_manuales!$G$32*(datos_base!$C$5+datos_base!$C$21+IF(parametros_manuales!$H$32="Todos",datos_base!$C$12+datos_base!$C$26,0))*parametros_manuales!$L$110)*parametros_manuales!$I$32*parametros_manuales!$J$32</f>
        <v>976.45838445</v>
      </c>
      <c r="M42" s="9" t="n">
        <f aca="false">(parametros_manuales!$D$32*(datos_base!$C$2+datos_base!$C$18+IF(parametros_manuales!$H$32="Todos",datos_base!$C$9+datos_base!$C$23,0))*parametros_manuales!$M$95+parametros_manuales!$E$32*(datos_base!$C$3+datos_base!$C$19+IF(parametros_manuales!$H$32="Todos",datos_base!$C$10+datos_base!$C$24,0))*parametros_manuales!$M$100+parametros_manuales!$F$32*(datos_base!$C$4+datos_base!$C$20+IF(parametros_manuales!$H$32="Todos",datos_base!$C$11+datos_base!$C$25,0))*parametros_manuales!$M$105+parametros_manuales!$G$32*(datos_base!$C$5+datos_base!$C$21+IF(parametros_manuales!$H$32="Todos",datos_base!$C$12+datos_base!$C$26,0))*parametros_manuales!$M$110)*parametros_manuales!$I$32*parametros_manuales!$J$32</f>
        <v>976.45838445</v>
      </c>
      <c r="N42" s="9" t="n">
        <f aca="false">SUM(B42:M42)</f>
        <v>10849.537605</v>
      </c>
      <c r="O42" s="9" t="n">
        <f aca="false">MAX(B42:M42)</f>
        <v>976.45838445</v>
      </c>
      <c r="P42" s="43" t="n">
        <f aca="false">O42/(parametros_manuales!$B$7)</f>
        <v>6.509722563</v>
      </c>
      <c r="Q42" s="8" t="str">
        <f aca="false">IF(O42=0,"-",INDEX($B$28:$M$28,MATCH(O42,B42:M42,0)))</f>
        <v>Ene</v>
      </c>
    </row>
    <row r="43" customFormat="false" ht="14.25" hidden="false" customHeight="true" outlineLevel="0" collapsed="false">
      <c r="A43" s="8" t="str">
        <f aca="false">parametros_manuales!$B$33</f>
        <v>Secado</v>
      </c>
      <c r="B43" s="9" t="n">
        <f aca="false">(parametros_manuales!$D$33*(datos_base!$C$2+datos_base!$C$18+IF(parametros_manuales!$H$33="Todos",datos_base!$C$9+datos_base!$C$23,0))*parametros_manuales!$B$95+parametros_manuales!$E$33*(datos_base!$C$3+datos_base!$C$19+IF(parametros_manuales!$H$33="Todos",datos_base!$C$10+datos_base!$C$24,0))*parametros_manuales!$B$100+parametros_manuales!$F$33*(datos_base!$C$4+datos_base!$C$20+IF(parametros_manuales!$H$33="Todos",datos_base!$C$11+datos_base!$C$25,0))*parametros_manuales!$B$105+parametros_manuales!$G$33*(datos_base!$C$5+datos_base!$C$21+IF(parametros_manuales!$H$33="Todos",datos_base!$C$12+datos_base!$C$26,0))*parametros_manuales!$B$110)*parametros_manuales!$I$33*parametros_manuales!$J$33</f>
        <v>976.45838445</v>
      </c>
      <c r="C43" s="9" t="n">
        <f aca="false">(parametros_manuales!$D$33*(datos_base!$C$2+datos_base!$C$18+IF(parametros_manuales!$H$33="Todos",datos_base!$C$9+datos_base!$C$23,0))*parametros_manuales!$C$95+parametros_manuales!$E$33*(datos_base!$C$3+datos_base!$C$19+IF(parametros_manuales!$H$33="Todos",datos_base!$C$10+datos_base!$C$24,0))*parametros_manuales!$C$100+parametros_manuales!$F$33*(datos_base!$C$4+datos_base!$C$20+IF(parametros_manuales!$H$33="Todos",datos_base!$C$11+datos_base!$C$25,0))*parametros_manuales!$C$105+parametros_manuales!$G$33*(datos_base!$C$5+datos_base!$C$21+IF(parametros_manuales!$H$33="Todos",datos_base!$C$12+datos_base!$C$26,0))*parametros_manuales!$C$110)*parametros_manuales!$I$33*parametros_manuales!$J$33</f>
        <v>927.93604817</v>
      </c>
      <c r="D43" s="9" t="n">
        <f aca="false">(parametros_manuales!$D$33*(datos_base!$C$2+datos_base!$C$18+IF(parametros_manuales!$H$33="Todos",datos_base!$C$9+datos_base!$C$23,0))*parametros_manuales!$D$95+parametros_manuales!$E$33*(datos_base!$C$3+datos_base!$C$19+IF(parametros_manuales!$H$33="Todos",datos_base!$C$10+datos_base!$C$24,0))*parametros_manuales!$D$100+parametros_manuales!$F$33*(datos_base!$C$4+datos_base!$C$20+IF(parametros_manuales!$H$33="Todos",datos_base!$C$11+datos_base!$C$25,0))*parametros_manuales!$D$105+parametros_manuales!$G$33*(datos_base!$C$5+datos_base!$C$21+IF(parametros_manuales!$H$33="Todos",datos_base!$C$12+datos_base!$C$26,0))*parametros_manuales!$D$110)*parametros_manuales!$I$33*parametros_manuales!$J$33</f>
        <v>892.22417654</v>
      </c>
      <c r="E43" s="9" t="n">
        <f aca="false">(parametros_manuales!$D$33*(datos_base!$C$2+datos_base!$C$18+IF(parametros_manuales!$H$33="Todos",datos_base!$C$9+datos_base!$C$23,0))*parametros_manuales!$E$95+parametros_manuales!$E$33*(datos_base!$C$3+datos_base!$C$19+IF(parametros_manuales!$H$33="Todos",datos_base!$C$10+datos_base!$C$24,0))*parametros_manuales!$E$100+parametros_manuales!$F$33*(datos_base!$C$4+datos_base!$C$20+IF(parametros_manuales!$H$33="Todos",datos_base!$C$11+datos_base!$C$25,0))*parametros_manuales!$E$105+parametros_manuales!$G$33*(datos_base!$C$5+datos_base!$C$21+IF(parametros_manuales!$H$33="Todos",datos_base!$C$12+datos_base!$C$26,0))*parametros_manuales!$E$110)*parametros_manuales!$I$33*parametros_manuales!$J$33</f>
        <v>862.237656655</v>
      </c>
      <c r="F43" s="9" t="n">
        <f aca="false">(parametros_manuales!$D$33*(datos_base!$C$2+datos_base!$C$18+IF(parametros_manuales!$H$33="Todos",datos_base!$C$9+datos_base!$C$23,0))*parametros_manuales!$F$95+parametros_manuales!$E$33*(datos_base!$C$3+datos_base!$C$19+IF(parametros_manuales!$H$33="Todos",datos_base!$C$10+datos_base!$C$24,0))*parametros_manuales!$F$100+parametros_manuales!$F$33*(datos_base!$C$4+datos_base!$C$20+IF(parametros_manuales!$H$33="Todos",datos_base!$C$11+datos_base!$C$25,0))*parametros_manuales!$F$105+parametros_manuales!$G$33*(datos_base!$C$5+datos_base!$C$21+IF(parametros_manuales!$H$33="Todos",datos_base!$C$12+datos_base!$C$26,0))*parametros_manuales!$F$110)*parametros_manuales!$I$33*parametros_manuales!$J$33</f>
        <v>807.98996863</v>
      </c>
      <c r="G43" s="9" t="n">
        <f aca="false">(parametros_manuales!$D$33*(datos_base!$C$2+datos_base!$C$18+IF(parametros_manuales!$H$33="Todos",datos_base!$C$9+datos_base!$C$23,0))*parametros_manuales!$G$95+parametros_manuales!$E$33*(datos_base!$C$3+datos_base!$C$19+IF(parametros_manuales!$H$33="Todos",datos_base!$C$10+datos_base!$C$24,0))*parametros_manuales!$G$100+parametros_manuales!$F$33*(datos_base!$C$4+datos_base!$C$20+IF(parametros_manuales!$H$33="Todos",datos_base!$C$11+datos_base!$C$25,0))*parametros_manuales!$G$105+parametros_manuales!$G$33*(datos_base!$C$5+datos_base!$C$21+IF(parametros_manuales!$H$33="Todos",datos_base!$C$12+datos_base!$C$26,0))*parametros_manuales!$G$110)*parametros_manuales!$I$33*parametros_manuales!$J$33</f>
        <v>783.72880049</v>
      </c>
      <c r="H43" s="9" t="n">
        <f aca="false">(parametros_manuales!$D$33*(datos_base!$C$2+datos_base!$C$18+IF(parametros_manuales!$H$33="Todos",datos_base!$C$9+datos_base!$C$23,0))*parametros_manuales!$H$95+parametros_manuales!$E$33*(datos_base!$C$3+datos_base!$C$19+IF(parametros_manuales!$H$33="Todos",datos_base!$C$10+datos_base!$C$24,0))*parametros_manuales!$H$100+parametros_manuales!$F$33*(datos_base!$C$4+datos_base!$C$20+IF(parametros_manuales!$H$33="Todos",datos_base!$C$11+datos_base!$C$25,0))*parametros_manuales!$H$105+parametros_manuales!$G$33*(datos_base!$C$5+datos_base!$C$21+IF(parametros_manuales!$H$33="Todos",datos_base!$C$12+datos_base!$C$26,0))*parametros_manuales!$H$110)*parametros_manuales!$I$33*parametros_manuales!$J$33</f>
        <v>837.976488515</v>
      </c>
      <c r="I43" s="9" t="n">
        <f aca="false">(parametros_manuales!$D$33*(datos_base!$C$2+datos_base!$C$18+IF(parametros_manuales!$H$33="Todos",datos_base!$C$9+datos_base!$C$23,0))*parametros_manuales!$I$95+parametros_manuales!$E$33*(datos_base!$C$3+datos_base!$C$19+IF(parametros_manuales!$H$33="Todos",datos_base!$C$10+datos_base!$C$24,0))*parametros_manuales!$I$100+parametros_manuales!$F$33*(datos_base!$C$4+datos_base!$C$20+IF(parametros_manuales!$H$33="Todos",datos_base!$C$11+datos_base!$C$25,0))*parametros_manuales!$I$105+parametros_manuales!$G$33*(datos_base!$C$5+datos_base!$C$21+IF(parametros_manuales!$H$33="Todos",datos_base!$C$12+datos_base!$C$26,0))*parametros_manuales!$I$110)*parametros_manuales!$I$33*parametros_manuales!$J$33</f>
        <v>927.93604817</v>
      </c>
      <c r="J43" s="9" t="n">
        <f aca="false">(parametros_manuales!$D$33*(datos_base!$C$2+datos_base!$C$18+IF(parametros_manuales!$H$33="Todos",datos_base!$C$9+datos_base!$C$23,0))*parametros_manuales!$J$95+parametros_manuales!$E$33*(datos_base!$C$3+datos_base!$C$19+IF(parametros_manuales!$H$33="Todos",datos_base!$C$10+datos_base!$C$24,0))*parametros_manuales!$J$100+parametros_manuales!$F$33*(datos_base!$C$4+datos_base!$C$20+IF(parametros_manuales!$H$33="Todos",datos_base!$C$11+datos_base!$C$25,0))*parametros_manuales!$J$105+parametros_manuales!$G$33*(datos_base!$C$5+datos_base!$C$21+IF(parametros_manuales!$H$33="Todos",datos_base!$C$12+datos_base!$C$26,0))*parametros_manuales!$J$110)*parametros_manuales!$I$33*parametros_manuales!$J$33</f>
        <v>927.93604817</v>
      </c>
      <c r="K43" s="9" t="n">
        <f aca="false">(parametros_manuales!$D$33*(datos_base!$C$2+datos_base!$C$18+IF(parametros_manuales!$H$33="Todos",datos_base!$C$9+datos_base!$C$23,0))*parametros_manuales!$K$95+parametros_manuales!$E$33*(datos_base!$C$3+datos_base!$C$19+IF(parametros_manuales!$H$33="Todos",datos_base!$C$10+datos_base!$C$24,0))*parametros_manuales!$K$100+parametros_manuales!$F$33*(datos_base!$C$4+datos_base!$C$20+IF(parametros_manuales!$H$33="Todos",datos_base!$C$11+datos_base!$C$25,0))*parametros_manuales!$K$105+parametros_manuales!$G$33*(datos_base!$C$5+datos_base!$C$21+IF(parametros_manuales!$H$33="Todos",datos_base!$C$12+datos_base!$C$26,0))*parametros_manuales!$K$110)*parametros_manuales!$I$33*parametros_manuales!$J$33</f>
        <v>952.19721631</v>
      </c>
      <c r="L43" s="9" t="n">
        <f aca="false">(parametros_manuales!$D$33*(datos_base!$C$2+datos_base!$C$18+IF(parametros_manuales!$H$33="Todos",datos_base!$C$9+datos_base!$C$23,0))*parametros_manuales!$L$95+parametros_manuales!$E$33*(datos_base!$C$3+datos_base!$C$19+IF(parametros_manuales!$H$33="Todos",datos_base!$C$10+datos_base!$C$24,0))*parametros_manuales!$L$100+parametros_manuales!$F$33*(datos_base!$C$4+datos_base!$C$20+IF(parametros_manuales!$H$33="Todos",datos_base!$C$11+datos_base!$C$25,0))*parametros_manuales!$L$105+parametros_manuales!$G$33*(datos_base!$C$5+datos_base!$C$21+IF(parametros_manuales!$H$33="Todos",datos_base!$C$12+datos_base!$C$26,0))*parametros_manuales!$L$110)*parametros_manuales!$I$33*parametros_manuales!$J$33</f>
        <v>976.45838445</v>
      </c>
      <c r="M43" s="9" t="n">
        <f aca="false">(parametros_manuales!$D$33*(datos_base!$C$2+datos_base!$C$18+IF(parametros_manuales!$H$33="Todos",datos_base!$C$9+datos_base!$C$23,0))*parametros_manuales!$M$95+parametros_manuales!$E$33*(datos_base!$C$3+datos_base!$C$19+IF(parametros_manuales!$H$33="Todos",datos_base!$C$10+datos_base!$C$24,0))*parametros_manuales!$M$100+parametros_manuales!$F$33*(datos_base!$C$4+datos_base!$C$20+IF(parametros_manuales!$H$33="Todos",datos_base!$C$11+datos_base!$C$25,0))*parametros_manuales!$M$105+parametros_manuales!$G$33*(datos_base!$C$5+datos_base!$C$21+IF(parametros_manuales!$H$33="Todos",datos_base!$C$12+datos_base!$C$26,0))*parametros_manuales!$M$110)*parametros_manuales!$I$33*parametros_manuales!$J$33</f>
        <v>976.45838445</v>
      </c>
      <c r="N43" s="9" t="n">
        <f aca="false">SUM(B43:M43)</f>
        <v>10849.537605</v>
      </c>
      <c r="O43" s="9" t="n">
        <f aca="false">MAX(B43:M43)</f>
        <v>976.45838445</v>
      </c>
      <c r="P43" s="43" t="n">
        <f aca="false">O43/(parametros_manuales!$B$7)</f>
        <v>6.509722563</v>
      </c>
      <c r="Q43" s="8" t="str">
        <f aca="false">IF(O43=0,"-",INDEX($B$28:$M$28,MATCH(O43,B43:M43,0)))</f>
        <v>Ene</v>
      </c>
    </row>
    <row r="44" customFormat="false" ht="14.25" hidden="false" customHeight="true" outlineLevel="0" collapsed="false">
      <c r="A44" s="8" t="str">
        <f aca="false">parametros_manuales!$B$34</f>
        <v>Granallado</v>
      </c>
      <c r="B44" s="9" t="n">
        <f aca="false">(parametros_manuales!$D$34*(datos_base!$C$2+datos_base!$C$18+IF(parametros_manuales!$H$34="Todos",datos_base!$C$9+datos_base!$C$23,0))*parametros_manuales!$B$95+parametros_manuales!$E$34*(datos_base!$C$3+datos_base!$C$19+IF(parametros_manuales!$H$34="Todos",datos_base!$C$10+datos_base!$C$24,0))*parametros_manuales!$B$100+parametros_manuales!$F$34*(datos_base!$C$4+datos_base!$C$20+IF(parametros_manuales!$H$34="Todos",datos_base!$C$11+datos_base!$C$25,0))*parametros_manuales!$B$105+parametros_manuales!$G$34*(datos_base!$C$5+datos_base!$C$21+IF(parametros_manuales!$H$34="Todos",datos_base!$C$12+datos_base!$C$26,0))*parametros_manuales!$B$110)*parametros_manuales!$I$34*parametros_manuales!$J$34</f>
        <v>976.45838445</v>
      </c>
      <c r="C44" s="9" t="n">
        <f aca="false">(parametros_manuales!$D$34*(datos_base!$C$2+datos_base!$C$18+IF(parametros_manuales!$H$34="Todos",datos_base!$C$9+datos_base!$C$23,0))*parametros_manuales!$C$95+parametros_manuales!$E$34*(datos_base!$C$3+datos_base!$C$19+IF(parametros_manuales!$H$34="Todos",datos_base!$C$10+datos_base!$C$24,0))*parametros_manuales!$C$100+parametros_manuales!$F$34*(datos_base!$C$4+datos_base!$C$20+IF(parametros_manuales!$H$34="Todos",datos_base!$C$11+datos_base!$C$25,0))*parametros_manuales!$C$105+parametros_manuales!$G$34*(datos_base!$C$5+datos_base!$C$21+IF(parametros_manuales!$H$34="Todos",datos_base!$C$12+datos_base!$C$26,0))*parametros_manuales!$C$110)*parametros_manuales!$I$34*parametros_manuales!$J$34</f>
        <v>927.93604817</v>
      </c>
      <c r="D44" s="9" t="n">
        <f aca="false">(parametros_manuales!$D$34*(datos_base!$C$2+datos_base!$C$18+IF(parametros_manuales!$H$34="Todos",datos_base!$C$9+datos_base!$C$23,0))*parametros_manuales!$D$95+parametros_manuales!$E$34*(datos_base!$C$3+datos_base!$C$19+IF(parametros_manuales!$H$34="Todos",datos_base!$C$10+datos_base!$C$24,0))*parametros_manuales!$D$100+parametros_manuales!$F$34*(datos_base!$C$4+datos_base!$C$20+IF(parametros_manuales!$H$34="Todos",datos_base!$C$11+datos_base!$C$25,0))*parametros_manuales!$D$105+parametros_manuales!$G$34*(datos_base!$C$5+datos_base!$C$21+IF(parametros_manuales!$H$34="Todos",datos_base!$C$12+datos_base!$C$26,0))*parametros_manuales!$D$110)*parametros_manuales!$I$34*parametros_manuales!$J$34</f>
        <v>892.22417654</v>
      </c>
      <c r="E44" s="9" t="n">
        <f aca="false">(parametros_manuales!$D$34*(datos_base!$C$2+datos_base!$C$18+IF(parametros_manuales!$H$34="Todos",datos_base!$C$9+datos_base!$C$23,0))*parametros_manuales!$E$95+parametros_manuales!$E$34*(datos_base!$C$3+datos_base!$C$19+IF(parametros_manuales!$H$34="Todos",datos_base!$C$10+datos_base!$C$24,0))*parametros_manuales!$E$100+parametros_manuales!$F$34*(datos_base!$C$4+datos_base!$C$20+IF(parametros_manuales!$H$34="Todos",datos_base!$C$11+datos_base!$C$25,0))*parametros_manuales!$E$105+parametros_manuales!$G$34*(datos_base!$C$5+datos_base!$C$21+IF(parametros_manuales!$H$34="Todos",datos_base!$C$12+datos_base!$C$26,0))*parametros_manuales!$E$110)*parametros_manuales!$I$34*parametros_manuales!$J$34</f>
        <v>862.237656655</v>
      </c>
      <c r="F44" s="9" t="n">
        <f aca="false">(parametros_manuales!$D$34*(datos_base!$C$2+datos_base!$C$18+IF(parametros_manuales!$H$34="Todos",datos_base!$C$9+datos_base!$C$23,0))*parametros_manuales!$F$95+parametros_manuales!$E$34*(datos_base!$C$3+datos_base!$C$19+IF(parametros_manuales!$H$34="Todos",datos_base!$C$10+datos_base!$C$24,0))*parametros_manuales!$F$100+parametros_manuales!$F$34*(datos_base!$C$4+datos_base!$C$20+IF(parametros_manuales!$H$34="Todos",datos_base!$C$11+datos_base!$C$25,0))*parametros_manuales!$F$105+parametros_manuales!$G$34*(datos_base!$C$5+datos_base!$C$21+IF(parametros_manuales!$H$34="Todos",datos_base!$C$12+datos_base!$C$26,0))*parametros_manuales!$F$110)*parametros_manuales!$I$34*parametros_manuales!$J$34</f>
        <v>807.98996863</v>
      </c>
      <c r="G44" s="9" t="n">
        <f aca="false">(parametros_manuales!$D$34*(datos_base!$C$2+datos_base!$C$18+IF(parametros_manuales!$H$34="Todos",datos_base!$C$9+datos_base!$C$23,0))*parametros_manuales!$G$95+parametros_manuales!$E$34*(datos_base!$C$3+datos_base!$C$19+IF(parametros_manuales!$H$34="Todos",datos_base!$C$10+datos_base!$C$24,0))*parametros_manuales!$G$100+parametros_manuales!$F$34*(datos_base!$C$4+datos_base!$C$20+IF(parametros_manuales!$H$34="Todos",datos_base!$C$11+datos_base!$C$25,0))*parametros_manuales!$G$105+parametros_manuales!$G$34*(datos_base!$C$5+datos_base!$C$21+IF(parametros_manuales!$H$34="Todos",datos_base!$C$12+datos_base!$C$26,0))*parametros_manuales!$G$110)*parametros_manuales!$I$34*parametros_manuales!$J$34</f>
        <v>783.72880049</v>
      </c>
      <c r="H44" s="9" t="n">
        <f aca="false">(parametros_manuales!$D$34*(datos_base!$C$2+datos_base!$C$18+IF(parametros_manuales!$H$34="Todos",datos_base!$C$9+datos_base!$C$23,0))*parametros_manuales!$H$95+parametros_manuales!$E$34*(datos_base!$C$3+datos_base!$C$19+IF(parametros_manuales!$H$34="Todos",datos_base!$C$10+datos_base!$C$24,0))*parametros_manuales!$H$100+parametros_manuales!$F$34*(datos_base!$C$4+datos_base!$C$20+IF(parametros_manuales!$H$34="Todos",datos_base!$C$11+datos_base!$C$25,0))*parametros_manuales!$H$105+parametros_manuales!$G$34*(datos_base!$C$5+datos_base!$C$21+IF(parametros_manuales!$H$34="Todos",datos_base!$C$12+datos_base!$C$26,0))*parametros_manuales!$H$110)*parametros_manuales!$I$34*parametros_manuales!$J$34</f>
        <v>837.976488515</v>
      </c>
      <c r="I44" s="9" t="n">
        <f aca="false">(parametros_manuales!$D$34*(datos_base!$C$2+datos_base!$C$18+IF(parametros_manuales!$H$34="Todos",datos_base!$C$9+datos_base!$C$23,0))*parametros_manuales!$I$95+parametros_manuales!$E$34*(datos_base!$C$3+datos_base!$C$19+IF(parametros_manuales!$H$34="Todos",datos_base!$C$10+datos_base!$C$24,0))*parametros_manuales!$I$100+parametros_manuales!$F$34*(datos_base!$C$4+datos_base!$C$20+IF(parametros_manuales!$H$34="Todos",datos_base!$C$11+datos_base!$C$25,0))*parametros_manuales!$I$105+parametros_manuales!$G$34*(datos_base!$C$5+datos_base!$C$21+IF(parametros_manuales!$H$34="Todos",datos_base!$C$12+datos_base!$C$26,0))*parametros_manuales!$I$110)*parametros_manuales!$I$34*parametros_manuales!$J$34</f>
        <v>927.93604817</v>
      </c>
      <c r="J44" s="9" t="n">
        <f aca="false">(parametros_manuales!$D$34*(datos_base!$C$2+datos_base!$C$18+IF(parametros_manuales!$H$34="Todos",datos_base!$C$9+datos_base!$C$23,0))*parametros_manuales!$J$95+parametros_manuales!$E$34*(datos_base!$C$3+datos_base!$C$19+IF(parametros_manuales!$H$34="Todos",datos_base!$C$10+datos_base!$C$24,0))*parametros_manuales!$J$100+parametros_manuales!$F$34*(datos_base!$C$4+datos_base!$C$20+IF(parametros_manuales!$H$34="Todos",datos_base!$C$11+datos_base!$C$25,0))*parametros_manuales!$J$105+parametros_manuales!$G$34*(datos_base!$C$5+datos_base!$C$21+IF(parametros_manuales!$H$34="Todos",datos_base!$C$12+datos_base!$C$26,0))*parametros_manuales!$J$110)*parametros_manuales!$I$34*parametros_manuales!$J$34</f>
        <v>927.93604817</v>
      </c>
      <c r="K44" s="9" t="n">
        <f aca="false">(parametros_manuales!$D$34*(datos_base!$C$2+datos_base!$C$18+IF(parametros_manuales!$H$34="Todos",datos_base!$C$9+datos_base!$C$23,0))*parametros_manuales!$K$95+parametros_manuales!$E$34*(datos_base!$C$3+datos_base!$C$19+IF(parametros_manuales!$H$34="Todos",datos_base!$C$10+datos_base!$C$24,0))*parametros_manuales!$K$100+parametros_manuales!$F$34*(datos_base!$C$4+datos_base!$C$20+IF(parametros_manuales!$H$34="Todos",datos_base!$C$11+datos_base!$C$25,0))*parametros_manuales!$K$105+parametros_manuales!$G$34*(datos_base!$C$5+datos_base!$C$21+IF(parametros_manuales!$H$34="Todos",datos_base!$C$12+datos_base!$C$26,0))*parametros_manuales!$K$110)*parametros_manuales!$I$34*parametros_manuales!$J$34</f>
        <v>952.19721631</v>
      </c>
      <c r="L44" s="9" t="n">
        <f aca="false">(parametros_manuales!$D$34*(datos_base!$C$2+datos_base!$C$18+IF(parametros_manuales!$H$34="Todos",datos_base!$C$9+datos_base!$C$23,0))*parametros_manuales!$L$95+parametros_manuales!$E$34*(datos_base!$C$3+datos_base!$C$19+IF(parametros_manuales!$H$34="Todos",datos_base!$C$10+datos_base!$C$24,0))*parametros_manuales!$L$100+parametros_manuales!$F$34*(datos_base!$C$4+datos_base!$C$20+IF(parametros_manuales!$H$34="Todos",datos_base!$C$11+datos_base!$C$25,0))*parametros_manuales!$L$105+parametros_manuales!$G$34*(datos_base!$C$5+datos_base!$C$21+IF(parametros_manuales!$H$34="Todos",datos_base!$C$12+datos_base!$C$26,0))*parametros_manuales!$L$110)*parametros_manuales!$I$34*parametros_manuales!$J$34</f>
        <v>976.45838445</v>
      </c>
      <c r="M44" s="9" t="n">
        <f aca="false">(parametros_manuales!$D$34*(datos_base!$C$2+datos_base!$C$18+IF(parametros_manuales!$H$34="Todos",datos_base!$C$9+datos_base!$C$23,0))*parametros_manuales!$M$95+parametros_manuales!$E$34*(datos_base!$C$3+datos_base!$C$19+IF(parametros_manuales!$H$34="Todos",datos_base!$C$10+datos_base!$C$24,0))*parametros_manuales!$M$100+parametros_manuales!$F$34*(datos_base!$C$4+datos_base!$C$20+IF(parametros_manuales!$H$34="Todos",datos_base!$C$11+datos_base!$C$25,0))*parametros_manuales!$M$105+parametros_manuales!$G$34*(datos_base!$C$5+datos_base!$C$21+IF(parametros_manuales!$H$34="Todos",datos_base!$C$12+datos_base!$C$26,0))*parametros_manuales!$M$110)*parametros_manuales!$I$34*parametros_manuales!$J$34</f>
        <v>976.45838445</v>
      </c>
      <c r="N44" s="9" t="n">
        <f aca="false">SUM(B44:M44)</f>
        <v>10849.537605</v>
      </c>
      <c r="O44" s="9" t="n">
        <f aca="false">MAX(B44:M44)</f>
        <v>976.45838445</v>
      </c>
      <c r="P44" s="43" t="n">
        <f aca="false">O44/(parametros_manuales!$B$7)</f>
        <v>6.509722563</v>
      </c>
      <c r="Q44" s="8" t="str">
        <f aca="false">IF(O44=0,"-",INDEX($B$28:$M$28,MATCH(O44,B44:M44,0)))</f>
        <v>Ene</v>
      </c>
    </row>
    <row r="45" customFormat="false" ht="14.25" hidden="false" customHeight="true" outlineLevel="0" collapsed="false">
      <c r="A45" s="8" t="str">
        <f aca="false">parametros_manuales!$B$35</f>
        <v>Detección de defectos</v>
      </c>
      <c r="B45" s="9" t="n">
        <f aca="false">(parametros_manuales!$D$35*(datos_base!$C$2+datos_base!$C$18+IF(parametros_manuales!$H$35="Todos",datos_base!$C$9+datos_base!$C$23,0))*parametros_manuales!$B$95+parametros_manuales!$E$35*(datos_base!$C$3+datos_base!$C$19+IF(parametros_manuales!$H$35="Todos",datos_base!$C$10+datos_base!$C$24,0))*parametros_manuales!$B$100+parametros_manuales!$F$35*(datos_base!$C$4+datos_base!$C$20+IF(parametros_manuales!$H$35="Todos",datos_base!$C$11+datos_base!$C$25,0))*parametros_manuales!$B$105+parametros_manuales!$G$35*(datos_base!$C$5+datos_base!$C$21+IF(parametros_manuales!$H$35="Todos",datos_base!$C$12+datos_base!$C$26,0))*parametros_manuales!$B$110)*parametros_manuales!$I$35*parametros_manuales!$J$35</f>
        <v>976.45838445</v>
      </c>
      <c r="C45" s="9" t="n">
        <f aca="false">(parametros_manuales!$D$35*(datos_base!$C$2+datos_base!$C$18+IF(parametros_manuales!$H$35="Todos",datos_base!$C$9+datos_base!$C$23,0))*parametros_manuales!$C$95+parametros_manuales!$E$35*(datos_base!$C$3+datos_base!$C$19+IF(parametros_manuales!$H$35="Todos",datos_base!$C$10+datos_base!$C$24,0))*parametros_manuales!$C$100+parametros_manuales!$F$35*(datos_base!$C$4+datos_base!$C$20+IF(parametros_manuales!$H$35="Todos",datos_base!$C$11+datos_base!$C$25,0))*parametros_manuales!$C$105+parametros_manuales!$G$35*(datos_base!$C$5+datos_base!$C$21+IF(parametros_manuales!$H$35="Todos",datos_base!$C$12+datos_base!$C$26,0))*parametros_manuales!$C$110)*parametros_manuales!$I$35*parametros_manuales!$J$35</f>
        <v>927.93604817</v>
      </c>
      <c r="D45" s="9" t="n">
        <f aca="false">(parametros_manuales!$D$35*(datos_base!$C$2+datos_base!$C$18+IF(parametros_manuales!$H$35="Todos",datos_base!$C$9+datos_base!$C$23,0))*parametros_manuales!$D$95+parametros_manuales!$E$35*(datos_base!$C$3+datos_base!$C$19+IF(parametros_manuales!$H$35="Todos",datos_base!$C$10+datos_base!$C$24,0))*parametros_manuales!$D$100+parametros_manuales!$F$35*(datos_base!$C$4+datos_base!$C$20+IF(parametros_manuales!$H$35="Todos",datos_base!$C$11+datos_base!$C$25,0))*parametros_manuales!$D$105+parametros_manuales!$G$35*(datos_base!$C$5+datos_base!$C$21+IF(parametros_manuales!$H$35="Todos",datos_base!$C$12+datos_base!$C$26,0))*parametros_manuales!$D$110)*parametros_manuales!$I$35*parametros_manuales!$J$35</f>
        <v>892.22417654</v>
      </c>
      <c r="E45" s="9" t="n">
        <f aca="false">(parametros_manuales!$D$35*(datos_base!$C$2+datos_base!$C$18+IF(parametros_manuales!$H$35="Todos",datos_base!$C$9+datos_base!$C$23,0))*parametros_manuales!$E$95+parametros_manuales!$E$35*(datos_base!$C$3+datos_base!$C$19+IF(parametros_manuales!$H$35="Todos",datos_base!$C$10+datos_base!$C$24,0))*parametros_manuales!$E$100+parametros_manuales!$F$35*(datos_base!$C$4+datos_base!$C$20+IF(parametros_manuales!$H$35="Todos",datos_base!$C$11+datos_base!$C$25,0))*parametros_manuales!$E$105+parametros_manuales!$G$35*(datos_base!$C$5+datos_base!$C$21+IF(parametros_manuales!$H$35="Todos",datos_base!$C$12+datos_base!$C$26,0))*parametros_manuales!$E$110)*parametros_manuales!$I$35*parametros_manuales!$J$35</f>
        <v>862.237656655</v>
      </c>
      <c r="F45" s="9" t="n">
        <f aca="false">(parametros_manuales!$D$35*(datos_base!$C$2+datos_base!$C$18+IF(parametros_manuales!$H$35="Todos",datos_base!$C$9+datos_base!$C$23,0))*parametros_manuales!$F$95+parametros_manuales!$E$35*(datos_base!$C$3+datos_base!$C$19+IF(parametros_manuales!$H$35="Todos",datos_base!$C$10+datos_base!$C$24,0))*parametros_manuales!$F$100+parametros_manuales!$F$35*(datos_base!$C$4+datos_base!$C$20+IF(parametros_manuales!$H$35="Todos",datos_base!$C$11+datos_base!$C$25,0))*parametros_manuales!$F$105+parametros_manuales!$G$35*(datos_base!$C$5+datos_base!$C$21+IF(parametros_manuales!$H$35="Todos",datos_base!$C$12+datos_base!$C$26,0))*parametros_manuales!$F$110)*parametros_manuales!$I$35*parametros_manuales!$J$35</f>
        <v>807.98996863</v>
      </c>
      <c r="G45" s="9" t="n">
        <f aca="false">(parametros_manuales!$D$35*(datos_base!$C$2+datos_base!$C$18+IF(parametros_manuales!$H$35="Todos",datos_base!$C$9+datos_base!$C$23,0))*parametros_manuales!$G$95+parametros_manuales!$E$35*(datos_base!$C$3+datos_base!$C$19+IF(parametros_manuales!$H$35="Todos",datos_base!$C$10+datos_base!$C$24,0))*parametros_manuales!$G$100+parametros_manuales!$F$35*(datos_base!$C$4+datos_base!$C$20+IF(parametros_manuales!$H$35="Todos",datos_base!$C$11+datos_base!$C$25,0))*parametros_manuales!$G$105+parametros_manuales!$G$35*(datos_base!$C$5+datos_base!$C$21+IF(parametros_manuales!$H$35="Todos",datos_base!$C$12+datos_base!$C$26,0))*parametros_manuales!$G$110)*parametros_manuales!$I$35*parametros_manuales!$J$35</f>
        <v>783.72880049</v>
      </c>
      <c r="H45" s="9" t="n">
        <f aca="false">(parametros_manuales!$D$35*(datos_base!$C$2+datos_base!$C$18+IF(parametros_manuales!$H$35="Todos",datos_base!$C$9+datos_base!$C$23,0))*parametros_manuales!$H$95+parametros_manuales!$E$35*(datos_base!$C$3+datos_base!$C$19+IF(parametros_manuales!$H$35="Todos",datos_base!$C$10+datos_base!$C$24,0))*parametros_manuales!$H$100+parametros_manuales!$F$35*(datos_base!$C$4+datos_base!$C$20+IF(parametros_manuales!$H$35="Todos",datos_base!$C$11+datos_base!$C$25,0))*parametros_manuales!$H$105+parametros_manuales!$G$35*(datos_base!$C$5+datos_base!$C$21+IF(parametros_manuales!$H$35="Todos",datos_base!$C$12+datos_base!$C$26,0))*parametros_manuales!$H$110)*parametros_manuales!$I$35*parametros_manuales!$J$35</f>
        <v>837.976488515</v>
      </c>
      <c r="I45" s="9" t="n">
        <f aca="false">(parametros_manuales!$D$35*(datos_base!$C$2+datos_base!$C$18+IF(parametros_manuales!$H$35="Todos",datos_base!$C$9+datos_base!$C$23,0))*parametros_manuales!$I$95+parametros_manuales!$E$35*(datos_base!$C$3+datos_base!$C$19+IF(parametros_manuales!$H$35="Todos",datos_base!$C$10+datos_base!$C$24,0))*parametros_manuales!$I$100+parametros_manuales!$F$35*(datos_base!$C$4+datos_base!$C$20+IF(parametros_manuales!$H$35="Todos",datos_base!$C$11+datos_base!$C$25,0))*parametros_manuales!$I$105+parametros_manuales!$G$35*(datos_base!$C$5+datos_base!$C$21+IF(parametros_manuales!$H$35="Todos",datos_base!$C$12+datos_base!$C$26,0))*parametros_manuales!$I$110)*parametros_manuales!$I$35*parametros_manuales!$J$35</f>
        <v>927.93604817</v>
      </c>
      <c r="J45" s="9" t="n">
        <f aca="false">(parametros_manuales!$D$35*(datos_base!$C$2+datos_base!$C$18+IF(parametros_manuales!$H$35="Todos",datos_base!$C$9+datos_base!$C$23,0))*parametros_manuales!$J$95+parametros_manuales!$E$35*(datos_base!$C$3+datos_base!$C$19+IF(parametros_manuales!$H$35="Todos",datos_base!$C$10+datos_base!$C$24,0))*parametros_manuales!$J$100+parametros_manuales!$F$35*(datos_base!$C$4+datos_base!$C$20+IF(parametros_manuales!$H$35="Todos",datos_base!$C$11+datos_base!$C$25,0))*parametros_manuales!$J$105+parametros_manuales!$G$35*(datos_base!$C$5+datos_base!$C$21+IF(parametros_manuales!$H$35="Todos",datos_base!$C$12+datos_base!$C$26,0))*parametros_manuales!$J$110)*parametros_manuales!$I$35*parametros_manuales!$J$35</f>
        <v>927.93604817</v>
      </c>
      <c r="K45" s="9" t="n">
        <f aca="false">(parametros_manuales!$D$35*(datos_base!$C$2+datos_base!$C$18+IF(parametros_manuales!$H$35="Todos",datos_base!$C$9+datos_base!$C$23,0))*parametros_manuales!$K$95+parametros_manuales!$E$35*(datos_base!$C$3+datos_base!$C$19+IF(parametros_manuales!$H$35="Todos",datos_base!$C$10+datos_base!$C$24,0))*parametros_manuales!$K$100+parametros_manuales!$F$35*(datos_base!$C$4+datos_base!$C$20+IF(parametros_manuales!$H$35="Todos",datos_base!$C$11+datos_base!$C$25,0))*parametros_manuales!$K$105+parametros_manuales!$G$35*(datos_base!$C$5+datos_base!$C$21+IF(parametros_manuales!$H$35="Todos",datos_base!$C$12+datos_base!$C$26,0))*parametros_manuales!$K$110)*parametros_manuales!$I$35*parametros_manuales!$J$35</f>
        <v>952.19721631</v>
      </c>
      <c r="L45" s="9" t="n">
        <f aca="false">(parametros_manuales!$D$35*(datos_base!$C$2+datos_base!$C$18+IF(parametros_manuales!$H$35="Todos",datos_base!$C$9+datos_base!$C$23,0))*parametros_manuales!$L$95+parametros_manuales!$E$35*(datos_base!$C$3+datos_base!$C$19+IF(parametros_manuales!$H$35="Todos",datos_base!$C$10+datos_base!$C$24,0))*parametros_manuales!$L$100+parametros_manuales!$F$35*(datos_base!$C$4+datos_base!$C$20+IF(parametros_manuales!$H$35="Todos",datos_base!$C$11+datos_base!$C$25,0))*parametros_manuales!$L$105+parametros_manuales!$G$35*(datos_base!$C$5+datos_base!$C$21+IF(parametros_manuales!$H$35="Todos",datos_base!$C$12+datos_base!$C$26,0))*parametros_manuales!$L$110)*parametros_manuales!$I$35*parametros_manuales!$J$35</f>
        <v>976.45838445</v>
      </c>
      <c r="M45" s="9" t="n">
        <f aca="false">(parametros_manuales!$D$35*(datos_base!$C$2+datos_base!$C$18+IF(parametros_manuales!$H$35="Todos",datos_base!$C$9+datos_base!$C$23,0))*parametros_manuales!$M$95+parametros_manuales!$E$35*(datos_base!$C$3+datos_base!$C$19+IF(parametros_manuales!$H$35="Todos",datos_base!$C$10+datos_base!$C$24,0))*parametros_manuales!$M$100+parametros_manuales!$F$35*(datos_base!$C$4+datos_base!$C$20+IF(parametros_manuales!$H$35="Todos",datos_base!$C$11+datos_base!$C$25,0))*parametros_manuales!$M$105+parametros_manuales!$G$35*(datos_base!$C$5+datos_base!$C$21+IF(parametros_manuales!$H$35="Todos",datos_base!$C$12+datos_base!$C$26,0))*parametros_manuales!$M$110)*parametros_manuales!$I$35*parametros_manuales!$J$35</f>
        <v>976.45838445</v>
      </c>
      <c r="N45" s="9" t="n">
        <f aca="false">SUM(B45:M45)</f>
        <v>10849.537605</v>
      </c>
      <c r="O45" s="9" t="n">
        <f aca="false">MAX(B45:M45)</f>
        <v>976.45838445</v>
      </c>
      <c r="P45" s="43" t="n">
        <f aca="false">O45/(parametros_manuales!$B$7)</f>
        <v>6.509722563</v>
      </c>
      <c r="Q45" s="8" t="str">
        <f aca="false">IF(O45=0,"-",INDEX($B$28:$M$28,MATCH(O45,B45:M45,0)))</f>
        <v>Ene</v>
      </c>
    </row>
    <row r="46" customFormat="false" ht="14.25" hidden="false" customHeight="true" outlineLevel="0" collapsed="false">
      <c r="A46" s="8" t="str">
        <f aca="false">parametros_manuales!$B$36</f>
        <v>Corrección de defectos</v>
      </c>
      <c r="B46" s="9" t="n">
        <f aca="false">(parametros_manuales!$D$36*(datos_base!$C$2+datos_base!$C$18+IF(parametros_manuales!$H$36="Todos",datos_base!$C$9+datos_base!$C$23,0))*parametros_manuales!$B$95+parametros_manuales!$E$36*(datos_base!$C$3+datos_base!$C$19+IF(parametros_manuales!$H$36="Todos",datos_base!$C$10+datos_base!$C$24,0))*parametros_manuales!$B$100+parametros_manuales!$F$36*(datos_base!$C$4+datos_base!$C$20+IF(parametros_manuales!$H$36="Todos",datos_base!$C$11+datos_base!$C$25,0))*parametros_manuales!$B$105+parametros_manuales!$G$36*(datos_base!$C$5+datos_base!$C$21+IF(parametros_manuales!$H$36="Todos",datos_base!$C$12+datos_base!$C$26,0))*parametros_manuales!$B$110)*parametros_manuales!$I$36*parametros_manuales!$J$36</f>
        <v>48.8229192225</v>
      </c>
      <c r="C46" s="9" t="n">
        <f aca="false">(parametros_manuales!$D$36*(datos_base!$C$2+datos_base!$C$18+IF(parametros_manuales!$H$36="Todos",datos_base!$C$9+datos_base!$C$23,0))*parametros_manuales!$C$95+parametros_manuales!$E$36*(datos_base!$C$3+datos_base!$C$19+IF(parametros_manuales!$H$36="Todos",datos_base!$C$10+datos_base!$C$24,0))*parametros_manuales!$C$100+parametros_manuales!$F$36*(datos_base!$C$4+datos_base!$C$20+IF(parametros_manuales!$H$36="Todos",datos_base!$C$11+datos_base!$C$25,0))*parametros_manuales!$C$105+parametros_manuales!$G$36*(datos_base!$C$5+datos_base!$C$21+IF(parametros_manuales!$H$36="Todos",datos_base!$C$12+datos_base!$C$26,0))*parametros_manuales!$C$110)*parametros_manuales!$I$36*parametros_manuales!$J$36</f>
        <v>46.3968024085</v>
      </c>
      <c r="D46" s="9" t="n">
        <f aca="false">(parametros_manuales!$D$36*(datos_base!$C$2+datos_base!$C$18+IF(parametros_manuales!$H$36="Todos",datos_base!$C$9+datos_base!$C$23,0))*parametros_manuales!$D$95+parametros_manuales!$E$36*(datos_base!$C$3+datos_base!$C$19+IF(parametros_manuales!$H$36="Todos",datos_base!$C$10+datos_base!$C$24,0))*parametros_manuales!$D$100+parametros_manuales!$F$36*(datos_base!$C$4+datos_base!$C$20+IF(parametros_manuales!$H$36="Todos",datos_base!$C$11+datos_base!$C$25,0))*parametros_manuales!$D$105+parametros_manuales!$G$36*(datos_base!$C$5+datos_base!$C$21+IF(parametros_manuales!$H$36="Todos",datos_base!$C$12+datos_base!$C$26,0))*parametros_manuales!$D$110)*parametros_manuales!$I$36*parametros_manuales!$J$36</f>
        <v>44.611208827</v>
      </c>
      <c r="E46" s="9" t="n">
        <f aca="false">(parametros_manuales!$D$36*(datos_base!$C$2+datos_base!$C$18+IF(parametros_manuales!$H$36="Todos",datos_base!$C$9+datos_base!$C$23,0))*parametros_manuales!$E$95+parametros_manuales!$E$36*(datos_base!$C$3+datos_base!$C$19+IF(parametros_manuales!$H$36="Todos",datos_base!$C$10+datos_base!$C$24,0))*parametros_manuales!$E$100+parametros_manuales!$F$36*(datos_base!$C$4+datos_base!$C$20+IF(parametros_manuales!$H$36="Todos",datos_base!$C$11+datos_base!$C$25,0))*parametros_manuales!$E$105+parametros_manuales!$G$36*(datos_base!$C$5+datos_base!$C$21+IF(parametros_manuales!$H$36="Todos",datos_base!$C$12+datos_base!$C$26,0))*parametros_manuales!$E$110)*parametros_manuales!$I$36*parametros_manuales!$J$36</f>
        <v>43.11188283275</v>
      </c>
      <c r="F46" s="9" t="n">
        <f aca="false">(parametros_manuales!$D$36*(datos_base!$C$2+datos_base!$C$18+IF(parametros_manuales!$H$36="Todos",datos_base!$C$9+datos_base!$C$23,0))*parametros_manuales!$F$95+parametros_manuales!$E$36*(datos_base!$C$3+datos_base!$C$19+IF(parametros_manuales!$H$36="Todos",datos_base!$C$10+datos_base!$C$24,0))*parametros_manuales!$F$100+parametros_manuales!$F$36*(datos_base!$C$4+datos_base!$C$20+IF(parametros_manuales!$H$36="Todos",datos_base!$C$11+datos_base!$C$25,0))*parametros_manuales!$F$105+parametros_manuales!$G$36*(datos_base!$C$5+datos_base!$C$21+IF(parametros_manuales!$H$36="Todos",datos_base!$C$12+datos_base!$C$26,0))*parametros_manuales!$F$110)*parametros_manuales!$I$36*parametros_manuales!$J$36</f>
        <v>40.3994984315</v>
      </c>
      <c r="G46" s="9" t="n">
        <f aca="false">(parametros_manuales!$D$36*(datos_base!$C$2+datos_base!$C$18+IF(parametros_manuales!$H$36="Todos",datos_base!$C$9+datos_base!$C$23,0))*parametros_manuales!$G$95+parametros_manuales!$E$36*(datos_base!$C$3+datos_base!$C$19+IF(parametros_manuales!$H$36="Todos",datos_base!$C$10+datos_base!$C$24,0))*parametros_manuales!$G$100+parametros_manuales!$F$36*(datos_base!$C$4+datos_base!$C$20+IF(parametros_manuales!$H$36="Todos",datos_base!$C$11+datos_base!$C$25,0))*parametros_manuales!$G$105+parametros_manuales!$G$36*(datos_base!$C$5+datos_base!$C$21+IF(parametros_manuales!$H$36="Todos",datos_base!$C$12+datos_base!$C$26,0))*parametros_manuales!$G$110)*parametros_manuales!$I$36*parametros_manuales!$J$36</f>
        <v>39.1864400245</v>
      </c>
      <c r="H46" s="9" t="n">
        <f aca="false">(parametros_manuales!$D$36*(datos_base!$C$2+datos_base!$C$18+IF(parametros_manuales!$H$36="Todos",datos_base!$C$9+datos_base!$C$23,0))*parametros_manuales!$H$95+parametros_manuales!$E$36*(datos_base!$C$3+datos_base!$C$19+IF(parametros_manuales!$H$36="Todos",datos_base!$C$10+datos_base!$C$24,0))*parametros_manuales!$H$100+parametros_manuales!$F$36*(datos_base!$C$4+datos_base!$C$20+IF(parametros_manuales!$H$36="Todos",datos_base!$C$11+datos_base!$C$25,0))*parametros_manuales!$H$105+parametros_manuales!$G$36*(datos_base!$C$5+datos_base!$C$21+IF(parametros_manuales!$H$36="Todos",datos_base!$C$12+datos_base!$C$26,0))*parametros_manuales!$H$110)*parametros_manuales!$I$36*parametros_manuales!$J$36</f>
        <v>41.89882442575</v>
      </c>
      <c r="I46" s="9" t="n">
        <f aca="false">(parametros_manuales!$D$36*(datos_base!$C$2+datos_base!$C$18+IF(parametros_manuales!$H$36="Todos",datos_base!$C$9+datos_base!$C$23,0))*parametros_manuales!$I$95+parametros_manuales!$E$36*(datos_base!$C$3+datos_base!$C$19+IF(parametros_manuales!$H$36="Todos",datos_base!$C$10+datos_base!$C$24,0))*parametros_manuales!$I$100+parametros_manuales!$F$36*(datos_base!$C$4+datos_base!$C$20+IF(parametros_manuales!$H$36="Todos",datos_base!$C$11+datos_base!$C$25,0))*parametros_manuales!$I$105+parametros_manuales!$G$36*(datos_base!$C$5+datos_base!$C$21+IF(parametros_manuales!$H$36="Todos",datos_base!$C$12+datos_base!$C$26,0))*parametros_manuales!$I$110)*parametros_manuales!$I$36*parametros_manuales!$J$36</f>
        <v>46.3968024085</v>
      </c>
      <c r="J46" s="9" t="n">
        <f aca="false">(parametros_manuales!$D$36*(datos_base!$C$2+datos_base!$C$18+IF(parametros_manuales!$H$36="Todos",datos_base!$C$9+datos_base!$C$23,0))*parametros_manuales!$J$95+parametros_manuales!$E$36*(datos_base!$C$3+datos_base!$C$19+IF(parametros_manuales!$H$36="Todos",datos_base!$C$10+datos_base!$C$24,0))*parametros_manuales!$J$100+parametros_manuales!$F$36*(datos_base!$C$4+datos_base!$C$20+IF(parametros_manuales!$H$36="Todos",datos_base!$C$11+datos_base!$C$25,0))*parametros_manuales!$J$105+parametros_manuales!$G$36*(datos_base!$C$5+datos_base!$C$21+IF(parametros_manuales!$H$36="Todos",datos_base!$C$12+datos_base!$C$26,0))*parametros_manuales!$J$110)*parametros_manuales!$I$36*parametros_manuales!$J$36</f>
        <v>46.3968024085</v>
      </c>
      <c r="K46" s="9" t="n">
        <f aca="false">(parametros_manuales!$D$36*(datos_base!$C$2+datos_base!$C$18+IF(parametros_manuales!$H$36="Todos",datos_base!$C$9+datos_base!$C$23,0))*parametros_manuales!$K$95+parametros_manuales!$E$36*(datos_base!$C$3+datos_base!$C$19+IF(parametros_manuales!$H$36="Todos",datos_base!$C$10+datos_base!$C$24,0))*parametros_manuales!$K$100+parametros_manuales!$F$36*(datos_base!$C$4+datos_base!$C$20+IF(parametros_manuales!$H$36="Todos",datos_base!$C$11+datos_base!$C$25,0))*parametros_manuales!$K$105+parametros_manuales!$G$36*(datos_base!$C$5+datos_base!$C$21+IF(parametros_manuales!$H$36="Todos",datos_base!$C$12+datos_base!$C$26,0))*parametros_manuales!$K$110)*parametros_manuales!$I$36*parametros_manuales!$J$36</f>
        <v>47.6098608155</v>
      </c>
      <c r="L46" s="9" t="n">
        <f aca="false">(parametros_manuales!$D$36*(datos_base!$C$2+datos_base!$C$18+IF(parametros_manuales!$H$36="Todos",datos_base!$C$9+datos_base!$C$23,0))*parametros_manuales!$L$95+parametros_manuales!$E$36*(datos_base!$C$3+datos_base!$C$19+IF(parametros_manuales!$H$36="Todos",datos_base!$C$10+datos_base!$C$24,0))*parametros_manuales!$L$100+parametros_manuales!$F$36*(datos_base!$C$4+datos_base!$C$20+IF(parametros_manuales!$H$36="Todos",datos_base!$C$11+datos_base!$C$25,0))*parametros_manuales!$L$105+parametros_manuales!$G$36*(datos_base!$C$5+datos_base!$C$21+IF(parametros_manuales!$H$36="Todos",datos_base!$C$12+datos_base!$C$26,0))*parametros_manuales!$L$110)*parametros_manuales!$I$36*parametros_manuales!$J$36</f>
        <v>48.8229192225</v>
      </c>
      <c r="M46" s="9" t="n">
        <f aca="false">(parametros_manuales!$D$36*(datos_base!$C$2+datos_base!$C$18+IF(parametros_manuales!$H$36="Todos",datos_base!$C$9+datos_base!$C$23,0))*parametros_manuales!$M$95+parametros_manuales!$E$36*(datos_base!$C$3+datos_base!$C$19+IF(parametros_manuales!$H$36="Todos",datos_base!$C$10+datos_base!$C$24,0))*parametros_manuales!$M$100+parametros_manuales!$F$36*(datos_base!$C$4+datos_base!$C$20+IF(parametros_manuales!$H$36="Todos",datos_base!$C$11+datos_base!$C$25,0))*parametros_manuales!$M$105+parametros_manuales!$G$36*(datos_base!$C$5+datos_base!$C$21+IF(parametros_manuales!$H$36="Todos",datos_base!$C$12+datos_base!$C$26,0))*parametros_manuales!$M$110)*parametros_manuales!$I$36*parametros_manuales!$J$36</f>
        <v>48.8229192225</v>
      </c>
      <c r="N46" s="9" t="n">
        <f aca="false">SUM(B46:M46)</f>
        <v>542.47688025</v>
      </c>
      <c r="O46" s="9" t="n">
        <f aca="false">MAX(B46:M46)</f>
        <v>48.8229192225</v>
      </c>
      <c r="P46" s="43" t="n">
        <f aca="false">O46/(parametros_manuales!$B$7)</f>
        <v>0.32548612815</v>
      </c>
      <c r="Q46" s="8" t="str">
        <f aca="false">IF(O46=0,"-",INDEX($B$28:$M$28,MATCH(O46,B46:M46,0)))</f>
        <v>Ene</v>
      </c>
    </row>
    <row r="47" customFormat="false" ht="14.25" hidden="false" customHeight="true" outlineLevel="0" collapsed="false">
      <c r="A47" s="8" t="str">
        <f aca="false">parametros_manuales!$B$37</f>
        <v>Pintura en polvo + horno</v>
      </c>
      <c r="B47" s="9" t="n">
        <f aca="false">(parametros_manuales!$D$37*(datos_base!$C$2+datos_base!$C$18+IF(parametros_manuales!$H$37="Todos",datos_base!$C$9+datos_base!$C$23,0))*parametros_manuales!$B$95+parametros_manuales!$E$37*(datos_base!$C$3+datos_base!$C$19+IF(parametros_manuales!$H$37="Todos",datos_base!$C$10+datos_base!$C$24,0))*parametros_manuales!$B$100+parametros_manuales!$F$37*(datos_base!$C$4+datos_base!$C$20+IF(parametros_manuales!$H$37="Todos",datos_base!$C$11+datos_base!$C$25,0))*parametros_manuales!$B$105+parametros_manuales!$G$37*(datos_base!$C$5+datos_base!$C$21+IF(parametros_manuales!$H$37="Todos",datos_base!$C$12+datos_base!$C$26,0))*parametros_manuales!$B$110)*parametros_manuales!$I$37*parametros_manuales!$J$37</f>
        <v>976.45838445</v>
      </c>
      <c r="C47" s="9" t="n">
        <f aca="false">(parametros_manuales!$D$37*(datos_base!$C$2+datos_base!$C$18+IF(parametros_manuales!$H$37="Todos",datos_base!$C$9+datos_base!$C$23,0))*parametros_manuales!$C$95+parametros_manuales!$E$37*(datos_base!$C$3+datos_base!$C$19+IF(parametros_manuales!$H$37="Todos",datos_base!$C$10+datos_base!$C$24,0))*parametros_manuales!$C$100+parametros_manuales!$F$37*(datos_base!$C$4+datos_base!$C$20+IF(parametros_manuales!$H$37="Todos",datos_base!$C$11+datos_base!$C$25,0))*parametros_manuales!$C$105+parametros_manuales!$G$37*(datos_base!$C$5+datos_base!$C$21+IF(parametros_manuales!$H$37="Todos",datos_base!$C$12+datos_base!$C$26,0))*parametros_manuales!$C$110)*parametros_manuales!$I$37*parametros_manuales!$J$37</f>
        <v>927.93604817</v>
      </c>
      <c r="D47" s="9" t="n">
        <f aca="false">(parametros_manuales!$D$37*(datos_base!$C$2+datos_base!$C$18+IF(parametros_manuales!$H$37="Todos",datos_base!$C$9+datos_base!$C$23,0))*parametros_manuales!$D$95+parametros_manuales!$E$37*(datos_base!$C$3+datos_base!$C$19+IF(parametros_manuales!$H$37="Todos",datos_base!$C$10+datos_base!$C$24,0))*parametros_manuales!$D$100+parametros_manuales!$F$37*(datos_base!$C$4+datos_base!$C$20+IF(parametros_manuales!$H$37="Todos",datos_base!$C$11+datos_base!$C$25,0))*parametros_manuales!$D$105+parametros_manuales!$G$37*(datos_base!$C$5+datos_base!$C$21+IF(parametros_manuales!$H$37="Todos",datos_base!$C$12+datos_base!$C$26,0))*parametros_manuales!$D$110)*parametros_manuales!$I$37*parametros_manuales!$J$37</f>
        <v>892.22417654</v>
      </c>
      <c r="E47" s="9" t="n">
        <f aca="false">(parametros_manuales!$D$37*(datos_base!$C$2+datos_base!$C$18+IF(parametros_manuales!$H$37="Todos",datos_base!$C$9+datos_base!$C$23,0))*parametros_manuales!$E$95+parametros_manuales!$E$37*(datos_base!$C$3+datos_base!$C$19+IF(parametros_manuales!$H$37="Todos",datos_base!$C$10+datos_base!$C$24,0))*parametros_manuales!$E$100+parametros_manuales!$F$37*(datos_base!$C$4+datos_base!$C$20+IF(parametros_manuales!$H$37="Todos",datos_base!$C$11+datos_base!$C$25,0))*parametros_manuales!$E$105+parametros_manuales!$G$37*(datos_base!$C$5+datos_base!$C$21+IF(parametros_manuales!$H$37="Todos",datos_base!$C$12+datos_base!$C$26,0))*parametros_manuales!$E$110)*parametros_manuales!$I$37*parametros_manuales!$J$37</f>
        <v>862.237656655</v>
      </c>
      <c r="F47" s="9" t="n">
        <f aca="false">(parametros_manuales!$D$37*(datos_base!$C$2+datos_base!$C$18+IF(parametros_manuales!$H$37="Todos",datos_base!$C$9+datos_base!$C$23,0))*parametros_manuales!$F$95+parametros_manuales!$E$37*(datos_base!$C$3+datos_base!$C$19+IF(parametros_manuales!$H$37="Todos",datos_base!$C$10+datos_base!$C$24,0))*parametros_manuales!$F$100+parametros_manuales!$F$37*(datos_base!$C$4+datos_base!$C$20+IF(parametros_manuales!$H$37="Todos",datos_base!$C$11+datos_base!$C$25,0))*parametros_manuales!$F$105+parametros_manuales!$G$37*(datos_base!$C$5+datos_base!$C$21+IF(parametros_manuales!$H$37="Todos",datos_base!$C$12+datos_base!$C$26,0))*parametros_manuales!$F$110)*parametros_manuales!$I$37*parametros_manuales!$J$37</f>
        <v>807.98996863</v>
      </c>
      <c r="G47" s="9" t="n">
        <f aca="false">(parametros_manuales!$D$37*(datos_base!$C$2+datos_base!$C$18+IF(parametros_manuales!$H$37="Todos",datos_base!$C$9+datos_base!$C$23,0))*parametros_manuales!$G$95+parametros_manuales!$E$37*(datos_base!$C$3+datos_base!$C$19+IF(parametros_manuales!$H$37="Todos",datos_base!$C$10+datos_base!$C$24,0))*parametros_manuales!$G$100+parametros_manuales!$F$37*(datos_base!$C$4+datos_base!$C$20+IF(parametros_manuales!$H$37="Todos",datos_base!$C$11+datos_base!$C$25,0))*parametros_manuales!$G$105+parametros_manuales!$G$37*(datos_base!$C$5+datos_base!$C$21+IF(parametros_manuales!$H$37="Todos",datos_base!$C$12+datos_base!$C$26,0))*parametros_manuales!$G$110)*parametros_manuales!$I$37*parametros_manuales!$J$37</f>
        <v>783.72880049</v>
      </c>
      <c r="H47" s="9" t="n">
        <f aca="false">(parametros_manuales!$D$37*(datos_base!$C$2+datos_base!$C$18+IF(parametros_manuales!$H$37="Todos",datos_base!$C$9+datos_base!$C$23,0))*parametros_manuales!$H$95+parametros_manuales!$E$37*(datos_base!$C$3+datos_base!$C$19+IF(parametros_manuales!$H$37="Todos",datos_base!$C$10+datos_base!$C$24,0))*parametros_manuales!$H$100+parametros_manuales!$F$37*(datos_base!$C$4+datos_base!$C$20+IF(parametros_manuales!$H$37="Todos",datos_base!$C$11+datos_base!$C$25,0))*parametros_manuales!$H$105+parametros_manuales!$G$37*(datos_base!$C$5+datos_base!$C$21+IF(parametros_manuales!$H$37="Todos",datos_base!$C$12+datos_base!$C$26,0))*parametros_manuales!$H$110)*parametros_manuales!$I$37*parametros_manuales!$J$37</f>
        <v>837.976488515</v>
      </c>
      <c r="I47" s="9" t="n">
        <f aca="false">(parametros_manuales!$D$37*(datos_base!$C$2+datos_base!$C$18+IF(parametros_manuales!$H$37="Todos",datos_base!$C$9+datos_base!$C$23,0))*parametros_manuales!$I$95+parametros_manuales!$E$37*(datos_base!$C$3+datos_base!$C$19+IF(parametros_manuales!$H$37="Todos",datos_base!$C$10+datos_base!$C$24,0))*parametros_manuales!$I$100+parametros_manuales!$F$37*(datos_base!$C$4+datos_base!$C$20+IF(parametros_manuales!$H$37="Todos",datos_base!$C$11+datos_base!$C$25,0))*parametros_manuales!$I$105+parametros_manuales!$G$37*(datos_base!$C$5+datos_base!$C$21+IF(parametros_manuales!$H$37="Todos",datos_base!$C$12+datos_base!$C$26,0))*parametros_manuales!$I$110)*parametros_manuales!$I$37*parametros_manuales!$J$37</f>
        <v>927.93604817</v>
      </c>
      <c r="J47" s="9" t="n">
        <f aca="false">(parametros_manuales!$D$37*(datos_base!$C$2+datos_base!$C$18+IF(parametros_manuales!$H$37="Todos",datos_base!$C$9+datos_base!$C$23,0))*parametros_manuales!$J$95+parametros_manuales!$E$37*(datos_base!$C$3+datos_base!$C$19+IF(parametros_manuales!$H$37="Todos",datos_base!$C$10+datos_base!$C$24,0))*parametros_manuales!$J$100+parametros_manuales!$F$37*(datos_base!$C$4+datos_base!$C$20+IF(parametros_manuales!$H$37="Todos",datos_base!$C$11+datos_base!$C$25,0))*parametros_manuales!$J$105+parametros_manuales!$G$37*(datos_base!$C$5+datos_base!$C$21+IF(parametros_manuales!$H$37="Todos",datos_base!$C$12+datos_base!$C$26,0))*parametros_manuales!$J$110)*parametros_manuales!$I$37*parametros_manuales!$J$37</f>
        <v>927.93604817</v>
      </c>
      <c r="K47" s="9" t="n">
        <f aca="false">(parametros_manuales!$D$37*(datos_base!$C$2+datos_base!$C$18+IF(parametros_manuales!$H$37="Todos",datos_base!$C$9+datos_base!$C$23,0))*parametros_manuales!$K$95+parametros_manuales!$E$37*(datos_base!$C$3+datos_base!$C$19+IF(parametros_manuales!$H$37="Todos",datos_base!$C$10+datos_base!$C$24,0))*parametros_manuales!$K$100+parametros_manuales!$F$37*(datos_base!$C$4+datos_base!$C$20+IF(parametros_manuales!$H$37="Todos",datos_base!$C$11+datos_base!$C$25,0))*parametros_manuales!$K$105+parametros_manuales!$G$37*(datos_base!$C$5+datos_base!$C$21+IF(parametros_manuales!$H$37="Todos",datos_base!$C$12+datos_base!$C$26,0))*parametros_manuales!$K$110)*parametros_manuales!$I$37*parametros_manuales!$J$37</f>
        <v>952.19721631</v>
      </c>
      <c r="L47" s="9" t="n">
        <f aca="false">(parametros_manuales!$D$37*(datos_base!$C$2+datos_base!$C$18+IF(parametros_manuales!$H$37="Todos",datos_base!$C$9+datos_base!$C$23,0))*parametros_manuales!$L$95+parametros_manuales!$E$37*(datos_base!$C$3+datos_base!$C$19+IF(parametros_manuales!$H$37="Todos",datos_base!$C$10+datos_base!$C$24,0))*parametros_manuales!$L$100+parametros_manuales!$F$37*(datos_base!$C$4+datos_base!$C$20+IF(parametros_manuales!$H$37="Todos",datos_base!$C$11+datos_base!$C$25,0))*parametros_manuales!$L$105+parametros_manuales!$G$37*(datos_base!$C$5+datos_base!$C$21+IF(parametros_manuales!$H$37="Todos",datos_base!$C$12+datos_base!$C$26,0))*parametros_manuales!$L$110)*parametros_manuales!$I$37*parametros_manuales!$J$37</f>
        <v>976.45838445</v>
      </c>
      <c r="M47" s="9" t="n">
        <f aca="false">(parametros_manuales!$D$37*(datos_base!$C$2+datos_base!$C$18+IF(parametros_manuales!$H$37="Todos",datos_base!$C$9+datos_base!$C$23,0))*parametros_manuales!$M$95+parametros_manuales!$E$37*(datos_base!$C$3+datos_base!$C$19+IF(parametros_manuales!$H$37="Todos",datos_base!$C$10+datos_base!$C$24,0))*parametros_manuales!$M$100+parametros_manuales!$F$37*(datos_base!$C$4+datos_base!$C$20+IF(parametros_manuales!$H$37="Todos",datos_base!$C$11+datos_base!$C$25,0))*parametros_manuales!$M$105+parametros_manuales!$G$37*(datos_base!$C$5+datos_base!$C$21+IF(parametros_manuales!$H$37="Todos",datos_base!$C$12+datos_base!$C$26,0))*parametros_manuales!$M$110)*parametros_manuales!$I$37*parametros_manuales!$J$37</f>
        <v>976.45838445</v>
      </c>
      <c r="N47" s="9" t="n">
        <f aca="false">SUM(B47:M47)</f>
        <v>10849.537605</v>
      </c>
      <c r="O47" s="9" t="n">
        <f aca="false">MAX(B47:M47)</f>
        <v>976.45838445</v>
      </c>
      <c r="P47" s="43" t="n">
        <f aca="false">O47/(parametros_manuales!$B$7)</f>
        <v>6.509722563</v>
      </c>
      <c r="Q47" s="8" t="str">
        <f aca="false">IF(O47=0,"-",INDEX($B$28:$M$28,MATCH(O47,B47:M47,0)))</f>
        <v>Ene</v>
      </c>
    </row>
    <row r="48" customFormat="false" ht="14.25" hidden="false" customHeight="true" outlineLevel="0" collapsed="false">
      <c r="A48" s="8" t="str">
        <f aca="false">parametros_manuales!$B$38</f>
        <v>Carga de polvo</v>
      </c>
      <c r="B48" s="9" t="n">
        <f aca="false">(parametros_manuales!$D$38*(datos_base!$C$2+datos_base!$C$18+IF(parametros_manuales!$H$38="Todos",datos_base!$C$9+datos_base!$C$23,0))*parametros_manuales!$B$95+parametros_manuales!$E$38*(datos_base!$C$3+datos_base!$C$19+IF(parametros_manuales!$H$38="Todos",datos_base!$C$10+datos_base!$C$24,0))*parametros_manuales!$B$100+parametros_manuales!$F$38*(datos_base!$C$4+datos_base!$C$20+IF(parametros_manuales!$H$38="Todos",datos_base!$C$11+datos_base!$C$25,0))*parametros_manuales!$B$105+parametros_manuales!$G$38*(datos_base!$C$5+datos_base!$C$21+IF(parametros_manuales!$H$38="Todos",datos_base!$C$12+datos_base!$C$26,0))*parametros_manuales!$B$110)*parametros_manuales!$I$38*parametros_manuales!$J$38</f>
        <v>969.70118445</v>
      </c>
      <c r="C48" s="9" t="n">
        <f aca="false">(parametros_manuales!$D$38*(datos_base!$C$2+datos_base!$C$18+IF(parametros_manuales!$H$38="Todos",datos_base!$C$9+datos_base!$C$23,0))*parametros_manuales!$C$95+parametros_manuales!$E$38*(datos_base!$C$3+datos_base!$C$19+IF(parametros_manuales!$H$38="Todos",datos_base!$C$10+datos_base!$C$24,0))*parametros_manuales!$C$100+parametros_manuales!$F$38*(datos_base!$C$4+datos_base!$C$20+IF(parametros_manuales!$H$38="Todos",datos_base!$C$11+datos_base!$C$25,0))*parametros_manuales!$C$105+parametros_manuales!$G$38*(datos_base!$C$5+datos_base!$C$21+IF(parametros_manuales!$H$38="Todos",datos_base!$C$12+datos_base!$C$26,0))*parametros_manuales!$C$110)*parametros_manuales!$I$38*parametros_manuales!$J$38</f>
        <v>921.92964817</v>
      </c>
      <c r="D48" s="9" t="n">
        <f aca="false">(parametros_manuales!$D$38*(datos_base!$C$2+datos_base!$C$18+IF(parametros_manuales!$H$38="Todos",datos_base!$C$9+datos_base!$C$23,0))*parametros_manuales!$D$95+parametros_manuales!$E$38*(datos_base!$C$3+datos_base!$C$19+IF(parametros_manuales!$H$38="Todos",datos_base!$C$10+datos_base!$C$24,0))*parametros_manuales!$D$100+parametros_manuales!$F$38*(datos_base!$C$4+datos_base!$C$20+IF(parametros_manuales!$H$38="Todos",datos_base!$C$11+datos_base!$C$25,0))*parametros_manuales!$D$105+parametros_manuales!$G$38*(datos_base!$C$5+datos_base!$C$21+IF(parametros_manuales!$H$38="Todos",datos_base!$C$12+datos_base!$C$26,0))*parametros_manuales!$D$110)*parametros_manuales!$I$38*parametros_manuales!$J$38</f>
        <v>885.84237654</v>
      </c>
      <c r="E48" s="9" t="n">
        <f aca="false">(parametros_manuales!$D$38*(datos_base!$C$2+datos_base!$C$18+IF(parametros_manuales!$H$38="Todos",datos_base!$C$9+datos_base!$C$23,0))*parametros_manuales!$E$95+parametros_manuales!$E$38*(datos_base!$C$3+datos_base!$C$19+IF(parametros_manuales!$H$38="Todos",datos_base!$C$10+datos_base!$C$24,0))*parametros_manuales!$E$100+parametros_manuales!$F$38*(datos_base!$C$4+datos_base!$C$20+IF(parametros_manuales!$H$38="Todos",datos_base!$C$11+datos_base!$C$25,0))*parametros_manuales!$E$105+parametros_manuales!$G$38*(datos_base!$C$5+datos_base!$C$21+IF(parametros_manuales!$H$38="Todos",datos_base!$C$12+datos_base!$C$26,0))*parametros_manuales!$E$110)*parametros_manuales!$I$38*parametros_manuales!$J$38</f>
        <v>855.855856655</v>
      </c>
      <c r="F48" s="9" t="n">
        <f aca="false">(parametros_manuales!$D$38*(datos_base!$C$2+datos_base!$C$18+IF(parametros_manuales!$H$38="Todos",datos_base!$C$9+datos_base!$C$23,0))*parametros_manuales!$F$95+parametros_manuales!$E$38*(datos_base!$C$3+datos_base!$C$19+IF(parametros_manuales!$H$38="Todos",datos_base!$C$10+datos_base!$C$24,0))*parametros_manuales!$F$100+parametros_manuales!$F$38*(datos_base!$C$4+datos_base!$C$20+IF(parametros_manuales!$H$38="Todos",datos_base!$C$11+datos_base!$C$25,0))*parametros_manuales!$F$105+parametros_manuales!$G$38*(datos_base!$C$5+datos_base!$C$21+IF(parametros_manuales!$H$38="Todos",datos_base!$C$12+datos_base!$C$26,0))*parametros_manuales!$F$110)*parametros_manuales!$I$38*parametros_manuales!$J$38</f>
        <v>801.98356863</v>
      </c>
      <c r="G48" s="9" t="n">
        <f aca="false">(parametros_manuales!$D$38*(datos_base!$C$2+datos_base!$C$18+IF(parametros_manuales!$H$38="Todos",datos_base!$C$9+datos_base!$C$23,0))*parametros_manuales!$G$95+parametros_manuales!$E$38*(datos_base!$C$3+datos_base!$C$19+IF(parametros_manuales!$H$38="Todos",datos_base!$C$10+datos_base!$C$24,0))*parametros_manuales!$G$100+parametros_manuales!$F$38*(datos_base!$C$4+datos_base!$C$20+IF(parametros_manuales!$H$38="Todos",datos_base!$C$11+datos_base!$C$25,0))*parametros_manuales!$G$105+parametros_manuales!$G$38*(datos_base!$C$5+datos_base!$C$21+IF(parametros_manuales!$H$38="Todos",datos_base!$C$12+datos_base!$C$26,0))*parametros_manuales!$G$110)*parametros_manuales!$I$38*parametros_manuales!$J$38</f>
        <v>778.09780049</v>
      </c>
      <c r="H48" s="9" t="n">
        <f aca="false">(parametros_manuales!$D$38*(datos_base!$C$2+datos_base!$C$18+IF(parametros_manuales!$H$38="Todos",datos_base!$C$9+datos_base!$C$23,0))*parametros_manuales!$H$95+parametros_manuales!$E$38*(datos_base!$C$3+datos_base!$C$19+IF(parametros_manuales!$H$38="Todos",datos_base!$C$10+datos_base!$C$24,0))*parametros_manuales!$H$100+parametros_manuales!$F$38*(datos_base!$C$4+datos_base!$C$20+IF(parametros_manuales!$H$38="Todos",datos_base!$C$11+datos_base!$C$25,0))*parametros_manuales!$H$105+parametros_manuales!$G$38*(datos_base!$C$5+datos_base!$C$21+IF(parametros_manuales!$H$38="Todos",datos_base!$C$12+datos_base!$C$26,0))*parametros_manuales!$H$110)*parametros_manuales!$I$38*parametros_manuales!$J$38</f>
        <v>831.970088515</v>
      </c>
      <c r="I48" s="9" t="n">
        <f aca="false">(parametros_manuales!$D$38*(datos_base!$C$2+datos_base!$C$18+IF(parametros_manuales!$H$38="Todos",datos_base!$C$9+datos_base!$C$23,0))*parametros_manuales!$I$95+parametros_manuales!$E$38*(datos_base!$C$3+datos_base!$C$19+IF(parametros_manuales!$H$38="Todos",datos_base!$C$10+datos_base!$C$24,0))*parametros_manuales!$I$100+parametros_manuales!$F$38*(datos_base!$C$4+datos_base!$C$20+IF(parametros_manuales!$H$38="Todos",datos_base!$C$11+datos_base!$C$25,0))*parametros_manuales!$I$105+parametros_manuales!$G$38*(datos_base!$C$5+datos_base!$C$21+IF(parametros_manuales!$H$38="Todos",datos_base!$C$12+datos_base!$C$26,0))*parametros_manuales!$I$110)*parametros_manuales!$I$38*parametros_manuales!$J$38</f>
        <v>921.92964817</v>
      </c>
      <c r="J48" s="9" t="n">
        <f aca="false">(parametros_manuales!$D$38*(datos_base!$C$2+datos_base!$C$18+IF(parametros_manuales!$H$38="Todos",datos_base!$C$9+datos_base!$C$23,0))*parametros_manuales!$J$95+parametros_manuales!$E$38*(datos_base!$C$3+datos_base!$C$19+IF(parametros_manuales!$H$38="Todos",datos_base!$C$10+datos_base!$C$24,0))*parametros_manuales!$J$100+parametros_manuales!$F$38*(datos_base!$C$4+datos_base!$C$20+IF(parametros_manuales!$H$38="Todos",datos_base!$C$11+datos_base!$C$25,0))*parametros_manuales!$J$105+parametros_manuales!$G$38*(datos_base!$C$5+datos_base!$C$21+IF(parametros_manuales!$H$38="Todos",datos_base!$C$12+datos_base!$C$26,0))*parametros_manuales!$J$110)*parametros_manuales!$I$38*parametros_manuales!$J$38</f>
        <v>921.92964817</v>
      </c>
      <c r="K48" s="9" t="n">
        <f aca="false">(parametros_manuales!$D$38*(datos_base!$C$2+datos_base!$C$18+IF(parametros_manuales!$H$38="Todos",datos_base!$C$9+datos_base!$C$23,0))*parametros_manuales!$K$95+parametros_manuales!$E$38*(datos_base!$C$3+datos_base!$C$19+IF(parametros_manuales!$H$38="Todos",datos_base!$C$10+datos_base!$C$24,0))*parametros_manuales!$K$100+parametros_manuales!$F$38*(datos_base!$C$4+datos_base!$C$20+IF(parametros_manuales!$H$38="Todos",datos_base!$C$11+datos_base!$C$25,0))*parametros_manuales!$K$105+parametros_manuales!$G$38*(datos_base!$C$5+datos_base!$C$21+IF(parametros_manuales!$H$38="Todos",datos_base!$C$12+datos_base!$C$26,0))*parametros_manuales!$K$110)*parametros_manuales!$I$38*parametros_manuales!$J$38</f>
        <v>945.81541631</v>
      </c>
      <c r="L48" s="9" t="n">
        <f aca="false">(parametros_manuales!$D$38*(datos_base!$C$2+datos_base!$C$18+IF(parametros_manuales!$H$38="Todos",datos_base!$C$9+datos_base!$C$23,0))*parametros_manuales!$L$95+parametros_manuales!$E$38*(datos_base!$C$3+datos_base!$C$19+IF(parametros_manuales!$H$38="Todos",datos_base!$C$10+datos_base!$C$24,0))*parametros_manuales!$L$100+parametros_manuales!$F$38*(datos_base!$C$4+datos_base!$C$20+IF(parametros_manuales!$H$38="Todos",datos_base!$C$11+datos_base!$C$25,0))*parametros_manuales!$L$105+parametros_manuales!$G$38*(datos_base!$C$5+datos_base!$C$21+IF(parametros_manuales!$H$38="Todos",datos_base!$C$12+datos_base!$C$26,0))*parametros_manuales!$L$110)*parametros_manuales!$I$38*parametros_manuales!$J$38</f>
        <v>969.70118445</v>
      </c>
      <c r="M48" s="9" t="n">
        <f aca="false">(parametros_manuales!$D$38*(datos_base!$C$2+datos_base!$C$18+IF(parametros_manuales!$H$38="Todos",datos_base!$C$9+datos_base!$C$23,0))*parametros_manuales!$M$95+parametros_manuales!$E$38*(datos_base!$C$3+datos_base!$C$19+IF(parametros_manuales!$H$38="Todos",datos_base!$C$10+datos_base!$C$24,0))*parametros_manuales!$M$100+parametros_manuales!$F$38*(datos_base!$C$4+datos_base!$C$20+IF(parametros_manuales!$H$38="Todos",datos_base!$C$11+datos_base!$C$25,0))*parametros_manuales!$M$105+parametros_manuales!$G$38*(datos_base!$C$5+datos_base!$C$21+IF(parametros_manuales!$H$38="Todos",datos_base!$C$12+datos_base!$C$26,0))*parametros_manuales!$M$110)*parametros_manuales!$I$38*parametros_manuales!$J$38</f>
        <v>969.70118445</v>
      </c>
      <c r="N48" s="9" t="n">
        <f aca="false">SUM(B48:M48)</f>
        <v>10774.457605</v>
      </c>
      <c r="O48" s="9" t="n">
        <f aca="false">MAX(B48:M48)</f>
        <v>969.70118445</v>
      </c>
      <c r="P48" s="43" t="n">
        <f aca="false">O48/(parametros_manuales!$B$7)</f>
        <v>6.464674563</v>
      </c>
      <c r="Q48" s="8" t="str">
        <f aca="false">IF(O48=0,"-",INDEX($B$28:$M$28,MATCH(O48,B48:M48,0)))</f>
        <v>Ene</v>
      </c>
    </row>
    <row r="49" customFormat="false" ht="14.25" hidden="false" customHeight="true" outlineLevel="0" collapsed="false">
      <c r="A49" s="8" t="str">
        <f aca="false">parametros_manuales!$B$39</f>
        <v>Ensamblaje</v>
      </c>
      <c r="B49" s="9" t="n">
        <f aca="false">(parametros_manuales!$D$39*(datos_base!$C$2+datos_base!$C$18+IF(parametros_manuales!$H$39="Todos",datos_base!$C$9+datos_base!$C$23,0))*parametros_manuales!$B$95+parametros_manuales!$E$39*(datos_base!$C$3+datos_base!$C$19+IF(parametros_manuales!$H$39="Todos",datos_base!$C$10+datos_base!$C$24,0))*parametros_manuales!$B$100+parametros_manuales!$F$39*(datos_base!$C$4+datos_base!$C$20+IF(parametros_manuales!$H$39="Todos",datos_base!$C$11+datos_base!$C$25,0))*parametros_manuales!$B$105+parametros_manuales!$G$39*(datos_base!$C$5+datos_base!$C$21+IF(parametros_manuales!$H$39="Todos",datos_base!$C$12+datos_base!$C$26,0))*parametros_manuales!$B$110)*parametros_manuales!$I$39*parametros_manuales!$J$39</f>
        <v>969.70118445</v>
      </c>
      <c r="C49" s="9" t="n">
        <f aca="false">(parametros_manuales!$D$39*(datos_base!$C$2+datos_base!$C$18+IF(parametros_manuales!$H$39="Todos",datos_base!$C$9+datos_base!$C$23,0))*parametros_manuales!$C$95+parametros_manuales!$E$39*(datos_base!$C$3+datos_base!$C$19+IF(parametros_manuales!$H$39="Todos",datos_base!$C$10+datos_base!$C$24,0))*parametros_manuales!$C$100+parametros_manuales!$F$39*(datos_base!$C$4+datos_base!$C$20+IF(parametros_manuales!$H$39="Todos",datos_base!$C$11+datos_base!$C$25,0))*parametros_manuales!$C$105+parametros_manuales!$G$39*(datos_base!$C$5+datos_base!$C$21+IF(parametros_manuales!$H$39="Todos",datos_base!$C$12+datos_base!$C$26,0))*parametros_manuales!$C$110)*parametros_manuales!$I$39*parametros_manuales!$J$39</f>
        <v>921.92964817</v>
      </c>
      <c r="D49" s="9" t="n">
        <f aca="false">(parametros_manuales!$D$39*(datos_base!$C$2+datos_base!$C$18+IF(parametros_manuales!$H$39="Todos",datos_base!$C$9+datos_base!$C$23,0))*parametros_manuales!$D$95+parametros_manuales!$E$39*(datos_base!$C$3+datos_base!$C$19+IF(parametros_manuales!$H$39="Todos",datos_base!$C$10+datos_base!$C$24,0))*parametros_manuales!$D$100+parametros_manuales!$F$39*(datos_base!$C$4+datos_base!$C$20+IF(parametros_manuales!$H$39="Todos",datos_base!$C$11+datos_base!$C$25,0))*parametros_manuales!$D$105+parametros_manuales!$G$39*(datos_base!$C$5+datos_base!$C$21+IF(parametros_manuales!$H$39="Todos",datos_base!$C$12+datos_base!$C$26,0))*parametros_manuales!$D$110)*parametros_manuales!$I$39*parametros_manuales!$J$39</f>
        <v>885.84237654</v>
      </c>
      <c r="E49" s="9" t="n">
        <f aca="false">(parametros_manuales!$D$39*(datos_base!$C$2+datos_base!$C$18+IF(parametros_manuales!$H$39="Todos",datos_base!$C$9+datos_base!$C$23,0))*parametros_manuales!$E$95+parametros_manuales!$E$39*(datos_base!$C$3+datos_base!$C$19+IF(parametros_manuales!$H$39="Todos",datos_base!$C$10+datos_base!$C$24,0))*parametros_manuales!$E$100+parametros_manuales!$F$39*(datos_base!$C$4+datos_base!$C$20+IF(parametros_manuales!$H$39="Todos",datos_base!$C$11+datos_base!$C$25,0))*parametros_manuales!$E$105+parametros_manuales!$G$39*(datos_base!$C$5+datos_base!$C$21+IF(parametros_manuales!$H$39="Todos",datos_base!$C$12+datos_base!$C$26,0))*parametros_manuales!$E$110)*parametros_manuales!$I$39*parametros_manuales!$J$39</f>
        <v>855.855856655</v>
      </c>
      <c r="F49" s="9" t="n">
        <f aca="false">(parametros_manuales!$D$39*(datos_base!$C$2+datos_base!$C$18+IF(parametros_manuales!$H$39="Todos",datos_base!$C$9+datos_base!$C$23,0))*parametros_manuales!$F$95+parametros_manuales!$E$39*(datos_base!$C$3+datos_base!$C$19+IF(parametros_manuales!$H$39="Todos",datos_base!$C$10+datos_base!$C$24,0))*parametros_manuales!$F$100+parametros_manuales!$F$39*(datos_base!$C$4+datos_base!$C$20+IF(parametros_manuales!$H$39="Todos",datos_base!$C$11+datos_base!$C$25,0))*parametros_manuales!$F$105+parametros_manuales!$G$39*(datos_base!$C$5+datos_base!$C$21+IF(parametros_manuales!$H$39="Todos",datos_base!$C$12+datos_base!$C$26,0))*parametros_manuales!$F$110)*parametros_manuales!$I$39*parametros_manuales!$J$39</f>
        <v>801.98356863</v>
      </c>
      <c r="G49" s="9" t="n">
        <f aca="false">(parametros_manuales!$D$39*(datos_base!$C$2+datos_base!$C$18+IF(parametros_manuales!$H$39="Todos",datos_base!$C$9+datos_base!$C$23,0))*parametros_manuales!$G$95+parametros_manuales!$E$39*(datos_base!$C$3+datos_base!$C$19+IF(parametros_manuales!$H$39="Todos",datos_base!$C$10+datos_base!$C$24,0))*parametros_manuales!$G$100+parametros_manuales!$F$39*(datos_base!$C$4+datos_base!$C$20+IF(parametros_manuales!$H$39="Todos",datos_base!$C$11+datos_base!$C$25,0))*parametros_manuales!$G$105+parametros_manuales!$G$39*(datos_base!$C$5+datos_base!$C$21+IF(parametros_manuales!$H$39="Todos",datos_base!$C$12+datos_base!$C$26,0))*parametros_manuales!$G$110)*parametros_manuales!$I$39*parametros_manuales!$J$39</f>
        <v>778.09780049</v>
      </c>
      <c r="H49" s="9" t="n">
        <f aca="false">(parametros_manuales!$D$39*(datos_base!$C$2+datos_base!$C$18+IF(parametros_manuales!$H$39="Todos",datos_base!$C$9+datos_base!$C$23,0))*parametros_manuales!$H$95+parametros_manuales!$E$39*(datos_base!$C$3+datos_base!$C$19+IF(parametros_manuales!$H$39="Todos",datos_base!$C$10+datos_base!$C$24,0))*parametros_manuales!$H$100+parametros_manuales!$F$39*(datos_base!$C$4+datos_base!$C$20+IF(parametros_manuales!$H$39="Todos",datos_base!$C$11+datos_base!$C$25,0))*parametros_manuales!$H$105+parametros_manuales!$G$39*(datos_base!$C$5+datos_base!$C$21+IF(parametros_manuales!$H$39="Todos",datos_base!$C$12+datos_base!$C$26,0))*parametros_manuales!$H$110)*parametros_manuales!$I$39*parametros_manuales!$J$39</f>
        <v>831.970088515</v>
      </c>
      <c r="I49" s="9" t="n">
        <f aca="false">(parametros_manuales!$D$39*(datos_base!$C$2+datos_base!$C$18+IF(parametros_manuales!$H$39="Todos",datos_base!$C$9+datos_base!$C$23,0))*parametros_manuales!$I$95+parametros_manuales!$E$39*(datos_base!$C$3+datos_base!$C$19+IF(parametros_manuales!$H$39="Todos",datos_base!$C$10+datos_base!$C$24,0))*parametros_manuales!$I$100+parametros_manuales!$F$39*(datos_base!$C$4+datos_base!$C$20+IF(parametros_manuales!$H$39="Todos",datos_base!$C$11+datos_base!$C$25,0))*parametros_manuales!$I$105+parametros_manuales!$G$39*(datos_base!$C$5+datos_base!$C$21+IF(parametros_manuales!$H$39="Todos",datos_base!$C$12+datos_base!$C$26,0))*parametros_manuales!$I$110)*parametros_manuales!$I$39*parametros_manuales!$J$39</f>
        <v>921.92964817</v>
      </c>
      <c r="J49" s="9" t="n">
        <f aca="false">(parametros_manuales!$D$39*(datos_base!$C$2+datos_base!$C$18+IF(parametros_manuales!$H$39="Todos",datos_base!$C$9+datos_base!$C$23,0))*parametros_manuales!$J$95+parametros_manuales!$E$39*(datos_base!$C$3+datos_base!$C$19+IF(parametros_manuales!$H$39="Todos",datos_base!$C$10+datos_base!$C$24,0))*parametros_manuales!$J$100+parametros_manuales!$F$39*(datos_base!$C$4+datos_base!$C$20+IF(parametros_manuales!$H$39="Todos",datos_base!$C$11+datos_base!$C$25,0))*parametros_manuales!$J$105+parametros_manuales!$G$39*(datos_base!$C$5+datos_base!$C$21+IF(parametros_manuales!$H$39="Todos",datos_base!$C$12+datos_base!$C$26,0))*parametros_manuales!$J$110)*parametros_manuales!$I$39*parametros_manuales!$J$39</f>
        <v>921.92964817</v>
      </c>
      <c r="K49" s="9" t="n">
        <f aca="false">(parametros_manuales!$D$39*(datos_base!$C$2+datos_base!$C$18+IF(parametros_manuales!$H$39="Todos",datos_base!$C$9+datos_base!$C$23,0))*parametros_manuales!$K$95+parametros_manuales!$E$39*(datos_base!$C$3+datos_base!$C$19+IF(parametros_manuales!$H$39="Todos",datos_base!$C$10+datos_base!$C$24,0))*parametros_manuales!$K$100+parametros_manuales!$F$39*(datos_base!$C$4+datos_base!$C$20+IF(parametros_manuales!$H$39="Todos",datos_base!$C$11+datos_base!$C$25,0))*parametros_manuales!$K$105+parametros_manuales!$G$39*(datos_base!$C$5+datos_base!$C$21+IF(parametros_manuales!$H$39="Todos",datos_base!$C$12+datos_base!$C$26,0))*parametros_manuales!$K$110)*parametros_manuales!$I$39*parametros_manuales!$J$39</f>
        <v>945.81541631</v>
      </c>
      <c r="L49" s="9" t="n">
        <f aca="false">(parametros_manuales!$D$39*(datos_base!$C$2+datos_base!$C$18+IF(parametros_manuales!$H$39="Todos",datos_base!$C$9+datos_base!$C$23,0))*parametros_manuales!$L$95+parametros_manuales!$E$39*(datos_base!$C$3+datos_base!$C$19+IF(parametros_manuales!$H$39="Todos",datos_base!$C$10+datos_base!$C$24,0))*parametros_manuales!$L$100+parametros_manuales!$F$39*(datos_base!$C$4+datos_base!$C$20+IF(parametros_manuales!$H$39="Todos",datos_base!$C$11+datos_base!$C$25,0))*parametros_manuales!$L$105+parametros_manuales!$G$39*(datos_base!$C$5+datos_base!$C$21+IF(parametros_manuales!$H$39="Todos",datos_base!$C$12+datos_base!$C$26,0))*parametros_manuales!$L$110)*parametros_manuales!$I$39*parametros_manuales!$J$39</f>
        <v>969.70118445</v>
      </c>
      <c r="M49" s="9" t="n">
        <f aca="false">(parametros_manuales!$D$39*(datos_base!$C$2+datos_base!$C$18+IF(parametros_manuales!$H$39="Todos",datos_base!$C$9+datos_base!$C$23,0))*parametros_manuales!$M$95+parametros_manuales!$E$39*(datos_base!$C$3+datos_base!$C$19+IF(parametros_manuales!$H$39="Todos",datos_base!$C$10+datos_base!$C$24,0))*parametros_manuales!$M$100+parametros_manuales!$F$39*(datos_base!$C$4+datos_base!$C$20+IF(parametros_manuales!$H$39="Todos",datos_base!$C$11+datos_base!$C$25,0))*parametros_manuales!$M$105+parametros_manuales!$G$39*(datos_base!$C$5+datos_base!$C$21+IF(parametros_manuales!$H$39="Todos",datos_base!$C$12+datos_base!$C$26,0))*parametros_manuales!$M$110)*parametros_manuales!$I$39*parametros_manuales!$J$39</f>
        <v>969.70118445</v>
      </c>
      <c r="N49" s="9" t="n">
        <f aca="false">SUM(B49:M49)</f>
        <v>10774.457605</v>
      </c>
      <c r="O49" s="9" t="n">
        <f aca="false">MAX(B49:M49)</f>
        <v>969.70118445</v>
      </c>
      <c r="P49" s="43" t="n">
        <f aca="false">O49/(parametros_manuales!$B$7)</f>
        <v>6.464674563</v>
      </c>
      <c r="Q49" s="8" t="str">
        <f aca="false">IF(O49=0,"-",INDEX($B$28:$M$28,MATCH(O49,B49:M49,0)))</f>
        <v>Ene</v>
      </c>
    </row>
    <row r="50" customFormat="false" ht="14.25" hidden="false" customHeight="true" outlineLevel="0" collapsed="false">
      <c r="A50" s="8" t="str">
        <f aca="false">parametros_manuales!$B$40</f>
        <v>Presurización</v>
      </c>
      <c r="B50" s="9" t="n">
        <f aca="false">(parametros_manuales!$D$40*(datos_base!$C$2+datos_base!$C$18+IF(parametros_manuales!$H$40="Todos",datos_base!$C$9+datos_base!$C$23,0))*parametros_manuales!$B$95+parametros_manuales!$E$40*(datos_base!$C$3+datos_base!$C$19+IF(parametros_manuales!$H$40="Todos",datos_base!$C$10+datos_base!$C$24,0))*parametros_manuales!$B$100+parametros_manuales!$F$40*(datos_base!$C$4+datos_base!$C$20+IF(parametros_manuales!$H$40="Todos",datos_base!$C$11+datos_base!$C$25,0))*parametros_manuales!$B$105+parametros_manuales!$G$40*(datos_base!$C$5+datos_base!$C$21+IF(parametros_manuales!$H$40="Todos",datos_base!$C$12+datos_base!$C$26,0))*parametros_manuales!$B$110)*parametros_manuales!$I$40*parametros_manuales!$J$40</f>
        <v>969.70118445</v>
      </c>
      <c r="C50" s="9" t="n">
        <f aca="false">(parametros_manuales!$D$40*(datos_base!$C$2+datos_base!$C$18+IF(parametros_manuales!$H$40="Todos",datos_base!$C$9+datos_base!$C$23,0))*parametros_manuales!$C$95+parametros_manuales!$E$40*(datos_base!$C$3+datos_base!$C$19+IF(parametros_manuales!$H$40="Todos",datos_base!$C$10+datos_base!$C$24,0))*parametros_manuales!$C$100+parametros_manuales!$F$40*(datos_base!$C$4+datos_base!$C$20+IF(parametros_manuales!$H$40="Todos",datos_base!$C$11+datos_base!$C$25,0))*parametros_manuales!$C$105+parametros_manuales!$G$40*(datos_base!$C$5+datos_base!$C$21+IF(parametros_manuales!$H$40="Todos",datos_base!$C$12+datos_base!$C$26,0))*parametros_manuales!$C$110)*parametros_manuales!$I$40*parametros_manuales!$J$40</f>
        <v>921.92964817</v>
      </c>
      <c r="D50" s="9" t="n">
        <f aca="false">(parametros_manuales!$D$40*(datos_base!$C$2+datos_base!$C$18+IF(parametros_manuales!$H$40="Todos",datos_base!$C$9+datos_base!$C$23,0))*parametros_manuales!$D$95+parametros_manuales!$E$40*(datos_base!$C$3+datos_base!$C$19+IF(parametros_manuales!$H$40="Todos",datos_base!$C$10+datos_base!$C$24,0))*parametros_manuales!$D$100+parametros_manuales!$F$40*(datos_base!$C$4+datos_base!$C$20+IF(parametros_manuales!$H$40="Todos",datos_base!$C$11+datos_base!$C$25,0))*parametros_manuales!$D$105+parametros_manuales!$G$40*(datos_base!$C$5+datos_base!$C$21+IF(parametros_manuales!$H$40="Todos",datos_base!$C$12+datos_base!$C$26,0))*parametros_manuales!$D$110)*parametros_manuales!$I$40*parametros_manuales!$J$40</f>
        <v>885.84237654</v>
      </c>
      <c r="E50" s="9" t="n">
        <f aca="false">(parametros_manuales!$D$40*(datos_base!$C$2+datos_base!$C$18+IF(parametros_manuales!$H$40="Todos",datos_base!$C$9+datos_base!$C$23,0))*parametros_manuales!$E$95+parametros_manuales!$E$40*(datos_base!$C$3+datos_base!$C$19+IF(parametros_manuales!$H$40="Todos",datos_base!$C$10+datos_base!$C$24,0))*parametros_manuales!$E$100+parametros_manuales!$F$40*(datos_base!$C$4+datos_base!$C$20+IF(parametros_manuales!$H$40="Todos",datos_base!$C$11+datos_base!$C$25,0))*parametros_manuales!$E$105+parametros_manuales!$G$40*(datos_base!$C$5+datos_base!$C$21+IF(parametros_manuales!$H$40="Todos",datos_base!$C$12+datos_base!$C$26,0))*parametros_manuales!$E$110)*parametros_manuales!$I$40*parametros_manuales!$J$40</f>
        <v>855.855856655</v>
      </c>
      <c r="F50" s="9" t="n">
        <f aca="false">(parametros_manuales!$D$40*(datos_base!$C$2+datos_base!$C$18+IF(parametros_manuales!$H$40="Todos",datos_base!$C$9+datos_base!$C$23,0))*parametros_manuales!$F$95+parametros_manuales!$E$40*(datos_base!$C$3+datos_base!$C$19+IF(parametros_manuales!$H$40="Todos",datos_base!$C$10+datos_base!$C$24,0))*parametros_manuales!$F$100+parametros_manuales!$F$40*(datos_base!$C$4+datos_base!$C$20+IF(parametros_manuales!$H$40="Todos",datos_base!$C$11+datos_base!$C$25,0))*parametros_manuales!$F$105+parametros_manuales!$G$40*(datos_base!$C$5+datos_base!$C$21+IF(parametros_manuales!$H$40="Todos",datos_base!$C$12+datos_base!$C$26,0))*parametros_manuales!$F$110)*parametros_manuales!$I$40*parametros_manuales!$J$40</f>
        <v>801.98356863</v>
      </c>
      <c r="G50" s="9" t="n">
        <f aca="false">(parametros_manuales!$D$40*(datos_base!$C$2+datos_base!$C$18+IF(parametros_manuales!$H$40="Todos",datos_base!$C$9+datos_base!$C$23,0))*parametros_manuales!$G$95+parametros_manuales!$E$40*(datos_base!$C$3+datos_base!$C$19+IF(parametros_manuales!$H$40="Todos",datos_base!$C$10+datos_base!$C$24,0))*parametros_manuales!$G$100+parametros_manuales!$F$40*(datos_base!$C$4+datos_base!$C$20+IF(parametros_manuales!$H$40="Todos",datos_base!$C$11+datos_base!$C$25,0))*parametros_manuales!$G$105+parametros_manuales!$G$40*(datos_base!$C$5+datos_base!$C$21+IF(parametros_manuales!$H$40="Todos",datos_base!$C$12+datos_base!$C$26,0))*parametros_manuales!$G$110)*parametros_manuales!$I$40*parametros_manuales!$J$40</f>
        <v>778.09780049</v>
      </c>
      <c r="H50" s="9" t="n">
        <f aca="false">(parametros_manuales!$D$40*(datos_base!$C$2+datos_base!$C$18+IF(parametros_manuales!$H$40="Todos",datos_base!$C$9+datos_base!$C$23,0))*parametros_manuales!$H$95+parametros_manuales!$E$40*(datos_base!$C$3+datos_base!$C$19+IF(parametros_manuales!$H$40="Todos",datos_base!$C$10+datos_base!$C$24,0))*parametros_manuales!$H$100+parametros_manuales!$F$40*(datos_base!$C$4+datos_base!$C$20+IF(parametros_manuales!$H$40="Todos",datos_base!$C$11+datos_base!$C$25,0))*parametros_manuales!$H$105+parametros_manuales!$G$40*(datos_base!$C$5+datos_base!$C$21+IF(parametros_manuales!$H$40="Todos",datos_base!$C$12+datos_base!$C$26,0))*parametros_manuales!$H$110)*parametros_manuales!$I$40*parametros_manuales!$J$40</f>
        <v>831.970088515</v>
      </c>
      <c r="I50" s="9" t="n">
        <f aca="false">(parametros_manuales!$D$40*(datos_base!$C$2+datos_base!$C$18+IF(parametros_manuales!$H$40="Todos",datos_base!$C$9+datos_base!$C$23,0))*parametros_manuales!$I$95+parametros_manuales!$E$40*(datos_base!$C$3+datos_base!$C$19+IF(parametros_manuales!$H$40="Todos",datos_base!$C$10+datos_base!$C$24,0))*parametros_manuales!$I$100+parametros_manuales!$F$40*(datos_base!$C$4+datos_base!$C$20+IF(parametros_manuales!$H$40="Todos",datos_base!$C$11+datos_base!$C$25,0))*parametros_manuales!$I$105+parametros_manuales!$G$40*(datos_base!$C$5+datos_base!$C$21+IF(parametros_manuales!$H$40="Todos",datos_base!$C$12+datos_base!$C$26,0))*parametros_manuales!$I$110)*parametros_manuales!$I$40*parametros_manuales!$J$40</f>
        <v>921.92964817</v>
      </c>
      <c r="J50" s="9" t="n">
        <f aca="false">(parametros_manuales!$D$40*(datos_base!$C$2+datos_base!$C$18+IF(parametros_manuales!$H$40="Todos",datos_base!$C$9+datos_base!$C$23,0))*parametros_manuales!$J$95+parametros_manuales!$E$40*(datos_base!$C$3+datos_base!$C$19+IF(parametros_manuales!$H$40="Todos",datos_base!$C$10+datos_base!$C$24,0))*parametros_manuales!$J$100+parametros_manuales!$F$40*(datos_base!$C$4+datos_base!$C$20+IF(parametros_manuales!$H$40="Todos",datos_base!$C$11+datos_base!$C$25,0))*parametros_manuales!$J$105+parametros_manuales!$G$40*(datos_base!$C$5+datos_base!$C$21+IF(parametros_manuales!$H$40="Todos",datos_base!$C$12+datos_base!$C$26,0))*parametros_manuales!$J$110)*parametros_manuales!$I$40*parametros_manuales!$J$40</f>
        <v>921.92964817</v>
      </c>
      <c r="K50" s="9" t="n">
        <f aca="false">(parametros_manuales!$D$40*(datos_base!$C$2+datos_base!$C$18+IF(parametros_manuales!$H$40="Todos",datos_base!$C$9+datos_base!$C$23,0))*parametros_manuales!$K$95+parametros_manuales!$E$40*(datos_base!$C$3+datos_base!$C$19+IF(parametros_manuales!$H$40="Todos",datos_base!$C$10+datos_base!$C$24,0))*parametros_manuales!$K$100+parametros_manuales!$F$40*(datos_base!$C$4+datos_base!$C$20+IF(parametros_manuales!$H$40="Todos",datos_base!$C$11+datos_base!$C$25,0))*parametros_manuales!$K$105+parametros_manuales!$G$40*(datos_base!$C$5+datos_base!$C$21+IF(parametros_manuales!$H$40="Todos",datos_base!$C$12+datos_base!$C$26,0))*parametros_manuales!$K$110)*parametros_manuales!$I$40*parametros_manuales!$J$40</f>
        <v>945.81541631</v>
      </c>
      <c r="L50" s="9" t="n">
        <f aca="false">(parametros_manuales!$D$40*(datos_base!$C$2+datos_base!$C$18+IF(parametros_manuales!$H$40="Todos",datos_base!$C$9+datos_base!$C$23,0))*parametros_manuales!$L$95+parametros_manuales!$E$40*(datos_base!$C$3+datos_base!$C$19+IF(parametros_manuales!$H$40="Todos",datos_base!$C$10+datos_base!$C$24,0))*parametros_manuales!$L$100+parametros_manuales!$F$40*(datos_base!$C$4+datos_base!$C$20+IF(parametros_manuales!$H$40="Todos",datos_base!$C$11+datos_base!$C$25,0))*parametros_manuales!$L$105+parametros_manuales!$G$40*(datos_base!$C$5+datos_base!$C$21+IF(parametros_manuales!$H$40="Todos",datos_base!$C$12+datos_base!$C$26,0))*parametros_manuales!$L$110)*parametros_manuales!$I$40*parametros_manuales!$J$40</f>
        <v>969.70118445</v>
      </c>
      <c r="M50" s="9" t="n">
        <f aca="false">(parametros_manuales!$D$40*(datos_base!$C$2+datos_base!$C$18+IF(parametros_manuales!$H$40="Todos",datos_base!$C$9+datos_base!$C$23,0))*parametros_manuales!$M$95+parametros_manuales!$E$40*(datos_base!$C$3+datos_base!$C$19+IF(parametros_manuales!$H$40="Todos",datos_base!$C$10+datos_base!$C$24,0))*parametros_manuales!$M$100+parametros_manuales!$F$40*(datos_base!$C$4+datos_base!$C$20+IF(parametros_manuales!$H$40="Todos",datos_base!$C$11+datos_base!$C$25,0))*parametros_manuales!$M$105+parametros_manuales!$G$40*(datos_base!$C$5+datos_base!$C$21+IF(parametros_manuales!$H$40="Todos",datos_base!$C$12+datos_base!$C$26,0))*parametros_manuales!$M$110)*parametros_manuales!$I$40*parametros_manuales!$J$40</f>
        <v>969.70118445</v>
      </c>
      <c r="N50" s="9" t="n">
        <f aca="false">SUM(B50:M50)</f>
        <v>10774.457605</v>
      </c>
      <c r="O50" s="9" t="n">
        <f aca="false">MAX(B50:M50)</f>
        <v>969.70118445</v>
      </c>
      <c r="P50" s="43" t="n">
        <f aca="false">O50/(parametros_manuales!$B$7)</f>
        <v>6.464674563</v>
      </c>
      <c r="Q50" s="8" t="str">
        <f aca="false">IF(O50=0,"-",INDEX($B$28:$M$28,MATCH(O50,B50:M50,0)))</f>
        <v>Ene</v>
      </c>
    </row>
    <row r="51" customFormat="false" ht="14.25" hidden="false" customHeight="true" outlineLevel="0" collapsed="false">
      <c r="A51" s="8" t="str">
        <f aca="false">parametros_manuales!$B$41</f>
        <v>Control de calidad — Ensayo de pérdidas</v>
      </c>
      <c r="B51" s="9" t="n">
        <f aca="false">(parametros_manuales!$D$41*(datos_base!$C$2+datos_base!$C$18+IF(parametros_manuales!$H$41="Todos",datos_base!$C$9+datos_base!$C$23,0))*parametros_manuales!$B$95+parametros_manuales!$E$41*(datos_base!$C$3+datos_base!$C$19+IF(parametros_manuales!$H$41="Todos",datos_base!$C$10+datos_base!$C$24,0))*parametros_manuales!$B$100+parametros_manuales!$F$41*(datos_base!$C$4+datos_base!$C$20+IF(parametros_manuales!$H$41="Todos",datos_base!$C$11+datos_base!$C$25,0))*parametros_manuales!$B$105+parametros_manuales!$G$41*(datos_base!$C$5+datos_base!$C$21+IF(parametros_manuales!$H$41="Todos",datos_base!$C$12+datos_base!$C$26,0))*parametros_manuales!$B$110)*parametros_manuales!$I$41*parametros_manuales!$J$41</f>
        <v>969.70118445</v>
      </c>
      <c r="C51" s="9" t="n">
        <f aca="false">(parametros_manuales!$D$41*(datos_base!$C$2+datos_base!$C$18+IF(parametros_manuales!$H$41="Todos",datos_base!$C$9+datos_base!$C$23,0))*parametros_manuales!$C$95+parametros_manuales!$E$41*(datos_base!$C$3+datos_base!$C$19+IF(parametros_manuales!$H$41="Todos",datos_base!$C$10+datos_base!$C$24,0))*parametros_manuales!$C$100+parametros_manuales!$F$41*(datos_base!$C$4+datos_base!$C$20+IF(parametros_manuales!$H$41="Todos",datos_base!$C$11+datos_base!$C$25,0))*parametros_manuales!$C$105+parametros_manuales!$G$41*(datos_base!$C$5+datos_base!$C$21+IF(parametros_manuales!$H$41="Todos",datos_base!$C$12+datos_base!$C$26,0))*parametros_manuales!$C$110)*parametros_manuales!$I$41*parametros_manuales!$J$41</f>
        <v>921.92964817</v>
      </c>
      <c r="D51" s="9" t="n">
        <f aca="false">(parametros_manuales!$D$41*(datos_base!$C$2+datos_base!$C$18+IF(parametros_manuales!$H$41="Todos",datos_base!$C$9+datos_base!$C$23,0))*parametros_manuales!$D$95+parametros_manuales!$E$41*(datos_base!$C$3+datos_base!$C$19+IF(parametros_manuales!$H$41="Todos",datos_base!$C$10+datos_base!$C$24,0))*parametros_manuales!$D$100+parametros_manuales!$F$41*(datos_base!$C$4+datos_base!$C$20+IF(parametros_manuales!$H$41="Todos",datos_base!$C$11+datos_base!$C$25,0))*parametros_manuales!$D$105+parametros_manuales!$G$41*(datos_base!$C$5+datos_base!$C$21+IF(parametros_manuales!$H$41="Todos",datos_base!$C$12+datos_base!$C$26,0))*parametros_manuales!$D$110)*parametros_manuales!$I$41*parametros_manuales!$J$41</f>
        <v>885.84237654</v>
      </c>
      <c r="E51" s="9" t="n">
        <f aca="false">(parametros_manuales!$D$41*(datos_base!$C$2+datos_base!$C$18+IF(parametros_manuales!$H$41="Todos",datos_base!$C$9+datos_base!$C$23,0))*parametros_manuales!$E$95+parametros_manuales!$E$41*(datos_base!$C$3+datos_base!$C$19+IF(parametros_manuales!$H$41="Todos",datos_base!$C$10+datos_base!$C$24,0))*parametros_manuales!$E$100+parametros_manuales!$F$41*(datos_base!$C$4+datos_base!$C$20+IF(parametros_manuales!$H$41="Todos",datos_base!$C$11+datos_base!$C$25,0))*parametros_manuales!$E$105+parametros_manuales!$G$41*(datos_base!$C$5+datos_base!$C$21+IF(parametros_manuales!$H$41="Todos",datos_base!$C$12+datos_base!$C$26,0))*parametros_manuales!$E$110)*parametros_manuales!$I$41*parametros_manuales!$J$41</f>
        <v>855.855856655</v>
      </c>
      <c r="F51" s="9" t="n">
        <f aca="false">(parametros_manuales!$D$41*(datos_base!$C$2+datos_base!$C$18+IF(parametros_manuales!$H$41="Todos",datos_base!$C$9+datos_base!$C$23,0))*parametros_manuales!$F$95+parametros_manuales!$E$41*(datos_base!$C$3+datos_base!$C$19+IF(parametros_manuales!$H$41="Todos",datos_base!$C$10+datos_base!$C$24,0))*parametros_manuales!$F$100+parametros_manuales!$F$41*(datos_base!$C$4+datos_base!$C$20+IF(parametros_manuales!$H$41="Todos",datos_base!$C$11+datos_base!$C$25,0))*parametros_manuales!$F$105+parametros_manuales!$G$41*(datos_base!$C$5+datos_base!$C$21+IF(parametros_manuales!$H$41="Todos",datos_base!$C$12+datos_base!$C$26,0))*parametros_manuales!$F$110)*parametros_manuales!$I$41*parametros_manuales!$J$41</f>
        <v>801.98356863</v>
      </c>
      <c r="G51" s="9" t="n">
        <f aca="false">(parametros_manuales!$D$41*(datos_base!$C$2+datos_base!$C$18+IF(parametros_manuales!$H$41="Todos",datos_base!$C$9+datos_base!$C$23,0))*parametros_manuales!$G$95+parametros_manuales!$E$41*(datos_base!$C$3+datos_base!$C$19+IF(parametros_manuales!$H$41="Todos",datos_base!$C$10+datos_base!$C$24,0))*parametros_manuales!$G$100+parametros_manuales!$F$41*(datos_base!$C$4+datos_base!$C$20+IF(parametros_manuales!$H$41="Todos",datos_base!$C$11+datos_base!$C$25,0))*parametros_manuales!$G$105+parametros_manuales!$G$41*(datos_base!$C$5+datos_base!$C$21+IF(parametros_manuales!$H$41="Todos",datos_base!$C$12+datos_base!$C$26,0))*parametros_manuales!$G$110)*parametros_manuales!$I$41*parametros_manuales!$J$41</f>
        <v>778.09780049</v>
      </c>
      <c r="H51" s="9" t="n">
        <f aca="false">(parametros_manuales!$D$41*(datos_base!$C$2+datos_base!$C$18+IF(parametros_manuales!$H$41="Todos",datos_base!$C$9+datos_base!$C$23,0))*parametros_manuales!$H$95+parametros_manuales!$E$41*(datos_base!$C$3+datos_base!$C$19+IF(parametros_manuales!$H$41="Todos",datos_base!$C$10+datos_base!$C$24,0))*parametros_manuales!$H$100+parametros_manuales!$F$41*(datos_base!$C$4+datos_base!$C$20+IF(parametros_manuales!$H$41="Todos",datos_base!$C$11+datos_base!$C$25,0))*parametros_manuales!$H$105+parametros_manuales!$G$41*(datos_base!$C$5+datos_base!$C$21+IF(parametros_manuales!$H$41="Todos",datos_base!$C$12+datos_base!$C$26,0))*parametros_manuales!$H$110)*parametros_manuales!$I$41*parametros_manuales!$J$41</f>
        <v>831.970088515</v>
      </c>
      <c r="I51" s="9" t="n">
        <f aca="false">(parametros_manuales!$D$41*(datos_base!$C$2+datos_base!$C$18+IF(parametros_manuales!$H$41="Todos",datos_base!$C$9+datos_base!$C$23,0))*parametros_manuales!$I$95+parametros_manuales!$E$41*(datos_base!$C$3+datos_base!$C$19+IF(parametros_manuales!$H$41="Todos",datos_base!$C$10+datos_base!$C$24,0))*parametros_manuales!$I$100+parametros_manuales!$F$41*(datos_base!$C$4+datos_base!$C$20+IF(parametros_manuales!$H$41="Todos",datos_base!$C$11+datos_base!$C$25,0))*parametros_manuales!$I$105+parametros_manuales!$G$41*(datos_base!$C$5+datos_base!$C$21+IF(parametros_manuales!$H$41="Todos",datos_base!$C$12+datos_base!$C$26,0))*parametros_manuales!$I$110)*parametros_manuales!$I$41*parametros_manuales!$J$41</f>
        <v>921.92964817</v>
      </c>
      <c r="J51" s="9" t="n">
        <f aca="false">(parametros_manuales!$D$41*(datos_base!$C$2+datos_base!$C$18+IF(parametros_manuales!$H$41="Todos",datos_base!$C$9+datos_base!$C$23,0))*parametros_manuales!$J$95+parametros_manuales!$E$41*(datos_base!$C$3+datos_base!$C$19+IF(parametros_manuales!$H$41="Todos",datos_base!$C$10+datos_base!$C$24,0))*parametros_manuales!$J$100+parametros_manuales!$F$41*(datos_base!$C$4+datos_base!$C$20+IF(parametros_manuales!$H$41="Todos",datos_base!$C$11+datos_base!$C$25,0))*parametros_manuales!$J$105+parametros_manuales!$G$41*(datos_base!$C$5+datos_base!$C$21+IF(parametros_manuales!$H$41="Todos",datos_base!$C$12+datos_base!$C$26,0))*parametros_manuales!$J$110)*parametros_manuales!$I$41*parametros_manuales!$J$41</f>
        <v>921.92964817</v>
      </c>
      <c r="K51" s="9" t="n">
        <f aca="false">(parametros_manuales!$D$41*(datos_base!$C$2+datos_base!$C$18+IF(parametros_manuales!$H$41="Todos",datos_base!$C$9+datos_base!$C$23,0))*parametros_manuales!$K$95+parametros_manuales!$E$41*(datos_base!$C$3+datos_base!$C$19+IF(parametros_manuales!$H$41="Todos",datos_base!$C$10+datos_base!$C$24,0))*parametros_manuales!$K$100+parametros_manuales!$F$41*(datos_base!$C$4+datos_base!$C$20+IF(parametros_manuales!$H$41="Todos",datos_base!$C$11+datos_base!$C$25,0))*parametros_manuales!$K$105+parametros_manuales!$G$41*(datos_base!$C$5+datos_base!$C$21+IF(parametros_manuales!$H$41="Todos",datos_base!$C$12+datos_base!$C$26,0))*parametros_manuales!$K$110)*parametros_manuales!$I$41*parametros_manuales!$J$41</f>
        <v>945.81541631</v>
      </c>
      <c r="L51" s="9" t="n">
        <f aca="false">(parametros_manuales!$D$41*(datos_base!$C$2+datos_base!$C$18+IF(parametros_manuales!$H$41="Todos",datos_base!$C$9+datos_base!$C$23,0))*parametros_manuales!$L$95+parametros_manuales!$E$41*(datos_base!$C$3+datos_base!$C$19+IF(parametros_manuales!$H$41="Todos",datos_base!$C$10+datos_base!$C$24,0))*parametros_manuales!$L$100+parametros_manuales!$F$41*(datos_base!$C$4+datos_base!$C$20+IF(parametros_manuales!$H$41="Todos",datos_base!$C$11+datos_base!$C$25,0))*parametros_manuales!$L$105+parametros_manuales!$G$41*(datos_base!$C$5+datos_base!$C$21+IF(parametros_manuales!$H$41="Todos",datos_base!$C$12+datos_base!$C$26,0))*parametros_manuales!$L$110)*parametros_manuales!$I$41*parametros_manuales!$J$41</f>
        <v>969.70118445</v>
      </c>
      <c r="M51" s="9" t="n">
        <f aca="false">(parametros_manuales!$D$41*(datos_base!$C$2+datos_base!$C$18+IF(parametros_manuales!$H$41="Todos",datos_base!$C$9+datos_base!$C$23,0))*parametros_manuales!$M$95+parametros_manuales!$E$41*(datos_base!$C$3+datos_base!$C$19+IF(parametros_manuales!$H$41="Todos",datos_base!$C$10+datos_base!$C$24,0))*parametros_manuales!$M$100+parametros_manuales!$F$41*(datos_base!$C$4+datos_base!$C$20+IF(parametros_manuales!$H$41="Todos",datos_base!$C$11+datos_base!$C$25,0))*parametros_manuales!$M$105+parametros_manuales!$G$41*(datos_base!$C$5+datos_base!$C$21+IF(parametros_manuales!$H$41="Todos",datos_base!$C$12+datos_base!$C$26,0))*parametros_manuales!$M$110)*parametros_manuales!$I$41*parametros_manuales!$J$41</f>
        <v>969.70118445</v>
      </c>
      <c r="N51" s="9" t="n">
        <f aca="false">SUM(B51:M51)</f>
        <v>10774.457605</v>
      </c>
      <c r="O51" s="9" t="n">
        <f aca="false">MAX(B51:M51)</f>
        <v>969.70118445</v>
      </c>
      <c r="P51" s="43" t="n">
        <f aca="false">O51/(parametros_manuales!$B$7)</f>
        <v>6.464674563</v>
      </c>
      <c r="Q51" s="8" t="str">
        <f aca="false">IF(O51=0,"-",INDEX($B$28:$M$28,MATCH(O51,B51:M51,0)))</f>
        <v>Ene</v>
      </c>
    </row>
    <row r="52" customFormat="false" ht="14.25" hidden="false" customHeight="true" outlineLevel="0" collapsed="false">
      <c r="A52" s="8" t="str">
        <f aca="false">parametros_manuales!$B$42</f>
        <v>Etiquetado</v>
      </c>
      <c r="B52" s="9" t="n">
        <f aca="false">(parametros_manuales!$D$42*(datos_base!$C$2+datos_base!$C$18+IF(parametros_manuales!$H$42="Todos",datos_base!$C$9+datos_base!$C$23,0))*parametros_manuales!$B$95+parametros_manuales!$E$42*(datos_base!$C$3+datos_base!$C$19+IF(parametros_manuales!$H$42="Todos",datos_base!$C$10+datos_base!$C$24,0))*parametros_manuales!$B$100+parametros_manuales!$F$42*(datos_base!$C$4+datos_base!$C$20+IF(parametros_manuales!$H$42="Todos",datos_base!$C$11+datos_base!$C$25,0))*parametros_manuales!$B$105+parametros_manuales!$G$42*(datos_base!$C$5+datos_base!$C$21+IF(parametros_manuales!$H$42="Todos",datos_base!$C$12+datos_base!$C$26,0))*parametros_manuales!$B$110)*parametros_manuales!$I$42*parametros_manuales!$J$42</f>
        <v>969.70118445</v>
      </c>
      <c r="C52" s="9" t="n">
        <f aca="false">(parametros_manuales!$D$42*(datos_base!$C$2+datos_base!$C$18+IF(parametros_manuales!$H$42="Todos",datos_base!$C$9+datos_base!$C$23,0))*parametros_manuales!$C$95+parametros_manuales!$E$42*(datos_base!$C$3+datos_base!$C$19+IF(parametros_manuales!$H$42="Todos",datos_base!$C$10+datos_base!$C$24,0))*parametros_manuales!$C$100+parametros_manuales!$F$42*(datos_base!$C$4+datos_base!$C$20+IF(parametros_manuales!$H$42="Todos",datos_base!$C$11+datos_base!$C$25,0))*parametros_manuales!$C$105+parametros_manuales!$G$42*(datos_base!$C$5+datos_base!$C$21+IF(parametros_manuales!$H$42="Todos",datos_base!$C$12+datos_base!$C$26,0))*parametros_manuales!$C$110)*parametros_manuales!$I$42*parametros_manuales!$J$42</f>
        <v>921.92964817</v>
      </c>
      <c r="D52" s="9" t="n">
        <f aca="false">(parametros_manuales!$D$42*(datos_base!$C$2+datos_base!$C$18+IF(parametros_manuales!$H$42="Todos",datos_base!$C$9+datos_base!$C$23,0))*parametros_manuales!$D$95+parametros_manuales!$E$42*(datos_base!$C$3+datos_base!$C$19+IF(parametros_manuales!$H$42="Todos",datos_base!$C$10+datos_base!$C$24,0))*parametros_manuales!$D$100+parametros_manuales!$F$42*(datos_base!$C$4+datos_base!$C$20+IF(parametros_manuales!$H$42="Todos",datos_base!$C$11+datos_base!$C$25,0))*parametros_manuales!$D$105+parametros_manuales!$G$42*(datos_base!$C$5+datos_base!$C$21+IF(parametros_manuales!$H$42="Todos",datos_base!$C$12+datos_base!$C$26,0))*parametros_manuales!$D$110)*parametros_manuales!$I$42*parametros_manuales!$J$42</f>
        <v>885.84237654</v>
      </c>
      <c r="E52" s="9" t="n">
        <f aca="false">(parametros_manuales!$D$42*(datos_base!$C$2+datos_base!$C$18+IF(parametros_manuales!$H$42="Todos",datos_base!$C$9+datos_base!$C$23,0))*parametros_manuales!$E$95+parametros_manuales!$E$42*(datos_base!$C$3+datos_base!$C$19+IF(parametros_manuales!$H$42="Todos",datos_base!$C$10+datos_base!$C$24,0))*parametros_manuales!$E$100+parametros_manuales!$F$42*(datos_base!$C$4+datos_base!$C$20+IF(parametros_manuales!$H$42="Todos",datos_base!$C$11+datos_base!$C$25,0))*parametros_manuales!$E$105+parametros_manuales!$G$42*(datos_base!$C$5+datos_base!$C$21+IF(parametros_manuales!$H$42="Todos",datos_base!$C$12+datos_base!$C$26,0))*parametros_manuales!$E$110)*parametros_manuales!$I$42*parametros_manuales!$J$42</f>
        <v>855.855856655</v>
      </c>
      <c r="F52" s="9" t="n">
        <f aca="false">(parametros_manuales!$D$42*(datos_base!$C$2+datos_base!$C$18+IF(parametros_manuales!$H$42="Todos",datos_base!$C$9+datos_base!$C$23,0))*parametros_manuales!$F$95+parametros_manuales!$E$42*(datos_base!$C$3+datos_base!$C$19+IF(parametros_manuales!$H$42="Todos",datos_base!$C$10+datos_base!$C$24,0))*parametros_manuales!$F$100+parametros_manuales!$F$42*(datos_base!$C$4+datos_base!$C$20+IF(parametros_manuales!$H$42="Todos",datos_base!$C$11+datos_base!$C$25,0))*parametros_manuales!$F$105+parametros_manuales!$G$42*(datos_base!$C$5+datos_base!$C$21+IF(parametros_manuales!$H$42="Todos",datos_base!$C$12+datos_base!$C$26,0))*parametros_manuales!$F$110)*parametros_manuales!$I$42*parametros_manuales!$J$42</f>
        <v>801.98356863</v>
      </c>
      <c r="G52" s="9" t="n">
        <f aca="false">(parametros_manuales!$D$42*(datos_base!$C$2+datos_base!$C$18+IF(parametros_manuales!$H$42="Todos",datos_base!$C$9+datos_base!$C$23,0))*parametros_manuales!$G$95+parametros_manuales!$E$42*(datos_base!$C$3+datos_base!$C$19+IF(parametros_manuales!$H$42="Todos",datos_base!$C$10+datos_base!$C$24,0))*parametros_manuales!$G$100+parametros_manuales!$F$42*(datos_base!$C$4+datos_base!$C$20+IF(parametros_manuales!$H$42="Todos",datos_base!$C$11+datos_base!$C$25,0))*parametros_manuales!$G$105+parametros_manuales!$G$42*(datos_base!$C$5+datos_base!$C$21+IF(parametros_manuales!$H$42="Todos",datos_base!$C$12+datos_base!$C$26,0))*parametros_manuales!$G$110)*parametros_manuales!$I$42*parametros_manuales!$J$42</f>
        <v>778.09780049</v>
      </c>
      <c r="H52" s="9" t="n">
        <f aca="false">(parametros_manuales!$D$42*(datos_base!$C$2+datos_base!$C$18+IF(parametros_manuales!$H$42="Todos",datos_base!$C$9+datos_base!$C$23,0))*parametros_manuales!$H$95+parametros_manuales!$E$42*(datos_base!$C$3+datos_base!$C$19+IF(parametros_manuales!$H$42="Todos",datos_base!$C$10+datos_base!$C$24,0))*parametros_manuales!$H$100+parametros_manuales!$F$42*(datos_base!$C$4+datos_base!$C$20+IF(parametros_manuales!$H$42="Todos",datos_base!$C$11+datos_base!$C$25,0))*parametros_manuales!$H$105+parametros_manuales!$G$42*(datos_base!$C$5+datos_base!$C$21+IF(parametros_manuales!$H$42="Todos",datos_base!$C$12+datos_base!$C$26,0))*parametros_manuales!$H$110)*parametros_manuales!$I$42*parametros_manuales!$J$42</f>
        <v>831.970088515</v>
      </c>
      <c r="I52" s="9" t="n">
        <f aca="false">(parametros_manuales!$D$42*(datos_base!$C$2+datos_base!$C$18+IF(parametros_manuales!$H$42="Todos",datos_base!$C$9+datos_base!$C$23,0))*parametros_manuales!$I$95+parametros_manuales!$E$42*(datos_base!$C$3+datos_base!$C$19+IF(parametros_manuales!$H$42="Todos",datos_base!$C$10+datos_base!$C$24,0))*parametros_manuales!$I$100+parametros_manuales!$F$42*(datos_base!$C$4+datos_base!$C$20+IF(parametros_manuales!$H$42="Todos",datos_base!$C$11+datos_base!$C$25,0))*parametros_manuales!$I$105+parametros_manuales!$G$42*(datos_base!$C$5+datos_base!$C$21+IF(parametros_manuales!$H$42="Todos",datos_base!$C$12+datos_base!$C$26,0))*parametros_manuales!$I$110)*parametros_manuales!$I$42*parametros_manuales!$J$42</f>
        <v>921.92964817</v>
      </c>
      <c r="J52" s="9" t="n">
        <f aca="false">(parametros_manuales!$D$42*(datos_base!$C$2+datos_base!$C$18+IF(parametros_manuales!$H$42="Todos",datos_base!$C$9+datos_base!$C$23,0))*parametros_manuales!$J$95+parametros_manuales!$E$42*(datos_base!$C$3+datos_base!$C$19+IF(parametros_manuales!$H$42="Todos",datos_base!$C$10+datos_base!$C$24,0))*parametros_manuales!$J$100+parametros_manuales!$F$42*(datos_base!$C$4+datos_base!$C$20+IF(parametros_manuales!$H$42="Todos",datos_base!$C$11+datos_base!$C$25,0))*parametros_manuales!$J$105+parametros_manuales!$G$42*(datos_base!$C$5+datos_base!$C$21+IF(parametros_manuales!$H$42="Todos",datos_base!$C$12+datos_base!$C$26,0))*parametros_manuales!$J$110)*parametros_manuales!$I$42*parametros_manuales!$J$42</f>
        <v>921.92964817</v>
      </c>
      <c r="K52" s="9" t="n">
        <f aca="false">(parametros_manuales!$D$42*(datos_base!$C$2+datos_base!$C$18+IF(parametros_manuales!$H$42="Todos",datos_base!$C$9+datos_base!$C$23,0))*parametros_manuales!$K$95+parametros_manuales!$E$42*(datos_base!$C$3+datos_base!$C$19+IF(parametros_manuales!$H$42="Todos",datos_base!$C$10+datos_base!$C$24,0))*parametros_manuales!$K$100+parametros_manuales!$F$42*(datos_base!$C$4+datos_base!$C$20+IF(parametros_manuales!$H$42="Todos",datos_base!$C$11+datos_base!$C$25,0))*parametros_manuales!$K$105+parametros_manuales!$G$42*(datos_base!$C$5+datos_base!$C$21+IF(parametros_manuales!$H$42="Todos",datos_base!$C$12+datos_base!$C$26,0))*parametros_manuales!$K$110)*parametros_manuales!$I$42*parametros_manuales!$J$42</f>
        <v>945.81541631</v>
      </c>
      <c r="L52" s="9" t="n">
        <f aca="false">(parametros_manuales!$D$42*(datos_base!$C$2+datos_base!$C$18+IF(parametros_manuales!$H$42="Todos",datos_base!$C$9+datos_base!$C$23,0))*parametros_manuales!$L$95+parametros_manuales!$E$42*(datos_base!$C$3+datos_base!$C$19+IF(parametros_manuales!$H$42="Todos",datos_base!$C$10+datos_base!$C$24,0))*parametros_manuales!$L$100+parametros_manuales!$F$42*(datos_base!$C$4+datos_base!$C$20+IF(parametros_manuales!$H$42="Todos",datos_base!$C$11+datos_base!$C$25,0))*parametros_manuales!$L$105+parametros_manuales!$G$42*(datos_base!$C$5+datos_base!$C$21+IF(parametros_manuales!$H$42="Todos",datos_base!$C$12+datos_base!$C$26,0))*parametros_manuales!$L$110)*parametros_manuales!$I$42*parametros_manuales!$J$42</f>
        <v>969.70118445</v>
      </c>
      <c r="M52" s="9" t="n">
        <f aca="false">(parametros_manuales!$D$42*(datos_base!$C$2+datos_base!$C$18+IF(parametros_manuales!$H$42="Todos",datos_base!$C$9+datos_base!$C$23,0))*parametros_manuales!$M$95+parametros_manuales!$E$42*(datos_base!$C$3+datos_base!$C$19+IF(parametros_manuales!$H$42="Todos",datos_base!$C$10+datos_base!$C$24,0))*parametros_manuales!$M$100+parametros_manuales!$F$42*(datos_base!$C$4+datos_base!$C$20+IF(parametros_manuales!$H$42="Todos",datos_base!$C$11+datos_base!$C$25,0))*parametros_manuales!$M$105+parametros_manuales!$G$42*(datos_base!$C$5+datos_base!$C$21+IF(parametros_manuales!$H$42="Todos",datos_base!$C$12+datos_base!$C$26,0))*parametros_manuales!$M$110)*parametros_manuales!$I$42*parametros_manuales!$J$42</f>
        <v>969.70118445</v>
      </c>
      <c r="N52" s="9" t="n">
        <f aca="false">SUM(B52:M52)</f>
        <v>10774.457605</v>
      </c>
      <c r="O52" s="9" t="n">
        <f aca="false">MAX(B52:M52)</f>
        <v>969.70118445</v>
      </c>
      <c r="P52" s="43" t="n">
        <f aca="false">O52/(parametros_manuales!$B$7)</f>
        <v>6.464674563</v>
      </c>
      <c r="Q52" s="8" t="str">
        <f aca="false">IF(O52=0,"-",INDEX($B$28:$M$28,MATCH(O52,B52:M52,0)))</f>
        <v>Ene</v>
      </c>
    </row>
    <row r="53" customFormat="false" ht="14.25" hidden="false" customHeight="true" outlineLevel="0" collapsed="false">
      <c r="A53" s="8" t="str">
        <f aca="false">parametros_manuales!$B$43</f>
        <v>Embalaje y paletizado</v>
      </c>
      <c r="B53" s="9" t="n">
        <f aca="false">(parametros_manuales!$D$43*(datos_base!$C$2+datos_base!$C$18+IF(parametros_manuales!$H$43="Todos",datos_base!$C$9+datos_base!$C$23,0))*parametros_manuales!$B$95+parametros_manuales!$E$43*(datos_base!$C$3+datos_base!$C$19+IF(parametros_manuales!$H$43="Todos",datos_base!$C$10+datos_base!$C$24,0))*parametros_manuales!$B$100+parametros_manuales!$F$43*(datos_base!$C$4+datos_base!$C$20+IF(parametros_manuales!$H$43="Todos",datos_base!$C$11+datos_base!$C$25,0))*parametros_manuales!$B$105+parametros_manuales!$G$43*(datos_base!$C$5+datos_base!$C$21+IF(parametros_manuales!$H$43="Todos",datos_base!$C$12+datos_base!$C$26,0))*parametros_manuales!$B$110)*parametros_manuales!$I$43*parametros_manuales!$J$43</f>
        <v>976.45838445</v>
      </c>
      <c r="C53" s="9" t="n">
        <f aca="false">(parametros_manuales!$D$43*(datos_base!$C$2+datos_base!$C$18+IF(parametros_manuales!$H$43="Todos",datos_base!$C$9+datos_base!$C$23,0))*parametros_manuales!$C$95+parametros_manuales!$E$43*(datos_base!$C$3+datos_base!$C$19+IF(parametros_manuales!$H$43="Todos",datos_base!$C$10+datos_base!$C$24,0))*parametros_manuales!$C$100+parametros_manuales!$F$43*(datos_base!$C$4+datos_base!$C$20+IF(parametros_manuales!$H$43="Todos",datos_base!$C$11+datos_base!$C$25,0))*parametros_manuales!$C$105+parametros_manuales!$G$43*(datos_base!$C$5+datos_base!$C$21+IF(parametros_manuales!$H$43="Todos",datos_base!$C$12+datos_base!$C$26,0))*parametros_manuales!$C$110)*parametros_manuales!$I$43*parametros_manuales!$J$43</f>
        <v>927.93604817</v>
      </c>
      <c r="D53" s="9" t="n">
        <f aca="false">(parametros_manuales!$D$43*(datos_base!$C$2+datos_base!$C$18+IF(parametros_manuales!$H$43="Todos",datos_base!$C$9+datos_base!$C$23,0))*parametros_manuales!$D$95+parametros_manuales!$E$43*(datos_base!$C$3+datos_base!$C$19+IF(parametros_manuales!$H$43="Todos",datos_base!$C$10+datos_base!$C$24,0))*parametros_manuales!$D$100+parametros_manuales!$F$43*(datos_base!$C$4+datos_base!$C$20+IF(parametros_manuales!$H$43="Todos",datos_base!$C$11+datos_base!$C$25,0))*parametros_manuales!$D$105+parametros_manuales!$G$43*(datos_base!$C$5+datos_base!$C$21+IF(parametros_manuales!$H$43="Todos",datos_base!$C$12+datos_base!$C$26,0))*parametros_manuales!$D$110)*parametros_manuales!$I$43*parametros_manuales!$J$43</f>
        <v>892.22417654</v>
      </c>
      <c r="E53" s="9" t="n">
        <f aca="false">(parametros_manuales!$D$43*(datos_base!$C$2+datos_base!$C$18+IF(parametros_manuales!$H$43="Todos",datos_base!$C$9+datos_base!$C$23,0))*parametros_manuales!$E$95+parametros_manuales!$E$43*(datos_base!$C$3+datos_base!$C$19+IF(parametros_manuales!$H$43="Todos",datos_base!$C$10+datos_base!$C$24,0))*parametros_manuales!$E$100+parametros_manuales!$F$43*(datos_base!$C$4+datos_base!$C$20+IF(parametros_manuales!$H$43="Todos",datos_base!$C$11+datos_base!$C$25,0))*parametros_manuales!$E$105+parametros_manuales!$G$43*(datos_base!$C$5+datos_base!$C$21+IF(parametros_manuales!$H$43="Todos",datos_base!$C$12+datos_base!$C$26,0))*parametros_manuales!$E$110)*parametros_manuales!$I$43*parametros_manuales!$J$43</f>
        <v>862.237656655</v>
      </c>
      <c r="F53" s="9" t="n">
        <f aca="false">(parametros_manuales!$D$43*(datos_base!$C$2+datos_base!$C$18+IF(parametros_manuales!$H$43="Todos",datos_base!$C$9+datos_base!$C$23,0))*parametros_manuales!$F$95+parametros_manuales!$E$43*(datos_base!$C$3+datos_base!$C$19+IF(parametros_manuales!$H$43="Todos",datos_base!$C$10+datos_base!$C$24,0))*parametros_manuales!$F$100+parametros_manuales!$F$43*(datos_base!$C$4+datos_base!$C$20+IF(parametros_manuales!$H$43="Todos",datos_base!$C$11+datos_base!$C$25,0))*parametros_manuales!$F$105+parametros_manuales!$G$43*(datos_base!$C$5+datos_base!$C$21+IF(parametros_manuales!$H$43="Todos",datos_base!$C$12+datos_base!$C$26,0))*parametros_manuales!$F$110)*parametros_manuales!$I$43*parametros_manuales!$J$43</f>
        <v>807.98996863</v>
      </c>
      <c r="G53" s="9" t="n">
        <f aca="false">(parametros_manuales!$D$43*(datos_base!$C$2+datos_base!$C$18+IF(parametros_manuales!$H$43="Todos",datos_base!$C$9+datos_base!$C$23,0))*parametros_manuales!$G$95+parametros_manuales!$E$43*(datos_base!$C$3+datos_base!$C$19+IF(parametros_manuales!$H$43="Todos",datos_base!$C$10+datos_base!$C$24,0))*parametros_manuales!$G$100+parametros_manuales!$F$43*(datos_base!$C$4+datos_base!$C$20+IF(parametros_manuales!$H$43="Todos",datos_base!$C$11+datos_base!$C$25,0))*parametros_manuales!$G$105+parametros_manuales!$G$43*(datos_base!$C$5+datos_base!$C$21+IF(parametros_manuales!$H$43="Todos",datos_base!$C$12+datos_base!$C$26,0))*parametros_manuales!$G$110)*parametros_manuales!$I$43*parametros_manuales!$J$43</f>
        <v>783.72880049</v>
      </c>
      <c r="H53" s="9" t="n">
        <f aca="false">(parametros_manuales!$D$43*(datos_base!$C$2+datos_base!$C$18+IF(parametros_manuales!$H$43="Todos",datos_base!$C$9+datos_base!$C$23,0))*parametros_manuales!$H$95+parametros_manuales!$E$43*(datos_base!$C$3+datos_base!$C$19+IF(parametros_manuales!$H$43="Todos",datos_base!$C$10+datos_base!$C$24,0))*parametros_manuales!$H$100+parametros_manuales!$F$43*(datos_base!$C$4+datos_base!$C$20+IF(parametros_manuales!$H$43="Todos",datos_base!$C$11+datos_base!$C$25,0))*parametros_manuales!$H$105+parametros_manuales!$G$43*(datos_base!$C$5+datos_base!$C$21+IF(parametros_manuales!$H$43="Todos",datos_base!$C$12+datos_base!$C$26,0))*parametros_manuales!$H$110)*parametros_manuales!$I$43*parametros_manuales!$J$43</f>
        <v>837.976488515</v>
      </c>
      <c r="I53" s="9" t="n">
        <f aca="false">(parametros_manuales!$D$43*(datos_base!$C$2+datos_base!$C$18+IF(parametros_manuales!$H$43="Todos",datos_base!$C$9+datos_base!$C$23,0))*parametros_manuales!$I$95+parametros_manuales!$E$43*(datos_base!$C$3+datos_base!$C$19+IF(parametros_manuales!$H$43="Todos",datos_base!$C$10+datos_base!$C$24,0))*parametros_manuales!$I$100+parametros_manuales!$F$43*(datos_base!$C$4+datos_base!$C$20+IF(parametros_manuales!$H$43="Todos",datos_base!$C$11+datos_base!$C$25,0))*parametros_manuales!$I$105+parametros_manuales!$G$43*(datos_base!$C$5+datos_base!$C$21+IF(parametros_manuales!$H$43="Todos",datos_base!$C$12+datos_base!$C$26,0))*parametros_manuales!$I$110)*parametros_manuales!$I$43*parametros_manuales!$J$43</f>
        <v>927.93604817</v>
      </c>
      <c r="J53" s="9" t="n">
        <f aca="false">(parametros_manuales!$D$43*(datos_base!$C$2+datos_base!$C$18+IF(parametros_manuales!$H$43="Todos",datos_base!$C$9+datos_base!$C$23,0))*parametros_manuales!$J$95+parametros_manuales!$E$43*(datos_base!$C$3+datos_base!$C$19+IF(parametros_manuales!$H$43="Todos",datos_base!$C$10+datos_base!$C$24,0))*parametros_manuales!$J$100+parametros_manuales!$F$43*(datos_base!$C$4+datos_base!$C$20+IF(parametros_manuales!$H$43="Todos",datos_base!$C$11+datos_base!$C$25,0))*parametros_manuales!$J$105+parametros_manuales!$G$43*(datos_base!$C$5+datos_base!$C$21+IF(parametros_manuales!$H$43="Todos",datos_base!$C$12+datos_base!$C$26,0))*parametros_manuales!$J$110)*parametros_manuales!$I$43*parametros_manuales!$J$43</f>
        <v>927.93604817</v>
      </c>
      <c r="K53" s="9" t="n">
        <f aca="false">(parametros_manuales!$D$43*(datos_base!$C$2+datos_base!$C$18+IF(parametros_manuales!$H$43="Todos",datos_base!$C$9+datos_base!$C$23,0))*parametros_manuales!$K$95+parametros_manuales!$E$43*(datos_base!$C$3+datos_base!$C$19+IF(parametros_manuales!$H$43="Todos",datos_base!$C$10+datos_base!$C$24,0))*parametros_manuales!$K$100+parametros_manuales!$F$43*(datos_base!$C$4+datos_base!$C$20+IF(parametros_manuales!$H$43="Todos",datos_base!$C$11+datos_base!$C$25,0))*parametros_manuales!$K$105+parametros_manuales!$G$43*(datos_base!$C$5+datos_base!$C$21+IF(parametros_manuales!$H$43="Todos",datos_base!$C$12+datos_base!$C$26,0))*parametros_manuales!$K$110)*parametros_manuales!$I$43*parametros_manuales!$J$43</f>
        <v>952.19721631</v>
      </c>
      <c r="L53" s="9" t="n">
        <f aca="false">(parametros_manuales!$D$43*(datos_base!$C$2+datos_base!$C$18+IF(parametros_manuales!$H$43="Todos",datos_base!$C$9+datos_base!$C$23,0))*parametros_manuales!$L$95+parametros_manuales!$E$43*(datos_base!$C$3+datos_base!$C$19+IF(parametros_manuales!$H$43="Todos",datos_base!$C$10+datos_base!$C$24,0))*parametros_manuales!$L$100+parametros_manuales!$F$43*(datos_base!$C$4+datos_base!$C$20+IF(parametros_manuales!$H$43="Todos",datos_base!$C$11+datos_base!$C$25,0))*parametros_manuales!$L$105+parametros_manuales!$G$43*(datos_base!$C$5+datos_base!$C$21+IF(parametros_manuales!$H$43="Todos",datos_base!$C$12+datos_base!$C$26,0))*parametros_manuales!$L$110)*parametros_manuales!$I$43*parametros_manuales!$J$43</f>
        <v>976.45838445</v>
      </c>
      <c r="M53" s="9" t="n">
        <f aca="false">(parametros_manuales!$D$43*(datos_base!$C$2+datos_base!$C$18+IF(parametros_manuales!$H$43="Todos",datos_base!$C$9+datos_base!$C$23,0))*parametros_manuales!$M$95+parametros_manuales!$E$43*(datos_base!$C$3+datos_base!$C$19+IF(parametros_manuales!$H$43="Todos",datos_base!$C$10+datos_base!$C$24,0))*parametros_manuales!$M$100+parametros_manuales!$F$43*(datos_base!$C$4+datos_base!$C$20+IF(parametros_manuales!$H$43="Todos",datos_base!$C$11+datos_base!$C$25,0))*parametros_manuales!$M$105+parametros_manuales!$G$43*(datos_base!$C$5+datos_base!$C$21+IF(parametros_manuales!$H$43="Todos",datos_base!$C$12+datos_base!$C$26,0))*parametros_manuales!$M$110)*parametros_manuales!$I$43*parametros_manuales!$J$43</f>
        <v>976.45838445</v>
      </c>
      <c r="N53" s="9" t="n">
        <f aca="false">SUM(B53:M53)</f>
        <v>10849.537605</v>
      </c>
      <c r="O53" s="9" t="n">
        <f aca="false">MAX(B53:M53)</f>
        <v>976.45838445</v>
      </c>
      <c r="P53" s="43" t="n">
        <f aca="false">O53/(parametros_manuales!$B$7)</f>
        <v>6.509722563</v>
      </c>
      <c r="Q53" s="8" t="str">
        <f aca="false">IF(O53=0,"-",INDEX($B$28:$M$28,MATCH(O53,B53:M53,0)))</f>
        <v>Ene</v>
      </c>
    </row>
    <row r="54" customFormat="false" ht="14.25" hidden="false" customHeight="true" outlineLevel="0" collapsed="false"/>
    <row r="55" customFormat="false" ht="14.25" hidden="false" customHeight="true" outlineLevel="0" collapsed="false">
      <c r="A55" s="7" t="s">
        <v>192</v>
      </c>
      <c r="B55" s="7" t="s">
        <v>61</v>
      </c>
      <c r="C55" s="7" t="s">
        <v>62</v>
      </c>
      <c r="D55" s="7" t="s">
        <v>63</v>
      </c>
      <c r="E55" s="7" t="s">
        <v>64</v>
      </c>
      <c r="F55" s="7" t="s">
        <v>65</v>
      </c>
      <c r="G55" s="7" t="s">
        <v>66</v>
      </c>
      <c r="H55" s="7" t="s">
        <v>67</v>
      </c>
      <c r="I55" s="7" t="s">
        <v>68</v>
      </c>
      <c r="J55" s="7" t="s">
        <v>69</v>
      </c>
      <c r="K55" s="7" t="s">
        <v>70</v>
      </c>
      <c r="L55" s="7" t="s">
        <v>71</v>
      </c>
      <c r="M55" s="7" t="s">
        <v>72</v>
      </c>
      <c r="N55" s="7" t="s">
        <v>183</v>
      </c>
      <c r="O55" s="7" t="s">
        <v>188</v>
      </c>
      <c r="P55" s="7" t="s">
        <v>189</v>
      </c>
      <c r="Q55" s="7" t="s">
        <v>190</v>
      </c>
    </row>
    <row r="56" customFormat="false" ht="14.25" hidden="false" customHeight="true" outlineLevel="0" collapsed="false">
      <c r="A56" s="8" t="str">
        <f aca="false">parametros_manuales!$B$19</f>
        <v>Recepción de materia prima</v>
      </c>
      <c r="B56" s="9" t="n">
        <f aca="false">(parametros_manuales!$D$19*(datos_base!$D$2+datos_base!$D$18+IF(parametros_manuales!$H$19="Todos",datos_base!$D$9+datos_base!$D$23,0))*parametros_manuales!$B$95+parametros_manuales!$E$19*(datos_base!$D$3+datos_base!$D$19+IF(parametros_manuales!$H$19="Todos",datos_base!$D$10+datos_base!$D$24,0))*parametros_manuales!$B$100+parametros_manuales!$F$19*(datos_base!$D$4+datos_base!$D$20+IF(parametros_manuales!$H$19="Todos",datos_base!$D$11+datos_base!$D$25,0))*parametros_manuales!$B$105+parametros_manuales!$G$19*(datos_base!$D$5+datos_base!$D$21+IF(parametros_manuales!$H$19="Todos",datos_base!$D$12+datos_base!$D$26,0))*parametros_manuales!$B$110)*parametros_manuales!$I$19*parametros_manuales!$J$19</f>
        <v>2062.873096776</v>
      </c>
      <c r="C56" s="9" t="n">
        <f aca="false">(parametros_manuales!$D$19*(datos_base!$D$2+datos_base!$D$18+IF(parametros_manuales!$H$19="Todos",datos_base!$D$9+datos_base!$D$23,0))*parametros_manuales!$C$95+parametros_manuales!$E$19*(datos_base!$D$3+datos_base!$D$19+IF(parametros_manuales!$H$19="Todos",datos_base!$D$10+datos_base!$D$24,0))*parametros_manuales!$C$100+parametros_manuales!$F$19*(datos_base!$D$4+datos_base!$D$20+IF(parametros_manuales!$H$19="Todos",datos_base!$D$11+datos_base!$D$25,0))*parametros_manuales!$C$105+parametros_manuales!$G$19*(datos_base!$D$5+datos_base!$D$21+IF(parametros_manuales!$H$19="Todos",datos_base!$D$12+datos_base!$D$26,0))*parametros_manuales!$C$110)*parametros_manuales!$I$19*parametros_manuales!$J$19</f>
        <v>1978.806452492</v>
      </c>
      <c r="D56" s="9" t="n">
        <f aca="false">(parametros_manuales!$D$19*(datos_base!$D$2+datos_base!$D$18+IF(parametros_manuales!$H$19="Todos",datos_base!$D$9+datos_base!$D$23,0))*parametros_manuales!$D$95+parametros_manuales!$E$19*(datos_base!$D$3+datos_base!$D$19+IF(parametros_manuales!$H$19="Todos",datos_base!$D$10+datos_base!$D$24,0))*parametros_manuales!$D$100+parametros_manuales!$F$19*(datos_base!$D$4+datos_base!$D$20+IF(parametros_manuales!$H$19="Todos",datos_base!$D$11+datos_base!$D$25,0))*parametros_manuales!$D$105+parametros_manuales!$G$19*(datos_base!$D$5+datos_base!$D$21+IF(parametros_manuales!$H$19="Todos",datos_base!$D$12+datos_base!$D$26,0))*parametros_manuales!$D$110)*parametros_manuales!$I$19*parametros_manuales!$J$19</f>
        <v>1875.698297054</v>
      </c>
      <c r="E56" s="9" t="n">
        <f aca="false">(parametros_manuales!$D$19*(datos_base!$D$2+datos_base!$D$18+IF(parametros_manuales!$H$19="Todos",datos_base!$D$9+datos_base!$D$23,0))*parametros_manuales!$E$95+parametros_manuales!$E$19*(datos_base!$D$3+datos_base!$D$19+IF(parametros_manuales!$H$19="Todos",datos_base!$D$10+datos_base!$D$24,0))*parametros_manuales!$E$100+parametros_manuales!$F$19*(datos_base!$D$4+datos_base!$D$20+IF(parametros_manuales!$H$19="Todos",datos_base!$D$11+datos_base!$D$25,0))*parametros_manuales!$E$105+parametros_manuales!$G$19*(datos_base!$D$5+datos_base!$D$21+IF(parametros_manuales!$H$19="Todos",datos_base!$D$12+datos_base!$D$26,0))*parametros_manuales!$E$110)*parametros_manuales!$I$19*parametros_manuales!$J$19</f>
        <v>1803.127558264</v>
      </c>
      <c r="F56" s="9" t="n">
        <f aca="false">(parametros_manuales!$D$19*(datos_base!$D$2+datos_base!$D$18+IF(parametros_manuales!$H$19="Todos",datos_base!$D$9+datos_base!$D$23,0))*parametros_manuales!$F$95+parametros_manuales!$E$19*(datos_base!$D$3+datos_base!$D$19+IF(parametros_manuales!$H$19="Todos",datos_base!$D$10+datos_base!$D$24,0))*parametros_manuales!$F$100+parametros_manuales!$F$19*(datos_base!$D$4+datos_base!$D$20+IF(parametros_manuales!$H$19="Todos",datos_base!$D$11+datos_base!$D$25,0))*parametros_manuales!$F$105+parametros_manuales!$G$19*(datos_base!$D$5+datos_base!$D$21+IF(parametros_manuales!$H$19="Todos",datos_base!$D$12+datos_base!$D$26,0))*parametros_manuales!$F$110)*parametros_manuales!$I$19*parametros_manuales!$J$19</f>
        <v>1688.523497332</v>
      </c>
      <c r="G56" s="9" t="n">
        <f aca="false">(parametros_manuales!$D$19*(datos_base!$D$2+datos_base!$D$18+IF(parametros_manuales!$H$19="Todos",datos_base!$D$9+datos_base!$D$23,0))*parametros_manuales!$G$95+parametros_manuales!$E$19*(datos_base!$D$3+datos_base!$D$19+IF(parametros_manuales!$H$19="Todos",datos_base!$D$10+datos_base!$D$24,0))*parametros_manuales!$G$100+parametros_manuales!$F$19*(datos_base!$D$4+datos_base!$D$20+IF(parametros_manuales!$H$19="Todos",datos_base!$D$11+datos_base!$D$25,0))*parametros_manuales!$G$105+parametros_manuales!$G$19*(datos_base!$D$5+datos_base!$D$21+IF(parametros_manuales!$H$19="Todos",datos_base!$D$12+datos_base!$D$26,0))*parametros_manuales!$G$110)*parametros_manuales!$I$19*parametros_manuales!$J$19</f>
        <v>1646.49017519</v>
      </c>
      <c r="H56" s="9" t="n">
        <f aca="false">(parametros_manuales!$D$19*(datos_base!$D$2+datos_base!$D$18+IF(parametros_manuales!$H$19="Todos",datos_base!$D$9+datos_base!$D$23,0))*parametros_manuales!$H$95+parametros_manuales!$E$19*(datos_base!$D$3+datos_base!$D$19+IF(parametros_manuales!$H$19="Todos",datos_base!$D$10+datos_base!$D$24,0))*parametros_manuales!$H$100+parametros_manuales!$F$19*(datos_base!$D$4+datos_base!$D$20+IF(parametros_manuales!$H$19="Todos",datos_base!$D$11+datos_base!$D$25,0))*parametros_manuales!$H$105+parametros_manuales!$G$19*(datos_base!$D$5+datos_base!$D$21+IF(parametros_manuales!$H$19="Todos",datos_base!$D$12+datos_base!$D$26,0))*parametros_manuales!$H$110)*parametros_manuales!$I$19*parametros_manuales!$J$19</f>
        <v>1761.094236122</v>
      </c>
      <c r="I56" s="9" t="n">
        <f aca="false">(parametros_manuales!$D$19*(datos_base!$D$2+datos_base!$D$18+IF(parametros_manuales!$H$19="Todos",datos_base!$D$9+datos_base!$D$23,0))*parametros_manuales!$I$95+parametros_manuales!$E$19*(datos_base!$D$3+datos_base!$D$19+IF(parametros_manuales!$H$19="Todos",datos_base!$D$10+datos_base!$D$24,0))*parametros_manuales!$I$100+parametros_manuales!$F$19*(datos_base!$D$4+datos_base!$D$20+IF(parametros_manuales!$H$19="Todos",datos_base!$D$11+datos_base!$D$25,0))*parametros_manuales!$I$105+parametros_manuales!$G$19*(datos_base!$D$5+datos_base!$D$21+IF(parametros_manuales!$H$19="Todos",datos_base!$D$12+datos_base!$D$26,0))*parametros_manuales!$I$110)*parametros_manuales!$I$19*parametros_manuales!$J$19</f>
        <v>1978.806452492</v>
      </c>
      <c r="J56" s="9" t="n">
        <f aca="false">(parametros_manuales!$D$19*(datos_base!$D$2+datos_base!$D$18+IF(parametros_manuales!$H$19="Todos",datos_base!$D$9+datos_base!$D$23,0))*parametros_manuales!$J$95+parametros_manuales!$E$19*(datos_base!$D$3+datos_base!$D$19+IF(parametros_manuales!$H$19="Todos",datos_base!$D$10+datos_base!$D$24,0))*parametros_manuales!$J$100+parametros_manuales!$F$19*(datos_base!$D$4+datos_base!$D$20+IF(parametros_manuales!$H$19="Todos",datos_base!$D$11+datos_base!$D$25,0))*parametros_manuales!$J$105+parametros_manuales!$G$19*(datos_base!$D$5+datos_base!$D$21+IF(parametros_manuales!$H$19="Todos",datos_base!$D$12+datos_base!$D$26,0))*parametros_manuales!$J$110)*parametros_manuales!$I$19*parametros_manuales!$J$19</f>
        <v>1978.806452492</v>
      </c>
      <c r="K56" s="9" t="n">
        <f aca="false">(parametros_manuales!$D$19*(datos_base!$D$2+datos_base!$D$18+IF(parametros_manuales!$H$19="Todos",datos_base!$D$9+datos_base!$D$23,0))*parametros_manuales!$K$95+parametros_manuales!$E$19*(datos_base!$D$3+datos_base!$D$19+IF(parametros_manuales!$H$19="Todos",datos_base!$D$10+datos_base!$D$24,0))*parametros_manuales!$K$100+parametros_manuales!$F$19*(datos_base!$D$4+datos_base!$D$20+IF(parametros_manuales!$H$19="Todos",datos_base!$D$11+datos_base!$D$25,0))*parametros_manuales!$K$105+parametros_manuales!$G$19*(datos_base!$D$5+datos_base!$D$21+IF(parametros_manuales!$H$19="Todos",datos_base!$D$12+datos_base!$D$26,0))*parametros_manuales!$K$110)*parametros_manuales!$I$19*parametros_manuales!$J$19</f>
        <v>2020.839774634</v>
      </c>
      <c r="L56" s="9" t="n">
        <f aca="false">(parametros_manuales!$D$19*(datos_base!$D$2+datos_base!$D$18+IF(parametros_manuales!$H$19="Todos",datos_base!$D$9+datos_base!$D$23,0))*parametros_manuales!$L$95+parametros_manuales!$E$19*(datos_base!$D$3+datos_base!$D$19+IF(parametros_manuales!$H$19="Todos",datos_base!$D$10+datos_base!$D$24,0))*parametros_manuales!$L$100+parametros_manuales!$F$19*(datos_base!$D$4+datos_base!$D$20+IF(parametros_manuales!$H$19="Todos",datos_base!$D$11+datos_base!$D$25,0))*parametros_manuales!$L$105+parametros_manuales!$G$19*(datos_base!$D$5+datos_base!$D$21+IF(parametros_manuales!$H$19="Todos",datos_base!$D$12+datos_base!$D$26,0))*parametros_manuales!$L$110)*parametros_manuales!$I$19*parametros_manuales!$J$19</f>
        <v>2062.873096776</v>
      </c>
      <c r="M56" s="9" t="n">
        <f aca="false">(parametros_manuales!$D$19*(datos_base!$D$2+datos_base!$D$18+IF(parametros_manuales!$H$19="Todos",datos_base!$D$9+datos_base!$D$23,0))*parametros_manuales!$M$95+parametros_manuales!$E$19*(datos_base!$D$3+datos_base!$D$19+IF(parametros_manuales!$H$19="Todos",datos_base!$D$10+datos_base!$D$24,0))*parametros_manuales!$M$100+parametros_manuales!$F$19*(datos_base!$D$4+datos_base!$D$20+IF(parametros_manuales!$H$19="Todos",datos_base!$D$11+datos_base!$D$25,0))*parametros_manuales!$M$105+parametros_manuales!$G$19*(datos_base!$D$5+datos_base!$D$21+IF(parametros_manuales!$H$19="Todos",datos_base!$D$12+datos_base!$D$26,0))*parametros_manuales!$M$110)*parametros_manuales!$I$19*parametros_manuales!$J$19</f>
        <v>2062.873096776</v>
      </c>
      <c r="N56" s="9" t="n">
        <f aca="false">SUM(B56:M56)</f>
        <v>22920.8121864</v>
      </c>
      <c r="O56" s="9" t="n">
        <f aca="false">MAX(B56:M56)</f>
        <v>2062.873096776</v>
      </c>
      <c r="P56" s="43" t="n">
        <f aca="false">O56/(parametros_manuales!$B$7)</f>
        <v>13.75248731184</v>
      </c>
      <c r="Q56" s="8" t="str">
        <f aca="false">IF(O56=0,"-",INDEX($B$55:$M$55,MATCH(O56,B56:M56,0)))</f>
        <v>Ene</v>
      </c>
    </row>
    <row r="57" customFormat="false" ht="14.25" hidden="false" customHeight="true" outlineLevel="0" collapsed="false">
      <c r="A57" s="8" t="str">
        <f aca="false">parametros_manuales!$B$20</f>
        <v>Corte de chapa (guillotina) — 2,5 a 10 kg</v>
      </c>
      <c r="B57" s="9" t="n">
        <f aca="false">(parametros_manuales!$D$20*(datos_base!$D$2+datos_base!$D$18+IF(parametros_manuales!$H$20="Todos",datos_base!$D$9+datos_base!$D$23,0))*parametros_manuales!$B$95+parametros_manuales!$E$20*(datos_base!$D$3+datos_base!$D$19+IF(parametros_manuales!$H$20="Todos",datos_base!$D$10+datos_base!$D$24,0))*parametros_manuales!$B$100+parametros_manuales!$F$20*(datos_base!$D$4+datos_base!$D$20+IF(parametros_manuales!$H$20="Todos",datos_base!$D$11+datos_base!$D$25,0))*parametros_manuales!$B$105+parametros_manuales!$G$20*(datos_base!$D$5+datos_base!$D$21+IF(parametros_manuales!$H$20="Todos",datos_base!$D$12+datos_base!$D$26,0))*parametros_manuales!$B$110)*parametros_manuales!$I$20*parametros_manuales!$J$20</f>
        <v>756.599798556</v>
      </c>
      <c r="C57" s="9" t="n">
        <f aca="false">(parametros_manuales!$D$20*(datos_base!$D$2+datos_base!$D$18+IF(parametros_manuales!$H$20="Todos",datos_base!$D$9+datos_base!$D$23,0))*parametros_manuales!$C$95+parametros_manuales!$E$20*(datos_base!$D$3+datos_base!$D$19+IF(parametros_manuales!$H$20="Todos",datos_base!$D$10+datos_base!$D$24,0))*parametros_manuales!$C$100+parametros_manuales!$F$20*(datos_base!$D$4+datos_base!$D$20+IF(parametros_manuales!$H$20="Todos",datos_base!$D$11+datos_base!$D$25,0))*parametros_manuales!$C$105+parametros_manuales!$G$20*(datos_base!$D$5+datos_base!$D$21+IF(parametros_manuales!$H$20="Todos",datos_base!$D$12+datos_base!$D$26,0))*parametros_manuales!$C$110)*parametros_manuales!$I$20*parametros_manuales!$J$20</f>
        <v>672.533154272</v>
      </c>
      <c r="D57" s="9" t="n">
        <f aca="false">(parametros_manuales!$D$20*(datos_base!$D$2+datos_base!$D$18+IF(parametros_manuales!$H$20="Todos",datos_base!$D$9+datos_base!$D$23,0))*parametros_manuales!$D$95+parametros_manuales!$E$20*(datos_base!$D$3+datos_base!$D$19+IF(parametros_manuales!$H$20="Todos",datos_base!$D$10+datos_base!$D$24,0))*parametros_manuales!$D$100+parametros_manuales!$F$20*(datos_base!$D$4+datos_base!$D$20+IF(parametros_manuales!$H$20="Todos",datos_base!$D$11+datos_base!$D$25,0))*parametros_manuales!$D$105+parametros_manuales!$G$20*(datos_base!$D$5+datos_base!$D$21+IF(parametros_manuales!$H$20="Todos",datos_base!$D$12+datos_base!$D$26,0))*parametros_manuales!$D$110)*parametros_manuales!$I$20*parametros_manuales!$J$20</f>
        <v>714.566476414</v>
      </c>
      <c r="E57" s="9" t="n">
        <f aca="false">(parametros_manuales!$D$20*(datos_base!$D$2+datos_base!$D$18+IF(parametros_manuales!$H$20="Todos",datos_base!$D$9+datos_base!$D$23,0))*parametros_manuales!$E$95+parametros_manuales!$E$20*(datos_base!$D$3+datos_base!$D$19+IF(parametros_manuales!$H$20="Todos",datos_base!$D$10+datos_base!$D$24,0))*parametros_manuales!$E$100+parametros_manuales!$F$20*(datos_base!$D$4+datos_base!$D$20+IF(parametros_manuales!$H$20="Todos",datos_base!$D$11+datos_base!$D$25,0))*parametros_manuales!$E$105+parametros_manuales!$G$20*(datos_base!$D$5+datos_base!$D$21+IF(parametros_manuales!$H$20="Todos",datos_base!$D$12+datos_base!$D$26,0))*parametros_manuales!$E$110)*parametros_manuales!$I$20*parametros_manuales!$J$20</f>
        <v>714.566476414</v>
      </c>
      <c r="F57" s="9" t="n">
        <f aca="false">(parametros_manuales!$D$20*(datos_base!$D$2+datos_base!$D$18+IF(parametros_manuales!$H$20="Todos",datos_base!$D$9+datos_base!$D$23,0))*parametros_manuales!$F$95+parametros_manuales!$E$20*(datos_base!$D$3+datos_base!$D$19+IF(parametros_manuales!$H$20="Todos",datos_base!$D$10+datos_base!$D$24,0))*parametros_manuales!$F$100+parametros_manuales!$F$20*(datos_base!$D$4+datos_base!$D$20+IF(parametros_manuales!$H$20="Todos",datos_base!$D$11+datos_base!$D$25,0))*parametros_manuales!$F$105+parametros_manuales!$G$20*(datos_base!$D$5+datos_base!$D$21+IF(parametros_manuales!$H$20="Todos",datos_base!$D$12+datos_base!$D$26,0))*parametros_manuales!$F$110)*parametros_manuales!$I$20*parametros_manuales!$J$20</f>
        <v>672.533154272</v>
      </c>
      <c r="G57" s="9" t="n">
        <f aca="false">(parametros_manuales!$D$20*(datos_base!$D$2+datos_base!$D$18+IF(parametros_manuales!$H$20="Todos",datos_base!$D$9+datos_base!$D$23,0))*parametros_manuales!$G$95+parametros_manuales!$E$20*(datos_base!$D$3+datos_base!$D$19+IF(parametros_manuales!$H$20="Todos",datos_base!$D$10+datos_base!$D$24,0))*parametros_manuales!$G$100+parametros_manuales!$F$20*(datos_base!$D$4+datos_base!$D$20+IF(parametros_manuales!$H$20="Todos",datos_base!$D$11+datos_base!$D$25,0))*parametros_manuales!$G$105+parametros_manuales!$G$20*(datos_base!$D$5+datos_base!$D$21+IF(parametros_manuales!$H$20="Todos",datos_base!$D$12+datos_base!$D$26,0))*parametros_manuales!$G$110)*parametros_manuales!$I$20*parametros_manuales!$J$20</f>
        <v>630.49983213</v>
      </c>
      <c r="H57" s="9" t="n">
        <f aca="false">(parametros_manuales!$D$20*(datos_base!$D$2+datos_base!$D$18+IF(parametros_manuales!$H$20="Todos",datos_base!$D$9+datos_base!$D$23,0))*parametros_manuales!$H$95+parametros_manuales!$E$20*(datos_base!$D$3+datos_base!$D$19+IF(parametros_manuales!$H$20="Todos",datos_base!$D$10+datos_base!$D$24,0))*parametros_manuales!$H$100+parametros_manuales!$F$20*(datos_base!$D$4+datos_base!$D$20+IF(parametros_manuales!$H$20="Todos",datos_base!$D$11+datos_base!$D$25,0))*parametros_manuales!$H$105+parametros_manuales!$G$20*(datos_base!$D$5+datos_base!$D$21+IF(parametros_manuales!$H$20="Todos",datos_base!$D$12+datos_base!$D$26,0))*parametros_manuales!$H$110)*parametros_manuales!$I$20*parametros_manuales!$J$20</f>
        <v>672.533154272</v>
      </c>
      <c r="I57" s="9" t="n">
        <f aca="false">(parametros_manuales!$D$20*(datos_base!$D$2+datos_base!$D$18+IF(parametros_manuales!$H$20="Todos",datos_base!$D$9+datos_base!$D$23,0))*parametros_manuales!$I$95+parametros_manuales!$E$20*(datos_base!$D$3+datos_base!$D$19+IF(parametros_manuales!$H$20="Todos",datos_base!$D$10+datos_base!$D$24,0))*parametros_manuales!$I$100+parametros_manuales!$F$20*(datos_base!$D$4+datos_base!$D$20+IF(parametros_manuales!$H$20="Todos",datos_base!$D$11+datos_base!$D$25,0))*parametros_manuales!$I$105+parametros_manuales!$G$20*(datos_base!$D$5+datos_base!$D$21+IF(parametros_manuales!$H$20="Todos",datos_base!$D$12+datos_base!$D$26,0))*parametros_manuales!$I$110)*parametros_manuales!$I$20*parametros_manuales!$J$20</f>
        <v>672.533154272</v>
      </c>
      <c r="J57" s="9" t="n">
        <f aca="false">(parametros_manuales!$D$20*(datos_base!$D$2+datos_base!$D$18+IF(parametros_manuales!$H$20="Todos",datos_base!$D$9+datos_base!$D$23,0))*parametros_manuales!$J$95+parametros_manuales!$E$20*(datos_base!$D$3+datos_base!$D$19+IF(parametros_manuales!$H$20="Todos",datos_base!$D$10+datos_base!$D$24,0))*parametros_manuales!$J$100+parametros_manuales!$F$20*(datos_base!$D$4+datos_base!$D$20+IF(parametros_manuales!$H$20="Todos",datos_base!$D$11+datos_base!$D$25,0))*parametros_manuales!$J$105+parametros_manuales!$G$20*(datos_base!$D$5+datos_base!$D$21+IF(parametros_manuales!$H$20="Todos",datos_base!$D$12+datos_base!$D$26,0))*parametros_manuales!$J$110)*parametros_manuales!$I$20*parametros_manuales!$J$20</f>
        <v>672.533154272</v>
      </c>
      <c r="K57" s="9" t="n">
        <f aca="false">(parametros_manuales!$D$20*(datos_base!$D$2+datos_base!$D$18+IF(parametros_manuales!$H$20="Todos",datos_base!$D$9+datos_base!$D$23,0))*parametros_manuales!$K$95+parametros_manuales!$E$20*(datos_base!$D$3+datos_base!$D$19+IF(parametros_manuales!$H$20="Todos",datos_base!$D$10+datos_base!$D$24,0))*parametros_manuales!$K$100+parametros_manuales!$F$20*(datos_base!$D$4+datos_base!$D$20+IF(parametros_manuales!$H$20="Todos",datos_base!$D$11+datos_base!$D$25,0))*parametros_manuales!$K$105+parametros_manuales!$G$20*(datos_base!$D$5+datos_base!$D$21+IF(parametros_manuales!$H$20="Todos",datos_base!$D$12+datos_base!$D$26,0))*parametros_manuales!$K$110)*parametros_manuales!$I$20*parametros_manuales!$J$20</f>
        <v>714.566476414</v>
      </c>
      <c r="L57" s="9" t="n">
        <f aca="false">(parametros_manuales!$D$20*(datos_base!$D$2+datos_base!$D$18+IF(parametros_manuales!$H$20="Todos",datos_base!$D$9+datos_base!$D$23,0))*parametros_manuales!$L$95+parametros_manuales!$E$20*(datos_base!$D$3+datos_base!$D$19+IF(parametros_manuales!$H$20="Todos",datos_base!$D$10+datos_base!$D$24,0))*parametros_manuales!$L$100+parametros_manuales!$F$20*(datos_base!$D$4+datos_base!$D$20+IF(parametros_manuales!$H$20="Todos",datos_base!$D$11+datos_base!$D$25,0))*parametros_manuales!$L$105+parametros_manuales!$G$20*(datos_base!$D$5+datos_base!$D$21+IF(parametros_manuales!$H$20="Todos",datos_base!$D$12+datos_base!$D$26,0))*parametros_manuales!$L$110)*parametros_manuales!$I$20*parametros_manuales!$J$20</f>
        <v>756.599798556</v>
      </c>
      <c r="M57" s="9" t="n">
        <f aca="false">(parametros_manuales!$D$20*(datos_base!$D$2+datos_base!$D$18+IF(parametros_manuales!$H$20="Todos",datos_base!$D$9+datos_base!$D$23,0))*parametros_manuales!$M$95+parametros_manuales!$E$20*(datos_base!$D$3+datos_base!$D$19+IF(parametros_manuales!$H$20="Todos",datos_base!$D$10+datos_base!$D$24,0))*parametros_manuales!$M$100+parametros_manuales!$F$20*(datos_base!$D$4+datos_base!$D$20+IF(parametros_manuales!$H$20="Todos",datos_base!$D$11+datos_base!$D$25,0))*parametros_manuales!$M$105+parametros_manuales!$G$20*(datos_base!$D$5+datos_base!$D$21+IF(parametros_manuales!$H$20="Todos",datos_base!$D$12+datos_base!$D$26,0))*parametros_manuales!$M$110)*parametros_manuales!$I$20*parametros_manuales!$J$20</f>
        <v>756.599798556</v>
      </c>
      <c r="N57" s="9" t="n">
        <f aca="false">SUM(B57:M57)</f>
        <v>8406.6644284</v>
      </c>
      <c r="O57" s="9" t="n">
        <f aca="false">MAX(B57:M57)</f>
        <v>756.599798556</v>
      </c>
      <c r="P57" s="43" t="n">
        <f aca="false">O57/(parametros_manuales!$B$7)</f>
        <v>5.04399865704</v>
      </c>
      <c r="Q57" s="8" t="str">
        <f aca="false">IF(O57=0,"-",INDEX($B$55:$M$55,MATCH(O57,B57:M57,0)))</f>
        <v>Ene</v>
      </c>
    </row>
    <row r="58" customFormat="false" ht="14.25" hidden="false" customHeight="true" outlineLevel="0" collapsed="false">
      <c r="A58" s="8" t="str">
        <f aca="false">parametros_manuales!$B$21</f>
        <v>Corte de tubo — 1 kg</v>
      </c>
      <c r="B58" s="9" t="n">
        <f aca="false">(parametros_manuales!$D$21*(datos_base!$D$2+datos_base!$D$18+IF(parametros_manuales!$H$21="Todos",datos_base!$D$9+datos_base!$D$23,0))*parametros_manuales!$B$95+parametros_manuales!$E$21*(datos_base!$D$3+datos_base!$D$19+IF(parametros_manuales!$H$21="Todos",datos_base!$D$10+datos_base!$D$24,0))*parametros_manuales!$B$100+parametros_manuales!$F$21*(datos_base!$D$4+datos_base!$D$20+IF(parametros_manuales!$H$21="Todos",datos_base!$D$11+datos_base!$D$25,0))*parametros_manuales!$B$105+parametros_manuales!$G$21*(datos_base!$D$5+datos_base!$D$21+IF(parametros_manuales!$H$21="Todos",datos_base!$D$12+datos_base!$D$26,0))*parametros_manuales!$B$110)*parametros_manuales!$I$21*parametros_manuales!$J$21</f>
        <v>1306.27329822</v>
      </c>
      <c r="C58" s="9" t="n">
        <f aca="false">(parametros_manuales!$D$21*(datos_base!$D$2+datos_base!$D$18+IF(parametros_manuales!$H$21="Todos",datos_base!$D$9+datos_base!$D$23,0))*parametros_manuales!$C$95+parametros_manuales!$E$21*(datos_base!$D$3+datos_base!$D$19+IF(parametros_manuales!$H$21="Todos",datos_base!$D$10+datos_base!$D$24,0))*parametros_manuales!$C$100+parametros_manuales!$F$21*(datos_base!$D$4+datos_base!$D$20+IF(parametros_manuales!$H$21="Todos",datos_base!$D$11+datos_base!$D$25,0))*parametros_manuales!$C$105+parametros_manuales!$G$21*(datos_base!$D$5+datos_base!$D$21+IF(parametros_manuales!$H$21="Todos",datos_base!$D$12+datos_base!$D$26,0))*parametros_manuales!$C$110)*parametros_manuales!$I$21*parametros_manuales!$J$21</f>
        <v>1306.27329822</v>
      </c>
      <c r="D58" s="9" t="n">
        <f aca="false">(parametros_manuales!$D$21*(datos_base!$D$2+datos_base!$D$18+IF(parametros_manuales!$H$21="Todos",datos_base!$D$9+datos_base!$D$23,0))*parametros_manuales!$D$95+parametros_manuales!$E$21*(datos_base!$D$3+datos_base!$D$19+IF(parametros_manuales!$H$21="Todos",datos_base!$D$10+datos_base!$D$24,0))*parametros_manuales!$D$100+parametros_manuales!$F$21*(datos_base!$D$4+datos_base!$D$20+IF(parametros_manuales!$H$21="Todos",datos_base!$D$11+datos_base!$D$25,0))*parametros_manuales!$D$105+parametros_manuales!$G$21*(datos_base!$D$5+datos_base!$D$21+IF(parametros_manuales!$H$21="Todos",datos_base!$D$12+datos_base!$D$26,0))*parametros_manuales!$D$110)*parametros_manuales!$I$21*parametros_manuales!$J$21</f>
        <v>1161.13182064</v>
      </c>
      <c r="E58" s="9" t="n">
        <f aca="false">(parametros_manuales!$D$21*(datos_base!$D$2+datos_base!$D$18+IF(parametros_manuales!$H$21="Todos",datos_base!$D$9+datos_base!$D$23,0))*parametros_manuales!$E$95+parametros_manuales!$E$21*(datos_base!$D$3+datos_base!$D$19+IF(parametros_manuales!$H$21="Todos",datos_base!$D$10+datos_base!$D$24,0))*parametros_manuales!$E$100+parametros_manuales!$F$21*(datos_base!$D$4+datos_base!$D$20+IF(parametros_manuales!$H$21="Todos",datos_base!$D$11+datos_base!$D$25,0))*parametros_manuales!$E$105+parametros_manuales!$G$21*(datos_base!$D$5+datos_base!$D$21+IF(parametros_manuales!$H$21="Todos",datos_base!$D$12+datos_base!$D$26,0))*parametros_manuales!$E$110)*parametros_manuales!$I$21*parametros_manuales!$J$21</f>
        <v>1088.56108185</v>
      </c>
      <c r="F58" s="9" t="n">
        <f aca="false">(parametros_manuales!$D$21*(datos_base!$D$2+datos_base!$D$18+IF(parametros_manuales!$H$21="Todos",datos_base!$D$9+datos_base!$D$23,0))*parametros_manuales!$F$95+parametros_manuales!$E$21*(datos_base!$D$3+datos_base!$D$19+IF(parametros_manuales!$H$21="Todos",datos_base!$D$10+datos_base!$D$24,0))*parametros_manuales!$F$100+parametros_manuales!$F$21*(datos_base!$D$4+datos_base!$D$20+IF(parametros_manuales!$H$21="Todos",datos_base!$D$11+datos_base!$D$25,0))*parametros_manuales!$F$105+parametros_manuales!$G$21*(datos_base!$D$5+datos_base!$D$21+IF(parametros_manuales!$H$21="Todos",datos_base!$D$12+datos_base!$D$26,0))*parametros_manuales!$F$110)*parametros_manuales!$I$21*parametros_manuales!$J$21</f>
        <v>1015.99034306</v>
      </c>
      <c r="G58" s="9" t="n">
        <f aca="false">(parametros_manuales!$D$21*(datos_base!$D$2+datos_base!$D$18+IF(parametros_manuales!$H$21="Todos",datos_base!$D$9+datos_base!$D$23,0))*parametros_manuales!$G$95+parametros_manuales!$E$21*(datos_base!$D$3+datos_base!$D$19+IF(parametros_manuales!$H$21="Todos",datos_base!$D$10+datos_base!$D$24,0))*parametros_manuales!$G$100+parametros_manuales!$F$21*(datos_base!$D$4+datos_base!$D$20+IF(parametros_manuales!$H$21="Todos",datos_base!$D$11+datos_base!$D$25,0))*parametros_manuales!$G$105+parametros_manuales!$G$21*(datos_base!$D$5+datos_base!$D$21+IF(parametros_manuales!$H$21="Todos",datos_base!$D$12+datos_base!$D$26,0))*parametros_manuales!$G$110)*parametros_manuales!$I$21*parametros_manuales!$J$21</f>
        <v>1015.99034306</v>
      </c>
      <c r="H58" s="9" t="n">
        <f aca="false">(parametros_manuales!$D$21*(datos_base!$D$2+datos_base!$D$18+IF(parametros_manuales!$H$21="Todos",datos_base!$D$9+datos_base!$D$23,0))*parametros_manuales!$H$95+parametros_manuales!$E$21*(datos_base!$D$3+datos_base!$D$19+IF(parametros_manuales!$H$21="Todos",datos_base!$D$10+datos_base!$D$24,0))*parametros_manuales!$H$100+parametros_manuales!$F$21*(datos_base!$D$4+datos_base!$D$20+IF(parametros_manuales!$H$21="Todos",datos_base!$D$11+datos_base!$D$25,0))*parametros_manuales!$H$105+parametros_manuales!$G$21*(datos_base!$D$5+datos_base!$D$21+IF(parametros_manuales!$H$21="Todos",datos_base!$D$12+datos_base!$D$26,0))*parametros_manuales!$H$110)*parametros_manuales!$I$21*parametros_manuales!$J$21</f>
        <v>1088.56108185</v>
      </c>
      <c r="I58" s="9" t="n">
        <f aca="false">(parametros_manuales!$D$21*(datos_base!$D$2+datos_base!$D$18+IF(parametros_manuales!$H$21="Todos",datos_base!$D$9+datos_base!$D$23,0))*parametros_manuales!$I$95+parametros_manuales!$E$21*(datos_base!$D$3+datos_base!$D$19+IF(parametros_manuales!$H$21="Todos",datos_base!$D$10+datos_base!$D$24,0))*parametros_manuales!$I$100+parametros_manuales!$F$21*(datos_base!$D$4+datos_base!$D$20+IF(parametros_manuales!$H$21="Todos",datos_base!$D$11+datos_base!$D$25,0))*parametros_manuales!$I$105+parametros_manuales!$G$21*(datos_base!$D$5+datos_base!$D$21+IF(parametros_manuales!$H$21="Todos",datos_base!$D$12+datos_base!$D$26,0))*parametros_manuales!$I$110)*parametros_manuales!$I$21*parametros_manuales!$J$21</f>
        <v>1306.27329822</v>
      </c>
      <c r="J58" s="9" t="n">
        <f aca="false">(parametros_manuales!$D$21*(datos_base!$D$2+datos_base!$D$18+IF(parametros_manuales!$H$21="Todos",datos_base!$D$9+datos_base!$D$23,0))*parametros_manuales!$J$95+parametros_manuales!$E$21*(datos_base!$D$3+datos_base!$D$19+IF(parametros_manuales!$H$21="Todos",datos_base!$D$10+datos_base!$D$24,0))*parametros_manuales!$J$100+parametros_manuales!$F$21*(datos_base!$D$4+datos_base!$D$20+IF(parametros_manuales!$H$21="Todos",datos_base!$D$11+datos_base!$D$25,0))*parametros_manuales!$J$105+parametros_manuales!$G$21*(datos_base!$D$5+datos_base!$D$21+IF(parametros_manuales!$H$21="Todos",datos_base!$D$12+datos_base!$D$26,0))*parametros_manuales!$J$110)*parametros_manuales!$I$21*parametros_manuales!$J$21</f>
        <v>1306.27329822</v>
      </c>
      <c r="K58" s="9" t="n">
        <f aca="false">(parametros_manuales!$D$21*(datos_base!$D$2+datos_base!$D$18+IF(parametros_manuales!$H$21="Todos",datos_base!$D$9+datos_base!$D$23,0))*parametros_manuales!$K$95+parametros_manuales!$E$21*(datos_base!$D$3+datos_base!$D$19+IF(parametros_manuales!$H$21="Todos",datos_base!$D$10+datos_base!$D$24,0))*parametros_manuales!$K$100+parametros_manuales!$F$21*(datos_base!$D$4+datos_base!$D$20+IF(parametros_manuales!$H$21="Todos",datos_base!$D$11+datos_base!$D$25,0))*parametros_manuales!$K$105+parametros_manuales!$G$21*(datos_base!$D$5+datos_base!$D$21+IF(parametros_manuales!$H$21="Todos",datos_base!$D$12+datos_base!$D$26,0))*parametros_manuales!$K$110)*parametros_manuales!$I$21*parametros_manuales!$J$21</f>
        <v>1306.27329822</v>
      </c>
      <c r="L58" s="9" t="n">
        <f aca="false">(parametros_manuales!$D$21*(datos_base!$D$2+datos_base!$D$18+IF(parametros_manuales!$H$21="Todos",datos_base!$D$9+datos_base!$D$23,0))*parametros_manuales!$L$95+parametros_manuales!$E$21*(datos_base!$D$3+datos_base!$D$19+IF(parametros_manuales!$H$21="Todos",datos_base!$D$10+datos_base!$D$24,0))*parametros_manuales!$L$100+parametros_manuales!$F$21*(datos_base!$D$4+datos_base!$D$20+IF(parametros_manuales!$H$21="Todos",datos_base!$D$11+datos_base!$D$25,0))*parametros_manuales!$L$105+parametros_manuales!$G$21*(datos_base!$D$5+datos_base!$D$21+IF(parametros_manuales!$H$21="Todos",datos_base!$D$12+datos_base!$D$26,0))*parametros_manuales!$L$110)*parametros_manuales!$I$21*parametros_manuales!$J$21</f>
        <v>1306.27329822</v>
      </c>
      <c r="M58" s="9" t="n">
        <f aca="false">(parametros_manuales!$D$21*(datos_base!$D$2+datos_base!$D$18+IF(parametros_manuales!$H$21="Todos",datos_base!$D$9+datos_base!$D$23,0))*parametros_manuales!$M$95+parametros_manuales!$E$21*(datos_base!$D$3+datos_base!$D$19+IF(parametros_manuales!$H$21="Todos",datos_base!$D$10+datos_base!$D$24,0))*parametros_manuales!$M$100+parametros_manuales!$F$21*(datos_base!$D$4+datos_base!$D$20+IF(parametros_manuales!$H$21="Todos",datos_base!$D$11+datos_base!$D$25,0))*parametros_manuales!$M$105+parametros_manuales!$G$21*(datos_base!$D$5+datos_base!$D$21+IF(parametros_manuales!$H$21="Todos",datos_base!$D$12+datos_base!$D$26,0))*parametros_manuales!$M$110)*parametros_manuales!$I$21*parametros_manuales!$J$21</f>
        <v>1306.27329822</v>
      </c>
      <c r="N58" s="9" t="n">
        <f aca="false">SUM(B58:M58)</f>
        <v>14514.147758</v>
      </c>
      <c r="O58" s="9" t="n">
        <f aca="false">MAX(B58:M58)</f>
        <v>1306.27329822</v>
      </c>
      <c r="P58" s="43" t="n">
        <f aca="false">O58/(parametros_manuales!$B$7)</f>
        <v>8.7084886548</v>
      </c>
      <c r="Q58" s="8" t="str">
        <f aca="false">IF(O58=0,"-",INDEX($B$55:$M$55,MATCH(O58,B58:M58,0)))</f>
        <v>Ene</v>
      </c>
    </row>
    <row r="59" customFormat="false" ht="14.25" hidden="false" customHeight="true" outlineLevel="0" collapsed="false">
      <c r="A59" s="8" t="str">
        <f aca="false">parametros_manuales!$B$22</f>
        <v>Corte de disco y embutido (cúpula y fondo)</v>
      </c>
      <c r="B59" s="9" t="n">
        <f aca="false">(parametros_manuales!$D$22*(datos_base!$D$2+datos_base!$D$18+IF(parametros_manuales!$H$22="Todos",datos_base!$D$9+datos_base!$D$23,0))*parametros_manuales!$B$95+parametros_manuales!$E$22*(datos_base!$D$3+datos_base!$D$19+IF(parametros_manuales!$H$22="Todos",datos_base!$D$10+datos_base!$D$24,0))*parametros_manuales!$B$100+parametros_manuales!$F$22*(datos_base!$D$4+datos_base!$D$20+IF(parametros_manuales!$H$22="Todos",datos_base!$D$11+datos_base!$D$25,0))*parametros_manuales!$B$105+parametros_manuales!$G$22*(datos_base!$D$5+datos_base!$D$21+IF(parametros_manuales!$H$22="Todos",datos_base!$D$12+datos_base!$D$26,0))*parametros_manuales!$B$110)*parametros_manuales!$I$22*parametros_manuales!$J$22</f>
        <v>4125.746193552</v>
      </c>
      <c r="C59" s="9" t="n">
        <f aca="false">(parametros_manuales!$D$22*(datos_base!$D$2+datos_base!$D$18+IF(parametros_manuales!$H$22="Todos",datos_base!$D$9+datos_base!$D$23,0))*parametros_manuales!$C$95+parametros_manuales!$E$22*(datos_base!$D$3+datos_base!$D$19+IF(parametros_manuales!$H$22="Todos",datos_base!$D$10+datos_base!$D$24,0))*parametros_manuales!$C$100+parametros_manuales!$F$22*(datos_base!$D$4+datos_base!$D$20+IF(parametros_manuales!$H$22="Todos",datos_base!$D$11+datos_base!$D$25,0))*parametros_manuales!$C$105+parametros_manuales!$G$22*(datos_base!$D$5+datos_base!$D$21+IF(parametros_manuales!$H$22="Todos",datos_base!$D$12+datos_base!$D$26,0))*parametros_manuales!$C$110)*parametros_manuales!$I$22*parametros_manuales!$J$22</f>
        <v>3957.612904984</v>
      </c>
      <c r="D59" s="9" t="n">
        <f aca="false">(parametros_manuales!$D$22*(datos_base!$D$2+datos_base!$D$18+IF(parametros_manuales!$H$22="Todos",datos_base!$D$9+datos_base!$D$23,0))*parametros_manuales!$D$95+parametros_manuales!$E$22*(datos_base!$D$3+datos_base!$D$19+IF(parametros_manuales!$H$22="Todos",datos_base!$D$10+datos_base!$D$24,0))*parametros_manuales!$D$100+parametros_manuales!$F$22*(datos_base!$D$4+datos_base!$D$20+IF(parametros_manuales!$H$22="Todos",datos_base!$D$11+datos_base!$D$25,0))*parametros_manuales!$D$105+parametros_manuales!$G$22*(datos_base!$D$5+datos_base!$D$21+IF(parametros_manuales!$H$22="Todos",datos_base!$D$12+datos_base!$D$26,0))*parametros_manuales!$D$110)*parametros_manuales!$I$22*parametros_manuales!$J$22</f>
        <v>3751.396594108</v>
      </c>
      <c r="E59" s="9" t="n">
        <f aca="false">(parametros_manuales!$D$22*(datos_base!$D$2+datos_base!$D$18+IF(parametros_manuales!$H$22="Todos",datos_base!$D$9+datos_base!$D$23,0))*parametros_manuales!$E$95+parametros_manuales!$E$22*(datos_base!$D$3+datos_base!$D$19+IF(parametros_manuales!$H$22="Todos",datos_base!$D$10+datos_base!$D$24,0))*parametros_manuales!$E$100+parametros_manuales!$F$22*(datos_base!$D$4+datos_base!$D$20+IF(parametros_manuales!$H$22="Todos",datos_base!$D$11+datos_base!$D$25,0))*parametros_manuales!$E$105+parametros_manuales!$G$22*(datos_base!$D$5+datos_base!$D$21+IF(parametros_manuales!$H$22="Todos",datos_base!$D$12+datos_base!$D$26,0))*parametros_manuales!$E$110)*parametros_manuales!$I$22*parametros_manuales!$J$22</f>
        <v>3606.255116528</v>
      </c>
      <c r="F59" s="9" t="n">
        <f aca="false">(parametros_manuales!$D$22*(datos_base!$D$2+datos_base!$D$18+IF(parametros_manuales!$H$22="Todos",datos_base!$D$9+datos_base!$D$23,0))*parametros_manuales!$F$95+parametros_manuales!$E$22*(datos_base!$D$3+datos_base!$D$19+IF(parametros_manuales!$H$22="Todos",datos_base!$D$10+datos_base!$D$24,0))*parametros_manuales!$F$100+parametros_manuales!$F$22*(datos_base!$D$4+datos_base!$D$20+IF(parametros_manuales!$H$22="Todos",datos_base!$D$11+datos_base!$D$25,0))*parametros_manuales!$F$105+parametros_manuales!$G$22*(datos_base!$D$5+datos_base!$D$21+IF(parametros_manuales!$H$22="Todos",datos_base!$D$12+datos_base!$D$26,0))*parametros_manuales!$F$110)*parametros_manuales!$I$22*parametros_manuales!$J$22</f>
        <v>3377.046994664</v>
      </c>
      <c r="G59" s="9" t="n">
        <f aca="false">(parametros_manuales!$D$22*(datos_base!$D$2+datos_base!$D$18+IF(parametros_manuales!$H$22="Todos",datos_base!$D$9+datos_base!$D$23,0))*parametros_manuales!$G$95+parametros_manuales!$E$22*(datos_base!$D$3+datos_base!$D$19+IF(parametros_manuales!$H$22="Todos",datos_base!$D$10+datos_base!$D$24,0))*parametros_manuales!$G$100+parametros_manuales!$F$22*(datos_base!$D$4+datos_base!$D$20+IF(parametros_manuales!$H$22="Todos",datos_base!$D$11+datos_base!$D$25,0))*parametros_manuales!$G$105+parametros_manuales!$G$22*(datos_base!$D$5+datos_base!$D$21+IF(parametros_manuales!$H$22="Todos",datos_base!$D$12+datos_base!$D$26,0))*parametros_manuales!$G$110)*parametros_manuales!$I$22*parametros_manuales!$J$22</f>
        <v>3292.98035038</v>
      </c>
      <c r="H59" s="9" t="n">
        <f aca="false">(parametros_manuales!$D$22*(datos_base!$D$2+datos_base!$D$18+IF(parametros_manuales!$H$22="Todos",datos_base!$D$9+datos_base!$D$23,0))*parametros_manuales!$H$95+parametros_manuales!$E$22*(datos_base!$D$3+datos_base!$D$19+IF(parametros_manuales!$H$22="Todos",datos_base!$D$10+datos_base!$D$24,0))*parametros_manuales!$H$100+parametros_manuales!$F$22*(datos_base!$D$4+datos_base!$D$20+IF(parametros_manuales!$H$22="Todos",datos_base!$D$11+datos_base!$D$25,0))*parametros_manuales!$H$105+parametros_manuales!$G$22*(datos_base!$D$5+datos_base!$D$21+IF(parametros_manuales!$H$22="Todos",datos_base!$D$12+datos_base!$D$26,0))*parametros_manuales!$H$110)*parametros_manuales!$I$22*parametros_manuales!$J$22</f>
        <v>3522.188472244</v>
      </c>
      <c r="I59" s="9" t="n">
        <f aca="false">(parametros_manuales!$D$22*(datos_base!$D$2+datos_base!$D$18+IF(parametros_manuales!$H$22="Todos",datos_base!$D$9+datos_base!$D$23,0))*parametros_manuales!$I$95+parametros_manuales!$E$22*(datos_base!$D$3+datos_base!$D$19+IF(parametros_manuales!$H$22="Todos",datos_base!$D$10+datos_base!$D$24,0))*parametros_manuales!$I$100+parametros_manuales!$F$22*(datos_base!$D$4+datos_base!$D$20+IF(parametros_manuales!$H$22="Todos",datos_base!$D$11+datos_base!$D$25,0))*parametros_manuales!$I$105+parametros_manuales!$G$22*(datos_base!$D$5+datos_base!$D$21+IF(parametros_manuales!$H$22="Todos",datos_base!$D$12+datos_base!$D$26,0))*parametros_manuales!$I$110)*parametros_manuales!$I$22*parametros_manuales!$J$22</f>
        <v>3957.612904984</v>
      </c>
      <c r="J59" s="9" t="n">
        <f aca="false">(parametros_manuales!$D$22*(datos_base!$D$2+datos_base!$D$18+IF(parametros_manuales!$H$22="Todos",datos_base!$D$9+datos_base!$D$23,0))*parametros_manuales!$J$95+parametros_manuales!$E$22*(datos_base!$D$3+datos_base!$D$19+IF(parametros_manuales!$H$22="Todos",datos_base!$D$10+datos_base!$D$24,0))*parametros_manuales!$J$100+parametros_manuales!$F$22*(datos_base!$D$4+datos_base!$D$20+IF(parametros_manuales!$H$22="Todos",datos_base!$D$11+datos_base!$D$25,0))*parametros_manuales!$J$105+parametros_manuales!$G$22*(datos_base!$D$5+datos_base!$D$21+IF(parametros_manuales!$H$22="Todos",datos_base!$D$12+datos_base!$D$26,0))*parametros_manuales!$J$110)*parametros_manuales!$I$22*parametros_manuales!$J$22</f>
        <v>3957.612904984</v>
      </c>
      <c r="K59" s="9" t="n">
        <f aca="false">(parametros_manuales!$D$22*(datos_base!$D$2+datos_base!$D$18+IF(parametros_manuales!$H$22="Todos",datos_base!$D$9+datos_base!$D$23,0))*parametros_manuales!$K$95+parametros_manuales!$E$22*(datos_base!$D$3+datos_base!$D$19+IF(parametros_manuales!$H$22="Todos",datos_base!$D$10+datos_base!$D$24,0))*parametros_manuales!$K$100+parametros_manuales!$F$22*(datos_base!$D$4+datos_base!$D$20+IF(parametros_manuales!$H$22="Todos",datos_base!$D$11+datos_base!$D$25,0))*parametros_manuales!$K$105+parametros_manuales!$G$22*(datos_base!$D$5+datos_base!$D$21+IF(parametros_manuales!$H$22="Todos",datos_base!$D$12+datos_base!$D$26,0))*parametros_manuales!$K$110)*parametros_manuales!$I$22*parametros_manuales!$J$22</f>
        <v>4041.679549268</v>
      </c>
      <c r="L59" s="9" t="n">
        <f aca="false">(parametros_manuales!$D$22*(datos_base!$D$2+datos_base!$D$18+IF(parametros_manuales!$H$22="Todos",datos_base!$D$9+datos_base!$D$23,0))*parametros_manuales!$L$95+parametros_manuales!$E$22*(datos_base!$D$3+datos_base!$D$19+IF(parametros_manuales!$H$22="Todos",datos_base!$D$10+datos_base!$D$24,0))*parametros_manuales!$L$100+parametros_manuales!$F$22*(datos_base!$D$4+datos_base!$D$20+IF(parametros_manuales!$H$22="Todos",datos_base!$D$11+datos_base!$D$25,0))*parametros_manuales!$L$105+parametros_manuales!$G$22*(datos_base!$D$5+datos_base!$D$21+IF(parametros_manuales!$H$22="Todos",datos_base!$D$12+datos_base!$D$26,0))*parametros_manuales!$L$110)*parametros_manuales!$I$22*parametros_manuales!$J$22</f>
        <v>4125.746193552</v>
      </c>
      <c r="M59" s="9" t="n">
        <f aca="false">(parametros_manuales!$D$22*(datos_base!$D$2+datos_base!$D$18+IF(parametros_manuales!$H$22="Todos",datos_base!$D$9+datos_base!$D$23,0))*parametros_manuales!$M$95+parametros_manuales!$E$22*(datos_base!$D$3+datos_base!$D$19+IF(parametros_manuales!$H$22="Todos",datos_base!$D$10+datos_base!$D$24,0))*parametros_manuales!$M$100+parametros_manuales!$F$22*(datos_base!$D$4+datos_base!$D$20+IF(parametros_manuales!$H$22="Todos",datos_base!$D$11+datos_base!$D$25,0))*parametros_manuales!$M$105+parametros_manuales!$G$22*(datos_base!$D$5+datos_base!$D$21+IF(parametros_manuales!$H$22="Todos",datos_base!$D$12+datos_base!$D$26,0))*parametros_manuales!$M$110)*parametros_manuales!$I$22*parametros_manuales!$J$22</f>
        <v>4125.746193552</v>
      </c>
      <c r="N59" s="9" t="n">
        <f aca="false">SUM(B59:M59)</f>
        <v>45841.6243728</v>
      </c>
      <c r="O59" s="9" t="n">
        <f aca="false">MAX(B59:M59)</f>
        <v>4125.746193552</v>
      </c>
      <c r="P59" s="43" t="n">
        <f aca="false">O59/(parametros_manuales!$B$7)</f>
        <v>27.50497462368</v>
      </c>
      <c r="Q59" s="8" t="str">
        <f aca="false">IF(O59=0,"-",INDEX($B$55:$M$55,MATCH(O59,B59:M59,0)))</f>
        <v>Ene</v>
      </c>
    </row>
    <row r="60" customFormat="false" ht="14.25" hidden="false" customHeight="true" outlineLevel="0" collapsed="false">
      <c r="A60" s="8" t="str">
        <f aca="false">parametros_manuales!$B$23</f>
        <v>Preparación de cuello</v>
      </c>
      <c r="B60" s="9" t="n">
        <f aca="false">(parametros_manuales!$D$23*(datos_base!$D$2+datos_base!$D$18+IF(parametros_manuales!$H$23="Todos",datos_base!$D$9+datos_base!$D$23,0))*parametros_manuales!$B$95+parametros_manuales!$E$23*(datos_base!$D$3+datos_base!$D$19+IF(parametros_manuales!$H$23="Todos",datos_base!$D$10+datos_base!$D$24,0))*parametros_manuales!$B$100+parametros_manuales!$F$23*(datos_base!$D$4+datos_base!$D$20+IF(parametros_manuales!$H$23="Todos",datos_base!$D$11+datos_base!$D$25,0))*parametros_manuales!$B$105+parametros_manuales!$G$23*(datos_base!$D$5+datos_base!$D$21+IF(parametros_manuales!$H$23="Todos",datos_base!$D$12+datos_base!$D$26,0))*parametros_manuales!$B$110)*parametros_manuales!$I$23*parametros_manuales!$J$23</f>
        <v>2062.873096776</v>
      </c>
      <c r="C60" s="9" t="n">
        <f aca="false">(parametros_manuales!$D$23*(datos_base!$D$2+datos_base!$D$18+IF(parametros_manuales!$H$23="Todos",datos_base!$D$9+datos_base!$D$23,0))*parametros_manuales!$C$95+parametros_manuales!$E$23*(datos_base!$D$3+datos_base!$D$19+IF(parametros_manuales!$H$23="Todos",datos_base!$D$10+datos_base!$D$24,0))*parametros_manuales!$C$100+parametros_manuales!$F$23*(datos_base!$D$4+datos_base!$D$20+IF(parametros_manuales!$H$23="Todos",datos_base!$D$11+datos_base!$D$25,0))*parametros_manuales!$C$105+parametros_manuales!$G$23*(datos_base!$D$5+datos_base!$D$21+IF(parametros_manuales!$H$23="Todos",datos_base!$D$12+datos_base!$D$26,0))*parametros_manuales!$C$110)*parametros_manuales!$I$23*parametros_manuales!$J$23</f>
        <v>1978.806452492</v>
      </c>
      <c r="D60" s="9" t="n">
        <f aca="false">(parametros_manuales!$D$23*(datos_base!$D$2+datos_base!$D$18+IF(parametros_manuales!$H$23="Todos",datos_base!$D$9+datos_base!$D$23,0))*parametros_manuales!$D$95+parametros_manuales!$E$23*(datos_base!$D$3+datos_base!$D$19+IF(parametros_manuales!$H$23="Todos",datos_base!$D$10+datos_base!$D$24,0))*parametros_manuales!$D$100+parametros_manuales!$F$23*(datos_base!$D$4+datos_base!$D$20+IF(parametros_manuales!$H$23="Todos",datos_base!$D$11+datos_base!$D$25,0))*parametros_manuales!$D$105+parametros_manuales!$G$23*(datos_base!$D$5+datos_base!$D$21+IF(parametros_manuales!$H$23="Todos",datos_base!$D$12+datos_base!$D$26,0))*parametros_manuales!$D$110)*parametros_manuales!$I$23*parametros_manuales!$J$23</f>
        <v>1875.698297054</v>
      </c>
      <c r="E60" s="9" t="n">
        <f aca="false">(parametros_manuales!$D$23*(datos_base!$D$2+datos_base!$D$18+IF(parametros_manuales!$H$23="Todos",datos_base!$D$9+datos_base!$D$23,0))*parametros_manuales!$E$95+parametros_manuales!$E$23*(datos_base!$D$3+datos_base!$D$19+IF(parametros_manuales!$H$23="Todos",datos_base!$D$10+datos_base!$D$24,0))*parametros_manuales!$E$100+parametros_manuales!$F$23*(datos_base!$D$4+datos_base!$D$20+IF(parametros_manuales!$H$23="Todos",datos_base!$D$11+datos_base!$D$25,0))*parametros_manuales!$E$105+parametros_manuales!$G$23*(datos_base!$D$5+datos_base!$D$21+IF(parametros_manuales!$H$23="Todos",datos_base!$D$12+datos_base!$D$26,0))*parametros_manuales!$E$110)*parametros_manuales!$I$23*parametros_manuales!$J$23</f>
        <v>1803.127558264</v>
      </c>
      <c r="F60" s="9" t="n">
        <f aca="false">(parametros_manuales!$D$23*(datos_base!$D$2+datos_base!$D$18+IF(parametros_manuales!$H$23="Todos",datos_base!$D$9+datos_base!$D$23,0))*parametros_manuales!$F$95+parametros_manuales!$E$23*(datos_base!$D$3+datos_base!$D$19+IF(parametros_manuales!$H$23="Todos",datos_base!$D$10+datos_base!$D$24,0))*parametros_manuales!$F$100+parametros_manuales!$F$23*(datos_base!$D$4+datos_base!$D$20+IF(parametros_manuales!$H$23="Todos",datos_base!$D$11+datos_base!$D$25,0))*parametros_manuales!$F$105+parametros_manuales!$G$23*(datos_base!$D$5+datos_base!$D$21+IF(parametros_manuales!$H$23="Todos",datos_base!$D$12+datos_base!$D$26,0))*parametros_manuales!$F$110)*parametros_manuales!$I$23*parametros_manuales!$J$23</f>
        <v>1688.523497332</v>
      </c>
      <c r="G60" s="9" t="n">
        <f aca="false">(parametros_manuales!$D$23*(datos_base!$D$2+datos_base!$D$18+IF(parametros_manuales!$H$23="Todos",datos_base!$D$9+datos_base!$D$23,0))*parametros_manuales!$G$95+parametros_manuales!$E$23*(datos_base!$D$3+datos_base!$D$19+IF(parametros_manuales!$H$23="Todos",datos_base!$D$10+datos_base!$D$24,0))*parametros_manuales!$G$100+parametros_manuales!$F$23*(datos_base!$D$4+datos_base!$D$20+IF(parametros_manuales!$H$23="Todos",datos_base!$D$11+datos_base!$D$25,0))*parametros_manuales!$G$105+parametros_manuales!$G$23*(datos_base!$D$5+datos_base!$D$21+IF(parametros_manuales!$H$23="Todos",datos_base!$D$12+datos_base!$D$26,0))*parametros_manuales!$G$110)*parametros_manuales!$I$23*parametros_manuales!$J$23</f>
        <v>1646.49017519</v>
      </c>
      <c r="H60" s="9" t="n">
        <f aca="false">(parametros_manuales!$D$23*(datos_base!$D$2+datos_base!$D$18+IF(parametros_manuales!$H$23="Todos",datos_base!$D$9+datos_base!$D$23,0))*parametros_manuales!$H$95+parametros_manuales!$E$23*(datos_base!$D$3+datos_base!$D$19+IF(parametros_manuales!$H$23="Todos",datos_base!$D$10+datos_base!$D$24,0))*parametros_manuales!$H$100+parametros_manuales!$F$23*(datos_base!$D$4+datos_base!$D$20+IF(parametros_manuales!$H$23="Todos",datos_base!$D$11+datos_base!$D$25,0))*parametros_manuales!$H$105+parametros_manuales!$G$23*(datos_base!$D$5+datos_base!$D$21+IF(parametros_manuales!$H$23="Todos",datos_base!$D$12+datos_base!$D$26,0))*parametros_manuales!$H$110)*parametros_manuales!$I$23*parametros_manuales!$J$23</f>
        <v>1761.094236122</v>
      </c>
      <c r="I60" s="9" t="n">
        <f aca="false">(parametros_manuales!$D$23*(datos_base!$D$2+datos_base!$D$18+IF(parametros_manuales!$H$23="Todos",datos_base!$D$9+datos_base!$D$23,0))*parametros_manuales!$I$95+parametros_manuales!$E$23*(datos_base!$D$3+datos_base!$D$19+IF(parametros_manuales!$H$23="Todos",datos_base!$D$10+datos_base!$D$24,0))*parametros_manuales!$I$100+parametros_manuales!$F$23*(datos_base!$D$4+datos_base!$D$20+IF(parametros_manuales!$H$23="Todos",datos_base!$D$11+datos_base!$D$25,0))*parametros_manuales!$I$105+parametros_manuales!$G$23*(datos_base!$D$5+datos_base!$D$21+IF(parametros_manuales!$H$23="Todos",datos_base!$D$12+datos_base!$D$26,0))*parametros_manuales!$I$110)*parametros_manuales!$I$23*parametros_manuales!$J$23</f>
        <v>1978.806452492</v>
      </c>
      <c r="J60" s="9" t="n">
        <f aca="false">(parametros_manuales!$D$23*(datos_base!$D$2+datos_base!$D$18+IF(parametros_manuales!$H$23="Todos",datos_base!$D$9+datos_base!$D$23,0))*parametros_manuales!$J$95+parametros_manuales!$E$23*(datos_base!$D$3+datos_base!$D$19+IF(parametros_manuales!$H$23="Todos",datos_base!$D$10+datos_base!$D$24,0))*parametros_manuales!$J$100+parametros_manuales!$F$23*(datos_base!$D$4+datos_base!$D$20+IF(parametros_manuales!$H$23="Todos",datos_base!$D$11+datos_base!$D$25,0))*parametros_manuales!$J$105+parametros_manuales!$G$23*(datos_base!$D$5+datos_base!$D$21+IF(parametros_manuales!$H$23="Todos",datos_base!$D$12+datos_base!$D$26,0))*parametros_manuales!$J$110)*parametros_manuales!$I$23*parametros_manuales!$J$23</f>
        <v>1978.806452492</v>
      </c>
      <c r="K60" s="9" t="n">
        <f aca="false">(parametros_manuales!$D$23*(datos_base!$D$2+datos_base!$D$18+IF(parametros_manuales!$H$23="Todos",datos_base!$D$9+datos_base!$D$23,0))*parametros_manuales!$K$95+parametros_manuales!$E$23*(datos_base!$D$3+datos_base!$D$19+IF(parametros_manuales!$H$23="Todos",datos_base!$D$10+datos_base!$D$24,0))*parametros_manuales!$K$100+parametros_manuales!$F$23*(datos_base!$D$4+datos_base!$D$20+IF(parametros_manuales!$H$23="Todos",datos_base!$D$11+datos_base!$D$25,0))*parametros_manuales!$K$105+parametros_manuales!$G$23*(datos_base!$D$5+datos_base!$D$21+IF(parametros_manuales!$H$23="Todos",datos_base!$D$12+datos_base!$D$26,0))*parametros_manuales!$K$110)*parametros_manuales!$I$23*parametros_manuales!$J$23</f>
        <v>2020.839774634</v>
      </c>
      <c r="L60" s="9" t="n">
        <f aca="false">(parametros_manuales!$D$23*(datos_base!$D$2+datos_base!$D$18+IF(parametros_manuales!$H$23="Todos",datos_base!$D$9+datos_base!$D$23,0))*parametros_manuales!$L$95+parametros_manuales!$E$23*(datos_base!$D$3+datos_base!$D$19+IF(parametros_manuales!$H$23="Todos",datos_base!$D$10+datos_base!$D$24,0))*parametros_manuales!$L$100+parametros_manuales!$F$23*(datos_base!$D$4+datos_base!$D$20+IF(parametros_manuales!$H$23="Todos",datos_base!$D$11+datos_base!$D$25,0))*parametros_manuales!$L$105+parametros_manuales!$G$23*(datos_base!$D$5+datos_base!$D$21+IF(parametros_manuales!$H$23="Todos",datos_base!$D$12+datos_base!$D$26,0))*parametros_manuales!$L$110)*parametros_manuales!$I$23*parametros_manuales!$J$23</f>
        <v>2062.873096776</v>
      </c>
      <c r="M60" s="9" t="n">
        <f aca="false">(parametros_manuales!$D$23*(datos_base!$D$2+datos_base!$D$18+IF(parametros_manuales!$H$23="Todos",datos_base!$D$9+datos_base!$D$23,0))*parametros_manuales!$M$95+parametros_manuales!$E$23*(datos_base!$D$3+datos_base!$D$19+IF(parametros_manuales!$H$23="Todos",datos_base!$D$10+datos_base!$D$24,0))*parametros_manuales!$M$100+parametros_manuales!$F$23*(datos_base!$D$4+datos_base!$D$20+IF(parametros_manuales!$H$23="Todos",datos_base!$D$11+datos_base!$D$25,0))*parametros_manuales!$M$105+parametros_manuales!$G$23*(datos_base!$D$5+datos_base!$D$21+IF(parametros_manuales!$H$23="Todos",datos_base!$D$12+datos_base!$D$26,0))*parametros_manuales!$M$110)*parametros_manuales!$I$23*parametros_manuales!$J$23</f>
        <v>2062.873096776</v>
      </c>
      <c r="N60" s="9" t="n">
        <f aca="false">SUM(B60:M60)</f>
        <v>22920.8121864</v>
      </c>
      <c r="O60" s="9" t="n">
        <f aca="false">MAX(B60:M60)</f>
        <v>2062.873096776</v>
      </c>
      <c r="P60" s="43" t="n">
        <f aca="false">O60/(parametros_manuales!$B$7)</f>
        <v>13.75248731184</v>
      </c>
      <c r="Q60" s="8" t="str">
        <f aca="false">IF(O60=0,"-",INDEX($B$55:$M$55,MATCH(O60,B60:M60,0)))</f>
        <v>Ene</v>
      </c>
    </row>
    <row r="61" customFormat="false" ht="14.25" hidden="false" customHeight="true" outlineLevel="0" collapsed="false">
      <c r="A61" s="8" t="str">
        <f aca="false">parametros_manuales!$B$24</f>
        <v>Numerado de cúpula</v>
      </c>
      <c r="B61" s="9" t="n">
        <f aca="false">(parametros_manuales!$D$24*(datos_base!$D$2+datos_base!$D$18+IF(parametros_manuales!$H$24="Todos",datos_base!$D$9+datos_base!$D$23,0))*parametros_manuales!$B$95+parametros_manuales!$E$24*(datos_base!$D$3+datos_base!$D$19+IF(parametros_manuales!$H$24="Todos",datos_base!$D$10+datos_base!$D$24,0))*parametros_manuales!$B$100+parametros_manuales!$F$24*(datos_base!$D$4+datos_base!$D$20+IF(parametros_manuales!$H$24="Todos",datos_base!$D$11+datos_base!$D$25,0))*parametros_manuales!$B$105+parametros_manuales!$G$24*(datos_base!$D$5+datos_base!$D$21+IF(parametros_manuales!$H$24="Todos",datos_base!$D$12+datos_base!$D$26,0))*parametros_manuales!$B$110)*parametros_manuales!$I$24*parametros_manuales!$J$24</f>
        <v>2062.873096776</v>
      </c>
      <c r="C61" s="9" t="n">
        <f aca="false">(parametros_manuales!$D$24*(datos_base!$D$2+datos_base!$D$18+IF(parametros_manuales!$H$24="Todos",datos_base!$D$9+datos_base!$D$23,0))*parametros_manuales!$C$95+parametros_manuales!$E$24*(datos_base!$D$3+datos_base!$D$19+IF(parametros_manuales!$H$24="Todos",datos_base!$D$10+datos_base!$D$24,0))*parametros_manuales!$C$100+parametros_manuales!$F$24*(datos_base!$D$4+datos_base!$D$20+IF(parametros_manuales!$H$24="Todos",datos_base!$D$11+datos_base!$D$25,0))*parametros_manuales!$C$105+parametros_manuales!$G$24*(datos_base!$D$5+datos_base!$D$21+IF(parametros_manuales!$H$24="Todos",datos_base!$D$12+datos_base!$D$26,0))*parametros_manuales!$C$110)*parametros_manuales!$I$24*parametros_manuales!$J$24</f>
        <v>1978.806452492</v>
      </c>
      <c r="D61" s="9" t="n">
        <f aca="false">(parametros_manuales!$D$24*(datos_base!$D$2+datos_base!$D$18+IF(parametros_manuales!$H$24="Todos",datos_base!$D$9+datos_base!$D$23,0))*parametros_manuales!$D$95+parametros_manuales!$E$24*(datos_base!$D$3+datos_base!$D$19+IF(parametros_manuales!$H$24="Todos",datos_base!$D$10+datos_base!$D$24,0))*parametros_manuales!$D$100+parametros_manuales!$F$24*(datos_base!$D$4+datos_base!$D$20+IF(parametros_manuales!$H$24="Todos",datos_base!$D$11+datos_base!$D$25,0))*parametros_manuales!$D$105+parametros_manuales!$G$24*(datos_base!$D$5+datos_base!$D$21+IF(parametros_manuales!$H$24="Todos",datos_base!$D$12+datos_base!$D$26,0))*parametros_manuales!$D$110)*parametros_manuales!$I$24*parametros_manuales!$J$24</f>
        <v>1875.698297054</v>
      </c>
      <c r="E61" s="9" t="n">
        <f aca="false">(parametros_manuales!$D$24*(datos_base!$D$2+datos_base!$D$18+IF(parametros_manuales!$H$24="Todos",datos_base!$D$9+datos_base!$D$23,0))*parametros_manuales!$E$95+parametros_manuales!$E$24*(datos_base!$D$3+datos_base!$D$19+IF(parametros_manuales!$H$24="Todos",datos_base!$D$10+datos_base!$D$24,0))*parametros_manuales!$E$100+parametros_manuales!$F$24*(datos_base!$D$4+datos_base!$D$20+IF(parametros_manuales!$H$24="Todos",datos_base!$D$11+datos_base!$D$25,0))*parametros_manuales!$E$105+parametros_manuales!$G$24*(datos_base!$D$5+datos_base!$D$21+IF(parametros_manuales!$H$24="Todos",datos_base!$D$12+datos_base!$D$26,0))*parametros_manuales!$E$110)*parametros_manuales!$I$24*parametros_manuales!$J$24</f>
        <v>1803.127558264</v>
      </c>
      <c r="F61" s="9" t="n">
        <f aca="false">(parametros_manuales!$D$24*(datos_base!$D$2+datos_base!$D$18+IF(parametros_manuales!$H$24="Todos",datos_base!$D$9+datos_base!$D$23,0))*parametros_manuales!$F$95+parametros_manuales!$E$24*(datos_base!$D$3+datos_base!$D$19+IF(parametros_manuales!$H$24="Todos",datos_base!$D$10+datos_base!$D$24,0))*parametros_manuales!$F$100+parametros_manuales!$F$24*(datos_base!$D$4+datos_base!$D$20+IF(parametros_manuales!$H$24="Todos",datos_base!$D$11+datos_base!$D$25,0))*parametros_manuales!$F$105+parametros_manuales!$G$24*(datos_base!$D$5+datos_base!$D$21+IF(parametros_manuales!$H$24="Todos",datos_base!$D$12+datos_base!$D$26,0))*parametros_manuales!$F$110)*parametros_manuales!$I$24*parametros_manuales!$J$24</f>
        <v>1688.523497332</v>
      </c>
      <c r="G61" s="9" t="n">
        <f aca="false">(parametros_manuales!$D$24*(datos_base!$D$2+datos_base!$D$18+IF(parametros_manuales!$H$24="Todos",datos_base!$D$9+datos_base!$D$23,0))*parametros_manuales!$G$95+parametros_manuales!$E$24*(datos_base!$D$3+datos_base!$D$19+IF(parametros_manuales!$H$24="Todos",datos_base!$D$10+datos_base!$D$24,0))*parametros_manuales!$G$100+parametros_manuales!$F$24*(datos_base!$D$4+datos_base!$D$20+IF(parametros_manuales!$H$24="Todos",datos_base!$D$11+datos_base!$D$25,0))*parametros_manuales!$G$105+parametros_manuales!$G$24*(datos_base!$D$5+datos_base!$D$21+IF(parametros_manuales!$H$24="Todos",datos_base!$D$12+datos_base!$D$26,0))*parametros_manuales!$G$110)*parametros_manuales!$I$24*parametros_manuales!$J$24</f>
        <v>1646.49017519</v>
      </c>
      <c r="H61" s="9" t="n">
        <f aca="false">(parametros_manuales!$D$24*(datos_base!$D$2+datos_base!$D$18+IF(parametros_manuales!$H$24="Todos",datos_base!$D$9+datos_base!$D$23,0))*parametros_manuales!$H$95+parametros_manuales!$E$24*(datos_base!$D$3+datos_base!$D$19+IF(parametros_manuales!$H$24="Todos",datos_base!$D$10+datos_base!$D$24,0))*parametros_manuales!$H$100+parametros_manuales!$F$24*(datos_base!$D$4+datos_base!$D$20+IF(parametros_manuales!$H$24="Todos",datos_base!$D$11+datos_base!$D$25,0))*parametros_manuales!$H$105+parametros_manuales!$G$24*(datos_base!$D$5+datos_base!$D$21+IF(parametros_manuales!$H$24="Todos",datos_base!$D$12+datos_base!$D$26,0))*parametros_manuales!$H$110)*parametros_manuales!$I$24*parametros_manuales!$J$24</f>
        <v>1761.094236122</v>
      </c>
      <c r="I61" s="9" t="n">
        <f aca="false">(parametros_manuales!$D$24*(datos_base!$D$2+datos_base!$D$18+IF(parametros_manuales!$H$24="Todos",datos_base!$D$9+datos_base!$D$23,0))*parametros_manuales!$I$95+parametros_manuales!$E$24*(datos_base!$D$3+datos_base!$D$19+IF(parametros_manuales!$H$24="Todos",datos_base!$D$10+datos_base!$D$24,0))*parametros_manuales!$I$100+parametros_manuales!$F$24*(datos_base!$D$4+datos_base!$D$20+IF(parametros_manuales!$H$24="Todos",datos_base!$D$11+datos_base!$D$25,0))*parametros_manuales!$I$105+parametros_manuales!$G$24*(datos_base!$D$5+datos_base!$D$21+IF(parametros_manuales!$H$24="Todos",datos_base!$D$12+datos_base!$D$26,0))*parametros_manuales!$I$110)*parametros_manuales!$I$24*parametros_manuales!$J$24</f>
        <v>1978.806452492</v>
      </c>
      <c r="J61" s="9" t="n">
        <f aca="false">(parametros_manuales!$D$24*(datos_base!$D$2+datos_base!$D$18+IF(parametros_manuales!$H$24="Todos",datos_base!$D$9+datos_base!$D$23,0))*parametros_manuales!$J$95+parametros_manuales!$E$24*(datos_base!$D$3+datos_base!$D$19+IF(parametros_manuales!$H$24="Todos",datos_base!$D$10+datos_base!$D$24,0))*parametros_manuales!$J$100+parametros_manuales!$F$24*(datos_base!$D$4+datos_base!$D$20+IF(parametros_manuales!$H$24="Todos",datos_base!$D$11+datos_base!$D$25,0))*parametros_manuales!$J$105+parametros_manuales!$G$24*(datos_base!$D$5+datos_base!$D$21+IF(parametros_manuales!$H$24="Todos",datos_base!$D$12+datos_base!$D$26,0))*parametros_manuales!$J$110)*parametros_manuales!$I$24*parametros_manuales!$J$24</f>
        <v>1978.806452492</v>
      </c>
      <c r="K61" s="9" t="n">
        <f aca="false">(parametros_manuales!$D$24*(datos_base!$D$2+datos_base!$D$18+IF(parametros_manuales!$H$24="Todos",datos_base!$D$9+datos_base!$D$23,0))*parametros_manuales!$K$95+parametros_manuales!$E$24*(datos_base!$D$3+datos_base!$D$19+IF(parametros_manuales!$H$24="Todos",datos_base!$D$10+datos_base!$D$24,0))*parametros_manuales!$K$100+parametros_manuales!$F$24*(datos_base!$D$4+datos_base!$D$20+IF(parametros_manuales!$H$24="Todos",datos_base!$D$11+datos_base!$D$25,0))*parametros_manuales!$K$105+parametros_manuales!$G$24*(datos_base!$D$5+datos_base!$D$21+IF(parametros_manuales!$H$24="Todos",datos_base!$D$12+datos_base!$D$26,0))*parametros_manuales!$K$110)*parametros_manuales!$I$24*parametros_manuales!$J$24</f>
        <v>2020.839774634</v>
      </c>
      <c r="L61" s="9" t="n">
        <f aca="false">(parametros_manuales!$D$24*(datos_base!$D$2+datos_base!$D$18+IF(parametros_manuales!$H$24="Todos",datos_base!$D$9+datos_base!$D$23,0))*parametros_manuales!$L$95+parametros_manuales!$E$24*(datos_base!$D$3+datos_base!$D$19+IF(parametros_manuales!$H$24="Todos",datos_base!$D$10+datos_base!$D$24,0))*parametros_manuales!$L$100+parametros_manuales!$F$24*(datos_base!$D$4+datos_base!$D$20+IF(parametros_manuales!$H$24="Todos",datos_base!$D$11+datos_base!$D$25,0))*parametros_manuales!$L$105+parametros_manuales!$G$24*(datos_base!$D$5+datos_base!$D$21+IF(parametros_manuales!$H$24="Todos",datos_base!$D$12+datos_base!$D$26,0))*parametros_manuales!$L$110)*parametros_manuales!$I$24*parametros_manuales!$J$24</f>
        <v>2062.873096776</v>
      </c>
      <c r="M61" s="9" t="n">
        <f aca="false">(parametros_manuales!$D$24*(datos_base!$D$2+datos_base!$D$18+IF(parametros_manuales!$H$24="Todos",datos_base!$D$9+datos_base!$D$23,0))*parametros_manuales!$M$95+parametros_manuales!$E$24*(datos_base!$D$3+datos_base!$D$19+IF(parametros_manuales!$H$24="Todos",datos_base!$D$10+datos_base!$D$24,0))*parametros_manuales!$M$100+parametros_manuales!$F$24*(datos_base!$D$4+datos_base!$D$20+IF(parametros_manuales!$H$24="Todos",datos_base!$D$11+datos_base!$D$25,0))*parametros_manuales!$M$105+parametros_manuales!$G$24*(datos_base!$D$5+datos_base!$D$21+IF(parametros_manuales!$H$24="Todos",datos_base!$D$12+datos_base!$D$26,0))*parametros_manuales!$M$110)*parametros_manuales!$I$24*parametros_manuales!$J$24</f>
        <v>2062.873096776</v>
      </c>
      <c r="N61" s="9" t="n">
        <f aca="false">SUM(B61:M61)</f>
        <v>22920.8121864</v>
      </c>
      <c r="O61" s="9" t="n">
        <f aca="false">MAX(B61:M61)</f>
        <v>2062.873096776</v>
      </c>
      <c r="P61" s="43" t="n">
        <f aca="false">O61/(parametros_manuales!$B$7)</f>
        <v>13.75248731184</v>
      </c>
      <c r="Q61" s="8" t="str">
        <f aca="false">IF(O61=0,"-",INDEX($B$55:$M$55,MATCH(O61,B61:M61,0)))</f>
        <v>Ene</v>
      </c>
    </row>
    <row r="62" customFormat="false" ht="14.25" hidden="false" customHeight="true" outlineLevel="0" collapsed="false">
      <c r="A62" s="8" t="str">
        <f aca="false">parametros_manuales!$B$25</f>
        <v>Soldadura del cuello a la cúpula</v>
      </c>
      <c r="B62" s="9" t="n">
        <f aca="false">(parametros_manuales!$D$25*(datos_base!$D$2+datos_base!$D$18+IF(parametros_manuales!$H$25="Todos",datos_base!$D$9+datos_base!$D$23,0))*parametros_manuales!$B$95+parametros_manuales!$E$25*(datos_base!$D$3+datos_base!$D$19+IF(parametros_manuales!$H$25="Todos",datos_base!$D$10+datos_base!$D$24,0))*parametros_manuales!$B$100+parametros_manuales!$F$25*(datos_base!$D$4+datos_base!$D$20+IF(parametros_manuales!$H$25="Todos",datos_base!$D$11+datos_base!$D$25,0))*parametros_manuales!$B$105+parametros_manuales!$G$25*(datos_base!$D$5+datos_base!$D$21+IF(parametros_manuales!$H$25="Todos",datos_base!$D$12+datos_base!$D$26,0))*parametros_manuales!$B$110)*parametros_manuales!$I$25*parametros_manuales!$J$25</f>
        <v>2062.873096776</v>
      </c>
      <c r="C62" s="9" t="n">
        <f aca="false">(parametros_manuales!$D$25*(datos_base!$D$2+datos_base!$D$18+IF(parametros_manuales!$H$25="Todos",datos_base!$D$9+datos_base!$D$23,0))*parametros_manuales!$C$95+parametros_manuales!$E$25*(datos_base!$D$3+datos_base!$D$19+IF(parametros_manuales!$H$25="Todos",datos_base!$D$10+datos_base!$D$24,0))*parametros_manuales!$C$100+parametros_manuales!$F$25*(datos_base!$D$4+datos_base!$D$20+IF(parametros_manuales!$H$25="Todos",datos_base!$D$11+datos_base!$D$25,0))*parametros_manuales!$C$105+parametros_manuales!$G$25*(datos_base!$D$5+datos_base!$D$21+IF(parametros_manuales!$H$25="Todos",datos_base!$D$12+datos_base!$D$26,0))*parametros_manuales!$C$110)*parametros_manuales!$I$25*parametros_manuales!$J$25</f>
        <v>1978.806452492</v>
      </c>
      <c r="D62" s="9" t="n">
        <f aca="false">(parametros_manuales!$D$25*(datos_base!$D$2+datos_base!$D$18+IF(parametros_manuales!$H$25="Todos",datos_base!$D$9+datos_base!$D$23,0))*parametros_manuales!$D$95+parametros_manuales!$E$25*(datos_base!$D$3+datos_base!$D$19+IF(parametros_manuales!$H$25="Todos",datos_base!$D$10+datos_base!$D$24,0))*parametros_manuales!$D$100+parametros_manuales!$F$25*(datos_base!$D$4+datos_base!$D$20+IF(parametros_manuales!$H$25="Todos",datos_base!$D$11+datos_base!$D$25,0))*parametros_manuales!$D$105+parametros_manuales!$G$25*(datos_base!$D$5+datos_base!$D$21+IF(parametros_manuales!$H$25="Todos",datos_base!$D$12+datos_base!$D$26,0))*parametros_manuales!$D$110)*parametros_manuales!$I$25*parametros_manuales!$J$25</f>
        <v>1875.698297054</v>
      </c>
      <c r="E62" s="9" t="n">
        <f aca="false">(parametros_manuales!$D$25*(datos_base!$D$2+datos_base!$D$18+IF(parametros_manuales!$H$25="Todos",datos_base!$D$9+datos_base!$D$23,0))*parametros_manuales!$E$95+parametros_manuales!$E$25*(datos_base!$D$3+datos_base!$D$19+IF(parametros_manuales!$H$25="Todos",datos_base!$D$10+datos_base!$D$24,0))*parametros_manuales!$E$100+parametros_manuales!$F$25*(datos_base!$D$4+datos_base!$D$20+IF(parametros_manuales!$H$25="Todos",datos_base!$D$11+datos_base!$D$25,0))*parametros_manuales!$E$105+parametros_manuales!$G$25*(datos_base!$D$5+datos_base!$D$21+IF(parametros_manuales!$H$25="Todos",datos_base!$D$12+datos_base!$D$26,0))*parametros_manuales!$E$110)*parametros_manuales!$I$25*parametros_manuales!$J$25</f>
        <v>1803.127558264</v>
      </c>
      <c r="F62" s="9" t="n">
        <f aca="false">(parametros_manuales!$D$25*(datos_base!$D$2+datos_base!$D$18+IF(parametros_manuales!$H$25="Todos",datos_base!$D$9+datos_base!$D$23,0))*parametros_manuales!$F$95+parametros_manuales!$E$25*(datos_base!$D$3+datos_base!$D$19+IF(parametros_manuales!$H$25="Todos",datos_base!$D$10+datos_base!$D$24,0))*parametros_manuales!$F$100+parametros_manuales!$F$25*(datos_base!$D$4+datos_base!$D$20+IF(parametros_manuales!$H$25="Todos",datos_base!$D$11+datos_base!$D$25,0))*parametros_manuales!$F$105+parametros_manuales!$G$25*(datos_base!$D$5+datos_base!$D$21+IF(parametros_manuales!$H$25="Todos",datos_base!$D$12+datos_base!$D$26,0))*parametros_manuales!$F$110)*parametros_manuales!$I$25*parametros_manuales!$J$25</f>
        <v>1688.523497332</v>
      </c>
      <c r="G62" s="9" t="n">
        <f aca="false">(parametros_manuales!$D$25*(datos_base!$D$2+datos_base!$D$18+IF(parametros_manuales!$H$25="Todos",datos_base!$D$9+datos_base!$D$23,0))*parametros_manuales!$G$95+parametros_manuales!$E$25*(datos_base!$D$3+datos_base!$D$19+IF(parametros_manuales!$H$25="Todos",datos_base!$D$10+datos_base!$D$24,0))*parametros_manuales!$G$100+parametros_manuales!$F$25*(datos_base!$D$4+datos_base!$D$20+IF(parametros_manuales!$H$25="Todos",datos_base!$D$11+datos_base!$D$25,0))*parametros_manuales!$G$105+parametros_manuales!$G$25*(datos_base!$D$5+datos_base!$D$21+IF(parametros_manuales!$H$25="Todos",datos_base!$D$12+datos_base!$D$26,0))*parametros_manuales!$G$110)*parametros_manuales!$I$25*parametros_manuales!$J$25</f>
        <v>1646.49017519</v>
      </c>
      <c r="H62" s="9" t="n">
        <f aca="false">(parametros_manuales!$D$25*(datos_base!$D$2+datos_base!$D$18+IF(parametros_manuales!$H$25="Todos",datos_base!$D$9+datos_base!$D$23,0))*parametros_manuales!$H$95+parametros_manuales!$E$25*(datos_base!$D$3+datos_base!$D$19+IF(parametros_manuales!$H$25="Todos",datos_base!$D$10+datos_base!$D$24,0))*parametros_manuales!$H$100+parametros_manuales!$F$25*(datos_base!$D$4+datos_base!$D$20+IF(parametros_manuales!$H$25="Todos",datos_base!$D$11+datos_base!$D$25,0))*parametros_manuales!$H$105+parametros_manuales!$G$25*(datos_base!$D$5+datos_base!$D$21+IF(parametros_manuales!$H$25="Todos",datos_base!$D$12+datos_base!$D$26,0))*parametros_manuales!$H$110)*parametros_manuales!$I$25*parametros_manuales!$J$25</f>
        <v>1761.094236122</v>
      </c>
      <c r="I62" s="9" t="n">
        <f aca="false">(parametros_manuales!$D$25*(datos_base!$D$2+datos_base!$D$18+IF(parametros_manuales!$H$25="Todos",datos_base!$D$9+datos_base!$D$23,0))*parametros_manuales!$I$95+parametros_manuales!$E$25*(datos_base!$D$3+datos_base!$D$19+IF(parametros_manuales!$H$25="Todos",datos_base!$D$10+datos_base!$D$24,0))*parametros_manuales!$I$100+parametros_manuales!$F$25*(datos_base!$D$4+datos_base!$D$20+IF(parametros_manuales!$H$25="Todos",datos_base!$D$11+datos_base!$D$25,0))*parametros_manuales!$I$105+parametros_manuales!$G$25*(datos_base!$D$5+datos_base!$D$21+IF(parametros_manuales!$H$25="Todos",datos_base!$D$12+datos_base!$D$26,0))*parametros_manuales!$I$110)*parametros_manuales!$I$25*parametros_manuales!$J$25</f>
        <v>1978.806452492</v>
      </c>
      <c r="J62" s="9" t="n">
        <f aca="false">(parametros_manuales!$D$25*(datos_base!$D$2+datos_base!$D$18+IF(parametros_manuales!$H$25="Todos",datos_base!$D$9+datos_base!$D$23,0))*parametros_manuales!$J$95+parametros_manuales!$E$25*(datos_base!$D$3+datos_base!$D$19+IF(parametros_manuales!$H$25="Todos",datos_base!$D$10+datos_base!$D$24,0))*parametros_manuales!$J$100+parametros_manuales!$F$25*(datos_base!$D$4+datos_base!$D$20+IF(parametros_manuales!$H$25="Todos",datos_base!$D$11+datos_base!$D$25,0))*parametros_manuales!$J$105+parametros_manuales!$G$25*(datos_base!$D$5+datos_base!$D$21+IF(parametros_manuales!$H$25="Todos",datos_base!$D$12+datos_base!$D$26,0))*parametros_manuales!$J$110)*parametros_manuales!$I$25*parametros_manuales!$J$25</f>
        <v>1978.806452492</v>
      </c>
      <c r="K62" s="9" t="n">
        <f aca="false">(parametros_manuales!$D$25*(datos_base!$D$2+datos_base!$D$18+IF(parametros_manuales!$H$25="Todos",datos_base!$D$9+datos_base!$D$23,0))*parametros_manuales!$K$95+parametros_manuales!$E$25*(datos_base!$D$3+datos_base!$D$19+IF(parametros_manuales!$H$25="Todos",datos_base!$D$10+datos_base!$D$24,0))*parametros_manuales!$K$100+parametros_manuales!$F$25*(datos_base!$D$4+datos_base!$D$20+IF(parametros_manuales!$H$25="Todos",datos_base!$D$11+datos_base!$D$25,0))*parametros_manuales!$K$105+parametros_manuales!$G$25*(datos_base!$D$5+datos_base!$D$21+IF(parametros_manuales!$H$25="Todos",datos_base!$D$12+datos_base!$D$26,0))*parametros_manuales!$K$110)*parametros_manuales!$I$25*parametros_manuales!$J$25</f>
        <v>2020.839774634</v>
      </c>
      <c r="L62" s="9" t="n">
        <f aca="false">(parametros_manuales!$D$25*(datos_base!$D$2+datos_base!$D$18+IF(parametros_manuales!$H$25="Todos",datos_base!$D$9+datos_base!$D$23,0))*parametros_manuales!$L$95+parametros_manuales!$E$25*(datos_base!$D$3+datos_base!$D$19+IF(parametros_manuales!$H$25="Todos",datos_base!$D$10+datos_base!$D$24,0))*parametros_manuales!$L$100+parametros_manuales!$F$25*(datos_base!$D$4+datos_base!$D$20+IF(parametros_manuales!$H$25="Todos",datos_base!$D$11+datos_base!$D$25,0))*parametros_manuales!$L$105+parametros_manuales!$G$25*(datos_base!$D$5+datos_base!$D$21+IF(parametros_manuales!$H$25="Todos",datos_base!$D$12+datos_base!$D$26,0))*parametros_manuales!$L$110)*parametros_manuales!$I$25*parametros_manuales!$J$25</f>
        <v>2062.873096776</v>
      </c>
      <c r="M62" s="9" t="n">
        <f aca="false">(parametros_manuales!$D$25*(datos_base!$D$2+datos_base!$D$18+IF(parametros_manuales!$H$25="Todos",datos_base!$D$9+datos_base!$D$23,0))*parametros_manuales!$M$95+parametros_manuales!$E$25*(datos_base!$D$3+datos_base!$D$19+IF(parametros_manuales!$H$25="Todos",datos_base!$D$10+datos_base!$D$24,0))*parametros_manuales!$M$100+parametros_manuales!$F$25*(datos_base!$D$4+datos_base!$D$20+IF(parametros_manuales!$H$25="Todos",datos_base!$D$11+datos_base!$D$25,0))*parametros_manuales!$M$105+parametros_manuales!$G$25*(datos_base!$D$5+datos_base!$D$21+IF(parametros_manuales!$H$25="Todos",datos_base!$D$12+datos_base!$D$26,0))*parametros_manuales!$M$110)*parametros_manuales!$I$25*parametros_manuales!$J$25</f>
        <v>2062.873096776</v>
      </c>
      <c r="N62" s="9" t="n">
        <f aca="false">SUM(B62:M62)</f>
        <v>22920.8121864</v>
      </c>
      <c r="O62" s="9" t="n">
        <f aca="false">MAX(B62:M62)</f>
        <v>2062.873096776</v>
      </c>
      <c r="P62" s="43" t="n">
        <f aca="false">O62/(parametros_manuales!$B$7)</f>
        <v>13.75248731184</v>
      </c>
      <c r="Q62" s="8" t="str">
        <f aca="false">IF(O62=0,"-",INDEX($B$55:$M$55,MATCH(O62,B62:M62,0)))</f>
        <v>Ene</v>
      </c>
    </row>
    <row r="63" customFormat="false" ht="14.25" hidden="false" customHeight="true" outlineLevel="0" collapsed="false">
      <c r="A63" s="8" t="str">
        <f aca="false">parametros_manuales!$B$26</f>
        <v>Cilindrado</v>
      </c>
      <c r="B63" s="9" t="n">
        <f aca="false">(parametros_manuales!$D$26*(datos_base!$D$2+datos_base!$D$18+IF(parametros_manuales!$H$26="Todos",datos_base!$D$9+datos_base!$D$23,0))*parametros_manuales!$B$95+parametros_manuales!$E$26*(datos_base!$D$3+datos_base!$D$19+IF(parametros_manuales!$H$26="Todos",datos_base!$D$10+datos_base!$D$24,0))*parametros_manuales!$B$100+parametros_manuales!$F$26*(datos_base!$D$4+datos_base!$D$20+IF(parametros_manuales!$H$26="Todos",datos_base!$D$11+datos_base!$D$25,0))*parametros_manuales!$B$105+parametros_manuales!$G$26*(datos_base!$D$5+datos_base!$D$21+IF(parametros_manuales!$H$26="Todos",datos_base!$D$12+datos_base!$D$26,0))*parametros_manuales!$B$110)*parametros_manuales!$I$26*parametros_manuales!$J$26</f>
        <v>756.599798556</v>
      </c>
      <c r="C63" s="9" t="n">
        <f aca="false">(parametros_manuales!$D$26*(datos_base!$D$2+datos_base!$D$18+IF(parametros_manuales!$H$26="Todos",datos_base!$D$9+datos_base!$D$23,0))*parametros_manuales!$C$95+parametros_manuales!$E$26*(datos_base!$D$3+datos_base!$D$19+IF(parametros_manuales!$H$26="Todos",datos_base!$D$10+datos_base!$D$24,0))*parametros_manuales!$C$100+parametros_manuales!$F$26*(datos_base!$D$4+datos_base!$D$20+IF(parametros_manuales!$H$26="Todos",datos_base!$D$11+datos_base!$D$25,0))*parametros_manuales!$C$105+parametros_manuales!$G$26*(datos_base!$D$5+datos_base!$D$21+IF(parametros_manuales!$H$26="Todos",datos_base!$D$12+datos_base!$D$26,0))*parametros_manuales!$C$110)*parametros_manuales!$I$26*parametros_manuales!$J$26</f>
        <v>672.533154272</v>
      </c>
      <c r="D63" s="9" t="n">
        <f aca="false">(parametros_manuales!$D$26*(datos_base!$D$2+datos_base!$D$18+IF(parametros_manuales!$H$26="Todos",datos_base!$D$9+datos_base!$D$23,0))*parametros_manuales!$D$95+parametros_manuales!$E$26*(datos_base!$D$3+datos_base!$D$19+IF(parametros_manuales!$H$26="Todos",datos_base!$D$10+datos_base!$D$24,0))*parametros_manuales!$D$100+parametros_manuales!$F$26*(datos_base!$D$4+datos_base!$D$20+IF(parametros_manuales!$H$26="Todos",datos_base!$D$11+datos_base!$D$25,0))*parametros_manuales!$D$105+parametros_manuales!$G$26*(datos_base!$D$5+datos_base!$D$21+IF(parametros_manuales!$H$26="Todos",datos_base!$D$12+datos_base!$D$26,0))*parametros_manuales!$D$110)*parametros_manuales!$I$26*parametros_manuales!$J$26</f>
        <v>714.566476414</v>
      </c>
      <c r="E63" s="9" t="n">
        <f aca="false">(parametros_manuales!$D$26*(datos_base!$D$2+datos_base!$D$18+IF(parametros_manuales!$H$26="Todos",datos_base!$D$9+datos_base!$D$23,0))*parametros_manuales!$E$95+parametros_manuales!$E$26*(datos_base!$D$3+datos_base!$D$19+IF(parametros_manuales!$H$26="Todos",datos_base!$D$10+datos_base!$D$24,0))*parametros_manuales!$E$100+parametros_manuales!$F$26*(datos_base!$D$4+datos_base!$D$20+IF(parametros_manuales!$H$26="Todos",datos_base!$D$11+datos_base!$D$25,0))*parametros_manuales!$E$105+parametros_manuales!$G$26*(datos_base!$D$5+datos_base!$D$21+IF(parametros_manuales!$H$26="Todos",datos_base!$D$12+datos_base!$D$26,0))*parametros_manuales!$E$110)*parametros_manuales!$I$26*parametros_manuales!$J$26</f>
        <v>714.566476414</v>
      </c>
      <c r="F63" s="9" t="n">
        <f aca="false">(parametros_manuales!$D$26*(datos_base!$D$2+datos_base!$D$18+IF(parametros_manuales!$H$26="Todos",datos_base!$D$9+datos_base!$D$23,0))*parametros_manuales!$F$95+parametros_manuales!$E$26*(datos_base!$D$3+datos_base!$D$19+IF(parametros_manuales!$H$26="Todos",datos_base!$D$10+datos_base!$D$24,0))*parametros_manuales!$F$100+parametros_manuales!$F$26*(datos_base!$D$4+datos_base!$D$20+IF(parametros_manuales!$H$26="Todos",datos_base!$D$11+datos_base!$D$25,0))*parametros_manuales!$F$105+parametros_manuales!$G$26*(datos_base!$D$5+datos_base!$D$21+IF(parametros_manuales!$H$26="Todos",datos_base!$D$12+datos_base!$D$26,0))*parametros_manuales!$F$110)*parametros_manuales!$I$26*parametros_manuales!$J$26</f>
        <v>672.533154272</v>
      </c>
      <c r="G63" s="9" t="n">
        <f aca="false">(parametros_manuales!$D$26*(datos_base!$D$2+datos_base!$D$18+IF(parametros_manuales!$H$26="Todos",datos_base!$D$9+datos_base!$D$23,0))*parametros_manuales!$G$95+parametros_manuales!$E$26*(datos_base!$D$3+datos_base!$D$19+IF(parametros_manuales!$H$26="Todos",datos_base!$D$10+datos_base!$D$24,0))*parametros_manuales!$G$100+parametros_manuales!$F$26*(datos_base!$D$4+datos_base!$D$20+IF(parametros_manuales!$H$26="Todos",datos_base!$D$11+datos_base!$D$25,0))*parametros_manuales!$G$105+parametros_manuales!$G$26*(datos_base!$D$5+datos_base!$D$21+IF(parametros_manuales!$H$26="Todos",datos_base!$D$12+datos_base!$D$26,0))*parametros_manuales!$G$110)*parametros_manuales!$I$26*parametros_manuales!$J$26</f>
        <v>630.49983213</v>
      </c>
      <c r="H63" s="9" t="n">
        <f aca="false">(parametros_manuales!$D$26*(datos_base!$D$2+datos_base!$D$18+IF(parametros_manuales!$H$26="Todos",datos_base!$D$9+datos_base!$D$23,0))*parametros_manuales!$H$95+parametros_manuales!$E$26*(datos_base!$D$3+datos_base!$D$19+IF(parametros_manuales!$H$26="Todos",datos_base!$D$10+datos_base!$D$24,0))*parametros_manuales!$H$100+parametros_manuales!$F$26*(datos_base!$D$4+datos_base!$D$20+IF(parametros_manuales!$H$26="Todos",datos_base!$D$11+datos_base!$D$25,0))*parametros_manuales!$H$105+parametros_manuales!$G$26*(datos_base!$D$5+datos_base!$D$21+IF(parametros_manuales!$H$26="Todos",datos_base!$D$12+datos_base!$D$26,0))*parametros_manuales!$H$110)*parametros_manuales!$I$26*parametros_manuales!$J$26</f>
        <v>672.533154272</v>
      </c>
      <c r="I63" s="9" t="n">
        <f aca="false">(parametros_manuales!$D$26*(datos_base!$D$2+datos_base!$D$18+IF(parametros_manuales!$H$26="Todos",datos_base!$D$9+datos_base!$D$23,0))*parametros_manuales!$I$95+parametros_manuales!$E$26*(datos_base!$D$3+datos_base!$D$19+IF(parametros_manuales!$H$26="Todos",datos_base!$D$10+datos_base!$D$24,0))*parametros_manuales!$I$100+parametros_manuales!$F$26*(datos_base!$D$4+datos_base!$D$20+IF(parametros_manuales!$H$26="Todos",datos_base!$D$11+datos_base!$D$25,0))*parametros_manuales!$I$105+parametros_manuales!$G$26*(datos_base!$D$5+datos_base!$D$21+IF(parametros_manuales!$H$26="Todos",datos_base!$D$12+datos_base!$D$26,0))*parametros_manuales!$I$110)*parametros_manuales!$I$26*parametros_manuales!$J$26</f>
        <v>672.533154272</v>
      </c>
      <c r="J63" s="9" t="n">
        <f aca="false">(parametros_manuales!$D$26*(datos_base!$D$2+datos_base!$D$18+IF(parametros_manuales!$H$26="Todos",datos_base!$D$9+datos_base!$D$23,0))*parametros_manuales!$J$95+parametros_manuales!$E$26*(datos_base!$D$3+datos_base!$D$19+IF(parametros_manuales!$H$26="Todos",datos_base!$D$10+datos_base!$D$24,0))*parametros_manuales!$J$100+parametros_manuales!$F$26*(datos_base!$D$4+datos_base!$D$20+IF(parametros_manuales!$H$26="Todos",datos_base!$D$11+datos_base!$D$25,0))*parametros_manuales!$J$105+parametros_manuales!$G$26*(datos_base!$D$5+datos_base!$D$21+IF(parametros_manuales!$H$26="Todos",datos_base!$D$12+datos_base!$D$26,0))*parametros_manuales!$J$110)*parametros_manuales!$I$26*parametros_manuales!$J$26</f>
        <v>672.533154272</v>
      </c>
      <c r="K63" s="9" t="n">
        <f aca="false">(parametros_manuales!$D$26*(datos_base!$D$2+datos_base!$D$18+IF(parametros_manuales!$H$26="Todos",datos_base!$D$9+datos_base!$D$23,0))*parametros_manuales!$K$95+parametros_manuales!$E$26*(datos_base!$D$3+datos_base!$D$19+IF(parametros_manuales!$H$26="Todos",datos_base!$D$10+datos_base!$D$24,0))*parametros_manuales!$K$100+parametros_manuales!$F$26*(datos_base!$D$4+datos_base!$D$20+IF(parametros_manuales!$H$26="Todos",datos_base!$D$11+datos_base!$D$25,0))*parametros_manuales!$K$105+parametros_manuales!$G$26*(datos_base!$D$5+datos_base!$D$21+IF(parametros_manuales!$H$26="Todos",datos_base!$D$12+datos_base!$D$26,0))*parametros_manuales!$K$110)*parametros_manuales!$I$26*parametros_manuales!$J$26</f>
        <v>714.566476414</v>
      </c>
      <c r="L63" s="9" t="n">
        <f aca="false">(parametros_manuales!$D$26*(datos_base!$D$2+datos_base!$D$18+IF(parametros_manuales!$H$26="Todos",datos_base!$D$9+datos_base!$D$23,0))*parametros_manuales!$L$95+parametros_manuales!$E$26*(datos_base!$D$3+datos_base!$D$19+IF(parametros_manuales!$H$26="Todos",datos_base!$D$10+datos_base!$D$24,0))*parametros_manuales!$L$100+parametros_manuales!$F$26*(datos_base!$D$4+datos_base!$D$20+IF(parametros_manuales!$H$26="Todos",datos_base!$D$11+datos_base!$D$25,0))*parametros_manuales!$L$105+parametros_manuales!$G$26*(datos_base!$D$5+datos_base!$D$21+IF(parametros_manuales!$H$26="Todos",datos_base!$D$12+datos_base!$D$26,0))*parametros_manuales!$L$110)*parametros_manuales!$I$26*parametros_manuales!$J$26</f>
        <v>756.599798556</v>
      </c>
      <c r="M63" s="9" t="n">
        <f aca="false">(parametros_manuales!$D$26*(datos_base!$D$2+datos_base!$D$18+IF(parametros_manuales!$H$26="Todos",datos_base!$D$9+datos_base!$D$23,0))*parametros_manuales!$M$95+parametros_manuales!$E$26*(datos_base!$D$3+datos_base!$D$19+IF(parametros_manuales!$H$26="Todos",datos_base!$D$10+datos_base!$D$24,0))*parametros_manuales!$M$100+parametros_manuales!$F$26*(datos_base!$D$4+datos_base!$D$20+IF(parametros_manuales!$H$26="Todos",datos_base!$D$11+datos_base!$D$25,0))*parametros_manuales!$M$105+parametros_manuales!$G$26*(datos_base!$D$5+datos_base!$D$21+IF(parametros_manuales!$H$26="Todos",datos_base!$D$12+datos_base!$D$26,0))*parametros_manuales!$M$110)*parametros_manuales!$I$26*parametros_manuales!$J$26</f>
        <v>756.599798556</v>
      </c>
      <c r="N63" s="9" t="n">
        <f aca="false">SUM(B63:M63)</f>
        <v>8406.6644284</v>
      </c>
      <c r="O63" s="9" t="n">
        <f aca="false">MAX(B63:M63)</f>
        <v>756.599798556</v>
      </c>
      <c r="P63" s="43" t="n">
        <f aca="false">O63/(parametros_manuales!$B$7)</f>
        <v>5.04399865704</v>
      </c>
      <c r="Q63" s="8" t="str">
        <f aca="false">IF(O63=0,"-",INDEX($B$55:$M$55,MATCH(O63,B63:M63,0)))</f>
        <v>Ene</v>
      </c>
    </row>
    <row r="64" customFormat="false" ht="14.25" hidden="false" customHeight="true" outlineLevel="0" collapsed="false">
      <c r="A64" s="8" t="str">
        <f aca="false">parametros_manuales!$B$27</f>
        <v>Soldadura longitudinal</v>
      </c>
      <c r="B64" s="9" t="n">
        <f aca="false">(parametros_manuales!$D$27*(datos_base!$D$2+datos_base!$D$18+IF(parametros_manuales!$H$27="Todos",datos_base!$D$9+datos_base!$D$23,0))*parametros_manuales!$B$95+parametros_manuales!$E$27*(datos_base!$D$3+datos_base!$D$19+IF(parametros_manuales!$H$27="Todos",datos_base!$D$10+datos_base!$D$24,0))*parametros_manuales!$B$100+parametros_manuales!$F$27*(datos_base!$D$4+datos_base!$D$20+IF(parametros_manuales!$H$27="Todos",datos_base!$D$11+datos_base!$D$25,0))*parametros_manuales!$B$105+parametros_manuales!$G$27*(datos_base!$D$5+datos_base!$D$21+IF(parametros_manuales!$H$27="Todos",datos_base!$D$12+datos_base!$D$26,0))*parametros_manuales!$B$110)*parametros_manuales!$I$27*parametros_manuales!$J$27</f>
        <v>756.599798556</v>
      </c>
      <c r="C64" s="9" t="n">
        <f aca="false">(parametros_manuales!$D$27*(datos_base!$D$2+datos_base!$D$18+IF(parametros_manuales!$H$27="Todos",datos_base!$D$9+datos_base!$D$23,0))*parametros_manuales!$C$95+parametros_manuales!$E$27*(datos_base!$D$3+datos_base!$D$19+IF(parametros_manuales!$H$27="Todos",datos_base!$D$10+datos_base!$D$24,0))*parametros_manuales!$C$100+parametros_manuales!$F$27*(datos_base!$D$4+datos_base!$D$20+IF(parametros_manuales!$H$27="Todos",datos_base!$D$11+datos_base!$D$25,0))*parametros_manuales!$C$105+parametros_manuales!$G$27*(datos_base!$D$5+datos_base!$D$21+IF(parametros_manuales!$H$27="Todos",datos_base!$D$12+datos_base!$D$26,0))*parametros_manuales!$C$110)*parametros_manuales!$I$27*parametros_manuales!$J$27</f>
        <v>672.533154272</v>
      </c>
      <c r="D64" s="9" t="n">
        <f aca="false">(parametros_manuales!$D$27*(datos_base!$D$2+datos_base!$D$18+IF(parametros_manuales!$H$27="Todos",datos_base!$D$9+datos_base!$D$23,0))*parametros_manuales!$D$95+parametros_manuales!$E$27*(datos_base!$D$3+datos_base!$D$19+IF(parametros_manuales!$H$27="Todos",datos_base!$D$10+datos_base!$D$24,0))*parametros_manuales!$D$100+parametros_manuales!$F$27*(datos_base!$D$4+datos_base!$D$20+IF(parametros_manuales!$H$27="Todos",datos_base!$D$11+datos_base!$D$25,0))*parametros_manuales!$D$105+parametros_manuales!$G$27*(datos_base!$D$5+datos_base!$D$21+IF(parametros_manuales!$H$27="Todos",datos_base!$D$12+datos_base!$D$26,0))*parametros_manuales!$D$110)*parametros_manuales!$I$27*parametros_manuales!$J$27</f>
        <v>714.566476414</v>
      </c>
      <c r="E64" s="9" t="n">
        <f aca="false">(parametros_manuales!$D$27*(datos_base!$D$2+datos_base!$D$18+IF(parametros_manuales!$H$27="Todos",datos_base!$D$9+datos_base!$D$23,0))*parametros_manuales!$E$95+parametros_manuales!$E$27*(datos_base!$D$3+datos_base!$D$19+IF(parametros_manuales!$H$27="Todos",datos_base!$D$10+datos_base!$D$24,0))*parametros_manuales!$E$100+parametros_manuales!$F$27*(datos_base!$D$4+datos_base!$D$20+IF(parametros_manuales!$H$27="Todos",datos_base!$D$11+datos_base!$D$25,0))*parametros_manuales!$E$105+parametros_manuales!$G$27*(datos_base!$D$5+datos_base!$D$21+IF(parametros_manuales!$H$27="Todos",datos_base!$D$12+datos_base!$D$26,0))*parametros_manuales!$E$110)*parametros_manuales!$I$27*parametros_manuales!$J$27</f>
        <v>714.566476414</v>
      </c>
      <c r="F64" s="9" t="n">
        <f aca="false">(parametros_manuales!$D$27*(datos_base!$D$2+datos_base!$D$18+IF(parametros_manuales!$H$27="Todos",datos_base!$D$9+datos_base!$D$23,0))*parametros_manuales!$F$95+parametros_manuales!$E$27*(datos_base!$D$3+datos_base!$D$19+IF(parametros_manuales!$H$27="Todos",datos_base!$D$10+datos_base!$D$24,0))*parametros_manuales!$F$100+parametros_manuales!$F$27*(datos_base!$D$4+datos_base!$D$20+IF(parametros_manuales!$H$27="Todos",datos_base!$D$11+datos_base!$D$25,0))*parametros_manuales!$F$105+parametros_manuales!$G$27*(datos_base!$D$5+datos_base!$D$21+IF(parametros_manuales!$H$27="Todos",datos_base!$D$12+datos_base!$D$26,0))*parametros_manuales!$F$110)*parametros_manuales!$I$27*parametros_manuales!$J$27</f>
        <v>672.533154272</v>
      </c>
      <c r="G64" s="9" t="n">
        <f aca="false">(parametros_manuales!$D$27*(datos_base!$D$2+datos_base!$D$18+IF(parametros_manuales!$H$27="Todos",datos_base!$D$9+datos_base!$D$23,0))*parametros_manuales!$G$95+parametros_manuales!$E$27*(datos_base!$D$3+datos_base!$D$19+IF(parametros_manuales!$H$27="Todos",datos_base!$D$10+datos_base!$D$24,0))*parametros_manuales!$G$100+parametros_manuales!$F$27*(datos_base!$D$4+datos_base!$D$20+IF(parametros_manuales!$H$27="Todos",datos_base!$D$11+datos_base!$D$25,0))*parametros_manuales!$G$105+parametros_manuales!$G$27*(datos_base!$D$5+datos_base!$D$21+IF(parametros_manuales!$H$27="Todos",datos_base!$D$12+datos_base!$D$26,0))*parametros_manuales!$G$110)*parametros_manuales!$I$27*parametros_manuales!$J$27</f>
        <v>630.49983213</v>
      </c>
      <c r="H64" s="9" t="n">
        <f aca="false">(parametros_manuales!$D$27*(datos_base!$D$2+datos_base!$D$18+IF(parametros_manuales!$H$27="Todos",datos_base!$D$9+datos_base!$D$23,0))*parametros_manuales!$H$95+parametros_manuales!$E$27*(datos_base!$D$3+datos_base!$D$19+IF(parametros_manuales!$H$27="Todos",datos_base!$D$10+datos_base!$D$24,0))*parametros_manuales!$H$100+parametros_manuales!$F$27*(datos_base!$D$4+datos_base!$D$20+IF(parametros_manuales!$H$27="Todos",datos_base!$D$11+datos_base!$D$25,0))*parametros_manuales!$H$105+parametros_manuales!$G$27*(datos_base!$D$5+datos_base!$D$21+IF(parametros_manuales!$H$27="Todos",datos_base!$D$12+datos_base!$D$26,0))*parametros_manuales!$H$110)*parametros_manuales!$I$27*parametros_manuales!$J$27</f>
        <v>672.533154272</v>
      </c>
      <c r="I64" s="9" t="n">
        <f aca="false">(parametros_manuales!$D$27*(datos_base!$D$2+datos_base!$D$18+IF(parametros_manuales!$H$27="Todos",datos_base!$D$9+datos_base!$D$23,0))*parametros_manuales!$I$95+parametros_manuales!$E$27*(datos_base!$D$3+datos_base!$D$19+IF(parametros_manuales!$H$27="Todos",datos_base!$D$10+datos_base!$D$24,0))*parametros_manuales!$I$100+parametros_manuales!$F$27*(datos_base!$D$4+datos_base!$D$20+IF(parametros_manuales!$H$27="Todos",datos_base!$D$11+datos_base!$D$25,0))*parametros_manuales!$I$105+parametros_manuales!$G$27*(datos_base!$D$5+datos_base!$D$21+IF(parametros_manuales!$H$27="Todos",datos_base!$D$12+datos_base!$D$26,0))*parametros_manuales!$I$110)*parametros_manuales!$I$27*parametros_manuales!$J$27</f>
        <v>672.533154272</v>
      </c>
      <c r="J64" s="9" t="n">
        <f aca="false">(parametros_manuales!$D$27*(datos_base!$D$2+datos_base!$D$18+IF(parametros_manuales!$H$27="Todos",datos_base!$D$9+datos_base!$D$23,0))*parametros_manuales!$J$95+parametros_manuales!$E$27*(datos_base!$D$3+datos_base!$D$19+IF(parametros_manuales!$H$27="Todos",datos_base!$D$10+datos_base!$D$24,0))*parametros_manuales!$J$100+parametros_manuales!$F$27*(datos_base!$D$4+datos_base!$D$20+IF(parametros_manuales!$H$27="Todos",datos_base!$D$11+datos_base!$D$25,0))*parametros_manuales!$J$105+parametros_manuales!$G$27*(datos_base!$D$5+datos_base!$D$21+IF(parametros_manuales!$H$27="Todos",datos_base!$D$12+datos_base!$D$26,0))*parametros_manuales!$J$110)*parametros_manuales!$I$27*parametros_manuales!$J$27</f>
        <v>672.533154272</v>
      </c>
      <c r="K64" s="9" t="n">
        <f aca="false">(parametros_manuales!$D$27*(datos_base!$D$2+datos_base!$D$18+IF(parametros_manuales!$H$27="Todos",datos_base!$D$9+datos_base!$D$23,0))*parametros_manuales!$K$95+parametros_manuales!$E$27*(datos_base!$D$3+datos_base!$D$19+IF(parametros_manuales!$H$27="Todos",datos_base!$D$10+datos_base!$D$24,0))*parametros_manuales!$K$100+parametros_manuales!$F$27*(datos_base!$D$4+datos_base!$D$20+IF(parametros_manuales!$H$27="Todos",datos_base!$D$11+datos_base!$D$25,0))*parametros_manuales!$K$105+parametros_manuales!$G$27*(datos_base!$D$5+datos_base!$D$21+IF(parametros_manuales!$H$27="Todos",datos_base!$D$12+datos_base!$D$26,0))*parametros_manuales!$K$110)*parametros_manuales!$I$27*parametros_manuales!$J$27</f>
        <v>714.566476414</v>
      </c>
      <c r="L64" s="9" t="n">
        <f aca="false">(parametros_manuales!$D$27*(datos_base!$D$2+datos_base!$D$18+IF(parametros_manuales!$H$27="Todos",datos_base!$D$9+datos_base!$D$23,0))*parametros_manuales!$L$95+parametros_manuales!$E$27*(datos_base!$D$3+datos_base!$D$19+IF(parametros_manuales!$H$27="Todos",datos_base!$D$10+datos_base!$D$24,0))*parametros_manuales!$L$100+parametros_manuales!$F$27*(datos_base!$D$4+datos_base!$D$20+IF(parametros_manuales!$H$27="Todos",datos_base!$D$11+datos_base!$D$25,0))*parametros_manuales!$L$105+parametros_manuales!$G$27*(datos_base!$D$5+datos_base!$D$21+IF(parametros_manuales!$H$27="Todos",datos_base!$D$12+datos_base!$D$26,0))*parametros_manuales!$L$110)*parametros_manuales!$I$27*parametros_manuales!$J$27</f>
        <v>756.599798556</v>
      </c>
      <c r="M64" s="9" t="n">
        <f aca="false">(parametros_manuales!$D$27*(datos_base!$D$2+datos_base!$D$18+IF(parametros_manuales!$H$27="Todos",datos_base!$D$9+datos_base!$D$23,0))*parametros_manuales!$M$95+parametros_manuales!$E$27*(datos_base!$D$3+datos_base!$D$19+IF(parametros_manuales!$H$27="Todos",datos_base!$D$10+datos_base!$D$24,0))*parametros_manuales!$M$100+parametros_manuales!$F$27*(datos_base!$D$4+datos_base!$D$20+IF(parametros_manuales!$H$27="Todos",datos_base!$D$11+datos_base!$D$25,0))*parametros_manuales!$M$105+parametros_manuales!$G$27*(datos_base!$D$5+datos_base!$D$21+IF(parametros_manuales!$H$27="Todos",datos_base!$D$12+datos_base!$D$26,0))*parametros_manuales!$M$110)*parametros_manuales!$I$27*parametros_manuales!$J$27</f>
        <v>756.599798556</v>
      </c>
      <c r="N64" s="9" t="n">
        <f aca="false">SUM(B64:M64)</f>
        <v>8406.6644284</v>
      </c>
      <c r="O64" s="9" t="n">
        <f aca="false">MAX(B64:M64)</f>
        <v>756.599798556</v>
      </c>
      <c r="P64" s="43" t="n">
        <f aca="false">O64/(parametros_manuales!$B$7)</f>
        <v>5.04399865704</v>
      </c>
      <c r="Q64" s="8" t="str">
        <f aca="false">IF(O64=0,"-",INDEX($B$55:$M$55,MATCH(O64,B64:M64,0)))</f>
        <v>Ene</v>
      </c>
    </row>
    <row r="65" customFormat="false" ht="14.25" hidden="false" customHeight="true" outlineLevel="0" collapsed="false">
      <c r="A65" s="8" t="str">
        <f aca="false">parametros_manuales!$B$28</f>
        <v>Encastre de fondo</v>
      </c>
      <c r="B65" s="9" t="n">
        <f aca="false">(parametros_manuales!$D$28*(datos_base!$D$2+datos_base!$D$18+IF(parametros_manuales!$H$28="Todos",datos_base!$D$9+datos_base!$D$23,0))*parametros_manuales!$B$95+parametros_manuales!$E$28*(datos_base!$D$3+datos_base!$D$19+IF(parametros_manuales!$H$28="Todos",datos_base!$D$10+datos_base!$D$24,0))*parametros_manuales!$B$100+parametros_manuales!$F$28*(datos_base!$D$4+datos_base!$D$20+IF(parametros_manuales!$H$28="Todos",datos_base!$D$11+datos_base!$D$25,0))*parametros_manuales!$B$105+parametros_manuales!$G$28*(datos_base!$D$5+datos_base!$D$21+IF(parametros_manuales!$H$28="Todos",datos_base!$D$12+datos_base!$D$26,0))*parametros_manuales!$B$110)*parametros_manuales!$I$28*parametros_manuales!$J$28</f>
        <v>2062.873096776</v>
      </c>
      <c r="C65" s="9" t="n">
        <f aca="false">(parametros_manuales!$D$28*(datos_base!$D$2+datos_base!$D$18+IF(parametros_manuales!$H$28="Todos",datos_base!$D$9+datos_base!$D$23,0))*parametros_manuales!$C$95+parametros_manuales!$E$28*(datos_base!$D$3+datos_base!$D$19+IF(parametros_manuales!$H$28="Todos",datos_base!$D$10+datos_base!$D$24,0))*parametros_manuales!$C$100+parametros_manuales!$F$28*(datos_base!$D$4+datos_base!$D$20+IF(parametros_manuales!$H$28="Todos",datos_base!$D$11+datos_base!$D$25,0))*parametros_manuales!$C$105+parametros_manuales!$G$28*(datos_base!$D$5+datos_base!$D$21+IF(parametros_manuales!$H$28="Todos",datos_base!$D$12+datos_base!$D$26,0))*parametros_manuales!$C$110)*parametros_manuales!$I$28*parametros_manuales!$J$28</f>
        <v>1978.806452492</v>
      </c>
      <c r="D65" s="9" t="n">
        <f aca="false">(parametros_manuales!$D$28*(datos_base!$D$2+datos_base!$D$18+IF(parametros_manuales!$H$28="Todos",datos_base!$D$9+datos_base!$D$23,0))*parametros_manuales!$D$95+parametros_manuales!$E$28*(datos_base!$D$3+datos_base!$D$19+IF(parametros_manuales!$H$28="Todos",datos_base!$D$10+datos_base!$D$24,0))*parametros_manuales!$D$100+parametros_manuales!$F$28*(datos_base!$D$4+datos_base!$D$20+IF(parametros_manuales!$H$28="Todos",datos_base!$D$11+datos_base!$D$25,0))*parametros_manuales!$D$105+parametros_manuales!$G$28*(datos_base!$D$5+datos_base!$D$21+IF(parametros_manuales!$H$28="Todos",datos_base!$D$12+datos_base!$D$26,0))*parametros_manuales!$D$110)*parametros_manuales!$I$28*parametros_manuales!$J$28</f>
        <v>1875.698297054</v>
      </c>
      <c r="E65" s="9" t="n">
        <f aca="false">(parametros_manuales!$D$28*(datos_base!$D$2+datos_base!$D$18+IF(parametros_manuales!$H$28="Todos",datos_base!$D$9+datos_base!$D$23,0))*parametros_manuales!$E$95+parametros_manuales!$E$28*(datos_base!$D$3+datos_base!$D$19+IF(parametros_manuales!$H$28="Todos",datos_base!$D$10+datos_base!$D$24,0))*parametros_manuales!$E$100+parametros_manuales!$F$28*(datos_base!$D$4+datos_base!$D$20+IF(parametros_manuales!$H$28="Todos",datos_base!$D$11+datos_base!$D$25,0))*parametros_manuales!$E$105+parametros_manuales!$G$28*(datos_base!$D$5+datos_base!$D$21+IF(parametros_manuales!$H$28="Todos",datos_base!$D$12+datos_base!$D$26,0))*parametros_manuales!$E$110)*parametros_manuales!$I$28*parametros_manuales!$J$28</f>
        <v>1803.127558264</v>
      </c>
      <c r="F65" s="9" t="n">
        <f aca="false">(parametros_manuales!$D$28*(datos_base!$D$2+datos_base!$D$18+IF(parametros_manuales!$H$28="Todos",datos_base!$D$9+datos_base!$D$23,0))*parametros_manuales!$F$95+parametros_manuales!$E$28*(datos_base!$D$3+datos_base!$D$19+IF(parametros_manuales!$H$28="Todos",datos_base!$D$10+datos_base!$D$24,0))*parametros_manuales!$F$100+parametros_manuales!$F$28*(datos_base!$D$4+datos_base!$D$20+IF(parametros_manuales!$H$28="Todos",datos_base!$D$11+datos_base!$D$25,0))*parametros_manuales!$F$105+parametros_manuales!$G$28*(datos_base!$D$5+datos_base!$D$21+IF(parametros_manuales!$H$28="Todos",datos_base!$D$12+datos_base!$D$26,0))*parametros_manuales!$F$110)*parametros_manuales!$I$28*parametros_manuales!$J$28</f>
        <v>1688.523497332</v>
      </c>
      <c r="G65" s="9" t="n">
        <f aca="false">(parametros_manuales!$D$28*(datos_base!$D$2+datos_base!$D$18+IF(parametros_manuales!$H$28="Todos",datos_base!$D$9+datos_base!$D$23,0))*parametros_manuales!$G$95+parametros_manuales!$E$28*(datos_base!$D$3+datos_base!$D$19+IF(parametros_manuales!$H$28="Todos",datos_base!$D$10+datos_base!$D$24,0))*parametros_manuales!$G$100+parametros_manuales!$F$28*(datos_base!$D$4+datos_base!$D$20+IF(parametros_manuales!$H$28="Todos",datos_base!$D$11+datos_base!$D$25,0))*parametros_manuales!$G$105+parametros_manuales!$G$28*(datos_base!$D$5+datos_base!$D$21+IF(parametros_manuales!$H$28="Todos",datos_base!$D$12+datos_base!$D$26,0))*parametros_manuales!$G$110)*parametros_manuales!$I$28*parametros_manuales!$J$28</f>
        <v>1646.49017519</v>
      </c>
      <c r="H65" s="9" t="n">
        <f aca="false">(parametros_manuales!$D$28*(datos_base!$D$2+datos_base!$D$18+IF(parametros_manuales!$H$28="Todos",datos_base!$D$9+datos_base!$D$23,0))*parametros_manuales!$H$95+parametros_manuales!$E$28*(datos_base!$D$3+datos_base!$D$19+IF(parametros_manuales!$H$28="Todos",datos_base!$D$10+datos_base!$D$24,0))*parametros_manuales!$H$100+parametros_manuales!$F$28*(datos_base!$D$4+datos_base!$D$20+IF(parametros_manuales!$H$28="Todos",datos_base!$D$11+datos_base!$D$25,0))*parametros_manuales!$H$105+parametros_manuales!$G$28*(datos_base!$D$5+datos_base!$D$21+IF(parametros_manuales!$H$28="Todos",datos_base!$D$12+datos_base!$D$26,0))*parametros_manuales!$H$110)*parametros_manuales!$I$28*parametros_manuales!$J$28</f>
        <v>1761.094236122</v>
      </c>
      <c r="I65" s="9" t="n">
        <f aca="false">(parametros_manuales!$D$28*(datos_base!$D$2+datos_base!$D$18+IF(parametros_manuales!$H$28="Todos",datos_base!$D$9+datos_base!$D$23,0))*parametros_manuales!$I$95+parametros_manuales!$E$28*(datos_base!$D$3+datos_base!$D$19+IF(parametros_manuales!$H$28="Todos",datos_base!$D$10+datos_base!$D$24,0))*parametros_manuales!$I$100+parametros_manuales!$F$28*(datos_base!$D$4+datos_base!$D$20+IF(parametros_manuales!$H$28="Todos",datos_base!$D$11+datos_base!$D$25,0))*parametros_manuales!$I$105+parametros_manuales!$G$28*(datos_base!$D$5+datos_base!$D$21+IF(parametros_manuales!$H$28="Todos",datos_base!$D$12+datos_base!$D$26,0))*parametros_manuales!$I$110)*parametros_manuales!$I$28*parametros_manuales!$J$28</f>
        <v>1978.806452492</v>
      </c>
      <c r="J65" s="9" t="n">
        <f aca="false">(parametros_manuales!$D$28*(datos_base!$D$2+datos_base!$D$18+IF(parametros_manuales!$H$28="Todos",datos_base!$D$9+datos_base!$D$23,0))*parametros_manuales!$J$95+parametros_manuales!$E$28*(datos_base!$D$3+datos_base!$D$19+IF(parametros_manuales!$H$28="Todos",datos_base!$D$10+datos_base!$D$24,0))*parametros_manuales!$J$100+parametros_manuales!$F$28*(datos_base!$D$4+datos_base!$D$20+IF(parametros_manuales!$H$28="Todos",datos_base!$D$11+datos_base!$D$25,0))*parametros_manuales!$J$105+parametros_manuales!$G$28*(datos_base!$D$5+datos_base!$D$21+IF(parametros_manuales!$H$28="Todos",datos_base!$D$12+datos_base!$D$26,0))*parametros_manuales!$J$110)*parametros_manuales!$I$28*parametros_manuales!$J$28</f>
        <v>1978.806452492</v>
      </c>
      <c r="K65" s="9" t="n">
        <f aca="false">(parametros_manuales!$D$28*(datos_base!$D$2+datos_base!$D$18+IF(parametros_manuales!$H$28="Todos",datos_base!$D$9+datos_base!$D$23,0))*parametros_manuales!$K$95+parametros_manuales!$E$28*(datos_base!$D$3+datos_base!$D$19+IF(parametros_manuales!$H$28="Todos",datos_base!$D$10+datos_base!$D$24,0))*parametros_manuales!$K$100+parametros_manuales!$F$28*(datos_base!$D$4+datos_base!$D$20+IF(parametros_manuales!$H$28="Todos",datos_base!$D$11+datos_base!$D$25,0))*parametros_manuales!$K$105+parametros_manuales!$G$28*(datos_base!$D$5+datos_base!$D$21+IF(parametros_manuales!$H$28="Todos",datos_base!$D$12+datos_base!$D$26,0))*parametros_manuales!$K$110)*parametros_manuales!$I$28*parametros_manuales!$J$28</f>
        <v>2020.839774634</v>
      </c>
      <c r="L65" s="9" t="n">
        <f aca="false">(parametros_manuales!$D$28*(datos_base!$D$2+datos_base!$D$18+IF(parametros_manuales!$H$28="Todos",datos_base!$D$9+datos_base!$D$23,0))*parametros_manuales!$L$95+parametros_manuales!$E$28*(datos_base!$D$3+datos_base!$D$19+IF(parametros_manuales!$H$28="Todos",datos_base!$D$10+datos_base!$D$24,0))*parametros_manuales!$L$100+parametros_manuales!$F$28*(datos_base!$D$4+datos_base!$D$20+IF(parametros_manuales!$H$28="Todos",datos_base!$D$11+datos_base!$D$25,0))*parametros_manuales!$L$105+parametros_manuales!$G$28*(datos_base!$D$5+datos_base!$D$21+IF(parametros_manuales!$H$28="Todos",datos_base!$D$12+datos_base!$D$26,0))*parametros_manuales!$L$110)*parametros_manuales!$I$28*parametros_manuales!$J$28</f>
        <v>2062.873096776</v>
      </c>
      <c r="M65" s="9" t="n">
        <f aca="false">(parametros_manuales!$D$28*(datos_base!$D$2+datos_base!$D$18+IF(parametros_manuales!$H$28="Todos",datos_base!$D$9+datos_base!$D$23,0))*parametros_manuales!$M$95+parametros_manuales!$E$28*(datos_base!$D$3+datos_base!$D$19+IF(parametros_manuales!$H$28="Todos",datos_base!$D$10+datos_base!$D$24,0))*parametros_manuales!$M$100+parametros_manuales!$F$28*(datos_base!$D$4+datos_base!$D$20+IF(parametros_manuales!$H$28="Todos",datos_base!$D$11+datos_base!$D$25,0))*parametros_manuales!$M$105+parametros_manuales!$G$28*(datos_base!$D$5+datos_base!$D$21+IF(parametros_manuales!$H$28="Todos",datos_base!$D$12+datos_base!$D$26,0))*parametros_manuales!$M$110)*parametros_manuales!$I$28*parametros_manuales!$J$28</f>
        <v>2062.873096776</v>
      </c>
      <c r="N65" s="9" t="n">
        <f aca="false">SUM(B65:M65)</f>
        <v>22920.8121864</v>
      </c>
      <c r="O65" s="9" t="n">
        <f aca="false">MAX(B65:M65)</f>
        <v>2062.873096776</v>
      </c>
      <c r="P65" s="43" t="n">
        <f aca="false">O65/(parametros_manuales!$B$7)</f>
        <v>13.75248731184</v>
      </c>
      <c r="Q65" s="8" t="str">
        <f aca="false">IF(O65=0,"-",INDEX($B$55:$M$55,MATCH(O65,B65:M65,0)))</f>
        <v>Ene</v>
      </c>
    </row>
    <row r="66" customFormat="false" ht="14.25" hidden="false" customHeight="true" outlineLevel="0" collapsed="false">
      <c r="A66" s="8" t="str">
        <f aca="false">parametros_manuales!$B$29</f>
        <v>Bordoneado</v>
      </c>
      <c r="B66" s="9" t="n">
        <f aca="false">(parametros_manuales!$D$29*(datos_base!$D$2+datos_base!$D$18+IF(parametros_manuales!$H$29="Todos",datos_base!$D$9+datos_base!$D$23,0))*parametros_manuales!$B$95+parametros_manuales!$E$29*(datos_base!$D$3+datos_base!$D$19+IF(parametros_manuales!$H$29="Todos",datos_base!$D$10+datos_base!$D$24,0))*parametros_manuales!$B$100+parametros_manuales!$F$29*(datos_base!$D$4+datos_base!$D$20+IF(parametros_manuales!$H$29="Todos",datos_base!$D$11+datos_base!$D$25,0))*parametros_manuales!$B$105+parametros_manuales!$G$29*(datos_base!$D$5+datos_base!$D$21+IF(parametros_manuales!$H$29="Todos",datos_base!$D$12+datos_base!$D$26,0))*parametros_manuales!$B$110)*parametros_manuales!$I$29*parametros_manuales!$J$29</f>
        <v>2062.873096776</v>
      </c>
      <c r="C66" s="9" t="n">
        <f aca="false">(parametros_manuales!$D$29*(datos_base!$D$2+datos_base!$D$18+IF(parametros_manuales!$H$29="Todos",datos_base!$D$9+datos_base!$D$23,0))*parametros_manuales!$C$95+parametros_manuales!$E$29*(datos_base!$D$3+datos_base!$D$19+IF(parametros_manuales!$H$29="Todos",datos_base!$D$10+datos_base!$D$24,0))*parametros_manuales!$C$100+parametros_manuales!$F$29*(datos_base!$D$4+datos_base!$D$20+IF(parametros_manuales!$H$29="Todos",datos_base!$D$11+datos_base!$D$25,0))*parametros_manuales!$C$105+parametros_manuales!$G$29*(datos_base!$D$5+datos_base!$D$21+IF(parametros_manuales!$H$29="Todos",datos_base!$D$12+datos_base!$D$26,0))*parametros_manuales!$C$110)*parametros_manuales!$I$29*parametros_manuales!$J$29</f>
        <v>1978.806452492</v>
      </c>
      <c r="D66" s="9" t="n">
        <f aca="false">(parametros_manuales!$D$29*(datos_base!$D$2+datos_base!$D$18+IF(parametros_manuales!$H$29="Todos",datos_base!$D$9+datos_base!$D$23,0))*parametros_manuales!$D$95+parametros_manuales!$E$29*(datos_base!$D$3+datos_base!$D$19+IF(parametros_manuales!$H$29="Todos",datos_base!$D$10+datos_base!$D$24,0))*parametros_manuales!$D$100+parametros_manuales!$F$29*(datos_base!$D$4+datos_base!$D$20+IF(parametros_manuales!$H$29="Todos",datos_base!$D$11+datos_base!$D$25,0))*parametros_manuales!$D$105+parametros_manuales!$G$29*(datos_base!$D$5+datos_base!$D$21+IF(parametros_manuales!$H$29="Todos",datos_base!$D$12+datos_base!$D$26,0))*parametros_manuales!$D$110)*parametros_manuales!$I$29*parametros_manuales!$J$29</f>
        <v>1875.698297054</v>
      </c>
      <c r="E66" s="9" t="n">
        <f aca="false">(parametros_manuales!$D$29*(datos_base!$D$2+datos_base!$D$18+IF(parametros_manuales!$H$29="Todos",datos_base!$D$9+datos_base!$D$23,0))*parametros_manuales!$E$95+parametros_manuales!$E$29*(datos_base!$D$3+datos_base!$D$19+IF(parametros_manuales!$H$29="Todos",datos_base!$D$10+datos_base!$D$24,0))*parametros_manuales!$E$100+parametros_manuales!$F$29*(datos_base!$D$4+datos_base!$D$20+IF(parametros_manuales!$H$29="Todos",datos_base!$D$11+datos_base!$D$25,0))*parametros_manuales!$E$105+parametros_manuales!$G$29*(datos_base!$D$5+datos_base!$D$21+IF(parametros_manuales!$H$29="Todos",datos_base!$D$12+datos_base!$D$26,0))*parametros_manuales!$E$110)*parametros_manuales!$I$29*parametros_manuales!$J$29</f>
        <v>1803.127558264</v>
      </c>
      <c r="F66" s="9" t="n">
        <f aca="false">(parametros_manuales!$D$29*(datos_base!$D$2+datos_base!$D$18+IF(parametros_manuales!$H$29="Todos",datos_base!$D$9+datos_base!$D$23,0))*parametros_manuales!$F$95+parametros_manuales!$E$29*(datos_base!$D$3+datos_base!$D$19+IF(parametros_manuales!$H$29="Todos",datos_base!$D$10+datos_base!$D$24,0))*parametros_manuales!$F$100+parametros_manuales!$F$29*(datos_base!$D$4+datos_base!$D$20+IF(parametros_manuales!$H$29="Todos",datos_base!$D$11+datos_base!$D$25,0))*parametros_manuales!$F$105+parametros_manuales!$G$29*(datos_base!$D$5+datos_base!$D$21+IF(parametros_manuales!$H$29="Todos",datos_base!$D$12+datos_base!$D$26,0))*parametros_manuales!$F$110)*parametros_manuales!$I$29*parametros_manuales!$J$29</f>
        <v>1688.523497332</v>
      </c>
      <c r="G66" s="9" t="n">
        <f aca="false">(parametros_manuales!$D$29*(datos_base!$D$2+datos_base!$D$18+IF(parametros_manuales!$H$29="Todos",datos_base!$D$9+datos_base!$D$23,0))*parametros_manuales!$G$95+parametros_manuales!$E$29*(datos_base!$D$3+datos_base!$D$19+IF(parametros_manuales!$H$29="Todos",datos_base!$D$10+datos_base!$D$24,0))*parametros_manuales!$G$100+parametros_manuales!$F$29*(datos_base!$D$4+datos_base!$D$20+IF(parametros_manuales!$H$29="Todos",datos_base!$D$11+datos_base!$D$25,0))*parametros_manuales!$G$105+parametros_manuales!$G$29*(datos_base!$D$5+datos_base!$D$21+IF(parametros_manuales!$H$29="Todos",datos_base!$D$12+datos_base!$D$26,0))*parametros_manuales!$G$110)*parametros_manuales!$I$29*parametros_manuales!$J$29</f>
        <v>1646.49017519</v>
      </c>
      <c r="H66" s="9" t="n">
        <f aca="false">(parametros_manuales!$D$29*(datos_base!$D$2+datos_base!$D$18+IF(parametros_manuales!$H$29="Todos",datos_base!$D$9+datos_base!$D$23,0))*parametros_manuales!$H$95+parametros_manuales!$E$29*(datos_base!$D$3+datos_base!$D$19+IF(parametros_manuales!$H$29="Todos",datos_base!$D$10+datos_base!$D$24,0))*parametros_manuales!$H$100+parametros_manuales!$F$29*(datos_base!$D$4+datos_base!$D$20+IF(parametros_manuales!$H$29="Todos",datos_base!$D$11+datos_base!$D$25,0))*parametros_manuales!$H$105+parametros_manuales!$G$29*(datos_base!$D$5+datos_base!$D$21+IF(parametros_manuales!$H$29="Todos",datos_base!$D$12+datos_base!$D$26,0))*parametros_manuales!$H$110)*parametros_manuales!$I$29*parametros_manuales!$J$29</f>
        <v>1761.094236122</v>
      </c>
      <c r="I66" s="9" t="n">
        <f aca="false">(parametros_manuales!$D$29*(datos_base!$D$2+datos_base!$D$18+IF(parametros_manuales!$H$29="Todos",datos_base!$D$9+datos_base!$D$23,0))*parametros_manuales!$I$95+parametros_manuales!$E$29*(datos_base!$D$3+datos_base!$D$19+IF(parametros_manuales!$H$29="Todos",datos_base!$D$10+datos_base!$D$24,0))*parametros_manuales!$I$100+parametros_manuales!$F$29*(datos_base!$D$4+datos_base!$D$20+IF(parametros_manuales!$H$29="Todos",datos_base!$D$11+datos_base!$D$25,0))*parametros_manuales!$I$105+parametros_manuales!$G$29*(datos_base!$D$5+datos_base!$D$21+IF(parametros_manuales!$H$29="Todos",datos_base!$D$12+datos_base!$D$26,0))*parametros_manuales!$I$110)*parametros_manuales!$I$29*parametros_manuales!$J$29</f>
        <v>1978.806452492</v>
      </c>
      <c r="J66" s="9" t="n">
        <f aca="false">(parametros_manuales!$D$29*(datos_base!$D$2+datos_base!$D$18+IF(parametros_manuales!$H$29="Todos",datos_base!$D$9+datos_base!$D$23,0))*parametros_manuales!$J$95+parametros_manuales!$E$29*(datos_base!$D$3+datos_base!$D$19+IF(parametros_manuales!$H$29="Todos",datos_base!$D$10+datos_base!$D$24,0))*parametros_manuales!$J$100+parametros_manuales!$F$29*(datos_base!$D$4+datos_base!$D$20+IF(parametros_manuales!$H$29="Todos",datos_base!$D$11+datos_base!$D$25,0))*parametros_manuales!$J$105+parametros_manuales!$G$29*(datos_base!$D$5+datos_base!$D$21+IF(parametros_manuales!$H$29="Todos",datos_base!$D$12+datos_base!$D$26,0))*parametros_manuales!$J$110)*parametros_manuales!$I$29*parametros_manuales!$J$29</f>
        <v>1978.806452492</v>
      </c>
      <c r="K66" s="9" t="n">
        <f aca="false">(parametros_manuales!$D$29*(datos_base!$D$2+datos_base!$D$18+IF(parametros_manuales!$H$29="Todos",datos_base!$D$9+datos_base!$D$23,0))*parametros_manuales!$K$95+parametros_manuales!$E$29*(datos_base!$D$3+datos_base!$D$19+IF(parametros_manuales!$H$29="Todos",datos_base!$D$10+datos_base!$D$24,0))*parametros_manuales!$K$100+parametros_manuales!$F$29*(datos_base!$D$4+datos_base!$D$20+IF(parametros_manuales!$H$29="Todos",datos_base!$D$11+datos_base!$D$25,0))*parametros_manuales!$K$105+parametros_manuales!$G$29*(datos_base!$D$5+datos_base!$D$21+IF(parametros_manuales!$H$29="Todos",datos_base!$D$12+datos_base!$D$26,0))*parametros_manuales!$K$110)*parametros_manuales!$I$29*parametros_manuales!$J$29</f>
        <v>2020.839774634</v>
      </c>
      <c r="L66" s="9" t="n">
        <f aca="false">(parametros_manuales!$D$29*(datos_base!$D$2+datos_base!$D$18+IF(parametros_manuales!$H$29="Todos",datos_base!$D$9+datos_base!$D$23,0))*parametros_manuales!$L$95+parametros_manuales!$E$29*(datos_base!$D$3+datos_base!$D$19+IF(parametros_manuales!$H$29="Todos",datos_base!$D$10+datos_base!$D$24,0))*parametros_manuales!$L$100+parametros_manuales!$F$29*(datos_base!$D$4+datos_base!$D$20+IF(parametros_manuales!$H$29="Todos",datos_base!$D$11+datos_base!$D$25,0))*parametros_manuales!$L$105+parametros_manuales!$G$29*(datos_base!$D$5+datos_base!$D$21+IF(parametros_manuales!$H$29="Todos",datos_base!$D$12+datos_base!$D$26,0))*parametros_manuales!$L$110)*parametros_manuales!$I$29*parametros_manuales!$J$29</f>
        <v>2062.873096776</v>
      </c>
      <c r="M66" s="9" t="n">
        <f aca="false">(parametros_manuales!$D$29*(datos_base!$D$2+datos_base!$D$18+IF(parametros_manuales!$H$29="Todos",datos_base!$D$9+datos_base!$D$23,0))*parametros_manuales!$M$95+parametros_manuales!$E$29*(datos_base!$D$3+datos_base!$D$19+IF(parametros_manuales!$H$29="Todos",datos_base!$D$10+datos_base!$D$24,0))*parametros_manuales!$M$100+parametros_manuales!$F$29*(datos_base!$D$4+datos_base!$D$20+IF(parametros_manuales!$H$29="Todos",datos_base!$D$11+datos_base!$D$25,0))*parametros_manuales!$M$105+parametros_manuales!$G$29*(datos_base!$D$5+datos_base!$D$21+IF(parametros_manuales!$H$29="Todos",datos_base!$D$12+datos_base!$D$26,0))*parametros_manuales!$M$110)*parametros_manuales!$I$29*parametros_manuales!$J$29</f>
        <v>2062.873096776</v>
      </c>
      <c r="N66" s="9" t="n">
        <f aca="false">SUM(B66:M66)</f>
        <v>22920.8121864</v>
      </c>
      <c r="O66" s="9" t="n">
        <f aca="false">MAX(B66:M66)</f>
        <v>2062.873096776</v>
      </c>
      <c r="P66" s="43" t="n">
        <f aca="false">O66/(parametros_manuales!$B$7)</f>
        <v>13.75248731184</v>
      </c>
      <c r="Q66" s="8" t="str">
        <f aca="false">IF(O66=0,"-",INDEX($B$55:$M$55,MATCH(O66,B66:M66,0)))</f>
        <v>Ene</v>
      </c>
    </row>
    <row r="67" customFormat="false" ht="14.25" hidden="false" customHeight="true" outlineLevel="0" collapsed="false">
      <c r="A67" s="8" t="str">
        <f aca="false">parametros_manuales!$B$30</f>
        <v>Soldadura circunferencial de cúpula y fondo</v>
      </c>
      <c r="B67" s="9" t="n">
        <f aca="false">(parametros_manuales!$D$30*(datos_base!$D$2+datos_base!$D$18+IF(parametros_manuales!$H$30="Todos",datos_base!$D$9+datos_base!$D$23,0))*parametros_manuales!$B$95+parametros_manuales!$E$30*(datos_base!$D$3+datos_base!$D$19+IF(parametros_manuales!$H$30="Todos",datos_base!$D$10+datos_base!$D$24,0))*parametros_manuales!$B$100+parametros_manuales!$F$30*(datos_base!$D$4+datos_base!$D$20+IF(parametros_manuales!$H$30="Todos",datos_base!$D$11+datos_base!$D$25,0))*parametros_manuales!$B$105+parametros_manuales!$G$30*(datos_base!$D$5+datos_base!$D$21+IF(parametros_manuales!$H$30="Todos",datos_base!$D$12+datos_base!$D$26,0))*parametros_manuales!$B$110)*parametros_manuales!$I$30*parametros_manuales!$J$30</f>
        <v>2062.873096776</v>
      </c>
      <c r="C67" s="9" t="n">
        <f aca="false">(parametros_manuales!$D$30*(datos_base!$D$2+datos_base!$D$18+IF(parametros_manuales!$H$30="Todos",datos_base!$D$9+datos_base!$D$23,0))*parametros_manuales!$C$95+parametros_manuales!$E$30*(datos_base!$D$3+datos_base!$D$19+IF(parametros_manuales!$H$30="Todos",datos_base!$D$10+datos_base!$D$24,0))*parametros_manuales!$C$100+parametros_manuales!$F$30*(datos_base!$D$4+datos_base!$D$20+IF(parametros_manuales!$H$30="Todos",datos_base!$D$11+datos_base!$D$25,0))*parametros_manuales!$C$105+parametros_manuales!$G$30*(datos_base!$D$5+datos_base!$D$21+IF(parametros_manuales!$H$30="Todos",datos_base!$D$12+datos_base!$D$26,0))*parametros_manuales!$C$110)*parametros_manuales!$I$30*parametros_manuales!$J$30</f>
        <v>1978.806452492</v>
      </c>
      <c r="D67" s="9" t="n">
        <f aca="false">(parametros_manuales!$D$30*(datos_base!$D$2+datos_base!$D$18+IF(parametros_manuales!$H$30="Todos",datos_base!$D$9+datos_base!$D$23,0))*parametros_manuales!$D$95+parametros_manuales!$E$30*(datos_base!$D$3+datos_base!$D$19+IF(parametros_manuales!$H$30="Todos",datos_base!$D$10+datos_base!$D$24,0))*parametros_manuales!$D$100+parametros_manuales!$F$30*(datos_base!$D$4+datos_base!$D$20+IF(parametros_manuales!$H$30="Todos",datos_base!$D$11+datos_base!$D$25,0))*parametros_manuales!$D$105+parametros_manuales!$G$30*(datos_base!$D$5+datos_base!$D$21+IF(parametros_manuales!$H$30="Todos",datos_base!$D$12+datos_base!$D$26,0))*parametros_manuales!$D$110)*parametros_manuales!$I$30*parametros_manuales!$J$30</f>
        <v>1875.698297054</v>
      </c>
      <c r="E67" s="9" t="n">
        <f aca="false">(parametros_manuales!$D$30*(datos_base!$D$2+datos_base!$D$18+IF(parametros_manuales!$H$30="Todos",datos_base!$D$9+datos_base!$D$23,0))*parametros_manuales!$E$95+parametros_manuales!$E$30*(datos_base!$D$3+datos_base!$D$19+IF(parametros_manuales!$H$30="Todos",datos_base!$D$10+datos_base!$D$24,0))*parametros_manuales!$E$100+parametros_manuales!$F$30*(datos_base!$D$4+datos_base!$D$20+IF(parametros_manuales!$H$30="Todos",datos_base!$D$11+datos_base!$D$25,0))*parametros_manuales!$E$105+parametros_manuales!$G$30*(datos_base!$D$5+datos_base!$D$21+IF(parametros_manuales!$H$30="Todos",datos_base!$D$12+datos_base!$D$26,0))*parametros_manuales!$E$110)*parametros_manuales!$I$30*parametros_manuales!$J$30</f>
        <v>1803.127558264</v>
      </c>
      <c r="F67" s="9" t="n">
        <f aca="false">(parametros_manuales!$D$30*(datos_base!$D$2+datos_base!$D$18+IF(parametros_manuales!$H$30="Todos",datos_base!$D$9+datos_base!$D$23,0))*parametros_manuales!$F$95+parametros_manuales!$E$30*(datos_base!$D$3+datos_base!$D$19+IF(parametros_manuales!$H$30="Todos",datos_base!$D$10+datos_base!$D$24,0))*parametros_manuales!$F$100+parametros_manuales!$F$30*(datos_base!$D$4+datos_base!$D$20+IF(parametros_manuales!$H$30="Todos",datos_base!$D$11+datos_base!$D$25,0))*parametros_manuales!$F$105+parametros_manuales!$G$30*(datos_base!$D$5+datos_base!$D$21+IF(parametros_manuales!$H$30="Todos",datos_base!$D$12+datos_base!$D$26,0))*parametros_manuales!$F$110)*parametros_manuales!$I$30*parametros_manuales!$J$30</f>
        <v>1688.523497332</v>
      </c>
      <c r="G67" s="9" t="n">
        <f aca="false">(parametros_manuales!$D$30*(datos_base!$D$2+datos_base!$D$18+IF(parametros_manuales!$H$30="Todos",datos_base!$D$9+datos_base!$D$23,0))*parametros_manuales!$G$95+parametros_manuales!$E$30*(datos_base!$D$3+datos_base!$D$19+IF(parametros_manuales!$H$30="Todos",datos_base!$D$10+datos_base!$D$24,0))*parametros_manuales!$G$100+parametros_manuales!$F$30*(datos_base!$D$4+datos_base!$D$20+IF(parametros_manuales!$H$30="Todos",datos_base!$D$11+datos_base!$D$25,0))*parametros_manuales!$G$105+parametros_manuales!$G$30*(datos_base!$D$5+datos_base!$D$21+IF(parametros_manuales!$H$30="Todos",datos_base!$D$12+datos_base!$D$26,0))*parametros_manuales!$G$110)*parametros_manuales!$I$30*parametros_manuales!$J$30</f>
        <v>1646.49017519</v>
      </c>
      <c r="H67" s="9" t="n">
        <f aca="false">(parametros_manuales!$D$30*(datos_base!$D$2+datos_base!$D$18+IF(parametros_manuales!$H$30="Todos",datos_base!$D$9+datos_base!$D$23,0))*parametros_manuales!$H$95+parametros_manuales!$E$30*(datos_base!$D$3+datos_base!$D$19+IF(parametros_manuales!$H$30="Todos",datos_base!$D$10+datos_base!$D$24,0))*parametros_manuales!$H$100+parametros_manuales!$F$30*(datos_base!$D$4+datos_base!$D$20+IF(parametros_manuales!$H$30="Todos",datos_base!$D$11+datos_base!$D$25,0))*parametros_manuales!$H$105+parametros_manuales!$G$30*(datos_base!$D$5+datos_base!$D$21+IF(parametros_manuales!$H$30="Todos",datos_base!$D$12+datos_base!$D$26,0))*parametros_manuales!$H$110)*parametros_manuales!$I$30*parametros_manuales!$J$30</f>
        <v>1761.094236122</v>
      </c>
      <c r="I67" s="9" t="n">
        <f aca="false">(parametros_manuales!$D$30*(datos_base!$D$2+datos_base!$D$18+IF(parametros_manuales!$H$30="Todos",datos_base!$D$9+datos_base!$D$23,0))*parametros_manuales!$I$95+parametros_manuales!$E$30*(datos_base!$D$3+datos_base!$D$19+IF(parametros_manuales!$H$30="Todos",datos_base!$D$10+datos_base!$D$24,0))*parametros_manuales!$I$100+parametros_manuales!$F$30*(datos_base!$D$4+datos_base!$D$20+IF(parametros_manuales!$H$30="Todos",datos_base!$D$11+datos_base!$D$25,0))*parametros_manuales!$I$105+parametros_manuales!$G$30*(datos_base!$D$5+datos_base!$D$21+IF(parametros_manuales!$H$30="Todos",datos_base!$D$12+datos_base!$D$26,0))*parametros_manuales!$I$110)*parametros_manuales!$I$30*parametros_manuales!$J$30</f>
        <v>1978.806452492</v>
      </c>
      <c r="J67" s="9" t="n">
        <f aca="false">(parametros_manuales!$D$30*(datos_base!$D$2+datos_base!$D$18+IF(parametros_manuales!$H$30="Todos",datos_base!$D$9+datos_base!$D$23,0))*parametros_manuales!$J$95+parametros_manuales!$E$30*(datos_base!$D$3+datos_base!$D$19+IF(parametros_manuales!$H$30="Todos",datos_base!$D$10+datos_base!$D$24,0))*parametros_manuales!$J$100+parametros_manuales!$F$30*(datos_base!$D$4+datos_base!$D$20+IF(parametros_manuales!$H$30="Todos",datos_base!$D$11+datos_base!$D$25,0))*parametros_manuales!$J$105+parametros_manuales!$G$30*(datos_base!$D$5+datos_base!$D$21+IF(parametros_manuales!$H$30="Todos",datos_base!$D$12+datos_base!$D$26,0))*parametros_manuales!$J$110)*parametros_manuales!$I$30*parametros_manuales!$J$30</f>
        <v>1978.806452492</v>
      </c>
      <c r="K67" s="9" t="n">
        <f aca="false">(parametros_manuales!$D$30*(datos_base!$D$2+datos_base!$D$18+IF(parametros_manuales!$H$30="Todos",datos_base!$D$9+datos_base!$D$23,0))*parametros_manuales!$K$95+parametros_manuales!$E$30*(datos_base!$D$3+datos_base!$D$19+IF(parametros_manuales!$H$30="Todos",datos_base!$D$10+datos_base!$D$24,0))*parametros_manuales!$K$100+parametros_manuales!$F$30*(datos_base!$D$4+datos_base!$D$20+IF(parametros_manuales!$H$30="Todos",datos_base!$D$11+datos_base!$D$25,0))*parametros_manuales!$K$105+parametros_manuales!$G$30*(datos_base!$D$5+datos_base!$D$21+IF(parametros_manuales!$H$30="Todos",datos_base!$D$12+datos_base!$D$26,0))*parametros_manuales!$K$110)*parametros_manuales!$I$30*parametros_manuales!$J$30</f>
        <v>2020.839774634</v>
      </c>
      <c r="L67" s="9" t="n">
        <f aca="false">(parametros_manuales!$D$30*(datos_base!$D$2+datos_base!$D$18+IF(parametros_manuales!$H$30="Todos",datos_base!$D$9+datos_base!$D$23,0))*parametros_manuales!$L$95+parametros_manuales!$E$30*(datos_base!$D$3+datos_base!$D$19+IF(parametros_manuales!$H$30="Todos",datos_base!$D$10+datos_base!$D$24,0))*parametros_manuales!$L$100+parametros_manuales!$F$30*(datos_base!$D$4+datos_base!$D$20+IF(parametros_manuales!$H$30="Todos",datos_base!$D$11+datos_base!$D$25,0))*parametros_manuales!$L$105+parametros_manuales!$G$30*(datos_base!$D$5+datos_base!$D$21+IF(parametros_manuales!$H$30="Todos",datos_base!$D$12+datos_base!$D$26,0))*parametros_manuales!$L$110)*parametros_manuales!$I$30*parametros_manuales!$J$30</f>
        <v>2062.873096776</v>
      </c>
      <c r="M67" s="9" t="n">
        <f aca="false">(parametros_manuales!$D$30*(datos_base!$D$2+datos_base!$D$18+IF(parametros_manuales!$H$30="Todos",datos_base!$D$9+datos_base!$D$23,0))*parametros_manuales!$M$95+parametros_manuales!$E$30*(datos_base!$D$3+datos_base!$D$19+IF(parametros_manuales!$H$30="Todos",datos_base!$D$10+datos_base!$D$24,0))*parametros_manuales!$M$100+parametros_manuales!$F$30*(datos_base!$D$4+datos_base!$D$20+IF(parametros_manuales!$H$30="Todos",datos_base!$D$11+datos_base!$D$25,0))*parametros_manuales!$M$105+parametros_manuales!$G$30*(datos_base!$D$5+datos_base!$D$21+IF(parametros_manuales!$H$30="Todos",datos_base!$D$12+datos_base!$D$26,0))*parametros_manuales!$M$110)*parametros_manuales!$I$30*parametros_manuales!$J$30</f>
        <v>2062.873096776</v>
      </c>
      <c r="N67" s="9" t="n">
        <f aca="false">SUM(B67:M67)</f>
        <v>22920.8121864</v>
      </c>
      <c r="O67" s="9" t="n">
        <f aca="false">MAX(B67:M67)</f>
        <v>2062.873096776</v>
      </c>
      <c r="P67" s="43" t="n">
        <f aca="false">O67/(parametros_manuales!$B$7)</f>
        <v>13.75248731184</v>
      </c>
      <c r="Q67" s="8" t="str">
        <f aca="false">IF(O67=0,"-",INDEX($B$55:$M$55,MATCH(O67,B67:M67,0)))</f>
        <v>Ene</v>
      </c>
    </row>
    <row r="68" customFormat="false" ht="14.25" hidden="false" customHeight="true" outlineLevel="0" collapsed="false">
      <c r="A68" s="8" t="str">
        <f aca="false">parametros_manuales!$B$31</f>
        <v>Control de calidad — Espesor</v>
      </c>
      <c r="B68" s="9" t="n">
        <f aca="false">(parametros_manuales!$D$31*(datos_base!$D$2+datos_base!$D$18+IF(parametros_manuales!$H$31="Todos",datos_base!$D$9+datos_base!$D$23,0))*parametros_manuales!$B$95+parametros_manuales!$E$31*(datos_base!$D$3+datos_base!$D$19+IF(parametros_manuales!$H$31="Todos",datos_base!$D$10+datos_base!$D$24,0))*parametros_manuales!$B$100+parametros_manuales!$F$31*(datos_base!$D$4+datos_base!$D$20+IF(parametros_manuales!$H$31="Todos",datos_base!$D$11+datos_base!$D$25,0))*parametros_manuales!$B$105+parametros_manuales!$G$31*(datos_base!$D$5+datos_base!$D$21+IF(parametros_manuales!$H$31="Todos",datos_base!$D$12+datos_base!$D$26,0))*parametros_manuales!$B$110)*parametros_manuales!$I$31*parametros_manuales!$J$31</f>
        <v>41.25746193552</v>
      </c>
      <c r="C68" s="9" t="n">
        <f aca="false">(parametros_manuales!$D$31*(datos_base!$D$2+datos_base!$D$18+IF(parametros_manuales!$H$31="Todos",datos_base!$D$9+datos_base!$D$23,0))*parametros_manuales!$C$95+parametros_manuales!$E$31*(datos_base!$D$3+datos_base!$D$19+IF(parametros_manuales!$H$31="Todos",datos_base!$D$10+datos_base!$D$24,0))*parametros_manuales!$C$100+parametros_manuales!$F$31*(datos_base!$D$4+datos_base!$D$20+IF(parametros_manuales!$H$31="Todos",datos_base!$D$11+datos_base!$D$25,0))*parametros_manuales!$C$105+parametros_manuales!$G$31*(datos_base!$D$5+datos_base!$D$21+IF(parametros_manuales!$H$31="Todos",datos_base!$D$12+datos_base!$D$26,0))*parametros_manuales!$C$110)*parametros_manuales!$I$31*parametros_manuales!$J$31</f>
        <v>39.57612904984</v>
      </c>
      <c r="D68" s="9" t="n">
        <f aca="false">(parametros_manuales!$D$31*(datos_base!$D$2+datos_base!$D$18+IF(parametros_manuales!$H$31="Todos",datos_base!$D$9+datos_base!$D$23,0))*parametros_manuales!$D$95+parametros_manuales!$E$31*(datos_base!$D$3+datos_base!$D$19+IF(parametros_manuales!$H$31="Todos",datos_base!$D$10+datos_base!$D$24,0))*parametros_manuales!$D$100+parametros_manuales!$F$31*(datos_base!$D$4+datos_base!$D$20+IF(parametros_manuales!$H$31="Todos",datos_base!$D$11+datos_base!$D$25,0))*parametros_manuales!$D$105+parametros_manuales!$G$31*(datos_base!$D$5+datos_base!$D$21+IF(parametros_manuales!$H$31="Todos",datos_base!$D$12+datos_base!$D$26,0))*parametros_manuales!$D$110)*parametros_manuales!$I$31*parametros_manuales!$J$31</f>
        <v>37.51396594108</v>
      </c>
      <c r="E68" s="9" t="n">
        <f aca="false">(parametros_manuales!$D$31*(datos_base!$D$2+datos_base!$D$18+IF(parametros_manuales!$H$31="Todos",datos_base!$D$9+datos_base!$D$23,0))*parametros_manuales!$E$95+parametros_manuales!$E$31*(datos_base!$D$3+datos_base!$D$19+IF(parametros_manuales!$H$31="Todos",datos_base!$D$10+datos_base!$D$24,0))*parametros_manuales!$E$100+parametros_manuales!$F$31*(datos_base!$D$4+datos_base!$D$20+IF(parametros_manuales!$H$31="Todos",datos_base!$D$11+datos_base!$D$25,0))*parametros_manuales!$E$105+parametros_manuales!$G$31*(datos_base!$D$5+datos_base!$D$21+IF(parametros_manuales!$H$31="Todos",datos_base!$D$12+datos_base!$D$26,0))*parametros_manuales!$E$110)*parametros_manuales!$I$31*parametros_manuales!$J$31</f>
        <v>36.06255116528</v>
      </c>
      <c r="F68" s="9" t="n">
        <f aca="false">(parametros_manuales!$D$31*(datos_base!$D$2+datos_base!$D$18+IF(parametros_manuales!$H$31="Todos",datos_base!$D$9+datos_base!$D$23,0))*parametros_manuales!$F$95+parametros_manuales!$E$31*(datos_base!$D$3+datos_base!$D$19+IF(parametros_manuales!$H$31="Todos",datos_base!$D$10+datos_base!$D$24,0))*parametros_manuales!$F$100+parametros_manuales!$F$31*(datos_base!$D$4+datos_base!$D$20+IF(parametros_manuales!$H$31="Todos",datos_base!$D$11+datos_base!$D$25,0))*parametros_manuales!$F$105+parametros_manuales!$G$31*(datos_base!$D$5+datos_base!$D$21+IF(parametros_manuales!$H$31="Todos",datos_base!$D$12+datos_base!$D$26,0))*parametros_manuales!$F$110)*parametros_manuales!$I$31*parametros_manuales!$J$31</f>
        <v>33.77046994664</v>
      </c>
      <c r="G68" s="9" t="n">
        <f aca="false">(parametros_manuales!$D$31*(datos_base!$D$2+datos_base!$D$18+IF(parametros_manuales!$H$31="Todos",datos_base!$D$9+datos_base!$D$23,0))*parametros_manuales!$G$95+parametros_manuales!$E$31*(datos_base!$D$3+datos_base!$D$19+IF(parametros_manuales!$H$31="Todos",datos_base!$D$10+datos_base!$D$24,0))*parametros_manuales!$G$100+parametros_manuales!$F$31*(datos_base!$D$4+datos_base!$D$20+IF(parametros_manuales!$H$31="Todos",datos_base!$D$11+datos_base!$D$25,0))*parametros_manuales!$G$105+parametros_manuales!$G$31*(datos_base!$D$5+datos_base!$D$21+IF(parametros_manuales!$H$31="Todos",datos_base!$D$12+datos_base!$D$26,0))*parametros_manuales!$G$110)*parametros_manuales!$I$31*parametros_manuales!$J$31</f>
        <v>32.9298035038</v>
      </c>
      <c r="H68" s="9" t="n">
        <f aca="false">(parametros_manuales!$D$31*(datos_base!$D$2+datos_base!$D$18+IF(parametros_manuales!$H$31="Todos",datos_base!$D$9+datos_base!$D$23,0))*parametros_manuales!$H$95+parametros_manuales!$E$31*(datos_base!$D$3+datos_base!$D$19+IF(parametros_manuales!$H$31="Todos",datos_base!$D$10+datos_base!$D$24,0))*parametros_manuales!$H$100+parametros_manuales!$F$31*(datos_base!$D$4+datos_base!$D$20+IF(parametros_manuales!$H$31="Todos",datos_base!$D$11+datos_base!$D$25,0))*parametros_manuales!$H$105+parametros_manuales!$G$31*(datos_base!$D$5+datos_base!$D$21+IF(parametros_manuales!$H$31="Todos",datos_base!$D$12+datos_base!$D$26,0))*parametros_manuales!$H$110)*parametros_manuales!$I$31*parametros_manuales!$J$31</f>
        <v>35.22188472244</v>
      </c>
      <c r="I68" s="9" t="n">
        <f aca="false">(parametros_manuales!$D$31*(datos_base!$D$2+datos_base!$D$18+IF(parametros_manuales!$H$31="Todos",datos_base!$D$9+datos_base!$D$23,0))*parametros_manuales!$I$95+parametros_manuales!$E$31*(datos_base!$D$3+datos_base!$D$19+IF(parametros_manuales!$H$31="Todos",datos_base!$D$10+datos_base!$D$24,0))*parametros_manuales!$I$100+parametros_manuales!$F$31*(datos_base!$D$4+datos_base!$D$20+IF(parametros_manuales!$H$31="Todos",datos_base!$D$11+datos_base!$D$25,0))*parametros_manuales!$I$105+parametros_manuales!$G$31*(datos_base!$D$5+datos_base!$D$21+IF(parametros_manuales!$H$31="Todos",datos_base!$D$12+datos_base!$D$26,0))*parametros_manuales!$I$110)*parametros_manuales!$I$31*parametros_manuales!$J$31</f>
        <v>39.57612904984</v>
      </c>
      <c r="J68" s="9" t="n">
        <f aca="false">(parametros_manuales!$D$31*(datos_base!$D$2+datos_base!$D$18+IF(parametros_manuales!$H$31="Todos",datos_base!$D$9+datos_base!$D$23,0))*parametros_manuales!$J$95+parametros_manuales!$E$31*(datos_base!$D$3+datos_base!$D$19+IF(parametros_manuales!$H$31="Todos",datos_base!$D$10+datos_base!$D$24,0))*parametros_manuales!$J$100+parametros_manuales!$F$31*(datos_base!$D$4+datos_base!$D$20+IF(parametros_manuales!$H$31="Todos",datos_base!$D$11+datos_base!$D$25,0))*parametros_manuales!$J$105+parametros_manuales!$G$31*(datos_base!$D$5+datos_base!$D$21+IF(parametros_manuales!$H$31="Todos",datos_base!$D$12+datos_base!$D$26,0))*parametros_manuales!$J$110)*parametros_manuales!$I$31*parametros_manuales!$J$31</f>
        <v>39.57612904984</v>
      </c>
      <c r="K68" s="9" t="n">
        <f aca="false">(parametros_manuales!$D$31*(datos_base!$D$2+datos_base!$D$18+IF(parametros_manuales!$H$31="Todos",datos_base!$D$9+datos_base!$D$23,0))*parametros_manuales!$K$95+parametros_manuales!$E$31*(datos_base!$D$3+datos_base!$D$19+IF(parametros_manuales!$H$31="Todos",datos_base!$D$10+datos_base!$D$24,0))*parametros_manuales!$K$100+parametros_manuales!$F$31*(datos_base!$D$4+datos_base!$D$20+IF(parametros_manuales!$H$31="Todos",datos_base!$D$11+datos_base!$D$25,0))*parametros_manuales!$K$105+parametros_manuales!$G$31*(datos_base!$D$5+datos_base!$D$21+IF(parametros_manuales!$H$31="Todos",datos_base!$D$12+datos_base!$D$26,0))*parametros_manuales!$K$110)*parametros_manuales!$I$31*parametros_manuales!$J$31</f>
        <v>40.41679549268</v>
      </c>
      <c r="L68" s="9" t="n">
        <f aca="false">(parametros_manuales!$D$31*(datos_base!$D$2+datos_base!$D$18+IF(parametros_manuales!$H$31="Todos",datos_base!$D$9+datos_base!$D$23,0))*parametros_manuales!$L$95+parametros_manuales!$E$31*(datos_base!$D$3+datos_base!$D$19+IF(parametros_manuales!$H$31="Todos",datos_base!$D$10+datos_base!$D$24,0))*parametros_manuales!$L$100+parametros_manuales!$F$31*(datos_base!$D$4+datos_base!$D$20+IF(parametros_manuales!$H$31="Todos",datos_base!$D$11+datos_base!$D$25,0))*parametros_manuales!$L$105+parametros_manuales!$G$31*(datos_base!$D$5+datos_base!$D$21+IF(parametros_manuales!$H$31="Todos",datos_base!$D$12+datos_base!$D$26,0))*parametros_manuales!$L$110)*parametros_manuales!$I$31*parametros_manuales!$J$31</f>
        <v>41.25746193552</v>
      </c>
      <c r="M68" s="9" t="n">
        <f aca="false">(parametros_manuales!$D$31*(datos_base!$D$2+datos_base!$D$18+IF(parametros_manuales!$H$31="Todos",datos_base!$D$9+datos_base!$D$23,0))*parametros_manuales!$M$95+parametros_manuales!$E$31*(datos_base!$D$3+datos_base!$D$19+IF(parametros_manuales!$H$31="Todos",datos_base!$D$10+datos_base!$D$24,0))*parametros_manuales!$M$100+parametros_manuales!$F$31*(datos_base!$D$4+datos_base!$D$20+IF(parametros_manuales!$H$31="Todos",datos_base!$D$11+datos_base!$D$25,0))*parametros_manuales!$M$105+parametros_manuales!$G$31*(datos_base!$D$5+datos_base!$D$21+IF(parametros_manuales!$H$31="Todos",datos_base!$D$12+datos_base!$D$26,0))*parametros_manuales!$M$110)*parametros_manuales!$I$31*parametros_manuales!$J$31</f>
        <v>41.25746193552</v>
      </c>
      <c r="N68" s="9" t="n">
        <f aca="false">SUM(B68:M68)</f>
        <v>458.416243728</v>
      </c>
      <c r="O68" s="9" t="n">
        <f aca="false">MAX(B68:M68)</f>
        <v>41.25746193552</v>
      </c>
      <c r="P68" s="43" t="n">
        <f aca="false">O68/(parametros_manuales!$B$7)</f>
        <v>0.2750497462368</v>
      </c>
      <c r="Q68" s="8" t="str">
        <f aca="false">IF(O68=0,"-",INDEX($B$55:$M$55,MATCH(O68,B68:M68,0)))</f>
        <v>Ene</v>
      </c>
    </row>
    <row r="69" customFormat="false" ht="14.25" hidden="false" customHeight="true" outlineLevel="0" collapsed="false">
      <c r="A69" s="8" t="str">
        <f aca="false">parametros_manuales!$B$32</f>
        <v>Prueba hidráulica</v>
      </c>
      <c r="B69" s="9" t="n">
        <f aca="false">(parametros_manuales!$D$32*(datos_base!$D$2+datos_base!$D$18+IF(parametros_manuales!$H$32="Todos",datos_base!$D$9+datos_base!$D$23,0))*parametros_manuales!$B$95+parametros_manuales!$E$32*(datos_base!$D$3+datos_base!$D$19+IF(parametros_manuales!$H$32="Todos",datos_base!$D$10+datos_base!$D$24,0))*parametros_manuales!$B$100+parametros_manuales!$F$32*(datos_base!$D$4+datos_base!$D$20+IF(parametros_manuales!$H$32="Todos",datos_base!$D$11+datos_base!$D$25,0))*parametros_manuales!$B$105+parametros_manuales!$G$32*(datos_base!$D$5+datos_base!$D$21+IF(parametros_manuales!$H$32="Todos",datos_base!$D$12+datos_base!$D$26,0))*parametros_manuales!$B$110)*parametros_manuales!$I$32*parametros_manuales!$J$32</f>
        <v>2062.873096776</v>
      </c>
      <c r="C69" s="9" t="n">
        <f aca="false">(parametros_manuales!$D$32*(datos_base!$D$2+datos_base!$D$18+IF(parametros_manuales!$H$32="Todos",datos_base!$D$9+datos_base!$D$23,0))*parametros_manuales!$C$95+parametros_manuales!$E$32*(datos_base!$D$3+datos_base!$D$19+IF(parametros_manuales!$H$32="Todos",datos_base!$D$10+datos_base!$D$24,0))*parametros_manuales!$C$100+parametros_manuales!$F$32*(datos_base!$D$4+datos_base!$D$20+IF(parametros_manuales!$H$32="Todos",datos_base!$D$11+datos_base!$D$25,0))*parametros_manuales!$C$105+parametros_manuales!$G$32*(datos_base!$D$5+datos_base!$D$21+IF(parametros_manuales!$H$32="Todos",datos_base!$D$12+datos_base!$D$26,0))*parametros_manuales!$C$110)*parametros_manuales!$I$32*parametros_manuales!$J$32</f>
        <v>1978.806452492</v>
      </c>
      <c r="D69" s="9" t="n">
        <f aca="false">(parametros_manuales!$D$32*(datos_base!$D$2+datos_base!$D$18+IF(parametros_manuales!$H$32="Todos",datos_base!$D$9+datos_base!$D$23,0))*parametros_manuales!$D$95+parametros_manuales!$E$32*(datos_base!$D$3+datos_base!$D$19+IF(parametros_manuales!$H$32="Todos",datos_base!$D$10+datos_base!$D$24,0))*parametros_manuales!$D$100+parametros_manuales!$F$32*(datos_base!$D$4+datos_base!$D$20+IF(parametros_manuales!$H$32="Todos",datos_base!$D$11+datos_base!$D$25,0))*parametros_manuales!$D$105+parametros_manuales!$G$32*(datos_base!$D$5+datos_base!$D$21+IF(parametros_manuales!$H$32="Todos",datos_base!$D$12+datos_base!$D$26,0))*parametros_manuales!$D$110)*parametros_manuales!$I$32*parametros_manuales!$J$32</f>
        <v>1875.698297054</v>
      </c>
      <c r="E69" s="9" t="n">
        <f aca="false">(parametros_manuales!$D$32*(datos_base!$D$2+datos_base!$D$18+IF(parametros_manuales!$H$32="Todos",datos_base!$D$9+datos_base!$D$23,0))*parametros_manuales!$E$95+parametros_manuales!$E$32*(datos_base!$D$3+datos_base!$D$19+IF(parametros_manuales!$H$32="Todos",datos_base!$D$10+datos_base!$D$24,0))*parametros_manuales!$E$100+parametros_manuales!$F$32*(datos_base!$D$4+datos_base!$D$20+IF(parametros_manuales!$H$32="Todos",datos_base!$D$11+datos_base!$D$25,0))*parametros_manuales!$E$105+parametros_manuales!$G$32*(datos_base!$D$5+datos_base!$D$21+IF(parametros_manuales!$H$32="Todos",datos_base!$D$12+datos_base!$D$26,0))*parametros_manuales!$E$110)*parametros_manuales!$I$32*parametros_manuales!$J$32</f>
        <v>1803.127558264</v>
      </c>
      <c r="F69" s="9" t="n">
        <f aca="false">(parametros_manuales!$D$32*(datos_base!$D$2+datos_base!$D$18+IF(parametros_manuales!$H$32="Todos",datos_base!$D$9+datos_base!$D$23,0))*parametros_manuales!$F$95+parametros_manuales!$E$32*(datos_base!$D$3+datos_base!$D$19+IF(parametros_manuales!$H$32="Todos",datos_base!$D$10+datos_base!$D$24,0))*parametros_manuales!$F$100+parametros_manuales!$F$32*(datos_base!$D$4+datos_base!$D$20+IF(parametros_manuales!$H$32="Todos",datos_base!$D$11+datos_base!$D$25,0))*parametros_manuales!$F$105+parametros_manuales!$G$32*(datos_base!$D$5+datos_base!$D$21+IF(parametros_manuales!$H$32="Todos",datos_base!$D$12+datos_base!$D$26,0))*parametros_manuales!$F$110)*parametros_manuales!$I$32*parametros_manuales!$J$32</f>
        <v>1688.523497332</v>
      </c>
      <c r="G69" s="9" t="n">
        <f aca="false">(parametros_manuales!$D$32*(datos_base!$D$2+datos_base!$D$18+IF(parametros_manuales!$H$32="Todos",datos_base!$D$9+datos_base!$D$23,0))*parametros_manuales!$G$95+parametros_manuales!$E$32*(datos_base!$D$3+datos_base!$D$19+IF(parametros_manuales!$H$32="Todos",datos_base!$D$10+datos_base!$D$24,0))*parametros_manuales!$G$100+parametros_manuales!$F$32*(datos_base!$D$4+datos_base!$D$20+IF(parametros_manuales!$H$32="Todos",datos_base!$D$11+datos_base!$D$25,0))*parametros_manuales!$G$105+parametros_manuales!$G$32*(datos_base!$D$5+datos_base!$D$21+IF(parametros_manuales!$H$32="Todos",datos_base!$D$12+datos_base!$D$26,0))*parametros_manuales!$G$110)*parametros_manuales!$I$32*parametros_manuales!$J$32</f>
        <v>1646.49017519</v>
      </c>
      <c r="H69" s="9" t="n">
        <f aca="false">(parametros_manuales!$D$32*(datos_base!$D$2+datos_base!$D$18+IF(parametros_manuales!$H$32="Todos",datos_base!$D$9+datos_base!$D$23,0))*parametros_manuales!$H$95+parametros_manuales!$E$32*(datos_base!$D$3+datos_base!$D$19+IF(parametros_manuales!$H$32="Todos",datos_base!$D$10+datos_base!$D$24,0))*parametros_manuales!$H$100+parametros_manuales!$F$32*(datos_base!$D$4+datos_base!$D$20+IF(parametros_manuales!$H$32="Todos",datos_base!$D$11+datos_base!$D$25,0))*parametros_manuales!$H$105+parametros_manuales!$G$32*(datos_base!$D$5+datos_base!$D$21+IF(parametros_manuales!$H$32="Todos",datos_base!$D$12+datos_base!$D$26,0))*parametros_manuales!$H$110)*parametros_manuales!$I$32*parametros_manuales!$J$32</f>
        <v>1761.094236122</v>
      </c>
      <c r="I69" s="9" t="n">
        <f aca="false">(parametros_manuales!$D$32*(datos_base!$D$2+datos_base!$D$18+IF(parametros_manuales!$H$32="Todos",datos_base!$D$9+datos_base!$D$23,0))*parametros_manuales!$I$95+parametros_manuales!$E$32*(datos_base!$D$3+datos_base!$D$19+IF(parametros_manuales!$H$32="Todos",datos_base!$D$10+datos_base!$D$24,0))*parametros_manuales!$I$100+parametros_manuales!$F$32*(datos_base!$D$4+datos_base!$D$20+IF(parametros_manuales!$H$32="Todos",datos_base!$D$11+datos_base!$D$25,0))*parametros_manuales!$I$105+parametros_manuales!$G$32*(datos_base!$D$5+datos_base!$D$21+IF(parametros_manuales!$H$32="Todos",datos_base!$D$12+datos_base!$D$26,0))*parametros_manuales!$I$110)*parametros_manuales!$I$32*parametros_manuales!$J$32</f>
        <v>1978.806452492</v>
      </c>
      <c r="J69" s="9" t="n">
        <f aca="false">(parametros_manuales!$D$32*(datos_base!$D$2+datos_base!$D$18+IF(parametros_manuales!$H$32="Todos",datos_base!$D$9+datos_base!$D$23,0))*parametros_manuales!$J$95+parametros_manuales!$E$32*(datos_base!$D$3+datos_base!$D$19+IF(parametros_manuales!$H$32="Todos",datos_base!$D$10+datos_base!$D$24,0))*parametros_manuales!$J$100+parametros_manuales!$F$32*(datos_base!$D$4+datos_base!$D$20+IF(parametros_manuales!$H$32="Todos",datos_base!$D$11+datos_base!$D$25,0))*parametros_manuales!$J$105+parametros_manuales!$G$32*(datos_base!$D$5+datos_base!$D$21+IF(parametros_manuales!$H$32="Todos",datos_base!$D$12+datos_base!$D$26,0))*parametros_manuales!$J$110)*parametros_manuales!$I$32*parametros_manuales!$J$32</f>
        <v>1978.806452492</v>
      </c>
      <c r="K69" s="9" t="n">
        <f aca="false">(parametros_manuales!$D$32*(datos_base!$D$2+datos_base!$D$18+IF(parametros_manuales!$H$32="Todos",datos_base!$D$9+datos_base!$D$23,0))*parametros_manuales!$K$95+parametros_manuales!$E$32*(datos_base!$D$3+datos_base!$D$19+IF(parametros_manuales!$H$32="Todos",datos_base!$D$10+datos_base!$D$24,0))*parametros_manuales!$K$100+parametros_manuales!$F$32*(datos_base!$D$4+datos_base!$D$20+IF(parametros_manuales!$H$32="Todos",datos_base!$D$11+datos_base!$D$25,0))*parametros_manuales!$K$105+parametros_manuales!$G$32*(datos_base!$D$5+datos_base!$D$21+IF(parametros_manuales!$H$32="Todos",datos_base!$D$12+datos_base!$D$26,0))*parametros_manuales!$K$110)*parametros_manuales!$I$32*parametros_manuales!$J$32</f>
        <v>2020.839774634</v>
      </c>
      <c r="L69" s="9" t="n">
        <f aca="false">(parametros_manuales!$D$32*(datos_base!$D$2+datos_base!$D$18+IF(parametros_manuales!$H$32="Todos",datos_base!$D$9+datos_base!$D$23,0))*parametros_manuales!$L$95+parametros_manuales!$E$32*(datos_base!$D$3+datos_base!$D$19+IF(parametros_manuales!$H$32="Todos",datos_base!$D$10+datos_base!$D$24,0))*parametros_manuales!$L$100+parametros_manuales!$F$32*(datos_base!$D$4+datos_base!$D$20+IF(parametros_manuales!$H$32="Todos",datos_base!$D$11+datos_base!$D$25,0))*parametros_manuales!$L$105+parametros_manuales!$G$32*(datos_base!$D$5+datos_base!$D$21+IF(parametros_manuales!$H$32="Todos",datos_base!$D$12+datos_base!$D$26,0))*parametros_manuales!$L$110)*parametros_manuales!$I$32*parametros_manuales!$J$32</f>
        <v>2062.873096776</v>
      </c>
      <c r="M69" s="9" t="n">
        <f aca="false">(parametros_manuales!$D$32*(datos_base!$D$2+datos_base!$D$18+IF(parametros_manuales!$H$32="Todos",datos_base!$D$9+datos_base!$D$23,0))*parametros_manuales!$M$95+parametros_manuales!$E$32*(datos_base!$D$3+datos_base!$D$19+IF(parametros_manuales!$H$32="Todos",datos_base!$D$10+datos_base!$D$24,0))*parametros_manuales!$M$100+parametros_manuales!$F$32*(datos_base!$D$4+datos_base!$D$20+IF(parametros_manuales!$H$32="Todos",datos_base!$D$11+datos_base!$D$25,0))*parametros_manuales!$M$105+parametros_manuales!$G$32*(datos_base!$D$5+datos_base!$D$21+IF(parametros_manuales!$H$32="Todos",datos_base!$D$12+datos_base!$D$26,0))*parametros_manuales!$M$110)*parametros_manuales!$I$32*parametros_manuales!$J$32</f>
        <v>2062.873096776</v>
      </c>
      <c r="N69" s="9" t="n">
        <f aca="false">SUM(B69:M69)</f>
        <v>22920.8121864</v>
      </c>
      <c r="O69" s="9" t="n">
        <f aca="false">MAX(B69:M69)</f>
        <v>2062.873096776</v>
      </c>
      <c r="P69" s="43" t="n">
        <f aca="false">O69/(parametros_manuales!$B$7)</f>
        <v>13.75248731184</v>
      </c>
      <c r="Q69" s="8" t="str">
        <f aca="false">IF(O69=0,"-",INDEX($B$55:$M$55,MATCH(O69,B69:M69,0)))</f>
        <v>Ene</v>
      </c>
    </row>
    <row r="70" customFormat="false" ht="14.25" hidden="false" customHeight="true" outlineLevel="0" collapsed="false">
      <c r="A70" s="8" t="str">
        <f aca="false">parametros_manuales!$B$33</f>
        <v>Secado</v>
      </c>
      <c r="B70" s="9" t="n">
        <f aca="false">(parametros_manuales!$D$33*(datos_base!$D$2+datos_base!$D$18+IF(parametros_manuales!$H$33="Todos",datos_base!$D$9+datos_base!$D$23,0))*parametros_manuales!$B$95+parametros_manuales!$E$33*(datos_base!$D$3+datos_base!$D$19+IF(parametros_manuales!$H$33="Todos",datos_base!$D$10+datos_base!$D$24,0))*parametros_manuales!$B$100+parametros_manuales!$F$33*(datos_base!$D$4+datos_base!$D$20+IF(parametros_manuales!$H$33="Todos",datos_base!$D$11+datos_base!$D$25,0))*parametros_manuales!$B$105+parametros_manuales!$G$33*(datos_base!$D$5+datos_base!$D$21+IF(parametros_manuales!$H$33="Todos",datos_base!$D$12+datos_base!$D$26,0))*parametros_manuales!$B$110)*parametros_manuales!$I$33*parametros_manuales!$J$33</f>
        <v>2062.873096776</v>
      </c>
      <c r="C70" s="9" t="n">
        <f aca="false">(parametros_manuales!$D$33*(datos_base!$D$2+datos_base!$D$18+IF(parametros_manuales!$H$33="Todos",datos_base!$D$9+datos_base!$D$23,0))*parametros_manuales!$C$95+parametros_manuales!$E$33*(datos_base!$D$3+datos_base!$D$19+IF(parametros_manuales!$H$33="Todos",datos_base!$D$10+datos_base!$D$24,0))*parametros_manuales!$C$100+parametros_manuales!$F$33*(datos_base!$D$4+datos_base!$D$20+IF(parametros_manuales!$H$33="Todos",datos_base!$D$11+datos_base!$D$25,0))*parametros_manuales!$C$105+parametros_manuales!$G$33*(datos_base!$D$5+datos_base!$D$21+IF(parametros_manuales!$H$33="Todos",datos_base!$D$12+datos_base!$D$26,0))*parametros_manuales!$C$110)*parametros_manuales!$I$33*parametros_manuales!$J$33</f>
        <v>1978.806452492</v>
      </c>
      <c r="D70" s="9" t="n">
        <f aca="false">(parametros_manuales!$D$33*(datos_base!$D$2+datos_base!$D$18+IF(parametros_manuales!$H$33="Todos",datos_base!$D$9+datos_base!$D$23,0))*parametros_manuales!$D$95+parametros_manuales!$E$33*(datos_base!$D$3+datos_base!$D$19+IF(parametros_manuales!$H$33="Todos",datos_base!$D$10+datos_base!$D$24,0))*parametros_manuales!$D$100+parametros_manuales!$F$33*(datos_base!$D$4+datos_base!$D$20+IF(parametros_manuales!$H$33="Todos",datos_base!$D$11+datos_base!$D$25,0))*parametros_manuales!$D$105+parametros_manuales!$G$33*(datos_base!$D$5+datos_base!$D$21+IF(parametros_manuales!$H$33="Todos",datos_base!$D$12+datos_base!$D$26,0))*parametros_manuales!$D$110)*parametros_manuales!$I$33*parametros_manuales!$J$33</f>
        <v>1875.698297054</v>
      </c>
      <c r="E70" s="9" t="n">
        <f aca="false">(parametros_manuales!$D$33*(datos_base!$D$2+datos_base!$D$18+IF(parametros_manuales!$H$33="Todos",datos_base!$D$9+datos_base!$D$23,0))*parametros_manuales!$E$95+parametros_manuales!$E$33*(datos_base!$D$3+datos_base!$D$19+IF(parametros_manuales!$H$33="Todos",datos_base!$D$10+datos_base!$D$24,0))*parametros_manuales!$E$100+parametros_manuales!$F$33*(datos_base!$D$4+datos_base!$D$20+IF(parametros_manuales!$H$33="Todos",datos_base!$D$11+datos_base!$D$25,0))*parametros_manuales!$E$105+parametros_manuales!$G$33*(datos_base!$D$5+datos_base!$D$21+IF(parametros_manuales!$H$33="Todos",datos_base!$D$12+datos_base!$D$26,0))*parametros_manuales!$E$110)*parametros_manuales!$I$33*parametros_manuales!$J$33</f>
        <v>1803.127558264</v>
      </c>
      <c r="F70" s="9" t="n">
        <f aca="false">(parametros_manuales!$D$33*(datos_base!$D$2+datos_base!$D$18+IF(parametros_manuales!$H$33="Todos",datos_base!$D$9+datos_base!$D$23,0))*parametros_manuales!$F$95+parametros_manuales!$E$33*(datos_base!$D$3+datos_base!$D$19+IF(parametros_manuales!$H$33="Todos",datos_base!$D$10+datos_base!$D$24,0))*parametros_manuales!$F$100+parametros_manuales!$F$33*(datos_base!$D$4+datos_base!$D$20+IF(parametros_manuales!$H$33="Todos",datos_base!$D$11+datos_base!$D$25,0))*parametros_manuales!$F$105+parametros_manuales!$G$33*(datos_base!$D$5+datos_base!$D$21+IF(parametros_manuales!$H$33="Todos",datos_base!$D$12+datos_base!$D$26,0))*parametros_manuales!$F$110)*parametros_manuales!$I$33*parametros_manuales!$J$33</f>
        <v>1688.523497332</v>
      </c>
      <c r="G70" s="9" t="n">
        <f aca="false">(parametros_manuales!$D$33*(datos_base!$D$2+datos_base!$D$18+IF(parametros_manuales!$H$33="Todos",datos_base!$D$9+datos_base!$D$23,0))*parametros_manuales!$G$95+parametros_manuales!$E$33*(datos_base!$D$3+datos_base!$D$19+IF(parametros_manuales!$H$33="Todos",datos_base!$D$10+datos_base!$D$24,0))*parametros_manuales!$G$100+parametros_manuales!$F$33*(datos_base!$D$4+datos_base!$D$20+IF(parametros_manuales!$H$33="Todos",datos_base!$D$11+datos_base!$D$25,0))*parametros_manuales!$G$105+parametros_manuales!$G$33*(datos_base!$D$5+datos_base!$D$21+IF(parametros_manuales!$H$33="Todos",datos_base!$D$12+datos_base!$D$26,0))*parametros_manuales!$G$110)*parametros_manuales!$I$33*parametros_manuales!$J$33</f>
        <v>1646.49017519</v>
      </c>
      <c r="H70" s="9" t="n">
        <f aca="false">(parametros_manuales!$D$33*(datos_base!$D$2+datos_base!$D$18+IF(parametros_manuales!$H$33="Todos",datos_base!$D$9+datos_base!$D$23,0))*parametros_manuales!$H$95+parametros_manuales!$E$33*(datos_base!$D$3+datos_base!$D$19+IF(parametros_manuales!$H$33="Todos",datos_base!$D$10+datos_base!$D$24,0))*parametros_manuales!$H$100+parametros_manuales!$F$33*(datos_base!$D$4+datos_base!$D$20+IF(parametros_manuales!$H$33="Todos",datos_base!$D$11+datos_base!$D$25,0))*parametros_manuales!$H$105+parametros_manuales!$G$33*(datos_base!$D$5+datos_base!$D$21+IF(parametros_manuales!$H$33="Todos",datos_base!$D$12+datos_base!$D$26,0))*parametros_manuales!$H$110)*parametros_manuales!$I$33*parametros_manuales!$J$33</f>
        <v>1761.094236122</v>
      </c>
      <c r="I70" s="9" t="n">
        <f aca="false">(parametros_manuales!$D$33*(datos_base!$D$2+datos_base!$D$18+IF(parametros_manuales!$H$33="Todos",datos_base!$D$9+datos_base!$D$23,0))*parametros_manuales!$I$95+parametros_manuales!$E$33*(datos_base!$D$3+datos_base!$D$19+IF(parametros_manuales!$H$33="Todos",datos_base!$D$10+datos_base!$D$24,0))*parametros_manuales!$I$100+parametros_manuales!$F$33*(datos_base!$D$4+datos_base!$D$20+IF(parametros_manuales!$H$33="Todos",datos_base!$D$11+datos_base!$D$25,0))*parametros_manuales!$I$105+parametros_manuales!$G$33*(datos_base!$D$5+datos_base!$D$21+IF(parametros_manuales!$H$33="Todos",datos_base!$D$12+datos_base!$D$26,0))*parametros_manuales!$I$110)*parametros_manuales!$I$33*parametros_manuales!$J$33</f>
        <v>1978.806452492</v>
      </c>
      <c r="J70" s="9" t="n">
        <f aca="false">(parametros_manuales!$D$33*(datos_base!$D$2+datos_base!$D$18+IF(parametros_manuales!$H$33="Todos",datos_base!$D$9+datos_base!$D$23,0))*parametros_manuales!$J$95+parametros_manuales!$E$33*(datos_base!$D$3+datos_base!$D$19+IF(parametros_manuales!$H$33="Todos",datos_base!$D$10+datos_base!$D$24,0))*parametros_manuales!$J$100+parametros_manuales!$F$33*(datos_base!$D$4+datos_base!$D$20+IF(parametros_manuales!$H$33="Todos",datos_base!$D$11+datos_base!$D$25,0))*parametros_manuales!$J$105+parametros_manuales!$G$33*(datos_base!$D$5+datos_base!$D$21+IF(parametros_manuales!$H$33="Todos",datos_base!$D$12+datos_base!$D$26,0))*parametros_manuales!$J$110)*parametros_manuales!$I$33*parametros_manuales!$J$33</f>
        <v>1978.806452492</v>
      </c>
      <c r="K70" s="9" t="n">
        <f aca="false">(parametros_manuales!$D$33*(datos_base!$D$2+datos_base!$D$18+IF(parametros_manuales!$H$33="Todos",datos_base!$D$9+datos_base!$D$23,0))*parametros_manuales!$K$95+parametros_manuales!$E$33*(datos_base!$D$3+datos_base!$D$19+IF(parametros_manuales!$H$33="Todos",datos_base!$D$10+datos_base!$D$24,0))*parametros_manuales!$K$100+parametros_manuales!$F$33*(datos_base!$D$4+datos_base!$D$20+IF(parametros_manuales!$H$33="Todos",datos_base!$D$11+datos_base!$D$25,0))*parametros_manuales!$K$105+parametros_manuales!$G$33*(datos_base!$D$5+datos_base!$D$21+IF(parametros_manuales!$H$33="Todos",datos_base!$D$12+datos_base!$D$26,0))*parametros_manuales!$K$110)*parametros_manuales!$I$33*parametros_manuales!$J$33</f>
        <v>2020.839774634</v>
      </c>
      <c r="L70" s="9" t="n">
        <f aca="false">(parametros_manuales!$D$33*(datos_base!$D$2+datos_base!$D$18+IF(parametros_manuales!$H$33="Todos",datos_base!$D$9+datos_base!$D$23,0))*parametros_manuales!$L$95+parametros_manuales!$E$33*(datos_base!$D$3+datos_base!$D$19+IF(parametros_manuales!$H$33="Todos",datos_base!$D$10+datos_base!$D$24,0))*parametros_manuales!$L$100+parametros_manuales!$F$33*(datos_base!$D$4+datos_base!$D$20+IF(parametros_manuales!$H$33="Todos",datos_base!$D$11+datos_base!$D$25,0))*parametros_manuales!$L$105+parametros_manuales!$G$33*(datos_base!$D$5+datos_base!$D$21+IF(parametros_manuales!$H$33="Todos",datos_base!$D$12+datos_base!$D$26,0))*parametros_manuales!$L$110)*parametros_manuales!$I$33*parametros_manuales!$J$33</f>
        <v>2062.873096776</v>
      </c>
      <c r="M70" s="9" t="n">
        <f aca="false">(parametros_manuales!$D$33*(datos_base!$D$2+datos_base!$D$18+IF(parametros_manuales!$H$33="Todos",datos_base!$D$9+datos_base!$D$23,0))*parametros_manuales!$M$95+parametros_manuales!$E$33*(datos_base!$D$3+datos_base!$D$19+IF(parametros_manuales!$H$33="Todos",datos_base!$D$10+datos_base!$D$24,0))*parametros_manuales!$M$100+parametros_manuales!$F$33*(datos_base!$D$4+datos_base!$D$20+IF(parametros_manuales!$H$33="Todos",datos_base!$D$11+datos_base!$D$25,0))*parametros_manuales!$M$105+parametros_manuales!$G$33*(datos_base!$D$5+datos_base!$D$21+IF(parametros_manuales!$H$33="Todos",datos_base!$D$12+datos_base!$D$26,0))*parametros_manuales!$M$110)*parametros_manuales!$I$33*parametros_manuales!$J$33</f>
        <v>2062.873096776</v>
      </c>
      <c r="N70" s="9" t="n">
        <f aca="false">SUM(B70:M70)</f>
        <v>22920.8121864</v>
      </c>
      <c r="O70" s="9" t="n">
        <f aca="false">MAX(B70:M70)</f>
        <v>2062.873096776</v>
      </c>
      <c r="P70" s="43" t="n">
        <f aca="false">O70/(parametros_manuales!$B$7)</f>
        <v>13.75248731184</v>
      </c>
      <c r="Q70" s="8" t="str">
        <f aca="false">IF(O70=0,"-",INDEX($B$55:$M$55,MATCH(O70,B70:M70,0)))</f>
        <v>Ene</v>
      </c>
    </row>
    <row r="71" customFormat="false" ht="14.25" hidden="false" customHeight="true" outlineLevel="0" collapsed="false">
      <c r="A71" s="8" t="str">
        <f aca="false">parametros_manuales!$B$34</f>
        <v>Granallado</v>
      </c>
      <c r="B71" s="9" t="n">
        <f aca="false">(parametros_manuales!$D$34*(datos_base!$D$2+datos_base!$D$18+IF(parametros_manuales!$H$34="Todos",datos_base!$D$9+datos_base!$D$23,0))*parametros_manuales!$B$95+parametros_manuales!$E$34*(datos_base!$D$3+datos_base!$D$19+IF(parametros_manuales!$H$34="Todos",datos_base!$D$10+datos_base!$D$24,0))*parametros_manuales!$B$100+parametros_manuales!$F$34*(datos_base!$D$4+datos_base!$D$20+IF(parametros_manuales!$H$34="Todos",datos_base!$D$11+datos_base!$D$25,0))*parametros_manuales!$B$105+parametros_manuales!$G$34*(datos_base!$D$5+datos_base!$D$21+IF(parametros_manuales!$H$34="Todos",datos_base!$D$12+datos_base!$D$26,0))*parametros_manuales!$B$110)*parametros_manuales!$I$34*parametros_manuales!$J$34</f>
        <v>2062.873096776</v>
      </c>
      <c r="C71" s="9" t="n">
        <f aca="false">(parametros_manuales!$D$34*(datos_base!$D$2+datos_base!$D$18+IF(parametros_manuales!$H$34="Todos",datos_base!$D$9+datos_base!$D$23,0))*parametros_manuales!$C$95+parametros_manuales!$E$34*(datos_base!$D$3+datos_base!$D$19+IF(parametros_manuales!$H$34="Todos",datos_base!$D$10+datos_base!$D$24,0))*parametros_manuales!$C$100+parametros_manuales!$F$34*(datos_base!$D$4+datos_base!$D$20+IF(parametros_manuales!$H$34="Todos",datos_base!$D$11+datos_base!$D$25,0))*parametros_manuales!$C$105+parametros_manuales!$G$34*(datos_base!$D$5+datos_base!$D$21+IF(parametros_manuales!$H$34="Todos",datos_base!$D$12+datos_base!$D$26,0))*parametros_manuales!$C$110)*parametros_manuales!$I$34*parametros_manuales!$J$34</f>
        <v>1978.806452492</v>
      </c>
      <c r="D71" s="9" t="n">
        <f aca="false">(parametros_manuales!$D$34*(datos_base!$D$2+datos_base!$D$18+IF(parametros_manuales!$H$34="Todos",datos_base!$D$9+datos_base!$D$23,0))*parametros_manuales!$D$95+parametros_manuales!$E$34*(datos_base!$D$3+datos_base!$D$19+IF(parametros_manuales!$H$34="Todos",datos_base!$D$10+datos_base!$D$24,0))*parametros_manuales!$D$100+parametros_manuales!$F$34*(datos_base!$D$4+datos_base!$D$20+IF(parametros_manuales!$H$34="Todos",datos_base!$D$11+datos_base!$D$25,0))*parametros_manuales!$D$105+parametros_manuales!$G$34*(datos_base!$D$5+datos_base!$D$21+IF(parametros_manuales!$H$34="Todos",datos_base!$D$12+datos_base!$D$26,0))*parametros_manuales!$D$110)*parametros_manuales!$I$34*parametros_manuales!$J$34</f>
        <v>1875.698297054</v>
      </c>
      <c r="E71" s="9" t="n">
        <f aca="false">(parametros_manuales!$D$34*(datos_base!$D$2+datos_base!$D$18+IF(parametros_manuales!$H$34="Todos",datos_base!$D$9+datos_base!$D$23,0))*parametros_manuales!$E$95+parametros_manuales!$E$34*(datos_base!$D$3+datos_base!$D$19+IF(parametros_manuales!$H$34="Todos",datos_base!$D$10+datos_base!$D$24,0))*parametros_manuales!$E$100+parametros_manuales!$F$34*(datos_base!$D$4+datos_base!$D$20+IF(parametros_manuales!$H$34="Todos",datos_base!$D$11+datos_base!$D$25,0))*parametros_manuales!$E$105+parametros_manuales!$G$34*(datos_base!$D$5+datos_base!$D$21+IF(parametros_manuales!$H$34="Todos",datos_base!$D$12+datos_base!$D$26,0))*parametros_manuales!$E$110)*parametros_manuales!$I$34*parametros_manuales!$J$34</f>
        <v>1803.127558264</v>
      </c>
      <c r="F71" s="9" t="n">
        <f aca="false">(parametros_manuales!$D$34*(datos_base!$D$2+datos_base!$D$18+IF(parametros_manuales!$H$34="Todos",datos_base!$D$9+datos_base!$D$23,0))*parametros_manuales!$F$95+parametros_manuales!$E$34*(datos_base!$D$3+datos_base!$D$19+IF(parametros_manuales!$H$34="Todos",datos_base!$D$10+datos_base!$D$24,0))*parametros_manuales!$F$100+parametros_manuales!$F$34*(datos_base!$D$4+datos_base!$D$20+IF(parametros_manuales!$H$34="Todos",datos_base!$D$11+datos_base!$D$25,0))*parametros_manuales!$F$105+parametros_manuales!$G$34*(datos_base!$D$5+datos_base!$D$21+IF(parametros_manuales!$H$34="Todos",datos_base!$D$12+datos_base!$D$26,0))*parametros_manuales!$F$110)*parametros_manuales!$I$34*parametros_manuales!$J$34</f>
        <v>1688.523497332</v>
      </c>
      <c r="G71" s="9" t="n">
        <f aca="false">(parametros_manuales!$D$34*(datos_base!$D$2+datos_base!$D$18+IF(parametros_manuales!$H$34="Todos",datos_base!$D$9+datos_base!$D$23,0))*parametros_manuales!$G$95+parametros_manuales!$E$34*(datos_base!$D$3+datos_base!$D$19+IF(parametros_manuales!$H$34="Todos",datos_base!$D$10+datos_base!$D$24,0))*parametros_manuales!$G$100+parametros_manuales!$F$34*(datos_base!$D$4+datos_base!$D$20+IF(parametros_manuales!$H$34="Todos",datos_base!$D$11+datos_base!$D$25,0))*parametros_manuales!$G$105+parametros_manuales!$G$34*(datos_base!$D$5+datos_base!$D$21+IF(parametros_manuales!$H$34="Todos",datos_base!$D$12+datos_base!$D$26,0))*parametros_manuales!$G$110)*parametros_manuales!$I$34*parametros_manuales!$J$34</f>
        <v>1646.49017519</v>
      </c>
      <c r="H71" s="9" t="n">
        <f aca="false">(parametros_manuales!$D$34*(datos_base!$D$2+datos_base!$D$18+IF(parametros_manuales!$H$34="Todos",datos_base!$D$9+datos_base!$D$23,0))*parametros_manuales!$H$95+parametros_manuales!$E$34*(datos_base!$D$3+datos_base!$D$19+IF(parametros_manuales!$H$34="Todos",datos_base!$D$10+datos_base!$D$24,0))*parametros_manuales!$H$100+parametros_manuales!$F$34*(datos_base!$D$4+datos_base!$D$20+IF(parametros_manuales!$H$34="Todos",datos_base!$D$11+datos_base!$D$25,0))*parametros_manuales!$H$105+parametros_manuales!$G$34*(datos_base!$D$5+datos_base!$D$21+IF(parametros_manuales!$H$34="Todos",datos_base!$D$12+datos_base!$D$26,0))*parametros_manuales!$H$110)*parametros_manuales!$I$34*parametros_manuales!$J$34</f>
        <v>1761.094236122</v>
      </c>
      <c r="I71" s="9" t="n">
        <f aca="false">(parametros_manuales!$D$34*(datos_base!$D$2+datos_base!$D$18+IF(parametros_manuales!$H$34="Todos",datos_base!$D$9+datos_base!$D$23,0))*parametros_manuales!$I$95+parametros_manuales!$E$34*(datos_base!$D$3+datos_base!$D$19+IF(parametros_manuales!$H$34="Todos",datos_base!$D$10+datos_base!$D$24,0))*parametros_manuales!$I$100+parametros_manuales!$F$34*(datos_base!$D$4+datos_base!$D$20+IF(parametros_manuales!$H$34="Todos",datos_base!$D$11+datos_base!$D$25,0))*parametros_manuales!$I$105+parametros_manuales!$G$34*(datos_base!$D$5+datos_base!$D$21+IF(parametros_manuales!$H$34="Todos",datos_base!$D$12+datos_base!$D$26,0))*parametros_manuales!$I$110)*parametros_manuales!$I$34*parametros_manuales!$J$34</f>
        <v>1978.806452492</v>
      </c>
      <c r="J71" s="9" t="n">
        <f aca="false">(parametros_manuales!$D$34*(datos_base!$D$2+datos_base!$D$18+IF(parametros_manuales!$H$34="Todos",datos_base!$D$9+datos_base!$D$23,0))*parametros_manuales!$J$95+parametros_manuales!$E$34*(datos_base!$D$3+datos_base!$D$19+IF(parametros_manuales!$H$34="Todos",datos_base!$D$10+datos_base!$D$24,0))*parametros_manuales!$J$100+parametros_manuales!$F$34*(datos_base!$D$4+datos_base!$D$20+IF(parametros_manuales!$H$34="Todos",datos_base!$D$11+datos_base!$D$25,0))*parametros_manuales!$J$105+parametros_manuales!$G$34*(datos_base!$D$5+datos_base!$D$21+IF(parametros_manuales!$H$34="Todos",datos_base!$D$12+datos_base!$D$26,0))*parametros_manuales!$J$110)*parametros_manuales!$I$34*parametros_manuales!$J$34</f>
        <v>1978.806452492</v>
      </c>
      <c r="K71" s="9" t="n">
        <f aca="false">(parametros_manuales!$D$34*(datos_base!$D$2+datos_base!$D$18+IF(parametros_manuales!$H$34="Todos",datos_base!$D$9+datos_base!$D$23,0))*parametros_manuales!$K$95+parametros_manuales!$E$34*(datos_base!$D$3+datos_base!$D$19+IF(parametros_manuales!$H$34="Todos",datos_base!$D$10+datos_base!$D$24,0))*parametros_manuales!$K$100+parametros_manuales!$F$34*(datos_base!$D$4+datos_base!$D$20+IF(parametros_manuales!$H$34="Todos",datos_base!$D$11+datos_base!$D$25,0))*parametros_manuales!$K$105+parametros_manuales!$G$34*(datos_base!$D$5+datos_base!$D$21+IF(parametros_manuales!$H$34="Todos",datos_base!$D$12+datos_base!$D$26,0))*parametros_manuales!$K$110)*parametros_manuales!$I$34*parametros_manuales!$J$34</f>
        <v>2020.839774634</v>
      </c>
      <c r="L71" s="9" t="n">
        <f aca="false">(parametros_manuales!$D$34*(datos_base!$D$2+datos_base!$D$18+IF(parametros_manuales!$H$34="Todos",datos_base!$D$9+datos_base!$D$23,0))*parametros_manuales!$L$95+parametros_manuales!$E$34*(datos_base!$D$3+datos_base!$D$19+IF(parametros_manuales!$H$34="Todos",datos_base!$D$10+datos_base!$D$24,0))*parametros_manuales!$L$100+parametros_manuales!$F$34*(datos_base!$D$4+datos_base!$D$20+IF(parametros_manuales!$H$34="Todos",datos_base!$D$11+datos_base!$D$25,0))*parametros_manuales!$L$105+parametros_manuales!$G$34*(datos_base!$D$5+datos_base!$D$21+IF(parametros_manuales!$H$34="Todos",datos_base!$D$12+datos_base!$D$26,0))*parametros_manuales!$L$110)*parametros_manuales!$I$34*parametros_manuales!$J$34</f>
        <v>2062.873096776</v>
      </c>
      <c r="M71" s="9" t="n">
        <f aca="false">(parametros_manuales!$D$34*(datos_base!$D$2+datos_base!$D$18+IF(parametros_manuales!$H$34="Todos",datos_base!$D$9+datos_base!$D$23,0))*parametros_manuales!$M$95+parametros_manuales!$E$34*(datos_base!$D$3+datos_base!$D$19+IF(parametros_manuales!$H$34="Todos",datos_base!$D$10+datos_base!$D$24,0))*parametros_manuales!$M$100+parametros_manuales!$F$34*(datos_base!$D$4+datos_base!$D$20+IF(parametros_manuales!$H$34="Todos",datos_base!$D$11+datos_base!$D$25,0))*parametros_manuales!$M$105+parametros_manuales!$G$34*(datos_base!$D$5+datos_base!$D$21+IF(parametros_manuales!$H$34="Todos",datos_base!$D$12+datos_base!$D$26,0))*parametros_manuales!$M$110)*parametros_manuales!$I$34*parametros_manuales!$J$34</f>
        <v>2062.873096776</v>
      </c>
      <c r="N71" s="9" t="n">
        <f aca="false">SUM(B71:M71)</f>
        <v>22920.8121864</v>
      </c>
      <c r="O71" s="9" t="n">
        <f aca="false">MAX(B71:M71)</f>
        <v>2062.873096776</v>
      </c>
      <c r="P71" s="43" t="n">
        <f aca="false">O71/(parametros_manuales!$B$7)</f>
        <v>13.75248731184</v>
      </c>
      <c r="Q71" s="8" t="str">
        <f aca="false">IF(O71=0,"-",INDEX($B$55:$M$55,MATCH(O71,B71:M71,0)))</f>
        <v>Ene</v>
      </c>
    </row>
    <row r="72" customFormat="false" ht="14.25" hidden="false" customHeight="true" outlineLevel="0" collapsed="false">
      <c r="A72" s="8" t="str">
        <f aca="false">parametros_manuales!$B$35</f>
        <v>Detección de defectos</v>
      </c>
      <c r="B72" s="9" t="n">
        <f aca="false">(parametros_manuales!$D$35*(datos_base!$D$2+datos_base!$D$18+IF(parametros_manuales!$H$35="Todos",datos_base!$D$9+datos_base!$D$23,0))*parametros_manuales!$B$95+parametros_manuales!$E$35*(datos_base!$D$3+datos_base!$D$19+IF(parametros_manuales!$H$35="Todos",datos_base!$D$10+datos_base!$D$24,0))*parametros_manuales!$B$100+parametros_manuales!$F$35*(datos_base!$D$4+datos_base!$D$20+IF(parametros_manuales!$H$35="Todos",datos_base!$D$11+datos_base!$D$25,0))*parametros_manuales!$B$105+parametros_manuales!$G$35*(datos_base!$D$5+datos_base!$D$21+IF(parametros_manuales!$H$35="Todos",datos_base!$D$12+datos_base!$D$26,0))*parametros_manuales!$B$110)*parametros_manuales!$I$35*parametros_manuales!$J$35</f>
        <v>2062.873096776</v>
      </c>
      <c r="C72" s="9" t="n">
        <f aca="false">(parametros_manuales!$D$35*(datos_base!$D$2+datos_base!$D$18+IF(parametros_manuales!$H$35="Todos",datos_base!$D$9+datos_base!$D$23,0))*parametros_manuales!$C$95+parametros_manuales!$E$35*(datos_base!$D$3+datos_base!$D$19+IF(parametros_manuales!$H$35="Todos",datos_base!$D$10+datos_base!$D$24,0))*parametros_manuales!$C$100+parametros_manuales!$F$35*(datos_base!$D$4+datos_base!$D$20+IF(parametros_manuales!$H$35="Todos",datos_base!$D$11+datos_base!$D$25,0))*parametros_manuales!$C$105+parametros_manuales!$G$35*(datos_base!$D$5+datos_base!$D$21+IF(parametros_manuales!$H$35="Todos",datos_base!$D$12+datos_base!$D$26,0))*parametros_manuales!$C$110)*parametros_manuales!$I$35*parametros_manuales!$J$35</f>
        <v>1978.806452492</v>
      </c>
      <c r="D72" s="9" t="n">
        <f aca="false">(parametros_manuales!$D$35*(datos_base!$D$2+datos_base!$D$18+IF(parametros_manuales!$H$35="Todos",datos_base!$D$9+datos_base!$D$23,0))*parametros_manuales!$D$95+parametros_manuales!$E$35*(datos_base!$D$3+datos_base!$D$19+IF(parametros_manuales!$H$35="Todos",datos_base!$D$10+datos_base!$D$24,0))*parametros_manuales!$D$100+parametros_manuales!$F$35*(datos_base!$D$4+datos_base!$D$20+IF(parametros_manuales!$H$35="Todos",datos_base!$D$11+datos_base!$D$25,0))*parametros_manuales!$D$105+parametros_manuales!$G$35*(datos_base!$D$5+datos_base!$D$21+IF(parametros_manuales!$H$35="Todos",datos_base!$D$12+datos_base!$D$26,0))*parametros_manuales!$D$110)*parametros_manuales!$I$35*parametros_manuales!$J$35</f>
        <v>1875.698297054</v>
      </c>
      <c r="E72" s="9" t="n">
        <f aca="false">(parametros_manuales!$D$35*(datos_base!$D$2+datos_base!$D$18+IF(parametros_manuales!$H$35="Todos",datos_base!$D$9+datos_base!$D$23,0))*parametros_manuales!$E$95+parametros_manuales!$E$35*(datos_base!$D$3+datos_base!$D$19+IF(parametros_manuales!$H$35="Todos",datos_base!$D$10+datos_base!$D$24,0))*parametros_manuales!$E$100+parametros_manuales!$F$35*(datos_base!$D$4+datos_base!$D$20+IF(parametros_manuales!$H$35="Todos",datos_base!$D$11+datos_base!$D$25,0))*parametros_manuales!$E$105+parametros_manuales!$G$35*(datos_base!$D$5+datos_base!$D$21+IF(parametros_manuales!$H$35="Todos",datos_base!$D$12+datos_base!$D$26,0))*parametros_manuales!$E$110)*parametros_manuales!$I$35*parametros_manuales!$J$35</f>
        <v>1803.127558264</v>
      </c>
      <c r="F72" s="9" t="n">
        <f aca="false">(parametros_manuales!$D$35*(datos_base!$D$2+datos_base!$D$18+IF(parametros_manuales!$H$35="Todos",datos_base!$D$9+datos_base!$D$23,0))*parametros_manuales!$F$95+parametros_manuales!$E$35*(datos_base!$D$3+datos_base!$D$19+IF(parametros_manuales!$H$35="Todos",datos_base!$D$10+datos_base!$D$24,0))*parametros_manuales!$F$100+parametros_manuales!$F$35*(datos_base!$D$4+datos_base!$D$20+IF(parametros_manuales!$H$35="Todos",datos_base!$D$11+datos_base!$D$25,0))*parametros_manuales!$F$105+parametros_manuales!$G$35*(datos_base!$D$5+datos_base!$D$21+IF(parametros_manuales!$H$35="Todos",datos_base!$D$12+datos_base!$D$26,0))*parametros_manuales!$F$110)*parametros_manuales!$I$35*parametros_manuales!$J$35</f>
        <v>1688.523497332</v>
      </c>
      <c r="G72" s="9" t="n">
        <f aca="false">(parametros_manuales!$D$35*(datos_base!$D$2+datos_base!$D$18+IF(parametros_manuales!$H$35="Todos",datos_base!$D$9+datos_base!$D$23,0))*parametros_manuales!$G$95+parametros_manuales!$E$35*(datos_base!$D$3+datos_base!$D$19+IF(parametros_manuales!$H$35="Todos",datos_base!$D$10+datos_base!$D$24,0))*parametros_manuales!$G$100+parametros_manuales!$F$35*(datos_base!$D$4+datos_base!$D$20+IF(parametros_manuales!$H$35="Todos",datos_base!$D$11+datos_base!$D$25,0))*parametros_manuales!$G$105+parametros_manuales!$G$35*(datos_base!$D$5+datos_base!$D$21+IF(parametros_manuales!$H$35="Todos",datos_base!$D$12+datos_base!$D$26,0))*parametros_manuales!$G$110)*parametros_manuales!$I$35*parametros_manuales!$J$35</f>
        <v>1646.49017519</v>
      </c>
      <c r="H72" s="9" t="n">
        <f aca="false">(parametros_manuales!$D$35*(datos_base!$D$2+datos_base!$D$18+IF(parametros_manuales!$H$35="Todos",datos_base!$D$9+datos_base!$D$23,0))*parametros_manuales!$H$95+parametros_manuales!$E$35*(datos_base!$D$3+datos_base!$D$19+IF(parametros_manuales!$H$35="Todos",datos_base!$D$10+datos_base!$D$24,0))*parametros_manuales!$H$100+parametros_manuales!$F$35*(datos_base!$D$4+datos_base!$D$20+IF(parametros_manuales!$H$35="Todos",datos_base!$D$11+datos_base!$D$25,0))*parametros_manuales!$H$105+parametros_manuales!$G$35*(datos_base!$D$5+datos_base!$D$21+IF(parametros_manuales!$H$35="Todos",datos_base!$D$12+datos_base!$D$26,0))*parametros_manuales!$H$110)*parametros_manuales!$I$35*parametros_manuales!$J$35</f>
        <v>1761.094236122</v>
      </c>
      <c r="I72" s="9" t="n">
        <f aca="false">(parametros_manuales!$D$35*(datos_base!$D$2+datos_base!$D$18+IF(parametros_manuales!$H$35="Todos",datos_base!$D$9+datos_base!$D$23,0))*parametros_manuales!$I$95+parametros_manuales!$E$35*(datos_base!$D$3+datos_base!$D$19+IF(parametros_manuales!$H$35="Todos",datos_base!$D$10+datos_base!$D$24,0))*parametros_manuales!$I$100+parametros_manuales!$F$35*(datos_base!$D$4+datos_base!$D$20+IF(parametros_manuales!$H$35="Todos",datos_base!$D$11+datos_base!$D$25,0))*parametros_manuales!$I$105+parametros_manuales!$G$35*(datos_base!$D$5+datos_base!$D$21+IF(parametros_manuales!$H$35="Todos",datos_base!$D$12+datos_base!$D$26,0))*parametros_manuales!$I$110)*parametros_manuales!$I$35*parametros_manuales!$J$35</f>
        <v>1978.806452492</v>
      </c>
      <c r="J72" s="9" t="n">
        <f aca="false">(parametros_manuales!$D$35*(datos_base!$D$2+datos_base!$D$18+IF(parametros_manuales!$H$35="Todos",datos_base!$D$9+datos_base!$D$23,0))*parametros_manuales!$J$95+parametros_manuales!$E$35*(datos_base!$D$3+datos_base!$D$19+IF(parametros_manuales!$H$35="Todos",datos_base!$D$10+datos_base!$D$24,0))*parametros_manuales!$J$100+parametros_manuales!$F$35*(datos_base!$D$4+datos_base!$D$20+IF(parametros_manuales!$H$35="Todos",datos_base!$D$11+datos_base!$D$25,0))*parametros_manuales!$J$105+parametros_manuales!$G$35*(datos_base!$D$5+datos_base!$D$21+IF(parametros_manuales!$H$35="Todos",datos_base!$D$12+datos_base!$D$26,0))*parametros_manuales!$J$110)*parametros_manuales!$I$35*parametros_manuales!$J$35</f>
        <v>1978.806452492</v>
      </c>
      <c r="K72" s="9" t="n">
        <f aca="false">(parametros_manuales!$D$35*(datos_base!$D$2+datos_base!$D$18+IF(parametros_manuales!$H$35="Todos",datos_base!$D$9+datos_base!$D$23,0))*parametros_manuales!$K$95+parametros_manuales!$E$35*(datos_base!$D$3+datos_base!$D$19+IF(parametros_manuales!$H$35="Todos",datos_base!$D$10+datos_base!$D$24,0))*parametros_manuales!$K$100+parametros_manuales!$F$35*(datos_base!$D$4+datos_base!$D$20+IF(parametros_manuales!$H$35="Todos",datos_base!$D$11+datos_base!$D$25,0))*parametros_manuales!$K$105+parametros_manuales!$G$35*(datos_base!$D$5+datos_base!$D$21+IF(parametros_manuales!$H$35="Todos",datos_base!$D$12+datos_base!$D$26,0))*parametros_manuales!$K$110)*parametros_manuales!$I$35*parametros_manuales!$J$35</f>
        <v>2020.839774634</v>
      </c>
      <c r="L72" s="9" t="n">
        <f aca="false">(parametros_manuales!$D$35*(datos_base!$D$2+datos_base!$D$18+IF(parametros_manuales!$H$35="Todos",datos_base!$D$9+datos_base!$D$23,0))*parametros_manuales!$L$95+parametros_manuales!$E$35*(datos_base!$D$3+datos_base!$D$19+IF(parametros_manuales!$H$35="Todos",datos_base!$D$10+datos_base!$D$24,0))*parametros_manuales!$L$100+parametros_manuales!$F$35*(datos_base!$D$4+datos_base!$D$20+IF(parametros_manuales!$H$35="Todos",datos_base!$D$11+datos_base!$D$25,0))*parametros_manuales!$L$105+parametros_manuales!$G$35*(datos_base!$D$5+datos_base!$D$21+IF(parametros_manuales!$H$35="Todos",datos_base!$D$12+datos_base!$D$26,0))*parametros_manuales!$L$110)*parametros_manuales!$I$35*parametros_manuales!$J$35</f>
        <v>2062.873096776</v>
      </c>
      <c r="M72" s="9" t="n">
        <f aca="false">(parametros_manuales!$D$35*(datos_base!$D$2+datos_base!$D$18+IF(parametros_manuales!$H$35="Todos",datos_base!$D$9+datos_base!$D$23,0))*parametros_manuales!$M$95+parametros_manuales!$E$35*(datos_base!$D$3+datos_base!$D$19+IF(parametros_manuales!$H$35="Todos",datos_base!$D$10+datos_base!$D$24,0))*parametros_manuales!$M$100+parametros_manuales!$F$35*(datos_base!$D$4+datos_base!$D$20+IF(parametros_manuales!$H$35="Todos",datos_base!$D$11+datos_base!$D$25,0))*parametros_manuales!$M$105+parametros_manuales!$G$35*(datos_base!$D$5+datos_base!$D$21+IF(parametros_manuales!$H$35="Todos",datos_base!$D$12+datos_base!$D$26,0))*parametros_manuales!$M$110)*parametros_manuales!$I$35*parametros_manuales!$J$35</f>
        <v>2062.873096776</v>
      </c>
      <c r="N72" s="9" t="n">
        <f aca="false">SUM(B72:M72)</f>
        <v>22920.8121864</v>
      </c>
      <c r="O72" s="9" t="n">
        <f aca="false">MAX(B72:M72)</f>
        <v>2062.873096776</v>
      </c>
      <c r="P72" s="43" t="n">
        <f aca="false">O72/(parametros_manuales!$B$7)</f>
        <v>13.75248731184</v>
      </c>
      <c r="Q72" s="8" t="str">
        <f aca="false">IF(O72=0,"-",INDEX($B$55:$M$55,MATCH(O72,B72:M72,0)))</f>
        <v>Ene</v>
      </c>
    </row>
    <row r="73" customFormat="false" ht="14.25" hidden="false" customHeight="true" outlineLevel="0" collapsed="false">
      <c r="A73" s="8" t="str">
        <f aca="false">parametros_manuales!$B$36</f>
        <v>Corrección de defectos</v>
      </c>
      <c r="B73" s="9" t="n">
        <f aca="false">(parametros_manuales!$D$36*(datos_base!$D$2+datos_base!$D$18+IF(parametros_manuales!$H$36="Todos",datos_base!$D$9+datos_base!$D$23,0))*parametros_manuales!$B$95+parametros_manuales!$E$36*(datos_base!$D$3+datos_base!$D$19+IF(parametros_manuales!$H$36="Todos",datos_base!$D$10+datos_base!$D$24,0))*parametros_manuales!$B$100+parametros_manuales!$F$36*(datos_base!$D$4+datos_base!$D$20+IF(parametros_manuales!$H$36="Todos",datos_base!$D$11+datos_base!$D$25,0))*parametros_manuales!$B$105+parametros_manuales!$G$36*(datos_base!$D$5+datos_base!$D$21+IF(parametros_manuales!$H$36="Todos",datos_base!$D$12+datos_base!$D$26,0))*parametros_manuales!$B$110)*parametros_manuales!$I$36*parametros_manuales!$J$36</f>
        <v>103.1436548388</v>
      </c>
      <c r="C73" s="9" t="n">
        <f aca="false">(parametros_manuales!$D$36*(datos_base!$D$2+datos_base!$D$18+IF(parametros_manuales!$H$36="Todos",datos_base!$D$9+datos_base!$D$23,0))*parametros_manuales!$C$95+parametros_manuales!$E$36*(datos_base!$D$3+datos_base!$D$19+IF(parametros_manuales!$H$36="Todos",datos_base!$D$10+datos_base!$D$24,0))*parametros_manuales!$C$100+parametros_manuales!$F$36*(datos_base!$D$4+datos_base!$D$20+IF(parametros_manuales!$H$36="Todos",datos_base!$D$11+datos_base!$D$25,0))*parametros_manuales!$C$105+parametros_manuales!$G$36*(datos_base!$D$5+datos_base!$D$21+IF(parametros_manuales!$H$36="Todos",datos_base!$D$12+datos_base!$D$26,0))*parametros_manuales!$C$110)*parametros_manuales!$I$36*parametros_manuales!$J$36</f>
        <v>98.9403226246</v>
      </c>
      <c r="D73" s="9" t="n">
        <f aca="false">(parametros_manuales!$D$36*(datos_base!$D$2+datos_base!$D$18+IF(parametros_manuales!$H$36="Todos",datos_base!$D$9+datos_base!$D$23,0))*parametros_manuales!$D$95+parametros_manuales!$E$36*(datos_base!$D$3+datos_base!$D$19+IF(parametros_manuales!$H$36="Todos",datos_base!$D$10+datos_base!$D$24,0))*parametros_manuales!$D$100+parametros_manuales!$F$36*(datos_base!$D$4+datos_base!$D$20+IF(parametros_manuales!$H$36="Todos",datos_base!$D$11+datos_base!$D$25,0))*parametros_manuales!$D$105+parametros_manuales!$G$36*(datos_base!$D$5+datos_base!$D$21+IF(parametros_manuales!$H$36="Todos",datos_base!$D$12+datos_base!$D$26,0))*parametros_manuales!$D$110)*parametros_manuales!$I$36*parametros_manuales!$J$36</f>
        <v>93.7849148527</v>
      </c>
      <c r="E73" s="9" t="n">
        <f aca="false">(parametros_manuales!$D$36*(datos_base!$D$2+datos_base!$D$18+IF(parametros_manuales!$H$36="Todos",datos_base!$D$9+datos_base!$D$23,0))*parametros_manuales!$E$95+parametros_manuales!$E$36*(datos_base!$D$3+datos_base!$D$19+IF(parametros_manuales!$H$36="Todos",datos_base!$D$10+datos_base!$D$24,0))*parametros_manuales!$E$100+parametros_manuales!$F$36*(datos_base!$D$4+datos_base!$D$20+IF(parametros_manuales!$H$36="Todos",datos_base!$D$11+datos_base!$D$25,0))*parametros_manuales!$E$105+parametros_manuales!$G$36*(datos_base!$D$5+datos_base!$D$21+IF(parametros_manuales!$H$36="Todos",datos_base!$D$12+datos_base!$D$26,0))*parametros_manuales!$E$110)*parametros_manuales!$I$36*parametros_manuales!$J$36</f>
        <v>90.1563779132</v>
      </c>
      <c r="F73" s="9" t="n">
        <f aca="false">(parametros_manuales!$D$36*(datos_base!$D$2+datos_base!$D$18+IF(parametros_manuales!$H$36="Todos",datos_base!$D$9+datos_base!$D$23,0))*parametros_manuales!$F$95+parametros_manuales!$E$36*(datos_base!$D$3+datos_base!$D$19+IF(parametros_manuales!$H$36="Todos",datos_base!$D$10+datos_base!$D$24,0))*parametros_manuales!$F$100+parametros_manuales!$F$36*(datos_base!$D$4+datos_base!$D$20+IF(parametros_manuales!$H$36="Todos",datos_base!$D$11+datos_base!$D$25,0))*parametros_manuales!$F$105+parametros_manuales!$G$36*(datos_base!$D$5+datos_base!$D$21+IF(parametros_manuales!$H$36="Todos",datos_base!$D$12+datos_base!$D$26,0))*parametros_manuales!$F$110)*parametros_manuales!$I$36*parametros_manuales!$J$36</f>
        <v>84.4261748666</v>
      </c>
      <c r="G73" s="9" t="n">
        <f aca="false">(parametros_manuales!$D$36*(datos_base!$D$2+datos_base!$D$18+IF(parametros_manuales!$H$36="Todos",datos_base!$D$9+datos_base!$D$23,0))*parametros_manuales!$G$95+parametros_manuales!$E$36*(datos_base!$D$3+datos_base!$D$19+IF(parametros_manuales!$H$36="Todos",datos_base!$D$10+datos_base!$D$24,0))*parametros_manuales!$G$100+parametros_manuales!$F$36*(datos_base!$D$4+datos_base!$D$20+IF(parametros_manuales!$H$36="Todos",datos_base!$D$11+datos_base!$D$25,0))*parametros_manuales!$G$105+parametros_manuales!$G$36*(datos_base!$D$5+datos_base!$D$21+IF(parametros_manuales!$H$36="Todos",datos_base!$D$12+datos_base!$D$26,0))*parametros_manuales!$G$110)*parametros_manuales!$I$36*parametros_manuales!$J$36</f>
        <v>82.3245087595</v>
      </c>
      <c r="H73" s="9" t="n">
        <f aca="false">(parametros_manuales!$D$36*(datos_base!$D$2+datos_base!$D$18+IF(parametros_manuales!$H$36="Todos",datos_base!$D$9+datos_base!$D$23,0))*parametros_manuales!$H$95+parametros_manuales!$E$36*(datos_base!$D$3+datos_base!$D$19+IF(parametros_manuales!$H$36="Todos",datos_base!$D$10+datos_base!$D$24,0))*parametros_manuales!$H$100+parametros_manuales!$F$36*(datos_base!$D$4+datos_base!$D$20+IF(parametros_manuales!$H$36="Todos",datos_base!$D$11+datos_base!$D$25,0))*parametros_manuales!$H$105+parametros_manuales!$G$36*(datos_base!$D$5+datos_base!$D$21+IF(parametros_manuales!$H$36="Todos",datos_base!$D$12+datos_base!$D$26,0))*parametros_manuales!$H$110)*parametros_manuales!$I$36*parametros_manuales!$J$36</f>
        <v>88.0547118061</v>
      </c>
      <c r="I73" s="9" t="n">
        <f aca="false">(parametros_manuales!$D$36*(datos_base!$D$2+datos_base!$D$18+IF(parametros_manuales!$H$36="Todos",datos_base!$D$9+datos_base!$D$23,0))*parametros_manuales!$I$95+parametros_manuales!$E$36*(datos_base!$D$3+datos_base!$D$19+IF(parametros_manuales!$H$36="Todos",datos_base!$D$10+datos_base!$D$24,0))*parametros_manuales!$I$100+parametros_manuales!$F$36*(datos_base!$D$4+datos_base!$D$20+IF(parametros_manuales!$H$36="Todos",datos_base!$D$11+datos_base!$D$25,0))*parametros_manuales!$I$105+parametros_manuales!$G$36*(datos_base!$D$5+datos_base!$D$21+IF(parametros_manuales!$H$36="Todos",datos_base!$D$12+datos_base!$D$26,0))*parametros_manuales!$I$110)*parametros_manuales!$I$36*parametros_manuales!$J$36</f>
        <v>98.9403226246</v>
      </c>
      <c r="J73" s="9" t="n">
        <f aca="false">(parametros_manuales!$D$36*(datos_base!$D$2+datos_base!$D$18+IF(parametros_manuales!$H$36="Todos",datos_base!$D$9+datos_base!$D$23,0))*parametros_manuales!$J$95+parametros_manuales!$E$36*(datos_base!$D$3+datos_base!$D$19+IF(parametros_manuales!$H$36="Todos",datos_base!$D$10+datos_base!$D$24,0))*parametros_manuales!$J$100+parametros_manuales!$F$36*(datos_base!$D$4+datos_base!$D$20+IF(parametros_manuales!$H$36="Todos",datos_base!$D$11+datos_base!$D$25,0))*parametros_manuales!$J$105+parametros_manuales!$G$36*(datos_base!$D$5+datos_base!$D$21+IF(parametros_manuales!$H$36="Todos",datos_base!$D$12+datos_base!$D$26,0))*parametros_manuales!$J$110)*parametros_manuales!$I$36*parametros_manuales!$J$36</f>
        <v>98.9403226246</v>
      </c>
      <c r="K73" s="9" t="n">
        <f aca="false">(parametros_manuales!$D$36*(datos_base!$D$2+datos_base!$D$18+IF(parametros_manuales!$H$36="Todos",datos_base!$D$9+datos_base!$D$23,0))*parametros_manuales!$K$95+parametros_manuales!$E$36*(datos_base!$D$3+datos_base!$D$19+IF(parametros_manuales!$H$36="Todos",datos_base!$D$10+datos_base!$D$24,0))*parametros_manuales!$K$100+parametros_manuales!$F$36*(datos_base!$D$4+datos_base!$D$20+IF(parametros_manuales!$H$36="Todos",datos_base!$D$11+datos_base!$D$25,0))*parametros_manuales!$K$105+parametros_manuales!$G$36*(datos_base!$D$5+datos_base!$D$21+IF(parametros_manuales!$H$36="Todos",datos_base!$D$12+datos_base!$D$26,0))*parametros_manuales!$K$110)*parametros_manuales!$I$36*parametros_manuales!$J$36</f>
        <v>101.0419887317</v>
      </c>
      <c r="L73" s="9" t="n">
        <f aca="false">(parametros_manuales!$D$36*(datos_base!$D$2+datos_base!$D$18+IF(parametros_manuales!$H$36="Todos",datos_base!$D$9+datos_base!$D$23,0))*parametros_manuales!$L$95+parametros_manuales!$E$36*(datos_base!$D$3+datos_base!$D$19+IF(parametros_manuales!$H$36="Todos",datos_base!$D$10+datos_base!$D$24,0))*parametros_manuales!$L$100+parametros_manuales!$F$36*(datos_base!$D$4+datos_base!$D$20+IF(parametros_manuales!$H$36="Todos",datos_base!$D$11+datos_base!$D$25,0))*parametros_manuales!$L$105+parametros_manuales!$G$36*(datos_base!$D$5+datos_base!$D$21+IF(parametros_manuales!$H$36="Todos",datos_base!$D$12+datos_base!$D$26,0))*parametros_manuales!$L$110)*parametros_manuales!$I$36*parametros_manuales!$J$36</f>
        <v>103.1436548388</v>
      </c>
      <c r="M73" s="9" t="n">
        <f aca="false">(parametros_manuales!$D$36*(datos_base!$D$2+datos_base!$D$18+IF(parametros_manuales!$H$36="Todos",datos_base!$D$9+datos_base!$D$23,0))*parametros_manuales!$M$95+parametros_manuales!$E$36*(datos_base!$D$3+datos_base!$D$19+IF(parametros_manuales!$H$36="Todos",datos_base!$D$10+datos_base!$D$24,0))*parametros_manuales!$M$100+parametros_manuales!$F$36*(datos_base!$D$4+datos_base!$D$20+IF(parametros_manuales!$H$36="Todos",datos_base!$D$11+datos_base!$D$25,0))*parametros_manuales!$M$105+parametros_manuales!$G$36*(datos_base!$D$5+datos_base!$D$21+IF(parametros_manuales!$H$36="Todos",datos_base!$D$12+datos_base!$D$26,0))*parametros_manuales!$M$110)*parametros_manuales!$I$36*parametros_manuales!$J$36</f>
        <v>103.1436548388</v>
      </c>
      <c r="N73" s="9" t="n">
        <f aca="false">SUM(B73:M73)</f>
        <v>1146.04060932</v>
      </c>
      <c r="O73" s="9" t="n">
        <f aca="false">MAX(B73:M73)</f>
        <v>103.1436548388</v>
      </c>
      <c r="P73" s="43" t="n">
        <f aca="false">O73/(parametros_manuales!$B$7)</f>
        <v>0.687624365592</v>
      </c>
      <c r="Q73" s="8" t="str">
        <f aca="false">IF(O73=0,"-",INDEX($B$55:$M$55,MATCH(O73,B73:M73,0)))</f>
        <v>Ene</v>
      </c>
    </row>
    <row r="74" customFormat="false" ht="14.25" hidden="false" customHeight="true" outlineLevel="0" collapsed="false">
      <c r="A74" s="8" t="str">
        <f aca="false">parametros_manuales!$B$37</f>
        <v>Pintura en polvo + horno</v>
      </c>
      <c r="B74" s="9" t="n">
        <f aca="false">(parametros_manuales!$D$37*(datos_base!$D$2+datos_base!$D$18+IF(parametros_manuales!$H$37="Todos",datos_base!$D$9+datos_base!$D$23,0))*parametros_manuales!$B$95+parametros_manuales!$E$37*(datos_base!$D$3+datos_base!$D$19+IF(parametros_manuales!$H$37="Todos",datos_base!$D$10+datos_base!$D$24,0))*parametros_manuales!$B$100+parametros_manuales!$F$37*(datos_base!$D$4+datos_base!$D$20+IF(parametros_manuales!$H$37="Todos",datos_base!$D$11+datos_base!$D$25,0))*parametros_manuales!$B$105+parametros_manuales!$G$37*(datos_base!$D$5+datos_base!$D$21+IF(parametros_manuales!$H$37="Todos",datos_base!$D$12+datos_base!$D$26,0))*parametros_manuales!$B$110)*parametros_manuales!$I$37*parametros_manuales!$J$37</f>
        <v>2062.873096776</v>
      </c>
      <c r="C74" s="9" t="n">
        <f aca="false">(parametros_manuales!$D$37*(datos_base!$D$2+datos_base!$D$18+IF(parametros_manuales!$H$37="Todos",datos_base!$D$9+datos_base!$D$23,0))*parametros_manuales!$C$95+parametros_manuales!$E$37*(datos_base!$D$3+datos_base!$D$19+IF(parametros_manuales!$H$37="Todos",datos_base!$D$10+datos_base!$D$24,0))*parametros_manuales!$C$100+parametros_manuales!$F$37*(datos_base!$D$4+datos_base!$D$20+IF(parametros_manuales!$H$37="Todos",datos_base!$D$11+datos_base!$D$25,0))*parametros_manuales!$C$105+parametros_manuales!$G$37*(datos_base!$D$5+datos_base!$D$21+IF(parametros_manuales!$H$37="Todos",datos_base!$D$12+datos_base!$D$26,0))*parametros_manuales!$C$110)*parametros_manuales!$I$37*parametros_manuales!$J$37</f>
        <v>1978.806452492</v>
      </c>
      <c r="D74" s="9" t="n">
        <f aca="false">(parametros_manuales!$D$37*(datos_base!$D$2+datos_base!$D$18+IF(parametros_manuales!$H$37="Todos",datos_base!$D$9+datos_base!$D$23,0))*parametros_manuales!$D$95+parametros_manuales!$E$37*(datos_base!$D$3+datos_base!$D$19+IF(parametros_manuales!$H$37="Todos",datos_base!$D$10+datos_base!$D$24,0))*parametros_manuales!$D$100+parametros_manuales!$F$37*(datos_base!$D$4+datos_base!$D$20+IF(parametros_manuales!$H$37="Todos",datos_base!$D$11+datos_base!$D$25,0))*parametros_manuales!$D$105+parametros_manuales!$G$37*(datos_base!$D$5+datos_base!$D$21+IF(parametros_manuales!$H$37="Todos",datos_base!$D$12+datos_base!$D$26,0))*parametros_manuales!$D$110)*parametros_manuales!$I$37*parametros_manuales!$J$37</f>
        <v>1875.698297054</v>
      </c>
      <c r="E74" s="9" t="n">
        <f aca="false">(parametros_manuales!$D$37*(datos_base!$D$2+datos_base!$D$18+IF(parametros_manuales!$H$37="Todos",datos_base!$D$9+datos_base!$D$23,0))*parametros_manuales!$E$95+parametros_manuales!$E$37*(datos_base!$D$3+datos_base!$D$19+IF(parametros_manuales!$H$37="Todos",datos_base!$D$10+datos_base!$D$24,0))*parametros_manuales!$E$100+parametros_manuales!$F$37*(datos_base!$D$4+datos_base!$D$20+IF(parametros_manuales!$H$37="Todos",datos_base!$D$11+datos_base!$D$25,0))*parametros_manuales!$E$105+parametros_manuales!$G$37*(datos_base!$D$5+datos_base!$D$21+IF(parametros_manuales!$H$37="Todos",datos_base!$D$12+datos_base!$D$26,0))*parametros_manuales!$E$110)*parametros_manuales!$I$37*parametros_manuales!$J$37</f>
        <v>1803.127558264</v>
      </c>
      <c r="F74" s="9" t="n">
        <f aca="false">(parametros_manuales!$D$37*(datos_base!$D$2+datos_base!$D$18+IF(parametros_manuales!$H$37="Todos",datos_base!$D$9+datos_base!$D$23,0))*parametros_manuales!$F$95+parametros_manuales!$E$37*(datos_base!$D$3+datos_base!$D$19+IF(parametros_manuales!$H$37="Todos",datos_base!$D$10+datos_base!$D$24,0))*parametros_manuales!$F$100+parametros_manuales!$F$37*(datos_base!$D$4+datos_base!$D$20+IF(parametros_manuales!$H$37="Todos",datos_base!$D$11+datos_base!$D$25,0))*parametros_manuales!$F$105+parametros_manuales!$G$37*(datos_base!$D$5+datos_base!$D$21+IF(parametros_manuales!$H$37="Todos",datos_base!$D$12+datos_base!$D$26,0))*parametros_manuales!$F$110)*parametros_manuales!$I$37*parametros_manuales!$J$37</f>
        <v>1688.523497332</v>
      </c>
      <c r="G74" s="9" t="n">
        <f aca="false">(parametros_manuales!$D$37*(datos_base!$D$2+datos_base!$D$18+IF(parametros_manuales!$H$37="Todos",datos_base!$D$9+datos_base!$D$23,0))*parametros_manuales!$G$95+parametros_manuales!$E$37*(datos_base!$D$3+datos_base!$D$19+IF(parametros_manuales!$H$37="Todos",datos_base!$D$10+datos_base!$D$24,0))*parametros_manuales!$G$100+parametros_manuales!$F$37*(datos_base!$D$4+datos_base!$D$20+IF(parametros_manuales!$H$37="Todos",datos_base!$D$11+datos_base!$D$25,0))*parametros_manuales!$G$105+parametros_manuales!$G$37*(datos_base!$D$5+datos_base!$D$21+IF(parametros_manuales!$H$37="Todos",datos_base!$D$12+datos_base!$D$26,0))*parametros_manuales!$G$110)*parametros_manuales!$I$37*parametros_manuales!$J$37</f>
        <v>1646.49017519</v>
      </c>
      <c r="H74" s="9" t="n">
        <f aca="false">(parametros_manuales!$D$37*(datos_base!$D$2+datos_base!$D$18+IF(parametros_manuales!$H$37="Todos",datos_base!$D$9+datos_base!$D$23,0))*parametros_manuales!$H$95+parametros_manuales!$E$37*(datos_base!$D$3+datos_base!$D$19+IF(parametros_manuales!$H$37="Todos",datos_base!$D$10+datos_base!$D$24,0))*parametros_manuales!$H$100+parametros_manuales!$F$37*(datos_base!$D$4+datos_base!$D$20+IF(parametros_manuales!$H$37="Todos",datos_base!$D$11+datos_base!$D$25,0))*parametros_manuales!$H$105+parametros_manuales!$G$37*(datos_base!$D$5+datos_base!$D$21+IF(parametros_manuales!$H$37="Todos",datos_base!$D$12+datos_base!$D$26,0))*parametros_manuales!$H$110)*parametros_manuales!$I$37*parametros_manuales!$J$37</f>
        <v>1761.094236122</v>
      </c>
      <c r="I74" s="9" t="n">
        <f aca="false">(parametros_manuales!$D$37*(datos_base!$D$2+datos_base!$D$18+IF(parametros_manuales!$H$37="Todos",datos_base!$D$9+datos_base!$D$23,0))*parametros_manuales!$I$95+parametros_manuales!$E$37*(datos_base!$D$3+datos_base!$D$19+IF(parametros_manuales!$H$37="Todos",datos_base!$D$10+datos_base!$D$24,0))*parametros_manuales!$I$100+parametros_manuales!$F$37*(datos_base!$D$4+datos_base!$D$20+IF(parametros_manuales!$H$37="Todos",datos_base!$D$11+datos_base!$D$25,0))*parametros_manuales!$I$105+parametros_manuales!$G$37*(datos_base!$D$5+datos_base!$D$21+IF(parametros_manuales!$H$37="Todos",datos_base!$D$12+datos_base!$D$26,0))*parametros_manuales!$I$110)*parametros_manuales!$I$37*parametros_manuales!$J$37</f>
        <v>1978.806452492</v>
      </c>
      <c r="J74" s="9" t="n">
        <f aca="false">(parametros_manuales!$D$37*(datos_base!$D$2+datos_base!$D$18+IF(parametros_manuales!$H$37="Todos",datos_base!$D$9+datos_base!$D$23,0))*parametros_manuales!$J$95+parametros_manuales!$E$37*(datos_base!$D$3+datos_base!$D$19+IF(parametros_manuales!$H$37="Todos",datos_base!$D$10+datos_base!$D$24,0))*parametros_manuales!$J$100+parametros_manuales!$F$37*(datos_base!$D$4+datos_base!$D$20+IF(parametros_manuales!$H$37="Todos",datos_base!$D$11+datos_base!$D$25,0))*parametros_manuales!$J$105+parametros_manuales!$G$37*(datos_base!$D$5+datos_base!$D$21+IF(parametros_manuales!$H$37="Todos",datos_base!$D$12+datos_base!$D$26,0))*parametros_manuales!$J$110)*parametros_manuales!$I$37*parametros_manuales!$J$37</f>
        <v>1978.806452492</v>
      </c>
      <c r="K74" s="9" t="n">
        <f aca="false">(parametros_manuales!$D$37*(datos_base!$D$2+datos_base!$D$18+IF(parametros_manuales!$H$37="Todos",datos_base!$D$9+datos_base!$D$23,0))*parametros_manuales!$K$95+parametros_manuales!$E$37*(datos_base!$D$3+datos_base!$D$19+IF(parametros_manuales!$H$37="Todos",datos_base!$D$10+datos_base!$D$24,0))*parametros_manuales!$K$100+parametros_manuales!$F$37*(datos_base!$D$4+datos_base!$D$20+IF(parametros_manuales!$H$37="Todos",datos_base!$D$11+datos_base!$D$25,0))*parametros_manuales!$K$105+parametros_manuales!$G$37*(datos_base!$D$5+datos_base!$D$21+IF(parametros_manuales!$H$37="Todos",datos_base!$D$12+datos_base!$D$26,0))*parametros_manuales!$K$110)*parametros_manuales!$I$37*parametros_manuales!$J$37</f>
        <v>2020.839774634</v>
      </c>
      <c r="L74" s="9" t="n">
        <f aca="false">(parametros_manuales!$D$37*(datos_base!$D$2+datos_base!$D$18+IF(parametros_manuales!$H$37="Todos",datos_base!$D$9+datos_base!$D$23,0))*parametros_manuales!$L$95+parametros_manuales!$E$37*(datos_base!$D$3+datos_base!$D$19+IF(parametros_manuales!$H$37="Todos",datos_base!$D$10+datos_base!$D$24,0))*parametros_manuales!$L$100+parametros_manuales!$F$37*(datos_base!$D$4+datos_base!$D$20+IF(parametros_manuales!$H$37="Todos",datos_base!$D$11+datos_base!$D$25,0))*parametros_manuales!$L$105+parametros_manuales!$G$37*(datos_base!$D$5+datos_base!$D$21+IF(parametros_manuales!$H$37="Todos",datos_base!$D$12+datos_base!$D$26,0))*parametros_manuales!$L$110)*parametros_manuales!$I$37*parametros_manuales!$J$37</f>
        <v>2062.873096776</v>
      </c>
      <c r="M74" s="9" t="n">
        <f aca="false">(parametros_manuales!$D$37*(datos_base!$D$2+datos_base!$D$18+IF(parametros_manuales!$H$37="Todos",datos_base!$D$9+datos_base!$D$23,0))*parametros_manuales!$M$95+parametros_manuales!$E$37*(datos_base!$D$3+datos_base!$D$19+IF(parametros_manuales!$H$37="Todos",datos_base!$D$10+datos_base!$D$24,0))*parametros_manuales!$M$100+parametros_manuales!$F$37*(datos_base!$D$4+datos_base!$D$20+IF(parametros_manuales!$H$37="Todos",datos_base!$D$11+datos_base!$D$25,0))*parametros_manuales!$M$105+parametros_manuales!$G$37*(datos_base!$D$5+datos_base!$D$21+IF(parametros_manuales!$H$37="Todos",datos_base!$D$12+datos_base!$D$26,0))*parametros_manuales!$M$110)*parametros_manuales!$I$37*parametros_manuales!$J$37</f>
        <v>2062.873096776</v>
      </c>
      <c r="N74" s="9" t="n">
        <f aca="false">SUM(B74:M74)</f>
        <v>22920.8121864</v>
      </c>
      <c r="O74" s="9" t="n">
        <f aca="false">MAX(B74:M74)</f>
        <v>2062.873096776</v>
      </c>
      <c r="P74" s="43" t="n">
        <f aca="false">O74/(parametros_manuales!$B$7)</f>
        <v>13.75248731184</v>
      </c>
      <c r="Q74" s="8" t="str">
        <f aca="false">IF(O74=0,"-",INDEX($B$55:$M$55,MATCH(O74,B74:M74,0)))</f>
        <v>Ene</v>
      </c>
    </row>
    <row r="75" customFormat="false" ht="14.25" hidden="false" customHeight="true" outlineLevel="0" collapsed="false">
      <c r="A75" s="8" t="str">
        <f aca="false">parametros_manuales!$B$38</f>
        <v>Carga de polvo</v>
      </c>
      <c r="B75" s="9" t="n">
        <f aca="false">(parametros_manuales!$D$38*(datos_base!$D$2+datos_base!$D$18+IF(parametros_manuales!$H$38="Todos",datos_base!$D$9+datos_base!$D$23,0))*parametros_manuales!$B$95+parametros_manuales!$E$38*(datos_base!$D$3+datos_base!$D$19+IF(parametros_manuales!$H$38="Todos",datos_base!$D$10+datos_base!$D$24,0))*parametros_manuales!$B$100+parametros_manuales!$F$38*(datos_base!$D$4+datos_base!$D$20+IF(parametros_manuales!$H$38="Todos",datos_base!$D$11+datos_base!$D$25,0))*parametros_manuales!$B$105+parametros_manuales!$G$38*(datos_base!$D$5+datos_base!$D$21+IF(parametros_manuales!$H$38="Todos",datos_base!$D$12+datos_base!$D$26,0))*parametros_manuales!$B$110)*parametros_manuales!$I$38*parametros_manuales!$J$38</f>
        <v>1193.192296776</v>
      </c>
      <c r="C75" s="9" t="n">
        <f aca="false">(parametros_manuales!$D$38*(datos_base!$D$2+datos_base!$D$18+IF(parametros_manuales!$H$38="Todos",datos_base!$D$9+datos_base!$D$23,0))*parametros_manuales!$C$95+parametros_manuales!$E$38*(datos_base!$D$3+datos_base!$D$19+IF(parametros_manuales!$H$38="Todos",datos_base!$D$10+datos_base!$D$24,0))*parametros_manuales!$C$100+parametros_manuales!$F$38*(datos_base!$D$4+datos_base!$D$20+IF(parametros_manuales!$H$38="Todos",datos_base!$D$11+datos_base!$D$25,0))*parametros_manuales!$C$105+parametros_manuales!$G$38*(datos_base!$D$5+datos_base!$D$21+IF(parametros_manuales!$H$38="Todos",datos_base!$D$12+datos_base!$D$26,0))*parametros_manuales!$C$110)*parametros_manuales!$I$38*parametros_manuales!$J$38</f>
        <v>1129.132852492</v>
      </c>
      <c r="D75" s="9" t="n">
        <f aca="false">(parametros_manuales!$D$38*(datos_base!$D$2+datos_base!$D$18+IF(parametros_manuales!$H$38="Todos",datos_base!$D$9+datos_base!$D$23,0))*parametros_manuales!$D$95+parametros_manuales!$E$38*(datos_base!$D$3+datos_base!$D$19+IF(parametros_manuales!$H$38="Todos",datos_base!$D$10+datos_base!$D$24,0))*parametros_manuales!$D$100+parametros_manuales!$F$38*(datos_base!$D$4+datos_base!$D$20+IF(parametros_manuales!$H$38="Todos",datos_base!$D$11+datos_base!$D$25,0))*parametros_manuales!$D$105+parametros_manuales!$G$38*(datos_base!$D$5+datos_base!$D$21+IF(parametros_manuales!$H$38="Todos",datos_base!$D$12+datos_base!$D$26,0))*parametros_manuales!$D$110)*parametros_manuales!$I$38*parametros_manuales!$J$38</f>
        <v>1092.645097054</v>
      </c>
      <c r="E75" s="9" t="n">
        <f aca="false">(parametros_manuales!$D$38*(datos_base!$D$2+datos_base!$D$18+IF(parametros_manuales!$H$38="Todos",datos_base!$D$9+datos_base!$D$23,0))*parametros_manuales!$E$95+parametros_manuales!$E$38*(datos_base!$D$3+datos_base!$D$19+IF(parametros_manuales!$H$38="Todos",datos_base!$D$10+datos_base!$D$24,0))*parametros_manuales!$E$100+parametros_manuales!$F$38*(datos_base!$D$4+datos_base!$D$20+IF(parametros_manuales!$H$38="Todos",datos_base!$D$11+datos_base!$D$25,0))*parametros_manuales!$E$105+parametros_manuales!$G$38*(datos_base!$D$5+datos_base!$D$21+IF(parametros_manuales!$H$38="Todos",datos_base!$D$12+datos_base!$D$26,0))*parametros_manuales!$E$110)*parametros_manuales!$I$38*parametros_manuales!$J$38</f>
        <v>1058.386358264</v>
      </c>
      <c r="F75" s="9" t="n">
        <f aca="false">(parametros_manuales!$D$38*(datos_base!$D$2+datos_base!$D$18+IF(parametros_manuales!$H$38="Todos",datos_base!$D$9+datos_base!$D$23,0))*parametros_manuales!$F$95+parametros_manuales!$E$38*(datos_base!$D$3+datos_base!$D$19+IF(parametros_manuales!$H$38="Todos",datos_base!$D$10+datos_base!$D$24,0))*parametros_manuales!$F$100+parametros_manuales!$F$38*(datos_base!$D$4+datos_base!$D$20+IF(parametros_manuales!$H$38="Todos",datos_base!$D$11+datos_base!$D$25,0))*parametros_manuales!$F$105+parametros_manuales!$G$38*(datos_base!$D$5+datos_base!$D$21+IF(parametros_manuales!$H$38="Todos",datos_base!$D$12+datos_base!$D$26,0))*parametros_manuales!$F$110)*parametros_manuales!$I$38*parametros_manuales!$J$38</f>
        <v>992.097897332</v>
      </c>
      <c r="G75" s="9" t="n">
        <f aca="false">(parametros_manuales!$D$38*(datos_base!$D$2+datos_base!$D$18+IF(parametros_manuales!$H$38="Todos",datos_base!$D$9+datos_base!$D$23,0))*parametros_manuales!$G$95+parametros_manuales!$E$38*(datos_base!$D$3+datos_base!$D$19+IF(parametros_manuales!$H$38="Todos",datos_base!$D$10+datos_base!$D$24,0))*parametros_manuales!$G$100+parametros_manuales!$F$38*(datos_base!$D$4+datos_base!$D$20+IF(parametros_manuales!$H$38="Todos",datos_base!$D$11+datos_base!$D$25,0))*parametros_manuales!$G$105+parametros_manuales!$G$38*(datos_base!$D$5+datos_base!$D$21+IF(parametros_manuales!$H$38="Todos",datos_base!$D$12+datos_base!$D$26,0))*parametros_manuales!$G$110)*parametros_manuales!$I$38*parametros_manuales!$J$38</f>
        <v>960.06817519</v>
      </c>
      <c r="H75" s="9" t="n">
        <f aca="false">(parametros_manuales!$D$38*(datos_base!$D$2+datos_base!$D$18+IF(parametros_manuales!$H$38="Todos",datos_base!$D$9+datos_base!$D$23,0))*parametros_manuales!$H$95+parametros_manuales!$E$38*(datos_base!$D$3+datos_base!$D$19+IF(parametros_manuales!$H$38="Todos",datos_base!$D$10+datos_base!$D$24,0))*parametros_manuales!$H$100+parametros_manuales!$F$38*(datos_base!$D$4+datos_base!$D$20+IF(parametros_manuales!$H$38="Todos",datos_base!$D$11+datos_base!$D$25,0))*parametros_manuales!$H$105+parametros_manuales!$G$38*(datos_base!$D$5+datos_base!$D$21+IF(parametros_manuales!$H$38="Todos",datos_base!$D$12+datos_base!$D$26,0))*parametros_manuales!$H$110)*parametros_manuales!$I$38*parametros_manuales!$J$38</f>
        <v>1026.356636122</v>
      </c>
      <c r="I75" s="9" t="n">
        <f aca="false">(parametros_manuales!$D$38*(datos_base!$D$2+datos_base!$D$18+IF(parametros_manuales!$H$38="Todos",datos_base!$D$9+datos_base!$D$23,0))*parametros_manuales!$I$95+parametros_manuales!$E$38*(datos_base!$D$3+datos_base!$D$19+IF(parametros_manuales!$H$38="Todos",datos_base!$D$10+datos_base!$D$24,0))*parametros_manuales!$I$100+parametros_manuales!$F$38*(datos_base!$D$4+datos_base!$D$20+IF(parametros_manuales!$H$38="Todos",datos_base!$D$11+datos_base!$D$25,0))*parametros_manuales!$I$105+parametros_manuales!$G$38*(datos_base!$D$5+datos_base!$D$21+IF(parametros_manuales!$H$38="Todos",datos_base!$D$12+datos_base!$D$26,0))*parametros_manuales!$I$110)*parametros_manuales!$I$38*parametros_manuales!$J$38</f>
        <v>1129.132852492</v>
      </c>
      <c r="J75" s="9" t="n">
        <f aca="false">(parametros_manuales!$D$38*(datos_base!$D$2+datos_base!$D$18+IF(parametros_manuales!$H$38="Todos",datos_base!$D$9+datos_base!$D$23,0))*parametros_manuales!$J$95+parametros_manuales!$E$38*(datos_base!$D$3+datos_base!$D$19+IF(parametros_manuales!$H$38="Todos",datos_base!$D$10+datos_base!$D$24,0))*parametros_manuales!$J$100+parametros_manuales!$F$38*(datos_base!$D$4+datos_base!$D$20+IF(parametros_manuales!$H$38="Todos",datos_base!$D$11+datos_base!$D$25,0))*parametros_manuales!$J$105+parametros_manuales!$G$38*(datos_base!$D$5+datos_base!$D$21+IF(parametros_manuales!$H$38="Todos",datos_base!$D$12+datos_base!$D$26,0))*parametros_manuales!$J$110)*parametros_manuales!$I$38*parametros_manuales!$J$38</f>
        <v>1129.132852492</v>
      </c>
      <c r="K75" s="9" t="n">
        <f aca="false">(parametros_manuales!$D$38*(datos_base!$D$2+datos_base!$D$18+IF(parametros_manuales!$H$38="Todos",datos_base!$D$9+datos_base!$D$23,0))*parametros_manuales!$K$95+parametros_manuales!$E$38*(datos_base!$D$3+datos_base!$D$19+IF(parametros_manuales!$H$38="Todos",datos_base!$D$10+datos_base!$D$24,0))*parametros_manuales!$K$100+parametros_manuales!$F$38*(datos_base!$D$4+datos_base!$D$20+IF(parametros_manuales!$H$38="Todos",datos_base!$D$11+datos_base!$D$25,0))*parametros_manuales!$K$105+parametros_manuales!$G$38*(datos_base!$D$5+datos_base!$D$21+IF(parametros_manuales!$H$38="Todos",datos_base!$D$12+datos_base!$D$26,0))*parametros_manuales!$K$110)*parametros_manuales!$I$38*parametros_manuales!$J$38</f>
        <v>1161.162574634</v>
      </c>
      <c r="L75" s="9" t="n">
        <f aca="false">(parametros_manuales!$D$38*(datos_base!$D$2+datos_base!$D$18+IF(parametros_manuales!$H$38="Todos",datos_base!$D$9+datos_base!$D$23,0))*parametros_manuales!$L$95+parametros_manuales!$E$38*(datos_base!$D$3+datos_base!$D$19+IF(parametros_manuales!$H$38="Todos",datos_base!$D$10+datos_base!$D$24,0))*parametros_manuales!$L$100+parametros_manuales!$F$38*(datos_base!$D$4+datos_base!$D$20+IF(parametros_manuales!$H$38="Todos",datos_base!$D$11+datos_base!$D$25,0))*parametros_manuales!$L$105+parametros_manuales!$G$38*(datos_base!$D$5+datos_base!$D$21+IF(parametros_manuales!$H$38="Todos",datos_base!$D$12+datos_base!$D$26,0))*parametros_manuales!$L$110)*parametros_manuales!$I$38*parametros_manuales!$J$38</f>
        <v>1193.192296776</v>
      </c>
      <c r="M75" s="9" t="n">
        <f aca="false">(parametros_manuales!$D$38*(datos_base!$D$2+datos_base!$D$18+IF(parametros_manuales!$H$38="Todos",datos_base!$D$9+datos_base!$D$23,0))*parametros_manuales!$M$95+parametros_manuales!$E$38*(datos_base!$D$3+datos_base!$D$19+IF(parametros_manuales!$H$38="Todos",datos_base!$D$10+datos_base!$D$24,0))*parametros_manuales!$M$100+parametros_manuales!$F$38*(datos_base!$D$4+datos_base!$D$20+IF(parametros_manuales!$H$38="Todos",datos_base!$D$11+datos_base!$D$25,0))*parametros_manuales!$M$105+parametros_manuales!$G$38*(datos_base!$D$5+datos_base!$D$21+IF(parametros_manuales!$H$38="Todos",datos_base!$D$12+datos_base!$D$26,0))*parametros_manuales!$M$110)*parametros_manuales!$I$38*parametros_manuales!$J$38</f>
        <v>1193.192296776</v>
      </c>
      <c r="N75" s="9" t="n">
        <f aca="false">SUM(B75:M75)</f>
        <v>13257.6921864</v>
      </c>
      <c r="O75" s="9" t="n">
        <f aca="false">MAX(B75:M75)</f>
        <v>1193.192296776</v>
      </c>
      <c r="P75" s="43" t="n">
        <f aca="false">O75/(parametros_manuales!$B$7)</f>
        <v>7.95461531184</v>
      </c>
      <c r="Q75" s="8" t="str">
        <f aca="false">IF(O75=0,"-",INDEX($B$55:$M$55,MATCH(O75,B75:M75,0)))</f>
        <v>Ene</v>
      </c>
    </row>
    <row r="76" customFormat="false" ht="14.25" hidden="false" customHeight="true" outlineLevel="0" collapsed="false">
      <c r="A76" s="8" t="str">
        <f aca="false">parametros_manuales!$B$39</f>
        <v>Ensamblaje</v>
      </c>
      <c r="B76" s="9" t="n">
        <f aca="false">(parametros_manuales!$D$39*(datos_base!$D$2+datos_base!$D$18+IF(parametros_manuales!$H$39="Todos",datos_base!$D$9+datos_base!$D$23,0))*parametros_manuales!$B$95+parametros_manuales!$E$39*(datos_base!$D$3+datos_base!$D$19+IF(parametros_manuales!$H$39="Todos",datos_base!$D$10+datos_base!$D$24,0))*parametros_manuales!$B$100+parametros_manuales!$F$39*(datos_base!$D$4+datos_base!$D$20+IF(parametros_manuales!$H$39="Todos",datos_base!$D$11+datos_base!$D$25,0))*parametros_manuales!$B$105+parametros_manuales!$G$39*(datos_base!$D$5+datos_base!$D$21+IF(parametros_manuales!$H$39="Todos",datos_base!$D$12+datos_base!$D$26,0))*parametros_manuales!$B$110)*parametros_manuales!$I$39*parametros_manuales!$J$39</f>
        <v>1193.192296776</v>
      </c>
      <c r="C76" s="9" t="n">
        <f aca="false">(parametros_manuales!$D$39*(datos_base!$D$2+datos_base!$D$18+IF(parametros_manuales!$H$39="Todos",datos_base!$D$9+datos_base!$D$23,0))*parametros_manuales!$C$95+parametros_manuales!$E$39*(datos_base!$D$3+datos_base!$D$19+IF(parametros_manuales!$H$39="Todos",datos_base!$D$10+datos_base!$D$24,0))*parametros_manuales!$C$100+parametros_manuales!$F$39*(datos_base!$D$4+datos_base!$D$20+IF(parametros_manuales!$H$39="Todos",datos_base!$D$11+datos_base!$D$25,0))*parametros_manuales!$C$105+parametros_manuales!$G$39*(datos_base!$D$5+datos_base!$D$21+IF(parametros_manuales!$H$39="Todos",datos_base!$D$12+datos_base!$D$26,0))*parametros_manuales!$C$110)*parametros_manuales!$I$39*parametros_manuales!$J$39</f>
        <v>1129.132852492</v>
      </c>
      <c r="D76" s="9" t="n">
        <f aca="false">(parametros_manuales!$D$39*(datos_base!$D$2+datos_base!$D$18+IF(parametros_manuales!$H$39="Todos",datos_base!$D$9+datos_base!$D$23,0))*parametros_manuales!$D$95+parametros_manuales!$E$39*(datos_base!$D$3+datos_base!$D$19+IF(parametros_manuales!$H$39="Todos",datos_base!$D$10+datos_base!$D$24,0))*parametros_manuales!$D$100+parametros_manuales!$F$39*(datos_base!$D$4+datos_base!$D$20+IF(parametros_manuales!$H$39="Todos",datos_base!$D$11+datos_base!$D$25,0))*parametros_manuales!$D$105+parametros_manuales!$G$39*(datos_base!$D$5+datos_base!$D$21+IF(parametros_manuales!$H$39="Todos",datos_base!$D$12+datos_base!$D$26,0))*parametros_manuales!$D$110)*parametros_manuales!$I$39*parametros_manuales!$J$39</f>
        <v>1092.645097054</v>
      </c>
      <c r="E76" s="9" t="n">
        <f aca="false">(parametros_manuales!$D$39*(datos_base!$D$2+datos_base!$D$18+IF(parametros_manuales!$H$39="Todos",datos_base!$D$9+datos_base!$D$23,0))*parametros_manuales!$E$95+parametros_manuales!$E$39*(datos_base!$D$3+datos_base!$D$19+IF(parametros_manuales!$H$39="Todos",datos_base!$D$10+datos_base!$D$24,0))*parametros_manuales!$E$100+parametros_manuales!$F$39*(datos_base!$D$4+datos_base!$D$20+IF(parametros_manuales!$H$39="Todos",datos_base!$D$11+datos_base!$D$25,0))*parametros_manuales!$E$105+parametros_manuales!$G$39*(datos_base!$D$5+datos_base!$D$21+IF(parametros_manuales!$H$39="Todos",datos_base!$D$12+datos_base!$D$26,0))*parametros_manuales!$E$110)*parametros_manuales!$I$39*parametros_manuales!$J$39</f>
        <v>1058.386358264</v>
      </c>
      <c r="F76" s="9" t="n">
        <f aca="false">(parametros_manuales!$D$39*(datos_base!$D$2+datos_base!$D$18+IF(parametros_manuales!$H$39="Todos",datos_base!$D$9+datos_base!$D$23,0))*parametros_manuales!$F$95+parametros_manuales!$E$39*(datos_base!$D$3+datos_base!$D$19+IF(parametros_manuales!$H$39="Todos",datos_base!$D$10+datos_base!$D$24,0))*parametros_manuales!$F$100+parametros_manuales!$F$39*(datos_base!$D$4+datos_base!$D$20+IF(parametros_manuales!$H$39="Todos",datos_base!$D$11+datos_base!$D$25,0))*parametros_manuales!$F$105+parametros_manuales!$G$39*(datos_base!$D$5+datos_base!$D$21+IF(parametros_manuales!$H$39="Todos",datos_base!$D$12+datos_base!$D$26,0))*parametros_manuales!$F$110)*parametros_manuales!$I$39*parametros_manuales!$J$39</f>
        <v>992.097897332</v>
      </c>
      <c r="G76" s="9" t="n">
        <f aca="false">(parametros_manuales!$D$39*(datos_base!$D$2+datos_base!$D$18+IF(parametros_manuales!$H$39="Todos",datos_base!$D$9+datos_base!$D$23,0))*parametros_manuales!$G$95+parametros_manuales!$E$39*(datos_base!$D$3+datos_base!$D$19+IF(parametros_manuales!$H$39="Todos",datos_base!$D$10+datos_base!$D$24,0))*parametros_manuales!$G$100+parametros_manuales!$F$39*(datos_base!$D$4+datos_base!$D$20+IF(parametros_manuales!$H$39="Todos",datos_base!$D$11+datos_base!$D$25,0))*parametros_manuales!$G$105+parametros_manuales!$G$39*(datos_base!$D$5+datos_base!$D$21+IF(parametros_manuales!$H$39="Todos",datos_base!$D$12+datos_base!$D$26,0))*parametros_manuales!$G$110)*parametros_manuales!$I$39*parametros_manuales!$J$39</f>
        <v>960.06817519</v>
      </c>
      <c r="H76" s="9" t="n">
        <f aca="false">(parametros_manuales!$D$39*(datos_base!$D$2+datos_base!$D$18+IF(parametros_manuales!$H$39="Todos",datos_base!$D$9+datos_base!$D$23,0))*parametros_manuales!$H$95+parametros_manuales!$E$39*(datos_base!$D$3+datos_base!$D$19+IF(parametros_manuales!$H$39="Todos",datos_base!$D$10+datos_base!$D$24,0))*parametros_manuales!$H$100+parametros_manuales!$F$39*(datos_base!$D$4+datos_base!$D$20+IF(parametros_manuales!$H$39="Todos",datos_base!$D$11+datos_base!$D$25,0))*parametros_manuales!$H$105+parametros_manuales!$G$39*(datos_base!$D$5+datos_base!$D$21+IF(parametros_manuales!$H$39="Todos",datos_base!$D$12+datos_base!$D$26,0))*parametros_manuales!$H$110)*parametros_manuales!$I$39*parametros_manuales!$J$39</f>
        <v>1026.356636122</v>
      </c>
      <c r="I76" s="9" t="n">
        <f aca="false">(parametros_manuales!$D$39*(datos_base!$D$2+datos_base!$D$18+IF(parametros_manuales!$H$39="Todos",datos_base!$D$9+datos_base!$D$23,0))*parametros_manuales!$I$95+parametros_manuales!$E$39*(datos_base!$D$3+datos_base!$D$19+IF(parametros_manuales!$H$39="Todos",datos_base!$D$10+datos_base!$D$24,0))*parametros_manuales!$I$100+parametros_manuales!$F$39*(datos_base!$D$4+datos_base!$D$20+IF(parametros_manuales!$H$39="Todos",datos_base!$D$11+datos_base!$D$25,0))*parametros_manuales!$I$105+parametros_manuales!$G$39*(datos_base!$D$5+datos_base!$D$21+IF(parametros_manuales!$H$39="Todos",datos_base!$D$12+datos_base!$D$26,0))*parametros_manuales!$I$110)*parametros_manuales!$I$39*parametros_manuales!$J$39</f>
        <v>1129.132852492</v>
      </c>
      <c r="J76" s="9" t="n">
        <f aca="false">(parametros_manuales!$D$39*(datos_base!$D$2+datos_base!$D$18+IF(parametros_manuales!$H$39="Todos",datos_base!$D$9+datos_base!$D$23,0))*parametros_manuales!$J$95+parametros_manuales!$E$39*(datos_base!$D$3+datos_base!$D$19+IF(parametros_manuales!$H$39="Todos",datos_base!$D$10+datos_base!$D$24,0))*parametros_manuales!$J$100+parametros_manuales!$F$39*(datos_base!$D$4+datos_base!$D$20+IF(parametros_manuales!$H$39="Todos",datos_base!$D$11+datos_base!$D$25,0))*parametros_manuales!$J$105+parametros_manuales!$G$39*(datos_base!$D$5+datos_base!$D$21+IF(parametros_manuales!$H$39="Todos",datos_base!$D$12+datos_base!$D$26,0))*parametros_manuales!$J$110)*parametros_manuales!$I$39*parametros_manuales!$J$39</f>
        <v>1129.132852492</v>
      </c>
      <c r="K76" s="9" t="n">
        <f aca="false">(parametros_manuales!$D$39*(datos_base!$D$2+datos_base!$D$18+IF(parametros_manuales!$H$39="Todos",datos_base!$D$9+datos_base!$D$23,0))*parametros_manuales!$K$95+parametros_manuales!$E$39*(datos_base!$D$3+datos_base!$D$19+IF(parametros_manuales!$H$39="Todos",datos_base!$D$10+datos_base!$D$24,0))*parametros_manuales!$K$100+parametros_manuales!$F$39*(datos_base!$D$4+datos_base!$D$20+IF(parametros_manuales!$H$39="Todos",datos_base!$D$11+datos_base!$D$25,0))*parametros_manuales!$K$105+parametros_manuales!$G$39*(datos_base!$D$5+datos_base!$D$21+IF(parametros_manuales!$H$39="Todos",datos_base!$D$12+datos_base!$D$26,0))*parametros_manuales!$K$110)*parametros_manuales!$I$39*parametros_manuales!$J$39</f>
        <v>1161.162574634</v>
      </c>
      <c r="L76" s="9" t="n">
        <f aca="false">(parametros_manuales!$D$39*(datos_base!$D$2+datos_base!$D$18+IF(parametros_manuales!$H$39="Todos",datos_base!$D$9+datos_base!$D$23,0))*parametros_manuales!$L$95+parametros_manuales!$E$39*(datos_base!$D$3+datos_base!$D$19+IF(parametros_manuales!$H$39="Todos",datos_base!$D$10+datos_base!$D$24,0))*parametros_manuales!$L$100+parametros_manuales!$F$39*(datos_base!$D$4+datos_base!$D$20+IF(parametros_manuales!$H$39="Todos",datos_base!$D$11+datos_base!$D$25,0))*parametros_manuales!$L$105+parametros_manuales!$G$39*(datos_base!$D$5+datos_base!$D$21+IF(parametros_manuales!$H$39="Todos",datos_base!$D$12+datos_base!$D$26,0))*parametros_manuales!$L$110)*parametros_manuales!$I$39*parametros_manuales!$J$39</f>
        <v>1193.192296776</v>
      </c>
      <c r="M76" s="9" t="n">
        <f aca="false">(parametros_manuales!$D$39*(datos_base!$D$2+datos_base!$D$18+IF(parametros_manuales!$H$39="Todos",datos_base!$D$9+datos_base!$D$23,0))*parametros_manuales!$M$95+parametros_manuales!$E$39*(datos_base!$D$3+datos_base!$D$19+IF(parametros_manuales!$H$39="Todos",datos_base!$D$10+datos_base!$D$24,0))*parametros_manuales!$M$100+parametros_manuales!$F$39*(datos_base!$D$4+datos_base!$D$20+IF(parametros_manuales!$H$39="Todos",datos_base!$D$11+datos_base!$D$25,0))*parametros_manuales!$M$105+parametros_manuales!$G$39*(datos_base!$D$5+datos_base!$D$21+IF(parametros_manuales!$H$39="Todos",datos_base!$D$12+datos_base!$D$26,0))*parametros_manuales!$M$110)*parametros_manuales!$I$39*parametros_manuales!$J$39</f>
        <v>1193.192296776</v>
      </c>
      <c r="N76" s="9" t="n">
        <f aca="false">SUM(B76:M76)</f>
        <v>13257.6921864</v>
      </c>
      <c r="O76" s="9" t="n">
        <f aca="false">MAX(B76:M76)</f>
        <v>1193.192296776</v>
      </c>
      <c r="P76" s="43" t="n">
        <f aca="false">O76/(parametros_manuales!$B$7)</f>
        <v>7.95461531184</v>
      </c>
      <c r="Q76" s="8" t="str">
        <f aca="false">IF(O76=0,"-",INDEX($B$55:$M$55,MATCH(O76,B76:M76,0)))</f>
        <v>Ene</v>
      </c>
    </row>
    <row r="77" customFormat="false" ht="14.25" hidden="false" customHeight="true" outlineLevel="0" collapsed="false">
      <c r="A77" s="8" t="str">
        <f aca="false">parametros_manuales!$B$40</f>
        <v>Presurización</v>
      </c>
      <c r="B77" s="9" t="n">
        <f aca="false">(parametros_manuales!$D$40*(datos_base!$D$2+datos_base!$D$18+IF(parametros_manuales!$H$40="Todos",datos_base!$D$9+datos_base!$D$23,0))*parametros_manuales!$B$95+parametros_manuales!$E$40*(datos_base!$D$3+datos_base!$D$19+IF(parametros_manuales!$H$40="Todos",datos_base!$D$10+datos_base!$D$24,0))*parametros_manuales!$B$100+parametros_manuales!$F$40*(datos_base!$D$4+datos_base!$D$20+IF(parametros_manuales!$H$40="Todos",datos_base!$D$11+datos_base!$D$25,0))*parametros_manuales!$B$105+parametros_manuales!$G$40*(datos_base!$D$5+datos_base!$D$21+IF(parametros_manuales!$H$40="Todos",datos_base!$D$12+datos_base!$D$26,0))*parametros_manuales!$B$110)*parametros_manuales!$I$40*parametros_manuales!$J$40</f>
        <v>1193.192296776</v>
      </c>
      <c r="C77" s="9" t="n">
        <f aca="false">(parametros_manuales!$D$40*(datos_base!$D$2+datos_base!$D$18+IF(parametros_manuales!$H$40="Todos",datos_base!$D$9+datos_base!$D$23,0))*parametros_manuales!$C$95+parametros_manuales!$E$40*(datos_base!$D$3+datos_base!$D$19+IF(parametros_manuales!$H$40="Todos",datos_base!$D$10+datos_base!$D$24,0))*parametros_manuales!$C$100+parametros_manuales!$F$40*(datos_base!$D$4+datos_base!$D$20+IF(parametros_manuales!$H$40="Todos",datos_base!$D$11+datos_base!$D$25,0))*parametros_manuales!$C$105+parametros_manuales!$G$40*(datos_base!$D$5+datos_base!$D$21+IF(parametros_manuales!$H$40="Todos",datos_base!$D$12+datos_base!$D$26,0))*parametros_manuales!$C$110)*parametros_manuales!$I$40*parametros_manuales!$J$40</f>
        <v>1129.132852492</v>
      </c>
      <c r="D77" s="9" t="n">
        <f aca="false">(parametros_manuales!$D$40*(datos_base!$D$2+datos_base!$D$18+IF(parametros_manuales!$H$40="Todos",datos_base!$D$9+datos_base!$D$23,0))*parametros_manuales!$D$95+parametros_manuales!$E$40*(datos_base!$D$3+datos_base!$D$19+IF(parametros_manuales!$H$40="Todos",datos_base!$D$10+datos_base!$D$24,0))*parametros_manuales!$D$100+parametros_manuales!$F$40*(datos_base!$D$4+datos_base!$D$20+IF(parametros_manuales!$H$40="Todos",datos_base!$D$11+datos_base!$D$25,0))*parametros_manuales!$D$105+parametros_manuales!$G$40*(datos_base!$D$5+datos_base!$D$21+IF(parametros_manuales!$H$40="Todos",datos_base!$D$12+datos_base!$D$26,0))*parametros_manuales!$D$110)*parametros_manuales!$I$40*parametros_manuales!$J$40</f>
        <v>1092.645097054</v>
      </c>
      <c r="E77" s="9" t="n">
        <f aca="false">(parametros_manuales!$D$40*(datos_base!$D$2+datos_base!$D$18+IF(parametros_manuales!$H$40="Todos",datos_base!$D$9+datos_base!$D$23,0))*parametros_manuales!$E$95+parametros_manuales!$E$40*(datos_base!$D$3+datos_base!$D$19+IF(parametros_manuales!$H$40="Todos",datos_base!$D$10+datos_base!$D$24,0))*parametros_manuales!$E$100+parametros_manuales!$F$40*(datos_base!$D$4+datos_base!$D$20+IF(parametros_manuales!$H$40="Todos",datos_base!$D$11+datos_base!$D$25,0))*parametros_manuales!$E$105+parametros_manuales!$G$40*(datos_base!$D$5+datos_base!$D$21+IF(parametros_manuales!$H$40="Todos",datos_base!$D$12+datos_base!$D$26,0))*parametros_manuales!$E$110)*parametros_manuales!$I$40*parametros_manuales!$J$40</f>
        <v>1058.386358264</v>
      </c>
      <c r="F77" s="9" t="n">
        <f aca="false">(parametros_manuales!$D$40*(datos_base!$D$2+datos_base!$D$18+IF(parametros_manuales!$H$40="Todos",datos_base!$D$9+datos_base!$D$23,0))*parametros_manuales!$F$95+parametros_manuales!$E$40*(datos_base!$D$3+datos_base!$D$19+IF(parametros_manuales!$H$40="Todos",datos_base!$D$10+datos_base!$D$24,0))*parametros_manuales!$F$100+parametros_manuales!$F$40*(datos_base!$D$4+datos_base!$D$20+IF(parametros_manuales!$H$40="Todos",datos_base!$D$11+datos_base!$D$25,0))*parametros_manuales!$F$105+parametros_manuales!$G$40*(datos_base!$D$5+datos_base!$D$21+IF(parametros_manuales!$H$40="Todos",datos_base!$D$12+datos_base!$D$26,0))*parametros_manuales!$F$110)*parametros_manuales!$I$40*parametros_manuales!$J$40</f>
        <v>992.097897332</v>
      </c>
      <c r="G77" s="9" t="n">
        <f aca="false">(parametros_manuales!$D$40*(datos_base!$D$2+datos_base!$D$18+IF(parametros_manuales!$H$40="Todos",datos_base!$D$9+datos_base!$D$23,0))*parametros_manuales!$G$95+parametros_manuales!$E$40*(datos_base!$D$3+datos_base!$D$19+IF(parametros_manuales!$H$40="Todos",datos_base!$D$10+datos_base!$D$24,0))*parametros_manuales!$G$100+parametros_manuales!$F$40*(datos_base!$D$4+datos_base!$D$20+IF(parametros_manuales!$H$40="Todos",datos_base!$D$11+datos_base!$D$25,0))*parametros_manuales!$G$105+parametros_manuales!$G$40*(datos_base!$D$5+datos_base!$D$21+IF(parametros_manuales!$H$40="Todos",datos_base!$D$12+datos_base!$D$26,0))*parametros_manuales!$G$110)*parametros_manuales!$I$40*parametros_manuales!$J$40</f>
        <v>960.06817519</v>
      </c>
      <c r="H77" s="9" t="n">
        <f aca="false">(parametros_manuales!$D$40*(datos_base!$D$2+datos_base!$D$18+IF(parametros_manuales!$H$40="Todos",datos_base!$D$9+datos_base!$D$23,0))*parametros_manuales!$H$95+parametros_manuales!$E$40*(datos_base!$D$3+datos_base!$D$19+IF(parametros_manuales!$H$40="Todos",datos_base!$D$10+datos_base!$D$24,0))*parametros_manuales!$H$100+parametros_manuales!$F$40*(datos_base!$D$4+datos_base!$D$20+IF(parametros_manuales!$H$40="Todos",datos_base!$D$11+datos_base!$D$25,0))*parametros_manuales!$H$105+parametros_manuales!$G$40*(datos_base!$D$5+datos_base!$D$21+IF(parametros_manuales!$H$40="Todos",datos_base!$D$12+datos_base!$D$26,0))*parametros_manuales!$H$110)*parametros_manuales!$I$40*parametros_manuales!$J$40</f>
        <v>1026.356636122</v>
      </c>
      <c r="I77" s="9" t="n">
        <f aca="false">(parametros_manuales!$D$40*(datos_base!$D$2+datos_base!$D$18+IF(parametros_manuales!$H$40="Todos",datos_base!$D$9+datos_base!$D$23,0))*parametros_manuales!$I$95+parametros_manuales!$E$40*(datos_base!$D$3+datos_base!$D$19+IF(parametros_manuales!$H$40="Todos",datos_base!$D$10+datos_base!$D$24,0))*parametros_manuales!$I$100+parametros_manuales!$F$40*(datos_base!$D$4+datos_base!$D$20+IF(parametros_manuales!$H$40="Todos",datos_base!$D$11+datos_base!$D$25,0))*parametros_manuales!$I$105+parametros_manuales!$G$40*(datos_base!$D$5+datos_base!$D$21+IF(parametros_manuales!$H$40="Todos",datos_base!$D$12+datos_base!$D$26,0))*parametros_manuales!$I$110)*parametros_manuales!$I$40*parametros_manuales!$J$40</f>
        <v>1129.132852492</v>
      </c>
      <c r="J77" s="9" t="n">
        <f aca="false">(parametros_manuales!$D$40*(datos_base!$D$2+datos_base!$D$18+IF(parametros_manuales!$H$40="Todos",datos_base!$D$9+datos_base!$D$23,0))*parametros_manuales!$J$95+parametros_manuales!$E$40*(datos_base!$D$3+datos_base!$D$19+IF(parametros_manuales!$H$40="Todos",datos_base!$D$10+datos_base!$D$24,0))*parametros_manuales!$J$100+parametros_manuales!$F$40*(datos_base!$D$4+datos_base!$D$20+IF(parametros_manuales!$H$40="Todos",datos_base!$D$11+datos_base!$D$25,0))*parametros_manuales!$J$105+parametros_manuales!$G$40*(datos_base!$D$5+datos_base!$D$21+IF(parametros_manuales!$H$40="Todos",datos_base!$D$12+datos_base!$D$26,0))*parametros_manuales!$J$110)*parametros_manuales!$I$40*parametros_manuales!$J$40</f>
        <v>1129.132852492</v>
      </c>
      <c r="K77" s="9" t="n">
        <f aca="false">(parametros_manuales!$D$40*(datos_base!$D$2+datos_base!$D$18+IF(parametros_manuales!$H$40="Todos",datos_base!$D$9+datos_base!$D$23,0))*parametros_manuales!$K$95+parametros_manuales!$E$40*(datos_base!$D$3+datos_base!$D$19+IF(parametros_manuales!$H$40="Todos",datos_base!$D$10+datos_base!$D$24,0))*parametros_manuales!$K$100+parametros_manuales!$F$40*(datos_base!$D$4+datos_base!$D$20+IF(parametros_manuales!$H$40="Todos",datos_base!$D$11+datos_base!$D$25,0))*parametros_manuales!$K$105+parametros_manuales!$G$40*(datos_base!$D$5+datos_base!$D$21+IF(parametros_manuales!$H$40="Todos",datos_base!$D$12+datos_base!$D$26,0))*parametros_manuales!$K$110)*parametros_manuales!$I$40*parametros_manuales!$J$40</f>
        <v>1161.162574634</v>
      </c>
      <c r="L77" s="9" t="n">
        <f aca="false">(parametros_manuales!$D$40*(datos_base!$D$2+datos_base!$D$18+IF(parametros_manuales!$H$40="Todos",datos_base!$D$9+datos_base!$D$23,0))*parametros_manuales!$L$95+parametros_manuales!$E$40*(datos_base!$D$3+datos_base!$D$19+IF(parametros_manuales!$H$40="Todos",datos_base!$D$10+datos_base!$D$24,0))*parametros_manuales!$L$100+parametros_manuales!$F$40*(datos_base!$D$4+datos_base!$D$20+IF(parametros_manuales!$H$40="Todos",datos_base!$D$11+datos_base!$D$25,0))*parametros_manuales!$L$105+parametros_manuales!$G$40*(datos_base!$D$5+datos_base!$D$21+IF(parametros_manuales!$H$40="Todos",datos_base!$D$12+datos_base!$D$26,0))*parametros_manuales!$L$110)*parametros_manuales!$I$40*parametros_manuales!$J$40</f>
        <v>1193.192296776</v>
      </c>
      <c r="M77" s="9" t="n">
        <f aca="false">(parametros_manuales!$D$40*(datos_base!$D$2+datos_base!$D$18+IF(parametros_manuales!$H$40="Todos",datos_base!$D$9+datos_base!$D$23,0))*parametros_manuales!$M$95+parametros_manuales!$E$40*(datos_base!$D$3+datos_base!$D$19+IF(parametros_manuales!$H$40="Todos",datos_base!$D$10+datos_base!$D$24,0))*parametros_manuales!$M$100+parametros_manuales!$F$40*(datos_base!$D$4+datos_base!$D$20+IF(parametros_manuales!$H$40="Todos",datos_base!$D$11+datos_base!$D$25,0))*parametros_manuales!$M$105+parametros_manuales!$G$40*(datos_base!$D$5+datos_base!$D$21+IF(parametros_manuales!$H$40="Todos",datos_base!$D$12+datos_base!$D$26,0))*parametros_manuales!$M$110)*parametros_manuales!$I$40*parametros_manuales!$J$40</f>
        <v>1193.192296776</v>
      </c>
      <c r="N77" s="9" t="n">
        <f aca="false">SUM(B77:M77)</f>
        <v>13257.6921864</v>
      </c>
      <c r="O77" s="9" t="n">
        <f aca="false">MAX(B77:M77)</f>
        <v>1193.192296776</v>
      </c>
      <c r="P77" s="43" t="n">
        <f aca="false">O77/(parametros_manuales!$B$7)</f>
        <v>7.95461531184</v>
      </c>
      <c r="Q77" s="8" t="str">
        <f aca="false">IF(O77=0,"-",INDEX($B$55:$M$55,MATCH(O77,B77:M77,0)))</f>
        <v>Ene</v>
      </c>
    </row>
    <row r="78" customFormat="false" ht="14.25" hidden="false" customHeight="true" outlineLevel="0" collapsed="false">
      <c r="A78" s="8" t="str">
        <f aca="false">parametros_manuales!$B$41</f>
        <v>Control de calidad — Ensayo de pérdidas</v>
      </c>
      <c r="B78" s="9" t="n">
        <f aca="false">(parametros_manuales!$D$41*(datos_base!$D$2+datos_base!$D$18+IF(parametros_manuales!$H$41="Todos",datos_base!$D$9+datos_base!$D$23,0))*parametros_manuales!$B$95+parametros_manuales!$E$41*(datos_base!$D$3+datos_base!$D$19+IF(parametros_manuales!$H$41="Todos",datos_base!$D$10+datos_base!$D$24,0))*parametros_manuales!$B$100+parametros_manuales!$F$41*(datos_base!$D$4+datos_base!$D$20+IF(parametros_manuales!$H$41="Todos",datos_base!$D$11+datos_base!$D$25,0))*parametros_manuales!$B$105+parametros_manuales!$G$41*(datos_base!$D$5+datos_base!$D$21+IF(parametros_manuales!$H$41="Todos",datos_base!$D$12+datos_base!$D$26,0))*parametros_manuales!$B$110)*parametros_manuales!$I$41*parametros_manuales!$J$41</f>
        <v>1193.192296776</v>
      </c>
      <c r="C78" s="9" t="n">
        <f aca="false">(parametros_manuales!$D$41*(datos_base!$D$2+datos_base!$D$18+IF(parametros_manuales!$H$41="Todos",datos_base!$D$9+datos_base!$D$23,0))*parametros_manuales!$C$95+parametros_manuales!$E$41*(datos_base!$D$3+datos_base!$D$19+IF(parametros_manuales!$H$41="Todos",datos_base!$D$10+datos_base!$D$24,0))*parametros_manuales!$C$100+parametros_manuales!$F$41*(datos_base!$D$4+datos_base!$D$20+IF(parametros_manuales!$H$41="Todos",datos_base!$D$11+datos_base!$D$25,0))*parametros_manuales!$C$105+parametros_manuales!$G$41*(datos_base!$D$5+datos_base!$D$21+IF(parametros_manuales!$H$41="Todos",datos_base!$D$12+datos_base!$D$26,0))*parametros_manuales!$C$110)*parametros_manuales!$I$41*parametros_manuales!$J$41</f>
        <v>1129.132852492</v>
      </c>
      <c r="D78" s="9" t="n">
        <f aca="false">(parametros_manuales!$D$41*(datos_base!$D$2+datos_base!$D$18+IF(parametros_manuales!$H$41="Todos",datos_base!$D$9+datos_base!$D$23,0))*parametros_manuales!$D$95+parametros_manuales!$E$41*(datos_base!$D$3+datos_base!$D$19+IF(parametros_manuales!$H$41="Todos",datos_base!$D$10+datos_base!$D$24,0))*parametros_manuales!$D$100+parametros_manuales!$F$41*(datos_base!$D$4+datos_base!$D$20+IF(parametros_manuales!$H$41="Todos",datos_base!$D$11+datos_base!$D$25,0))*parametros_manuales!$D$105+parametros_manuales!$G$41*(datos_base!$D$5+datos_base!$D$21+IF(parametros_manuales!$H$41="Todos",datos_base!$D$12+datos_base!$D$26,0))*parametros_manuales!$D$110)*parametros_manuales!$I$41*parametros_manuales!$J$41</f>
        <v>1092.645097054</v>
      </c>
      <c r="E78" s="9" t="n">
        <f aca="false">(parametros_manuales!$D$41*(datos_base!$D$2+datos_base!$D$18+IF(parametros_manuales!$H$41="Todos",datos_base!$D$9+datos_base!$D$23,0))*parametros_manuales!$E$95+parametros_manuales!$E$41*(datos_base!$D$3+datos_base!$D$19+IF(parametros_manuales!$H$41="Todos",datos_base!$D$10+datos_base!$D$24,0))*parametros_manuales!$E$100+parametros_manuales!$F$41*(datos_base!$D$4+datos_base!$D$20+IF(parametros_manuales!$H$41="Todos",datos_base!$D$11+datos_base!$D$25,0))*parametros_manuales!$E$105+parametros_manuales!$G$41*(datos_base!$D$5+datos_base!$D$21+IF(parametros_manuales!$H$41="Todos",datos_base!$D$12+datos_base!$D$26,0))*parametros_manuales!$E$110)*parametros_manuales!$I$41*parametros_manuales!$J$41</f>
        <v>1058.386358264</v>
      </c>
      <c r="F78" s="9" t="n">
        <f aca="false">(parametros_manuales!$D$41*(datos_base!$D$2+datos_base!$D$18+IF(parametros_manuales!$H$41="Todos",datos_base!$D$9+datos_base!$D$23,0))*parametros_manuales!$F$95+parametros_manuales!$E$41*(datos_base!$D$3+datos_base!$D$19+IF(parametros_manuales!$H$41="Todos",datos_base!$D$10+datos_base!$D$24,0))*parametros_manuales!$F$100+parametros_manuales!$F$41*(datos_base!$D$4+datos_base!$D$20+IF(parametros_manuales!$H$41="Todos",datos_base!$D$11+datos_base!$D$25,0))*parametros_manuales!$F$105+parametros_manuales!$G$41*(datos_base!$D$5+datos_base!$D$21+IF(parametros_manuales!$H$41="Todos",datos_base!$D$12+datos_base!$D$26,0))*parametros_manuales!$F$110)*parametros_manuales!$I$41*parametros_manuales!$J$41</f>
        <v>992.097897332</v>
      </c>
      <c r="G78" s="9" t="n">
        <f aca="false">(parametros_manuales!$D$41*(datos_base!$D$2+datos_base!$D$18+IF(parametros_manuales!$H$41="Todos",datos_base!$D$9+datos_base!$D$23,0))*parametros_manuales!$G$95+parametros_manuales!$E$41*(datos_base!$D$3+datos_base!$D$19+IF(parametros_manuales!$H$41="Todos",datos_base!$D$10+datos_base!$D$24,0))*parametros_manuales!$G$100+parametros_manuales!$F$41*(datos_base!$D$4+datos_base!$D$20+IF(parametros_manuales!$H$41="Todos",datos_base!$D$11+datos_base!$D$25,0))*parametros_manuales!$G$105+parametros_manuales!$G$41*(datos_base!$D$5+datos_base!$D$21+IF(parametros_manuales!$H$41="Todos",datos_base!$D$12+datos_base!$D$26,0))*parametros_manuales!$G$110)*parametros_manuales!$I$41*parametros_manuales!$J$41</f>
        <v>960.06817519</v>
      </c>
      <c r="H78" s="9" t="n">
        <f aca="false">(parametros_manuales!$D$41*(datos_base!$D$2+datos_base!$D$18+IF(parametros_manuales!$H$41="Todos",datos_base!$D$9+datos_base!$D$23,0))*parametros_manuales!$H$95+parametros_manuales!$E$41*(datos_base!$D$3+datos_base!$D$19+IF(parametros_manuales!$H$41="Todos",datos_base!$D$10+datos_base!$D$24,0))*parametros_manuales!$H$100+parametros_manuales!$F$41*(datos_base!$D$4+datos_base!$D$20+IF(parametros_manuales!$H$41="Todos",datos_base!$D$11+datos_base!$D$25,0))*parametros_manuales!$H$105+parametros_manuales!$G$41*(datos_base!$D$5+datos_base!$D$21+IF(parametros_manuales!$H$41="Todos",datos_base!$D$12+datos_base!$D$26,0))*parametros_manuales!$H$110)*parametros_manuales!$I$41*parametros_manuales!$J$41</f>
        <v>1026.356636122</v>
      </c>
      <c r="I78" s="9" t="n">
        <f aca="false">(parametros_manuales!$D$41*(datos_base!$D$2+datos_base!$D$18+IF(parametros_manuales!$H$41="Todos",datos_base!$D$9+datos_base!$D$23,0))*parametros_manuales!$I$95+parametros_manuales!$E$41*(datos_base!$D$3+datos_base!$D$19+IF(parametros_manuales!$H$41="Todos",datos_base!$D$10+datos_base!$D$24,0))*parametros_manuales!$I$100+parametros_manuales!$F$41*(datos_base!$D$4+datos_base!$D$20+IF(parametros_manuales!$H$41="Todos",datos_base!$D$11+datos_base!$D$25,0))*parametros_manuales!$I$105+parametros_manuales!$G$41*(datos_base!$D$5+datos_base!$D$21+IF(parametros_manuales!$H$41="Todos",datos_base!$D$12+datos_base!$D$26,0))*parametros_manuales!$I$110)*parametros_manuales!$I$41*parametros_manuales!$J$41</f>
        <v>1129.132852492</v>
      </c>
      <c r="J78" s="9" t="n">
        <f aca="false">(parametros_manuales!$D$41*(datos_base!$D$2+datos_base!$D$18+IF(parametros_manuales!$H$41="Todos",datos_base!$D$9+datos_base!$D$23,0))*parametros_manuales!$J$95+parametros_manuales!$E$41*(datos_base!$D$3+datos_base!$D$19+IF(parametros_manuales!$H$41="Todos",datos_base!$D$10+datos_base!$D$24,0))*parametros_manuales!$J$100+parametros_manuales!$F$41*(datos_base!$D$4+datos_base!$D$20+IF(parametros_manuales!$H$41="Todos",datos_base!$D$11+datos_base!$D$25,0))*parametros_manuales!$J$105+parametros_manuales!$G$41*(datos_base!$D$5+datos_base!$D$21+IF(parametros_manuales!$H$41="Todos",datos_base!$D$12+datos_base!$D$26,0))*parametros_manuales!$J$110)*parametros_manuales!$I$41*parametros_manuales!$J$41</f>
        <v>1129.132852492</v>
      </c>
      <c r="K78" s="9" t="n">
        <f aca="false">(parametros_manuales!$D$41*(datos_base!$D$2+datos_base!$D$18+IF(parametros_manuales!$H$41="Todos",datos_base!$D$9+datos_base!$D$23,0))*parametros_manuales!$K$95+parametros_manuales!$E$41*(datos_base!$D$3+datos_base!$D$19+IF(parametros_manuales!$H$41="Todos",datos_base!$D$10+datos_base!$D$24,0))*parametros_manuales!$K$100+parametros_manuales!$F$41*(datos_base!$D$4+datos_base!$D$20+IF(parametros_manuales!$H$41="Todos",datos_base!$D$11+datos_base!$D$25,0))*parametros_manuales!$K$105+parametros_manuales!$G$41*(datos_base!$D$5+datos_base!$D$21+IF(parametros_manuales!$H$41="Todos",datos_base!$D$12+datos_base!$D$26,0))*parametros_manuales!$K$110)*parametros_manuales!$I$41*parametros_manuales!$J$41</f>
        <v>1161.162574634</v>
      </c>
      <c r="L78" s="9" t="n">
        <f aca="false">(parametros_manuales!$D$41*(datos_base!$D$2+datos_base!$D$18+IF(parametros_manuales!$H$41="Todos",datos_base!$D$9+datos_base!$D$23,0))*parametros_manuales!$L$95+parametros_manuales!$E$41*(datos_base!$D$3+datos_base!$D$19+IF(parametros_manuales!$H$41="Todos",datos_base!$D$10+datos_base!$D$24,0))*parametros_manuales!$L$100+parametros_manuales!$F$41*(datos_base!$D$4+datos_base!$D$20+IF(parametros_manuales!$H$41="Todos",datos_base!$D$11+datos_base!$D$25,0))*parametros_manuales!$L$105+parametros_manuales!$G$41*(datos_base!$D$5+datos_base!$D$21+IF(parametros_manuales!$H$41="Todos",datos_base!$D$12+datos_base!$D$26,0))*parametros_manuales!$L$110)*parametros_manuales!$I$41*parametros_manuales!$J$41</f>
        <v>1193.192296776</v>
      </c>
      <c r="M78" s="9" t="n">
        <f aca="false">(parametros_manuales!$D$41*(datos_base!$D$2+datos_base!$D$18+IF(parametros_manuales!$H$41="Todos",datos_base!$D$9+datos_base!$D$23,0))*parametros_manuales!$M$95+parametros_manuales!$E$41*(datos_base!$D$3+datos_base!$D$19+IF(parametros_manuales!$H$41="Todos",datos_base!$D$10+datos_base!$D$24,0))*parametros_manuales!$M$100+parametros_manuales!$F$41*(datos_base!$D$4+datos_base!$D$20+IF(parametros_manuales!$H$41="Todos",datos_base!$D$11+datos_base!$D$25,0))*parametros_manuales!$M$105+parametros_manuales!$G$41*(datos_base!$D$5+datos_base!$D$21+IF(parametros_manuales!$H$41="Todos",datos_base!$D$12+datos_base!$D$26,0))*parametros_manuales!$M$110)*parametros_manuales!$I$41*parametros_manuales!$J$41</f>
        <v>1193.192296776</v>
      </c>
      <c r="N78" s="9" t="n">
        <f aca="false">SUM(B78:M78)</f>
        <v>13257.6921864</v>
      </c>
      <c r="O78" s="9" t="n">
        <f aca="false">MAX(B78:M78)</f>
        <v>1193.192296776</v>
      </c>
      <c r="P78" s="43" t="n">
        <f aca="false">O78/(parametros_manuales!$B$7)</f>
        <v>7.95461531184</v>
      </c>
      <c r="Q78" s="8" t="str">
        <f aca="false">IF(O78=0,"-",INDEX($B$55:$M$55,MATCH(O78,B78:M78,0)))</f>
        <v>Ene</v>
      </c>
    </row>
    <row r="79" customFormat="false" ht="14.25" hidden="false" customHeight="true" outlineLevel="0" collapsed="false">
      <c r="A79" s="8" t="str">
        <f aca="false">parametros_manuales!$B$42</f>
        <v>Etiquetado</v>
      </c>
      <c r="B79" s="9" t="n">
        <f aca="false">(parametros_manuales!$D$42*(datos_base!$D$2+datos_base!$D$18+IF(parametros_manuales!$H$42="Todos",datos_base!$D$9+datos_base!$D$23,0))*parametros_manuales!$B$95+parametros_manuales!$E$42*(datos_base!$D$3+datos_base!$D$19+IF(parametros_manuales!$H$42="Todos",datos_base!$D$10+datos_base!$D$24,0))*parametros_manuales!$B$100+parametros_manuales!$F$42*(datos_base!$D$4+datos_base!$D$20+IF(parametros_manuales!$H$42="Todos",datos_base!$D$11+datos_base!$D$25,0))*parametros_manuales!$B$105+parametros_manuales!$G$42*(datos_base!$D$5+datos_base!$D$21+IF(parametros_manuales!$H$42="Todos",datos_base!$D$12+datos_base!$D$26,0))*parametros_manuales!$B$110)*parametros_manuales!$I$42*parametros_manuales!$J$42</f>
        <v>1193.192296776</v>
      </c>
      <c r="C79" s="9" t="n">
        <f aca="false">(parametros_manuales!$D$42*(datos_base!$D$2+datos_base!$D$18+IF(parametros_manuales!$H$42="Todos",datos_base!$D$9+datos_base!$D$23,0))*parametros_manuales!$C$95+parametros_manuales!$E$42*(datos_base!$D$3+datos_base!$D$19+IF(parametros_manuales!$H$42="Todos",datos_base!$D$10+datos_base!$D$24,0))*parametros_manuales!$C$100+parametros_manuales!$F$42*(datos_base!$D$4+datos_base!$D$20+IF(parametros_manuales!$H$42="Todos",datos_base!$D$11+datos_base!$D$25,0))*parametros_manuales!$C$105+parametros_manuales!$G$42*(datos_base!$D$5+datos_base!$D$21+IF(parametros_manuales!$H$42="Todos",datos_base!$D$12+datos_base!$D$26,0))*parametros_manuales!$C$110)*parametros_manuales!$I$42*parametros_manuales!$J$42</f>
        <v>1129.132852492</v>
      </c>
      <c r="D79" s="9" t="n">
        <f aca="false">(parametros_manuales!$D$42*(datos_base!$D$2+datos_base!$D$18+IF(parametros_manuales!$H$42="Todos",datos_base!$D$9+datos_base!$D$23,0))*parametros_manuales!$D$95+parametros_manuales!$E$42*(datos_base!$D$3+datos_base!$D$19+IF(parametros_manuales!$H$42="Todos",datos_base!$D$10+datos_base!$D$24,0))*parametros_manuales!$D$100+parametros_manuales!$F$42*(datos_base!$D$4+datos_base!$D$20+IF(parametros_manuales!$H$42="Todos",datos_base!$D$11+datos_base!$D$25,0))*parametros_manuales!$D$105+parametros_manuales!$G$42*(datos_base!$D$5+datos_base!$D$21+IF(parametros_manuales!$H$42="Todos",datos_base!$D$12+datos_base!$D$26,0))*parametros_manuales!$D$110)*parametros_manuales!$I$42*parametros_manuales!$J$42</f>
        <v>1092.645097054</v>
      </c>
      <c r="E79" s="9" t="n">
        <f aca="false">(parametros_manuales!$D$42*(datos_base!$D$2+datos_base!$D$18+IF(parametros_manuales!$H$42="Todos",datos_base!$D$9+datos_base!$D$23,0))*parametros_manuales!$E$95+parametros_manuales!$E$42*(datos_base!$D$3+datos_base!$D$19+IF(parametros_manuales!$H$42="Todos",datos_base!$D$10+datos_base!$D$24,0))*parametros_manuales!$E$100+parametros_manuales!$F$42*(datos_base!$D$4+datos_base!$D$20+IF(parametros_manuales!$H$42="Todos",datos_base!$D$11+datos_base!$D$25,0))*parametros_manuales!$E$105+parametros_manuales!$G$42*(datos_base!$D$5+datos_base!$D$21+IF(parametros_manuales!$H$42="Todos",datos_base!$D$12+datos_base!$D$26,0))*parametros_manuales!$E$110)*parametros_manuales!$I$42*parametros_manuales!$J$42</f>
        <v>1058.386358264</v>
      </c>
      <c r="F79" s="9" t="n">
        <f aca="false">(parametros_manuales!$D$42*(datos_base!$D$2+datos_base!$D$18+IF(parametros_manuales!$H$42="Todos",datos_base!$D$9+datos_base!$D$23,0))*parametros_manuales!$F$95+parametros_manuales!$E$42*(datos_base!$D$3+datos_base!$D$19+IF(parametros_manuales!$H$42="Todos",datos_base!$D$10+datos_base!$D$24,0))*parametros_manuales!$F$100+parametros_manuales!$F$42*(datos_base!$D$4+datos_base!$D$20+IF(parametros_manuales!$H$42="Todos",datos_base!$D$11+datos_base!$D$25,0))*parametros_manuales!$F$105+parametros_manuales!$G$42*(datos_base!$D$5+datos_base!$D$21+IF(parametros_manuales!$H$42="Todos",datos_base!$D$12+datos_base!$D$26,0))*parametros_manuales!$F$110)*parametros_manuales!$I$42*parametros_manuales!$J$42</f>
        <v>992.097897332</v>
      </c>
      <c r="G79" s="9" t="n">
        <f aca="false">(parametros_manuales!$D$42*(datos_base!$D$2+datos_base!$D$18+IF(parametros_manuales!$H$42="Todos",datos_base!$D$9+datos_base!$D$23,0))*parametros_manuales!$G$95+parametros_manuales!$E$42*(datos_base!$D$3+datos_base!$D$19+IF(parametros_manuales!$H$42="Todos",datos_base!$D$10+datos_base!$D$24,0))*parametros_manuales!$G$100+parametros_manuales!$F$42*(datos_base!$D$4+datos_base!$D$20+IF(parametros_manuales!$H$42="Todos",datos_base!$D$11+datos_base!$D$25,0))*parametros_manuales!$G$105+parametros_manuales!$G$42*(datos_base!$D$5+datos_base!$D$21+IF(parametros_manuales!$H$42="Todos",datos_base!$D$12+datos_base!$D$26,0))*parametros_manuales!$G$110)*parametros_manuales!$I$42*parametros_manuales!$J$42</f>
        <v>960.06817519</v>
      </c>
      <c r="H79" s="9" t="n">
        <f aca="false">(parametros_manuales!$D$42*(datos_base!$D$2+datos_base!$D$18+IF(parametros_manuales!$H$42="Todos",datos_base!$D$9+datos_base!$D$23,0))*parametros_manuales!$H$95+parametros_manuales!$E$42*(datos_base!$D$3+datos_base!$D$19+IF(parametros_manuales!$H$42="Todos",datos_base!$D$10+datos_base!$D$24,0))*parametros_manuales!$H$100+parametros_manuales!$F$42*(datos_base!$D$4+datos_base!$D$20+IF(parametros_manuales!$H$42="Todos",datos_base!$D$11+datos_base!$D$25,0))*parametros_manuales!$H$105+parametros_manuales!$G$42*(datos_base!$D$5+datos_base!$D$21+IF(parametros_manuales!$H$42="Todos",datos_base!$D$12+datos_base!$D$26,0))*parametros_manuales!$H$110)*parametros_manuales!$I$42*parametros_manuales!$J$42</f>
        <v>1026.356636122</v>
      </c>
      <c r="I79" s="9" t="n">
        <f aca="false">(parametros_manuales!$D$42*(datos_base!$D$2+datos_base!$D$18+IF(parametros_manuales!$H$42="Todos",datos_base!$D$9+datos_base!$D$23,0))*parametros_manuales!$I$95+parametros_manuales!$E$42*(datos_base!$D$3+datos_base!$D$19+IF(parametros_manuales!$H$42="Todos",datos_base!$D$10+datos_base!$D$24,0))*parametros_manuales!$I$100+parametros_manuales!$F$42*(datos_base!$D$4+datos_base!$D$20+IF(parametros_manuales!$H$42="Todos",datos_base!$D$11+datos_base!$D$25,0))*parametros_manuales!$I$105+parametros_manuales!$G$42*(datos_base!$D$5+datos_base!$D$21+IF(parametros_manuales!$H$42="Todos",datos_base!$D$12+datos_base!$D$26,0))*parametros_manuales!$I$110)*parametros_manuales!$I$42*parametros_manuales!$J$42</f>
        <v>1129.132852492</v>
      </c>
      <c r="J79" s="9" t="n">
        <f aca="false">(parametros_manuales!$D$42*(datos_base!$D$2+datos_base!$D$18+IF(parametros_manuales!$H$42="Todos",datos_base!$D$9+datos_base!$D$23,0))*parametros_manuales!$J$95+parametros_manuales!$E$42*(datos_base!$D$3+datos_base!$D$19+IF(parametros_manuales!$H$42="Todos",datos_base!$D$10+datos_base!$D$24,0))*parametros_manuales!$J$100+parametros_manuales!$F$42*(datos_base!$D$4+datos_base!$D$20+IF(parametros_manuales!$H$42="Todos",datos_base!$D$11+datos_base!$D$25,0))*parametros_manuales!$J$105+parametros_manuales!$G$42*(datos_base!$D$5+datos_base!$D$21+IF(parametros_manuales!$H$42="Todos",datos_base!$D$12+datos_base!$D$26,0))*parametros_manuales!$J$110)*parametros_manuales!$I$42*parametros_manuales!$J$42</f>
        <v>1129.132852492</v>
      </c>
      <c r="K79" s="9" t="n">
        <f aca="false">(parametros_manuales!$D$42*(datos_base!$D$2+datos_base!$D$18+IF(parametros_manuales!$H$42="Todos",datos_base!$D$9+datos_base!$D$23,0))*parametros_manuales!$K$95+parametros_manuales!$E$42*(datos_base!$D$3+datos_base!$D$19+IF(parametros_manuales!$H$42="Todos",datos_base!$D$10+datos_base!$D$24,0))*parametros_manuales!$K$100+parametros_manuales!$F$42*(datos_base!$D$4+datos_base!$D$20+IF(parametros_manuales!$H$42="Todos",datos_base!$D$11+datos_base!$D$25,0))*parametros_manuales!$K$105+parametros_manuales!$G$42*(datos_base!$D$5+datos_base!$D$21+IF(parametros_manuales!$H$42="Todos",datos_base!$D$12+datos_base!$D$26,0))*parametros_manuales!$K$110)*parametros_manuales!$I$42*parametros_manuales!$J$42</f>
        <v>1161.162574634</v>
      </c>
      <c r="L79" s="9" t="n">
        <f aca="false">(parametros_manuales!$D$42*(datos_base!$D$2+datos_base!$D$18+IF(parametros_manuales!$H$42="Todos",datos_base!$D$9+datos_base!$D$23,0))*parametros_manuales!$L$95+parametros_manuales!$E$42*(datos_base!$D$3+datos_base!$D$19+IF(parametros_manuales!$H$42="Todos",datos_base!$D$10+datos_base!$D$24,0))*parametros_manuales!$L$100+parametros_manuales!$F$42*(datos_base!$D$4+datos_base!$D$20+IF(parametros_manuales!$H$42="Todos",datos_base!$D$11+datos_base!$D$25,0))*parametros_manuales!$L$105+parametros_manuales!$G$42*(datos_base!$D$5+datos_base!$D$21+IF(parametros_manuales!$H$42="Todos",datos_base!$D$12+datos_base!$D$26,0))*parametros_manuales!$L$110)*parametros_manuales!$I$42*parametros_manuales!$J$42</f>
        <v>1193.192296776</v>
      </c>
      <c r="M79" s="9" t="n">
        <f aca="false">(parametros_manuales!$D$42*(datos_base!$D$2+datos_base!$D$18+IF(parametros_manuales!$H$42="Todos",datos_base!$D$9+datos_base!$D$23,0))*parametros_manuales!$M$95+parametros_manuales!$E$42*(datos_base!$D$3+datos_base!$D$19+IF(parametros_manuales!$H$42="Todos",datos_base!$D$10+datos_base!$D$24,0))*parametros_manuales!$M$100+parametros_manuales!$F$42*(datos_base!$D$4+datos_base!$D$20+IF(parametros_manuales!$H$42="Todos",datos_base!$D$11+datos_base!$D$25,0))*parametros_manuales!$M$105+parametros_manuales!$G$42*(datos_base!$D$5+datos_base!$D$21+IF(parametros_manuales!$H$42="Todos",datos_base!$D$12+datos_base!$D$26,0))*parametros_manuales!$M$110)*parametros_manuales!$I$42*parametros_manuales!$J$42</f>
        <v>1193.192296776</v>
      </c>
      <c r="N79" s="9" t="n">
        <f aca="false">SUM(B79:M79)</f>
        <v>13257.6921864</v>
      </c>
      <c r="O79" s="9" t="n">
        <f aca="false">MAX(B79:M79)</f>
        <v>1193.192296776</v>
      </c>
      <c r="P79" s="43" t="n">
        <f aca="false">O79/(parametros_manuales!$B$7)</f>
        <v>7.95461531184</v>
      </c>
      <c r="Q79" s="8" t="str">
        <f aca="false">IF(O79=0,"-",INDEX($B$55:$M$55,MATCH(O79,B79:M79,0)))</f>
        <v>Ene</v>
      </c>
    </row>
    <row r="80" customFormat="false" ht="14.25" hidden="false" customHeight="true" outlineLevel="0" collapsed="false">
      <c r="A80" s="8" t="str">
        <f aca="false">parametros_manuales!$B$43</f>
        <v>Embalaje y paletizado</v>
      </c>
      <c r="B80" s="9" t="n">
        <f aca="false">(parametros_manuales!$D$43*(datos_base!$D$2+datos_base!$D$18+IF(parametros_manuales!$H$43="Todos",datos_base!$D$9+datos_base!$D$23,0))*parametros_manuales!$B$95+parametros_manuales!$E$43*(datos_base!$D$3+datos_base!$D$19+IF(parametros_manuales!$H$43="Todos",datos_base!$D$10+datos_base!$D$24,0))*parametros_manuales!$B$100+parametros_manuales!$F$43*(datos_base!$D$4+datos_base!$D$20+IF(parametros_manuales!$H$43="Todos",datos_base!$D$11+datos_base!$D$25,0))*parametros_manuales!$B$105+parametros_manuales!$G$43*(datos_base!$D$5+datos_base!$D$21+IF(parametros_manuales!$H$43="Todos",datos_base!$D$12+datos_base!$D$26,0))*parametros_manuales!$B$110)*parametros_manuales!$I$43*parametros_manuales!$J$43</f>
        <v>2062.873096776</v>
      </c>
      <c r="C80" s="9" t="n">
        <f aca="false">(parametros_manuales!$D$43*(datos_base!$D$2+datos_base!$D$18+IF(parametros_manuales!$H$43="Todos",datos_base!$D$9+datos_base!$D$23,0))*parametros_manuales!$C$95+parametros_manuales!$E$43*(datos_base!$D$3+datos_base!$D$19+IF(parametros_manuales!$H$43="Todos",datos_base!$D$10+datos_base!$D$24,0))*parametros_manuales!$C$100+parametros_manuales!$F$43*(datos_base!$D$4+datos_base!$D$20+IF(parametros_manuales!$H$43="Todos",datos_base!$D$11+datos_base!$D$25,0))*parametros_manuales!$C$105+parametros_manuales!$G$43*(datos_base!$D$5+datos_base!$D$21+IF(parametros_manuales!$H$43="Todos",datos_base!$D$12+datos_base!$D$26,0))*parametros_manuales!$C$110)*parametros_manuales!$I$43*parametros_manuales!$J$43</f>
        <v>1978.806452492</v>
      </c>
      <c r="D80" s="9" t="n">
        <f aca="false">(parametros_manuales!$D$43*(datos_base!$D$2+datos_base!$D$18+IF(parametros_manuales!$H$43="Todos",datos_base!$D$9+datos_base!$D$23,0))*parametros_manuales!$D$95+parametros_manuales!$E$43*(datos_base!$D$3+datos_base!$D$19+IF(parametros_manuales!$H$43="Todos",datos_base!$D$10+datos_base!$D$24,0))*parametros_manuales!$D$100+parametros_manuales!$F$43*(datos_base!$D$4+datos_base!$D$20+IF(parametros_manuales!$H$43="Todos",datos_base!$D$11+datos_base!$D$25,0))*parametros_manuales!$D$105+parametros_manuales!$G$43*(datos_base!$D$5+datos_base!$D$21+IF(parametros_manuales!$H$43="Todos",datos_base!$D$12+datos_base!$D$26,0))*parametros_manuales!$D$110)*parametros_manuales!$I$43*parametros_manuales!$J$43</f>
        <v>1875.698297054</v>
      </c>
      <c r="E80" s="9" t="n">
        <f aca="false">(parametros_manuales!$D$43*(datos_base!$D$2+datos_base!$D$18+IF(parametros_manuales!$H$43="Todos",datos_base!$D$9+datos_base!$D$23,0))*parametros_manuales!$E$95+parametros_manuales!$E$43*(datos_base!$D$3+datos_base!$D$19+IF(parametros_manuales!$H$43="Todos",datos_base!$D$10+datos_base!$D$24,0))*parametros_manuales!$E$100+parametros_manuales!$F$43*(datos_base!$D$4+datos_base!$D$20+IF(parametros_manuales!$H$43="Todos",datos_base!$D$11+datos_base!$D$25,0))*parametros_manuales!$E$105+parametros_manuales!$G$43*(datos_base!$D$5+datos_base!$D$21+IF(parametros_manuales!$H$43="Todos",datos_base!$D$12+datos_base!$D$26,0))*parametros_manuales!$E$110)*parametros_manuales!$I$43*parametros_manuales!$J$43</f>
        <v>1803.127558264</v>
      </c>
      <c r="F80" s="9" t="n">
        <f aca="false">(parametros_manuales!$D$43*(datos_base!$D$2+datos_base!$D$18+IF(parametros_manuales!$H$43="Todos",datos_base!$D$9+datos_base!$D$23,0))*parametros_manuales!$F$95+parametros_manuales!$E$43*(datos_base!$D$3+datos_base!$D$19+IF(parametros_manuales!$H$43="Todos",datos_base!$D$10+datos_base!$D$24,0))*parametros_manuales!$F$100+parametros_manuales!$F$43*(datos_base!$D$4+datos_base!$D$20+IF(parametros_manuales!$H$43="Todos",datos_base!$D$11+datos_base!$D$25,0))*parametros_manuales!$F$105+parametros_manuales!$G$43*(datos_base!$D$5+datos_base!$D$21+IF(parametros_manuales!$H$43="Todos",datos_base!$D$12+datos_base!$D$26,0))*parametros_manuales!$F$110)*parametros_manuales!$I$43*parametros_manuales!$J$43</f>
        <v>1688.523497332</v>
      </c>
      <c r="G80" s="9" t="n">
        <f aca="false">(parametros_manuales!$D$43*(datos_base!$D$2+datos_base!$D$18+IF(parametros_manuales!$H$43="Todos",datos_base!$D$9+datos_base!$D$23,0))*parametros_manuales!$G$95+parametros_manuales!$E$43*(datos_base!$D$3+datos_base!$D$19+IF(parametros_manuales!$H$43="Todos",datos_base!$D$10+datos_base!$D$24,0))*parametros_manuales!$G$100+parametros_manuales!$F$43*(datos_base!$D$4+datos_base!$D$20+IF(parametros_manuales!$H$43="Todos",datos_base!$D$11+datos_base!$D$25,0))*parametros_manuales!$G$105+parametros_manuales!$G$43*(datos_base!$D$5+datos_base!$D$21+IF(parametros_manuales!$H$43="Todos",datos_base!$D$12+datos_base!$D$26,0))*parametros_manuales!$G$110)*parametros_manuales!$I$43*parametros_manuales!$J$43</f>
        <v>1646.49017519</v>
      </c>
      <c r="H80" s="9" t="n">
        <f aca="false">(parametros_manuales!$D$43*(datos_base!$D$2+datos_base!$D$18+IF(parametros_manuales!$H$43="Todos",datos_base!$D$9+datos_base!$D$23,0))*parametros_manuales!$H$95+parametros_manuales!$E$43*(datos_base!$D$3+datos_base!$D$19+IF(parametros_manuales!$H$43="Todos",datos_base!$D$10+datos_base!$D$24,0))*parametros_manuales!$H$100+parametros_manuales!$F$43*(datos_base!$D$4+datos_base!$D$20+IF(parametros_manuales!$H$43="Todos",datos_base!$D$11+datos_base!$D$25,0))*parametros_manuales!$H$105+parametros_manuales!$G$43*(datos_base!$D$5+datos_base!$D$21+IF(parametros_manuales!$H$43="Todos",datos_base!$D$12+datos_base!$D$26,0))*parametros_manuales!$H$110)*parametros_manuales!$I$43*parametros_manuales!$J$43</f>
        <v>1761.094236122</v>
      </c>
      <c r="I80" s="9" t="n">
        <f aca="false">(parametros_manuales!$D$43*(datos_base!$D$2+datos_base!$D$18+IF(parametros_manuales!$H$43="Todos",datos_base!$D$9+datos_base!$D$23,0))*parametros_manuales!$I$95+parametros_manuales!$E$43*(datos_base!$D$3+datos_base!$D$19+IF(parametros_manuales!$H$43="Todos",datos_base!$D$10+datos_base!$D$24,0))*parametros_manuales!$I$100+parametros_manuales!$F$43*(datos_base!$D$4+datos_base!$D$20+IF(parametros_manuales!$H$43="Todos",datos_base!$D$11+datos_base!$D$25,0))*parametros_manuales!$I$105+parametros_manuales!$G$43*(datos_base!$D$5+datos_base!$D$21+IF(parametros_manuales!$H$43="Todos",datos_base!$D$12+datos_base!$D$26,0))*parametros_manuales!$I$110)*parametros_manuales!$I$43*parametros_manuales!$J$43</f>
        <v>1978.806452492</v>
      </c>
      <c r="J80" s="9" t="n">
        <f aca="false">(parametros_manuales!$D$43*(datos_base!$D$2+datos_base!$D$18+IF(parametros_manuales!$H$43="Todos",datos_base!$D$9+datos_base!$D$23,0))*parametros_manuales!$J$95+parametros_manuales!$E$43*(datos_base!$D$3+datos_base!$D$19+IF(parametros_manuales!$H$43="Todos",datos_base!$D$10+datos_base!$D$24,0))*parametros_manuales!$J$100+parametros_manuales!$F$43*(datos_base!$D$4+datos_base!$D$20+IF(parametros_manuales!$H$43="Todos",datos_base!$D$11+datos_base!$D$25,0))*parametros_manuales!$J$105+parametros_manuales!$G$43*(datos_base!$D$5+datos_base!$D$21+IF(parametros_manuales!$H$43="Todos",datos_base!$D$12+datos_base!$D$26,0))*parametros_manuales!$J$110)*parametros_manuales!$I$43*parametros_manuales!$J$43</f>
        <v>1978.806452492</v>
      </c>
      <c r="K80" s="9" t="n">
        <f aca="false">(parametros_manuales!$D$43*(datos_base!$D$2+datos_base!$D$18+IF(parametros_manuales!$H$43="Todos",datos_base!$D$9+datos_base!$D$23,0))*parametros_manuales!$K$95+parametros_manuales!$E$43*(datos_base!$D$3+datos_base!$D$19+IF(parametros_manuales!$H$43="Todos",datos_base!$D$10+datos_base!$D$24,0))*parametros_manuales!$K$100+parametros_manuales!$F$43*(datos_base!$D$4+datos_base!$D$20+IF(parametros_manuales!$H$43="Todos",datos_base!$D$11+datos_base!$D$25,0))*parametros_manuales!$K$105+parametros_manuales!$G$43*(datos_base!$D$5+datos_base!$D$21+IF(parametros_manuales!$H$43="Todos",datos_base!$D$12+datos_base!$D$26,0))*parametros_manuales!$K$110)*parametros_manuales!$I$43*parametros_manuales!$J$43</f>
        <v>2020.839774634</v>
      </c>
      <c r="L80" s="9" t="n">
        <f aca="false">(parametros_manuales!$D$43*(datos_base!$D$2+datos_base!$D$18+IF(parametros_manuales!$H$43="Todos",datos_base!$D$9+datos_base!$D$23,0))*parametros_manuales!$L$95+parametros_manuales!$E$43*(datos_base!$D$3+datos_base!$D$19+IF(parametros_manuales!$H$43="Todos",datos_base!$D$10+datos_base!$D$24,0))*parametros_manuales!$L$100+parametros_manuales!$F$43*(datos_base!$D$4+datos_base!$D$20+IF(parametros_manuales!$H$43="Todos",datos_base!$D$11+datos_base!$D$25,0))*parametros_manuales!$L$105+parametros_manuales!$G$43*(datos_base!$D$5+datos_base!$D$21+IF(parametros_manuales!$H$43="Todos",datos_base!$D$12+datos_base!$D$26,0))*parametros_manuales!$L$110)*parametros_manuales!$I$43*parametros_manuales!$J$43</f>
        <v>2062.873096776</v>
      </c>
      <c r="M80" s="9" t="n">
        <f aca="false">(parametros_manuales!$D$43*(datos_base!$D$2+datos_base!$D$18+IF(parametros_manuales!$H$43="Todos",datos_base!$D$9+datos_base!$D$23,0))*parametros_manuales!$M$95+parametros_manuales!$E$43*(datos_base!$D$3+datos_base!$D$19+IF(parametros_manuales!$H$43="Todos",datos_base!$D$10+datos_base!$D$24,0))*parametros_manuales!$M$100+parametros_manuales!$F$43*(datos_base!$D$4+datos_base!$D$20+IF(parametros_manuales!$H$43="Todos",datos_base!$D$11+datos_base!$D$25,0))*parametros_manuales!$M$105+parametros_manuales!$G$43*(datos_base!$D$5+datos_base!$D$21+IF(parametros_manuales!$H$43="Todos",datos_base!$D$12+datos_base!$D$26,0))*parametros_manuales!$M$110)*parametros_manuales!$I$43*parametros_manuales!$J$43</f>
        <v>2062.873096776</v>
      </c>
      <c r="N80" s="9" t="n">
        <f aca="false">SUM(B80:M80)</f>
        <v>22920.8121864</v>
      </c>
      <c r="O80" s="9" t="n">
        <f aca="false">MAX(B80:M80)</f>
        <v>2062.873096776</v>
      </c>
      <c r="P80" s="43" t="n">
        <f aca="false">O80/(parametros_manuales!$B$7)</f>
        <v>13.75248731184</v>
      </c>
      <c r="Q80" s="8" t="str">
        <f aca="false">IF(O80=0,"-",INDEX($B$55:$M$55,MATCH(O80,B80:M80,0)))</f>
        <v>Ene</v>
      </c>
    </row>
    <row r="81" customFormat="false" ht="14.25" hidden="false" customHeight="true" outlineLevel="0" collapsed="false"/>
    <row r="82" customFormat="false" ht="14.25" hidden="false" customHeight="true" outlineLevel="0" collapsed="false">
      <c r="A82" s="7" t="s">
        <v>193</v>
      </c>
      <c r="B82" s="7" t="s">
        <v>61</v>
      </c>
      <c r="C82" s="7" t="s">
        <v>62</v>
      </c>
      <c r="D82" s="7" t="s">
        <v>63</v>
      </c>
      <c r="E82" s="7" t="s">
        <v>64</v>
      </c>
      <c r="F82" s="7" t="s">
        <v>65</v>
      </c>
      <c r="G82" s="7" t="s">
        <v>66</v>
      </c>
      <c r="H82" s="7" t="s">
        <v>67</v>
      </c>
      <c r="I82" s="7" t="s">
        <v>68</v>
      </c>
      <c r="J82" s="7" t="s">
        <v>69</v>
      </c>
      <c r="K82" s="7" t="s">
        <v>70</v>
      </c>
      <c r="L82" s="7" t="s">
        <v>71</v>
      </c>
      <c r="M82" s="7" t="s">
        <v>72</v>
      </c>
      <c r="N82" s="7" t="s">
        <v>183</v>
      </c>
      <c r="O82" s="7" t="s">
        <v>188</v>
      </c>
      <c r="P82" s="7" t="s">
        <v>189</v>
      </c>
      <c r="Q82" s="7" t="s">
        <v>190</v>
      </c>
    </row>
    <row r="83" customFormat="false" ht="14.25" hidden="false" customHeight="true" outlineLevel="0" collapsed="false">
      <c r="A83" s="8" t="str">
        <f aca="false">parametros_manuales!$B$19</f>
        <v>Recepción de materia prima</v>
      </c>
      <c r="B83" s="9" t="n">
        <f aca="false">(parametros_manuales!$D$19*(datos_base!$E$2+datos_base!$E$18+IF(parametros_manuales!$H$19="Todos",datos_base!$E$9+datos_base!$E$23,0))*parametros_manuales!$B$95+parametros_manuales!$E$19*(datos_base!$E$3+datos_base!$E$19+IF(parametros_manuales!$H$19="Todos",datos_base!$E$10+datos_base!$E$24,0))*parametros_manuales!$B$100+parametros_manuales!$F$19*(datos_base!$E$4+datos_base!$E$20+IF(parametros_manuales!$H$19="Todos",datos_base!$E$11+datos_base!$E$25,0))*parametros_manuales!$B$105+parametros_manuales!$G$19*(datos_base!$E$5+datos_base!$E$21+IF(parametros_manuales!$H$19="Todos",datos_base!$E$12+datos_base!$E$26,0))*parametros_manuales!$B$110)*parametros_manuales!$I$19*parametros_manuales!$J$19</f>
        <v>4562.041457709</v>
      </c>
      <c r="C83" s="9" t="n">
        <f aca="false">(parametros_manuales!$D$19*(datos_base!$E$2+datos_base!$E$18+IF(parametros_manuales!$H$19="Todos",datos_base!$E$9+datos_base!$E$23,0))*parametros_manuales!$C$95+parametros_manuales!$E$19*(datos_base!$E$3+datos_base!$E$19+IF(parametros_manuales!$H$19="Todos",datos_base!$E$10+datos_base!$E$24,0))*parametros_manuales!$C$100+parametros_manuales!$F$19*(datos_base!$E$4+datos_base!$E$20+IF(parametros_manuales!$H$19="Todos",datos_base!$E$11+datos_base!$E$25,0))*parametros_manuales!$C$105+parametros_manuales!$G$19*(datos_base!$E$5+datos_base!$E$21+IF(parametros_manuales!$H$19="Todos",datos_base!$E$12+datos_base!$E$26,0))*parametros_manuales!$C$110)*parametros_manuales!$I$19*parametros_manuales!$J$19</f>
        <v>4406.767317898</v>
      </c>
      <c r="D83" s="9" t="n">
        <f aca="false">(parametros_manuales!$D$19*(datos_base!$E$2+datos_base!$E$18+IF(parametros_manuales!$H$19="Todos",datos_base!$E$9+datos_base!$E$23,0))*parametros_manuales!$D$95+parametros_manuales!$E$19*(datos_base!$E$3+datos_base!$E$19+IF(parametros_manuales!$H$19="Todos",datos_base!$E$10+datos_base!$E$24,0))*parametros_manuales!$D$100+parametros_manuales!$F$19*(datos_base!$E$4+datos_base!$E$20+IF(parametros_manuales!$H$19="Todos",datos_base!$E$11+datos_base!$E$25,0))*parametros_manuales!$D$105+parametros_manuales!$G$19*(datos_base!$E$5+datos_base!$E$21+IF(parametros_manuales!$H$19="Todos",datos_base!$E$12+datos_base!$E$26,0))*parametros_manuales!$D$110)*parametros_manuales!$I$19*parametros_manuales!$J$19</f>
        <v>4132.7850323135</v>
      </c>
      <c r="E83" s="9" t="n">
        <f aca="false">(parametros_manuales!$D$19*(datos_base!$E$2+datos_base!$E$18+IF(parametros_manuales!$H$19="Todos",datos_base!$E$9+datos_base!$E$23,0))*parametros_manuales!$E$95+parametros_manuales!$E$19*(datos_base!$E$3+datos_base!$E$19+IF(parametros_manuales!$H$19="Todos",datos_base!$E$10+datos_base!$E$24,0))*parametros_manuales!$E$100+parametros_manuales!$F$19*(datos_base!$E$4+datos_base!$E$20+IF(parametros_manuales!$H$19="Todos",datos_base!$E$11+datos_base!$E$25,0))*parametros_manuales!$E$105+parametros_manuales!$G$19*(datos_base!$E$5+datos_base!$E$21+IF(parametros_manuales!$H$19="Todos",datos_base!$E$12+datos_base!$E$26,0))*parametros_manuales!$E$110)*parametros_manuales!$I$19*parametros_manuales!$J$19</f>
        <v>3956.9753545685</v>
      </c>
      <c r="F83" s="9" t="n">
        <f aca="false">(parametros_manuales!$D$19*(datos_base!$E$2+datos_base!$E$18+IF(parametros_manuales!$H$19="Todos",datos_base!$E$9+datos_base!$E$23,0))*parametros_manuales!$F$95+parametros_manuales!$E$19*(datos_base!$E$3+datos_base!$E$19+IF(parametros_manuales!$H$19="Todos",datos_base!$E$10+datos_base!$E$24,0))*parametros_manuales!$F$100+parametros_manuales!$F$19*(datos_base!$E$4+datos_base!$E$20+IF(parametros_manuales!$H$19="Todos",datos_base!$E$11+datos_base!$E$25,0))*parametros_manuales!$F$105+parametros_manuales!$G$19*(datos_base!$E$5+datos_base!$E$21+IF(parametros_manuales!$H$19="Todos",datos_base!$E$12+datos_base!$E$26,0))*parametros_manuales!$F$110)*parametros_manuales!$I$19*parametros_manuales!$J$19</f>
        <v>3703.528606918</v>
      </c>
      <c r="G83" s="9" t="n">
        <f aca="false">(parametros_manuales!$D$19*(datos_base!$E$2+datos_base!$E$18+IF(parametros_manuales!$H$19="Todos",datos_base!$E$9+datos_base!$E$23,0))*parametros_manuales!$G$95+parametros_manuales!$E$19*(datos_base!$E$3+datos_base!$E$19+IF(parametros_manuales!$H$19="Todos",datos_base!$E$10+datos_base!$E$24,0))*parametros_manuales!$G$100+parametros_manuales!$F$19*(datos_base!$E$4+datos_base!$E$20+IF(parametros_manuales!$H$19="Todos",datos_base!$E$11+datos_base!$E$25,0))*parametros_manuales!$G$105+parametros_manuales!$G$19*(datos_base!$E$5+datos_base!$E$21+IF(parametros_manuales!$H$19="Todos",datos_base!$E$12+datos_base!$E$26,0))*parametros_manuales!$G$110)*parametros_manuales!$I$19*parametros_manuales!$J$19</f>
        <v>3625.8915370125</v>
      </c>
      <c r="H83" s="9" t="n">
        <f aca="false">(parametros_manuales!$D$19*(datos_base!$E$2+datos_base!$E$18+IF(parametros_manuales!$H$19="Todos",datos_base!$E$9+datos_base!$E$23,0))*parametros_manuales!$H$95+parametros_manuales!$E$19*(datos_base!$E$3+datos_base!$E$19+IF(parametros_manuales!$H$19="Todos",datos_base!$E$10+datos_base!$E$24,0))*parametros_manuales!$H$100+parametros_manuales!$F$19*(datos_base!$E$4+datos_base!$E$20+IF(parametros_manuales!$H$19="Todos",datos_base!$E$11+datos_base!$E$25,0))*parametros_manuales!$H$105+parametros_manuales!$G$19*(datos_base!$E$5+datos_base!$E$21+IF(parametros_manuales!$H$19="Todos",datos_base!$E$12+datos_base!$E$26,0))*parametros_manuales!$H$110)*parametros_manuales!$I$19*parametros_manuales!$J$19</f>
        <v>3879.338284663</v>
      </c>
      <c r="I83" s="9" t="n">
        <f aca="false">(parametros_manuales!$D$19*(datos_base!$E$2+datos_base!$E$18+IF(parametros_manuales!$H$19="Todos",datos_base!$E$9+datos_base!$E$23,0))*parametros_manuales!$I$95+parametros_manuales!$E$19*(datos_base!$E$3+datos_base!$E$19+IF(parametros_manuales!$H$19="Todos",datos_base!$E$10+datos_base!$E$24,0))*parametros_manuales!$I$100+parametros_manuales!$F$19*(datos_base!$E$4+datos_base!$E$20+IF(parametros_manuales!$H$19="Todos",datos_base!$E$11+datos_base!$E$25,0))*parametros_manuales!$I$105+parametros_manuales!$G$19*(datos_base!$E$5+datos_base!$E$21+IF(parametros_manuales!$H$19="Todos",datos_base!$E$12+datos_base!$E$26,0))*parametros_manuales!$I$110)*parametros_manuales!$I$19*parametros_manuales!$J$19</f>
        <v>4406.767317898</v>
      </c>
      <c r="J83" s="9" t="n">
        <f aca="false">(parametros_manuales!$D$19*(datos_base!$E$2+datos_base!$E$18+IF(parametros_manuales!$H$19="Todos",datos_base!$E$9+datos_base!$E$23,0))*parametros_manuales!$J$95+parametros_manuales!$E$19*(datos_base!$E$3+datos_base!$E$19+IF(parametros_manuales!$H$19="Todos",datos_base!$E$10+datos_base!$E$24,0))*parametros_manuales!$J$100+parametros_manuales!$F$19*(datos_base!$E$4+datos_base!$E$20+IF(parametros_manuales!$H$19="Todos",datos_base!$E$11+datos_base!$E$25,0))*parametros_manuales!$J$105+parametros_manuales!$G$19*(datos_base!$E$5+datos_base!$E$21+IF(parametros_manuales!$H$19="Todos",datos_base!$E$12+datos_base!$E$26,0))*parametros_manuales!$J$110)*parametros_manuales!$I$19*parametros_manuales!$J$19</f>
        <v>4406.767317898</v>
      </c>
      <c r="K83" s="9" t="n">
        <f aca="false">(parametros_manuales!$D$19*(datos_base!$E$2+datos_base!$E$18+IF(parametros_manuales!$H$19="Todos",datos_base!$E$9+datos_base!$E$23,0))*parametros_manuales!$K$95+parametros_manuales!$E$19*(datos_base!$E$3+datos_base!$E$19+IF(parametros_manuales!$H$19="Todos",datos_base!$E$10+datos_base!$E$24,0))*parametros_manuales!$K$100+parametros_manuales!$F$19*(datos_base!$E$4+datos_base!$E$20+IF(parametros_manuales!$H$19="Todos",datos_base!$E$11+datos_base!$E$25,0))*parametros_manuales!$K$105+parametros_manuales!$G$19*(datos_base!$E$5+datos_base!$E$21+IF(parametros_manuales!$H$19="Todos",datos_base!$E$12+datos_base!$E$26,0))*parametros_manuales!$K$110)*parametros_manuales!$I$19*parametros_manuales!$J$19</f>
        <v>4484.4043878035</v>
      </c>
      <c r="L83" s="9" t="n">
        <f aca="false">(parametros_manuales!$D$19*(datos_base!$E$2+datos_base!$E$18+IF(parametros_manuales!$H$19="Todos",datos_base!$E$9+datos_base!$E$23,0))*parametros_manuales!$L$95+parametros_manuales!$E$19*(datos_base!$E$3+datos_base!$E$19+IF(parametros_manuales!$H$19="Todos",datos_base!$E$10+datos_base!$E$24,0))*parametros_manuales!$L$100+parametros_manuales!$F$19*(datos_base!$E$4+datos_base!$E$20+IF(parametros_manuales!$H$19="Todos",datos_base!$E$11+datos_base!$E$25,0))*parametros_manuales!$L$105+parametros_manuales!$G$19*(datos_base!$E$5+datos_base!$E$21+IF(parametros_manuales!$H$19="Todos",datos_base!$E$12+datos_base!$E$26,0))*parametros_manuales!$L$110)*parametros_manuales!$I$19*parametros_manuales!$J$19</f>
        <v>4562.041457709</v>
      </c>
      <c r="M83" s="9" t="n">
        <f aca="false">(parametros_manuales!$D$19*(datos_base!$E$2+datos_base!$E$18+IF(parametros_manuales!$H$19="Todos",datos_base!$E$9+datos_base!$E$23,0))*parametros_manuales!$M$95+parametros_manuales!$E$19*(datos_base!$E$3+datos_base!$E$19+IF(parametros_manuales!$H$19="Todos",datos_base!$E$10+datos_base!$E$24,0))*parametros_manuales!$M$100+parametros_manuales!$F$19*(datos_base!$E$4+datos_base!$E$20+IF(parametros_manuales!$H$19="Todos",datos_base!$E$11+datos_base!$E$25,0))*parametros_manuales!$M$105+parametros_manuales!$G$19*(datos_base!$E$5+datos_base!$E$21+IF(parametros_manuales!$H$19="Todos",datos_base!$E$12+datos_base!$E$26,0))*parametros_manuales!$M$110)*parametros_manuales!$I$19*parametros_manuales!$J$19</f>
        <v>4562.041457709</v>
      </c>
      <c r="N83" s="9" t="n">
        <f aca="false">SUM(B83:M83)</f>
        <v>50689.3495301</v>
      </c>
      <c r="O83" s="9" t="n">
        <f aca="false">MAX(B83:M83)</f>
        <v>4562.041457709</v>
      </c>
      <c r="P83" s="43" t="n">
        <f aca="false">O83/(parametros_manuales!$B$7)</f>
        <v>30.41360971806</v>
      </c>
      <c r="Q83" s="8" t="str">
        <f aca="false">IF(O83=0,"-",INDEX($B$82:$M$82,MATCH(O83,B83:M83,0)))</f>
        <v>Ene</v>
      </c>
    </row>
    <row r="84" customFormat="false" ht="14.25" hidden="false" customHeight="true" outlineLevel="0" collapsed="false">
      <c r="A84" s="8" t="str">
        <f aca="false">parametros_manuales!$B$20</f>
        <v>Corte de chapa (guillotina) — 2,5 a 10 kg</v>
      </c>
      <c r="B84" s="9" t="n">
        <f aca="false">(parametros_manuales!$D$20*(datos_base!$E$2+datos_base!$E$18+IF(parametros_manuales!$H$20="Todos",datos_base!$E$9+datos_base!$E$23,0))*parametros_manuales!$B$95+parametros_manuales!$E$20*(datos_base!$E$3+datos_base!$E$19+IF(parametros_manuales!$H$20="Todos",datos_base!$E$10+datos_base!$E$24,0))*parametros_manuales!$B$100+parametros_manuales!$F$20*(datos_base!$E$4+datos_base!$E$20+IF(parametros_manuales!$H$20="Todos",datos_base!$E$11+datos_base!$E$25,0))*parametros_manuales!$B$105+parametros_manuales!$G$20*(datos_base!$E$5+datos_base!$E$21+IF(parametros_manuales!$H$20="Todos",datos_base!$E$12+datos_base!$E$26,0))*parametros_manuales!$B$110)*parametros_manuales!$I$20*parametros_manuales!$J$20</f>
        <v>1397.467258299</v>
      </c>
      <c r="C84" s="9" t="n">
        <f aca="false">(parametros_manuales!$D$20*(datos_base!$E$2+datos_base!$E$18+IF(parametros_manuales!$H$20="Todos",datos_base!$E$9+datos_base!$E$23,0))*parametros_manuales!$C$95+parametros_manuales!$E$20*(datos_base!$E$3+datos_base!$E$19+IF(parametros_manuales!$H$20="Todos",datos_base!$E$10+datos_base!$E$24,0))*parametros_manuales!$C$100+parametros_manuales!$F$20*(datos_base!$E$4+datos_base!$E$20+IF(parametros_manuales!$H$20="Todos",datos_base!$E$11+datos_base!$E$25,0))*parametros_manuales!$C$105+parametros_manuales!$G$20*(datos_base!$E$5+datos_base!$E$21+IF(parametros_manuales!$H$20="Todos",datos_base!$E$12+datos_base!$E$26,0))*parametros_manuales!$C$110)*parametros_manuales!$I$20*parametros_manuales!$J$20</f>
        <v>1242.193118488</v>
      </c>
      <c r="D84" s="9" t="n">
        <f aca="false">(parametros_manuales!$D$20*(datos_base!$E$2+datos_base!$E$18+IF(parametros_manuales!$H$20="Todos",datos_base!$E$9+datos_base!$E$23,0))*parametros_manuales!$D$95+parametros_manuales!$E$20*(datos_base!$E$3+datos_base!$E$19+IF(parametros_manuales!$H$20="Todos",datos_base!$E$10+datos_base!$E$24,0))*parametros_manuales!$D$100+parametros_manuales!$F$20*(datos_base!$E$4+datos_base!$E$20+IF(parametros_manuales!$H$20="Todos",datos_base!$E$11+datos_base!$E$25,0))*parametros_manuales!$D$105+parametros_manuales!$G$20*(datos_base!$E$5+datos_base!$E$21+IF(parametros_manuales!$H$20="Todos",datos_base!$E$12+datos_base!$E$26,0))*parametros_manuales!$D$110)*parametros_manuales!$I$20*parametros_manuales!$J$20</f>
        <v>1319.8301883935</v>
      </c>
      <c r="E84" s="9" t="n">
        <f aca="false">(parametros_manuales!$D$20*(datos_base!$E$2+datos_base!$E$18+IF(parametros_manuales!$H$20="Todos",datos_base!$E$9+datos_base!$E$23,0))*parametros_manuales!$E$95+parametros_manuales!$E$20*(datos_base!$E$3+datos_base!$E$19+IF(parametros_manuales!$H$20="Todos",datos_base!$E$10+datos_base!$E$24,0))*parametros_manuales!$E$100+parametros_manuales!$F$20*(datos_base!$E$4+datos_base!$E$20+IF(parametros_manuales!$H$20="Todos",datos_base!$E$11+datos_base!$E$25,0))*parametros_manuales!$E$105+parametros_manuales!$G$20*(datos_base!$E$5+datos_base!$E$21+IF(parametros_manuales!$H$20="Todos",datos_base!$E$12+datos_base!$E$26,0))*parametros_manuales!$E$110)*parametros_manuales!$I$20*parametros_manuales!$J$20</f>
        <v>1319.8301883935</v>
      </c>
      <c r="F84" s="9" t="n">
        <f aca="false">(parametros_manuales!$D$20*(datos_base!$E$2+datos_base!$E$18+IF(parametros_manuales!$H$20="Todos",datos_base!$E$9+datos_base!$E$23,0))*parametros_manuales!$F$95+parametros_manuales!$E$20*(datos_base!$E$3+datos_base!$E$19+IF(parametros_manuales!$H$20="Todos",datos_base!$E$10+datos_base!$E$24,0))*parametros_manuales!$F$100+parametros_manuales!$F$20*(datos_base!$E$4+datos_base!$E$20+IF(parametros_manuales!$H$20="Todos",datos_base!$E$11+datos_base!$E$25,0))*parametros_manuales!$F$105+parametros_manuales!$G$20*(datos_base!$E$5+datos_base!$E$21+IF(parametros_manuales!$H$20="Todos",datos_base!$E$12+datos_base!$E$26,0))*parametros_manuales!$F$110)*parametros_manuales!$I$20*parametros_manuales!$J$20</f>
        <v>1242.193118488</v>
      </c>
      <c r="G84" s="9" t="n">
        <f aca="false">(parametros_manuales!$D$20*(datos_base!$E$2+datos_base!$E$18+IF(parametros_manuales!$H$20="Todos",datos_base!$E$9+datos_base!$E$23,0))*parametros_manuales!$G$95+parametros_manuales!$E$20*(datos_base!$E$3+datos_base!$E$19+IF(parametros_manuales!$H$20="Todos",datos_base!$E$10+datos_base!$E$24,0))*parametros_manuales!$G$100+parametros_manuales!$F$20*(datos_base!$E$4+datos_base!$E$20+IF(parametros_manuales!$H$20="Todos",datos_base!$E$11+datos_base!$E$25,0))*parametros_manuales!$G$105+parametros_manuales!$G$20*(datos_base!$E$5+datos_base!$E$21+IF(parametros_manuales!$H$20="Todos",datos_base!$E$12+datos_base!$E$26,0))*parametros_manuales!$G$110)*parametros_manuales!$I$20*parametros_manuales!$J$20</f>
        <v>1164.5560485825</v>
      </c>
      <c r="H84" s="9" t="n">
        <f aca="false">(parametros_manuales!$D$20*(datos_base!$E$2+datos_base!$E$18+IF(parametros_manuales!$H$20="Todos",datos_base!$E$9+datos_base!$E$23,0))*parametros_manuales!$H$95+parametros_manuales!$E$20*(datos_base!$E$3+datos_base!$E$19+IF(parametros_manuales!$H$20="Todos",datos_base!$E$10+datos_base!$E$24,0))*parametros_manuales!$H$100+parametros_manuales!$F$20*(datos_base!$E$4+datos_base!$E$20+IF(parametros_manuales!$H$20="Todos",datos_base!$E$11+datos_base!$E$25,0))*parametros_manuales!$H$105+parametros_manuales!$G$20*(datos_base!$E$5+datos_base!$E$21+IF(parametros_manuales!$H$20="Todos",datos_base!$E$12+datos_base!$E$26,0))*parametros_manuales!$H$110)*parametros_manuales!$I$20*parametros_manuales!$J$20</f>
        <v>1242.193118488</v>
      </c>
      <c r="I84" s="9" t="n">
        <f aca="false">(parametros_manuales!$D$20*(datos_base!$E$2+datos_base!$E$18+IF(parametros_manuales!$H$20="Todos",datos_base!$E$9+datos_base!$E$23,0))*parametros_manuales!$I$95+parametros_manuales!$E$20*(datos_base!$E$3+datos_base!$E$19+IF(parametros_manuales!$H$20="Todos",datos_base!$E$10+datos_base!$E$24,0))*parametros_manuales!$I$100+parametros_manuales!$F$20*(datos_base!$E$4+datos_base!$E$20+IF(parametros_manuales!$H$20="Todos",datos_base!$E$11+datos_base!$E$25,0))*parametros_manuales!$I$105+parametros_manuales!$G$20*(datos_base!$E$5+datos_base!$E$21+IF(parametros_manuales!$H$20="Todos",datos_base!$E$12+datos_base!$E$26,0))*parametros_manuales!$I$110)*parametros_manuales!$I$20*parametros_manuales!$J$20</f>
        <v>1242.193118488</v>
      </c>
      <c r="J84" s="9" t="n">
        <f aca="false">(parametros_manuales!$D$20*(datos_base!$E$2+datos_base!$E$18+IF(parametros_manuales!$H$20="Todos",datos_base!$E$9+datos_base!$E$23,0))*parametros_manuales!$J$95+parametros_manuales!$E$20*(datos_base!$E$3+datos_base!$E$19+IF(parametros_manuales!$H$20="Todos",datos_base!$E$10+datos_base!$E$24,0))*parametros_manuales!$J$100+parametros_manuales!$F$20*(datos_base!$E$4+datos_base!$E$20+IF(parametros_manuales!$H$20="Todos",datos_base!$E$11+datos_base!$E$25,0))*parametros_manuales!$J$105+parametros_manuales!$G$20*(datos_base!$E$5+datos_base!$E$21+IF(parametros_manuales!$H$20="Todos",datos_base!$E$12+datos_base!$E$26,0))*parametros_manuales!$J$110)*parametros_manuales!$I$20*parametros_manuales!$J$20</f>
        <v>1242.193118488</v>
      </c>
      <c r="K84" s="9" t="n">
        <f aca="false">(parametros_manuales!$D$20*(datos_base!$E$2+datos_base!$E$18+IF(parametros_manuales!$H$20="Todos",datos_base!$E$9+datos_base!$E$23,0))*parametros_manuales!$K$95+parametros_manuales!$E$20*(datos_base!$E$3+datos_base!$E$19+IF(parametros_manuales!$H$20="Todos",datos_base!$E$10+datos_base!$E$24,0))*parametros_manuales!$K$100+parametros_manuales!$F$20*(datos_base!$E$4+datos_base!$E$20+IF(parametros_manuales!$H$20="Todos",datos_base!$E$11+datos_base!$E$25,0))*parametros_manuales!$K$105+parametros_manuales!$G$20*(datos_base!$E$5+datos_base!$E$21+IF(parametros_manuales!$H$20="Todos",datos_base!$E$12+datos_base!$E$26,0))*parametros_manuales!$K$110)*parametros_manuales!$I$20*parametros_manuales!$J$20</f>
        <v>1319.8301883935</v>
      </c>
      <c r="L84" s="9" t="n">
        <f aca="false">(parametros_manuales!$D$20*(datos_base!$E$2+datos_base!$E$18+IF(parametros_manuales!$H$20="Todos",datos_base!$E$9+datos_base!$E$23,0))*parametros_manuales!$L$95+parametros_manuales!$E$20*(datos_base!$E$3+datos_base!$E$19+IF(parametros_manuales!$H$20="Todos",datos_base!$E$10+datos_base!$E$24,0))*parametros_manuales!$L$100+parametros_manuales!$F$20*(datos_base!$E$4+datos_base!$E$20+IF(parametros_manuales!$H$20="Todos",datos_base!$E$11+datos_base!$E$25,0))*parametros_manuales!$L$105+parametros_manuales!$G$20*(datos_base!$E$5+datos_base!$E$21+IF(parametros_manuales!$H$20="Todos",datos_base!$E$12+datos_base!$E$26,0))*parametros_manuales!$L$110)*parametros_manuales!$I$20*parametros_manuales!$J$20</f>
        <v>1397.467258299</v>
      </c>
      <c r="M84" s="9" t="n">
        <f aca="false">(parametros_manuales!$D$20*(datos_base!$E$2+datos_base!$E$18+IF(parametros_manuales!$H$20="Todos",datos_base!$E$9+datos_base!$E$23,0))*parametros_manuales!$M$95+parametros_manuales!$E$20*(datos_base!$E$3+datos_base!$E$19+IF(parametros_manuales!$H$20="Todos",datos_base!$E$10+datos_base!$E$24,0))*parametros_manuales!$M$100+parametros_manuales!$F$20*(datos_base!$E$4+datos_base!$E$20+IF(parametros_manuales!$H$20="Todos",datos_base!$E$11+datos_base!$E$25,0))*parametros_manuales!$M$105+parametros_manuales!$G$20*(datos_base!$E$5+datos_base!$E$21+IF(parametros_manuales!$H$20="Todos",datos_base!$E$12+datos_base!$E$26,0))*parametros_manuales!$M$110)*parametros_manuales!$I$20*parametros_manuales!$J$20</f>
        <v>1397.467258299</v>
      </c>
      <c r="N84" s="9" t="n">
        <f aca="false">SUM(B84:M84)</f>
        <v>15527.4139811</v>
      </c>
      <c r="O84" s="9" t="n">
        <f aca="false">MAX(B84:M84)</f>
        <v>1397.467258299</v>
      </c>
      <c r="P84" s="43" t="n">
        <f aca="false">O84/(parametros_manuales!$B$7)</f>
        <v>9.31644838866</v>
      </c>
      <c r="Q84" s="8" t="str">
        <f aca="false">IF(O84=0,"-",INDEX($B$82:$M$82,MATCH(O84,B84:M84,0)))</f>
        <v>Ene</v>
      </c>
    </row>
    <row r="85" customFormat="false" ht="14.25" hidden="false" customHeight="true" outlineLevel="0" collapsed="false">
      <c r="A85" s="8" t="str">
        <f aca="false">parametros_manuales!$B$21</f>
        <v>Corte de tubo — 1 kg</v>
      </c>
      <c r="B85" s="9" t="n">
        <f aca="false">(parametros_manuales!$D$21*(datos_base!$E$2+datos_base!$E$18+IF(parametros_manuales!$H$21="Todos",datos_base!$E$9+datos_base!$E$23,0))*parametros_manuales!$B$95+parametros_manuales!$E$21*(datos_base!$E$3+datos_base!$E$19+IF(parametros_manuales!$H$21="Todos",datos_base!$E$10+datos_base!$E$24,0))*parametros_manuales!$B$100+parametros_manuales!$F$21*(datos_base!$E$4+datos_base!$E$20+IF(parametros_manuales!$H$21="Todos",datos_base!$E$11+datos_base!$E$25,0))*parametros_manuales!$B$105+parametros_manuales!$G$21*(datos_base!$E$5+datos_base!$E$21+IF(parametros_manuales!$H$21="Todos",datos_base!$E$12+datos_base!$E$26,0))*parametros_manuales!$B$110)*parametros_manuales!$I$21*parametros_manuales!$J$21</f>
        <v>3164.57419941</v>
      </c>
      <c r="C85" s="9" t="n">
        <f aca="false">(parametros_manuales!$D$21*(datos_base!$E$2+datos_base!$E$18+IF(parametros_manuales!$H$21="Todos",datos_base!$E$9+datos_base!$E$23,0))*parametros_manuales!$C$95+parametros_manuales!$E$21*(datos_base!$E$3+datos_base!$E$19+IF(parametros_manuales!$H$21="Todos",datos_base!$E$10+datos_base!$E$24,0))*parametros_manuales!$C$100+parametros_manuales!$F$21*(datos_base!$E$4+datos_base!$E$20+IF(parametros_manuales!$H$21="Todos",datos_base!$E$11+datos_base!$E$25,0))*parametros_manuales!$C$105+parametros_manuales!$G$21*(datos_base!$E$5+datos_base!$E$21+IF(parametros_manuales!$H$21="Todos",datos_base!$E$12+datos_base!$E$26,0))*parametros_manuales!$C$110)*parametros_manuales!$I$21*parametros_manuales!$J$21</f>
        <v>3164.57419941</v>
      </c>
      <c r="D85" s="9" t="n">
        <f aca="false">(parametros_manuales!$D$21*(datos_base!$E$2+datos_base!$E$18+IF(parametros_manuales!$H$21="Todos",datos_base!$E$9+datos_base!$E$23,0))*parametros_manuales!$D$95+parametros_manuales!$E$21*(datos_base!$E$3+datos_base!$E$19+IF(parametros_manuales!$H$21="Todos",datos_base!$E$10+datos_base!$E$24,0))*parametros_manuales!$D$100+parametros_manuales!$F$21*(datos_base!$E$4+datos_base!$E$20+IF(parametros_manuales!$H$21="Todos",datos_base!$E$11+datos_base!$E$25,0))*parametros_manuales!$D$105+parametros_manuales!$G$21*(datos_base!$E$5+datos_base!$E$21+IF(parametros_manuales!$H$21="Todos",datos_base!$E$12+datos_base!$E$26,0))*parametros_manuales!$D$110)*parametros_manuales!$I$21*parametros_manuales!$J$21</f>
        <v>2812.95484392</v>
      </c>
      <c r="E85" s="9" t="n">
        <f aca="false">(parametros_manuales!$D$21*(datos_base!$E$2+datos_base!$E$18+IF(parametros_manuales!$H$21="Todos",datos_base!$E$9+datos_base!$E$23,0))*parametros_manuales!$E$95+parametros_manuales!$E$21*(datos_base!$E$3+datos_base!$E$19+IF(parametros_manuales!$H$21="Todos",datos_base!$E$10+datos_base!$E$24,0))*parametros_manuales!$E$100+parametros_manuales!$F$21*(datos_base!$E$4+datos_base!$E$20+IF(parametros_manuales!$H$21="Todos",datos_base!$E$11+datos_base!$E$25,0))*parametros_manuales!$E$105+parametros_manuales!$G$21*(datos_base!$E$5+datos_base!$E$21+IF(parametros_manuales!$H$21="Todos",datos_base!$E$12+datos_base!$E$26,0))*parametros_manuales!$E$110)*parametros_manuales!$I$21*parametros_manuales!$J$21</f>
        <v>2637.145166175</v>
      </c>
      <c r="F85" s="9" t="n">
        <f aca="false">(parametros_manuales!$D$21*(datos_base!$E$2+datos_base!$E$18+IF(parametros_manuales!$H$21="Todos",datos_base!$E$9+datos_base!$E$23,0))*parametros_manuales!$F$95+parametros_manuales!$E$21*(datos_base!$E$3+datos_base!$E$19+IF(parametros_manuales!$H$21="Todos",datos_base!$E$10+datos_base!$E$24,0))*parametros_manuales!$F$100+parametros_manuales!$F$21*(datos_base!$E$4+datos_base!$E$20+IF(parametros_manuales!$H$21="Todos",datos_base!$E$11+datos_base!$E$25,0))*parametros_manuales!$F$105+parametros_manuales!$G$21*(datos_base!$E$5+datos_base!$E$21+IF(parametros_manuales!$H$21="Todos",datos_base!$E$12+datos_base!$E$26,0))*parametros_manuales!$F$110)*parametros_manuales!$I$21*parametros_manuales!$J$21</f>
        <v>2461.33548843</v>
      </c>
      <c r="G85" s="9" t="n">
        <f aca="false">(parametros_manuales!$D$21*(datos_base!$E$2+datos_base!$E$18+IF(parametros_manuales!$H$21="Todos",datos_base!$E$9+datos_base!$E$23,0))*parametros_manuales!$G$95+parametros_manuales!$E$21*(datos_base!$E$3+datos_base!$E$19+IF(parametros_manuales!$H$21="Todos",datos_base!$E$10+datos_base!$E$24,0))*parametros_manuales!$G$100+parametros_manuales!$F$21*(datos_base!$E$4+datos_base!$E$20+IF(parametros_manuales!$H$21="Todos",datos_base!$E$11+datos_base!$E$25,0))*parametros_manuales!$G$105+parametros_manuales!$G$21*(datos_base!$E$5+datos_base!$E$21+IF(parametros_manuales!$H$21="Todos",datos_base!$E$12+datos_base!$E$26,0))*parametros_manuales!$G$110)*parametros_manuales!$I$21*parametros_manuales!$J$21</f>
        <v>2461.33548843</v>
      </c>
      <c r="H85" s="9" t="n">
        <f aca="false">(parametros_manuales!$D$21*(datos_base!$E$2+datos_base!$E$18+IF(parametros_manuales!$H$21="Todos",datos_base!$E$9+datos_base!$E$23,0))*parametros_manuales!$H$95+parametros_manuales!$E$21*(datos_base!$E$3+datos_base!$E$19+IF(parametros_manuales!$H$21="Todos",datos_base!$E$10+datos_base!$E$24,0))*parametros_manuales!$H$100+parametros_manuales!$F$21*(datos_base!$E$4+datos_base!$E$20+IF(parametros_manuales!$H$21="Todos",datos_base!$E$11+datos_base!$E$25,0))*parametros_manuales!$H$105+parametros_manuales!$G$21*(datos_base!$E$5+datos_base!$E$21+IF(parametros_manuales!$H$21="Todos",datos_base!$E$12+datos_base!$E$26,0))*parametros_manuales!$H$110)*parametros_manuales!$I$21*parametros_manuales!$J$21</f>
        <v>2637.145166175</v>
      </c>
      <c r="I85" s="9" t="n">
        <f aca="false">(parametros_manuales!$D$21*(datos_base!$E$2+datos_base!$E$18+IF(parametros_manuales!$H$21="Todos",datos_base!$E$9+datos_base!$E$23,0))*parametros_manuales!$I$95+parametros_manuales!$E$21*(datos_base!$E$3+datos_base!$E$19+IF(parametros_manuales!$H$21="Todos",datos_base!$E$10+datos_base!$E$24,0))*parametros_manuales!$I$100+parametros_manuales!$F$21*(datos_base!$E$4+datos_base!$E$20+IF(parametros_manuales!$H$21="Todos",datos_base!$E$11+datos_base!$E$25,0))*parametros_manuales!$I$105+parametros_manuales!$G$21*(datos_base!$E$5+datos_base!$E$21+IF(parametros_manuales!$H$21="Todos",datos_base!$E$12+datos_base!$E$26,0))*parametros_manuales!$I$110)*parametros_manuales!$I$21*parametros_manuales!$J$21</f>
        <v>3164.57419941</v>
      </c>
      <c r="J85" s="9" t="n">
        <f aca="false">(parametros_manuales!$D$21*(datos_base!$E$2+datos_base!$E$18+IF(parametros_manuales!$H$21="Todos",datos_base!$E$9+datos_base!$E$23,0))*parametros_manuales!$J$95+parametros_manuales!$E$21*(datos_base!$E$3+datos_base!$E$19+IF(parametros_manuales!$H$21="Todos",datos_base!$E$10+datos_base!$E$24,0))*parametros_manuales!$J$100+parametros_manuales!$F$21*(datos_base!$E$4+datos_base!$E$20+IF(parametros_manuales!$H$21="Todos",datos_base!$E$11+datos_base!$E$25,0))*parametros_manuales!$J$105+parametros_manuales!$G$21*(datos_base!$E$5+datos_base!$E$21+IF(parametros_manuales!$H$21="Todos",datos_base!$E$12+datos_base!$E$26,0))*parametros_manuales!$J$110)*parametros_manuales!$I$21*parametros_manuales!$J$21</f>
        <v>3164.57419941</v>
      </c>
      <c r="K85" s="9" t="n">
        <f aca="false">(parametros_manuales!$D$21*(datos_base!$E$2+datos_base!$E$18+IF(parametros_manuales!$H$21="Todos",datos_base!$E$9+datos_base!$E$23,0))*parametros_manuales!$K$95+parametros_manuales!$E$21*(datos_base!$E$3+datos_base!$E$19+IF(parametros_manuales!$H$21="Todos",datos_base!$E$10+datos_base!$E$24,0))*parametros_manuales!$K$100+parametros_manuales!$F$21*(datos_base!$E$4+datos_base!$E$20+IF(parametros_manuales!$H$21="Todos",datos_base!$E$11+datos_base!$E$25,0))*parametros_manuales!$K$105+parametros_manuales!$G$21*(datos_base!$E$5+datos_base!$E$21+IF(parametros_manuales!$H$21="Todos",datos_base!$E$12+datos_base!$E$26,0))*parametros_manuales!$K$110)*parametros_manuales!$I$21*parametros_manuales!$J$21</f>
        <v>3164.57419941</v>
      </c>
      <c r="L85" s="9" t="n">
        <f aca="false">(parametros_manuales!$D$21*(datos_base!$E$2+datos_base!$E$18+IF(parametros_manuales!$H$21="Todos",datos_base!$E$9+datos_base!$E$23,0))*parametros_manuales!$L$95+parametros_manuales!$E$21*(datos_base!$E$3+datos_base!$E$19+IF(parametros_manuales!$H$21="Todos",datos_base!$E$10+datos_base!$E$24,0))*parametros_manuales!$L$100+parametros_manuales!$F$21*(datos_base!$E$4+datos_base!$E$20+IF(parametros_manuales!$H$21="Todos",datos_base!$E$11+datos_base!$E$25,0))*parametros_manuales!$L$105+parametros_manuales!$G$21*(datos_base!$E$5+datos_base!$E$21+IF(parametros_manuales!$H$21="Todos",datos_base!$E$12+datos_base!$E$26,0))*parametros_manuales!$L$110)*parametros_manuales!$I$21*parametros_manuales!$J$21</f>
        <v>3164.57419941</v>
      </c>
      <c r="M85" s="9" t="n">
        <f aca="false">(parametros_manuales!$D$21*(datos_base!$E$2+datos_base!$E$18+IF(parametros_manuales!$H$21="Todos",datos_base!$E$9+datos_base!$E$23,0))*parametros_manuales!$M$95+parametros_manuales!$E$21*(datos_base!$E$3+datos_base!$E$19+IF(parametros_manuales!$H$21="Todos",datos_base!$E$10+datos_base!$E$24,0))*parametros_manuales!$M$100+parametros_manuales!$F$21*(datos_base!$E$4+datos_base!$E$20+IF(parametros_manuales!$H$21="Todos",datos_base!$E$11+datos_base!$E$25,0))*parametros_manuales!$M$105+parametros_manuales!$G$21*(datos_base!$E$5+datos_base!$E$21+IF(parametros_manuales!$H$21="Todos",datos_base!$E$12+datos_base!$E$26,0))*parametros_manuales!$M$110)*parametros_manuales!$I$21*parametros_manuales!$J$21</f>
        <v>3164.57419941</v>
      </c>
      <c r="N85" s="9" t="n">
        <f aca="false">SUM(B85:M85)</f>
        <v>35161.935549</v>
      </c>
      <c r="O85" s="9" t="n">
        <f aca="false">MAX(B85:M85)</f>
        <v>3164.57419941</v>
      </c>
      <c r="P85" s="43" t="n">
        <f aca="false">O85/(parametros_manuales!$B$7)</f>
        <v>21.0971613294</v>
      </c>
      <c r="Q85" s="8" t="str">
        <f aca="false">IF(O85=0,"-",INDEX($B$82:$M$82,MATCH(O85,B85:M85,0)))</f>
        <v>Ene</v>
      </c>
    </row>
    <row r="86" customFormat="false" ht="14.25" hidden="false" customHeight="true" outlineLevel="0" collapsed="false">
      <c r="A86" s="8" t="str">
        <f aca="false">parametros_manuales!$B$22</f>
        <v>Corte de disco y embutido (cúpula y fondo)</v>
      </c>
      <c r="B86" s="9" t="n">
        <f aca="false">(parametros_manuales!$D$22*(datos_base!$E$2+datos_base!$E$18+IF(parametros_manuales!$H$22="Todos",datos_base!$E$9+datos_base!$E$23,0))*parametros_manuales!$B$95+parametros_manuales!$E$22*(datos_base!$E$3+datos_base!$E$19+IF(parametros_manuales!$H$22="Todos",datos_base!$E$10+datos_base!$E$24,0))*parametros_manuales!$B$100+parametros_manuales!$F$22*(datos_base!$E$4+datos_base!$E$20+IF(parametros_manuales!$H$22="Todos",datos_base!$E$11+datos_base!$E$25,0))*parametros_manuales!$B$105+parametros_manuales!$G$22*(datos_base!$E$5+datos_base!$E$21+IF(parametros_manuales!$H$22="Todos",datos_base!$E$12+datos_base!$E$26,0))*parametros_manuales!$B$110)*parametros_manuales!$I$22*parametros_manuales!$J$22</f>
        <v>9124.082915418</v>
      </c>
      <c r="C86" s="9" t="n">
        <f aca="false">(parametros_manuales!$D$22*(datos_base!$E$2+datos_base!$E$18+IF(parametros_manuales!$H$22="Todos",datos_base!$E$9+datos_base!$E$23,0))*parametros_manuales!$C$95+parametros_manuales!$E$22*(datos_base!$E$3+datos_base!$E$19+IF(parametros_manuales!$H$22="Todos",datos_base!$E$10+datos_base!$E$24,0))*parametros_manuales!$C$100+parametros_manuales!$F$22*(datos_base!$E$4+datos_base!$E$20+IF(parametros_manuales!$H$22="Todos",datos_base!$E$11+datos_base!$E$25,0))*parametros_manuales!$C$105+parametros_manuales!$G$22*(datos_base!$E$5+datos_base!$E$21+IF(parametros_manuales!$H$22="Todos",datos_base!$E$12+datos_base!$E$26,0))*parametros_manuales!$C$110)*parametros_manuales!$I$22*parametros_manuales!$J$22</f>
        <v>8813.534635796</v>
      </c>
      <c r="D86" s="9" t="n">
        <f aca="false">(parametros_manuales!$D$22*(datos_base!$E$2+datos_base!$E$18+IF(parametros_manuales!$H$22="Todos",datos_base!$E$9+datos_base!$E$23,0))*parametros_manuales!$D$95+parametros_manuales!$E$22*(datos_base!$E$3+datos_base!$E$19+IF(parametros_manuales!$H$22="Todos",datos_base!$E$10+datos_base!$E$24,0))*parametros_manuales!$D$100+parametros_manuales!$F$22*(datos_base!$E$4+datos_base!$E$20+IF(parametros_manuales!$H$22="Todos",datos_base!$E$11+datos_base!$E$25,0))*parametros_manuales!$D$105+parametros_manuales!$G$22*(datos_base!$E$5+datos_base!$E$21+IF(parametros_manuales!$H$22="Todos",datos_base!$E$12+datos_base!$E$26,0))*parametros_manuales!$D$110)*parametros_manuales!$I$22*parametros_manuales!$J$22</f>
        <v>8265.570064627</v>
      </c>
      <c r="E86" s="9" t="n">
        <f aca="false">(parametros_manuales!$D$22*(datos_base!$E$2+datos_base!$E$18+IF(parametros_manuales!$H$22="Todos",datos_base!$E$9+datos_base!$E$23,0))*parametros_manuales!$E$95+parametros_manuales!$E$22*(datos_base!$E$3+datos_base!$E$19+IF(parametros_manuales!$H$22="Todos",datos_base!$E$10+datos_base!$E$24,0))*parametros_manuales!$E$100+parametros_manuales!$F$22*(datos_base!$E$4+datos_base!$E$20+IF(parametros_manuales!$H$22="Todos",datos_base!$E$11+datos_base!$E$25,0))*parametros_manuales!$E$105+parametros_manuales!$G$22*(datos_base!$E$5+datos_base!$E$21+IF(parametros_manuales!$H$22="Todos",datos_base!$E$12+datos_base!$E$26,0))*parametros_manuales!$E$110)*parametros_manuales!$I$22*parametros_manuales!$J$22</f>
        <v>7913.950709137</v>
      </c>
      <c r="F86" s="9" t="n">
        <f aca="false">(parametros_manuales!$D$22*(datos_base!$E$2+datos_base!$E$18+IF(parametros_manuales!$H$22="Todos",datos_base!$E$9+datos_base!$E$23,0))*parametros_manuales!$F$95+parametros_manuales!$E$22*(datos_base!$E$3+datos_base!$E$19+IF(parametros_manuales!$H$22="Todos",datos_base!$E$10+datos_base!$E$24,0))*parametros_manuales!$F$100+parametros_manuales!$F$22*(datos_base!$E$4+datos_base!$E$20+IF(parametros_manuales!$H$22="Todos",datos_base!$E$11+datos_base!$E$25,0))*parametros_manuales!$F$105+parametros_manuales!$G$22*(datos_base!$E$5+datos_base!$E$21+IF(parametros_manuales!$H$22="Todos",datos_base!$E$12+datos_base!$E$26,0))*parametros_manuales!$F$110)*parametros_manuales!$I$22*parametros_manuales!$J$22</f>
        <v>7407.057213836</v>
      </c>
      <c r="G86" s="9" t="n">
        <f aca="false">(parametros_manuales!$D$22*(datos_base!$E$2+datos_base!$E$18+IF(parametros_manuales!$H$22="Todos",datos_base!$E$9+datos_base!$E$23,0))*parametros_manuales!$G$95+parametros_manuales!$E$22*(datos_base!$E$3+datos_base!$E$19+IF(parametros_manuales!$H$22="Todos",datos_base!$E$10+datos_base!$E$24,0))*parametros_manuales!$G$100+parametros_manuales!$F$22*(datos_base!$E$4+datos_base!$E$20+IF(parametros_manuales!$H$22="Todos",datos_base!$E$11+datos_base!$E$25,0))*parametros_manuales!$G$105+parametros_manuales!$G$22*(datos_base!$E$5+datos_base!$E$21+IF(parametros_manuales!$H$22="Todos",datos_base!$E$12+datos_base!$E$26,0))*parametros_manuales!$G$110)*parametros_manuales!$I$22*parametros_manuales!$J$22</f>
        <v>7251.783074025</v>
      </c>
      <c r="H86" s="9" t="n">
        <f aca="false">(parametros_manuales!$D$22*(datos_base!$E$2+datos_base!$E$18+IF(parametros_manuales!$H$22="Todos",datos_base!$E$9+datos_base!$E$23,0))*parametros_manuales!$H$95+parametros_manuales!$E$22*(datos_base!$E$3+datos_base!$E$19+IF(parametros_manuales!$H$22="Todos",datos_base!$E$10+datos_base!$E$24,0))*parametros_manuales!$H$100+parametros_manuales!$F$22*(datos_base!$E$4+datos_base!$E$20+IF(parametros_manuales!$H$22="Todos",datos_base!$E$11+datos_base!$E$25,0))*parametros_manuales!$H$105+parametros_manuales!$G$22*(datos_base!$E$5+datos_base!$E$21+IF(parametros_manuales!$H$22="Todos",datos_base!$E$12+datos_base!$E$26,0))*parametros_manuales!$H$110)*parametros_manuales!$I$22*parametros_manuales!$J$22</f>
        <v>7758.676569326</v>
      </c>
      <c r="I86" s="9" t="n">
        <f aca="false">(parametros_manuales!$D$22*(datos_base!$E$2+datos_base!$E$18+IF(parametros_manuales!$H$22="Todos",datos_base!$E$9+datos_base!$E$23,0))*parametros_manuales!$I$95+parametros_manuales!$E$22*(datos_base!$E$3+datos_base!$E$19+IF(parametros_manuales!$H$22="Todos",datos_base!$E$10+datos_base!$E$24,0))*parametros_manuales!$I$100+parametros_manuales!$F$22*(datos_base!$E$4+datos_base!$E$20+IF(parametros_manuales!$H$22="Todos",datos_base!$E$11+datos_base!$E$25,0))*parametros_manuales!$I$105+parametros_manuales!$G$22*(datos_base!$E$5+datos_base!$E$21+IF(parametros_manuales!$H$22="Todos",datos_base!$E$12+datos_base!$E$26,0))*parametros_manuales!$I$110)*parametros_manuales!$I$22*parametros_manuales!$J$22</f>
        <v>8813.53463579599</v>
      </c>
      <c r="J86" s="9" t="n">
        <f aca="false">(parametros_manuales!$D$22*(datos_base!$E$2+datos_base!$E$18+IF(parametros_manuales!$H$22="Todos",datos_base!$E$9+datos_base!$E$23,0))*parametros_manuales!$J$95+parametros_manuales!$E$22*(datos_base!$E$3+datos_base!$E$19+IF(parametros_manuales!$H$22="Todos",datos_base!$E$10+datos_base!$E$24,0))*parametros_manuales!$J$100+parametros_manuales!$F$22*(datos_base!$E$4+datos_base!$E$20+IF(parametros_manuales!$H$22="Todos",datos_base!$E$11+datos_base!$E$25,0))*parametros_manuales!$J$105+parametros_manuales!$G$22*(datos_base!$E$5+datos_base!$E$21+IF(parametros_manuales!$H$22="Todos",datos_base!$E$12+datos_base!$E$26,0))*parametros_manuales!$J$110)*parametros_manuales!$I$22*parametros_manuales!$J$22</f>
        <v>8813.534635796</v>
      </c>
      <c r="K86" s="9" t="n">
        <f aca="false">(parametros_manuales!$D$22*(datos_base!$E$2+datos_base!$E$18+IF(parametros_manuales!$H$22="Todos",datos_base!$E$9+datos_base!$E$23,0))*parametros_manuales!$K$95+parametros_manuales!$E$22*(datos_base!$E$3+datos_base!$E$19+IF(parametros_manuales!$H$22="Todos",datos_base!$E$10+datos_base!$E$24,0))*parametros_manuales!$K$100+parametros_manuales!$F$22*(datos_base!$E$4+datos_base!$E$20+IF(parametros_manuales!$H$22="Todos",datos_base!$E$11+datos_base!$E$25,0))*parametros_manuales!$K$105+parametros_manuales!$G$22*(datos_base!$E$5+datos_base!$E$21+IF(parametros_manuales!$H$22="Todos",datos_base!$E$12+datos_base!$E$26,0))*parametros_manuales!$K$110)*parametros_manuales!$I$22*parametros_manuales!$J$22</f>
        <v>8968.808775607</v>
      </c>
      <c r="L86" s="9" t="n">
        <f aca="false">(parametros_manuales!$D$22*(datos_base!$E$2+datos_base!$E$18+IF(parametros_manuales!$H$22="Todos",datos_base!$E$9+datos_base!$E$23,0))*parametros_manuales!$L$95+parametros_manuales!$E$22*(datos_base!$E$3+datos_base!$E$19+IF(parametros_manuales!$H$22="Todos",datos_base!$E$10+datos_base!$E$24,0))*parametros_manuales!$L$100+parametros_manuales!$F$22*(datos_base!$E$4+datos_base!$E$20+IF(parametros_manuales!$H$22="Todos",datos_base!$E$11+datos_base!$E$25,0))*parametros_manuales!$L$105+parametros_manuales!$G$22*(datos_base!$E$5+datos_base!$E$21+IF(parametros_manuales!$H$22="Todos",datos_base!$E$12+datos_base!$E$26,0))*parametros_manuales!$L$110)*parametros_manuales!$I$22*parametros_manuales!$J$22</f>
        <v>9124.082915418</v>
      </c>
      <c r="M86" s="9" t="n">
        <f aca="false">(parametros_manuales!$D$22*(datos_base!$E$2+datos_base!$E$18+IF(parametros_manuales!$H$22="Todos",datos_base!$E$9+datos_base!$E$23,0))*parametros_manuales!$M$95+parametros_manuales!$E$22*(datos_base!$E$3+datos_base!$E$19+IF(parametros_manuales!$H$22="Todos",datos_base!$E$10+datos_base!$E$24,0))*parametros_manuales!$M$100+parametros_manuales!$F$22*(datos_base!$E$4+datos_base!$E$20+IF(parametros_manuales!$H$22="Todos",datos_base!$E$11+datos_base!$E$25,0))*parametros_manuales!$M$105+parametros_manuales!$G$22*(datos_base!$E$5+datos_base!$E$21+IF(parametros_manuales!$H$22="Todos",datos_base!$E$12+datos_base!$E$26,0))*parametros_manuales!$M$110)*parametros_manuales!$I$22*parametros_manuales!$J$22</f>
        <v>9124.082915418</v>
      </c>
      <c r="N86" s="9" t="n">
        <f aca="false">SUM(B86:M86)</f>
        <v>101378.6990602</v>
      </c>
      <c r="O86" s="9" t="n">
        <f aca="false">MAX(B86:M86)</f>
        <v>9124.082915418</v>
      </c>
      <c r="P86" s="43" t="n">
        <f aca="false">O86/(parametros_manuales!$B$7)</f>
        <v>60.82721943612</v>
      </c>
      <c r="Q86" s="8" t="str">
        <f aca="false">IF(O86=0,"-",INDEX($B$82:$M$82,MATCH(O86,B86:M86,0)))</f>
        <v>Ene</v>
      </c>
    </row>
    <row r="87" customFormat="false" ht="14.25" hidden="false" customHeight="true" outlineLevel="0" collapsed="false">
      <c r="A87" s="8" t="str">
        <f aca="false">parametros_manuales!$B$23</f>
        <v>Preparación de cuello</v>
      </c>
      <c r="B87" s="9" t="n">
        <f aca="false">(parametros_manuales!$D$23*(datos_base!$E$2+datos_base!$E$18+IF(parametros_manuales!$H$23="Todos",datos_base!$E$9+datos_base!$E$23,0))*parametros_manuales!$B$95+parametros_manuales!$E$23*(datos_base!$E$3+datos_base!$E$19+IF(parametros_manuales!$H$23="Todos",datos_base!$E$10+datos_base!$E$24,0))*parametros_manuales!$B$100+parametros_manuales!$F$23*(datos_base!$E$4+datos_base!$E$20+IF(parametros_manuales!$H$23="Todos",datos_base!$E$11+datos_base!$E$25,0))*parametros_manuales!$B$105+parametros_manuales!$G$23*(datos_base!$E$5+datos_base!$E$21+IF(parametros_manuales!$H$23="Todos",datos_base!$E$12+datos_base!$E$26,0))*parametros_manuales!$B$110)*parametros_manuales!$I$23*parametros_manuales!$J$23</f>
        <v>4562.041457709</v>
      </c>
      <c r="C87" s="9" t="n">
        <f aca="false">(parametros_manuales!$D$23*(datos_base!$E$2+datos_base!$E$18+IF(parametros_manuales!$H$23="Todos",datos_base!$E$9+datos_base!$E$23,0))*parametros_manuales!$C$95+parametros_manuales!$E$23*(datos_base!$E$3+datos_base!$E$19+IF(parametros_manuales!$H$23="Todos",datos_base!$E$10+datos_base!$E$24,0))*parametros_manuales!$C$100+parametros_manuales!$F$23*(datos_base!$E$4+datos_base!$E$20+IF(parametros_manuales!$H$23="Todos",datos_base!$E$11+datos_base!$E$25,0))*parametros_manuales!$C$105+parametros_manuales!$G$23*(datos_base!$E$5+datos_base!$E$21+IF(parametros_manuales!$H$23="Todos",datos_base!$E$12+datos_base!$E$26,0))*parametros_manuales!$C$110)*parametros_manuales!$I$23*parametros_manuales!$J$23</f>
        <v>4406.767317898</v>
      </c>
      <c r="D87" s="9" t="n">
        <f aca="false">(parametros_manuales!$D$23*(datos_base!$E$2+datos_base!$E$18+IF(parametros_manuales!$H$23="Todos",datos_base!$E$9+datos_base!$E$23,0))*parametros_manuales!$D$95+parametros_manuales!$E$23*(datos_base!$E$3+datos_base!$E$19+IF(parametros_manuales!$H$23="Todos",datos_base!$E$10+datos_base!$E$24,0))*parametros_manuales!$D$100+parametros_manuales!$F$23*(datos_base!$E$4+datos_base!$E$20+IF(parametros_manuales!$H$23="Todos",datos_base!$E$11+datos_base!$E$25,0))*parametros_manuales!$D$105+parametros_manuales!$G$23*(datos_base!$E$5+datos_base!$E$21+IF(parametros_manuales!$H$23="Todos",datos_base!$E$12+datos_base!$E$26,0))*parametros_manuales!$D$110)*parametros_manuales!$I$23*parametros_manuales!$J$23</f>
        <v>4132.7850323135</v>
      </c>
      <c r="E87" s="9" t="n">
        <f aca="false">(parametros_manuales!$D$23*(datos_base!$E$2+datos_base!$E$18+IF(parametros_manuales!$H$23="Todos",datos_base!$E$9+datos_base!$E$23,0))*parametros_manuales!$E$95+parametros_manuales!$E$23*(datos_base!$E$3+datos_base!$E$19+IF(parametros_manuales!$H$23="Todos",datos_base!$E$10+datos_base!$E$24,0))*parametros_manuales!$E$100+parametros_manuales!$F$23*(datos_base!$E$4+datos_base!$E$20+IF(parametros_manuales!$H$23="Todos",datos_base!$E$11+datos_base!$E$25,0))*parametros_manuales!$E$105+parametros_manuales!$G$23*(datos_base!$E$5+datos_base!$E$21+IF(parametros_manuales!$H$23="Todos",datos_base!$E$12+datos_base!$E$26,0))*parametros_manuales!$E$110)*parametros_manuales!$I$23*parametros_manuales!$J$23</f>
        <v>3956.9753545685</v>
      </c>
      <c r="F87" s="9" t="n">
        <f aca="false">(parametros_manuales!$D$23*(datos_base!$E$2+datos_base!$E$18+IF(parametros_manuales!$H$23="Todos",datos_base!$E$9+datos_base!$E$23,0))*parametros_manuales!$F$95+parametros_manuales!$E$23*(datos_base!$E$3+datos_base!$E$19+IF(parametros_manuales!$H$23="Todos",datos_base!$E$10+datos_base!$E$24,0))*parametros_manuales!$F$100+parametros_manuales!$F$23*(datos_base!$E$4+datos_base!$E$20+IF(parametros_manuales!$H$23="Todos",datos_base!$E$11+datos_base!$E$25,0))*parametros_manuales!$F$105+parametros_manuales!$G$23*(datos_base!$E$5+datos_base!$E$21+IF(parametros_manuales!$H$23="Todos",datos_base!$E$12+datos_base!$E$26,0))*parametros_manuales!$F$110)*parametros_manuales!$I$23*parametros_manuales!$J$23</f>
        <v>3703.528606918</v>
      </c>
      <c r="G87" s="9" t="n">
        <f aca="false">(parametros_manuales!$D$23*(datos_base!$E$2+datos_base!$E$18+IF(parametros_manuales!$H$23="Todos",datos_base!$E$9+datos_base!$E$23,0))*parametros_manuales!$G$95+parametros_manuales!$E$23*(datos_base!$E$3+datos_base!$E$19+IF(parametros_manuales!$H$23="Todos",datos_base!$E$10+datos_base!$E$24,0))*parametros_manuales!$G$100+parametros_manuales!$F$23*(datos_base!$E$4+datos_base!$E$20+IF(parametros_manuales!$H$23="Todos",datos_base!$E$11+datos_base!$E$25,0))*parametros_manuales!$G$105+parametros_manuales!$G$23*(datos_base!$E$5+datos_base!$E$21+IF(parametros_manuales!$H$23="Todos",datos_base!$E$12+datos_base!$E$26,0))*parametros_manuales!$G$110)*parametros_manuales!$I$23*parametros_manuales!$J$23</f>
        <v>3625.8915370125</v>
      </c>
      <c r="H87" s="9" t="n">
        <f aca="false">(parametros_manuales!$D$23*(datos_base!$E$2+datos_base!$E$18+IF(parametros_manuales!$H$23="Todos",datos_base!$E$9+datos_base!$E$23,0))*parametros_manuales!$H$95+parametros_manuales!$E$23*(datos_base!$E$3+datos_base!$E$19+IF(parametros_manuales!$H$23="Todos",datos_base!$E$10+datos_base!$E$24,0))*parametros_manuales!$H$100+parametros_manuales!$F$23*(datos_base!$E$4+datos_base!$E$20+IF(parametros_manuales!$H$23="Todos",datos_base!$E$11+datos_base!$E$25,0))*parametros_manuales!$H$105+parametros_manuales!$G$23*(datos_base!$E$5+datos_base!$E$21+IF(parametros_manuales!$H$23="Todos",datos_base!$E$12+datos_base!$E$26,0))*parametros_manuales!$H$110)*parametros_manuales!$I$23*parametros_manuales!$J$23</f>
        <v>3879.338284663</v>
      </c>
      <c r="I87" s="9" t="n">
        <f aca="false">(parametros_manuales!$D$23*(datos_base!$E$2+datos_base!$E$18+IF(parametros_manuales!$H$23="Todos",datos_base!$E$9+datos_base!$E$23,0))*parametros_manuales!$I$95+parametros_manuales!$E$23*(datos_base!$E$3+datos_base!$E$19+IF(parametros_manuales!$H$23="Todos",datos_base!$E$10+datos_base!$E$24,0))*parametros_manuales!$I$100+parametros_manuales!$F$23*(datos_base!$E$4+datos_base!$E$20+IF(parametros_manuales!$H$23="Todos",datos_base!$E$11+datos_base!$E$25,0))*parametros_manuales!$I$105+parametros_manuales!$G$23*(datos_base!$E$5+datos_base!$E$21+IF(parametros_manuales!$H$23="Todos",datos_base!$E$12+datos_base!$E$26,0))*parametros_manuales!$I$110)*parametros_manuales!$I$23*parametros_manuales!$J$23</f>
        <v>4406.767317898</v>
      </c>
      <c r="J87" s="9" t="n">
        <f aca="false">(parametros_manuales!$D$23*(datos_base!$E$2+datos_base!$E$18+IF(parametros_manuales!$H$23="Todos",datos_base!$E$9+datos_base!$E$23,0))*parametros_manuales!$J$95+parametros_manuales!$E$23*(datos_base!$E$3+datos_base!$E$19+IF(parametros_manuales!$H$23="Todos",datos_base!$E$10+datos_base!$E$24,0))*parametros_manuales!$J$100+parametros_manuales!$F$23*(datos_base!$E$4+datos_base!$E$20+IF(parametros_manuales!$H$23="Todos",datos_base!$E$11+datos_base!$E$25,0))*parametros_manuales!$J$105+parametros_manuales!$G$23*(datos_base!$E$5+datos_base!$E$21+IF(parametros_manuales!$H$23="Todos",datos_base!$E$12+datos_base!$E$26,0))*parametros_manuales!$J$110)*parametros_manuales!$I$23*parametros_manuales!$J$23</f>
        <v>4406.767317898</v>
      </c>
      <c r="K87" s="9" t="n">
        <f aca="false">(parametros_manuales!$D$23*(datos_base!$E$2+datos_base!$E$18+IF(parametros_manuales!$H$23="Todos",datos_base!$E$9+datos_base!$E$23,0))*parametros_manuales!$K$95+parametros_manuales!$E$23*(datos_base!$E$3+datos_base!$E$19+IF(parametros_manuales!$H$23="Todos",datos_base!$E$10+datos_base!$E$24,0))*parametros_manuales!$K$100+parametros_manuales!$F$23*(datos_base!$E$4+datos_base!$E$20+IF(parametros_manuales!$H$23="Todos",datos_base!$E$11+datos_base!$E$25,0))*parametros_manuales!$K$105+parametros_manuales!$G$23*(datos_base!$E$5+datos_base!$E$21+IF(parametros_manuales!$H$23="Todos",datos_base!$E$12+datos_base!$E$26,0))*parametros_manuales!$K$110)*parametros_manuales!$I$23*parametros_manuales!$J$23</f>
        <v>4484.4043878035</v>
      </c>
      <c r="L87" s="9" t="n">
        <f aca="false">(parametros_manuales!$D$23*(datos_base!$E$2+datos_base!$E$18+IF(parametros_manuales!$H$23="Todos",datos_base!$E$9+datos_base!$E$23,0))*parametros_manuales!$L$95+parametros_manuales!$E$23*(datos_base!$E$3+datos_base!$E$19+IF(parametros_manuales!$H$23="Todos",datos_base!$E$10+datos_base!$E$24,0))*parametros_manuales!$L$100+parametros_manuales!$F$23*(datos_base!$E$4+datos_base!$E$20+IF(parametros_manuales!$H$23="Todos",datos_base!$E$11+datos_base!$E$25,0))*parametros_manuales!$L$105+parametros_manuales!$G$23*(datos_base!$E$5+datos_base!$E$21+IF(parametros_manuales!$H$23="Todos",datos_base!$E$12+datos_base!$E$26,0))*parametros_manuales!$L$110)*parametros_manuales!$I$23*parametros_manuales!$J$23</f>
        <v>4562.041457709</v>
      </c>
      <c r="M87" s="9" t="n">
        <f aca="false">(parametros_manuales!$D$23*(datos_base!$E$2+datos_base!$E$18+IF(parametros_manuales!$H$23="Todos",datos_base!$E$9+datos_base!$E$23,0))*parametros_manuales!$M$95+parametros_manuales!$E$23*(datos_base!$E$3+datos_base!$E$19+IF(parametros_manuales!$H$23="Todos",datos_base!$E$10+datos_base!$E$24,0))*parametros_manuales!$M$100+parametros_manuales!$F$23*(datos_base!$E$4+datos_base!$E$20+IF(parametros_manuales!$H$23="Todos",datos_base!$E$11+datos_base!$E$25,0))*parametros_manuales!$M$105+parametros_manuales!$G$23*(datos_base!$E$5+datos_base!$E$21+IF(parametros_manuales!$H$23="Todos",datos_base!$E$12+datos_base!$E$26,0))*parametros_manuales!$M$110)*parametros_manuales!$I$23*parametros_manuales!$J$23</f>
        <v>4562.041457709</v>
      </c>
      <c r="N87" s="9" t="n">
        <f aca="false">SUM(B87:M87)</f>
        <v>50689.3495301</v>
      </c>
      <c r="O87" s="9" t="n">
        <f aca="false">MAX(B87:M87)</f>
        <v>4562.041457709</v>
      </c>
      <c r="P87" s="43" t="n">
        <f aca="false">O87/(parametros_manuales!$B$7)</f>
        <v>30.41360971806</v>
      </c>
      <c r="Q87" s="8" t="str">
        <f aca="false">IF(O87=0,"-",INDEX($B$82:$M$82,MATCH(O87,B87:M87,0)))</f>
        <v>Ene</v>
      </c>
    </row>
    <row r="88" customFormat="false" ht="14.25" hidden="false" customHeight="true" outlineLevel="0" collapsed="false">
      <c r="A88" s="8" t="str">
        <f aca="false">parametros_manuales!$B$24</f>
        <v>Numerado de cúpula</v>
      </c>
      <c r="B88" s="9" t="n">
        <f aca="false">(parametros_manuales!$D$24*(datos_base!$E$2+datos_base!$E$18+IF(parametros_manuales!$H$24="Todos",datos_base!$E$9+datos_base!$E$23,0))*parametros_manuales!$B$95+parametros_manuales!$E$24*(datos_base!$E$3+datos_base!$E$19+IF(parametros_manuales!$H$24="Todos",datos_base!$E$10+datos_base!$E$24,0))*parametros_manuales!$B$100+parametros_manuales!$F$24*(datos_base!$E$4+datos_base!$E$20+IF(parametros_manuales!$H$24="Todos",datos_base!$E$11+datos_base!$E$25,0))*parametros_manuales!$B$105+parametros_manuales!$G$24*(datos_base!$E$5+datos_base!$E$21+IF(parametros_manuales!$H$24="Todos",datos_base!$E$12+datos_base!$E$26,0))*parametros_manuales!$B$110)*parametros_manuales!$I$24*parametros_manuales!$J$24</f>
        <v>4562.041457709</v>
      </c>
      <c r="C88" s="9" t="n">
        <f aca="false">(parametros_manuales!$D$24*(datos_base!$E$2+datos_base!$E$18+IF(parametros_manuales!$H$24="Todos",datos_base!$E$9+datos_base!$E$23,0))*parametros_manuales!$C$95+parametros_manuales!$E$24*(datos_base!$E$3+datos_base!$E$19+IF(parametros_manuales!$H$24="Todos",datos_base!$E$10+datos_base!$E$24,0))*parametros_manuales!$C$100+parametros_manuales!$F$24*(datos_base!$E$4+datos_base!$E$20+IF(parametros_manuales!$H$24="Todos",datos_base!$E$11+datos_base!$E$25,0))*parametros_manuales!$C$105+parametros_manuales!$G$24*(datos_base!$E$5+datos_base!$E$21+IF(parametros_manuales!$H$24="Todos",datos_base!$E$12+datos_base!$E$26,0))*parametros_manuales!$C$110)*parametros_manuales!$I$24*parametros_manuales!$J$24</f>
        <v>4406.767317898</v>
      </c>
      <c r="D88" s="9" t="n">
        <f aca="false">(parametros_manuales!$D$24*(datos_base!$E$2+datos_base!$E$18+IF(parametros_manuales!$H$24="Todos",datos_base!$E$9+datos_base!$E$23,0))*parametros_manuales!$D$95+parametros_manuales!$E$24*(datos_base!$E$3+datos_base!$E$19+IF(parametros_manuales!$H$24="Todos",datos_base!$E$10+datos_base!$E$24,0))*parametros_manuales!$D$100+parametros_manuales!$F$24*(datos_base!$E$4+datos_base!$E$20+IF(parametros_manuales!$H$24="Todos",datos_base!$E$11+datos_base!$E$25,0))*parametros_manuales!$D$105+parametros_manuales!$G$24*(datos_base!$E$5+datos_base!$E$21+IF(parametros_manuales!$H$24="Todos",datos_base!$E$12+datos_base!$E$26,0))*parametros_manuales!$D$110)*parametros_manuales!$I$24*parametros_manuales!$J$24</f>
        <v>4132.7850323135</v>
      </c>
      <c r="E88" s="9" t="n">
        <f aca="false">(parametros_manuales!$D$24*(datos_base!$E$2+datos_base!$E$18+IF(parametros_manuales!$H$24="Todos",datos_base!$E$9+datos_base!$E$23,0))*parametros_manuales!$E$95+parametros_manuales!$E$24*(datos_base!$E$3+datos_base!$E$19+IF(parametros_manuales!$H$24="Todos",datos_base!$E$10+datos_base!$E$24,0))*parametros_manuales!$E$100+parametros_manuales!$F$24*(datos_base!$E$4+datos_base!$E$20+IF(parametros_manuales!$H$24="Todos",datos_base!$E$11+datos_base!$E$25,0))*parametros_manuales!$E$105+parametros_manuales!$G$24*(datos_base!$E$5+datos_base!$E$21+IF(parametros_manuales!$H$24="Todos",datos_base!$E$12+datos_base!$E$26,0))*parametros_manuales!$E$110)*parametros_manuales!$I$24*parametros_manuales!$J$24</f>
        <v>3956.9753545685</v>
      </c>
      <c r="F88" s="9" t="n">
        <f aca="false">(parametros_manuales!$D$24*(datos_base!$E$2+datos_base!$E$18+IF(parametros_manuales!$H$24="Todos",datos_base!$E$9+datos_base!$E$23,0))*parametros_manuales!$F$95+parametros_manuales!$E$24*(datos_base!$E$3+datos_base!$E$19+IF(parametros_manuales!$H$24="Todos",datos_base!$E$10+datos_base!$E$24,0))*parametros_manuales!$F$100+parametros_manuales!$F$24*(datos_base!$E$4+datos_base!$E$20+IF(parametros_manuales!$H$24="Todos",datos_base!$E$11+datos_base!$E$25,0))*parametros_manuales!$F$105+parametros_manuales!$G$24*(datos_base!$E$5+datos_base!$E$21+IF(parametros_manuales!$H$24="Todos",datos_base!$E$12+datos_base!$E$26,0))*parametros_manuales!$F$110)*parametros_manuales!$I$24*parametros_manuales!$J$24</f>
        <v>3703.528606918</v>
      </c>
      <c r="G88" s="9" t="n">
        <f aca="false">(parametros_manuales!$D$24*(datos_base!$E$2+datos_base!$E$18+IF(parametros_manuales!$H$24="Todos",datos_base!$E$9+datos_base!$E$23,0))*parametros_manuales!$G$95+parametros_manuales!$E$24*(datos_base!$E$3+datos_base!$E$19+IF(parametros_manuales!$H$24="Todos",datos_base!$E$10+datos_base!$E$24,0))*parametros_manuales!$G$100+parametros_manuales!$F$24*(datos_base!$E$4+datos_base!$E$20+IF(parametros_manuales!$H$24="Todos",datos_base!$E$11+datos_base!$E$25,0))*parametros_manuales!$G$105+parametros_manuales!$G$24*(datos_base!$E$5+datos_base!$E$21+IF(parametros_manuales!$H$24="Todos",datos_base!$E$12+datos_base!$E$26,0))*parametros_manuales!$G$110)*parametros_manuales!$I$24*parametros_manuales!$J$24</f>
        <v>3625.8915370125</v>
      </c>
      <c r="H88" s="9" t="n">
        <f aca="false">(parametros_manuales!$D$24*(datos_base!$E$2+datos_base!$E$18+IF(parametros_manuales!$H$24="Todos",datos_base!$E$9+datos_base!$E$23,0))*parametros_manuales!$H$95+parametros_manuales!$E$24*(datos_base!$E$3+datos_base!$E$19+IF(parametros_manuales!$H$24="Todos",datos_base!$E$10+datos_base!$E$24,0))*parametros_manuales!$H$100+parametros_manuales!$F$24*(datos_base!$E$4+datos_base!$E$20+IF(parametros_manuales!$H$24="Todos",datos_base!$E$11+datos_base!$E$25,0))*parametros_manuales!$H$105+parametros_manuales!$G$24*(datos_base!$E$5+datos_base!$E$21+IF(parametros_manuales!$H$24="Todos",datos_base!$E$12+datos_base!$E$26,0))*parametros_manuales!$H$110)*parametros_manuales!$I$24*parametros_manuales!$J$24</f>
        <v>3879.338284663</v>
      </c>
      <c r="I88" s="9" t="n">
        <f aca="false">(parametros_manuales!$D$24*(datos_base!$E$2+datos_base!$E$18+IF(parametros_manuales!$H$24="Todos",datos_base!$E$9+datos_base!$E$23,0))*parametros_manuales!$I$95+parametros_manuales!$E$24*(datos_base!$E$3+datos_base!$E$19+IF(parametros_manuales!$H$24="Todos",datos_base!$E$10+datos_base!$E$24,0))*parametros_manuales!$I$100+parametros_manuales!$F$24*(datos_base!$E$4+datos_base!$E$20+IF(parametros_manuales!$H$24="Todos",datos_base!$E$11+datos_base!$E$25,0))*parametros_manuales!$I$105+parametros_manuales!$G$24*(datos_base!$E$5+datos_base!$E$21+IF(parametros_manuales!$H$24="Todos",datos_base!$E$12+datos_base!$E$26,0))*parametros_manuales!$I$110)*parametros_manuales!$I$24*parametros_manuales!$J$24</f>
        <v>4406.767317898</v>
      </c>
      <c r="J88" s="9" t="n">
        <f aca="false">(parametros_manuales!$D$24*(datos_base!$E$2+datos_base!$E$18+IF(parametros_manuales!$H$24="Todos",datos_base!$E$9+datos_base!$E$23,0))*parametros_manuales!$J$95+parametros_manuales!$E$24*(datos_base!$E$3+datos_base!$E$19+IF(parametros_manuales!$H$24="Todos",datos_base!$E$10+datos_base!$E$24,0))*parametros_manuales!$J$100+parametros_manuales!$F$24*(datos_base!$E$4+datos_base!$E$20+IF(parametros_manuales!$H$24="Todos",datos_base!$E$11+datos_base!$E$25,0))*parametros_manuales!$J$105+parametros_manuales!$G$24*(datos_base!$E$5+datos_base!$E$21+IF(parametros_manuales!$H$24="Todos",datos_base!$E$12+datos_base!$E$26,0))*parametros_manuales!$J$110)*parametros_manuales!$I$24*parametros_manuales!$J$24</f>
        <v>4406.767317898</v>
      </c>
      <c r="K88" s="9" t="n">
        <f aca="false">(parametros_manuales!$D$24*(datos_base!$E$2+datos_base!$E$18+IF(parametros_manuales!$H$24="Todos",datos_base!$E$9+datos_base!$E$23,0))*parametros_manuales!$K$95+parametros_manuales!$E$24*(datos_base!$E$3+datos_base!$E$19+IF(parametros_manuales!$H$24="Todos",datos_base!$E$10+datos_base!$E$24,0))*parametros_manuales!$K$100+parametros_manuales!$F$24*(datos_base!$E$4+datos_base!$E$20+IF(parametros_manuales!$H$24="Todos",datos_base!$E$11+datos_base!$E$25,0))*parametros_manuales!$K$105+parametros_manuales!$G$24*(datos_base!$E$5+datos_base!$E$21+IF(parametros_manuales!$H$24="Todos",datos_base!$E$12+datos_base!$E$26,0))*parametros_manuales!$K$110)*parametros_manuales!$I$24*parametros_manuales!$J$24</f>
        <v>4484.4043878035</v>
      </c>
      <c r="L88" s="9" t="n">
        <f aca="false">(parametros_manuales!$D$24*(datos_base!$E$2+datos_base!$E$18+IF(parametros_manuales!$H$24="Todos",datos_base!$E$9+datos_base!$E$23,0))*parametros_manuales!$L$95+parametros_manuales!$E$24*(datos_base!$E$3+datos_base!$E$19+IF(parametros_manuales!$H$24="Todos",datos_base!$E$10+datos_base!$E$24,0))*parametros_manuales!$L$100+parametros_manuales!$F$24*(datos_base!$E$4+datos_base!$E$20+IF(parametros_manuales!$H$24="Todos",datos_base!$E$11+datos_base!$E$25,0))*parametros_manuales!$L$105+parametros_manuales!$G$24*(datos_base!$E$5+datos_base!$E$21+IF(parametros_manuales!$H$24="Todos",datos_base!$E$12+datos_base!$E$26,0))*parametros_manuales!$L$110)*parametros_manuales!$I$24*parametros_manuales!$J$24</f>
        <v>4562.041457709</v>
      </c>
      <c r="M88" s="9" t="n">
        <f aca="false">(parametros_manuales!$D$24*(datos_base!$E$2+datos_base!$E$18+IF(parametros_manuales!$H$24="Todos",datos_base!$E$9+datos_base!$E$23,0))*parametros_manuales!$M$95+parametros_manuales!$E$24*(datos_base!$E$3+datos_base!$E$19+IF(parametros_manuales!$H$24="Todos",datos_base!$E$10+datos_base!$E$24,0))*parametros_manuales!$M$100+parametros_manuales!$F$24*(datos_base!$E$4+datos_base!$E$20+IF(parametros_manuales!$H$24="Todos",datos_base!$E$11+datos_base!$E$25,0))*parametros_manuales!$M$105+parametros_manuales!$G$24*(datos_base!$E$5+datos_base!$E$21+IF(parametros_manuales!$H$24="Todos",datos_base!$E$12+datos_base!$E$26,0))*parametros_manuales!$M$110)*parametros_manuales!$I$24*parametros_manuales!$J$24</f>
        <v>4562.041457709</v>
      </c>
      <c r="N88" s="9" t="n">
        <f aca="false">SUM(B88:M88)</f>
        <v>50689.3495301</v>
      </c>
      <c r="O88" s="9" t="n">
        <f aca="false">MAX(B88:M88)</f>
        <v>4562.041457709</v>
      </c>
      <c r="P88" s="43" t="n">
        <f aca="false">O88/(parametros_manuales!$B$7)</f>
        <v>30.41360971806</v>
      </c>
      <c r="Q88" s="8" t="str">
        <f aca="false">IF(O88=0,"-",INDEX($B$82:$M$82,MATCH(O88,B88:M88,0)))</f>
        <v>Ene</v>
      </c>
    </row>
    <row r="89" customFormat="false" ht="14.25" hidden="false" customHeight="true" outlineLevel="0" collapsed="false">
      <c r="A89" s="8" t="str">
        <f aca="false">parametros_manuales!$B$25</f>
        <v>Soldadura del cuello a la cúpula</v>
      </c>
      <c r="B89" s="9" t="n">
        <f aca="false">(parametros_manuales!$D$25*(datos_base!$E$2+datos_base!$E$18+IF(parametros_manuales!$H$25="Todos",datos_base!$E$9+datos_base!$E$23,0))*parametros_manuales!$B$95+parametros_manuales!$E$25*(datos_base!$E$3+datos_base!$E$19+IF(parametros_manuales!$H$25="Todos",datos_base!$E$10+datos_base!$E$24,0))*parametros_manuales!$B$100+parametros_manuales!$F$25*(datos_base!$E$4+datos_base!$E$20+IF(parametros_manuales!$H$25="Todos",datos_base!$E$11+datos_base!$E$25,0))*parametros_manuales!$B$105+parametros_manuales!$G$25*(datos_base!$E$5+datos_base!$E$21+IF(parametros_manuales!$H$25="Todos",datos_base!$E$12+datos_base!$E$26,0))*parametros_manuales!$B$110)*parametros_manuales!$I$25*parametros_manuales!$J$25</f>
        <v>4562.041457709</v>
      </c>
      <c r="C89" s="9" t="n">
        <f aca="false">(parametros_manuales!$D$25*(datos_base!$E$2+datos_base!$E$18+IF(parametros_manuales!$H$25="Todos",datos_base!$E$9+datos_base!$E$23,0))*parametros_manuales!$C$95+parametros_manuales!$E$25*(datos_base!$E$3+datos_base!$E$19+IF(parametros_manuales!$H$25="Todos",datos_base!$E$10+datos_base!$E$24,0))*parametros_manuales!$C$100+parametros_manuales!$F$25*(datos_base!$E$4+datos_base!$E$20+IF(parametros_manuales!$H$25="Todos",datos_base!$E$11+datos_base!$E$25,0))*parametros_manuales!$C$105+parametros_manuales!$G$25*(datos_base!$E$5+datos_base!$E$21+IF(parametros_manuales!$H$25="Todos",datos_base!$E$12+datos_base!$E$26,0))*parametros_manuales!$C$110)*parametros_manuales!$I$25*parametros_manuales!$J$25</f>
        <v>4406.767317898</v>
      </c>
      <c r="D89" s="9" t="n">
        <f aca="false">(parametros_manuales!$D$25*(datos_base!$E$2+datos_base!$E$18+IF(parametros_manuales!$H$25="Todos",datos_base!$E$9+datos_base!$E$23,0))*parametros_manuales!$D$95+parametros_manuales!$E$25*(datos_base!$E$3+datos_base!$E$19+IF(parametros_manuales!$H$25="Todos",datos_base!$E$10+datos_base!$E$24,0))*parametros_manuales!$D$100+parametros_manuales!$F$25*(datos_base!$E$4+datos_base!$E$20+IF(parametros_manuales!$H$25="Todos",datos_base!$E$11+datos_base!$E$25,0))*parametros_manuales!$D$105+parametros_manuales!$G$25*(datos_base!$E$5+datos_base!$E$21+IF(parametros_manuales!$H$25="Todos",datos_base!$E$12+datos_base!$E$26,0))*parametros_manuales!$D$110)*parametros_manuales!$I$25*parametros_manuales!$J$25</f>
        <v>4132.7850323135</v>
      </c>
      <c r="E89" s="9" t="n">
        <f aca="false">(parametros_manuales!$D$25*(datos_base!$E$2+datos_base!$E$18+IF(parametros_manuales!$H$25="Todos",datos_base!$E$9+datos_base!$E$23,0))*parametros_manuales!$E$95+parametros_manuales!$E$25*(datos_base!$E$3+datos_base!$E$19+IF(parametros_manuales!$H$25="Todos",datos_base!$E$10+datos_base!$E$24,0))*parametros_manuales!$E$100+parametros_manuales!$F$25*(datos_base!$E$4+datos_base!$E$20+IF(parametros_manuales!$H$25="Todos",datos_base!$E$11+datos_base!$E$25,0))*parametros_manuales!$E$105+parametros_manuales!$G$25*(datos_base!$E$5+datos_base!$E$21+IF(parametros_manuales!$H$25="Todos",datos_base!$E$12+datos_base!$E$26,0))*parametros_manuales!$E$110)*parametros_manuales!$I$25*parametros_manuales!$J$25</f>
        <v>3956.9753545685</v>
      </c>
      <c r="F89" s="9" t="n">
        <f aca="false">(parametros_manuales!$D$25*(datos_base!$E$2+datos_base!$E$18+IF(parametros_manuales!$H$25="Todos",datos_base!$E$9+datos_base!$E$23,0))*parametros_manuales!$F$95+parametros_manuales!$E$25*(datos_base!$E$3+datos_base!$E$19+IF(parametros_manuales!$H$25="Todos",datos_base!$E$10+datos_base!$E$24,0))*parametros_manuales!$F$100+parametros_manuales!$F$25*(datos_base!$E$4+datos_base!$E$20+IF(parametros_manuales!$H$25="Todos",datos_base!$E$11+datos_base!$E$25,0))*parametros_manuales!$F$105+parametros_manuales!$G$25*(datos_base!$E$5+datos_base!$E$21+IF(parametros_manuales!$H$25="Todos",datos_base!$E$12+datos_base!$E$26,0))*parametros_manuales!$F$110)*parametros_manuales!$I$25*parametros_manuales!$J$25</f>
        <v>3703.528606918</v>
      </c>
      <c r="G89" s="9" t="n">
        <f aca="false">(parametros_manuales!$D$25*(datos_base!$E$2+datos_base!$E$18+IF(parametros_manuales!$H$25="Todos",datos_base!$E$9+datos_base!$E$23,0))*parametros_manuales!$G$95+parametros_manuales!$E$25*(datos_base!$E$3+datos_base!$E$19+IF(parametros_manuales!$H$25="Todos",datos_base!$E$10+datos_base!$E$24,0))*parametros_manuales!$G$100+parametros_manuales!$F$25*(datos_base!$E$4+datos_base!$E$20+IF(parametros_manuales!$H$25="Todos",datos_base!$E$11+datos_base!$E$25,0))*parametros_manuales!$G$105+parametros_manuales!$G$25*(datos_base!$E$5+datos_base!$E$21+IF(parametros_manuales!$H$25="Todos",datos_base!$E$12+datos_base!$E$26,0))*parametros_manuales!$G$110)*parametros_manuales!$I$25*parametros_manuales!$J$25</f>
        <v>3625.8915370125</v>
      </c>
      <c r="H89" s="9" t="n">
        <f aca="false">(parametros_manuales!$D$25*(datos_base!$E$2+datos_base!$E$18+IF(parametros_manuales!$H$25="Todos",datos_base!$E$9+datos_base!$E$23,0))*parametros_manuales!$H$95+parametros_manuales!$E$25*(datos_base!$E$3+datos_base!$E$19+IF(parametros_manuales!$H$25="Todos",datos_base!$E$10+datos_base!$E$24,0))*parametros_manuales!$H$100+parametros_manuales!$F$25*(datos_base!$E$4+datos_base!$E$20+IF(parametros_manuales!$H$25="Todos",datos_base!$E$11+datos_base!$E$25,0))*parametros_manuales!$H$105+parametros_manuales!$G$25*(datos_base!$E$5+datos_base!$E$21+IF(parametros_manuales!$H$25="Todos",datos_base!$E$12+datos_base!$E$26,0))*parametros_manuales!$H$110)*parametros_manuales!$I$25*parametros_manuales!$J$25</f>
        <v>3879.338284663</v>
      </c>
      <c r="I89" s="9" t="n">
        <f aca="false">(parametros_manuales!$D$25*(datos_base!$E$2+datos_base!$E$18+IF(parametros_manuales!$H$25="Todos",datos_base!$E$9+datos_base!$E$23,0))*parametros_manuales!$I$95+parametros_manuales!$E$25*(datos_base!$E$3+datos_base!$E$19+IF(parametros_manuales!$H$25="Todos",datos_base!$E$10+datos_base!$E$24,0))*parametros_manuales!$I$100+parametros_manuales!$F$25*(datos_base!$E$4+datos_base!$E$20+IF(parametros_manuales!$H$25="Todos",datos_base!$E$11+datos_base!$E$25,0))*parametros_manuales!$I$105+parametros_manuales!$G$25*(datos_base!$E$5+datos_base!$E$21+IF(parametros_manuales!$H$25="Todos",datos_base!$E$12+datos_base!$E$26,0))*parametros_manuales!$I$110)*parametros_manuales!$I$25*parametros_manuales!$J$25</f>
        <v>4406.767317898</v>
      </c>
      <c r="J89" s="9" t="n">
        <f aca="false">(parametros_manuales!$D$25*(datos_base!$E$2+datos_base!$E$18+IF(parametros_manuales!$H$25="Todos",datos_base!$E$9+datos_base!$E$23,0))*parametros_manuales!$J$95+parametros_manuales!$E$25*(datos_base!$E$3+datos_base!$E$19+IF(parametros_manuales!$H$25="Todos",datos_base!$E$10+datos_base!$E$24,0))*parametros_manuales!$J$100+parametros_manuales!$F$25*(datos_base!$E$4+datos_base!$E$20+IF(parametros_manuales!$H$25="Todos",datos_base!$E$11+datos_base!$E$25,0))*parametros_manuales!$J$105+parametros_manuales!$G$25*(datos_base!$E$5+datos_base!$E$21+IF(parametros_manuales!$H$25="Todos",datos_base!$E$12+datos_base!$E$26,0))*parametros_manuales!$J$110)*parametros_manuales!$I$25*parametros_manuales!$J$25</f>
        <v>4406.767317898</v>
      </c>
      <c r="K89" s="9" t="n">
        <f aca="false">(parametros_manuales!$D$25*(datos_base!$E$2+datos_base!$E$18+IF(parametros_manuales!$H$25="Todos",datos_base!$E$9+datos_base!$E$23,0))*parametros_manuales!$K$95+parametros_manuales!$E$25*(datos_base!$E$3+datos_base!$E$19+IF(parametros_manuales!$H$25="Todos",datos_base!$E$10+datos_base!$E$24,0))*parametros_manuales!$K$100+parametros_manuales!$F$25*(datos_base!$E$4+datos_base!$E$20+IF(parametros_manuales!$H$25="Todos",datos_base!$E$11+datos_base!$E$25,0))*parametros_manuales!$K$105+parametros_manuales!$G$25*(datos_base!$E$5+datos_base!$E$21+IF(parametros_manuales!$H$25="Todos",datos_base!$E$12+datos_base!$E$26,0))*parametros_manuales!$K$110)*parametros_manuales!$I$25*parametros_manuales!$J$25</f>
        <v>4484.4043878035</v>
      </c>
      <c r="L89" s="9" t="n">
        <f aca="false">(parametros_manuales!$D$25*(datos_base!$E$2+datos_base!$E$18+IF(parametros_manuales!$H$25="Todos",datos_base!$E$9+datos_base!$E$23,0))*parametros_manuales!$L$95+parametros_manuales!$E$25*(datos_base!$E$3+datos_base!$E$19+IF(parametros_manuales!$H$25="Todos",datos_base!$E$10+datos_base!$E$24,0))*parametros_manuales!$L$100+parametros_manuales!$F$25*(datos_base!$E$4+datos_base!$E$20+IF(parametros_manuales!$H$25="Todos",datos_base!$E$11+datos_base!$E$25,0))*parametros_manuales!$L$105+parametros_manuales!$G$25*(datos_base!$E$5+datos_base!$E$21+IF(parametros_manuales!$H$25="Todos",datos_base!$E$12+datos_base!$E$26,0))*parametros_manuales!$L$110)*parametros_manuales!$I$25*parametros_manuales!$J$25</f>
        <v>4562.041457709</v>
      </c>
      <c r="M89" s="9" t="n">
        <f aca="false">(parametros_manuales!$D$25*(datos_base!$E$2+datos_base!$E$18+IF(parametros_manuales!$H$25="Todos",datos_base!$E$9+datos_base!$E$23,0))*parametros_manuales!$M$95+parametros_manuales!$E$25*(datos_base!$E$3+datos_base!$E$19+IF(parametros_manuales!$H$25="Todos",datos_base!$E$10+datos_base!$E$24,0))*parametros_manuales!$M$100+parametros_manuales!$F$25*(datos_base!$E$4+datos_base!$E$20+IF(parametros_manuales!$H$25="Todos",datos_base!$E$11+datos_base!$E$25,0))*parametros_manuales!$M$105+parametros_manuales!$G$25*(datos_base!$E$5+datos_base!$E$21+IF(parametros_manuales!$H$25="Todos",datos_base!$E$12+datos_base!$E$26,0))*parametros_manuales!$M$110)*parametros_manuales!$I$25*parametros_manuales!$J$25</f>
        <v>4562.041457709</v>
      </c>
      <c r="N89" s="9" t="n">
        <f aca="false">SUM(B89:M89)</f>
        <v>50689.3495301</v>
      </c>
      <c r="O89" s="9" t="n">
        <f aca="false">MAX(B89:M89)</f>
        <v>4562.041457709</v>
      </c>
      <c r="P89" s="43" t="n">
        <f aca="false">O89/(parametros_manuales!$B$7)</f>
        <v>30.41360971806</v>
      </c>
      <c r="Q89" s="8" t="str">
        <f aca="false">IF(O89=0,"-",INDEX($B$82:$M$82,MATCH(O89,B89:M89,0)))</f>
        <v>Ene</v>
      </c>
    </row>
    <row r="90" customFormat="false" ht="14.25" hidden="false" customHeight="true" outlineLevel="0" collapsed="false">
      <c r="A90" s="8" t="str">
        <f aca="false">parametros_manuales!$B$26</f>
        <v>Cilindrado</v>
      </c>
      <c r="B90" s="9" t="n">
        <f aca="false">(parametros_manuales!$D$26*(datos_base!$E$2+datos_base!$E$18+IF(parametros_manuales!$H$26="Todos",datos_base!$E$9+datos_base!$E$23,0))*parametros_manuales!$B$95+parametros_manuales!$E$26*(datos_base!$E$3+datos_base!$E$19+IF(parametros_manuales!$H$26="Todos",datos_base!$E$10+datos_base!$E$24,0))*parametros_manuales!$B$100+parametros_manuales!$F$26*(datos_base!$E$4+datos_base!$E$20+IF(parametros_manuales!$H$26="Todos",datos_base!$E$11+datos_base!$E$25,0))*parametros_manuales!$B$105+parametros_manuales!$G$26*(datos_base!$E$5+datos_base!$E$21+IF(parametros_manuales!$H$26="Todos",datos_base!$E$12+datos_base!$E$26,0))*parametros_manuales!$B$110)*parametros_manuales!$I$26*parametros_manuales!$J$26</f>
        <v>1397.467258299</v>
      </c>
      <c r="C90" s="9" t="n">
        <f aca="false">(parametros_manuales!$D$26*(datos_base!$E$2+datos_base!$E$18+IF(parametros_manuales!$H$26="Todos",datos_base!$E$9+datos_base!$E$23,0))*parametros_manuales!$C$95+parametros_manuales!$E$26*(datos_base!$E$3+datos_base!$E$19+IF(parametros_manuales!$H$26="Todos",datos_base!$E$10+datos_base!$E$24,0))*parametros_manuales!$C$100+parametros_manuales!$F$26*(datos_base!$E$4+datos_base!$E$20+IF(parametros_manuales!$H$26="Todos",datos_base!$E$11+datos_base!$E$25,0))*parametros_manuales!$C$105+parametros_manuales!$G$26*(datos_base!$E$5+datos_base!$E$21+IF(parametros_manuales!$H$26="Todos",datos_base!$E$12+datos_base!$E$26,0))*parametros_manuales!$C$110)*parametros_manuales!$I$26*parametros_manuales!$J$26</f>
        <v>1242.193118488</v>
      </c>
      <c r="D90" s="9" t="n">
        <f aca="false">(parametros_manuales!$D$26*(datos_base!$E$2+datos_base!$E$18+IF(parametros_manuales!$H$26="Todos",datos_base!$E$9+datos_base!$E$23,0))*parametros_manuales!$D$95+parametros_manuales!$E$26*(datos_base!$E$3+datos_base!$E$19+IF(parametros_manuales!$H$26="Todos",datos_base!$E$10+datos_base!$E$24,0))*parametros_manuales!$D$100+parametros_manuales!$F$26*(datos_base!$E$4+datos_base!$E$20+IF(parametros_manuales!$H$26="Todos",datos_base!$E$11+datos_base!$E$25,0))*parametros_manuales!$D$105+parametros_manuales!$G$26*(datos_base!$E$5+datos_base!$E$21+IF(parametros_manuales!$H$26="Todos",datos_base!$E$12+datos_base!$E$26,0))*parametros_manuales!$D$110)*parametros_manuales!$I$26*parametros_manuales!$J$26</f>
        <v>1319.8301883935</v>
      </c>
      <c r="E90" s="9" t="n">
        <f aca="false">(parametros_manuales!$D$26*(datos_base!$E$2+datos_base!$E$18+IF(parametros_manuales!$H$26="Todos",datos_base!$E$9+datos_base!$E$23,0))*parametros_manuales!$E$95+parametros_manuales!$E$26*(datos_base!$E$3+datos_base!$E$19+IF(parametros_manuales!$H$26="Todos",datos_base!$E$10+datos_base!$E$24,0))*parametros_manuales!$E$100+parametros_manuales!$F$26*(datos_base!$E$4+datos_base!$E$20+IF(parametros_manuales!$H$26="Todos",datos_base!$E$11+datos_base!$E$25,0))*parametros_manuales!$E$105+parametros_manuales!$G$26*(datos_base!$E$5+datos_base!$E$21+IF(parametros_manuales!$H$26="Todos",datos_base!$E$12+datos_base!$E$26,0))*parametros_manuales!$E$110)*parametros_manuales!$I$26*parametros_manuales!$J$26</f>
        <v>1319.8301883935</v>
      </c>
      <c r="F90" s="9" t="n">
        <f aca="false">(parametros_manuales!$D$26*(datos_base!$E$2+datos_base!$E$18+IF(parametros_manuales!$H$26="Todos",datos_base!$E$9+datos_base!$E$23,0))*parametros_manuales!$F$95+parametros_manuales!$E$26*(datos_base!$E$3+datos_base!$E$19+IF(parametros_manuales!$H$26="Todos",datos_base!$E$10+datos_base!$E$24,0))*parametros_manuales!$F$100+parametros_manuales!$F$26*(datos_base!$E$4+datos_base!$E$20+IF(parametros_manuales!$H$26="Todos",datos_base!$E$11+datos_base!$E$25,0))*parametros_manuales!$F$105+parametros_manuales!$G$26*(datos_base!$E$5+datos_base!$E$21+IF(parametros_manuales!$H$26="Todos",datos_base!$E$12+datos_base!$E$26,0))*parametros_manuales!$F$110)*parametros_manuales!$I$26*parametros_manuales!$J$26</f>
        <v>1242.193118488</v>
      </c>
      <c r="G90" s="9" t="n">
        <f aca="false">(parametros_manuales!$D$26*(datos_base!$E$2+datos_base!$E$18+IF(parametros_manuales!$H$26="Todos",datos_base!$E$9+datos_base!$E$23,0))*parametros_manuales!$G$95+parametros_manuales!$E$26*(datos_base!$E$3+datos_base!$E$19+IF(parametros_manuales!$H$26="Todos",datos_base!$E$10+datos_base!$E$24,0))*parametros_manuales!$G$100+parametros_manuales!$F$26*(datos_base!$E$4+datos_base!$E$20+IF(parametros_manuales!$H$26="Todos",datos_base!$E$11+datos_base!$E$25,0))*parametros_manuales!$G$105+parametros_manuales!$G$26*(datos_base!$E$5+datos_base!$E$21+IF(parametros_manuales!$H$26="Todos",datos_base!$E$12+datos_base!$E$26,0))*parametros_manuales!$G$110)*parametros_manuales!$I$26*parametros_manuales!$J$26</f>
        <v>1164.5560485825</v>
      </c>
      <c r="H90" s="9" t="n">
        <f aca="false">(parametros_manuales!$D$26*(datos_base!$E$2+datos_base!$E$18+IF(parametros_manuales!$H$26="Todos",datos_base!$E$9+datos_base!$E$23,0))*parametros_manuales!$H$95+parametros_manuales!$E$26*(datos_base!$E$3+datos_base!$E$19+IF(parametros_manuales!$H$26="Todos",datos_base!$E$10+datos_base!$E$24,0))*parametros_manuales!$H$100+parametros_manuales!$F$26*(datos_base!$E$4+datos_base!$E$20+IF(parametros_manuales!$H$26="Todos",datos_base!$E$11+datos_base!$E$25,0))*parametros_manuales!$H$105+parametros_manuales!$G$26*(datos_base!$E$5+datos_base!$E$21+IF(parametros_manuales!$H$26="Todos",datos_base!$E$12+datos_base!$E$26,0))*parametros_manuales!$H$110)*parametros_manuales!$I$26*parametros_manuales!$J$26</f>
        <v>1242.193118488</v>
      </c>
      <c r="I90" s="9" t="n">
        <f aca="false">(parametros_manuales!$D$26*(datos_base!$E$2+datos_base!$E$18+IF(parametros_manuales!$H$26="Todos",datos_base!$E$9+datos_base!$E$23,0))*parametros_manuales!$I$95+parametros_manuales!$E$26*(datos_base!$E$3+datos_base!$E$19+IF(parametros_manuales!$H$26="Todos",datos_base!$E$10+datos_base!$E$24,0))*parametros_manuales!$I$100+parametros_manuales!$F$26*(datos_base!$E$4+datos_base!$E$20+IF(parametros_manuales!$H$26="Todos",datos_base!$E$11+datos_base!$E$25,0))*parametros_manuales!$I$105+parametros_manuales!$G$26*(datos_base!$E$5+datos_base!$E$21+IF(parametros_manuales!$H$26="Todos",datos_base!$E$12+datos_base!$E$26,0))*parametros_manuales!$I$110)*parametros_manuales!$I$26*parametros_manuales!$J$26</f>
        <v>1242.193118488</v>
      </c>
      <c r="J90" s="9" t="n">
        <f aca="false">(parametros_manuales!$D$26*(datos_base!$E$2+datos_base!$E$18+IF(parametros_manuales!$H$26="Todos",datos_base!$E$9+datos_base!$E$23,0))*parametros_manuales!$J$95+parametros_manuales!$E$26*(datos_base!$E$3+datos_base!$E$19+IF(parametros_manuales!$H$26="Todos",datos_base!$E$10+datos_base!$E$24,0))*parametros_manuales!$J$100+parametros_manuales!$F$26*(datos_base!$E$4+datos_base!$E$20+IF(parametros_manuales!$H$26="Todos",datos_base!$E$11+datos_base!$E$25,0))*parametros_manuales!$J$105+parametros_manuales!$G$26*(datos_base!$E$5+datos_base!$E$21+IF(parametros_manuales!$H$26="Todos",datos_base!$E$12+datos_base!$E$26,0))*parametros_manuales!$J$110)*parametros_manuales!$I$26*parametros_manuales!$J$26</f>
        <v>1242.193118488</v>
      </c>
      <c r="K90" s="9" t="n">
        <f aca="false">(parametros_manuales!$D$26*(datos_base!$E$2+datos_base!$E$18+IF(parametros_manuales!$H$26="Todos",datos_base!$E$9+datos_base!$E$23,0))*parametros_manuales!$K$95+parametros_manuales!$E$26*(datos_base!$E$3+datos_base!$E$19+IF(parametros_manuales!$H$26="Todos",datos_base!$E$10+datos_base!$E$24,0))*parametros_manuales!$K$100+parametros_manuales!$F$26*(datos_base!$E$4+datos_base!$E$20+IF(parametros_manuales!$H$26="Todos",datos_base!$E$11+datos_base!$E$25,0))*parametros_manuales!$K$105+parametros_manuales!$G$26*(datos_base!$E$5+datos_base!$E$21+IF(parametros_manuales!$H$26="Todos",datos_base!$E$12+datos_base!$E$26,0))*parametros_manuales!$K$110)*parametros_manuales!$I$26*parametros_manuales!$J$26</f>
        <v>1319.8301883935</v>
      </c>
      <c r="L90" s="9" t="n">
        <f aca="false">(parametros_manuales!$D$26*(datos_base!$E$2+datos_base!$E$18+IF(parametros_manuales!$H$26="Todos",datos_base!$E$9+datos_base!$E$23,0))*parametros_manuales!$L$95+parametros_manuales!$E$26*(datos_base!$E$3+datos_base!$E$19+IF(parametros_manuales!$H$26="Todos",datos_base!$E$10+datos_base!$E$24,0))*parametros_manuales!$L$100+parametros_manuales!$F$26*(datos_base!$E$4+datos_base!$E$20+IF(parametros_manuales!$H$26="Todos",datos_base!$E$11+datos_base!$E$25,0))*parametros_manuales!$L$105+parametros_manuales!$G$26*(datos_base!$E$5+datos_base!$E$21+IF(parametros_manuales!$H$26="Todos",datos_base!$E$12+datos_base!$E$26,0))*parametros_manuales!$L$110)*parametros_manuales!$I$26*parametros_manuales!$J$26</f>
        <v>1397.467258299</v>
      </c>
      <c r="M90" s="9" t="n">
        <f aca="false">(parametros_manuales!$D$26*(datos_base!$E$2+datos_base!$E$18+IF(parametros_manuales!$H$26="Todos",datos_base!$E$9+datos_base!$E$23,0))*parametros_manuales!$M$95+parametros_manuales!$E$26*(datos_base!$E$3+datos_base!$E$19+IF(parametros_manuales!$H$26="Todos",datos_base!$E$10+datos_base!$E$24,0))*parametros_manuales!$M$100+parametros_manuales!$F$26*(datos_base!$E$4+datos_base!$E$20+IF(parametros_manuales!$H$26="Todos",datos_base!$E$11+datos_base!$E$25,0))*parametros_manuales!$M$105+parametros_manuales!$G$26*(datos_base!$E$5+datos_base!$E$21+IF(parametros_manuales!$H$26="Todos",datos_base!$E$12+datos_base!$E$26,0))*parametros_manuales!$M$110)*parametros_manuales!$I$26*parametros_manuales!$J$26</f>
        <v>1397.467258299</v>
      </c>
      <c r="N90" s="9" t="n">
        <f aca="false">SUM(B90:M90)</f>
        <v>15527.4139811</v>
      </c>
      <c r="O90" s="9" t="n">
        <f aca="false">MAX(B90:M90)</f>
        <v>1397.467258299</v>
      </c>
      <c r="P90" s="43" t="n">
        <f aca="false">O90/(parametros_manuales!$B$7)</f>
        <v>9.31644838866</v>
      </c>
      <c r="Q90" s="8" t="str">
        <f aca="false">IF(O90=0,"-",INDEX($B$82:$M$82,MATCH(O90,B90:M90,0)))</f>
        <v>Ene</v>
      </c>
    </row>
    <row r="91" customFormat="false" ht="14.25" hidden="false" customHeight="true" outlineLevel="0" collapsed="false">
      <c r="A91" s="8" t="str">
        <f aca="false">parametros_manuales!$B$27</f>
        <v>Soldadura longitudinal</v>
      </c>
      <c r="B91" s="9" t="n">
        <f aca="false">(parametros_manuales!$D$27*(datos_base!$E$2+datos_base!$E$18+IF(parametros_manuales!$H$27="Todos",datos_base!$E$9+datos_base!$E$23,0))*parametros_manuales!$B$95+parametros_manuales!$E$27*(datos_base!$E$3+datos_base!$E$19+IF(parametros_manuales!$H$27="Todos",datos_base!$E$10+datos_base!$E$24,0))*parametros_manuales!$B$100+parametros_manuales!$F$27*(datos_base!$E$4+datos_base!$E$20+IF(parametros_manuales!$H$27="Todos",datos_base!$E$11+datos_base!$E$25,0))*parametros_manuales!$B$105+parametros_manuales!$G$27*(datos_base!$E$5+datos_base!$E$21+IF(parametros_manuales!$H$27="Todos",datos_base!$E$12+datos_base!$E$26,0))*parametros_manuales!$B$110)*parametros_manuales!$I$27*parametros_manuales!$J$27</f>
        <v>1397.467258299</v>
      </c>
      <c r="C91" s="9" t="n">
        <f aca="false">(parametros_manuales!$D$27*(datos_base!$E$2+datos_base!$E$18+IF(parametros_manuales!$H$27="Todos",datos_base!$E$9+datos_base!$E$23,0))*parametros_manuales!$C$95+parametros_manuales!$E$27*(datos_base!$E$3+datos_base!$E$19+IF(parametros_manuales!$H$27="Todos",datos_base!$E$10+datos_base!$E$24,0))*parametros_manuales!$C$100+parametros_manuales!$F$27*(datos_base!$E$4+datos_base!$E$20+IF(parametros_manuales!$H$27="Todos",datos_base!$E$11+datos_base!$E$25,0))*parametros_manuales!$C$105+parametros_manuales!$G$27*(datos_base!$E$5+datos_base!$E$21+IF(parametros_manuales!$H$27="Todos",datos_base!$E$12+datos_base!$E$26,0))*parametros_manuales!$C$110)*parametros_manuales!$I$27*parametros_manuales!$J$27</f>
        <v>1242.193118488</v>
      </c>
      <c r="D91" s="9" t="n">
        <f aca="false">(parametros_manuales!$D$27*(datos_base!$E$2+datos_base!$E$18+IF(parametros_manuales!$H$27="Todos",datos_base!$E$9+datos_base!$E$23,0))*parametros_manuales!$D$95+parametros_manuales!$E$27*(datos_base!$E$3+datos_base!$E$19+IF(parametros_manuales!$H$27="Todos",datos_base!$E$10+datos_base!$E$24,0))*parametros_manuales!$D$100+parametros_manuales!$F$27*(datos_base!$E$4+datos_base!$E$20+IF(parametros_manuales!$H$27="Todos",datos_base!$E$11+datos_base!$E$25,0))*parametros_manuales!$D$105+parametros_manuales!$G$27*(datos_base!$E$5+datos_base!$E$21+IF(parametros_manuales!$H$27="Todos",datos_base!$E$12+datos_base!$E$26,0))*parametros_manuales!$D$110)*parametros_manuales!$I$27*parametros_manuales!$J$27</f>
        <v>1319.8301883935</v>
      </c>
      <c r="E91" s="9" t="n">
        <f aca="false">(parametros_manuales!$D$27*(datos_base!$E$2+datos_base!$E$18+IF(parametros_manuales!$H$27="Todos",datos_base!$E$9+datos_base!$E$23,0))*parametros_manuales!$E$95+parametros_manuales!$E$27*(datos_base!$E$3+datos_base!$E$19+IF(parametros_manuales!$H$27="Todos",datos_base!$E$10+datos_base!$E$24,0))*parametros_manuales!$E$100+parametros_manuales!$F$27*(datos_base!$E$4+datos_base!$E$20+IF(parametros_manuales!$H$27="Todos",datos_base!$E$11+datos_base!$E$25,0))*parametros_manuales!$E$105+parametros_manuales!$G$27*(datos_base!$E$5+datos_base!$E$21+IF(parametros_manuales!$H$27="Todos",datos_base!$E$12+datos_base!$E$26,0))*parametros_manuales!$E$110)*parametros_manuales!$I$27*parametros_manuales!$J$27</f>
        <v>1319.8301883935</v>
      </c>
      <c r="F91" s="9" t="n">
        <f aca="false">(parametros_manuales!$D$27*(datos_base!$E$2+datos_base!$E$18+IF(parametros_manuales!$H$27="Todos",datos_base!$E$9+datos_base!$E$23,0))*parametros_manuales!$F$95+parametros_manuales!$E$27*(datos_base!$E$3+datos_base!$E$19+IF(parametros_manuales!$H$27="Todos",datos_base!$E$10+datos_base!$E$24,0))*parametros_manuales!$F$100+parametros_manuales!$F$27*(datos_base!$E$4+datos_base!$E$20+IF(parametros_manuales!$H$27="Todos",datos_base!$E$11+datos_base!$E$25,0))*parametros_manuales!$F$105+parametros_manuales!$G$27*(datos_base!$E$5+datos_base!$E$21+IF(parametros_manuales!$H$27="Todos",datos_base!$E$12+datos_base!$E$26,0))*parametros_manuales!$F$110)*parametros_manuales!$I$27*parametros_manuales!$J$27</f>
        <v>1242.193118488</v>
      </c>
      <c r="G91" s="9" t="n">
        <f aca="false">(parametros_manuales!$D$27*(datos_base!$E$2+datos_base!$E$18+IF(parametros_manuales!$H$27="Todos",datos_base!$E$9+datos_base!$E$23,0))*parametros_manuales!$G$95+parametros_manuales!$E$27*(datos_base!$E$3+datos_base!$E$19+IF(parametros_manuales!$H$27="Todos",datos_base!$E$10+datos_base!$E$24,0))*parametros_manuales!$G$100+parametros_manuales!$F$27*(datos_base!$E$4+datos_base!$E$20+IF(parametros_manuales!$H$27="Todos",datos_base!$E$11+datos_base!$E$25,0))*parametros_manuales!$G$105+parametros_manuales!$G$27*(datos_base!$E$5+datos_base!$E$21+IF(parametros_manuales!$H$27="Todos",datos_base!$E$12+datos_base!$E$26,0))*parametros_manuales!$G$110)*parametros_manuales!$I$27*parametros_manuales!$J$27</f>
        <v>1164.5560485825</v>
      </c>
      <c r="H91" s="9" t="n">
        <f aca="false">(parametros_manuales!$D$27*(datos_base!$E$2+datos_base!$E$18+IF(parametros_manuales!$H$27="Todos",datos_base!$E$9+datos_base!$E$23,0))*parametros_manuales!$H$95+parametros_manuales!$E$27*(datos_base!$E$3+datos_base!$E$19+IF(parametros_manuales!$H$27="Todos",datos_base!$E$10+datos_base!$E$24,0))*parametros_manuales!$H$100+parametros_manuales!$F$27*(datos_base!$E$4+datos_base!$E$20+IF(parametros_manuales!$H$27="Todos",datos_base!$E$11+datos_base!$E$25,0))*parametros_manuales!$H$105+parametros_manuales!$G$27*(datos_base!$E$5+datos_base!$E$21+IF(parametros_manuales!$H$27="Todos",datos_base!$E$12+datos_base!$E$26,0))*parametros_manuales!$H$110)*parametros_manuales!$I$27*parametros_manuales!$J$27</f>
        <v>1242.193118488</v>
      </c>
      <c r="I91" s="9" t="n">
        <f aca="false">(parametros_manuales!$D$27*(datos_base!$E$2+datos_base!$E$18+IF(parametros_manuales!$H$27="Todos",datos_base!$E$9+datos_base!$E$23,0))*parametros_manuales!$I$95+parametros_manuales!$E$27*(datos_base!$E$3+datos_base!$E$19+IF(parametros_manuales!$H$27="Todos",datos_base!$E$10+datos_base!$E$24,0))*parametros_manuales!$I$100+parametros_manuales!$F$27*(datos_base!$E$4+datos_base!$E$20+IF(parametros_manuales!$H$27="Todos",datos_base!$E$11+datos_base!$E$25,0))*parametros_manuales!$I$105+parametros_manuales!$G$27*(datos_base!$E$5+datos_base!$E$21+IF(parametros_manuales!$H$27="Todos",datos_base!$E$12+datos_base!$E$26,0))*parametros_manuales!$I$110)*parametros_manuales!$I$27*parametros_manuales!$J$27</f>
        <v>1242.193118488</v>
      </c>
      <c r="J91" s="9" t="n">
        <f aca="false">(parametros_manuales!$D$27*(datos_base!$E$2+datos_base!$E$18+IF(parametros_manuales!$H$27="Todos",datos_base!$E$9+datos_base!$E$23,0))*parametros_manuales!$J$95+parametros_manuales!$E$27*(datos_base!$E$3+datos_base!$E$19+IF(parametros_manuales!$H$27="Todos",datos_base!$E$10+datos_base!$E$24,0))*parametros_manuales!$J$100+parametros_manuales!$F$27*(datos_base!$E$4+datos_base!$E$20+IF(parametros_manuales!$H$27="Todos",datos_base!$E$11+datos_base!$E$25,0))*parametros_manuales!$J$105+parametros_manuales!$G$27*(datos_base!$E$5+datos_base!$E$21+IF(parametros_manuales!$H$27="Todos",datos_base!$E$12+datos_base!$E$26,0))*parametros_manuales!$J$110)*parametros_manuales!$I$27*parametros_manuales!$J$27</f>
        <v>1242.193118488</v>
      </c>
      <c r="K91" s="9" t="n">
        <f aca="false">(parametros_manuales!$D$27*(datos_base!$E$2+datos_base!$E$18+IF(parametros_manuales!$H$27="Todos",datos_base!$E$9+datos_base!$E$23,0))*parametros_manuales!$K$95+parametros_manuales!$E$27*(datos_base!$E$3+datos_base!$E$19+IF(parametros_manuales!$H$27="Todos",datos_base!$E$10+datos_base!$E$24,0))*parametros_manuales!$K$100+parametros_manuales!$F$27*(datos_base!$E$4+datos_base!$E$20+IF(parametros_manuales!$H$27="Todos",datos_base!$E$11+datos_base!$E$25,0))*parametros_manuales!$K$105+parametros_manuales!$G$27*(datos_base!$E$5+datos_base!$E$21+IF(parametros_manuales!$H$27="Todos",datos_base!$E$12+datos_base!$E$26,0))*parametros_manuales!$K$110)*parametros_manuales!$I$27*parametros_manuales!$J$27</f>
        <v>1319.8301883935</v>
      </c>
      <c r="L91" s="9" t="n">
        <f aca="false">(parametros_manuales!$D$27*(datos_base!$E$2+datos_base!$E$18+IF(parametros_manuales!$H$27="Todos",datos_base!$E$9+datos_base!$E$23,0))*parametros_manuales!$L$95+parametros_manuales!$E$27*(datos_base!$E$3+datos_base!$E$19+IF(parametros_manuales!$H$27="Todos",datos_base!$E$10+datos_base!$E$24,0))*parametros_manuales!$L$100+parametros_manuales!$F$27*(datos_base!$E$4+datos_base!$E$20+IF(parametros_manuales!$H$27="Todos",datos_base!$E$11+datos_base!$E$25,0))*parametros_manuales!$L$105+parametros_manuales!$G$27*(datos_base!$E$5+datos_base!$E$21+IF(parametros_manuales!$H$27="Todos",datos_base!$E$12+datos_base!$E$26,0))*parametros_manuales!$L$110)*parametros_manuales!$I$27*parametros_manuales!$J$27</f>
        <v>1397.467258299</v>
      </c>
      <c r="M91" s="9" t="n">
        <f aca="false">(parametros_manuales!$D$27*(datos_base!$E$2+datos_base!$E$18+IF(parametros_manuales!$H$27="Todos",datos_base!$E$9+datos_base!$E$23,0))*parametros_manuales!$M$95+parametros_manuales!$E$27*(datos_base!$E$3+datos_base!$E$19+IF(parametros_manuales!$H$27="Todos",datos_base!$E$10+datos_base!$E$24,0))*parametros_manuales!$M$100+parametros_manuales!$F$27*(datos_base!$E$4+datos_base!$E$20+IF(parametros_manuales!$H$27="Todos",datos_base!$E$11+datos_base!$E$25,0))*parametros_manuales!$M$105+parametros_manuales!$G$27*(datos_base!$E$5+datos_base!$E$21+IF(parametros_manuales!$H$27="Todos",datos_base!$E$12+datos_base!$E$26,0))*parametros_manuales!$M$110)*parametros_manuales!$I$27*parametros_manuales!$J$27</f>
        <v>1397.467258299</v>
      </c>
      <c r="N91" s="9" t="n">
        <f aca="false">SUM(B91:M91)</f>
        <v>15527.4139811</v>
      </c>
      <c r="O91" s="9" t="n">
        <f aca="false">MAX(B91:M91)</f>
        <v>1397.467258299</v>
      </c>
      <c r="P91" s="43" t="n">
        <f aca="false">O91/(parametros_manuales!$B$7)</f>
        <v>9.31644838866</v>
      </c>
      <c r="Q91" s="8" t="str">
        <f aca="false">IF(O91=0,"-",INDEX($B$82:$M$82,MATCH(O91,B91:M91,0)))</f>
        <v>Ene</v>
      </c>
    </row>
    <row r="92" customFormat="false" ht="14.25" hidden="false" customHeight="true" outlineLevel="0" collapsed="false">
      <c r="A92" s="8" t="str">
        <f aca="false">parametros_manuales!$B$28</f>
        <v>Encastre de fondo</v>
      </c>
      <c r="B92" s="9" t="n">
        <f aca="false">(parametros_manuales!$D$28*(datos_base!$E$2+datos_base!$E$18+IF(parametros_manuales!$H$28="Todos",datos_base!$E$9+datos_base!$E$23,0))*parametros_manuales!$B$95+parametros_manuales!$E$28*(datos_base!$E$3+datos_base!$E$19+IF(parametros_manuales!$H$28="Todos",datos_base!$E$10+datos_base!$E$24,0))*parametros_manuales!$B$100+parametros_manuales!$F$28*(datos_base!$E$4+datos_base!$E$20+IF(parametros_manuales!$H$28="Todos",datos_base!$E$11+datos_base!$E$25,0))*parametros_manuales!$B$105+parametros_manuales!$G$28*(datos_base!$E$5+datos_base!$E$21+IF(parametros_manuales!$H$28="Todos",datos_base!$E$12+datos_base!$E$26,0))*parametros_manuales!$B$110)*parametros_manuales!$I$28*parametros_manuales!$J$28</f>
        <v>4562.041457709</v>
      </c>
      <c r="C92" s="9" t="n">
        <f aca="false">(parametros_manuales!$D$28*(datos_base!$E$2+datos_base!$E$18+IF(parametros_manuales!$H$28="Todos",datos_base!$E$9+datos_base!$E$23,0))*parametros_manuales!$C$95+parametros_manuales!$E$28*(datos_base!$E$3+datos_base!$E$19+IF(parametros_manuales!$H$28="Todos",datos_base!$E$10+datos_base!$E$24,0))*parametros_manuales!$C$100+parametros_manuales!$F$28*(datos_base!$E$4+datos_base!$E$20+IF(parametros_manuales!$H$28="Todos",datos_base!$E$11+datos_base!$E$25,0))*parametros_manuales!$C$105+parametros_manuales!$G$28*(datos_base!$E$5+datos_base!$E$21+IF(parametros_manuales!$H$28="Todos",datos_base!$E$12+datos_base!$E$26,0))*parametros_manuales!$C$110)*parametros_manuales!$I$28*parametros_manuales!$J$28</f>
        <v>4406.767317898</v>
      </c>
      <c r="D92" s="9" t="n">
        <f aca="false">(parametros_manuales!$D$28*(datos_base!$E$2+datos_base!$E$18+IF(parametros_manuales!$H$28="Todos",datos_base!$E$9+datos_base!$E$23,0))*parametros_manuales!$D$95+parametros_manuales!$E$28*(datos_base!$E$3+datos_base!$E$19+IF(parametros_manuales!$H$28="Todos",datos_base!$E$10+datos_base!$E$24,0))*parametros_manuales!$D$100+parametros_manuales!$F$28*(datos_base!$E$4+datos_base!$E$20+IF(parametros_manuales!$H$28="Todos",datos_base!$E$11+datos_base!$E$25,0))*parametros_manuales!$D$105+parametros_manuales!$G$28*(datos_base!$E$5+datos_base!$E$21+IF(parametros_manuales!$H$28="Todos",datos_base!$E$12+datos_base!$E$26,0))*parametros_manuales!$D$110)*parametros_manuales!$I$28*parametros_manuales!$J$28</f>
        <v>4132.7850323135</v>
      </c>
      <c r="E92" s="9" t="n">
        <f aca="false">(parametros_manuales!$D$28*(datos_base!$E$2+datos_base!$E$18+IF(parametros_manuales!$H$28="Todos",datos_base!$E$9+datos_base!$E$23,0))*parametros_manuales!$E$95+parametros_manuales!$E$28*(datos_base!$E$3+datos_base!$E$19+IF(parametros_manuales!$H$28="Todos",datos_base!$E$10+datos_base!$E$24,0))*parametros_manuales!$E$100+parametros_manuales!$F$28*(datos_base!$E$4+datos_base!$E$20+IF(parametros_manuales!$H$28="Todos",datos_base!$E$11+datos_base!$E$25,0))*parametros_manuales!$E$105+parametros_manuales!$G$28*(datos_base!$E$5+datos_base!$E$21+IF(parametros_manuales!$H$28="Todos",datos_base!$E$12+datos_base!$E$26,0))*parametros_manuales!$E$110)*parametros_manuales!$I$28*parametros_manuales!$J$28</f>
        <v>3956.9753545685</v>
      </c>
      <c r="F92" s="9" t="n">
        <f aca="false">(parametros_manuales!$D$28*(datos_base!$E$2+datos_base!$E$18+IF(parametros_manuales!$H$28="Todos",datos_base!$E$9+datos_base!$E$23,0))*parametros_manuales!$F$95+parametros_manuales!$E$28*(datos_base!$E$3+datos_base!$E$19+IF(parametros_manuales!$H$28="Todos",datos_base!$E$10+datos_base!$E$24,0))*parametros_manuales!$F$100+parametros_manuales!$F$28*(datos_base!$E$4+datos_base!$E$20+IF(parametros_manuales!$H$28="Todos",datos_base!$E$11+datos_base!$E$25,0))*parametros_manuales!$F$105+parametros_manuales!$G$28*(datos_base!$E$5+datos_base!$E$21+IF(parametros_manuales!$H$28="Todos",datos_base!$E$12+datos_base!$E$26,0))*parametros_manuales!$F$110)*parametros_manuales!$I$28*parametros_manuales!$J$28</f>
        <v>3703.528606918</v>
      </c>
      <c r="G92" s="9" t="n">
        <f aca="false">(parametros_manuales!$D$28*(datos_base!$E$2+datos_base!$E$18+IF(parametros_manuales!$H$28="Todos",datos_base!$E$9+datos_base!$E$23,0))*parametros_manuales!$G$95+parametros_manuales!$E$28*(datos_base!$E$3+datos_base!$E$19+IF(parametros_manuales!$H$28="Todos",datos_base!$E$10+datos_base!$E$24,0))*parametros_manuales!$G$100+parametros_manuales!$F$28*(datos_base!$E$4+datos_base!$E$20+IF(parametros_manuales!$H$28="Todos",datos_base!$E$11+datos_base!$E$25,0))*parametros_manuales!$G$105+parametros_manuales!$G$28*(datos_base!$E$5+datos_base!$E$21+IF(parametros_manuales!$H$28="Todos",datos_base!$E$12+datos_base!$E$26,0))*parametros_manuales!$G$110)*parametros_manuales!$I$28*parametros_manuales!$J$28</f>
        <v>3625.8915370125</v>
      </c>
      <c r="H92" s="9" t="n">
        <f aca="false">(parametros_manuales!$D$28*(datos_base!$E$2+datos_base!$E$18+IF(parametros_manuales!$H$28="Todos",datos_base!$E$9+datos_base!$E$23,0))*parametros_manuales!$H$95+parametros_manuales!$E$28*(datos_base!$E$3+datos_base!$E$19+IF(parametros_manuales!$H$28="Todos",datos_base!$E$10+datos_base!$E$24,0))*parametros_manuales!$H$100+parametros_manuales!$F$28*(datos_base!$E$4+datos_base!$E$20+IF(parametros_manuales!$H$28="Todos",datos_base!$E$11+datos_base!$E$25,0))*parametros_manuales!$H$105+parametros_manuales!$G$28*(datos_base!$E$5+datos_base!$E$21+IF(parametros_manuales!$H$28="Todos",datos_base!$E$12+datos_base!$E$26,0))*parametros_manuales!$H$110)*parametros_manuales!$I$28*parametros_manuales!$J$28</f>
        <v>3879.338284663</v>
      </c>
      <c r="I92" s="9" t="n">
        <f aca="false">(parametros_manuales!$D$28*(datos_base!$E$2+datos_base!$E$18+IF(parametros_manuales!$H$28="Todos",datos_base!$E$9+datos_base!$E$23,0))*parametros_manuales!$I$95+parametros_manuales!$E$28*(datos_base!$E$3+datos_base!$E$19+IF(parametros_manuales!$H$28="Todos",datos_base!$E$10+datos_base!$E$24,0))*parametros_manuales!$I$100+parametros_manuales!$F$28*(datos_base!$E$4+datos_base!$E$20+IF(parametros_manuales!$H$28="Todos",datos_base!$E$11+datos_base!$E$25,0))*parametros_manuales!$I$105+parametros_manuales!$G$28*(datos_base!$E$5+datos_base!$E$21+IF(parametros_manuales!$H$28="Todos",datos_base!$E$12+datos_base!$E$26,0))*parametros_manuales!$I$110)*parametros_manuales!$I$28*parametros_manuales!$J$28</f>
        <v>4406.767317898</v>
      </c>
      <c r="J92" s="9" t="n">
        <f aca="false">(parametros_manuales!$D$28*(datos_base!$E$2+datos_base!$E$18+IF(parametros_manuales!$H$28="Todos",datos_base!$E$9+datos_base!$E$23,0))*parametros_manuales!$J$95+parametros_manuales!$E$28*(datos_base!$E$3+datos_base!$E$19+IF(parametros_manuales!$H$28="Todos",datos_base!$E$10+datos_base!$E$24,0))*parametros_manuales!$J$100+parametros_manuales!$F$28*(datos_base!$E$4+datos_base!$E$20+IF(parametros_manuales!$H$28="Todos",datos_base!$E$11+datos_base!$E$25,0))*parametros_manuales!$J$105+parametros_manuales!$G$28*(datos_base!$E$5+datos_base!$E$21+IF(parametros_manuales!$H$28="Todos",datos_base!$E$12+datos_base!$E$26,0))*parametros_manuales!$J$110)*parametros_manuales!$I$28*parametros_manuales!$J$28</f>
        <v>4406.767317898</v>
      </c>
      <c r="K92" s="9" t="n">
        <f aca="false">(parametros_manuales!$D$28*(datos_base!$E$2+datos_base!$E$18+IF(parametros_manuales!$H$28="Todos",datos_base!$E$9+datos_base!$E$23,0))*parametros_manuales!$K$95+parametros_manuales!$E$28*(datos_base!$E$3+datos_base!$E$19+IF(parametros_manuales!$H$28="Todos",datos_base!$E$10+datos_base!$E$24,0))*parametros_manuales!$K$100+parametros_manuales!$F$28*(datos_base!$E$4+datos_base!$E$20+IF(parametros_manuales!$H$28="Todos",datos_base!$E$11+datos_base!$E$25,0))*parametros_manuales!$K$105+parametros_manuales!$G$28*(datos_base!$E$5+datos_base!$E$21+IF(parametros_manuales!$H$28="Todos",datos_base!$E$12+datos_base!$E$26,0))*parametros_manuales!$K$110)*parametros_manuales!$I$28*parametros_manuales!$J$28</f>
        <v>4484.4043878035</v>
      </c>
      <c r="L92" s="9" t="n">
        <f aca="false">(parametros_manuales!$D$28*(datos_base!$E$2+datos_base!$E$18+IF(parametros_manuales!$H$28="Todos",datos_base!$E$9+datos_base!$E$23,0))*parametros_manuales!$L$95+parametros_manuales!$E$28*(datos_base!$E$3+datos_base!$E$19+IF(parametros_manuales!$H$28="Todos",datos_base!$E$10+datos_base!$E$24,0))*parametros_manuales!$L$100+parametros_manuales!$F$28*(datos_base!$E$4+datos_base!$E$20+IF(parametros_manuales!$H$28="Todos",datos_base!$E$11+datos_base!$E$25,0))*parametros_manuales!$L$105+parametros_manuales!$G$28*(datos_base!$E$5+datos_base!$E$21+IF(parametros_manuales!$H$28="Todos",datos_base!$E$12+datos_base!$E$26,0))*parametros_manuales!$L$110)*parametros_manuales!$I$28*parametros_manuales!$J$28</f>
        <v>4562.041457709</v>
      </c>
      <c r="M92" s="9" t="n">
        <f aca="false">(parametros_manuales!$D$28*(datos_base!$E$2+datos_base!$E$18+IF(parametros_manuales!$H$28="Todos",datos_base!$E$9+datos_base!$E$23,0))*parametros_manuales!$M$95+parametros_manuales!$E$28*(datos_base!$E$3+datos_base!$E$19+IF(parametros_manuales!$H$28="Todos",datos_base!$E$10+datos_base!$E$24,0))*parametros_manuales!$M$100+parametros_manuales!$F$28*(datos_base!$E$4+datos_base!$E$20+IF(parametros_manuales!$H$28="Todos",datos_base!$E$11+datos_base!$E$25,0))*parametros_manuales!$M$105+parametros_manuales!$G$28*(datos_base!$E$5+datos_base!$E$21+IF(parametros_manuales!$H$28="Todos",datos_base!$E$12+datos_base!$E$26,0))*parametros_manuales!$M$110)*parametros_manuales!$I$28*parametros_manuales!$J$28</f>
        <v>4562.041457709</v>
      </c>
      <c r="N92" s="9" t="n">
        <f aca="false">SUM(B92:M92)</f>
        <v>50689.3495301</v>
      </c>
      <c r="O92" s="9" t="n">
        <f aca="false">MAX(B92:M92)</f>
        <v>4562.041457709</v>
      </c>
      <c r="P92" s="43" t="n">
        <f aca="false">O92/(parametros_manuales!$B$7)</f>
        <v>30.41360971806</v>
      </c>
      <c r="Q92" s="8" t="str">
        <f aca="false">IF(O92=0,"-",INDEX($B$82:$M$82,MATCH(O92,B92:M92,0)))</f>
        <v>Ene</v>
      </c>
    </row>
    <row r="93" customFormat="false" ht="14.25" hidden="false" customHeight="true" outlineLevel="0" collapsed="false">
      <c r="A93" s="8" t="str">
        <f aca="false">parametros_manuales!$B$29</f>
        <v>Bordoneado</v>
      </c>
      <c r="B93" s="9" t="n">
        <f aca="false">(parametros_manuales!$D$29*(datos_base!$E$2+datos_base!$E$18+IF(parametros_manuales!$H$29="Todos",datos_base!$E$9+datos_base!$E$23,0))*parametros_manuales!$B$95+parametros_manuales!$E$29*(datos_base!$E$3+datos_base!$E$19+IF(parametros_manuales!$H$29="Todos",datos_base!$E$10+datos_base!$E$24,0))*parametros_manuales!$B$100+parametros_manuales!$F$29*(datos_base!$E$4+datos_base!$E$20+IF(parametros_manuales!$H$29="Todos",datos_base!$E$11+datos_base!$E$25,0))*parametros_manuales!$B$105+parametros_manuales!$G$29*(datos_base!$E$5+datos_base!$E$21+IF(parametros_manuales!$H$29="Todos",datos_base!$E$12+datos_base!$E$26,0))*parametros_manuales!$B$110)*parametros_manuales!$I$29*parametros_manuales!$J$29</f>
        <v>4562.041457709</v>
      </c>
      <c r="C93" s="9" t="n">
        <f aca="false">(parametros_manuales!$D$29*(datos_base!$E$2+datos_base!$E$18+IF(parametros_manuales!$H$29="Todos",datos_base!$E$9+datos_base!$E$23,0))*parametros_manuales!$C$95+parametros_manuales!$E$29*(datos_base!$E$3+datos_base!$E$19+IF(parametros_manuales!$H$29="Todos",datos_base!$E$10+datos_base!$E$24,0))*parametros_manuales!$C$100+parametros_manuales!$F$29*(datos_base!$E$4+datos_base!$E$20+IF(parametros_manuales!$H$29="Todos",datos_base!$E$11+datos_base!$E$25,0))*parametros_manuales!$C$105+parametros_manuales!$G$29*(datos_base!$E$5+datos_base!$E$21+IF(parametros_manuales!$H$29="Todos",datos_base!$E$12+datos_base!$E$26,0))*parametros_manuales!$C$110)*parametros_manuales!$I$29*parametros_manuales!$J$29</f>
        <v>4406.767317898</v>
      </c>
      <c r="D93" s="9" t="n">
        <f aca="false">(parametros_manuales!$D$29*(datos_base!$E$2+datos_base!$E$18+IF(parametros_manuales!$H$29="Todos",datos_base!$E$9+datos_base!$E$23,0))*parametros_manuales!$D$95+parametros_manuales!$E$29*(datos_base!$E$3+datos_base!$E$19+IF(parametros_manuales!$H$29="Todos",datos_base!$E$10+datos_base!$E$24,0))*parametros_manuales!$D$100+parametros_manuales!$F$29*(datos_base!$E$4+datos_base!$E$20+IF(parametros_manuales!$H$29="Todos",datos_base!$E$11+datos_base!$E$25,0))*parametros_manuales!$D$105+parametros_manuales!$G$29*(datos_base!$E$5+datos_base!$E$21+IF(parametros_manuales!$H$29="Todos",datos_base!$E$12+datos_base!$E$26,0))*parametros_manuales!$D$110)*parametros_manuales!$I$29*parametros_manuales!$J$29</f>
        <v>4132.7850323135</v>
      </c>
      <c r="E93" s="9" t="n">
        <f aca="false">(parametros_manuales!$D$29*(datos_base!$E$2+datos_base!$E$18+IF(parametros_manuales!$H$29="Todos",datos_base!$E$9+datos_base!$E$23,0))*parametros_manuales!$E$95+parametros_manuales!$E$29*(datos_base!$E$3+datos_base!$E$19+IF(parametros_manuales!$H$29="Todos",datos_base!$E$10+datos_base!$E$24,0))*parametros_manuales!$E$100+parametros_manuales!$F$29*(datos_base!$E$4+datos_base!$E$20+IF(parametros_manuales!$H$29="Todos",datos_base!$E$11+datos_base!$E$25,0))*parametros_manuales!$E$105+parametros_manuales!$G$29*(datos_base!$E$5+datos_base!$E$21+IF(parametros_manuales!$H$29="Todos",datos_base!$E$12+datos_base!$E$26,0))*parametros_manuales!$E$110)*parametros_manuales!$I$29*parametros_manuales!$J$29</f>
        <v>3956.9753545685</v>
      </c>
      <c r="F93" s="9" t="n">
        <f aca="false">(parametros_manuales!$D$29*(datos_base!$E$2+datos_base!$E$18+IF(parametros_manuales!$H$29="Todos",datos_base!$E$9+datos_base!$E$23,0))*parametros_manuales!$F$95+parametros_manuales!$E$29*(datos_base!$E$3+datos_base!$E$19+IF(parametros_manuales!$H$29="Todos",datos_base!$E$10+datos_base!$E$24,0))*parametros_manuales!$F$100+parametros_manuales!$F$29*(datos_base!$E$4+datos_base!$E$20+IF(parametros_manuales!$H$29="Todos",datos_base!$E$11+datos_base!$E$25,0))*parametros_manuales!$F$105+parametros_manuales!$G$29*(datos_base!$E$5+datos_base!$E$21+IF(parametros_manuales!$H$29="Todos",datos_base!$E$12+datos_base!$E$26,0))*parametros_manuales!$F$110)*parametros_manuales!$I$29*parametros_manuales!$J$29</f>
        <v>3703.528606918</v>
      </c>
      <c r="G93" s="9" t="n">
        <f aca="false">(parametros_manuales!$D$29*(datos_base!$E$2+datos_base!$E$18+IF(parametros_manuales!$H$29="Todos",datos_base!$E$9+datos_base!$E$23,0))*parametros_manuales!$G$95+parametros_manuales!$E$29*(datos_base!$E$3+datos_base!$E$19+IF(parametros_manuales!$H$29="Todos",datos_base!$E$10+datos_base!$E$24,0))*parametros_manuales!$G$100+parametros_manuales!$F$29*(datos_base!$E$4+datos_base!$E$20+IF(parametros_manuales!$H$29="Todos",datos_base!$E$11+datos_base!$E$25,0))*parametros_manuales!$G$105+parametros_manuales!$G$29*(datos_base!$E$5+datos_base!$E$21+IF(parametros_manuales!$H$29="Todos",datos_base!$E$12+datos_base!$E$26,0))*parametros_manuales!$G$110)*parametros_manuales!$I$29*parametros_manuales!$J$29</f>
        <v>3625.8915370125</v>
      </c>
      <c r="H93" s="9" t="n">
        <f aca="false">(parametros_manuales!$D$29*(datos_base!$E$2+datos_base!$E$18+IF(parametros_manuales!$H$29="Todos",datos_base!$E$9+datos_base!$E$23,0))*parametros_manuales!$H$95+parametros_manuales!$E$29*(datos_base!$E$3+datos_base!$E$19+IF(parametros_manuales!$H$29="Todos",datos_base!$E$10+datos_base!$E$24,0))*parametros_manuales!$H$100+parametros_manuales!$F$29*(datos_base!$E$4+datos_base!$E$20+IF(parametros_manuales!$H$29="Todos",datos_base!$E$11+datos_base!$E$25,0))*parametros_manuales!$H$105+parametros_manuales!$G$29*(datos_base!$E$5+datos_base!$E$21+IF(parametros_manuales!$H$29="Todos",datos_base!$E$12+datos_base!$E$26,0))*parametros_manuales!$H$110)*parametros_manuales!$I$29*parametros_manuales!$J$29</f>
        <v>3879.338284663</v>
      </c>
      <c r="I93" s="9" t="n">
        <f aca="false">(parametros_manuales!$D$29*(datos_base!$E$2+datos_base!$E$18+IF(parametros_manuales!$H$29="Todos",datos_base!$E$9+datos_base!$E$23,0))*parametros_manuales!$I$95+parametros_manuales!$E$29*(datos_base!$E$3+datos_base!$E$19+IF(parametros_manuales!$H$29="Todos",datos_base!$E$10+datos_base!$E$24,0))*parametros_manuales!$I$100+parametros_manuales!$F$29*(datos_base!$E$4+datos_base!$E$20+IF(parametros_manuales!$H$29="Todos",datos_base!$E$11+datos_base!$E$25,0))*parametros_manuales!$I$105+parametros_manuales!$G$29*(datos_base!$E$5+datos_base!$E$21+IF(parametros_manuales!$H$29="Todos",datos_base!$E$12+datos_base!$E$26,0))*parametros_manuales!$I$110)*parametros_manuales!$I$29*parametros_manuales!$J$29</f>
        <v>4406.767317898</v>
      </c>
      <c r="J93" s="9" t="n">
        <f aca="false">(parametros_manuales!$D$29*(datos_base!$E$2+datos_base!$E$18+IF(parametros_manuales!$H$29="Todos",datos_base!$E$9+datos_base!$E$23,0))*parametros_manuales!$J$95+parametros_manuales!$E$29*(datos_base!$E$3+datos_base!$E$19+IF(parametros_manuales!$H$29="Todos",datos_base!$E$10+datos_base!$E$24,0))*parametros_manuales!$J$100+parametros_manuales!$F$29*(datos_base!$E$4+datos_base!$E$20+IF(parametros_manuales!$H$29="Todos",datos_base!$E$11+datos_base!$E$25,0))*parametros_manuales!$J$105+parametros_manuales!$G$29*(datos_base!$E$5+datos_base!$E$21+IF(parametros_manuales!$H$29="Todos",datos_base!$E$12+datos_base!$E$26,0))*parametros_manuales!$J$110)*parametros_manuales!$I$29*parametros_manuales!$J$29</f>
        <v>4406.767317898</v>
      </c>
      <c r="K93" s="9" t="n">
        <f aca="false">(parametros_manuales!$D$29*(datos_base!$E$2+datos_base!$E$18+IF(parametros_manuales!$H$29="Todos",datos_base!$E$9+datos_base!$E$23,0))*parametros_manuales!$K$95+parametros_manuales!$E$29*(datos_base!$E$3+datos_base!$E$19+IF(parametros_manuales!$H$29="Todos",datos_base!$E$10+datos_base!$E$24,0))*parametros_manuales!$K$100+parametros_manuales!$F$29*(datos_base!$E$4+datos_base!$E$20+IF(parametros_manuales!$H$29="Todos",datos_base!$E$11+datos_base!$E$25,0))*parametros_manuales!$K$105+parametros_manuales!$G$29*(datos_base!$E$5+datos_base!$E$21+IF(parametros_manuales!$H$29="Todos",datos_base!$E$12+datos_base!$E$26,0))*parametros_manuales!$K$110)*parametros_manuales!$I$29*parametros_manuales!$J$29</f>
        <v>4484.4043878035</v>
      </c>
      <c r="L93" s="9" t="n">
        <f aca="false">(parametros_manuales!$D$29*(datos_base!$E$2+datos_base!$E$18+IF(parametros_manuales!$H$29="Todos",datos_base!$E$9+datos_base!$E$23,0))*parametros_manuales!$L$95+parametros_manuales!$E$29*(datos_base!$E$3+datos_base!$E$19+IF(parametros_manuales!$H$29="Todos",datos_base!$E$10+datos_base!$E$24,0))*parametros_manuales!$L$100+parametros_manuales!$F$29*(datos_base!$E$4+datos_base!$E$20+IF(parametros_manuales!$H$29="Todos",datos_base!$E$11+datos_base!$E$25,0))*parametros_manuales!$L$105+parametros_manuales!$G$29*(datos_base!$E$5+datos_base!$E$21+IF(parametros_manuales!$H$29="Todos",datos_base!$E$12+datos_base!$E$26,0))*parametros_manuales!$L$110)*parametros_manuales!$I$29*parametros_manuales!$J$29</f>
        <v>4562.041457709</v>
      </c>
      <c r="M93" s="9" t="n">
        <f aca="false">(parametros_manuales!$D$29*(datos_base!$E$2+datos_base!$E$18+IF(parametros_manuales!$H$29="Todos",datos_base!$E$9+datos_base!$E$23,0))*parametros_manuales!$M$95+parametros_manuales!$E$29*(datos_base!$E$3+datos_base!$E$19+IF(parametros_manuales!$H$29="Todos",datos_base!$E$10+datos_base!$E$24,0))*parametros_manuales!$M$100+parametros_manuales!$F$29*(datos_base!$E$4+datos_base!$E$20+IF(parametros_manuales!$H$29="Todos",datos_base!$E$11+datos_base!$E$25,0))*parametros_manuales!$M$105+parametros_manuales!$G$29*(datos_base!$E$5+datos_base!$E$21+IF(parametros_manuales!$H$29="Todos",datos_base!$E$12+datos_base!$E$26,0))*parametros_manuales!$M$110)*parametros_manuales!$I$29*parametros_manuales!$J$29</f>
        <v>4562.041457709</v>
      </c>
      <c r="N93" s="9" t="n">
        <f aca="false">SUM(B93:M93)</f>
        <v>50689.3495301</v>
      </c>
      <c r="O93" s="9" t="n">
        <f aca="false">MAX(B93:M93)</f>
        <v>4562.041457709</v>
      </c>
      <c r="P93" s="43" t="n">
        <f aca="false">O93/(parametros_manuales!$B$7)</f>
        <v>30.41360971806</v>
      </c>
      <c r="Q93" s="8" t="str">
        <f aca="false">IF(O93=0,"-",INDEX($B$82:$M$82,MATCH(O93,B93:M93,0)))</f>
        <v>Ene</v>
      </c>
    </row>
    <row r="94" customFormat="false" ht="14.25" hidden="false" customHeight="true" outlineLevel="0" collapsed="false">
      <c r="A94" s="8" t="str">
        <f aca="false">parametros_manuales!$B$30</f>
        <v>Soldadura circunferencial de cúpula y fondo</v>
      </c>
      <c r="B94" s="9" t="n">
        <f aca="false">(parametros_manuales!$D$30*(datos_base!$E$2+datos_base!$E$18+IF(parametros_manuales!$H$30="Todos",datos_base!$E$9+datos_base!$E$23,0))*parametros_manuales!$B$95+parametros_manuales!$E$30*(datos_base!$E$3+datos_base!$E$19+IF(parametros_manuales!$H$30="Todos",datos_base!$E$10+datos_base!$E$24,0))*parametros_manuales!$B$100+parametros_manuales!$F$30*(datos_base!$E$4+datos_base!$E$20+IF(parametros_manuales!$H$30="Todos",datos_base!$E$11+datos_base!$E$25,0))*parametros_manuales!$B$105+parametros_manuales!$G$30*(datos_base!$E$5+datos_base!$E$21+IF(parametros_manuales!$H$30="Todos",datos_base!$E$12+datos_base!$E$26,0))*parametros_manuales!$B$110)*parametros_manuales!$I$30*parametros_manuales!$J$30</f>
        <v>4562.041457709</v>
      </c>
      <c r="C94" s="9" t="n">
        <f aca="false">(parametros_manuales!$D$30*(datos_base!$E$2+datos_base!$E$18+IF(parametros_manuales!$H$30="Todos",datos_base!$E$9+datos_base!$E$23,0))*parametros_manuales!$C$95+parametros_manuales!$E$30*(datos_base!$E$3+datos_base!$E$19+IF(parametros_manuales!$H$30="Todos",datos_base!$E$10+datos_base!$E$24,0))*parametros_manuales!$C$100+parametros_manuales!$F$30*(datos_base!$E$4+datos_base!$E$20+IF(parametros_manuales!$H$30="Todos",datos_base!$E$11+datos_base!$E$25,0))*parametros_manuales!$C$105+parametros_manuales!$G$30*(datos_base!$E$5+datos_base!$E$21+IF(parametros_manuales!$H$30="Todos",datos_base!$E$12+datos_base!$E$26,0))*parametros_manuales!$C$110)*parametros_manuales!$I$30*parametros_manuales!$J$30</f>
        <v>4406.767317898</v>
      </c>
      <c r="D94" s="9" t="n">
        <f aca="false">(parametros_manuales!$D$30*(datos_base!$E$2+datos_base!$E$18+IF(parametros_manuales!$H$30="Todos",datos_base!$E$9+datos_base!$E$23,0))*parametros_manuales!$D$95+parametros_manuales!$E$30*(datos_base!$E$3+datos_base!$E$19+IF(parametros_manuales!$H$30="Todos",datos_base!$E$10+datos_base!$E$24,0))*parametros_manuales!$D$100+parametros_manuales!$F$30*(datos_base!$E$4+datos_base!$E$20+IF(parametros_manuales!$H$30="Todos",datos_base!$E$11+datos_base!$E$25,0))*parametros_manuales!$D$105+parametros_manuales!$G$30*(datos_base!$E$5+datos_base!$E$21+IF(parametros_manuales!$H$30="Todos",datos_base!$E$12+datos_base!$E$26,0))*parametros_manuales!$D$110)*parametros_manuales!$I$30*parametros_manuales!$J$30</f>
        <v>4132.7850323135</v>
      </c>
      <c r="E94" s="9" t="n">
        <f aca="false">(parametros_manuales!$D$30*(datos_base!$E$2+datos_base!$E$18+IF(parametros_manuales!$H$30="Todos",datos_base!$E$9+datos_base!$E$23,0))*parametros_manuales!$E$95+parametros_manuales!$E$30*(datos_base!$E$3+datos_base!$E$19+IF(parametros_manuales!$H$30="Todos",datos_base!$E$10+datos_base!$E$24,0))*parametros_manuales!$E$100+parametros_manuales!$F$30*(datos_base!$E$4+datos_base!$E$20+IF(parametros_manuales!$H$30="Todos",datos_base!$E$11+datos_base!$E$25,0))*parametros_manuales!$E$105+parametros_manuales!$G$30*(datos_base!$E$5+datos_base!$E$21+IF(parametros_manuales!$H$30="Todos",datos_base!$E$12+datos_base!$E$26,0))*parametros_manuales!$E$110)*parametros_manuales!$I$30*parametros_manuales!$J$30</f>
        <v>3956.9753545685</v>
      </c>
      <c r="F94" s="9" t="n">
        <f aca="false">(parametros_manuales!$D$30*(datos_base!$E$2+datos_base!$E$18+IF(parametros_manuales!$H$30="Todos",datos_base!$E$9+datos_base!$E$23,0))*parametros_manuales!$F$95+parametros_manuales!$E$30*(datos_base!$E$3+datos_base!$E$19+IF(parametros_manuales!$H$30="Todos",datos_base!$E$10+datos_base!$E$24,0))*parametros_manuales!$F$100+parametros_manuales!$F$30*(datos_base!$E$4+datos_base!$E$20+IF(parametros_manuales!$H$30="Todos",datos_base!$E$11+datos_base!$E$25,0))*parametros_manuales!$F$105+parametros_manuales!$G$30*(datos_base!$E$5+datos_base!$E$21+IF(parametros_manuales!$H$30="Todos",datos_base!$E$12+datos_base!$E$26,0))*parametros_manuales!$F$110)*parametros_manuales!$I$30*parametros_manuales!$J$30</f>
        <v>3703.528606918</v>
      </c>
      <c r="G94" s="9" t="n">
        <f aca="false">(parametros_manuales!$D$30*(datos_base!$E$2+datos_base!$E$18+IF(parametros_manuales!$H$30="Todos",datos_base!$E$9+datos_base!$E$23,0))*parametros_manuales!$G$95+parametros_manuales!$E$30*(datos_base!$E$3+datos_base!$E$19+IF(parametros_manuales!$H$30="Todos",datos_base!$E$10+datos_base!$E$24,0))*parametros_manuales!$G$100+parametros_manuales!$F$30*(datos_base!$E$4+datos_base!$E$20+IF(parametros_manuales!$H$30="Todos",datos_base!$E$11+datos_base!$E$25,0))*parametros_manuales!$G$105+parametros_manuales!$G$30*(datos_base!$E$5+datos_base!$E$21+IF(parametros_manuales!$H$30="Todos",datos_base!$E$12+datos_base!$E$26,0))*parametros_manuales!$G$110)*parametros_manuales!$I$30*parametros_manuales!$J$30</f>
        <v>3625.8915370125</v>
      </c>
      <c r="H94" s="9" t="n">
        <f aca="false">(parametros_manuales!$D$30*(datos_base!$E$2+datos_base!$E$18+IF(parametros_manuales!$H$30="Todos",datos_base!$E$9+datos_base!$E$23,0))*parametros_manuales!$H$95+parametros_manuales!$E$30*(datos_base!$E$3+datos_base!$E$19+IF(parametros_manuales!$H$30="Todos",datos_base!$E$10+datos_base!$E$24,0))*parametros_manuales!$H$100+parametros_manuales!$F$30*(datos_base!$E$4+datos_base!$E$20+IF(parametros_manuales!$H$30="Todos",datos_base!$E$11+datos_base!$E$25,0))*parametros_manuales!$H$105+parametros_manuales!$G$30*(datos_base!$E$5+datos_base!$E$21+IF(parametros_manuales!$H$30="Todos",datos_base!$E$12+datos_base!$E$26,0))*parametros_manuales!$H$110)*parametros_manuales!$I$30*parametros_manuales!$J$30</f>
        <v>3879.338284663</v>
      </c>
      <c r="I94" s="9" t="n">
        <f aca="false">(parametros_manuales!$D$30*(datos_base!$E$2+datos_base!$E$18+IF(parametros_manuales!$H$30="Todos",datos_base!$E$9+datos_base!$E$23,0))*parametros_manuales!$I$95+parametros_manuales!$E$30*(datos_base!$E$3+datos_base!$E$19+IF(parametros_manuales!$H$30="Todos",datos_base!$E$10+datos_base!$E$24,0))*parametros_manuales!$I$100+parametros_manuales!$F$30*(datos_base!$E$4+datos_base!$E$20+IF(parametros_manuales!$H$30="Todos",datos_base!$E$11+datos_base!$E$25,0))*parametros_manuales!$I$105+parametros_manuales!$G$30*(datos_base!$E$5+datos_base!$E$21+IF(parametros_manuales!$H$30="Todos",datos_base!$E$12+datos_base!$E$26,0))*parametros_manuales!$I$110)*parametros_manuales!$I$30*parametros_manuales!$J$30</f>
        <v>4406.767317898</v>
      </c>
      <c r="J94" s="9" t="n">
        <f aca="false">(parametros_manuales!$D$30*(datos_base!$E$2+datos_base!$E$18+IF(parametros_manuales!$H$30="Todos",datos_base!$E$9+datos_base!$E$23,0))*parametros_manuales!$J$95+parametros_manuales!$E$30*(datos_base!$E$3+datos_base!$E$19+IF(parametros_manuales!$H$30="Todos",datos_base!$E$10+datos_base!$E$24,0))*parametros_manuales!$J$100+parametros_manuales!$F$30*(datos_base!$E$4+datos_base!$E$20+IF(parametros_manuales!$H$30="Todos",datos_base!$E$11+datos_base!$E$25,0))*parametros_manuales!$J$105+parametros_manuales!$G$30*(datos_base!$E$5+datos_base!$E$21+IF(parametros_manuales!$H$30="Todos",datos_base!$E$12+datos_base!$E$26,0))*parametros_manuales!$J$110)*parametros_manuales!$I$30*parametros_manuales!$J$30</f>
        <v>4406.767317898</v>
      </c>
      <c r="K94" s="9" t="n">
        <f aca="false">(parametros_manuales!$D$30*(datos_base!$E$2+datos_base!$E$18+IF(parametros_manuales!$H$30="Todos",datos_base!$E$9+datos_base!$E$23,0))*parametros_manuales!$K$95+parametros_manuales!$E$30*(datos_base!$E$3+datos_base!$E$19+IF(parametros_manuales!$H$30="Todos",datos_base!$E$10+datos_base!$E$24,0))*parametros_manuales!$K$100+parametros_manuales!$F$30*(datos_base!$E$4+datos_base!$E$20+IF(parametros_manuales!$H$30="Todos",datos_base!$E$11+datos_base!$E$25,0))*parametros_manuales!$K$105+parametros_manuales!$G$30*(datos_base!$E$5+datos_base!$E$21+IF(parametros_manuales!$H$30="Todos",datos_base!$E$12+datos_base!$E$26,0))*parametros_manuales!$K$110)*parametros_manuales!$I$30*parametros_manuales!$J$30</f>
        <v>4484.4043878035</v>
      </c>
      <c r="L94" s="9" t="n">
        <f aca="false">(parametros_manuales!$D$30*(datos_base!$E$2+datos_base!$E$18+IF(parametros_manuales!$H$30="Todos",datos_base!$E$9+datos_base!$E$23,0))*parametros_manuales!$L$95+parametros_manuales!$E$30*(datos_base!$E$3+datos_base!$E$19+IF(parametros_manuales!$H$30="Todos",datos_base!$E$10+datos_base!$E$24,0))*parametros_manuales!$L$100+parametros_manuales!$F$30*(datos_base!$E$4+datos_base!$E$20+IF(parametros_manuales!$H$30="Todos",datos_base!$E$11+datos_base!$E$25,0))*parametros_manuales!$L$105+parametros_manuales!$G$30*(datos_base!$E$5+datos_base!$E$21+IF(parametros_manuales!$H$30="Todos",datos_base!$E$12+datos_base!$E$26,0))*parametros_manuales!$L$110)*parametros_manuales!$I$30*parametros_manuales!$J$30</f>
        <v>4562.041457709</v>
      </c>
      <c r="M94" s="9" t="n">
        <f aca="false">(parametros_manuales!$D$30*(datos_base!$E$2+datos_base!$E$18+IF(parametros_manuales!$H$30="Todos",datos_base!$E$9+datos_base!$E$23,0))*parametros_manuales!$M$95+parametros_manuales!$E$30*(datos_base!$E$3+datos_base!$E$19+IF(parametros_manuales!$H$30="Todos",datos_base!$E$10+datos_base!$E$24,0))*parametros_manuales!$M$100+parametros_manuales!$F$30*(datos_base!$E$4+datos_base!$E$20+IF(parametros_manuales!$H$30="Todos",datos_base!$E$11+datos_base!$E$25,0))*parametros_manuales!$M$105+parametros_manuales!$G$30*(datos_base!$E$5+datos_base!$E$21+IF(parametros_manuales!$H$30="Todos",datos_base!$E$12+datos_base!$E$26,0))*parametros_manuales!$M$110)*parametros_manuales!$I$30*parametros_manuales!$J$30</f>
        <v>4562.041457709</v>
      </c>
      <c r="N94" s="9" t="n">
        <f aca="false">SUM(B94:M94)</f>
        <v>50689.3495301</v>
      </c>
      <c r="O94" s="9" t="n">
        <f aca="false">MAX(B94:M94)</f>
        <v>4562.041457709</v>
      </c>
      <c r="P94" s="43" t="n">
        <f aca="false">O94/(parametros_manuales!$B$7)</f>
        <v>30.41360971806</v>
      </c>
      <c r="Q94" s="8" t="str">
        <f aca="false">IF(O94=0,"-",INDEX($B$82:$M$82,MATCH(O94,B94:M94,0)))</f>
        <v>Ene</v>
      </c>
    </row>
    <row r="95" customFormat="false" ht="14.25" hidden="false" customHeight="true" outlineLevel="0" collapsed="false">
      <c r="A95" s="8" t="str">
        <f aca="false">parametros_manuales!$B$31</f>
        <v>Control de calidad — Espesor</v>
      </c>
      <c r="B95" s="9" t="n">
        <f aca="false">(parametros_manuales!$D$31*(datos_base!$E$2+datos_base!$E$18+IF(parametros_manuales!$H$31="Todos",datos_base!$E$9+datos_base!$E$23,0))*parametros_manuales!$B$95+parametros_manuales!$E$31*(datos_base!$E$3+datos_base!$E$19+IF(parametros_manuales!$H$31="Todos",datos_base!$E$10+datos_base!$E$24,0))*parametros_manuales!$B$100+parametros_manuales!$F$31*(datos_base!$E$4+datos_base!$E$20+IF(parametros_manuales!$H$31="Todos",datos_base!$E$11+datos_base!$E$25,0))*parametros_manuales!$B$105+parametros_manuales!$G$31*(datos_base!$E$5+datos_base!$E$21+IF(parametros_manuales!$H$31="Todos",datos_base!$E$12+datos_base!$E$26,0))*parametros_manuales!$B$110)*parametros_manuales!$I$31*parametros_manuales!$J$31</f>
        <v>91.24082915418</v>
      </c>
      <c r="C95" s="9" t="n">
        <f aca="false">(parametros_manuales!$D$31*(datos_base!$E$2+datos_base!$E$18+IF(parametros_manuales!$H$31="Todos",datos_base!$E$9+datos_base!$E$23,0))*parametros_manuales!$C$95+parametros_manuales!$E$31*(datos_base!$E$3+datos_base!$E$19+IF(parametros_manuales!$H$31="Todos",datos_base!$E$10+datos_base!$E$24,0))*parametros_manuales!$C$100+parametros_manuales!$F$31*(datos_base!$E$4+datos_base!$E$20+IF(parametros_manuales!$H$31="Todos",datos_base!$E$11+datos_base!$E$25,0))*parametros_manuales!$C$105+parametros_manuales!$G$31*(datos_base!$E$5+datos_base!$E$21+IF(parametros_manuales!$H$31="Todos",datos_base!$E$12+datos_base!$E$26,0))*parametros_manuales!$C$110)*parametros_manuales!$I$31*parametros_manuales!$J$31</f>
        <v>88.13534635796</v>
      </c>
      <c r="D95" s="9" t="n">
        <f aca="false">(parametros_manuales!$D$31*(datos_base!$E$2+datos_base!$E$18+IF(parametros_manuales!$H$31="Todos",datos_base!$E$9+datos_base!$E$23,0))*parametros_manuales!$D$95+parametros_manuales!$E$31*(datos_base!$E$3+datos_base!$E$19+IF(parametros_manuales!$H$31="Todos",datos_base!$E$10+datos_base!$E$24,0))*parametros_manuales!$D$100+parametros_manuales!$F$31*(datos_base!$E$4+datos_base!$E$20+IF(parametros_manuales!$H$31="Todos",datos_base!$E$11+datos_base!$E$25,0))*parametros_manuales!$D$105+parametros_manuales!$G$31*(datos_base!$E$5+datos_base!$E$21+IF(parametros_manuales!$H$31="Todos",datos_base!$E$12+datos_base!$E$26,0))*parametros_manuales!$D$110)*parametros_manuales!$I$31*parametros_manuales!$J$31</f>
        <v>82.65570064627</v>
      </c>
      <c r="E95" s="9" t="n">
        <f aca="false">(parametros_manuales!$D$31*(datos_base!$E$2+datos_base!$E$18+IF(parametros_manuales!$H$31="Todos",datos_base!$E$9+datos_base!$E$23,0))*parametros_manuales!$E$95+parametros_manuales!$E$31*(datos_base!$E$3+datos_base!$E$19+IF(parametros_manuales!$H$31="Todos",datos_base!$E$10+datos_base!$E$24,0))*parametros_manuales!$E$100+parametros_manuales!$F$31*(datos_base!$E$4+datos_base!$E$20+IF(parametros_manuales!$H$31="Todos",datos_base!$E$11+datos_base!$E$25,0))*parametros_manuales!$E$105+parametros_manuales!$G$31*(datos_base!$E$5+datos_base!$E$21+IF(parametros_manuales!$H$31="Todos",datos_base!$E$12+datos_base!$E$26,0))*parametros_manuales!$E$110)*parametros_manuales!$I$31*parametros_manuales!$J$31</f>
        <v>79.13950709137</v>
      </c>
      <c r="F95" s="9" t="n">
        <f aca="false">(parametros_manuales!$D$31*(datos_base!$E$2+datos_base!$E$18+IF(parametros_manuales!$H$31="Todos",datos_base!$E$9+datos_base!$E$23,0))*parametros_manuales!$F$95+parametros_manuales!$E$31*(datos_base!$E$3+datos_base!$E$19+IF(parametros_manuales!$H$31="Todos",datos_base!$E$10+datos_base!$E$24,0))*parametros_manuales!$F$100+parametros_manuales!$F$31*(datos_base!$E$4+datos_base!$E$20+IF(parametros_manuales!$H$31="Todos",datos_base!$E$11+datos_base!$E$25,0))*parametros_manuales!$F$105+parametros_manuales!$G$31*(datos_base!$E$5+datos_base!$E$21+IF(parametros_manuales!$H$31="Todos",datos_base!$E$12+datos_base!$E$26,0))*parametros_manuales!$F$110)*parametros_manuales!$I$31*parametros_manuales!$J$31</f>
        <v>74.07057213836</v>
      </c>
      <c r="G95" s="9" t="n">
        <f aca="false">(parametros_manuales!$D$31*(datos_base!$E$2+datos_base!$E$18+IF(parametros_manuales!$H$31="Todos",datos_base!$E$9+datos_base!$E$23,0))*parametros_manuales!$G$95+parametros_manuales!$E$31*(datos_base!$E$3+datos_base!$E$19+IF(parametros_manuales!$H$31="Todos",datos_base!$E$10+datos_base!$E$24,0))*parametros_manuales!$G$100+parametros_manuales!$F$31*(datos_base!$E$4+datos_base!$E$20+IF(parametros_manuales!$H$31="Todos",datos_base!$E$11+datos_base!$E$25,0))*parametros_manuales!$G$105+parametros_manuales!$G$31*(datos_base!$E$5+datos_base!$E$21+IF(parametros_manuales!$H$31="Todos",datos_base!$E$12+datos_base!$E$26,0))*parametros_manuales!$G$110)*parametros_manuales!$I$31*parametros_manuales!$J$31</f>
        <v>72.51783074025</v>
      </c>
      <c r="H95" s="9" t="n">
        <f aca="false">(parametros_manuales!$D$31*(datos_base!$E$2+datos_base!$E$18+IF(parametros_manuales!$H$31="Todos",datos_base!$E$9+datos_base!$E$23,0))*parametros_manuales!$H$95+parametros_manuales!$E$31*(datos_base!$E$3+datos_base!$E$19+IF(parametros_manuales!$H$31="Todos",datos_base!$E$10+datos_base!$E$24,0))*parametros_manuales!$H$100+parametros_manuales!$F$31*(datos_base!$E$4+datos_base!$E$20+IF(parametros_manuales!$H$31="Todos",datos_base!$E$11+datos_base!$E$25,0))*parametros_manuales!$H$105+parametros_manuales!$G$31*(datos_base!$E$5+datos_base!$E$21+IF(parametros_manuales!$H$31="Todos",datos_base!$E$12+datos_base!$E$26,0))*parametros_manuales!$H$110)*parametros_manuales!$I$31*parametros_manuales!$J$31</f>
        <v>77.58676569326</v>
      </c>
      <c r="I95" s="9" t="n">
        <f aca="false">(parametros_manuales!$D$31*(datos_base!$E$2+datos_base!$E$18+IF(parametros_manuales!$H$31="Todos",datos_base!$E$9+datos_base!$E$23,0))*parametros_manuales!$I$95+parametros_manuales!$E$31*(datos_base!$E$3+datos_base!$E$19+IF(parametros_manuales!$H$31="Todos",datos_base!$E$10+datos_base!$E$24,0))*parametros_manuales!$I$100+parametros_manuales!$F$31*(datos_base!$E$4+datos_base!$E$20+IF(parametros_manuales!$H$31="Todos",datos_base!$E$11+datos_base!$E$25,0))*parametros_manuales!$I$105+parametros_manuales!$G$31*(datos_base!$E$5+datos_base!$E$21+IF(parametros_manuales!$H$31="Todos",datos_base!$E$12+datos_base!$E$26,0))*parametros_manuales!$I$110)*parametros_manuales!$I$31*parametros_manuales!$J$31</f>
        <v>88.1353463579599</v>
      </c>
      <c r="J95" s="9" t="n">
        <f aca="false">(parametros_manuales!$D$31*(datos_base!$E$2+datos_base!$E$18+IF(parametros_manuales!$H$31="Todos",datos_base!$E$9+datos_base!$E$23,0))*parametros_manuales!$J$95+parametros_manuales!$E$31*(datos_base!$E$3+datos_base!$E$19+IF(parametros_manuales!$H$31="Todos",datos_base!$E$10+datos_base!$E$24,0))*parametros_manuales!$J$100+parametros_manuales!$F$31*(datos_base!$E$4+datos_base!$E$20+IF(parametros_manuales!$H$31="Todos",datos_base!$E$11+datos_base!$E$25,0))*parametros_manuales!$J$105+parametros_manuales!$G$31*(datos_base!$E$5+datos_base!$E$21+IF(parametros_manuales!$H$31="Todos",datos_base!$E$12+datos_base!$E$26,0))*parametros_manuales!$J$110)*parametros_manuales!$I$31*parametros_manuales!$J$31</f>
        <v>88.13534635796</v>
      </c>
      <c r="K95" s="9" t="n">
        <f aca="false">(parametros_manuales!$D$31*(datos_base!$E$2+datos_base!$E$18+IF(parametros_manuales!$H$31="Todos",datos_base!$E$9+datos_base!$E$23,0))*parametros_manuales!$K$95+parametros_manuales!$E$31*(datos_base!$E$3+datos_base!$E$19+IF(parametros_manuales!$H$31="Todos",datos_base!$E$10+datos_base!$E$24,0))*parametros_manuales!$K$100+parametros_manuales!$F$31*(datos_base!$E$4+datos_base!$E$20+IF(parametros_manuales!$H$31="Todos",datos_base!$E$11+datos_base!$E$25,0))*parametros_manuales!$K$105+parametros_manuales!$G$31*(datos_base!$E$5+datos_base!$E$21+IF(parametros_manuales!$H$31="Todos",datos_base!$E$12+datos_base!$E$26,0))*parametros_manuales!$K$110)*parametros_manuales!$I$31*parametros_manuales!$J$31</f>
        <v>89.68808775607</v>
      </c>
      <c r="L95" s="9" t="n">
        <f aca="false">(parametros_manuales!$D$31*(datos_base!$E$2+datos_base!$E$18+IF(parametros_manuales!$H$31="Todos",datos_base!$E$9+datos_base!$E$23,0))*parametros_manuales!$L$95+parametros_manuales!$E$31*(datos_base!$E$3+datos_base!$E$19+IF(parametros_manuales!$H$31="Todos",datos_base!$E$10+datos_base!$E$24,0))*parametros_manuales!$L$100+parametros_manuales!$F$31*(datos_base!$E$4+datos_base!$E$20+IF(parametros_manuales!$H$31="Todos",datos_base!$E$11+datos_base!$E$25,0))*parametros_manuales!$L$105+parametros_manuales!$G$31*(datos_base!$E$5+datos_base!$E$21+IF(parametros_manuales!$H$31="Todos",datos_base!$E$12+datos_base!$E$26,0))*parametros_manuales!$L$110)*parametros_manuales!$I$31*parametros_manuales!$J$31</f>
        <v>91.24082915418</v>
      </c>
      <c r="M95" s="9" t="n">
        <f aca="false">(parametros_manuales!$D$31*(datos_base!$E$2+datos_base!$E$18+IF(parametros_manuales!$H$31="Todos",datos_base!$E$9+datos_base!$E$23,0))*parametros_manuales!$M$95+parametros_manuales!$E$31*(datos_base!$E$3+datos_base!$E$19+IF(parametros_manuales!$H$31="Todos",datos_base!$E$10+datos_base!$E$24,0))*parametros_manuales!$M$100+parametros_manuales!$F$31*(datos_base!$E$4+datos_base!$E$20+IF(parametros_manuales!$H$31="Todos",datos_base!$E$11+datos_base!$E$25,0))*parametros_manuales!$M$105+parametros_manuales!$G$31*(datos_base!$E$5+datos_base!$E$21+IF(parametros_manuales!$H$31="Todos",datos_base!$E$12+datos_base!$E$26,0))*parametros_manuales!$M$110)*parametros_manuales!$I$31*parametros_manuales!$J$31</f>
        <v>91.24082915418</v>
      </c>
      <c r="N95" s="9" t="n">
        <f aca="false">SUM(B95:M95)</f>
        <v>1013.786990602</v>
      </c>
      <c r="O95" s="9" t="n">
        <f aca="false">MAX(B95:M95)</f>
        <v>91.24082915418</v>
      </c>
      <c r="P95" s="43" t="n">
        <f aca="false">O95/(parametros_manuales!$B$7)</f>
        <v>0.6082721943612</v>
      </c>
      <c r="Q95" s="8" t="str">
        <f aca="false">IF(O95=0,"-",INDEX($B$82:$M$82,MATCH(O95,B95:M95,0)))</f>
        <v>Ene</v>
      </c>
    </row>
    <row r="96" customFormat="false" ht="14.25" hidden="false" customHeight="true" outlineLevel="0" collapsed="false">
      <c r="A96" s="8" t="str">
        <f aca="false">parametros_manuales!$B$32</f>
        <v>Prueba hidráulica</v>
      </c>
      <c r="B96" s="9" t="n">
        <f aca="false">(parametros_manuales!$D$32*(datos_base!$E$2+datos_base!$E$18+IF(parametros_manuales!$H$32="Todos",datos_base!$E$9+datos_base!$E$23,0))*parametros_manuales!$B$95+parametros_manuales!$E$32*(datos_base!$E$3+datos_base!$E$19+IF(parametros_manuales!$H$32="Todos",datos_base!$E$10+datos_base!$E$24,0))*parametros_manuales!$B$100+parametros_manuales!$F$32*(datos_base!$E$4+datos_base!$E$20+IF(parametros_manuales!$H$32="Todos",datos_base!$E$11+datos_base!$E$25,0))*parametros_manuales!$B$105+parametros_manuales!$G$32*(datos_base!$E$5+datos_base!$E$21+IF(parametros_manuales!$H$32="Todos",datos_base!$E$12+datos_base!$E$26,0))*parametros_manuales!$B$110)*parametros_manuales!$I$32*parametros_manuales!$J$32</f>
        <v>4562.041457709</v>
      </c>
      <c r="C96" s="9" t="n">
        <f aca="false">(parametros_manuales!$D$32*(datos_base!$E$2+datos_base!$E$18+IF(parametros_manuales!$H$32="Todos",datos_base!$E$9+datos_base!$E$23,0))*parametros_manuales!$C$95+parametros_manuales!$E$32*(datos_base!$E$3+datos_base!$E$19+IF(parametros_manuales!$H$32="Todos",datos_base!$E$10+datos_base!$E$24,0))*parametros_manuales!$C$100+parametros_manuales!$F$32*(datos_base!$E$4+datos_base!$E$20+IF(parametros_manuales!$H$32="Todos",datos_base!$E$11+datos_base!$E$25,0))*parametros_manuales!$C$105+parametros_manuales!$G$32*(datos_base!$E$5+datos_base!$E$21+IF(parametros_manuales!$H$32="Todos",datos_base!$E$12+datos_base!$E$26,0))*parametros_manuales!$C$110)*parametros_manuales!$I$32*parametros_manuales!$J$32</f>
        <v>4406.767317898</v>
      </c>
      <c r="D96" s="9" t="n">
        <f aca="false">(parametros_manuales!$D$32*(datos_base!$E$2+datos_base!$E$18+IF(parametros_manuales!$H$32="Todos",datos_base!$E$9+datos_base!$E$23,0))*parametros_manuales!$D$95+parametros_manuales!$E$32*(datos_base!$E$3+datos_base!$E$19+IF(parametros_manuales!$H$32="Todos",datos_base!$E$10+datos_base!$E$24,0))*parametros_manuales!$D$100+parametros_manuales!$F$32*(datos_base!$E$4+datos_base!$E$20+IF(parametros_manuales!$H$32="Todos",datos_base!$E$11+datos_base!$E$25,0))*parametros_manuales!$D$105+parametros_manuales!$G$32*(datos_base!$E$5+datos_base!$E$21+IF(parametros_manuales!$H$32="Todos",datos_base!$E$12+datos_base!$E$26,0))*parametros_manuales!$D$110)*parametros_manuales!$I$32*parametros_manuales!$J$32</f>
        <v>4132.7850323135</v>
      </c>
      <c r="E96" s="9" t="n">
        <f aca="false">(parametros_manuales!$D$32*(datos_base!$E$2+datos_base!$E$18+IF(parametros_manuales!$H$32="Todos",datos_base!$E$9+datos_base!$E$23,0))*parametros_manuales!$E$95+parametros_manuales!$E$32*(datos_base!$E$3+datos_base!$E$19+IF(parametros_manuales!$H$32="Todos",datos_base!$E$10+datos_base!$E$24,0))*parametros_manuales!$E$100+parametros_manuales!$F$32*(datos_base!$E$4+datos_base!$E$20+IF(parametros_manuales!$H$32="Todos",datos_base!$E$11+datos_base!$E$25,0))*parametros_manuales!$E$105+parametros_manuales!$G$32*(datos_base!$E$5+datos_base!$E$21+IF(parametros_manuales!$H$32="Todos",datos_base!$E$12+datos_base!$E$26,0))*parametros_manuales!$E$110)*parametros_manuales!$I$32*parametros_manuales!$J$32</f>
        <v>3956.9753545685</v>
      </c>
      <c r="F96" s="9" t="n">
        <f aca="false">(parametros_manuales!$D$32*(datos_base!$E$2+datos_base!$E$18+IF(parametros_manuales!$H$32="Todos",datos_base!$E$9+datos_base!$E$23,0))*parametros_manuales!$F$95+parametros_manuales!$E$32*(datos_base!$E$3+datos_base!$E$19+IF(parametros_manuales!$H$32="Todos",datos_base!$E$10+datos_base!$E$24,0))*parametros_manuales!$F$100+parametros_manuales!$F$32*(datos_base!$E$4+datos_base!$E$20+IF(parametros_manuales!$H$32="Todos",datos_base!$E$11+datos_base!$E$25,0))*parametros_manuales!$F$105+parametros_manuales!$G$32*(datos_base!$E$5+datos_base!$E$21+IF(parametros_manuales!$H$32="Todos",datos_base!$E$12+datos_base!$E$26,0))*parametros_manuales!$F$110)*parametros_manuales!$I$32*parametros_manuales!$J$32</f>
        <v>3703.528606918</v>
      </c>
      <c r="G96" s="9" t="n">
        <f aca="false">(parametros_manuales!$D$32*(datos_base!$E$2+datos_base!$E$18+IF(parametros_manuales!$H$32="Todos",datos_base!$E$9+datos_base!$E$23,0))*parametros_manuales!$G$95+parametros_manuales!$E$32*(datos_base!$E$3+datos_base!$E$19+IF(parametros_manuales!$H$32="Todos",datos_base!$E$10+datos_base!$E$24,0))*parametros_manuales!$G$100+parametros_manuales!$F$32*(datos_base!$E$4+datos_base!$E$20+IF(parametros_manuales!$H$32="Todos",datos_base!$E$11+datos_base!$E$25,0))*parametros_manuales!$G$105+parametros_manuales!$G$32*(datos_base!$E$5+datos_base!$E$21+IF(parametros_manuales!$H$32="Todos",datos_base!$E$12+datos_base!$E$26,0))*parametros_manuales!$G$110)*parametros_manuales!$I$32*parametros_manuales!$J$32</f>
        <v>3625.8915370125</v>
      </c>
      <c r="H96" s="9" t="n">
        <f aca="false">(parametros_manuales!$D$32*(datos_base!$E$2+datos_base!$E$18+IF(parametros_manuales!$H$32="Todos",datos_base!$E$9+datos_base!$E$23,0))*parametros_manuales!$H$95+parametros_manuales!$E$32*(datos_base!$E$3+datos_base!$E$19+IF(parametros_manuales!$H$32="Todos",datos_base!$E$10+datos_base!$E$24,0))*parametros_manuales!$H$100+parametros_manuales!$F$32*(datos_base!$E$4+datos_base!$E$20+IF(parametros_manuales!$H$32="Todos",datos_base!$E$11+datos_base!$E$25,0))*parametros_manuales!$H$105+parametros_manuales!$G$32*(datos_base!$E$5+datos_base!$E$21+IF(parametros_manuales!$H$32="Todos",datos_base!$E$12+datos_base!$E$26,0))*parametros_manuales!$H$110)*parametros_manuales!$I$32*parametros_manuales!$J$32</f>
        <v>3879.338284663</v>
      </c>
      <c r="I96" s="9" t="n">
        <f aca="false">(parametros_manuales!$D$32*(datos_base!$E$2+datos_base!$E$18+IF(parametros_manuales!$H$32="Todos",datos_base!$E$9+datos_base!$E$23,0))*parametros_manuales!$I$95+parametros_manuales!$E$32*(datos_base!$E$3+datos_base!$E$19+IF(parametros_manuales!$H$32="Todos",datos_base!$E$10+datos_base!$E$24,0))*parametros_manuales!$I$100+parametros_manuales!$F$32*(datos_base!$E$4+datos_base!$E$20+IF(parametros_manuales!$H$32="Todos",datos_base!$E$11+datos_base!$E$25,0))*parametros_manuales!$I$105+parametros_manuales!$G$32*(datos_base!$E$5+datos_base!$E$21+IF(parametros_manuales!$H$32="Todos",datos_base!$E$12+datos_base!$E$26,0))*parametros_manuales!$I$110)*parametros_manuales!$I$32*parametros_manuales!$J$32</f>
        <v>4406.767317898</v>
      </c>
      <c r="J96" s="9" t="n">
        <f aca="false">(parametros_manuales!$D$32*(datos_base!$E$2+datos_base!$E$18+IF(parametros_manuales!$H$32="Todos",datos_base!$E$9+datos_base!$E$23,0))*parametros_manuales!$J$95+parametros_manuales!$E$32*(datos_base!$E$3+datos_base!$E$19+IF(parametros_manuales!$H$32="Todos",datos_base!$E$10+datos_base!$E$24,0))*parametros_manuales!$J$100+parametros_manuales!$F$32*(datos_base!$E$4+datos_base!$E$20+IF(parametros_manuales!$H$32="Todos",datos_base!$E$11+datos_base!$E$25,0))*parametros_manuales!$J$105+parametros_manuales!$G$32*(datos_base!$E$5+datos_base!$E$21+IF(parametros_manuales!$H$32="Todos",datos_base!$E$12+datos_base!$E$26,0))*parametros_manuales!$J$110)*parametros_manuales!$I$32*parametros_manuales!$J$32</f>
        <v>4406.767317898</v>
      </c>
      <c r="K96" s="9" t="n">
        <f aca="false">(parametros_manuales!$D$32*(datos_base!$E$2+datos_base!$E$18+IF(parametros_manuales!$H$32="Todos",datos_base!$E$9+datos_base!$E$23,0))*parametros_manuales!$K$95+parametros_manuales!$E$32*(datos_base!$E$3+datos_base!$E$19+IF(parametros_manuales!$H$32="Todos",datos_base!$E$10+datos_base!$E$24,0))*parametros_manuales!$K$100+parametros_manuales!$F$32*(datos_base!$E$4+datos_base!$E$20+IF(parametros_manuales!$H$32="Todos",datos_base!$E$11+datos_base!$E$25,0))*parametros_manuales!$K$105+parametros_manuales!$G$32*(datos_base!$E$5+datos_base!$E$21+IF(parametros_manuales!$H$32="Todos",datos_base!$E$12+datos_base!$E$26,0))*parametros_manuales!$K$110)*parametros_manuales!$I$32*parametros_manuales!$J$32</f>
        <v>4484.4043878035</v>
      </c>
      <c r="L96" s="9" t="n">
        <f aca="false">(parametros_manuales!$D$32*(datos_base!$E$2+datos_base!$E$18+IF(parametros_manuales!$H$32="Todos",datos_base!$E$9+datos_base!$E$23,0))*parametros_manuales!$L$95+parametros_manuales!$E$32*(datos_base!$E$3+datos_base!$E$19+IF(parametros_manuales!$H$32="Todos",datos_base!$E$10+datos_base!$E$24,0))*parametros_manuales!$L$100+parametros_manuales!$F$32*(datos_base!$E$4+datos_base!$E$20+IF(parametros_manuales!$H$32="Todos",datos_base!$E$11+datos_base!$E$25,0))*parametros_manuales!$L$105+parametros_manuales!$G$32*(datos_base!$E$5+datos_base!$E$21+IF(parametros_manuales!$H$32="Todos",datos_base!$E$12+datos_base!$E$26,0))*parametros_manuales!$L$110)*parametros_manuales!$I$32*parametros_manuales!$J$32</f>
        <v>4562.041457709</v>
      </c>
      <c r="M96" s="9" t="n">
        <f aca="false">(parametros_manuales!$D$32*(datos_base!$E$2+datos_base!$E$18+IF(parametros_manuales!$H$32="Todos",datos_base!$E$9+datos_base!$E$23,0))*parametros_manuales!$M$95+parametros_manuales!$E$32*(datos_base!$E$3+datos_base!$E$19+IF(parametros_manuales!$H$32="Todos",datos_base!$E$10+datos_base!$E$24,0))*parametros_manuales!$M$100+parametros_manuales!$F$32*(datos_base!$E$4+datos_base!$E$20+IF(parametros_manuales!$H$32="Todos",datos_base!$E$11+datos_base!$E$25,0))*parametros_manuales!$M$105+parametros_manuales!$G$32*(datos_base!$E$5+datos_base!$E$21+IF(parametros_manuales!$H$32="Todos",datos_base!$E$12+datos_base!$E$26,0))*parametros_manuales!$M$110)*parametros_manuales!$I$32*parametros_manuales!$J$32</f>
        <v>4562.041457709</v>
      </c>
      <c r="N96" s="9" t="n">
        <f aca="false">SUM(B96:M96)</f>
        <v>50689.3495301</v>
      </c>
      <c r="O96" s="9" t="n">
        <f aca="false">MAX(B96:M96)</f>
        <v>4562.041457709</v>
      </c>
      <c r="P96" s="43" t="n">
        <f aca="false">O96/(parametros_manuales!$B$7)</f>
        <v>30.41360971806</v>
      </c>
      <c r="Q96" s="8" t="str">
        <f aca="false">IF(O96=0,"-",INDEX($B$82:$M$82,MATCH(O96,B96:M96,0)))</f>
        <v>Ene</v>
      </c>
    </row>
    <row r="97" customFormat="false" ht="14.25" hidden="false" customHeight="true" outlineLevel="0" collapsed="false">
      <c r="A97" s="8" t="str">
        <f aca="false">parametros_manuales!$B$33</f>
        <v>Secado</v>
      </c>
      <c r="B97" s="9" t="n">
        <f aca="false">(parametros_manuales!$D$33*(datos_base!$E$2+datos_base!$E$18+IF(parametros_manuales!$H$33="Todos",datos_base!$E$9+datos_base!$E$23,0))*parametros_manuales!$B$95+parametros_manuales!$E$33*(datos_base!$E$3+datos_base!$E$19+IF(parametros_manuales!$H$33="Todos",datos_base!$E$10+datos_base!$E$24,0))*parametros_manuales!$B$100+parametros_manuales!$F$33*(datos_base!$E$4+datos_base!$E$20+IF(parametros_manuales!$H$33="Todos",datos_base!$E$11+datos_base!$E$25,0))*parametros_manuales!$B$105+parametros_manuales!$G$33*(datos_base!$E$5+datos_base!$E$21+IF(parametros_manuales!$H$33="Todos",datos_base!$E$12+datos_base!$E$26,0))*parametros_manuales!$B$110)*parametros_manuales!$I$33*parametros_manuales!$J$33</f>
        <v>4562.041457709</v>
      </c>
      <c r="C97" s="9" t="n">
        <f aca="false">(parametros_manuales!$D$33*(datos_base!$E$2+datos_base!$E$18+IF(parametros_manuales!$H$33="Todos",datos_base!$E$9+datos_base!$E$23,0))*parametros_manuales!$C$95+parametros_manuales!$E$33*(datos_base!$E$3+datos_base!$E$19+IF(parametros_manuales!$H$33="Todos",datos_base!$E$10+datos_base!$E$24,0))*parametros_manuales!$C$100+parametros_manuales!$F$33*(datos_base!$E$4+datos_base!$E$20+IF(parametros_manuales!$H$33="Todos",datos_base!$E$11+datos_base!$E$25,0))*parametros_manuales!$C$105+parametros_manuales!$G$33*(datos_base!$E$5+datos_base!$E$21+IF(parametros_manuales!$H$33="Todos",datos_base!$E$12+datos_base!$E$26,0))*parametros_manuales!$C$110)*parametros_manuales!$I$33*parametros_manuales!$J$33</f>
        <v>4406.767317898</v>
      </c>
      <c r="D97" s="9" t="n">
        <f aca="false">(parametros_manuales!$D$33*(datos_base!$E$2+datos_base!$E$18+IF(parametros_manuales!$H$33="Todos",datos_base!$E$9+datos_base!$E$23,0))*parametros_manuales!$D$95+parametros_manuales!$E$33*(datos_base!$E$3+datos_base!$E$19+IF(parametros_manuales!$H$33="Todos",datos_base!$E$10+datos_base!$E$24,0))*parametros_manuales!$D$100+parametros_manuales!$F$33*(datos_base!$E$4+datos_base!$E$20+IF(parametros_manuales!$H$33="Todos",datos_base!$E$11+datos_base!$E$25,0))*parametros_manuales!$D$105+parametros_manuales!$G$33*(datos_base!$E$5+datos_base!$E$21+IF(parametros_manuales!$H$33="Todos",datos_base!$E$12+datos_base!$E$26,0))*parametros_manuales!$D$110)*parametros_manuales!$I$33*parametros_manuales!$J$33</f>
        <v>4132.7850323135</v>
      </c>
      <c r="E97" s="9" t="n">
        <f aca="false">(parametros_manuales!$D$33*(datos_base!$E$2+datos_base!$E$18+IF(parametros_manuales!$H$33="Todos",datos_base!$E$9+datos_base!$E$23,0))*parametros_manuales!$E$95+parametros_manuales!$E$33*(datos_base!$E$3+datos_base!$E$19+IF(parametros_manuales!$H$33="Todos",datos_base!$E$10+datos_base!$E$24,0))*parametros_manuales!$E$100+parametros_manuales!$F$33*(datos_base!$E$4+datos_base!$E$20+IF(parametros_manuales!$H$33="Todos",datos_base!$E$11+datos_base!$E$25,0))*parametros_manuales!$E$105+parametros_manuales!$G$33*(datos_base!$E$5+datos_base!$E$21+IF(parametros_manuales!$H$33="Todos",datos_base!$E$12+datos_base!$E$26,0))*parametros_manuales!$E$110)*parametros_manuales!$I$33*parametros_manuales!$J$33</f>
        <v>3956.9753545685</v>
      </c>
      <c r="F97" s="9" t="n">
        <f aca="false">(parametros_manuales!$D$33*(datos_base!$E$2+datos_base!$E$18+IF(parametros_manuales!$H$33="Todos",datos_base!$E$9+datos_base!$E$23,0))*parametros_manuales!$F$95+parametros_manuales!$E$33*(datos_base!$E$3+datos_base!$E$19+IF(parametros_manuales!$H$33="Todos",datos_base!$E$10+datos_base!$E$24,0))*parametros_manuales!$F$100+parametros_manuales!$F$33*(datos_base!$E$4+datos_base!$E$20+IF(parametros_manuales!$H$33="Todos",datos_base!$E$11+datos_base!$E$25,0))*parametros_manuales!$F$105+parametros_manuales!$G$33*(datos_base!$E$5+datos_base!$E$21+IF(parametros_manuales!$H$33="Todos",datos_base!$E$12+datos_base!$E$26,0))*parametros_manuales!$F$110)*parametros_manuales!$I$33*parametros_manuales!$J$33</f>
        <v>3703.528606918</v>
      </c>
      <c r="G97" s="9" t="n">
        <f aca="false">(parametros_manuales!$D$33*(datos_base!$E$2+datos_base!$E$18+IF(parametros_manuales!$H$33="Todos",datos_base!$E$9+datos_base!$E$23,0))*parametros_manuales!$G$95+parametros_manuales!$E$33*(datos_base!$E$3+datos_base!$E$19+IF(parametros_manuales!$H$33="Todos",datos_base!$E$10+datos_base!$E$24,0))*parametros_manuales!$G$100+parametros_manuales!$F$33*(datos_base!$E$4+datos_base!$E$20+IF(parametros_manuales!$H$33="Todos",datos_base!$E$11+datos_base!$E$25,0))*parametros_manuales!$G$105+parametros_manuales!$G$33*(datos_base!$E$5+datos_base!$E$21+IF(parametros_manuales!$H$33="Todos",datos_base!$E$12+datos_base!$E$26,0))*parametros_manuales!$G$110)*parametros_manuales!$I$33*parametros_manuales!$J$33</f>
        <v>3625.8915370125</v>
      </c>
      <c r="H97" s="9" t="n">
        <f aca="false">(parametros_manuales!$D$33*(datos_base!$E$2+datos_base!$E$18+IF(parametros_manuales!$H$33="Todos",datos_base!$E$9+datos_base!$E$23,0))*parametros_manuales!$H$95+parametros_manuales!$E$33*(datos_base!$E$3+datos_base!$E$19+IF(parametros_manuales!$H$33="Todos",datos_base!$E$10+datos_base!$E$24,0))*parametros_manuales!$H$100+parametros_manuales!$F$33*(datos_base!$E$4+datos_base!$E$20+IF(parametros_manuales!$H$33="Todos",datos_base!$E$11+datos_base!$E$25,0))*parametros_manuales!$H$105+parametros_manuales!$G$33*(datos_base!$E$5+datos_base!$E$21+IF(parametros_manuales!$H$33="Todos",datos_base!$E$12+datos_base!$E$26,0))*parametros_manuales!$H$110)*parametros_manuales!$I$33*parametros_manuales!$J$33</f>
        <v>3879.338284663</v>
      </c>
      <c r="I97" s="9" t="n">
        <f aca="false">(parametros_manuales!$D$33*(datos_base!$E$2+datos_base!$E$18+IF(parametros_manuales!$H$33="Todos",datos_base!$E$9+datos_base!$E$23,0))*parametros_manuales!$I$95+parametros_manuales!$E$33*(datos_base!$E$3+datos_base!$E$19+IF(parametros_manuales!$H$33="Todos",datos_base!$E$10+datos_base!$E$24,0))*parametros_manuales!$I$100+parametros_manuales!$F$33*(datos_base!$E$4+datos_base!$E$20+IF(parametros_manuales!$H$33="Todos",datos_base!$E$11+datos_base!$E$25,0))*parametros_manuales!$I$105+parametros_manuales!$G$33*(datos_base!$E$5+datos_base!$E$21+IF(parametros_manuales!$H$33="Todos",datos_base!$E$12+datos_base!$E$26,0))*parametros_manuales!$I$110)*parametros_manuales!$I$33*parametros_manuales!$J$33</f>
        <v>4406.767317898</v>
      </c>
      <c r="J97" s="9" t="n">
        <f aca="false">(parametros_manuales!$D$33*(datos_base!$E$2+datos_base!$E$18+IF(parametros_manuales!$H$33="Todos",datos_base!$E$9+datos_base!$E$23,0))*parametros_manuales!$J$95+parametros_manuales!$E$33*(datos_base!$E$3+datos_base!$E$19+IF(parametros_manuales!$H$33="Todos",datos_base!$E$10+datos_base!$E$24,0))*parametros_manuales!$J$100+parametros_manuales!$F$33*(datos_base!$E$4+datos_base!$E$20+IF(parametros_manuales!$H$33="Todos",datos_base!$E$11+datos_base!$E$25,0))*parametros_manuales!$J$105+parametros_manuales!$G$33*(datos_base!$E$5+datos_base!$E$21+IF(parametros_manuales!$H$33="Todos",datos_base!$E$12+datos_base!$E$26,0))*parametros_manuales!$J$110)*parametros_manuales!$I$33*parametros_manuales!$J$33</f>
        <v>4406.767317898</v>
      </c>
      <c r="K97" s="9" t="n">
        <f aca="false">(parametros_manuales!$D$33*(datos_base!$E$2+datos_base!$E$18+IF(parametros_manuales!$H$33="Todos",datos_base!$E$9+datos_base!$E$23,0))*parametros_manuales!$K$95+parametros_manuales!$E$33*(datos_base!$E$3+datos_base!$E$19+IF(parametros_manuales!$H$33="Todos",datos_base!$E$10+datos_base!$E$24,0))*parametros_manuales!$K$100+parametros_manuales!$F$33*(datos_base!$E$4+datos_base!$E$20+IF(parametros_manuales!$H$33="Todos",datos_base!$E$11+datos_base!$E$25,0))*parametros_manuales!$K$105+parametros_manuales!$G$33*(datos_base!$E$5+datos_base!$E$21+IF(parametros_manuales!$H$33="Todos",datos_base!$E$12+datos_base!$E$26,0))*parametros_manuales!$K$110)*parametros_manuales!$I$33*parametros_manuales!$J$33</f>
        <v>4484.4043878035</v>
      </c>
      <c r="L97" s="9" t="n">
        <f aca="false">(parametros_manuales!$D$33*(datos_base!$E$2+datos_base!$E$18+IF(parametros_manuales!$H$33="Todos",datos_base!$E$9+datos_base!$E$23,0))*parametros_manuales!$L$95+parametros_manuales!$E$33*(datos_base!$E$3+datos_base!$E$19+IF(parametros_manuales!$H$33="Todos",datos_base!$E$10+datos_base!$E$24,0))*parametros_manuales!$L$100+parametros_manuales!$F$33*(datos_base!$E$4+datos_base!$E$20+IF(parametros_manuales!$H$33="Todos",datos_base!$E$11+datos_base!$E$25,0))*parametros_manuales!$L$105+parametros_manuales!$G$33*(datos_base!$E$5+datos_base!$E$21+IF(parametros_manuales!$H$33="Todos",datos_base!$E$12+datos_base!$E$26,0))*parametros_manuales!$L$110)*parametros_manuales!$I$33*parametros_manuales!$J$33</f>
        <v>4562.041457709</v>
      </c>
      <c r="M97" s="9" t="n">
        <f aca="false">(parametros_manuales!$D$33*(datos_base!$E$2+datos_base!$E$18+IF(parametros_manuales!$H$33="Todos",datos_base!$E$9+datos_base!$E$23,0))*parametros_manuales!$M$95+parametros_manuales!$E$33*(datos_base!$E$3+datos_base!$E$19+IF(parametros_manuales!$H$33="Todos",datos_base!$E$10+datos_base!$E$24,0))*parametros_manuales!$M$100+parametros_manuales!$F$33*(datos_base!$E$4+datos_base!$E$20+IF(parametros_manuales!$H$33="Todos",datos_base!$E$11+datos_base!$E$25,0))*parametros_manuales!$M$105+parametros_manuales!$G$33*(datos_base!$E$5+datos_base!$E$21+IF(parametros_manuales!$H$33="Todos",datos_base!$E$12+datos_base!$E$26,0))*parametros_manuales!$M$110)*parametros_manuales!$I$33*parametros_manuales!$J$33</f>
        <v>4562.041457709</v>
      </c>
      <c r="N97" s="9" t="n">
        <f aca="false">SUM(B97:M97)</f>
        <v>50689.3495301</v>
      </c>
      <c r="O97" s="9" t="n">
        <f aca="false">MAX(B97:M97)</f>
        <v>4562.041457709</v>
      </c>
      <c r="P97" s="43" t="n">
        <f aca="false">O97/(parametros_manuales!$B$7)</f>
        <v>30.41360971806</v>
      </c>
      <c r="Q97" s="8" t="str">
        <f aca="false">IF(O97=0,"-",INDEX($B$82:$M$82,MATCH(O97,B97:M97,0)))</f>
        <v>Ene</v>
      </c>
    </row>
    <row r="98" customFormat="false" ht="14.25" hidden="false" customHeight="true" outlineLevel="0" collapsed="false">
      <c r="A98" s="8" t="str">
        <f aca="false">parametros_manuales!$B$34</f>
        <v>Granallado</v>
      </c>
      <c r="B98" s="9" t="n">
        <f aca="false">(parametros_manuales!$D$34*(datos_base!$E$2+datos_base!$E$18+IF(parametros_manuales!$H$34="Todos",datos_base!$E$9+datos_base!$E$23,0))*parametros_manuales!$B$95+parametros_manuales!$E$34*(datos_base!$E$3+datos_base!$E$19+IF(parametros_manuales!$H$34="Todos",datos_base!$E$10+datos_base!$E$24,0))*parametros_manuales!$B$100+parametros_manuales!$F$34*(datos_base!$E$4+datos_base!$E$20+IF(parametros_manuales!$H$34="Todos",datos_base!$E$11+datos_base!$E$25,0))*parametros_manuales!$B$105+parametros_manuales!$G$34*(datos_base!$E$5+datos_base!$E$21+IF(parametros_manuales!$H$34="Todos",datos_base!$E$12+datos_base!$E$26,0))*parametros_manuales!$B$110)*parametros_manuales!$I$34*parametros_manuales!$J$34</f>
        <v>4562.041457709</v>
      </c>
      <c r="C98" s="9" t="n">
        <f aca="false">(parametros_manuales!$D$34*(datos_base!$E$2+datos_base!$E$18+IF(parametros_manuales!$H$34="Todos",datos_base!$E$9+datos_base!$E$23,0))*parametros_manuales!$C$95+parametros_manuales!$E$34*(datos_base!$E$3+datos_base!$E$19+IF(parametros_manuales!$H$34="Todos",datos_base!$E$10+datos_base!$E$24,0))*parametros_manuales!$C$100+parametros_manuales!$F$34*(datos_base!$E$4+datos_base!$E$20+IF(parametros_manuales!$H$34="Todos",datos_base!$E$11+datos_base!$E$25,0))*parametros_manuales!$C$105+parametros_manuales!$G$34*(datos_base!$E$5+datos_base!$E$21+IF(parametros_manuales!$H$34="Todos",datos_base!$E$12+datos_base!$E$26,0))*parametros_manuales!$C$110)*parametros_manuales!$I$34*parametros_manuales!$J$34</f>
        <v>4406.767317898</v>
      </c>
      <c r="D98" s="9" t="n">
        <f aca="false">(parametros_manuales!$D$34*(datos_base!$E$2+datos_base!$E$18+IF(parametros_manuales!$H$34="Todos",datos_base!$E$9+datos_base!$E$23,0))*parametros_manuales!$D$95+parametros_manuales!$E$34*(datos_base!$E$3+datos_base!$E$19+IF(parametros_manuales!$H$34="Todos",datos_base!$E$10+datos_base!$E$24,0))*parametros_manuales!$D$100+parametros_manuales!$F$34*(datos_base!$E$4+datos_base!$E$20+IF(parametros_manuales!$H$34="Todos",datos_base!$E$11+datos_base!$E$25,0))*parametros_manuales!$D$105+parametros_manuales!$G$34*(datos_base!$E$5+datos_base!$E$21+IF(parametros_manuales!$H$34="Todos",datos_base!$E$12+datos_base!$E$26,0))*parametros_manuales!$D$110)*parametros_manuales!$I$34*parametros_manuales!$J$34</f>
        <v>4132.7850323135</v>
      </c>
      <c r="E98" s="9" t="n">
        <f aca="false">(parametros_manuales!$D$34*(datos_base!$E$2+datos_base!$E$18+IF(parametros_manuales!$H$34="Todos",datos_base!$E$9+datos_base!$E$23,0))*parametros_manuales!$E$95+parametros_manuales!$E$34*(datos_base!$E$3+datos_base!$E$19+IF(parametros_manuales!$H$34="Todos",datos_base!$E$10+datos_base!$E$24,0))*parametros_manuales!$E$100+parametros_manuales!$F$34*(datos_base!$E$4+datos_base!$E$20+IF(parametros_manuales!$H$34="Todos",datos_base!$E$11+datos_base!$E$25,0))*parametros_manuales!$E$105+parametros_manuales!$G$34*(datos_base!$E$5+datos_base!$E$21+IF(parametros_manuales!$H$34="Todos",datos_base!$E$12+datos_base!$E$26,0))*parametros_manuales!$E$110)*parametros_manuales!$I$34*parametros_manuales!$J$34</f>
        <v>3956.9753545685</v>
      </c>
      <c r="F98" s="9" t="n">
        <f aca="false">(parametros_manuales!$D$34*(datos_base!$E$2+datos_base!$E$18+IF(parametros_manuales!$H$34="Todos",datos_base!$E$9+datos_base!$E$23,0))*parametros_manuales!$F$95+parametros_manuales!$E$34*(datos_base!$E$3+datos_base!$E$19+IF(parametros_manuales!$H$34="Todos",datos_base!$E$10+datos_base!$E$24,0))*parametros_manuales!$F$100+parametros_manuales!$F$34*(datos_base!$E$4+datos_base!$E$20+IF(parametros_manuales!$H$34="Todos",datos_base!$E$11+datos_base!$E$25,0))*parametros_manuales!$F$105+parametros_manuales!$G$34*(datos_base!$E$5+datos_base!$E$21+IF(parametros_manuales!$H$34="Todos",datos_base!$E$12+datos_base!$E$26,0))*parametros_manuales!$F$110)*parametros_manuales!$I$34*parametros_manuales!$J$34</f>
        <v>3703.528606918</v>
      </c>
      <c r="G98" s="9" t="n">
        <f aca="false">(parametros_manuales!$D$34*(datos_base!$E$2+datos_base!$E$18+IF(parametros_manuales!$H$34="Todos",datos_base!$E$9+datos_base!$E$23,0))*parametros_manuales!$G$95+parametros_manuales!$E$34*(datos_base!$E$3+datos_base!$E$19+IF(parametros_manuales!$H$34="Todos",datos_base!$E$10+datos_base!$E$24,0))*parametros_manuales!$G$100+parametros_manuales!$F$34*(datos_base!$E$4+datos_base!$E$20+IF(parametros_manuales!$H$34="Todos",datos_base!$E$11+datos_base!$E$25,0))*parametros_manuales!$G$105+parametros_manuales!$G$34*(datos_base!$E$5+datos_base!$E$21+IF(parametros_manuales!$H$34="Todos",datos_base!$E$12+datos_base!$E$26,0))*parametros_manuales!$G$110)*parametros_manuales!$I$34*parametros_manuales!$J$34</f>
        <v>3625.8915370125</v>
      </c>
      <c r="H98" s="9" t="n">
        <f aca="false">(parametros_manuales!$D$34*(datos_base!$E$2+datos_base!$E$18+IF(parametros_manuales!$H$34="Todos",datos_base!$E$9+datos_base!$E$23,0))*parametros_manuales!$H$95+parametros_manuales!$E$34*(datos_base!$E$3+datos_base!$E$19+IF(parametros_manuales!$H$34="Todos",datos_base!$E$10+datos_base!$E$24,0))*parametros_manuales!$H$100+parametros_manuales!$F$34*(datos_base!$E$4+datos_base!$E$20+IF(parametros_manuales!$H$34="Todos",datos_base!$E$11+datos_base!$E$25,0))*parametros_manuales!$H$105+parametros_manuales!$G$34*(datos_base!$E$5+datos_base!$E$21+IF(parametros_manuales!$H$34="Todos",datos_base!$E$12+datos_base!$E$26,0))*parametros_manuales!$H$110)*parametros_manuales!$I$34*parametros_manuales!$J$34</f>
        <v>3879.338284663</v>
      </c>
      <c r="I98" s="9" t="n">
        <f aca="false">(parametros_manuales!$D$34*(datos_base!$E$2+datos_base!$E$18+IF(parametros_manuales!$H$34="Todos",datos_base!$E$9+datos_base!$E$23,0))*parametros_manuales!$I$95+parametros_manuales!$E$34*(datos_base!$E$3+datos_base!$E$19+IF(parametros_manuales!$H$34="Todos",datos_base!$E$10+datos_base!$E$24,0))*parametros_manuales!$I$100+parametros_manuales!$F$34*(datos_base!$E$4+datos_base!$E$20+IF(parametros_manuales!$H$34="Todos",datos_base!$E$11+datos_base!$E$25,0))*parametros_manuales!$I$105+parametros_manuales!$G$34*(datos_base!$E$5+datos_base!$E$21+IF(parametros_manuales!$H$34="Todos",datos_base!$E$12+datos_base!$E$26,0))*parametros_manuales!$I$110)*parametros_manuales!$I$34*parametros_manuales!$J$34</f>
        <v>4406.767317898</v>
      </c>
      <c r="J98" s="9" t="n">
        <f aca="false">(parametros_manuales!$D$34*(datos_base!$E$2+datos_base!$E$18+IF(parametros_manuales!$H$34="Todos",datos_base!$E$9+datos_base!$E$23,0))*parametros_manuales!$J$95+parametros_manuales!$E$34*(datos_base!$E$3+datos_base!$E$19+IF(parametros_manuales!$H$34="Todos",datos_base!$E$10+datos_base!$E$24,0))*parametros_manuales!$J$100+parametros_manuales!$F$34*(datos_base!$E$4+datos_base!$E$20+IF(parametros_manuales!$H$34="Todos",datos_base!$E$11+datos_base!$E$25,0))*parametros_manuales!$J$105+parametros_manuales!$G$34*(datos_base!$E$5+datos_base!$E$21+IF(parametros_manuales!$H$34="Todos",datos_base!$E$12+datos_base!$E$26,0))*parametros_manuales!$J$110)*parametros_manuales!$I$34*parametros_manuales!$J$34</f>
        <v>4406.767317898</v>
      </c>
      <c r="K98" s="9" t="n">
        <f aca="false">(parametros_manuales!$D$34*(datos_base!$E$2+datos_base!$E$18+IF(parametros_manuales!$H$34="Todos",datos_base!$E$9+datos_base!$E$23,0))*parametros_manuales!$K$95+parametros_manuales!$E$34*(datos_base!$E$3+datos_base!$E$19+IF(parametros_manuales!$H$34="Todos",datos_base!$E$10+datos_base!$E$24,0))*parametros_manuales!$K$100+parametros_manuales!$F$34*(datos_base!$E$4+datos_base!$E$20+IF(parametros_manuales!$H$34="Todos",datos_base!$E$11+datos_base!$E$25,0))*parametros_manuales!$K$105+parametros_manuales!$G$34*(datos_base!$E$5+datos_base!$E$21+IF(parametros_manuales!$H$34="Todos",datos_base!$E$12+datos_base!$E$26,0))*parametros_manuales!$K$110)*parametros_manuales!$I$34*parametros_manuales!$J$34</f>
        <v>4484.4043878035</v>
      </c>
      <c r="L98" s="9" t="n">
        <f aca="false">(parametros_manuales!$D$34*(datos_base!$E$2+datos_base!$E$18+IF(parametros_manuales!$H$34="Todos",datos_base!$E$9+datos_base!$E$23,0))*parametros_manuales!$L$95+parametros_manuales!$E$34*(datos_base!$E$3+datos_base!$E$19+IF(parametros_manuales!$H$34="Todos",datos_base!$E$10+datos_base!$E$24,0))*parametros_manuales!$L$100+parametros_manuales!$F$34*(datos_base!$E$4+datos_base!$E$20+IF(parametros_manuales!$H$34="Todos",datos_base!$E$11+datos_base!$E$25,0))*parametros_manuales!$L$105+parametros_manuales!$G$34*(datos_base!$E$5+datos_base!$E$21+IF(parametros_manuales!$H$34="Todos",datos_base!$E$12+datos_base!$E$26,0))*parametros_manuales!$L$110)*parametros_manuales!$I$34*parametros_manuales!$J$34</f>
        <v>4562.041457709</v>
      </c>
      <c r="M98" s="9" t="n">
        <f aca="false">(parametros_manuales!$D$34*(datos_base!$E$2+datos_base!$E$18+IF(parametros_manuales!$H$34="Todos",datos_base!$E$9+datos_base!$E$23,0))*parametros_manuales!$M$95+parametros_manuales!$E$34*(datos_base!$E$3+datos_base!$E$19+IF(parametros_manuales!$H$34="Todos",datos_base!$E$10+datos_base!$E$24,0))*parametros_manuales!$M$100+parametros_manuales!$F$34*(datos_base!$E$4+datos_base!$E$20+IF(parametros_manuales!$H$34="Todos",datos_base!$E$11+datos_base!$E$25,0))*parametros_manuales!$M$105+parametros_manuales!$G$34*(datos_base!$E$5+datos_base!$E$21+IF(parametros_manuales!$H$34="Todos",datos_base!$E$12+datos_base!$E$26,0))*parametros_manuales!$M$110)*parametros_manuales!$I$34*parametros_manuales!$J$34</f>
        <v>4562.041457709</v>
      </c>
      <c r="N98" s="9" t="n">
        <f aca="false">SUM(B98:M98)</f>
        <v>50689.3495301</v>
      </c>
      <c r="O98" s="9" t="n">
        <f aca="false">MAX(B98:M98)</f>
        <v>4562.041457709</v>
      </c>
      <c r="P98" s="43" t="n">
        <f aca="false">O98/(parametros_manuales!$B$7)</f>
        <v>30.41360971806</v>
      </c>
      <c r="Q98" s="8" t="str">
        <f aca="false">IF(O98=0,"-",INDEX($B$82:$M$82,MATCH(O98,B98:M98,0)))</f>
        <v>Ene</v>
      </c>
    </row>
    <row r="99" customFormat="false" ht="14.25" hidden="false" customHeight="true" outlineLevel="0" collapsed="false">
      <c r="A99" s="8" t="str">
        <f aca="false">parametros_manuales!$B$35</f>
        <v>Detección de defectos</v>
      </c>
      <c r="B99" s="9" t="n">
        <f aca="false">(parametros_manuales!$D$35*(datos_base!$E$2+datos_base!$E$18+IF(parametros_manuales!$H$35="Todos",datos_base!$E$9+datos_base!$E$23,0))*parametros_manuales!$B$95+parametros_manuales!$E$35*(datos_base!$E$3+datos_base!$E$19+IF(parametros_manuales!$H$35="Todos",datos_base!$E$10+datos_base!$E$24,0))*parametros_manuales!$B$100+parametros_manuales!$F$35*(datos_base!$E$4+datos_base!$E$20+IF(parametros_manuales!$H$35="Todos",datos_base!$E$11+datos_base!$E$25,0))*parametros_manuales!$B$105+parametros_manuales!$G$35*(datos_base!$E$5+datos_base!$E$21+IF(parametros_manuales!$H$35="Todos",datos_base!$E$12+datos_base!$E$26,0))*parametros_manuales!$B$110)*parametros_manuales!$I$35*parametros_manuales!$J$35</f>
        <v>4562.041457709</v>
      </c>
      <c r="C99" s="9" t="n">
        <f aca="false">(parametros_manuales!$D$35*(datos_base!$E$2+datos_base!$E$18+IF(parametros_manuales!$H$35="Todos",datos_base!$E$9+datos_base!$E$23,0))*parametros_manuales!$C$95+parametros_manuales!$E$35*(datos_base!$E$3+datos_base!$E$19+IF(parametros_manuales!$H$35="Todos",datos_base!$E$10+datos_base!$E$24,0))*parametros_manuales!$C$100+parametros_manuales!$F$35*(datos_base!$E$4+datos_base!$E$20+IF(parametros_manuales!$H$35="Todos",datos_base!$E$11+datos_base!$E$25,0))*parametros_manuales!$C$105+parametros_manuales!$G$35*(datos_base!$E$5+datos_base!$E$21+IF(parametros_manuales!$H$35="Todos",datos_base!$E$12+datos_base!$E$26,0))*parametros_manuales!$C$110)*parametros_manuales!$I$35*parametros_manuales!$J$35</f>
        <v>4406.767317898</v>
      </c>
      <c r="D99" s="9" t="n">
        <f aca="false">(parametros_manuales!$D$35*(datos_base!$E$2+datos_base!$E$18+IF(parametros_manuales!$H$35="Todos",datos_base!$E$9+datos_base!$E$23,0))*parametros_manuales!$D$95+parametros_manuales!$E$35*(datos_base!$E$3+datos_base!$E$19+IF(parametros_manuales!$H$35="Todos",datos_base!$E$10+datos_base!$E$24,0))*parametros_manuales!$D$100+parametros_manuales!$F$35*(datos_base!$E$4+datos_base!$E$20+IF(parametros_manuales!$H$35="Todos",datos_base!$E$11+datos_base!$E$25,0))*parametros_manuales!$D$105+parametros_manuales!$G$35*(datos_base!$E$5+datos_base!$E$21+IF(parametros_manuales!$H$35="Todos",datos_base!$E$12+datos_base!$E$26,0))*parametros_manuales!$D$110)*parametros_manuales!$I$35*parametros_manuales!$J$35</f>
        <v>4132.7850323135</v>
      </c>
      <c r="E99" s="9" t="n">
        <f aca="false">(parametros_manuales!$D$35*(datos_base!$E$2+datos_base!$E$18+IF(parametros_manuales!$H$35="Todos",datos_base!$E$9+datos_base!$E$23,0))*parametros_manuales!$E$95+parametros_manuales!$E$35*(datos_base!$E$3+datos_base!$E$19+IF(parametros_manuales!$H$35="Todos",datos_base!$E$10+datos_base!$E$24,0))*parametros_manuales!$E$100+parametros_manuales!$F$35*(datos_base!$E$4+datos_base!$E$20+IF(parametros_manuales!$H$35="Todos",datos_base!$E$11+datos_base!$E$25,0))*parametros_manuales!$E$105+parametros_manuales!$G$35*(datos_base!$E$5+datos_base!$E$21+IF(parametros_manuales!$H$35="Todos",datos_base!$E$12+datos_base!$E$26,0))*parametros_manuales!$E$110)*parametros_manuales!$I$35*parametros_manuales!$J$35</f>
        <v>3956.9753545685</v>
      </c>
      <c r="F99" s="9" t="n">
        <f aca="false">(parametros_manuales!$D$35*(datos_base!$E$2+datos_base!$E$18+IF(parametros_manuales!$H$35="Todos",datos_base!$E$9+datos_base!$E$23,0))*parametros_manuales!$F$95+parametros_manuales!$E$35*(datos_base!$E$3+datos_base!$E$19+IF(parametros_manuales!$H$35="Todos",datos_base!$E$10+datos_base!$E$24,0))*parametros_manuales!$F$100+parametros_manuales!$F$35*(datos_base!$E$4+datos_base!$E$20+IF(parametros_manuales!$H$35="Todos",datos_base!$E$11+datos_base!$E$25,0))*parametros_manuales!$F$105+parametros_manuales!$G$35*(datos_base!$E$5+datos_base!$E$21+IF(parametros_manuales!$H$35="Todos",datos_base!$E$12+datos_base!$E$26,0))*parametros_manuales!$F$110)*parametros_manuales!$I$35*parametros_manuales!$J$35</f>
        <v>3703.528606918</v>
      </c>
      <c r="G99" s="9" t="n">
        <f aca="false">(parametros_manuales!$D$35*(datos_base!$E$2+datos_base!$E$18+IF(parametros_manuales!$H$35="Todos",datos_base!$E$9+datos_base!$E$23,0))*parametros_manuales!$G$95+parametros_manuales!$E$35*(datos_base!$E$3+datos_base!$E$19+IF(parametros_manuales!$H$35="Todos",datos_base!$E$10+datos_base!$E$24,0))*parametros_manuales!$G$100+parametros_manuales!$F$35*(datos_base!$E$4+datos_base!$E$20+IF(parametros_manuales!$H$35="Todos",datos_base!$E$11+datos_base!$E$25,0))*parametros_manuales!$G$105+parametros_manuales!$G$35*(datos_base!$E$5+datos_base!$E$21+IF(parametros_manuales!$H$35="Todos",datos_base!$E$12+datos_base!$E$26,0))*parametros_manuales!$G$110)*parametros_manuales!$I$35*parametros_manuales!$J$35</f>
        <v>3625.8915370125</v>
      </c>
      <c r="H99" s="9" t="n">
        <f aca="false">(parametros_manuales!$D$35*(datos_base!$E$2+datos_base!$E$18+IF(parametros_manuales!$H$35="Todos",datos_base!$E$9+datos_base!$E$23,0))*parametros_manuales!$H$95+parametros_manuales!$E$35*(datos_base!$E$3+datos_base!$E$19+IF(parametros_manuales!$H$35="Todos",datos_base!$E$10+datos_base!$E$24,0))*parametros_manuales!$H$100+parametros_manuales!$F$35*(datos_base!$E$4+datos_base!$E$20+IF(parametros_manuales!$H$35="Todos",datos_base!$E$11+datos_base!$E$25,0))*parametros_manuales!$H$105+parametros_manuales!$G$35*(datos_base!$E$5+datos_base!$E$21+IF(parametros_manuales!$H$35="Todos",datos_base!$E$12+datos_base!$E$26,0))*parametros_manuales!$H$110)*parametros_manuales!$I$35*parametros_manuales!$J$35</f>
        <v>3879.338284663</v>
      </c>
      <c r="I99" s="9" t="n">
        <f aca="false">(parametros_manuales!$D$35*(datos_base!$E$2+datos_base!$E$18+IF(parametros_manuales!$H$35="Todos",datos_base!$E$9+datos_base!$E$23,0))*parametros_manuales!$I$95+parametros_manuales!$E$35*(datos_base!$E$3+datos_base!$E$19+IF(parametros_manuales!$H$35="Todos",datos_base!$E$10+datos_base!$E$24,0))*parametros_manuales!$I$100+parametros_manuales!$F$35*(datos_base!$E$4+datos_base!$E$20+IF(parametros_manuales!$H$35="Todos",datos_base!$E$11+datos_base!$E$25,0))*parametros_manuales!$I$105+parametros_manuales!$G$35*(datos_base!$E$5+datos_base!$E$21+IF(parametros_manuales!$H$35="Todos",datos_base!$E$12+datos_base!$E$26,0))*parametros_manuales!$I$110)*parametros_manuales!$I$35*parametros_manuales!$J$35</f>
        <v>4406.767317898</v>
      </c>
      <c r="J99" s="9" t="n">
        <f aca="false">(parametros_manuales!$D$35*(datos_base!$E$2+datos_base!$E$18+IF(parametros_manuales!$H$35="Todos",datos_base!$E$9+datos_base!$E$23,0))*parametros_manuales!$J$95+parametros_manuales!$E$35*(datos_base!$E$3+datos_base!$E$19+IF(parametros_manuales!$H$35="Todos",datos_base!$E$10+datos_base!$E$24,0))*parametros_manuales!$J$100+parametros_manuales!$F$35*(datos_base!$E$4+datos_base!$E$20+IF(parametros_manuales!$H$35="Todos",datos_base!$E$11+datos_base!$E$25,0))*parametros_manuales!$J$105+parametros_manuales!$G$35*(datos_base!$E$5+datos_base!$E$21+IF(parametros_manuales!$H$35="Todos",datos_base!$E$12+datos_base!$E$26,0))*parametros_manuales!$J$110)*parametros_manuales!$I$35*parametros_manuales!$J$35</f>
        <v>4406.767317898</v>
      </c>
      <c r="K99" s="9" t="n">
        <f aca="false">(parametros_manuales!$D$35*(datos_base!$E$2+datos_base!$E$18+IF(parametros_manuales!$H$35="Todos",datos_base!$E$9+datos_base!$E$23,0))*parametros_manuales!$K$95+parametros_manuales!$E$35*(datos_base!$E$3+datos_base!$E$19+IF(parametros_manuales!$H$35="Todos",datos_base!$E$10+datos_base!$E$24,0))*parametros_manuales!$K$100+parametros_manuales!$F$35*(datos_base!$E$4+datos_base!$E$20+IF(parametros_manuales!$H$35="Todos",datos_base!$E$11+datos_base!$E$25,0))*parametros_manuales!$K$105+parametros_manuales!$G$35*(datos_base!$E$5+datos_base!$E$21+IF(parametros_manuales!$H$35="Todos",datos_base!$E$12+datos_base!$E$26,0))*parametros_manuales!$K$110)*parametros_manuales!$I$35*parametros_manuales!$J$35</f>
        <v>4484.4043878035</v>
      </c>
      <c r="L99" s="9" t="n">
        <f aca="false">(parametros_manuales!$D$35*(datos_base!$E$2+datos_base!$E$18+IF(parametros_manuales!$H$35="Todos",datos_base!$E$9+datos_base!$E$23,0))*parametros_manuales!$L$95+parametros_manuales!$E$35*(datos_base!$E$3+datos_base!$E$19+IF(parametros_manuales!$H$35="Todos",datos_base!$E$10+datos_base!$E$24,0))*parametros_manuales!$L$100+parametros_manuales!$F$35*(datos_base!$E$4+datos_base!$E$20+IF(parametros_manuales!$H$35="Todos",datos_base!$E$11+datos_base!$E$25,0))*parametros_manuales!$L$105+parametros_manuales!$G$35*(datos_base!$E$5+datos_base!$E$21+IF(parametros_manuales!$H$35="Todos",datos_base!$E$12+datos_base!$E$26,0))*parametros_manuales!$L$110)*parametros_manuales!$I$35*parametros_manuales!$J$35</f>
        <v>4562.041457709</v>
      </c>
      <c r="M99" s="9" t="n">
        <f aca="false">(parametros_manuales!$D$35*(datos_base!$E$2+datos_base!$E$18+IF(parametros_manuales!$H$35="Todos",datos_base!$E$9+datos_base!$E$23,0))*parametros_manuales!$M$95+parametros_manuales!$E$35*(datos_base!$E$3+datos_base!$E$19+IF(parametros_manuales!$H$35="Todos",datos_base!$E$10+datos_base!$E$24,0))*parametros_manuales!$M$100+parametros_manuales!$F$35*(datos_base!$E$4+datos_base!$E$20+IF(parametros_manuales!$H$35="Todos",datos_base!$E$11+datos_base!$E$25,0))*parametros_manuales!$M$105+parametros_manuales!$G$35*(datos_base!$E$5+datos_base!$E$21+IF(parametros_manuales!$H$35="Todos",datos_base!$E$12+datos_base!$E$26,0))*parametros_manuales!$M$110)*parametros_manuales!$I$35*parametros_manuales!$J$35</f>
        <v>4562.041457709</v>
      </c>
      <c r="N99" s="9" t="n">
        <f aca="false">SUM(B99:M99)</f>
        <v>50689.3495301</v>
      </c>
      <c r="O99" s="9" t="n">
        <f aca="false">MAX(B99:M99)</f>
        <v>4562.041457709</v>
      </c>
      <c r="P99" s="43" t="n">
        <f aca="false">O99/(parametros_manuales!$B$7)</f>
        <v>30.41360971806</v>
      </c>
      <c r="Q99" s="8" t="str">
        <f aca="false">IF(O99=0,"-",INDEX($B$82:$M$82,MATCH(O99,B99:M99,0)))</f>
        <v>Ene</v>
      </c>
    </row>
    <row r="100" customFormat="false" ht="14.25" hidden="false" customHeight="true" outlineLevel="0" collapsed="false">
      <c r="A100" s="8" t="str">
        <f aca="false">parametros_manuales!$B$36</f>
        <v>Corrección de defectos</v>
      </c>
      <c r="B100" s="9" t="n">
        <f aca="false">(parametros_manuales!$D$36*(datos_base!$E$2+datos_base!$E$18+IF(parametros_manuales!$H$36="Todos",datos_base!$E$9+datos_base!$E$23,0))*parametros_manuales!$B$95+parametros_manuales!$E$36*(datos_base!$E$3+datos_base!$E$19+IF(parametros_manuales!$H$36="Todos",datos_base!$E$10+datos_base!$E$24,0))*parametros_manuales!$B$100+parametros_manuales!$F$36*(datos_base!$E$4+datos_base!$E$20+IF(parametros_manuales!$H$36="Todos",datos_base!$E$11+datos_base!$E$25,0))*parametros_manuales!$B$105+parametros_manuales!$G$36*(datos_base!$E$5+datos_base!$E$21+IF(parametros_manuales!$H$36="Todos",datos_base!$E$12+datos_base!$E$26,0))*parametros_manuales!$B$110)*parametros_manuales!$I$36*parametros_manuales!$J$36</f>
        <v>228.10207288545</v>
      </c>
      <c r="C100" s="9" t="n">
        <f aca="false">(parametros_manuales!$D$36*(datos_base!$E$2+datos_base!$E$18+IF(parametros_manuales!$H$36="Todos",datos_base!$E$9+datos_base!$E$23,0))*parametros_manuales!$C$95+parametros_manuales!$E$36*(datos_base!$E$3+datos_base!$E$19+IF(parametros_manuales!$H$36="Todos",datos_base!$E$10+datos_base!$E$24,0))*parametros_manuales!$C$100+parametros_manuales!$F$36*(datos_base!$E$4+datos_base!$E$20+IF(parametros_manuales!$H$36="Todos",datos_base!$E$11+datos_base!$E$25,0))*parametros_manuales!$C$105+parametros_manuales!$G$36*(datos_base!$E$5+datos_base!$E$21+IF(parametros_manuales!$H$36="Todos",datos_base!$E$12+datos_base!$E$26,0))*parametros_manuales!$C$110)*parametros_manuales!$I$36*parametros_manuales!$J$36</f>
        <v>220.3383658949</v>
      </c>
      <c r="D100" s="9" t="n">
        <f aca="false">(parametros_manuales!$D$36*(datos_base!$E$2+datos_base!$E$18+IF(parametros_manuales!$H$36="Todos",datos_base!$E$9+datos_base!$E$23,0))*parametros_manuales!$D$95+parametros_manuales!$E$36*(datos_base!$E$3+datos_base!$E$19+IF(parametros_manuales!$H$36="Todos",datos_base!$E$10+datos_base!$E$24,0))*parametros_manuales!$D$100+parametros_manuales!$F$36*(datos_base!$E$4+datos_base!$E$20+IF(parametros_manuales!$H$36="Todos",datos_base!$E$11+datos_base!$E$25,0))*parametros_manuales!$D$105+parametros_manuales!$G$36*(datos_base!$E$5+datos_base!$E$21+IF(parametros_manuales!$H$36="Todos",datos_base!$E$12+datos_base!$E$26,0))*parametros_manuales!$D$110)*parametros_manuales!$I$36*parametros_manuales!$J$36</f>
        <v>206.639251615675</v>
      </c>
      <c r="E100" s="9" t="n">
        <f aca="false">(parametros_manuales!$D$36*(datos_base!$E$2+datos_base!$E$18+IF(parametros_manuales!$H$36="Todos",datos_base!$E$9+datos_base!$E$23,0))*parametros_manuales!$E$95+parametros_manuales!$E$36*(datos_base!$E$3+datos_base!$E$19+IF(parametros_manuales!$H$36="Todos",datos_base!$E$10+datos_base!$E$24,0))*parametros_manuales!$E$100+parametros_manuales!$F$36*(datos_base!$E$4+datos_base!$E$20+IF(parametros_manuales!$H$36="Todos",datos_base!$E$11+datos_base!$E$25,0))*parametros_manuales!$E$105+parametros_manuales!$G$36*(datos_base!$E$5+datos_base!$E$21+IF(parametros_manuales!$H$36="Todos",datos_base!$E$12+datos_base!$E$26,0))*parametros_manuales!$E$110)*parametros_manuales!$I$36*parametros_manuales!$J$36</f>
        <v>197.848767728425</v>
      </c>
      <c r="F100" s="9" t="n">
        <f aca="false">(parametros_manuales!$D$36*(datos_base!$E$2+datos_base!$E$18+IF(parametros_manuales!$H$36="Todos",datos_base!$E$9+datos_base!$E$23,0))*parametros_manuales!$F$95+parametros_manuales!$E$36*(datos_base!$E$3+datos_base!$E$19+IF(parametros_manuales!$H$36="Todos",datos_base!$E$10+datos_base!$E$24,0))*parametros_manuales!$F$100+parametros_manuales!$F$36*(datos_base!$E$4+datos_base!$E$20+IF(parametros_manuales!$H$36="Todos",datos_base!$E$11+datos_base!$E$25,0))*parametros_manuales!$F$105+parametros_manuales!$G$36*(datos_base!$E$5+datos_base!$E$21+IF(parametros_manuales!$H$36="Todos",datos_base!$E$12+datos_base!$E$26,0))*parametros_manuales!$F$110)*parametros_manuales!$I$36*parametros_manuales!$J$36</f>
        <v>185.1764303459</v>
      </c>
      <c r="G100" s="9" t="n">
        <f aca="false">(parametros_manuales!$D$36*(datos_base!$E$2+datos_base!$E$18+IF(parametros_manuales!$H$36="Todos",datos_base!$E$9+datos_base!$E$23,0))*parametros_manuales!$G$95+parametros_manuales!$E$36*(datos_base!$E$3+datos_base!$E$19+IF(parametros_manuales!$H$36="Todos",datos_base!$E$10+datos_base!$E$24,0))*parametros_manuales!$G$100+parametros_manuales!$F$36*(datos_base!$E$4+datos_base!$E$20+IF(parametros_manuales!$H$36="Todos",datos_base!$E$11+datos_base!$E$25,0))*parametros_manuales!$G$105+parametros_manuales!$G$36*(datos_base!$E$5+datos_base!$E$21+IF(parametros_manuales!$H$36="Todos",datos_base!$E$12+datos_base!$E$26,0))*parametros_manuales!$G$110)*parametros_manuales!$I$36*parametros_manuales!$J$36</f>
        <v>181.294576850625</v>
      </c>
      <c r="H100" s="9" t="n">
        <f aca="false">(parametros_manuales!$D$36*(datos_base!$E$2+datos_base!$E$18+IF(parametros_manuales!$H$36="Todos",datos_base!$E$9+datos_base!$E$23,0))*parametros_manuales!$H$95+parametros_manuales!$E$36*(datos_base!$E$3+datos_base!$E$19+IF(parametros_manuales!$H$36="Todos",datos_base!$E$10+datos_base!$E$24,0))*parametros_manuales!$H$100+parametros_manuales!$F$36*(datos_base!$E$4+datos_base!$E$20+IF(parametros_manuales!$H$36="Todos",datos_base!$E$11+datos_base!$E$25,0))*parametros_manuales!$H$105+parametros_manuales!$G$36*(datos_base!$E$5+datos_base!$E$21+IF(parametros_manuales!$H$36="Todos",datos_base!$E$12+datos_base!$E$26,0))*parametros_manuales!$H$110)*parametros_manuales!$I$36*parametros_manuales!$J$36</f>
        <v>193.96691423315</v>
      </c>
      <c r="I100" s="9" t="n">
        <f aca="false">(parametros_manuales!$D$36*(datos_base!$E$2+datos_base!$E$18+IF(parametros_manuales!$H$36="Todos",datos_base!$E$9+datos_base!$E$23,0))*parametros_manuales!$I$95+parametros_manuales!$E$36*(datos_base!$E$3+datos_base!$E$19+IF(parametros_manuales!$H$36="Todos",datos_base!$E$10+datos_base!$E$24,0))*parametros_manuales!$I$100+parametros_manuales!$F$36*(datos_base!$E$4+datos_base!$E$20+IF(parametros_manuales!$H$36="Todos",datos_base!$E$11+datos_base!$E$25,0))*parametros_manuales!$I$105+parametros_manuales!$G$36*(datos_base!$E$5+datos_base!$E$21+IF(parametros_manuales!$H$36="Todos",datos_base!$E$12+datos_base!$E$26,0))*parametros_manuales!$I$110)*parametros_manuales!$I$36*parametros_manuales!$J$36</f>
        <v>220.3383658949</v>
      </c>
      <c r="J100" s="9" t="n">
        <f aca="false">(parametros_manuales!$D$36*(datos_base!$E$2+datos_base!$E$18+IF(parametros_manuales!$H$36="Todos",datos_base!$E$9+datos_base!$E$23,0))*parametros_manuales!$J$95+parametros_manuales!$E$36*(datos_base!$E$3+datos_base!$E$19+IF(parametros_manuales!$H$36="Todos",datos_base!$E$10+datos_base!$E$24,0))*parametros_manuales!$J$100+parametros_manuales!$F$36*(datos_base!$E$4+datos_base!$E$20+IF(parametros_manuales!$H$36="Todos",datos_base!$E$11+datos_base!$E$25,0))*parametros_manuales!$J$105+parametros_manuales!$G$36*(datos_base!$E$5+datos_base!$E$21+IF(parametros_manuales!$H$36="Todos",datos_base!$E$12+datos_base!$E$26,0))*parametros_manuales!$J$110)*parametros_manuales!$I$36*parametros_manuales!$J$36</f>
        <v>220.3383658949</v>
      </c>
      <c r="K100" s="9" t="n">
        <f aca="false">(parametros_manuales!$D$36*(datos_base!$E$2+datos_base!$E$18+IF(parametros_manuales!$H$36="Todos",datos_base!$E$9+datos_base!$E$23,0))*parametros_manuales!$K$95+parametros_manuales!$E$36*(datos_base!$E$3+datos_base!$E$19+IF(parametros_manuales!$H$36="Todos",datos_base!$E$10+datos_base!$E$24,0))*parametros_manuales!$K$100+parametros_manuales!$F$36*(datos_base!$E$4+datos_base!$E$20+IF(parametros_manuales!$H$36="Todos",datos_base!$E$11+datos_base!$E$25,0))*parametros_manuales!$K$105+parametros_manuales!$G$36*(datos_base!$E$5+datos_base!$E$21+IF(parametros_manuales!$H$36="Todos",datos_base!$E$12+datos_base!$E$26,0))*parametros_manuales!$K$110)*parametros_manuales!$I$36*parametros_manuales!$J$36</f>
        <v>224.220219390175</v>
      </c>
      <c r="L100" s="9" t="n">
        <f aca="false">(parametros_manuales!$D$36*(datos_base!$E$2+datos_base!$E$18+IF(parametros_manuales!$H$36="Todos",datos_base!$E$9+datos_base!$E$23,0))*parametros_manuales!$L$95+parametros_manuales!$E$36*(datos_base!$E$3+datos_base!$E$19+IF(parametros_manuales!$H$36="Todos",datos_base!$E$10+datos_base!$E$24,0))*parametros_manuales!$L$100+parametros_manuales!$F$36*(datos_base!$E$4+datos_base!$E$20+IF(parametros_manuales!$H$36="Todos",datos_base!$E$11+datos_base!$E$25,0))*parametros_manuales!$L$105+parametros_manuales!$G$36*(datos_base!$E$5+datos_base!$E$21+IF(parametros_manuales!$H$36="Todos",datos_base!$E$12+datos_base!$E$26,0))*parametros_manuales!$L$110)*parametros_manuales!$I$36*parametros_manuales!$J$36</f>
        <v>228.10207288545</v>
      </c>
      <c r="M100" s="9" t="n">
        <f aca="false">(parametros_manuales!$D$36*(datos_base!$E$2+datos_base!$E$18+IF(parametros_manuales!$H$36="Todos",datos_base!$E$9+datos_base!$E$23,0))*parametros_manuales!$M$95+parametros_manuales!$E$36*(datos_base!$E$3+datos_base!$E$19+IF(parametros_manuales!$H$36="Todos",datos_base!$E$10+datos_base!$E$24,0))*parametros_manuales!$M$100+parametros_manuales!$F$36*(datos_base!$E$4+datos_base!$E$20+IF(parametros_manuales!$H$36="Todos",datos_base!$E$11+datos_base!$E$25,0))*parametros_manuales!$M$105+parametros_manuales!$G$36*(datos_base!$E$5+datos_base!$E$21+IF(parametros_manuales!$H$36="Todos",datos_base!$E$12+datos_base!$E$26,0))*parametros_manuales!$M$110)*parametros_manuales!$I$36*parametros_manuales!$J$36</f>
        <v>228.10207288545</v>
      </c>
      <c r="N100" s="9" t="n">
        <f aca="false">SUM(B100:M100)</f>
        <v>2534.467476505</v>
      </c>
      <c r="O100" s="9" t="n">
        <f aca="false">MAX(B100:M100)</f>
        <v>228.10207288545</v>
      </c>
      <c r="P100" s="43" t="n">
        <f aca="false">O100/(parametros_manuales!$B$7)</f>
        <v>1.520680485903</v>
      </c>
      <c r="Q100" s="8" t="str">
        <f aca="false">IF(O100=0,"-",INDEX($B$82:$M$82,MATCH(O100,B100:M100,0)))</f>
        <v>Ene</v>
      </c>
    </row>
    <row r="101" customFormat="false" ht="14.25" hidden="false" customHeight="true" outlineLevel="0" collapsed="false">
      <c r="A101" s="8" t="str">
        <f aca="false">parametros_manuales!$B$37</f>
        <v>Pintura en polvo + horno</v>
      </c>
      <c r="B101" s="9" t="n">
        <f aca="false">(parametros_manuales!$D$37*(datos_base!$E$2+datos_base!$E$18+IF(parametros_manuales!$H$37="Todos",datos_base!$E$9+datos_base!$E$23,0))*parametros_manuales!$B$95+parametros_manuales!$E$37*(datos_base!$E$3+datos_base!$E$19+IF(parametros_manuales!$H$37="Todos",datos_base!$E$10+datos_base!$E$24,0))*parametros_manuales!$B$100+parametros_manuales!$F$37*(datos_base!$E$4+datos_base!$E$20+IF(parametros_manuales!$H$37="Todos",datos_base!$E$11+datos_base!$E$25,0))*parametros_manuales!$B$105+parametros_manuales!$G$37*(datos_base!$E$5+datos_base!$E$21+IF(parametros_manuales!$H$37="Todos",datos_base!$E$12+datos_base!$E$26,0))*parametros_manuales!$B$110)*parametros_manuales!$I$37*parametros_manuales!$J$37</f>
        <v>4562.041457709</v>
      </c>
      <c r="C101" s="9" t="n">
        <f aca="false">(parametros_manuales!$D$37*(datos_base!$E$2+datos_base!$E$18+IF(parametros_manuales!$H$37="Todos",datos_base!$E$9+datos_base!$E$23,0))*parametros_manuales!$C$95+parametros_manuales!$E$37*(datos_base!$E$3+datos_base!$E$19+IF(parametros_manuales!$H$37="Todos",datos_base!$E$10+datos_base!$E$24,0))*parametros_manuales!$C$100+parametros_manuales!$F$37*(datos_base!$E$4+datos_base!$E$20+IF(parametros_manuales!$H$37="Todos",datos_base!$E$11+datos_base!$E$25,0))*parametros_manuales!$C$105+parametros_manuales!$G$37*(datos_base!$E$5+datos_base!$E$21+IF(parametros_manuales!$H$37="Todos",datos_base!$E$12+datos_base!$E$26,0))*parametros_manuales!$C$110)*parametros_manuales!$I$37*parametros_manuales!$J$37</f>
        <v>4406.767317898</v>
      </c>
      <c r="D101" s="9" t="n">
        <f aca="false">(parametros_manuales!$D$37*(datos_base!$E$2+datos_base!$E$18+IF(parametros_manuales!$H$37="Todos",datos_base!$E$9+datos_base!$E$23,0))*parametros_manuales!$D$95+parametros_manuales!$E$37*(datos_base!$E$3+datos_base!$E$19+IF(parametros_manuales!$H$37="Todos",datos_base!$E$10+datos_base!$E$24,0))*parametros_manuales!$D$100+parametros_manuales!$F$37*(datos_base!$E$4+datos_base!$E$20+IF(parametros_manuales!$H$37="Todos",datos_base!$E$11+datos_base!$E$25,0))*parametros_manuales!$D$105+parametros_manuales!$G$37*(datos_base!$E$5+datos_base!$E$21+IF(parametros_manuales!$H$37="Todos",datos_base!$E$12+datos_base!$E$26,0))*parametros_manuales!$D$110)*parametros_manuales!$I$37*parametros_manuales!$J$37</f>
        <v>4132.7850323135</v>
      </c>
      <c r="E101" s="9" t="n">
        <f aca="false">(parametros_manuales!$D$37*(datos_base!$E$2+datos_base!$E$18+IF(parametros_manuales!$H$37="Todos",datos_base!$E$9+datos_base!$E$23,0))*parametros_manuales!$E$95+parametros_manuales!$E$37*(datos_base!$E$3+datos_base!$E$19+IF(parametros_manuales!$H$37="Todos",datos_base!$E$10+datos_base!$E$24,0))*parametros_manuales!$E$100+parametros_manuales!$F$37*(datos_base!$E$4+datos_base!$E$20+IF(parametros_manuales!$H$37="Todos",datos_base!$E$11+datos_base!$E$25,0))*parametros_manuales!$E$105+parametros_manuales!$G$37*(datos_base!$E$5+datos_base!$E$21+IF(parametros_manuales!$H$37="Todos",datos_base!$E$12+datos_base!$E$26,0))*parametros_manuales!$E$110)*parametros_manuales!$I$37*parametros_manuales!$J$37</f>
        <v>3956.9753545685</v>
      </c>
      <c r="F101" s="9" t="n">
        <f aca="false">(parametros_manuales!$D$37*(datos_base!$E$2+datos_base!$E$18+IF(parametros_manuales!$H$37="Todos",datos_base!$E$9+datos_base!$E$23,0))*parametros_manuales!$F$95+parametros_manuales!$E$37*(datos_base!$E$3+datos_base!$E$19+IF(parametros_manuales!$H$37="Todos",datos_base!$E$10+datos_base!$E$24,0))*parametros_manuales!$F$100+parametros_manuales!$F$37*(datos_base!$E$4+datos_base!$E$20+IF(parametros_manuales!$H$37="Todos",datos_base!$E$11+datos_base!$E$25,0))*parametros_manuales!$F$105+parametros_manuales!$G$37*(datos_base!$E$5+datos_base!$E$21+IF(parametros_manuales!$H$37="Todos",datos_base!$E$12+datos_base!$E$26,0))*parametros_manuales!$F$110)*parametros_manuales!$I$37*parametros_manuales!$J$37</f>
        <v>3703.528606918</v>
      </c>
      <c r="G101" s="9" t="n">
        <f aca="false">(parametros_manuales!$D$37*(datos_base!$E$2+datos_base!$E$18+IF(parametros_manuales!$H$37="Todos",datos_base!$E$9+datos_base!$E$23,0))*parametros_manuales!$G$95+parametros_manuales!$E$37*(datos_base!$E$3+datos_base!$E$19+IF(parametros_manuales!$H$37="Todos",datos_base!$E$10+datos_base!$E$24,0))*parametros_manuales!$G$100+parametros_manuales!$F$37*(datos_base!$E$4+datos_base!$E$20+IF(parametros_manuales!$H$37="Todos",datos_base!$E$11+datos_base!$E$25,0))*parametros_manuales!$G$105+parametros_manuales!$G$37*(datos_base!$E$5+datos_base!$E$21+IF(parametros_manuales!$H$37="Todos",datos_base!$E$12+datos_base!$E$26,0))*parametros_manuales!$G$110)*parametros_manuales!$I$37*parametros_manuales!$J$37</f>
        <v>3625.8915370125</v>
      </c>
      <c r="H101" s="9" t="n">
        <f aca="false">(parametros_manuales!$D$37*(datos_base!$E$2+datos_base!$E$18+IF(parametros_manuales!$H$37="Todos",datos_base!$E$9+datos_base!$E$23,0))*parametros_manuales!$H$95+parametros_manuales!$E$37*(datos_base!$E$3+datos_base!$E$19+IF(parametros_manuales!$H$37="Todos",datos_base!$E$10+datos_base!$E$24,0))*parametros_manuales!$H$100+parametros_manuales!$F$37*(datos_base!$E$4+datos_base!$E$20+IF(parametros_manuales!$H$37="Todos",datos_base!$E$11+datos_base!$E$25,0))*parametros_manuales!$H$105+parametros_manuales!$G$37*(datos_base!$E$5+datos_base!$E$21+IF(parametros_manuales!$H$37="Todos",datos_base!$E$12+datos_base!$E$26,0))*parametros_manuales!$H$110)*parametros_manuales!$I$37*parametros_manuales!$J$37</f>
        <v>3879.338284663</v>
      </c>
      <c r="I101" s="9" t="n">
        <f aca="false">(parametros_manuales!$D$37*(datos_base!$E$2+datos_base!$E$18+IF(parametros_manuales!$H$37="Todos",datos_base!$E$9+datos_base!$E$23,0))*parametros_manuales!$I$95+parametros_manuales!$E$37*(datos_base!$E$3+datos_base!$E$19+IF(parametros_manuales!$H$37="Todos",datos_base!$E$10+datos_base!$E$24,0))*parametros_manuales!$I$100+parametros_manuales!$F$37*(datos_base!$E$4+datos_base!$E$20+IF(parametros_manuales!$H$37="Todos",datos_base!$E$11+datos_base!$E$25,0))*parametros_manuales!$I$105+parametros_manuales!$G$37*(datos_base!$E$5+datos_base!$E$21+IF(parametros_manuales!$H$37="Todos",datos_base!$E$12+datos_base!$E$26,0))*parametros_manuales!$I$110)*parametros_manuales!$I$37*parametros_manuales!$J$37</f>
        <v>4406.767317898</v>
      </c>
      <c r="J101" s="9" t="n">
        <f aca="false">(parametros_manuales!$D$37*(datos_base!$E$2+datos_base!$E$18+IF(parametros_manuales!$H$37="Todos",datos_base!$E$9+datos_base!$E$23,0))*parametros_manuales!$J$95+parametros_manuales!$E$37*(datos_base!$E$3+datos_base!$E$19+IF(parametros_manuales!$H$37="Todos",datos_base!$E$10+datos_base!$E$24,0))*parametros_manuales!$J$100+parametros_manuales!$F$37*(datos_base!$E$4+datos_base!$E$20+IF(parametros_manuales!$H$37="Todos",datos_base!$E$11+datos_base!$E$25,0))*parametros_manuales!$J$105+parametros_manuales!$G$37*(datos_base!$E$5+datos_base!$E$21+IF(parametros_manuales!$H$37="Todos",datos_base!$E$12+datos_base!$E$26,0))*parametros_manuales!$J$110)*parametros_manuales!$I$37*parametros_manuales!$J$37</f>
        <v>4406.767317898</v>
      </c>
      <c r="K101" s="9" t="n">
        <f aca="false">(parametros_manuales!$D$37*(datos_base!$E$2+datos_base!$E$18+IF(parametros_manuales!$H$37="Todos",datos_base!$E$9+datos_base!$E$23,0))*parametros_manuales!$K$95+parametros_manuales!$E$37*(datos_base!$E$3+datos_base!$E$19+IF(parametros_manuales!$H$37="Todos",datos_base!$E$10+datos_base!$E$24,0))*parametros_manuales!$K$100+parametros_manuales!$F$37*(datos_base!$E$4+datos_base!$E$20+IF(parametros_manuales!$H$37="Todos",datos_base!$E$11+datos_base!$E$25,0))*parametros_manuales!$K$105+parametros_manuales!$G$37*(datos_base!$E$5+datos_base!$E$21+IF(parametros_manuales!$H$37="Todos",datos_base!$E$12+datos_base!$E$26,0))*parametros_manuales!$K$110)*parametros_manuales!$I$37*parametros_manuales!$J$37</f>
        <v>4484.4043878035</v>
      </c>
      <c r="L101" s="9" t="n">
        <f aca="false">(parametros_manuales!$D$37*(datos_base!$E$2+datos_base!$E$18+IF(parametros_manuales!$H$37="Todos",datos_base!$E$9+datos_base!$E$23,0))*parametros_manuales!$L$95+parametros_manuales!$E$37*(datos_base!$E$3+datos_base!$E$19+IF(parametros_manuales!$H$37="Todos",datos_base!$E$10+datos_base!$E$24,0))*parametros_manuales!$L$100+parametros_manuales!$F$37*(datos_base!$E$4+datos_base!$E$20+IF(parametros_manuales!$H$37="Todos",datos_base!$E$11+datos_base!$E$25,0))*parametros_manuales!$L$105+parametros_manuales!$G$37*(datos_base!$E$5+datos_base!$E$21+IF(parametros_manuales!$H$37="Todos",datos_base!$E$12+datos_base!$E$26,0))*parametros_manuales!$L$110)*parametros_manuales!$I$37*parametros_manuales!$J$37</f>
        <v>4562.041457709</v>
      </c>
      <c r="M101" s="9" t="n">
        <f aca="false">(parametros_manuales!$D$37*(datos_base!$E$2+datos_base!$E$18+IF(parametros_manuales!$H$37="Todos",datos_base!$E$9+datos_base!$E$23,0))*parametros_manuales!$M$95+parametros_manuales!$E$37*(datos_base!$E$3+datos_base!$E$19+IF(parametros_manuales!$H$37="Todos",datos_base!$E$10+datos_base!$E$24,0))*parametros_manuales!$M$100+parametros_manuales!$F$37*(datos_base!$E$4+datos_base!$E$20+IF(parametros_manuales!$H$37="Todos",datos_base!$E$11+datos_base!$E$25,0))*parametros_manuales!$M$105+parametros_manuales!$G$37*(datos_base!$E$5+datos_base!$E$21+IF(parametros_manuales!$H$37="Todos",datos_base!$E$12+datos_base!$E$26,0))*parametros_manuales!$M$110)*parametros_manuales!$I$37*parametros_manuales!$J$37</f>
        <v>4562.041457709</v>
      </c>
      <c r="N101" s="9" t="n">
        <f aca="false">SUM(B101:M101)</f>
        <v>50689.3495301</v>
      </c>
      <c r="O101" s="9" t="n">
        <f aca="false">MAX(B101:M101)</f>
        <v>4562.041457709</v>
      </c>
      <c r="P101" s="43" t="n">
        <f aca="false">O101/(parametros_manuales!$B$7)</f>
        <v>30.41360971806</v>
      </c>
      <c r="Q101" s="8" t="str">
        <f aca="false">IF(O101=0,"-",INDEX($B$82:$M$82,MATCH(O101,B101:M101,0)))</f>
        <v>Ene</v>
      </c>
    </row>
    <row r="102" customFormat="false" ht="14.25" hidden="false" customHeight="true" outlineLevel="0" collapsed="false">
      <c r="A102" s="8" t="str">
        <f aca="false">parametros_manuales!$B$38</f>
        <v>Carga de polvo</v>
      </c>
      <c r="B102" s="9" t="n">
        <f aca="false">(parametros_manuales!$D$38*(datos_base!$E$2+datos_base!$E$18+IF(parametros_manuales!$H$38="Todos",datos_base!$E$9+datos_base!$E$23,0))*parametros_manuales!$B$95+parametros_manuales!$E$38*(datos_base!$E$3+datos_base!$E$19+IF(parametros_manuales!$H$38="Todos",datos_base!$E$10+datos_base!$E$24,0))*parametros_manuales!$B$100+parametros_manuales!$F$38*(datos_base!$E$4+datos_base!$E$20+IF(parametros_manuales!$H$38="Todos",datos_base!$E$11+datos_base!$E$25,0))*parametros_manuales!$B$105+parametros_manuales!$G$38*(datos_base!$E$5+datos_base!$E$21+IF(parametros_manuales!$H$38="Todos",datos_base!$E$12+datos_base!$E$26,0))*parametros_manuales!$B$110)*parametros_manuales!$I$38*parametros_manuales!$J$38</f>
        <v>1554.291857709</v>
      </c>
      <c r="C102" s="9" t="n">
        <f aca="false">(parametros_manuales!$D$38*(datos_base!$E$2+datos_base!$E$18+IF(parametros_manuales!$H$38="Todos",datos_base!$E$9+datos_base!$E$23,0))*parametros_manuales!$C$95+parametros_manuales!$E$38*(datos_base!$E$3+datos_base!$E$19+IF(parametros_manuales!$H$38="Todos",datos_base!$E$10+datos_base!$E$24,0))*parametros_manuales!$C$100+parametros_manuales!$F$38*(datos_base!$E$4+datos_base!$E$20+IF(parametros_manuales!$H$38="Todos",datos_base!$E$11+datos_base!$E$25,0))*parametros_manuales!$C$105+parametros_manuales!$G$38*(datos_base!$E$5+datos_base!$E$21+IF(parametros_manuales!$H$38="Todos",datos_base!$E$12+datos_base!$E$26,0))*parametros_manuales!$C$110)*parametros_manuales!$I$38*parametros_manuales!$J$38</f>
        <v>1466.264117898</v>
      </c>
      <c r="D102" s="9" t="n">
        <f aca="false">(parametros_manuales!$D$38*(datos_base!$E$2+datos_base!$E$18+IF(parametros_manuales!$H$38="Todos",datos_base!$E$9+datos_base!$E$23,0))*parametros_manuales!$D$95+parametros_manuales!$E$38*(datos_base!$E$3+datos_base!$E$19+IF(parametros_manuales!$H$38="Todos",datos_base!$E$10+datos_base!$E$24,0))*parametros_manuales!$D$100+parametros_manuales!$F$38*(datos_base!$E$4+datos_base!$E$20+IF(parametros_manuales!$H$38="Todos",datos_base!$E$11+datos_base!$E$25,0))*parametros_manuales!$D$105+parametros_manuales!$G$38*(datos_base!$E$5+datos_base!$E$21+IF(parametros_manuales!$H$38="Todos",datos_base!$E$12+datos_base!$E$26,0))*parametros_manuales!$D$110)*parametros_manuales!$I$38*parametros_manuales!$J$38</f>
        <v>1425.6066323135</v>
      </c>
      <c r="E102" s="9" t="n">
        <f aca="false">(parametros_manuales!$D$38*(datos_base!$E$2+datos_base!$E$18+IF(parametros_manuales!$H$38="Todos",datos_base!$E$9+datos_base!$E$23,0))*parametros_manuales!$E$95+parametros_manuales!$E$38*(datos_base!$E$3+datos_base!$E$19+IF(parametros_manuales!$H$38="Todos",datos_base!$E$10+datos_base!$E$24,0))*parametros_manuales!$E$100+parametros_manuales!$F$38*(datos_base!$E$4+datos_base!$E$20+IF(parametros_manuales!$H$38="Todos",datos_base!$E$11+datos_base!$E$25,0))*parametros_manuales!$E$105+parametros_manuales!$G$38*(datos_base!$E$5+datos_base!$E$21+IF(parametros_manuales!$H$38="Todos",datos_base!$E$12+datos_base!$E$26,0))*parametros_manuales!$E$110)*parametros_manuales!$I$38*parametros_manuales!$J$38</f>
        <v>1383.2709545685</v>
      </c>
      <c r="F102" s="9" t="n">
        <f aca="false">(parametros_manuales!$D$38*(datos_base!$E$2+datos_base!$E$18+IF(parametros_manuales!$H$38="Todos",datos_base!$E$9+datos_base!$E$23,0))*parametros_manuales!$F$95+parametros_manuales!$E$38*(datos_base!$E$3+datos_base!$E$19+IF(parametros_manuales!$H$38="Todos",datos_base!$E$10+datos_base!$E$24,0))*parametros_manuales!$F$100+parametros_manuales!$F$38*(datos_base!$E$4+datos_base!$E$20+IF(parametros_manuales!$H$38="Todos",datos_base!$E$11+datos_base!$E$25,0))*parametros_manuales!$F$105+parametros_manuales!$G$38*(datos_base!$E$5+datos_base!$E$21+IF(parametros_manuales!$H$38="Todos",datos_base!$E$12+datos_base!$E$26,0))*parametros_manuales!$F$110)*parametros_manuales!$I$38*parametros_manuales!$J$38</f>
        <v>1296.921406918</v>
      </c>
      <c r="G102" s="9" t="n">
        <f aca="false">(parametros_manuales!$D$38*(datos_base!$E$2+datos_base!$E$18+IF(parametros_manuales!$H$38="Todos",datos_base!$E$9+datos_base!$E$23,0))*parametros_manuales!$G$95+parametros_manuales!$E$38*(datos_base!$E$3+datos_base!$E$19+IF(parametros_manuales!$H$38="Todos",datos_base!$E$10+datos_base!$E$24,0))*parametros_manuales!$G$100+parametros_manuales!$F$38*(datos_base!$E$4+datos_base!$E$20+IF(parametros_manuales!$H$38="Todos",datos_base!$E$11+datos_base!$E$25,0))*parametros_manuales!$G$105+parametros_manuales!$G$38*(datos_base!$E$5+datos_base!$E$21+IF(parametros_manuales!$H$38="Todos",datos_base!$E$12+datos_base!$E$26,0))*parametros_manuales!$G$110)*parametros_manuales!$I$38*parametros_manuales!$J$38</f>
        <v>1252.9075370125</v>
      </c>
      <c r="H102" s="9" t="n">
        <f aca="false">(parametros_manuales!$D$38*(datos_base!$E$2+datos_base!$E$18+IF(parametros_manuales!$H$38="Todos",datos_base!$E$9+datos_base!$E$23,0))*parametros_manuales!$H$95+parametros_manuales!$E$38*(datos_base!$E$3+datos_base!$E$19+IF(parametros_manuales!$H$38="Todos",datos_base!$E$10+datos_base!$E$24,0))*parametros_manuales!$H$100+parametros_manuales!$F$38*(datos_base!$E$4+datos_base!$E$20+IF(parametros_manuales!$H$38="Todos",datos_base!$E$11+datos_base!$E$25,0))*parametros_manuales!$H$105+parametros_manuales!$G$38*(datos_base!$E$5+datos_base!$E$21+IF(parametros_manuales!$H$38="Todos",datos_base!$E$12+datos_base!$E$26,0))*parametros_manuales!$H$110)*parametros_manuales!$I$38*parametros_manuales!$J$38</f>
        <v>1339.257084663</v>
      </c>
      <c r="I102" s="9" t="n">
        <f aca="false">(parametros_manuales!$D$38*(datos_base!$E$2+datos_base!$E$18+IF(parametros_manuales!$H$38="Todos",datos_base!$E$9+datos_base!$E$23,0))*parametros_manuales!$I$95+parametros_manuales!$E$38*(datos_base!$E$3+datos_base!$E$19+IF(parametros_manuales!$H$38="Todos",datos_base!$E$10+datos_base!$E$24,0))*parametros_manuales!$I$100+parametros_manuales!$F$38*(datos_base!$E$4+datos_base!$E$20+IF(parametros_manuales!$H$38="Todos",datos_base!$E$11+datos_base!$E$25,0))*parametros_manuales!$I$105+parametros_manuales!$G$38*(datos_base!$E$5+datos_base!$E$21+IF(parametros_manuales!$H$38="Todos",datos_base!$E$12+datos_base!$E$26,0))*parametros_manuales!$I$110)*parametros_manuales!$I$38*parametros_manuales!$J$38</f>
        <v>1466.264117898</v>
      </c>
      <c r="J102" s="9" t="n">
        <f aca="false">(parametros_manuales!$D$38*(datos_base!$E$2+datos_base!$E$18+IF(parametros_manuales!$H$38="Todos",datos_base!$E$9+datos_base!$E$23,0))*parametros_manuales!$J$95+parametros_manuales!$E$38*(datos_base!$E$3+datos_base!$E$19+IF(parametros_manuales!$H$38="Todos",datos_base!$E$10+datos_base!$E$24,0))*parametros_manuales!$J$100+parametros_manuales!$F$38*(datos_base!$E$4+datos_base!$E$20+IF(parametros_manuales!$H$38="Todos",datos_base!$E$11+datos_base!$E$25,0))*parametros_manuales!$J$105+parametros_manuales!$G$38*(datos_base!$E$5+datos_base!$E$21+IF(parametros_manuales!$H$38="Todos",datos_base!$E$12+datos_base!$E$26,0))*parametros_manuales!$J$110)*parametros_manuales!$I$38*parametros_manuales!$J$38</f>
        <v>1466.264117898</v>
      </c>
      <c r="K102" s="9" t="n">
        <f aca="false">(parametros_manuales!$D$38*(datos_base!$E$2+datos_base!$E$18+IF(parametros_manuales!$H$38="Todos",datos_base!$E$9+datos_base!$E$23,0))*parametros_manuales!$K$95+parametros_manuales!$E$38*(datos_base!$E$3+datos_base!$E$19+IF(parametros_manuales!$H$38="Todos",datos_base!$E$10+datos_base!$E$24,0))*parametros_manuales!$K$100+parametros_manuales!$F$38*(datos_base!$E$4+datos_base!$E$20+IF(parametros_manuales!$H$38="Todos",datos_base!$E$11+datos_base!$E$25,0))*parametros_manuales!$K$105+parametros_manuales!$G$38*(datos_base!$E$5+datos_base!$E$21+IF(parametros_manuales!$H$38="Todos",datos_base!$E$12+datos_base!$E$26,0))*parametros_manuales!$K$110)*parametros_manuales!$I$38*parametros_manuales!$J$38</f>
        <v>1510.2779878035</v>
      </c>
      <c r="L102" s="9" t="n">
        <f aca="false">(parametros_manuales!$D$38*(datos_base!$E$2+datos_base!$E$18+IF(parametros_manuales!$H$38="Todos",datos_base!$E$9+datos_base!$E$23,0))*parametros_manuales!$L$95+parametros_manuales!$E$38*(datos_base!$E$3+datos_base!$E$19+IF(parametros_manuales!$H$38="Todos",datos_base!$E$10+datos_base!$E$24,0))*parametros_manuales!$L$100+parametros_manuales!$F$38*(datos_base!$E$4+datos_base!$E$20+IF(parametros_manuales!$H$38="Todos",datos_base!$E$11+datos_base!$E$25,0))*parametros_manuales!$L$105+parametros_manuales!$G$38*(datos_base!$E$5+datos_base!$E$21+IF(parametros_manuales!$H$38="Todos",datos_base!$E$12+datos_base!$E$26,0))*parametros_manuales!$L$110)*parametros_manuales!$I$38*parametros_manuales!$J$38</f>
        <v>1554.291857709</v>
      </c>
      <c r="M102" s="9" t="n">
        <f aca="false">(parametros_manuales!$D$38*(datos_base!$E$2+datos_base!$E$18+IF(parametros_manuales!$H$38="Todos",datos_base!$E$9+datos_base!$E$23,0))*parametros_manuales!$M$95+parametros_manuales!$E$38*(datos_base!$E$3+datos_base!$E$19+IF(parametros_manuales!$H$38="Todos",datos_base!$E$10+datos_base!$E$24,0))*parametros_manuales!$M$100+parametros_manuales!$F$38*(datos_base!$E$4+datos_base!$E$20+IF(parametros_manuales!$H$38="Todos",datos_base!$E$11+datos_base!$E$25,0))*parametros_manuales!$M$105+parametros_manuales!$G$38*(datos_base!$E$5+datos_base!$E$21+IF(parametros_manuales!$H$38="Todos",datos_base!$E$12+datos_base!$E$26,0))*parametros_manuales!$M$110)*parametros_manuales!$I$38*parametros_manuales!$J$38</f>
        <v>1554.291857709</v>
      </c>
      <c r="N102" s="9" t="n">
        <f aca="false">SUM(B102:M102)</f>
        <v>17269.9095301</v>
      </c>
      <c r="O102" s="9" t="n">
        <f aca="false">MAX(B102:M102)</f>
        <v>1554.291857709</v>
      </c>
      <c r="P102" s="43" t="n">
        <f aca="false">O102/(parametros_manuales!$B$7)</f>
        <v>10.36194571806</v>
      </c>
      <c r="Q102" s="8" t="str">
        <f aca="false">IF(O102=0,"-",INDEX($B$82:$M$82,MATCH(O102,B102:M102,0)))</f>
        <v>Ene</v>
      </c>
    </row>
    <row r="103" customFormat="false" ht="14.25" hidden="false" customHeight="true" outlineLevel="0" collapsed="false">
      <c r="A103" s="8" t="str">
        <f aca="false">parametros_manuales!$B$39</f>
        <v>Ensamblaje</v>
      </c>
      <c r="B103" s="9" t="n">
        <f aca="false">(parametros_manuales!$D$39*(datos_base!$E$2+datos_base!$E$18+IF(parametros_manuales!$H$39="Todos",datos_base!$E$9+datos_base!$E$23,0))*parametros_manuales!$B$95+parametros_manuales!$E$39*(datos_base!$E$3+datos_base!$E$19+IF(parametros_manuales!$H$39="Todos",datos_base!$E$10+datos_base!$E$24,0))*parametros_manuales!$B$100+parametros_manuales!$F$39*(datos_base!$E$4+datos_base!$E$20+IF(parametros_manuales!$H$39="Todos",datos_base!$E$11+datos_base!$E$25,0))*parametros_manuales!$B$105+parametros_manuales!$G$39*(datos_base!$E$5+datos_base!$E$21+IF(parametros_manuales!$H$39="Todos",datos_base!$E$12+datos_base!$E$26,0))*parametros_manuales!$B$110)*parametros_manuales!$I$39*parametros_manuales!$J$39</f>
        <v>1554.291857709</v>
      </c>
      <c r="C103" s="9" t="n">
        <f aca="false">(parametros_manuales!$D$39*(datos_base!$E$2+datos_base!$E$18+IF(parametros_manuales!$H$39="Todos",datos_base!$E$9+datos_base!$E$23,0))*parametros_manuales!$C$95+parametros_manuales!$E$39*(datos_base!$E$3+datos_base!$E$19+IF(parametros_manuales!$H$39="Todos",datos_base!$E$10+datos_base!$E$24,0))*parametros_manuales!$C$100+parametros_manuales!$F$39*(datos_base!$E$4+datos_base!$E$20+IF(parametros_manuales!$H$39="Todos",datos_base!$E$11+datos_base!$E$25,0))*parametros_manuales!$C$105+parametros_manuales!$G$39*(datos_base!$E$5+datos_base!$E$21+IF(parametros_manuales!$H$39="Todos",datos_base!$E$12+datos_base!$E$26,0))*parametros_manuales!$C$110)*parametros_manuales!$I$39*parametros_manuales!$J$39</f>
        <v>1466.264117898</v>
      </c>
      <c r="D103" s="9" t="n">
        <f aca="false">(parametros_manuales!$D$39*(datos_base!$E$2+datos_base!$E$18+IF(parametros_manuales!$H$39="Todos",datos_base!$E$9+datos_base!$E$23,0))*parametros_manuales!$D$95+parametros_manuales!$E$39*(datos_base!$E$3+datos_base!$E$19+IF(parametros_manuales!$H$39="Todos",datos_base!$E$10+datos_base!$E$24,0))*parametros_manuales!$D$100+parametros_manuales!$F$39*(datos_base!$E$4+datos_base!$E$20+IF(parametros_manuales!$H$39="Todos",datos_base!$E$11+datos_base!$E$25,0))*parametros_manuales!$D$105+parametros_manuales!$G$39*(datos_base!$E$5+datos_base!$E$21+IF(parametros_manuales!$H$39="Todos",datos_base!$E$12+datos_base!$E$26,0))*parametros_manuales!$D$110)*parametros_manuales!$I$39*parametros_manuales!$J$39</f>
        <v>1425.6066323135</v>
      </c>
      <c r="E103" s="9" t="n">
        <f aca="false">(parametros_manuales!$D$39*(datos_base!$E$2+datos_base!$E$18+IF(parametros_manuales!$H$39="Todos",datos_base!$E$9+datos_base!$E$23,0))*parametros_manuales!$E$95+parametros_manuales!$E$39*(datos_base!$E$3+datos_base!$E$19+IF(parametros_manuales!$H$39="Todos",datos_base!$E$10+datos_base!$E$24,0))*parametros_manuales!$E$100+parametros_manuales!$F$39*(datos_base!$E$4+datos_base!$E$20+IF(parametros_manuales!$H$39="Todos",datos_base!$E$11+datos_base!$E$25,0))*parametros_manuales!$E$105+parametros_manuales!$G$39*(datos_base!$E$5+datos_base!$E$21+IF(parametros_manuales!$H$39="Todos",datos_base!$E$12+datos_base!$E$26,0))*parametros_manuales!$E$110)*parametros_manuales!$I$39*parametros_manuales!$J$39</f>
        <v>1383.2709545685</v>
      </c>
      <c r="F103" s="9" t="n">
        <f aca="false">(parametros_manuales!$D$39*(datos_base!$E$2+datos_base!$E$18+IF(parametros_manuales!$H$39="Todos",datos_base!$E$9+datos_base!$E$23,0))*parametros_manuales!$F$95+parametros_manuales!$E$39*(datos_base!$E$3+datos_base!$E$19+IF(parametros_manuales!$H$39="Todos",datos_base!$E$10+datos_base!$E$24,0))*parametros_manuales!$F$100+parametros_manuales!$F$39*(datos_base!$E$4+datos_base!$E$20+IF(parametros_manuales!$H$39="Todos",datos_base!$E$11+datos_base!$E$25,0))*parametros_manuales!$F$105+parametros_manuales!$G$39*(datos_base!$E$5+datos_base!$E$21+IF(parametros_manuales!$H$39="Todos",datos_base!$E$12+datos_base!$E$26,0))*parametros_manuales!$F$110)*parametros_manuales!$I$39*parametros_manuales!$J$39</f>
        <v>1296.921406918</v>
      </c>
      <c r="G103" s="9" t="n">
        <f aca="false">(parametros_manuales!$D$39*(datos_base!$E$2+datos_base!$E$18+IF(parametros_manuales!$H$39="Todos",datos_base!$E$9+datos_base!$E$23,0))*parametros_manuales!$G$95+parametros_manuales!$E$39*(datos_base!$E$3+datos_base!$E$19+IF(parametros_manuales!$H$39="Todos",datos_base!$E$10+datos_base!$E$24,0))*parametros_manuales!$G$100+parametros_manuales!$F$39*(datos_base!$E$4+datos_base!$E$20+IF(parametros_manuales!$H$39="Todos",datos_base!$E$11+datos_base!$E$25,0))*parametros_manuales!$G$105+parametros_manuales!$G$39*(datos_base!$E$5+datos_base!$E$21+IF(parametros_manuales!$H$39="Todos",datos_base!$E$12+datos_base!$E$26,0))*parametros_manuales!$G$110)*parametros_manuales!$I$39*parametros_manuales!$J$39</f>
        <v>1252.9075370125</v>
      </c>
      <c r="H103" s="9" t="n">
        <f aca="false">(parametros_manuales!$D$39*(datos_base!$E$2+datos_base!$E$18+IF(parametros_manuales!$H$39="Todos",datos_base!$E$9+datos_base!$E$23,0))*parametros_manuales!$H$95+parametros_manuales!$E$39*(datos_base!$E$3+datos_base!$E$19+IF(parametros_manuales!$H$39="Todos",datos_base!$E$10+datos_base!$E$24,0))*parametros_manuales!$H$100+parametros_manuales!$F$39*(datos_base!$E$4+datos_base!$E$20+IF(parametros_manuales!$H$39="Todos",datos_base!$E$11+datos_base!$E$25,0))*parametros_manuales!$H$105+parametros_manuales!$G$39*(datos_base!$E$5+datos_base!$E$21+IF(parametros_manuales!$H$39="Todos",datos_base!$E$12+datos_base!$E$26,0))*parametros_manuales!$H$110)*parametros_manuales!$I$39*parametros_manuales!$J$39</f>
        <v>1339.257084663</v>
      </c>
      <c r="I103" s="9" t="n">
        <f aca="false">(parametros_manuales!$D$39*(datos_base!$E$2+datos_base!$E$18+IF(parametros_manuales!$H$39="Todos",datos_base!$E$9+datos_base!$E$23,0))*parametros_manuales!$I$95+parametros_manuales!$E$39*(datos_base!$E$3+datos_base!$E$19+IF(parametros_manuales!$H$39="Todos",datos_base!$E$10+datos_base!$E$24,0))*parametros_manuales!$I$100+parametros_manuales!$F$39*(datos_base!$E$4+datos_base!$E$20+IF(parametros_manuales!$H$39="Todos",datos_base!$E$11+datos_base!$E$25,0))*parametros_manuales!$I$105+parametros_manuales!$G$39*(datos_base!$E$5+datos_base!$E$21+IF(parametros_manuales!$H$39="Todos",datos_base!$E$12+datos_base!$E$26,0))*parametros_manuales!$I$110)*parametros_manuales!$I$39*parametros_manuales!$J$39</f>
        <v>1466.264117898</v>
      </c>
      <c r="J103" s="9" t="n">
        <f aca="false">(parametros_manuales!$D$39*(datos_base!$E$2+datos_base!$E$18+IF(parametros_manuales!$H$39="Todos",datos_base!$E$9+datos_base!$E$23,0))*parametros_manuales!$J$95+parametros_manuales!$E$39*(datos_base!$E$3+datos_base!$E$19+IF(parametros_manuales!$H$39="Todos",datos_base!$E$10+datos_base!$E$24,0))*parametros_manuales!$J$100+parametros_manuales!$F$39*(datos_base!$E$4+datos_base!$E$20+IF(parametros_manuales!$H$39="Todos",datos_base!$E$11+datos_base!$E$25,0))*parametros_manuales!$J$105+parametros_manuales!$G$39*(datos_base!$E$5+datos_base!$E$21+IF(parametros_manuales!$H$39="Todos",datos_base!$E$12+datos_base!$E$26,0))*parametros_manuales!$J$110)*parametros_manuales!$I$39*parametros_manuales!$J$39</f>
        <v>1466.264117898</v>
      </c>
      <c r="K103" s="9" t="n">
        <f aca="false">(parametros_manuales!$D$39*(datos_base!$E$2+datos_base!$E$18+IF(parametros_manuales!$H$39="Todos",datos_base!$E$9+datos_base!$E$23,0))*parametros_manuales!$K$95+parametros_manuales!$E$39*(datos_base!$E$3+datos_base!$E$19+IF(parametros_manuales!$H$39="Todos",datos_base!$E$10+datos_base!$E$24,0))*parametros_manuales!$K$100+parametros_manuales!$F$39*(datos_base!$E$4+datos_base!$E$20+IF(parametros_manuales!$H$39="Todos",datos_base!$E$11+datos_base!$E$25,0))*parametros_manuales!$K$105+parametros_manuales!$G$39*(datos_base!$E$5+datos_base!$E$21+IF(parametros_manuales!$H$39="Todos",datos_base!$E$12+datos_base!$E$26,0))*parametros_manuales!$K$110)*parametros_manuales!$I$39*parametros_manuales!$J$39</f>
        <v>1510.2779878035</v>
      </c>
      <c r="L103" s="9" t="n">
        <f aca="false">(parametros_manuales!$D$39*(datos_base!$E$2+datos_base!$E$18+IF(parametros_manuales!$H$39="Todos",datos_base!$E$9+datos_base!$E$23,0))*parametros_manuales!$L$95+parametros_manuales!$E$39*(datos_base!$E$3+datos_base!$E$19+IF(parametros_manuales!$H$39="Todos",datos_base!$E$10+datos_base!$E$24,0))*parametros_manuales!$L$100+parametros_manuales!$F$39*(datos_base!$E$4+datos_base!$E$20+IF(parametros_manuales!$H$39="Todos",datos_base!$E$11+datos_base!$E$25,0))*parametros_manuales!$L$105+parametros_manuales!$G$39*(datos_base!$E$5+datos_base!$E$21+IF(parametros_manuales!$H$39="Todos",datos_base!$E$12+datos_base!$E$26,0))*parametros_manuales!$L$110)*parametros_manuales!$I$39*parametros_manuales!$J$39</f>
        <v>1554.291857709</v>
      </c>
      <c r="M103" s="9" t="n">
        <f aca="false">(parametros_manuales!$D$39*(datos_base!$E$2+datos_base!$E$18+IF(parametros_manuales!$H$39="Todos",datos_base!$E$9+datos_base!$E$23,0))*parametros_manuales!$M$95+parametros_manuales!$E$39*(datos_base!$E$3+datos_base!$E$19+IF(parametros_manuales!$H$39="Todos",datos_base!$E$10+datos_base!$E$24,0))*parametros_manuales!$M$100+parametros_manuales!$F$39*(datos_base!$E$4+datos_base!$E$20+IF(parametros_manuales!$H$39="Todos",datos_base!$E$11+datos_base!$E$25,0))*parametros_manuales!$M$105+parametros_manuales!$G$39*(datos_base!$E$5+datos_base!$E$21+IF(parametros_manuales!$H$39="Todos",datos_base!$E$12+datos_base!$E$26,0))*parametros_manuales!$M$110)*parametros_manuales!$I$39*parametros_manuales!$J$39</f>
        <v>1554.291857709</v>
      </c>
      <c r="N103" s="9" t="n">
        <f aca="false">SUM(B103:M103)</f>
        <v>17269.9095301</v>
      </c>
      <c r="O103" s="9" t="n">
        <f aca="false">MAX(B103:M103)</f>
        <v>1554.291857709</v>
      </c>
      <c r="P103" s="43" t="n">
        <f aca="false">O103/(parametros_manuales!$B$7)</f>
        <v>10.36194571806</v>
      </c>
      <c r="Q103" s="8" t="str">
        <f aca="false">IF(O103=0,"-",INDEX($B$82:$M$82,MATCH(O103,B103:M103,0)))</f>
        <v>Ene</v>
      </c>
    </row>
    <row r="104" customFormat="false" ht="14.25" hidden="false" customHeight="true" outlineLevel="0" collapsed="false">
      <c r="A104" s="8" t="str">
        <f aca="false">parametros_manuales!$B$40</f>
        <v>Presurización</v>
      </c>
      <c r="B104" s="9" t="n">
        <f aca="false">(parametros_manuales!$D$40*(datos_base!$E$2+datos_base!$E$18+IF(parametros_manuales!$H$40="Todos",datos_base!$E$9+datos_base!$E$23,0))*parametros_manuales!$B$95+parametros_manuales!$E$40*(datos_base!$E$3+datos_base!$E$19+IF(parametros_manuales!$H$40="Todos",datos_base!$E$10+datos_base!$E$24,0))*parametros_manuales!$B$100+parametros_manuales!$F$40*(datos_base!$E$4+datos_base!$E$20+IF(parametros_manuales!$H$40="Todos",datos_base!$E$11+datos_base!$E$25,0))*parametros_manuales!$B$105+parametros_manuales!$G$40*(datos_base!$E$5+datos_base!$E$21+IF(parametros_manuales!$H$40="Todos",datos_base!$E$12+datos_base!$E$26,0))*parametros_manuales!$B$110)*parametros_manuales!$I$40*parametros_manuales!$J$40</f>
        <v>1554.291857709</v>
      </c>
      <c r="C104" s="9" t="n">
        <f aca="false">(parametros_manuales!$D$40*(datos_base!$E$2+datos_base!$E$18+IF(parametros_manuales!$H$40="Todos",datos_base!$E$9+datos_base!$E$23,0))*parametros_manuales!$C$95+parametros_manuales!$E$40*(datos_base!$E$3+datos_base!$E$19+IF(parametros_manuales!$H$40="Todos",datos_base!$E$10+datos_base!$E$24,0))*parametros_manuales!$C$100+parametros_manuales!$F$40*(datos_base!$E$4+datos_base!$E$20+IF(parametros_manuales!$H$40="Todos",datos_base!$E$11+datos_base!$E$25,0))*parametros_manuales!$C$105+parametros_manuales!$G$40*(datos_base!$E$5+datos_base!$E$21+IF(parametros_manuales!$H$40="Todos",datos_base!$E$12+datos_base!$E$26,0))*parametros_manuales!$C$110)*parametros_manuales!$I$40*parametros_manuales!$J$40</f>
        <v>1466.264117898</v>
      </c>
      <c r="D104" s="9" t="n">
        <f aca="false">(parametros_manuales!$D$40*(datos_base!$E$2+datos_base!$E$18+IF(parametros_manuales!$H$40="Todos",datos_base!$E$9+datos_base!$E$23,0))*parametros_manuales!$D$95+parametros_manuales!$E$40*(datos_base!$E$3+datos_base!$E$19+IF(parametros_manuales!$H$40="Todos",datos_base!$E$10+datos_base!$E$24,0))*parametros_manuales!$D$100+parametros_manuales!$F$40*(datos_base!$E$4+datos_base!$E$20+IF(parametros_manuales!$H$40="Todos",datos_base!$E$11+datos_base!$E$25,0))*parametros_manuales!$D$105+parametros_manuales!$G$40*(datos_base!$E$5+datos_base!$E$21+IF(parametros_manuales!$H$40="Todos",datos_base!$E$12+datos_base!$E$26,0))*parametros_manuales!$D$110)*parametros_manuales!$I$40*parametros_manuales!$J$40</f>
        <v>1425.6066323135</v>
      </c>
      <c r="E104" s="9" t="n">
        <f aca="false">(parametros_manuales!$D$40*(datos_base!$E$2+datos_base!$E$18+IF(parametros_manuales!$H$40="Todos",datos_base!$E$9+datos_base!$E$23,0))*parametros_manuales!$E$95+parametros_manuales!$E$40*(datos_base!$E$3+datos_base!$E$19+IF(parametros_manuales!$H$40="Todos",datos_base!$E$10+datos_base!$E$24,0))*parametros_manuales!$E$100+parametros_manuales!$F$40*(datos_base!$E$4+datos_base!$E$20+IF(parametros_manuales!$H$40="Todos",datos_base!$E$11+datos_base!$E$25,0))*parametros_manuales!$E$105+parametros_manuales!$G$40*(datos_base!$E$5+datos_base!$E$21+IF(parametros_manuales!$H$40="Todos",datos_base!$E$12+datos_base!$E$26,0))*parametros_manuales!$E$110)*parametros_manuales!$I$40*parametros_manuales!$J$40</f>
        <v>1383.2709545685</v>
      </c>
      <c r="F104" s="9" t="n">
        <f aca="false">(parametros_manuales!$D$40*(datos_base!$E$2+datos_base!$E$18+IF(parametros_manuales!$H$40="Todos",datos_base!$E$9+datos_base!$E$23,0))*parametros_manuales!$F$95+parametros_manuales!$E$40*(datos_base!$E$3+datos_base!$E$19+IF(parametros_manuales!$H$40="Todos",datos_base!$E$10+datos_base!$E$24,0))*parametros_manuales!$F$100+parametros_manuales!$F$40*(datos_base!$E$4+datos_base!$E$20+IF(parametros_manuales!$H$40="Todos",datos_base!$E$11+datos_base!$E$25,0))*parametros_manuales!$F$105+parametros_manuales!$G$40*(datos_base!$E$5+datos_base!$E$21+IF(parametros_manuales!$H$40="Todos",datos_base!$E$12+datos_base!$E$26,0))*parametros_manuales!$F$110)*parametros_manuales!$I$40*parametros_manuales!$J$40</f>
        <v>1296.921406918</v>
      </c>
      <c r="G104" s="9" t="n">
        <f aca="false">(parametros_manuales!$D$40*(datos_base!$E$2+datos_base!$E$18+IF(parametros_manuales!$H$40="Todos",datos_base!$E$9+datos_base!$E$23,0))*parametros_manuales!$G$95+parametros_manuales!$E$40*(datos_base!$E$3+datos_base!$E$19+IF(parametros_manuales!$H$40="Todos",datos_base!$E$10+datos_base!$E$24,0))*parametros_manuales!$G$100+parametros_manuales!$F$40*(datos_base!$E$4+datos_base!$E$20+IF(parametros_manuales!$H$40="Todos",datos_base!$E$11+datos_base!$E$25,0))*parametros_manuales!$G$105+parametros_manuales!$G$40*(datos_base!$E$5+datos_base!$E$21+IF(parametros_manuales!$H$40="Todos",datos_base!$E$12+datos_base!$E$26,0))*parametros_manuales!$G$110)*parametros_manuales!$I$40*parametros_manuales!$J$40</f>
        <v>1252.9075370125</v>
      </c>
      <c r="H104" s="9" t="n">
        <f aca="false">(parametros_manuales!$D$40*(datos_base!$E$2+datos_base!$E$18+IF(parametros_manuales!$H$40="Todos",datos_base!$E$9+datos_base!$E$23,0))*parametros_manuales!$H$95+parametros_manuales!$E$40*(datos_base!$E$3+datos_base!$E$19+IF(parametros_manuales!$H$40="Todos",datos_base!$E$10+datos_base!$E$24,0))*parametros_manuales!$H$100+parametros_manuales!$F$40*(datos_base!$E$4+datos_base!$E$20+IF(parametros_manuales!$H$40="Todos",datos_base!$E$11+datos_base!$E$25,0))*parametros_manuales!$H$105+parametros_manuales!$G$40*(datos_base!$E$5+datos_base!$E$21+IF(parametros_manuales!$H$40="Todos",datos_base!$E$12+datos_base!$E$26,0))*parametros_manuales!$H$110)*parametros_manuales!$I$40*parametros_manuales!$J$40</f>
        <v>1339.257084663</v>
      </c>
      <c r="I104" s="9" t="n">
        <f aca="false">(parametros_manuales!$D$40*(datos_base!$E$2+datos_base!$E$18+IF(parametros_manuales!$H$40="Todos",datos_base!$E$9+datos_base!$E$23,0))*parametros_manuales!$I$95+parametros_manuales!$E$40*(datos_base!$E$3+datos_base!$E$19+IF(parametros_manuales!$H$40="Todos",datos_base!$E$10+datos_base!$E$24,0))*parametros_manuales!$I$100+parametros_manuales!$F$40*(datos_base!$E$4+datos_base!$E$20+IF(parametros_manuales!$H$40="Todos",datos_base!$E$11+datos_base!$E$25,0))*parametros_manuales!$I$105+parametros_manuales!$G$40*(datos_base!$E$5+datos_base!$E$21+IF(parametros_manuales!$H$40="Todos",datos_base!$E$12+datos_base!$E$26,0))*parametros_manuales!$I$110)*parametros_manuales!$I$40*parametros_manuales!$J$40</f>
        <v>1466.264117898</v>
      </c>
      <c r="J104" s="9" t="n">
        <f aca="false">(parametros_manuales!$D$40*(datos_base!$E$2+datos_base!$E$18+IF(parametros_manuales!$H$40="Todos",datos_base!$E$9+datos_base!$E$23,0))*parametros_manuales!$J$95+parametros_manuales!$E$40*(datos_base!$E$3+datos_base!$E$19+IF(parametros_manuales!$H$40="Todos",datos_base!$E$10+datos_base!$E$24,0))*parametros_manuales!$J$100+parametros_manuales!$F$40*(datos_base!$E$4+datos_base!$E$20+IF(parametros_manuales!$H$40="Todos",datos_base!$E$11+datos_base!$E$25,0))*parametros_manuales!$J$105+parametros_manuales!$G$40*(datos_base!$E$5+datos_base!$E$21+IF(parametros_manuales!$H$40="Todos",datos_base!$E$12+datos_base!$E$26,0))*parametros_manuales!$J$110)*parametros_manuales!$I$40*parametros_manuales!$J$40</f>
        <v>1466.264117898</v>
      </c>
      <c r="K104" s="9" t="n">
        <f aca="false">(parametros_manuales!$D$40*(datos_base!$E$2+datos_base!$E$18+IF(parametros_manuales!$H$40="Todos",datos_base!$E$9+datos_base!$E$23,0))*parametros_manuales!$K$95+parametros_manuales!$E$40*(datos_base!$E$3+datos_base!$E$19+IF(parametros_manuales!$H$40="Todos",datos_base!$E$10+datos_base!$E$24,0))*parametros_manuales!$K$100+parametros_manuales!$F$40*(datos_base!$E$4+datos_base!$E$20+IF(parametros_manuales!$H$40="Todos",datos_base!$E$11+datos_base!$E$25,0))*parametros_manuales!$K$105+parametros_manuales!$G$40*(datos_base!$E$5+datos_base!$E$21+IF(parametros_manuales!$H$40="Todos",datos_base!$E$12+datos_base!$E$26,0))*parametros_manuales!$K$110)*parametros_manuales!$I$40*parametros_manuales!$J$40</f>
        <v>1510.2779878035</v>
      </c>
      <c r="L104" s="9" t="n">
        <f aca="false">(parametros_manuales!$D$40*(datos_base!$E$2+datos_base!$E$18+IF(parametros_manuales!$H$40="Todos",datos_base!$E$9+datos_base!$E$23,0))*parametros_manuales!$L$95+parametros_manuales!$E$40*(datos_base!$E$3+datos_base!$E$19+IF(parametros_manuales!$H$40="Todos",datos_base!$E$10+datos_base!$E$24,0))*parametros_manuales!$L$100+parametros_manuales!$F$40*(datos_base!$E$4+datos_base!$E$20+IF(parametros_manuales!$H$40="Todos",datos_base!$E$11+datos_base!$E$25,0))*parametros_manuales!$L$105+parametros_manuales!$G$40*(datos_base!$E$5+datos_base!$E$21+IF(parametros_manuales!$H$40="Todos",datos_base!$E$12+datos_base!$E$26,0))*parametros_manuales!$L$110)*parametros_manuales!$I$40*parametros_manuales!$J$40</f>
        <v>1554.291857709</v>
      </c>
      <c r="M104" s="9" t="n">
        <f aca="false">(parametros_manuales!$D$40*(datos_base!$E$2+datos_base!$E$18+IF(parametros_manuales!$H$40="Todos",datos_base!$E$9+datos_base!$E$23,0))*parametros_manuales!$M$95+parametros_manuales!$E$40*(datos_base!$E$3+datos_base!$E$19+IF(parametros_manuales!$H$40="Todos",datos_base!$E$10+datos_base!$E$24,0))*parametros_manuales!$M$100+parametros_manuales!$F$40*(datos_base!$E$4+datos_base!$E$20+IF(parametros_manuales!$H$40="Todos",datos_base!$E$11+datos_base!$E$25,0))*parametros_manuales!$M$105+parametros_manuales!$G$40*(datos_base!$E$5+datos_base!$E$21+IF(parametros_manuales!$H$40="Todos",datos_base!$E$12+datos_base!$E$26,0))*parametros_manuales!$M$110)*parametros_manuales!$I$40*parametros_manuales!$J$40</f>
        <v>1554.291857709</v>
      </c>
      <c r="N104" s="9" t="n">
        <f aca="false">SUM(B104:M104)</f>
        <v>17269.9095301</v>
      </c>
      <c r="O104" s="9" t="n">
        <f aca="false">MAX(B104:M104)</f>
        <v>1554.291857709</v>
      </c>
      <c r="P104" s="43" t="n">
        <f aca="false">O104/(parametros_manuales!$B$7)</f>
        <v>10.36194571806</v>
      </c>
      <c r="Q104" s="8" t="str">
        <f aca="false">IF(O104=0,"-",INDEX($B$82:$M$82,MATCH(O104,B104:M104,0)))</f>
        <v>Ene</v>
      </c>
    </row>
    <row r="105" customFormat="false" ht="14.25" hidden="false" customHeight="true" outlineLevel="0" collapsed="false">
      <c r="A105" s="8" t="str">
        <f aca="false">parametros_manuales!$B$41</f>
        <v>Control de calidad — Ensayo de pérdidas</v>
      </c>
      <c r="B105" s="9" t="n">
        <f aca="false">(parametros_manuales!$D$41*(datos_base!$E$2+datos_base!$E$18+IF(parametros_manuales!$H$41="Todos",datos_base!$E$9+datos_base!$E$23,0))*parametros_manuales!$B$95+parametros_manuales!$E$41*(datos_base!$E$3+datos_base!$E$19+IF(parametros_manuales!$H$41="Todos",datos_base!$E$10+datos_base!$E$24,0))*parametros_manuales!$B$100+parametros_manuales!$F$41*(datos_base!$E$4+datos_base!$E$20+IF(parametros_manuales!$H$41="Todos",datos_base!$E$11+datos_base!$E$25,0))*parametros_manuales!$B$105+parametros_manuales!$G$41*(datos_base!$E$5+datos_base!$E$21+IF(parametros_manuales!$H$41="Todos",datos_base!$E$12+datos_base!$E$26,0))*parametros_manuales!$B$110)*parametros_manuales!$I$41*parametros_manuales!$J$41</f>
        <v>1554.291857709</v>
      </c>
      <c r="C105" s="9" t="n">
        <f aca="false">(parametros_manuales!$D$41*(datos_base!$E$2+datos_base!$E$18+IF(parametros_manuales!$H$41="Todos",datos_base!$E$9+datos_base!$E$23,0))*parametros_manuales!$C$95+parametros_manuales!$E$41*(datos_base!$E$3+datos_base!$E$19+IF(parametros_manuales!$H$41="Todos",datos_base!$E$10+datos_base!$E$24,0))*parametros_manuales!$C$100+parametros_manuales!$F$41*(datos_base!$E$4+datos_base!$E$20+IF(parametros_manuales!$H$41="Todos",datos_base!$E$11+datos_base!$E$25,0))*parametros_manuales!$C$105+parametros_manuales!$G$41*(datos_base!$E$5+datos_base!$E$21+IF(parametros_manuales!$H$41="Todos",datos_base!$E$12+datos_base!$E$26,0))*parametros_manuales!$C$110)*parametros_manuales!$I$41*parametros_manuales!$J$41</f>
        <v>1466.264117898</v>
      </c>
      <c r="D105" s="9" t="n">
        <f aca="false">(parametros_manuales!$D$41*(datos_base!$E$2+datos_base!$E$18+IF(parametros_manuales!$H$41="Todos",datos_base!$E$9+datos_base!$E$23,0))*parametros_manuales!$D$95+parametros_manuales!$E$41*(datos_base!$E$3+datos_base!$E$19+IF(parametros_manuales!$H$41="Todos",datos_base!$E$10+datos_base!$E$24,0))*parametros_manuales!$D$100+parametros_manuales!$F$41*(datos_base!$E$4+datos_base!$E$20+IF(parametros_manuales!$H$41="Todos",datos_base!$E$11+datos_base!$E$25,0))*parametros_manuales!$D$105+parametros_manuales!$G$41*(datos_base!$E$5+datos_base!$E$21+IF(parametros_manuales!$H$41="Todos",datos_base!$E$12+datos_base!$E$26,0))*parametros_manuales!$D$110)*parametros_manuales!$I$41*parametros_manuales!$J$41</f>
        <v>1425.6066323135</v>
      </c>
      <c r="E105" s="9" t="n">
        <f aca="false">(parametros_manuales!$D$41*(datos_base!$E$2+datos_base!$E$18+IF(parametros_manuales!$H$41="Todos",datos_base!$E$9+datos_base!$E$23,0))*parametros_manuales!$E$95+parametros_manuales!$E$41*(datos_base!$E$3+datos_base!$E$19+IF(parametros_manuales!$H$41="Todos",datos_base!$E$10+datos_base!$E$24,0))*parametros_manuales!$E$100+parametros_manuales!$F$41*(datos_base!$E$4+datos_base!$E$20+IF(parametros_manuales!$H$41="Todos",datos_base!$E$11+datos_base!$E$25,0))*parametros_manuales!$E$105+parametros_manuales!$G$41*(datos_base!$E$5+datos_base!$E$21+IF(parametros_manuales!$H$41="Todos",datos_base!$E$12+datos_base!$E$26,0))*parametros_manuales!$E$110)*parametros_manuales!$I$41*parametros_manuales!$J$41</f>
        <v>1383.2709545685</v>
      </c>
      <c r="F105" s="9" t="n">
        <f aca="false">(parametros_manuales!$D$41*(datos_base!$E$2+datos_base!$E$18+IF(parametros_manuales!$H$41="Todos",datos_base!$E$9+datos_base!$E$23,0))*parametros_manuales!$F$95+parametros_manuales!$E$41*(datos_base!$E$3+datos_base!$E$19+IF(parametros_manuales!$H$41="Todos",datos_base!$E$10+datos_base!$E$24,0))*parametros_manuales!$F$100+parametros_manuales!$F$41*(datos_base!$E$4+datos_base!$E$20+IF(parametros_manuales!$H$41="Todos",datos_base!$E$11+datos_base!$E$25,0))*parametros_manuales!$F$105+parametros_manuales!$G$41*(datos_base!$E$5+datos_base!$E$21+IF(parametros_manuales!$H$41="Todos",datos_base!$E$12+datos_base!$E$26,0))*parametros_manuales!$F$110)*parametros_manuales!$I$41*parametros_manuales!$J$41</f>
        <v>1296.921406918</v>
      </c>
      <c r="G105" s="9" t="n">
        <f aca="false">(parametros_manuales!$D$41*(datos_base!$E$2+datos_base!$E$18+IF(parametros_manuales!$H$41="Todos",datos_base!$E$9+datos_base!$E$23,0))*parametros_manuales!$G$95+parametros_manuales!$E$41*(datos_base!$E$3+datos_base!$E$19+IF(parametros_manuales!$H$41="Todos",datos_base!$E$10+datos_base!$E$24,0))*parametros_manuales!$G$100+parametros_manuales!$F$41*(datos_base!$E$4+datos_base!$E$20+IF(parametros_manuales!$H$41="Todos",datos_base!$E$11+datos_base!$E$25,0))*parametros_manuales!$G$105+parametros_manuales!$G$41*(datos_base!$E$5+datos_base!$E$21+IF(parametros_manuales!$H$41="Todos",datos_base!$E$12+datos_base!$E$26,0))*parametros_manuales!$G$110)*parametros_manuales!$I$41*parametros_manuales!$J$41</f>
        <v>1252.9075370125</v>
      </c>
      <c r="H105" s="9" t="n">
        <f aca="false">(parametros_manuales!$D$41*(datos_base!$E$2+datos_base!$E$18+IF(parametros_manuales!$H$41="Todos",datos_base!$E$9+datos_base!$E$23,0))*parametros_manuales!$H$95+parametros_manuales!$E$41*(datos_base!$E$3+datos_base!$E$19+IF(parametros_manuales!$H$41="Todos",datos_base!$E$10+datos_base!$E$24,0))*parametros_manuales!$H$100+parametros_manuales!$F$41*(datos_base!$E$4+datos_base!$E$20+IF(parametros_manuales!$H$41="Todos",datos_base!$E$11+datos_base!$E$25,0))*parametros_manuales!$H$105+parametros_manuales!$G$41*(datos_base!$E$5+datos_base!$E$21+IF(parametros_manuales!$H$41="Todos",datos_base!$E$12+datos_base!$E$26,0))*parametros_manuales!$H$110)*parametros_manuales!$I$41*parametros_manuales!$J$41</f>
        <v>1339.257084663</v>
      </c>
      <c r="I105" s="9" t="n">
        <f aca="false">(parametros_manuales!$D$41*(datos_base!$E$2+datos_base!$E$18+IF(parametros_manuales!$H$41="Todos",datos_base!$E$9+datos_base!$E$23,0))*parametros_manuales!$I$95+parametros_manuales!$E$41*(datos_base!$E$3+datos_base!$E$19+IF(parametros_manuales!$H$41="Todos",datos_base!$E$10+datos_base!$E$24,0))*parametros_manuales!$I$100+parametros_manuales!$F$41*(datos_base!$E$4+datos_base!$E$20+IF(parametros_manuales!$H$41="Todos",datos_base!$E$11+datos_base!$E$25,0))*parametros_manuales!$I$105+parametros_manuales!$G$41*(datos_base!$E$5+datos_base!$E$21+IF(parametros_manuales!$H$41="Todos",datos_base!$E$12+datos_base!$E$26,0))*parametros_manuales!$I$110)*parametros_manuales!$I$41*parametros_manuales!$J$41</f>
        <v>1466.264117898</v>
      </c>
      <c r="J105" s="9" t="n">
        <f aca="false">(parametros_manuales!$D$41*(datos_base!$E$2+datos_base!$E$18+IF(parametros_manuales!$H$41="Todos",datos_base!$E$9+datos_base!$E$23,0))*parametros_manuales!$J$95+parametros_manuales!$E$41*(datos_base!$E$3+datos_base!$E$19+IF(parametros_manuales!$H$41="Todos",datos_base!$E$10+datos_base!$E$24,0))*parametros_manuales!$J$100+parametros_manuales!$F$41*(datos_base!$E$4+datos_base!$E$20+IF(parametros_manuales!$H$41="Todos",datos_base!$E$11+datos_base!$E$25,0))*parametros_manuales!$J$105+parametros_manuales!$G$41*(datos_base!$E$5+datos_base!$E$21+IF(parametros_manuales!$H$41="Todos",datos_base!$E$12+datos_base!$E$26,0))*parametros_manuales!$J$110)*parametros_manuales!$I$41*parametros_manuales!$J$41</f>
        <v>1466.264117898</v>
      </c>
      <c r="K105" s="9" t="n">
        <f aca="false">(parametros_manuales!$D$41*(datos_base!$E$2+datos_base!$E$18+IF(parametros_manuales!$H$41="Todos",datos_base!$E$9+datos_base!$E$23,0))*parametros_manuales!$K$95+parametros_manuales!$E$41*(datos_base!$E$3+datos_base!$E$19+IF(parametros_manuales!$H$41="Todos",datos_base!$E$10+datos_base!$E$24,0))*parametros_manuales!$K$100+parametros_manuales!$F$41*(datos_base!$E$4+datos_base!$E$20+IF(parametros_manuales!$H$41="Todos",datos_base!$E$11+datos_base!$E$25,0))*parametros_manuales!$K$105+parametros_manuales!$G$41*(datos_base!$E$5+datos_base!$E$21+IF(parametros_manuales!$H$41="Todos",datos_base!$E$12+datos_base!$E$26,0))*parametros_manuales!$K$110)*parametros_manuales!$I$41*parametros_manuales!$J$41</f>
        <v>1510.2779878035</v>
      </c>
      <c r="L105" s="9" t="n">
        <f aca="false">(parametros_manuales!$D$41*(datos_base!$E$2+datos_base!$E$18+IF(parametros_manuales!$H$41="Todos",datos_base!$E$9+datos_base!$E$23,0))*parametros_manuales!$L$95+parametros_manuales!$E$41*(datos_base!$E$3+datos_base!$E$19+IF(parametros_manuales!$H$41="Todos",datos_base!$E$10+datos_base!$E$24,0))*parametros_manuales!$L$100+parametros_manuales!$F$41*(datos_base!$E$4+datos_base!$E$20+IF(parametros_manuales!$H$41="Todos",datos_base!$E$11+datos_base!$E$25,0))*parametros_manuales!$L$105+parametros_manuales!$G$41*(datos_base!$E$5+datos_base!$E$21+IF(parametros_manuales!$H$41="Todos",datos_base!$E$12+datos_base!$E$26,0))*parametros_manuales!$L$110)*parametros_manuales!$I$41*parametros_manuales!$J$41</f>
        <v>1554.291857709</v>
      </c>
      <c r="M105" s="9" t="n">
        <f aca="false">(parametros_manuales!$D$41*(datos_base!$E$2+datos_base!$E$18+IF(parametros_manuales!$H$41="Todos",datos_base!$E$9+datos_base!$E$23,0))*parametros_manuales!$M$95+parametros_manuales!$E$41*(datos_base!$E$3+datos_base!$E$19+IF(parametros_manuales!$H$41="Todos",datos_base!$E$10+datos_base!$E$24,0))*parametros_manuales!$M$100+parametros_manuales!$F$41*(datos_base!$E$4+datos_base!$E$20+IF(parametros_manuales!$H$41="Todos",datos_base!$E$11+datos_base!$E$25,0))*parametros_manuales!$M$105+parametros_manuales!$G$41*(datos_base!$E$5+datos_base!$E$21+IF(parametros_manuales!$H$41="Todos",datos_base!$E$12+datos_base!$E$26,0))*parametros_manuales!$M$110)*parametros_manuales!$I$41*parametros_manuales!$J$41</f>
        <v>1554.291857709</v>
      </c>
      <c r="N105" s="9" t="n">
        <f aca="false">SUM(B105:M105)</f>
        <v>17269.9095301</v>
      </c>
      <c r="O105" s="9" t="n">
        <f aca="false">MAX(B105:M105)</f>
        <v>1554.291857709</v>
      </c>
      <c r="P105" s="43" t="n">
        <f aca="false">O105/(parametros_manuales!$B$7)</f>
        <v>10.36194571806</v>
      </c>
      <c r="Q105" s="8" t="str">
        <f aca="false">IF(O105=0,"-",INDEX($B$82:$M$82,MATCH(O105,B105:M105,0)))</f>
        <v>Ene</v>
      </c>
    </row>
    <row r="106" customFormat="false" ht="14.25" hidden="false" customHeight="true" outlineLevel="0" collapsed="false">
      <c r="A106" s="8" t="str">
        <f aca="false">parametros_manuales!$B$42</f>
        <v>Etiquetado</v>
      </c>
      <c r="B106" s="9" t="n">
        <f aca="false">(parametros_manuales!$D$42*(datos_base!$E$2+datos_base!$E$18+IF(parametros_manuales!$H$42="Todos",datos_base!$E$9+datos_base!$E$23,0))*parametros_manuales!$B$95+parametros_manuales!$E$42*(datos_base!$E$3+datos_base!$E$19+IF(parametros_manuales!$H$42="Todos",datos_base!$E$10+datos_base!$E$24,0))*parametros_manuales!$B$100+parametros_manuales!$F$42*(datos_base!$E$4+datos_base!$E$20+IF(parametros_manuales!$H$42="Todos",datos_base!$E$11+datos_base!$E$25,0))*parametros_manuales!$B$105+parametros_manuales!$G$42*(datos_base!$E$5+datos_base!$E$21+IF(parametros_manuales!$H$42="Todos",datos_base!$E$12+datos_base!$E$26,0))*parametros_manuales!$B$110)*parametros_manuales!$I$42*parametros_manuales!$J$42</f>
        <v>1554.291857709</v>
      </c>
      <c r="C106" s="9" t="n">
        <f aca="false">(parametros_manuales!$D$42*(datos_base!$E$2+datos_base!$E$18+IF(parametros_manuales!$H$42="Todos",datos_base!$E$9+datos_base!$E$23,0))*parametros_manuales!$C$95+parametros_manuales!$E$42*(datos_base!$E$3+datos_base!$E$19+IF(parametros_manuales!$H$42="Todos",datos_base!$E$10+datos_base!$E$24,0))*parametros_manuales!$C$100+parametros_manuales!$F$42*(datos_base!$E$4+datos_base!$E$20+IF(parametros_manuales!$H$42="Todos",datos_base!$E$11+datos_base!$E$25,0))*parametros_manuales!$C$105+parametros_manuales!$G$42*(datos_base!$E$5+datos_base!$E$21+IF(parametros_manuales!$H$42="Todos",datos_base!$E$12+datos_base!$E$26,0))*parametros_manuales!$C$110)*parametros_manuales!$I$42*parametros_manuales!$J$42</f>
        <v>1466.264117898</v>
      </c>
      <c r="D106" s="9" t="n">
        <f aca="false">(parametros_manuales!$D$42*(datos_base!$E$2+datos_base!$E$18+IF(parametros_manuales!$H$42="Todos",datos_base!$E$9+datos_base!$E$23,0))*parametros_manuales!$D$95+parametros_manuales!$E$42*(datos_base!$E$3+datos_base!$E$19+IF(parametros_manuales!$H$42="Todos",datos_base!$E$10+datos_base!$E$24,0))*parametros_manuales!$D$100+parametros_manuales!$F$42*(datos_base!$E$4+datos_base!$E$20+IF(parametros_manuales!$H$42="Todos",datos_base!$E$11+datos_base!$E$25,0))*parametros_manuales!$D$105+parametros_manuales!$G$42*(datos_base!$E$5+datos_base!$E$21+IF(parametros_manuales!$H$42="Todos",datos_base!$E$12+datos_base!$E$26,0))*parametros_manuales!$D$110)*parametros_manuales!$I$42*parametros_manuales!$J$42</f>
        <v>1425.6066323135</v>
      </c>
      <c r="E106" s="9" t="n">
        <f aca="false">(parametros_manuales!$D$42*(datos_base!$E$2+datos_base!$E$18+IF(parametros_manuales!$H$42="Todos",datos_base!$E$9+datos_base!$E$23,0))*parametros_manuales!$E$95+parametros_manuales!$E$42*(datos_base!$E$3+datos_base!$E$19+IF(parametros_manuales!$H$42="Todos",datos_base!$E$10+datos_base!$E$24,0))*parametros_manuales!$E$100+parametros_manuales!$F$42*(datos_base!$E$4+datos_base!$E$20+IF(parametros_manuales!$H$42="Todos",datos_base!$E$11+datos_base!$E$25,0))*parametros_manuales!$E$105+parametros_manuales!$G$42*(datos_base!$E$5+datos_base!$E$21+IF(parametros_manuales!$H$42="Todos",datos_base!$E$12+datos_base!$E$26,0))*parametros_manuales!$E$110)*parametros_manuales!$I$42*parametros_manuales!$J$42</f>
        <v>1383.2709545685</v>
      </c>
      <c r="F106" s="9" t="n">
        <f aca="false">(parametros_manuales!$D$42*(datos_base!$E$2+datos_base!$E$18+IF(parametros_manuales!$H$42="Todos",datos_base!$E$9+datos_base!$E$23,0))*parametros_manuales!$F$95+parametros_manuales!$E$42*(datos_base!$E$3+datos_base!$E$19+IF(parametros_manuales!$H$42="Todos",datos_base!$E$10+datos_base!$E$24,0))*parametros_manuales!$F$100+parametros_manuales!$F$42*(datos_base!$E$4+datos_base!$E$20+IF(parametros_manuales!$H$42="Todos",datos_base!$E$11+datos_base!$E$25,0))*parametros_manuales!$F$105+parametros_manuales!$G$42*(datos_base!$E$5+datos_base!$E$21+IF(parametros_manuales!$H$42="Todos",datos_base!$E$12+datos_base!$E$26,0))*parametros_manuales!$F$110)*parametros_manuales!$I$42*parametros_manuales!$J$42</f>
        <v>1296.921406918</v>
      </c>
      <c r="G106" s="9" t="n">
        <f aca="false">(parametros_manuales!$D$42*(datos_base!$E$2+datos_base!$E$18+IF(parametros_manuales!$H$42="Todos",datos_base!$E$9+datos_base!$E$23,0))*parametros_manuales!$G$95+parametros_manuales!$E$42*(datos_base!$E$3+datos_base!$E$19+IF(parametros_manuales!$H$42="Todos",datos_base!$E$10+datos_base!$E$24,0))*parametros_manuales!$G$100+parametros_manuales!$F$42*(datos_base!$E$4+datos_base!$E$20+IF(parametros_manuales!$H$42="Todos",datos_base!$E$11+datos_base!$E$25,0))*parametros_manuales!$G$105+parametros_manuales!$G$42*(datos_base!$E$5+datos_base!$E$21+IF(parametros_manuales!$H$42="Todos",datos_base!$E$12+datos_base!$E$26,0))*parametros_manuales!$G$110)*parametros_manuales!$I$42*parametros_manuales!$J$42</f>
        <v>1252.9075370125</v>
      </c>
      <c r="H106" s="9" t="n">
        <f aca="false">(parametros_manuales!$D$42*(datos_base!$E$2+datos_base!$E$18+IF(parametros_manuales!$H$42="Todos",datos_base!$E$9+datos_base!$E$23,0))*parametros_manuales!$H$95+parametros_manuales!$E$42*(datos_base!$E$3+datos_base!$E$19+IF(parametros_manuales!$H$42="Todos",datos_base!$E$10+datos_base!$E$24,0))*parametros_manuales!$H$100+parametros_manuales!$F$42*(datos_base!$E$4+datos_base!$E$20+IF(parametros_manuales!$H$42="Todos",datos_base!$E$11+datos_base!$E$25,0))*parametros_manuales!$H$105+parametros_manuales!$G$42*(datos_base!$E$5+datos_base!$E$21+IF(parametros_manuales!$H$42="Todos",datos_base!$E$12+datos_base!$E$26,0))*parametros_manuales!$H$110)*parametros_manuales!$I$42*parametros_manuales!$J$42</f>
        <v>1339.257084663</v>
      </c>
      <c r="I106" s="9" t="n">
        <f aca="false">(parametros_manuales!$D$42*(datos_base!$E$2+datos_base!$E$18+IF(parametros_manuales!$H$42="Todos",datos_base!$E$9+datos_base!$E$23,0))*parametros_manuales!$I$95+parametros_manuales!$E$42*(datos_base!$E$3+datos_base!$E$19+IF(parametros_manuales!$H$42="Todos",datos_base!$E$10+datos_base!$E$24,0))*parametros_manuales!$I$100+parametros_manuales!$F$42*(datos_base!$E$4+datos_base!$E$20+IF(parametros_manuales!$H$42="Todos",datos_base!$E$11+datos_base!$E$25,0))*parametros_manuales!$I$105+parametros_manuales!$G$42*(datos_base!$E$5+datos_base!$E$21+IF(parametros_manuales!$H$42="Todos",datos_base!$E$12+datos_base!$E$26,0))*parametros_manuales!$I$110)*parametros_manuales!$I$42*parametros_manuales!$J$42</f>
        <v>1466.264117898</v>
      </c>
      <c r="J106" s="9" t="n">
        <f aca="false">(parametros_manuales!$D$42*(datos_base!$E$2+datos_base!$E$18+IF(parametros_manuales!$H$42="Todos",datos_base!$E$9+datos_base!$E$23,0))*parametros_manuales!$J$95+parametros_manuales!$E$42*(datos_base!$E$3+datos_base!$E$19+IF(parametros_manuales!$H$42="Todos",datos_base!$E$10+datos_base!$E$24,0))*parametros_manuales!$J$100+parametros_manuales!$F$42*(datos_base!$E$4+datos_base!$E$20+IF(parametros_manuales!$H$42="Todos",datos_base!$E$11+datos_base!$E$25,0))*parametros_manuales!$J$105+parametros_manuales!$G$42*(datos_base!$E$5+datos_base!$E$21+IF(parametros_manuales!$H$42="Todos",datos_base!$E$12+datos_base!$E$26,0))*parametros_manuales!$J$110)*parametros_manuales!$I$42*parametros_manuales!$J$42</f>
        <v>1466.264117898</v>
      </c>
      <c r="K106" s="9" t="n">
        <f aca="false">(parametros_manuales!$D$42*(datos_base!$E$2+datos_base!$E$18+IF(parametros_manuales!$H$42="Todos",datos_base!$E$9+datos_base!$E$23,0))*parametros_manuales!$K$95+parametros_manuales!$E$42*(datos_base!$E$3+datos_base!$E$19+IF(parametros_manuales!$H$42="Todos",datos_base!$E$10+datos_base!$E$24,0))*parametros_manuales!$K$100+parametros_manuales!$F$42*(datos_base!$E$4+datos_base!$E$20+IF(parametros_manuales!$H$42="Todos",datos_base!$E$11+datos_base!$E$25,0))*parametros_manuales!$K$105+parametros_manuales!$G$42*(datos_base!$E$5+datos_base!$E$21+IF(parametros_manuales!$H$42="Todos",datos_base!$E$12+datos_base!$E$26,0))*parametros_manuales!$K$110)*parametros_manuales!$I$42*parametros_manuales!$J$42</f>
        <v>1510.2779878035</v>
      </c>
      <c r="L106" s="9" t="n">
        <f aca="false">(parametros_manuales!$D$42*(datos_base!$E$2+datos_base!$E$18+IF(parametros_manuales!$H$42="Todos",datos_base!$E$9+datos_base!$E$23,0))*parametros_manuales!$L$95+parametros_manuales!$E$42*(datos_base!$E$3+datos_base!$E$19+IF(parametros_manuales!$H$42="Todos",datos_base!$E$10+datos_base!$E$24,0))*parametros_manuales!$L$100+parametros_manuales!$F$42*(datos_base!$E$4+datos_base!$E$20+IF(parametros_manuales!$H$42="Todos",datos_base!$E$11+datos_base!$E$25,0))*parametros_manuales!$L$105+parametros_manuales!$G$42*(datos_base!$E$5+datos_base!$E$21+IF(parametros_manuales!$H$42="Todos",datos_base!$E$12+datos_base!$E$26,0))*parametros_manuales!$L$110)*parametros_manuales!$I$42*parametros_manuales!$J$42</f>
        <v>1554.291857709</v>
      </c>
      <c r="M106" s="9" t="n">
        <f aca="false">(parametros_manuales!$D$42*(datos_base!$E$2+datos_base!$E$18+IF(parametros_manuales!$H$42="Todos",datos_base!$E$9+datos_base!$E$23,0))*parametros_manuales!$M$95+parametros_manuales!$E$42*(datos_base!$E$3+datos_base!$E$19+IF(parametros_manuales!$H$42="Todos",datos_base!$E$10+datos_base!$E$24,0))*parametros_manuales!$M$100+parametros_manuales!$F$42*(datos_base!$E$4+datos_base!$E$20+IF(parametros_manuales!$H$42="Todos",datos_base!$E$11+datos_base!$E$25,0))*parametros_manuales!$M$105+parametros_manuales!$G$42*(datos_base!$E$5+datos_base!$E$21+IF(parametros_manuales!$H$42="Todos",datos_base!$E$12+datos_base!$E$26,0))*parametros_manuales!$M$110)*parametros_manuales!$I$42*parametros_manuales!$J$42</f>
        <v>1554.291857709</v>
      </c>
      <c r="N106" s="9" t="n">
        <f aca="false">SUM(B106:M106)</f>
        <v>17269.9095301</v>
      </c>
      <c r="O106" s="9" t="n">
        <f aca="false">MAX(B106:M106)</f>
        <v>1554.291857709</v>
      </c>
      <c r="P106" s="43" t="n">
        <f aca="false">O106/(parametros_manuales!$B$7)</f>
        <v>10.36194571806</v>
      </c>
      <c r="Q106" s="8" t="str">
        <f aca="false">IF(O106=0,"-",INDEX($B$82:$M$82,MATCH(O106,B106:M106,0)))</f>
        <v>Ene</v>
      </c>
    </row>
    <row r="107" customFormat="false" ht="14.25" hidden="false" customHeight="true" outlineLevel="0" collapsed="false">
      <c r="A107" s="8" t="str">
        <f aca="false">parametros_manuales!$B$43</f>
        <v>Embalaje y paletizado</v>
      </c>
      <c r="B107" s="9" t="n">
        <f aca="false">(parametros_manuales!$D$43*(datos_base!$E$2+datos_base!$E$18+IF(parametros_manuales!$H$43="Todos",datos_base!$E$9+datos_base!$E$23,0))*parametros_manuales!$B$95+parametros_manuales!$E$43*(datos_base!$E$3+datos_base!$E$19+IF(parametros_manuales!$H$43="Todos",datos_base!$E$10+datos_base!$E$24,0))*parametros_manuales!$B$100+parametros_manuales!$F$43*(datos_base!$E$4+datos_base!$E$20+IF(parametros_manuales!$H$43="Todos",datos_base!$E$11+datos_base!$E$25,0))*parametros_manuales!$B$105+parametros_manuales!$G$43*(datos_base!$E$5+datos_base!$E$21+IF(parametros_manuales!$H$43="Todos",datos_base!$E$12+datos_base!$E$26,0))*parametros_manuales!$B$110)*parametros_manuales!$I$43*parametros_manuales!$J$43</f>
        <v>4562.041457709</v>
      </c>
      <c r="C107" s="9" t="n">
        <f aca="false">(parametros_manuales!$D$43*(datos_base!$E$2+datos_base!$E$18+IF(parametros_manuales!$H$43="Todos",datos_base!$E$9+datos_base!$E$23,0))*parametros_manuales!$C$95+parametros_manuales!$E$43*(datos_base!$E$3+datos_base!$E$19+IF(parametros_manuales!$H$43="Todos",datos_base!$E$10+datos_base!$E$24,0))*parametros_manuales!$C$100+parametros_manuales!$F$43*(datos_base!$E$4+datos_base!$E$20+IF(parametros_manuales!$H$43="Todos",datos_base!$E$11+datos_base!$E$25,0))*parametros_manuales!$C$105+parametros_manuales!$G$43*(datos_base!$E$5+datos_base!$E$21+IF(parametros_manuales!$H$43="Todos",datos_base!$E$12+datos_base!$E$26,0))*parametros_manuales!$C$110)*parametros_manuales!$I$43*parametros_manuales!$J$43</f>
        <v>4406.767317898</v>
      </c>
      <c r="D107" s="9" t="n">
        <f aca="false">(parametros_manuales!$D$43*(datos_base!$E$2+datos_base!$E$18+IF(parametros_manuales!$H$43="Todos",datos_base!$E$9+datos_base!$E$23,0))*parametros_manuales!$D$95+parametros_manuales!$E$43*(datos_base!$E$3+datos_base!$E$19+IF(parametros_manuales!$H$43="Todos",datos_base!$E$10+datos_base!$E$24,0))*parametros_manuales!$D$100+parametros_manuales!$F$43*(datos_base!$E$4+datos_base!$E$20+IF(parametros_manuales!$H$43="Todos",datos_base!$E$11+datos_base!$E$25,0))*parametros_manuales!$D$105+parametros_manuales!$G$43*(datos_base!$E$5+datos_base!$E$21+IF(parametros_manuales!$H$43="Todos",datos_base!$E$12+datos_base!$E$26,0))*parametros_manuales!$D$110)*parametros_manuales!$I$43*parametros_manuales!$J$43</f>
        <v>4132.7850323135</v>
      </c>
      <c r="E107" s="9" t="n">
        <f aca="false">(parametros_manuales!$D$43*(datos_base!$E$2+datos_base!$E$18+IF(parametros_manuales!$H$43="Todos",datos_base!$E$9+datos_base!$E$23,0))*parametros_manuales!$E$95+parametros_manuales!$E$43*(datos_base!$E$3+datos_base!$E$19+IF(parametros_manuales!$H$43="Todos",datos_base!$E$10+datos_base!$E$24,0))*parametros_manuales!$E$100+parametros_manuales!$F$43*(datos_base!$E$4+datos_base!$E$20+IF(parametros_manuales!$H$43="Todos",datos_base!$E$11+datos_base!$E$25,0))*parametros_manuales!$E$105+parametros_manuales!$G$43*(datos_base!$E$5+datos_base!$E$21+IF(parametros_manuales!$H$43="Todos",datos_base!$E$12+datos_base!$E$26,0))*parametros_manuales!$E$110)*parametros_manuales!$I$43*parametros_manuales!$J$43</f>
        <v>3956.9753545685</v>
      </c>
      <c r="F107" s="9" t="n">
        <f aca="false">(parametros_manuales!$D$43*(datos_base!$E$2+datos_base!$E$18+IF(parametros_manuales!$H$43="Todos",datos_base!$E$9+datos_base!$E$23,0))*parametros_manuales!$F$95+parametros_manuales!$E$43*(datos_base!$E$3+datos_base!$E$19+IF(parametros_manuales!$H$43="Todos",datos_base!$E$10+datos_base!$E$24,0))*parametros_manuales!$F$100+parametros_manuales!$F$43*(datos_base!$E$4+datos_base!$E$20+IF(parametros_manuales!$H$43="Todos",datos_base!$E$11+datos_base!$E$25,0))*parametros_manuales!$F$105+parametros_manuales!$G$43*(datos_base!$E$5+datos_base!$E$21+IF(parametros_manuales!$H$43="Todos",datos_base!$E$12+datos_base!$E$26,0))*parametros_manuales!$F$110)*parametros_manuales!$I$43*parametros_manuales!$J$43</f>
        <v>3703.528606918</v>
      </c>
      <c r="G107" s="9" t="n">
        <f aca="false">(parametros_manuales!$D$43*(datos_base!$E$2+datos_base!$E$18+IF(parametros_manuales!$H$43="Todos",datos_base!$E$9+datos_base!$E$23,0))*parametros_manuales!$G$95+parametros_manuales!$E$43*(datos_base!$E$3+datos_base!$E$19+IF(parametros_manuales!$H$43="Todos",datos_base!$E$10+datos_base!$E$24,0))*parametros_manuales!$G$100+parametros_manuales!$F$43*(datos_base!$E$4+datos_base!$E$20+IF(parametros_manuales!$H$43="Todos",datos_base!$E$11+datos_base!$E$25,0))*parametros_manuales!$G$105+parametros_manuales!$G$43*(datos_base!$E$5+datos_base!$E$21+IF(parametros_manuales!$H$43="Todos",datos_base!$E$12+datos_base!$E$26,0))*parametros_manuales!$G$110)*parametros_manuales!$I$43*parametros_manuales!$J$43</f>
        <v>3625.8915370125</v>
      </c>
      <c r="H107" s="9" t="n">
        <f aca="false">(parametros_manuales!$D$43*(datos_base!$E$2+datos_base!$E$18+IF(parametros_manuales!$H$43="Todos",datos_base!$E$9+datos_base!$E$23,0))*parametros_manuales!$H$95+parametros_manuales!$E$43*(datos_base!$E$3+datos_base!$E$19+IF(parametros_manuales!$H$43="Todos",datos_base!$E$10+datos_base!$E$24,0))*parametros_manuales!$H$100+parametros_manuales!$F$43*(datos_base!$E$4+datos_base!$E$20+IF(parametros_manuales!$H$43="Todos",datos_base!$E$11+datos_base!$E$25,0))*parametros_manuales!$H$105+parametros_manuales!$G$43*(datos_base!$E$5+datos_base!$E$21+IF(parametros_manuales!$H$43="Todos",datos_base!$E$12+datos_base!$E$26,0))*parametros_manuales!$H$110)*parametros_manuales!$I$43*parametros_manuales!$J$43</f>
        <v>3879.338284663</v>
      </c>
      <c r="I107" s="9" t="n">
        <f aca="false">(parametros_manuales!$D$43*(datos_base!$E$2+datos_base!$E$18+IF(parametros_manuales!$H$43="Todos",datos_base!$E$9+datos_base!$E$23,0))*parametros_manuales!$I$95+parametros_manuales!$E$43*(datos_base!$E$3+datos_base!$E$19+IF(parametros_manuales!$H$43="Todos",datos_base!$E$10+datos_base!$E$24,0))*parametros_manuales!$I$100+parametros_manuales!$F$43*(datos_base!$E$4+datos_base!$E$20+IF(parametros_manuales!$H$43="Todos",datos_base!$E$11+datos_base!$E$25,0))*parametros_manuales!$I$105+parametros_manuales!$G$43*(datos_base!$E$5+datos_base!$E$21+IF(parametros_manuales!$H$43="Todos",datos_base!$E$12+datos_base!$E$26,0))*parametros_manuales!$I$110)*parametros_manuales!$I$43*parametros_manuales!$J$43</f>
        <v>4406.767317898</v>
      </c>
      <c r="J107" s="9" t="n">
        <f aca="false">(parametros_manuales!$D$43*(datos_base!$E$2+datos_base!$E$18+IF(parametros_manuales!$H$43="Todos",datos_base!$E$9+datos_base!$E$23,0))*parametros_manuales!$J$95+parametros_manuales!$E$43*(datos_base!$E$3+datos_base!$E$19+IF(parametros_manuales!$H$43="Todos",datos_base!$E$10+datos_base!$E$24,0))*parametros_manuales!$J$100+parametros_manuales!$F$43*(datos_base!$E$4+datos_base!$E$20+IF(parametros_manuales!$H$43="Todos",datos_base!$E$11+datos_base!$E$25,0))*parametros_manuales!$J$105+parametros_manuales!$G$43*(datos_base!$E$5+datos_base!$E$21+IF(parametros_manuales!$H$43="Todos",datos_base!$E$12+datos_base!$E$26,0))*parametros_manuales!$J$110)*parametros_manuales!$I$43*parametros_manuales!$J$43</f>
        <v>4406.767317898</v>
      </c>
      <c r="K107" s="9" t="n">
        <f aca="false">(parametros_manuales!$D$43*(datos_base!$E$2+datos_base!$E$18+IF(parametros_manuales!$H$43="Todos",datos_base!$E$9+datos_base!$E$23,0))*parametros_manuales!$K$95+parametros_manuales!$E$43*(datos_base!$E$3+datos_base!$E$19+IF(parametros_manuales!$H$43="Todos",datos_base!$E$10+datos_base!$E$24,0))*parametros_manuales!$K$100+parametros_manuales!$F$43*(datos_base!$E$4+datos_base!$E$20+IF(parametros_manuales!$H$43="Todos",datos_base!$E$11+datos_base!$E$25,0))*parametros_manuales!$K$105+parametros_manuales!$G$43*(datos_base!$E$5+datos_base!$E$21+IF(parametros_manuales!$H$43="Todos",datos_base!$E$12+datos_base!$E$26,0))*parametros_manuales!$K$110)*parametros_manuales!$I$43*parametros_manuales!$J$43</f>
        <v>4484.4043878035</v>
      </c>
      <c r="L107" s="9" t="n">
        <f aca="false">(parametros_manuales!$D$43*(datos_base!$E$2+datos_base!$E$18+IF(parametros_manuales!$H$43="Todos",datos_base!$E$9+datos_base!$E$23,0))*parametros_manuales!$L$95+parametros_manuales!$E$43*(datos_base!$E$3+datos_base!$E$19+IF(parametros_manuales!$H$43="Todos",datos_base!$E$10+datos_base!$E$24,0))*parametros_manuales!$L$100+parametros_manuales!$F$43*(datos_base!$E$4+datos_base!$E$20+IF(parametros_manuales!$H$43="Todos",datos_base!$E$11+datos_base!$E$25,0))*parametros_manuales!$L$105+parametros_manuales!$G$43*(datos_base!$E$5+datos_base!$E$21+IF(parametros_manuales!$H$43="Todos",datos_base!$E$12+datos_base!$E$26,0))*parametros_manuales!$L$110)*parametros_manuales!$I$43*parametros_manuales!$J$43</f>
        <v>4562.041457709</v>
      </c>
      <c r="M107" s="9" t="n">
        <f aca="false">(parametros_manuales!$D$43*(datos_base!$E$2+datos_base!$E$18+IF(parametros_manuales!$H$43="Todos",datos_base!$E$9+datos_base!$E$23,0))*parametros_manuales!$M$95+parametros_manuales!$E$43*(datos_base!$E$3+datos_base!$E$19+IF(parametros_manuales!$H$43="Todos",datos_base!$E$10+datos_base!$E$24,0))*parametros_manuales!$M$100+parametros_manuales!$F$43*(datos_base!$E$4+datos_base!$E$20+IF(parametros_manuales!$H$43="Todos",datos_base!$E$11+datos_base!$E$25,0))*parametros_manuales!$M$105+parametros_manuales!$G$43*(datos_base!$E$5+datos_base!$E$21+IF(parametros_manuales!$H$43="Todos",datos_base!$E$12+datos_base!$E$26,0))*parametros_manuales!$M$110)*parametros_manuales!$I$43*parametros_manuales!$J$43</f>
        <v>4562.041457709</v>
      </c>
      <c r="N107" s="9" t="n">
        <f aca="false">SUM(B107:M107)</f>
        <v>50689.3495301</v>
      </c>
      <c r="O107" s="9" t="n">
        <f aca="false">MAX(B107:M107)</f>
        <v>4562.041457709</v>
      </c>
      <c r="P107" s="43" t="n">
        <f aca="false">O107/(parametros_manuales!$B$7)</f>
        <v>30.41360971806</v>
      </c>
      <c r="Q107" s="8" t="str">
        <f aca="false">IF(O107=0,"-",INDEX($B$82:$M$82,MATCH(O107,B107:M107,0)))</f>
        <v>Ene</v>
      </c>
    </row>
    <row r="108" customFormat="false" ht="14.25" hidden="false" customHeight="true" outlineLevel="0" collapsed="false"/>
    <row r="109" customFormat="false" ht="14.25" hidden="false" customHeight="true" outlineLevel="0" collapsed="false">
      <c r="A109" s="7" t="s">
        <v>194</v>
      </c>
      <c r="B109" s="7" t="s">
        <v>61</v>
      </c>
      <c r="C109" s="7" t="s">
        <v>62</v>
      </c>
      <c r="D109" s="7" t="s">
        <v>63</v>
      </c>
      <c r="E109" s="7" t="s">
        <v>64</v>
      </c>
      <c r="F109" s="7" t="s">
        <v>65</v>
      </c>
      <c r="G109" s="7" t="s">
        <v>66</v>
      </c>
      <c r="H109" s="7" t="s">
        <v>67</v>
      </c>
      <c r="I109" s="7" t="s">
        <v>68</v>
      </c>
      <c r="J109" s="7" t="s">
        <v>69</v>
      </c>
      <c r="K109" s="7" t="s">
        <v>70</v>
      </c>
      <c r="L109" s="7" t="s">
        <v>71</v>
      </c>
      <c r="M109" s="7" t="s">
        <v>72</v>
      </c>
      <c r="N109" s="7" t="s">
        <v>183</v>
      </c>
      <c r="O109" s="7" t="s">
        <v>188</v>
      </c>
      <c r="P109" s="7" t="s">
        <v>189</v>
      </c>
      <c r="Q109" s="7" t="s">
        <v>190</v>
      </c>
    </row>
    <row r="110" customFormat="false" ht="14.25" hidden="false" customHeight="true" outlineLevel="0" collapsed="false">
      <c r="A110" s="8" t="str">
        <f aca="false">parametros_manuales!$B$19</f>
        <v>Recepción de materia prima</v>
      </c>
      <c r="B110" s="9" t="n">
        <f aca="false">(parametros_manuales!$D$19*(datos_base!$F$2+datos_base!$F$18+IF(parametros_manuales!$H$19="Todos",datos_base!$F$9+datos_base!$F$23,0))*parametros_manuales!$B$95+parametros_manuales!$E$19*(datos_base!$F$3+datos_base!$F$19+IF(parametros_manuales!$H$19="Todos",datos_base!$F$10+datos_base!$F$24,0))*parametros_manuales!$B$100+parametros_manuales!$F$19*(datos_base!$F$4+datos_base!$F$20+IF(parametros_manuales!$H$19="Todos",datos_base!$F$11+datos_base!$F$25,0))*parametros_manuales!$B$105+parametros_manuales!$G$19*(datos_base!$F$5+datos_base!$F$21+IF(parametros_manuales!$H$19="Todos",datos_base!$F$12+datos_base!$F$26,0))*parametros_manuales!$B$110)*parametros_manuales!$I$19*parametros_manuales!$J$19</f>
        <v>7942.291697511</v>
      </c>
      <c r="C110" s="9" t="n">
        <f aca="false">(parametros_manuales!$D$19*(datos_base!$F$2+datos_base!$F$18+IF(parametros_manuales!$H$19="Todos",datos_base!$F$9+datos_base!$F$23,0))*parametros_manuales!$C$95+parametros_manuales!$E$19*(datos_base!$F$3+datos_base!$F$19+IF(parametros_manuales!$H$19="Todos",datos_base!$F$10+datos_base!$F$24,0))*parametros_manuales!$C$100+parametros_manuales!$F$19*(datos_base!$F$4+datos_base!$F$20+IF(parametros_manuales!$H$19="Todos",datos_base!$F$11+datos_base!$F$25,0))*parametros_manuales!$C$105+parametros_manuales!$G$19*(datos_base!$F$5+datos_base!$F$21+IF(parametros_manuales!$H$19="Todos",datos_base!$F$12+datos_base!$F$26,0))*parametros_manuales!$C$110)*parametros_manuales!$I$19*parametros_manuales!$J$19</f>
        <v>7680.969169332</v>
      </c>
      <c r="D110" s="9" t="n">
        <f aca="false">(parametros_manuales!$D$19*(datos_base!$F$2+datos_base!$F$18+IF(parametros_manuales!$H$19="Todos",datos_base!$F$9+datos_base!$F$23,0))*parametros_manuales!$D$95+parametros_manuales!$E$19*(datos_base!$F$3+datos_base!$F$19+IF(parametros_manuales!$H$19="Todos",datos_base!$F$10+datos_base!$F$24,0))*parametros_manuales!$D$100+parametros_manuales!$F$19*(datos_base!$F$4+datos_base!$F$20+IF(parametros_manuales!$H$19="Todos",datos_base!$F$11+datos_base!$F$25,0))*parametros_manuales!$D$105+parametros_manuales!$G$19*(datos_base!$F$5+datos_base!$F$21+IF(parametros_manuales!$H$19="Todos",datos_base!$F$12+datos_base!$F$26,0))*parametros_manuales!$D$110)*parametros_manuales!$I$19*parametros_manuales!$J$19</f>
        <v>7190.4761063215</v>
      </c>
      <c r="E110" s="9" t="n">
        <f aca="false">(parametros_manuales!$D$19*(datos_base!$F$2+datos_base!$F$18+IF(parametros_manuales!$H$19="Todos",datos_base!$F$9+datos_base!$F$23,0))*parametros_manuales!$E$95+parametros_manuales!$E$19*(datos_base!$F$3+datos_base!$F$19+IF(parametros_manuales!$H$19="Todos",datos_base!$F$10+datos_base!$F$24,0))*parametros_manuales!$E$100+parametros_manuales!$F$19*(datos_base!$F$4+datos_base!$F$20+IF(parametros_manuales!$H$19="Todos",datos_base!$F$11+datos_base!$F$25,0))*parametros_manuales!$E$105+parametros_manuales!$G$19*(datos_base!$F$5+datos_base!$F$21+IF(parametros_manuales!$H$19="Todos",datos_base!$F$12+datos_base!$F$26,0))*parametros_manuales!$E$110)*parametros_manuales!$I$19*parametros_manuales!$J$19</f>
        <v>6879.8989427715</v>
      </c>
      <c r="F110" s="9" t="n">
        <f aca="false">(parametros_manuales!$D$19*(datos_base!$F$2+datos_base!$F$18+IF(parametros_manuales!$H$19="Todos",datos_base!$F$9+datos_base!$F$23,0))*parametros_manuales!$F$95+parametros_manuales!$E$19*(datos_base!$F$3+datos_base!$F$19+IF(parametros_manuales!$H$19="Todos",datos_base!$F$10+datos_base!$F$24,0))*parametros_manuales!$F$100+parametros_manuales!$F$19*(datos_base!$F$4+datos_base!$F$20+IF(parametros_manuales!$H$19="Todos",datos_base!$F$11+datos_base!$F$25,0))*parametros_manuales!$F$105+parametros_manuales!$G$19*(datos_base!$F$5+datos_base!$F$21+IF(parametros_manuales!$H$19="Todos",datos_base!$F$12+datos_base!$F$26,0))*parametros_manuales!$F$110)*parametros_manuales!$I$19*parametros_manuales!$J$19</f>
        <v>6438.660515132</v>
      </c>
      <c r="G110" s="9" t="n">
        <f aca="false">(parametros_manuales!$D$19*(datos_base!$F$2+datos_base!$F$18+IF(parametros_manuales!$H$19="Todos",datos_base!$F$9+datos_base!$F$23,0))*parametros_manuales!$G$95+parametros_manuales!$E$19*(datos_base!$F$3+datos_base!$F$19+IF(parametros_manuales!$H$19="Todos",datos_base!$F$10+datos_base!$F$24,0))*parametros_manuales!$G$100+parametros_manuales!$F$19*(datos_base!$F$4+datos_base!$F$20+IF(parametros_manuales!$H$19="Todos",datos_base!$F$11+datos_base!$F$25,0))*parametros_manuales!$G$105+parametros_manuales!$G$19*(datos_base!$F$5+datos_base!$F$21+IF(parametros_manuales!$H$19="Todos",datos_base!$F$12+datos_base!$F$26,0))*parametros_manuales!$G$110)*parametros_manuales!$I$19*parametros_manuales!$J$19</f>
        <v>6307.9992510425</v>
      </c>
      <c r="H110" s="9" t="n">
        <f aca="false">(parametros_manuales!$D$19*(datos_base!$F$2+datos_base!$F$18+IF(parametros_manuales!$H$19="Todos",datos_base!$F$9+datos_base!$F$23,0))*parametros_manuales!$H$95+parametros_manuales!$E$19*(datos_base!$F$3+datos_base!$F$19+IF(parametros_manuales!$H$19="Todos",datos_base!$F$10+datos_base!$F$24,0))*parametros_manuales!$H$100+parametros_manuales!$F$19*(datos_base!$F$4+datos_base!$F$20+IF(parametros_manuales!$H$19="Todos",datos_base!$F$11+datos_base!$F$25,0))*parametros_manuales!$H$105+parametros_manuales!$G$19*(datos_base!$F$5+datos_base!$F$21+IF(parametros_manuales!$H$19="Todos",datos_base!$F$12+datos_base!$F$26,0))*parametros_manuales!$H$110)*parametros_manuales!$I$19*parametros_manuales!$J$19</f>
        <v>6749.237678682</v>
      </c>
      <c r="I110" s="9" t="n">
        <f aca="false">(parametros_manuales!$D$19*(datos_base!$F$2+datos_base!$F$18+IF(parametros_manuales!$H$19="Todos",datos_base!$F$9+datos_base!$F$23,0))*parametros_manuales!$I$95+parametros_manuales!$E$19*(datos_base!$F$3+datos_base!$F$19+IF(parametros_manuales!$H$19="Todos",datos_base!$F$10+datos_base!$F$24,0))*parametros_manuales!$I$100+parametros_manuales!$F$19*(datos_base!$F$4+datos_base!$F$20+IF(parametros_manuales!$H$19="Todos",datos_base!$F$11+datos_base!$F$25,0))*parametros_manuales!$I$105+parametros_manuales!$G$19*(datos_base!$F$5+datos_base!$F$21+IF(parametros_manuales!$H$19="Todos",datos_base!$F$12+datos_base!$F$26,0))*parametros_manuales!$I$110)*parametros_manuales!$I$19*parametros_manuales!$J$19</f>
        <v>7680.969169332</v>
      </c>
      <c r="J110" s="9" t="n">
        <f aca="false">(parametros_manuales!$D$19*(datos_base!$F$2+datos_base!$F$18+IF(parametros_manuales!$H$19="Todos",datos_base!$F$9+datos_base!$F$23,0))*parametros_manuales!$J$95+parametros_manuales!$E$19*(datos_base!$F$3+datos_base!$F$19+IF(parametros_manuales!$H$19="Todos",datos_base!$F$10+datos_base!$F$24,0))*parametros_manuales!$J$100+parametros_manuales!$F$19*(datos_base!$F$4+datos_base!$F$20+IF(parametros_manuales!$H$19="Todos",datos_base!$F$11+datos_base!$F$25,0))*parametros_manuales!$J$105+parametros_manuales!$G$19*(datos_base!$F$5+datos_base!$F$21+IF(parametros_manuales!$H$19="Todos",datos_base!$F$12+datos_base!$F$26,0))*parametros_manuales!$J$110)*parametros_manuales!$I$19*parametros_manuales!$J$19</f>
        <v>7680.969169332</v>
      </c>
      <c r="K110" s="9" t="n">
        <f aca="false">(parametros_manuales!$D$19*(datos_base!$F$2+datos_base!$F$18+IF(parametros_manuales!$H$19="Todos",datos_base!$F$9+datos_base!$F$23,0))*parametros_manuales!$K$95+parametros_manuales!$E$19*(datos_base!$F$3+datos_base!$F$19+IF(parametros_manuales!$H$19="Todos",datos_base!$F$10+datos_base!$F$24,0))*parametros_manuales!$K$100+parametros_manuales!$F$19*(datos_base!$F$4+datos_base!$F$20+IF(parametros_manuales!$H$19="Todos",datos_base!$F$11+datos_base!$F$25,0))*parametros_manuales!$K$105+parametros_manuales!$G$19*(datos_base!$F$5+datos_base!$F$21+IF(parametros_manuales!$H$19="Todos",datos_base!$F$12+datos_base!$F$26,0))*parametros_manuales!$K$110)*parametros_manuales!$I$19*parametros_manuales!$J$19</f>
        <v>7811.6304334215</v>
      </c>
      <c r="L110" s="9" t="n">
        <f aca="false">(parametros_manuales!$D$19*(datos_base!$F$2+datos_base!$F$18+IF(parametros_manuales!$H$19="Todos",datos_base!$F$9+datos_base!$F$23,0))*parametros_manuales!$L$95+parametros_manuales!$E$19*(datos_base!$F$3+datos_base!$F$19+IF(parametros_manuales!$H$19="Todos",datos_base!$F$10+datos_base!$F$24,0))*parametros_manuales!$L$100+parametros_manuales!$F$19*(datos_base!$F$4+datos_base!$F$20+IF(parametros_manuales!$H$19="Todos",datos_base!$F$11+datos_base!$F$25,0))*parametros_manuales!$L$105+parametros_manuales!$G$19*(datos_base!$F$5+datos_base!$F$21+IF(parametros_manuales!$H$19="Todos",datos_base!$F$12+datos_base!$F$26,0))*parametros_manuales!$L$110)*parametros_manuales!$I$19*parametros_manuales!$J$19</f>
        <v>7942.291697511</v>
      </c>
      <c r="M110" s="9" t="n">
        <f aca="false">(parametros_manuales!$D$19*(datos_base!$F$2+datos_base!$F$18+IF(parametros_manuales!$H$19="Todos",datos_base!$F$9+datos_base!$F$23,0))*parametros_manuales!$M$95+parametros_manuales!$E$19*(datos_base!$F$3+datos_base!$F$19+IF(parametros_manuales!$H$19="Todos",datos_base!$F$10+datos_base!$F$24,0))*parametros_manuales!$M$100+parametros_manuales!$F$19*(datos_base!$F$4+datos_base!$F$20+IF(parametros_manuales!$H$19="Todos",datos_base!$F$11+datos_base!$F$25,0))*parametros_manuales!$M$105+parametros_manuales!$G$19*(datos_base!$F$5+datos_base!$F$21+IF(parametros_manuales!$H$19="Todos",datos_base!$F$12+datos_base!$F$26,0))*parametros_manuales!$M$110)*parametros_manuales!$I$19*parametros_manuales!$J$19</f>
        <v>7942.291697511</v>
      </c>
      <c r="N110" s="9" t="n">
        <f aca="false">SUM(B110:M110)</f>
        <v>88247.6855279</v>
      </c>
      <c r="O110" s="9" t="n">
        <f aca="false">MAX(B110:M110)</f>
        <v>7942.291697511</v>
      </c>
      <c r="P110" s="43" t="n">
        <f aca="false">O110/(parametros_manuales!$B$7)</f>
        <v>52.94861131674</v>
      </c>
      <c r="Q110" s="8" t="str">
        <f aca="false">IF(O110=0,"-",INDEX($B$109:$M$109,MATCH(O110,B110:M110,0)))</f>
        <v>Ene</v>
      </c>
    </row>
    <row r="111" customFormat="false" ht="14.25" hidden="false" customHeight="true" outlineLevel="0" collapsed="false">
      <c r="A111" s="8" t="str">
        <f aca="false">parametros_manuales!$B$20</f>
        <v>Corte de chapa (guillotina) — 2,5 a 10 kg</v>
      </c>
      <c r="B111" s="9" t="n">
        <f aca="false">(parametros_manuales!$D$20*(datos_base!$F$2+datos_base!$F$18+IF(parametros_manuales!$H$20="Todos",datos_base!$F$9+datos_base!$F$23,0))*parametros_manuales!$B$95+parametros_manuales!$E$20*(datos_base!$F$3+datos_base!$F$19+IF(parametros_manuales!$H$20="Todos",datos_base!$F$10+datos_base!$F$24,0))*parametros_manuales!$B$100+parametros_manuales!$F$20*(datos_base!$F$4+datos_base!$F$20+IF(parametros_manuales!$H$20="Todos",datos_base!$F$11+datos_base!$F$25,0))*parametros_manuales!$B$105+parametros_manuales!$G$20*(datos_base!$F$5+datos_base!$F$21+IF(parametros_manuales!$H$20="Todos",datos_base!$F$12+datos_base!$F$26,0))*parametros_manuales!$B$110)*parametros_manuales!$I$20*parametros_manuales!$J$20</f>
        <v>2351.902753611</v>
      </c>
      <c r="C111" s="9" t="n">
        <f aca="false">(parametros_manuales!$D$20*(datos_base!$F$2+datos_base!$F$18+IF(parametros_manuales!$H$20="Todos",datos_base!$F$9+datos_base!$F$23,0))*parametros_manuales!$C$95+parametros_manuales!$E$20*(datos_base!$F$3+datos_base!$F$19+IF(parametros_manuales!$H$20="Todos",datos_base!$F$10+datos_base!$F$24,0))*parametros_manuales!$C$100+parametros_manuales!$F$20*(datos_base!$F$4+datos_base!$F$20+IF(parametros_manuales!$H$20="Todos",datos_base!$F$11+datos_base!$F$25,0))*parametros_manuales!$C$105+parametros_manuales!$G$20*(datos_base!$F$5+datos_base!$F$21+IF(parametros_manuales!$H$20="Todos",datos_base!$F$12+datos_base!$F$26,0))*parametros_manuales!$C$110)*parametros_manuales!$I$20*parametros_manuales!$J$20</f>
        <v>2090.580225432</v>
      </c>
      <c r="D111" s="9" t="n">
        <f aca="false">(parametros_manuales!$D$20*(datos_base!$F$2+datos_base!$F$18+IF(parametros_manuales!$H$20="Todos",datos_base!$F$9+datos_base!$F$23,0))*parametros_manuales!$D$95+parametros_manuales!$E$20*(datos_base!$F$3+datos_base!$F$19+IF(parametros_manuales!$H$20="Todos",datos_base!$F$10+datos_base!$F$24,0))*parametros_manuales!$D$100+parametros_manuales!$F$20*(datos_base!$F$4+datos_base!$F$20+IF(parametros_manuales!$H$20="Todos",datos_base!$F$11+datos_base!$F$25,0))*parametros_manuales!$D$105+parametros_manuales!$G$20*(datos_base!$F$5+datos_base!$F$21+IF(parametros_manuales!$H$20="Todos",datos_base!$F$12+datos_base!$F$26,0))*parametros_manuales!$D$110)*parametros_manuales!$I$20*parametros_manuales!$J$20</f>
        <v>2221.2414895215</v>
      </c>
      <c r="E111" s="9" t="n">
        <f aca="false">(parametros_manuales!$D$20*(datos_base!$F$2+datos_base!$F$18+IF(parametros_manuales!$H$20="Todos",datos_base!$F$9+datos_base!$F$23,0))*parametros_manuales!$E$95+parametros_manuales!$E$20*(datos_base!$F$3+datos_base!$F$19+IF(parametros_manuales!$H$20="Todos",datos_base!$F$10+datos_base!$F$24,0))*parametros_manuales!$E$100+parametros_manuales!$F$20*(datos_base!$F$4+datos_base!$F$20+IF(parametros_manuales!$H$20="Todos",datos_base!$F$11+datos_base!$F$25,0))*parametros_manuales!$E$105+parametros_manuales!$G$20*(datos_base!$F$5+datos_base!$F$21+IF(parametros_manuales!$H$20="Todos",datos_base!$F$12+datos_base!$F$26,0))*parametros_manuales!$E$110)*parametros_manuales!$I$20*parametros_manuales!$J$20</f>
        <v>2221.2414895215</v>
      </c>
      <c r="F111" s="9" t="n">
        <f aca="false">(parametros_manuales!$D$20*(datos_base!$F$2+datos_base!$F$18+IF(parametros_manuales!$H$20="Todos",datos_base!$F$9+datos_base!$F$23,0))*parametros_manuales!$F$95+parametros_manuales!$E$20*(datos_base!$F$3+datos_base!$F$19+IF(parametros_manuales!$H$20="Todos",datos_base!$F$10+datos_base!$F$24,0))*parametros_manuales!$F$100+parametros_manuales!$F$20*(datos_base!$F$4+datos_base!$F$20+IF(parametros_manuales!$H$20="Todos",datos_base!$F$11+datos_base!$F$25,0))*parametros_manuales!$F$105+parametros_manuales!$G$20*(datos_base!$F$5+datos_base!$F$21+IF(parametros_manuales!$H$20="Todos",datos_base!$F$12+datos_base!$F$26,0))*parametros_manuales!$F$110)*parametros_manuales!$I$20*parametros_manuales!$J$20</f>
        <v>2090.580225432</v>
      </c>
      <c r="G111" s="9" t="n">
        <f aca="false">(parametros_manuales!$D$20*(datos_base!$F$2+datos_base!$F$18+IF(parametros_manuales!$H$20="Todos",datos_base!$F$9+datos_base!$F$23,0))*parametros_manuales!$G$95+parametros_manuales!$E$20*(datos_base!$F$3+datos_base!$F$19+IF(parametros_manuales!$H$20="Todos",datos_base!$F$10+datos_base!$F$24,0))*parametros_manuales!$G$100+parametros_manuales!$F$20*(datos_base!$F$4+datos_base!$F$20+IF(parametros_manuales!$H$20="Todos",datos_base!$F$11+datos_base!$F$25,0))*parametros_manuales!$G$105+parametros_manuales!$G$20*(datos_base!$F$5+datos_base!$F$21+IF(parametros_manuales!$H$20="Todos",datos_base!$F$12+datos_base!$F$26,0))*parametros_manuales!$G$110)*parametros_manuales!$I$20*parametros_manuales!$J$20</f>
        <v>1959.9189613425</v>
      </c>
      <c r="H111" s="9" t="n">
        <f aca="false">(parametros_manuales!$D$20*(datos_base!$F$2+datos_base!$F$18+IF(parametros_manuales!$H$20="Todos",datos_base!$F$9+datos_base!$F$23,0))*parametros_manuales!$H$95+parametros_manuales!$E$20*(datos_base!$F$3+datos_base!$F$19+IF(parametros_manuales!$H$20="Todos",datos_base!$F$10+datos_base!$F$24,0))*parametros_manuales!$H$100+parametros_manuales!$F$20*(datos_base!$F$4+datos_base!$F$20+IF(parametros_manuales!$H$20="Todos",datos_base!$F$11+datos_base!$F$25,0))*parametros_manuales!$H$105+parametros_manuales!$G$20*(datos_base!$F$5+datos_base!$F$21+IF(parametros_manuales!$H$20="Todos",datos_base!$F$12+datos_base!$F$26,0))*parametros_manuales!$H$110)*parametros_manuales!$I$20*parametros_manuales!$J$20</f>
        <v>2090.580225432</v>
      </c>
      <c r="I111" s="9" t="n">
        <f aca="false">(parametros_manuales!$D$20*(datos_base!$F$2+datos_base!$F$18+IF(parametros_manuales!$H$20="Todos",datos_base!$F$9+datos_base!$F$23,0))*parametros_manuales!$I$95+parametros_manuales!$E$20*(datos_base!$F$3+datos_base!$F$19+IF(parametros_manuales!$H$20="Todos",datos_base!$F$10+datos_base!$F$24,0))*parametros_manuales!$I$100+parametros_manuales!$F$20*(datos_base!$F$4+datos_base!$F$20+IF(parametros_manuales!$H$20="Todos",datos_base!$F$11+datos_base!$F$25,0))*parametros_manuales!$I$105+parametros_manuales!$G$20*(datos_base!$F$5+datos_base!$F$21+IF(parametros_manuales!$H$20="Todos",datos_base!$F$12+datos_base!$F$26,0))*parametros_manuales!$I$110)*parametros_manuales!$I$20*parametros_manuales!$J$20</f>
        <v>2090.580225432</v>
      </c>
      <c r="J111" s="9" t="n">
        <f aca="false">(parametros_manuales!$D$20*(datos_base!$F$2+datos_base!$F$18+IF(parametros_manuales!$H$20="Todos",datos_base!$F$9+datos_base!$F$23,0))*parametros_manuales!$J$95+parametros_manuales!$E$20*(datos_base!$F$3+datos_base!$F$19+IF(parametros_manuales!$H$20="Todos",datos_base!$F$10+datos_base!$F$24,0))*parametros_manuales!$J$100+parametros_manuales!$F$20*(datos_base!$F$4+datos_base!$F$20+IF(parametros_manuales!$H$20="Todos",datos_base!$F$11+datos_base!$F$25,0))*parametros_manuales!$J$105+parametros_manuales!$G$20*(datos_base!$F$5+datos_base!$F$21+IF(parametros_manuales!$H$20="Todos",datos_base!$F$12+datos_base!$F$26,0))*parametros_manuales!$J$110)*parametros_manuales!$I$20*parametros_manuales!$J$20</f>
        <v>2090.580225432</v>
      </c>
      <c r="K111" s="9" t="n">
        <f aca="false">(parametros_manuales!$D$20*(datos_base!$F$2+datos_base!$F$18+IF(parametros_manuales!$H$20="Todos",datos_base!$F$9+datos_base!$F$23,0))*parametros_manuales!$K$95+parametros_manuales!$E$20*(datos_base!$F$3+datos_base!$F$19+IF(parametros_manuales!$H$20="Todos",datos_base!$F$10+datos_base!$F$24,0))*parametros_manuales!$K$100+parametros_manuales!$F$20*(datos_base!$F$4+datos_base!$F$20+IF(parametros_manuales!$H$20="Todos",datos_base!$F$11+datos_base!$F$25,0))*parametros_manuales!$K$105+parametros_manuales!$G$20*(datos_base!$F$5+datos_base!$F$21+IF(parametros_manuales!$H$20="Todos",datos_base!$F$12+datos_base!$F$26,0))*parametros_manuales!$K$110)*parametros_manuales!$I$20*parametros_manuales!$J$20</f>
        <v>2221.2414895215</v>
      </c>
      <c r="L111" s="9" t="n">
        <f aca="false">(parametros_manuales!$D$20*(datos_base!$F$2+datos_base!$F$18+IF(parametros_manuales!$H$20="Todos",datos_base!$F$9+datos_base!$F$23,0))*parametros_manuales!$L$95+parametros_manuales!$E$20*(datos_base!$F$3+datos_base!$F$19+IF(parametros_manuales!$H$20="Todos",datos_base!$F$10+datos_base!$F$24,0))*parametros_manuales!$L$100+parametros_manuales!$F$20*(datos_base!$F$4+datos_base!$F$20+IF(parametros_manuales!$H$20="Todos",datos_base!$F$11+datos_base!$F$25,0))*parametros_manuales!$L$105+parametros_manuales!$G$20*(datos_base!$F$5+datos_base!$F$21+IF(parametros_manuales!$H$20="Todos",datos_base!$F$12+datos_base!$F$26,0))*parametros_manuales!$L$110)*parametros_manuales!$I$20*parametros_manuales!$J$20</f>
        <v>2351.902753611</v>
      </c>
      <c r="M111" s="9" t="n">
        <f aca="false">(parametros_manuales!$D$20*(datos_base!$F$2+datos_base!$F$18+IF(parametros_manuales!$H$20="Todos",datos_base!$F$9+datos_base!$F$23,0))*parametros_manuales!$M$95+parametros_manuales!$E$20*(datos_base!$F$3+datos_base!$F$19+IF(parametros_manuales!$H$20="Todos",datos_base!$F$10+datos_base!$F$24,0))*parametros_manuales!$M$100+parametros_manuales!$F$20*(datos_base!$F$4+datos_base!$F$20+IF(parametros_manuales!$H$20="Todos",datos_base!$F$11+datos_base!$F$25,0))*parametros_manuales!$M$105+parametros_manuales!$G$20*(datos_base!$F$5+datos_base!$F$21+IF(parametros_manuales!$H$20="Todos",datos_base!$F$12+datos_base!$F$26,0))*parametros_manuales!$M$110)*parametros_manuales!$I$20*parametros_manuales!$J$20</f>
        <v>2351.902753611</v>
      </c>
      <c r="N111" s="9" t="n">
        <f aca="false">SUM(B111:M111)</f>
        <v>26132.2528179</v>
      </c>
      <c r="O111" s="9" t="n">
        <f aca="false">MAX(B111:M111)</f>
        <v>2351.902753611</v>
      </c>
      <c r="P111" s="43" t="n">
        <f aca="false">O111/(parametros_manuales!$B$7)</f>
        <v>15.67935169074</v>
      </c>
      <c r="Q111" s="8" t="str">
        <f aca="false">IF(O111=0,"-",INDEX($B$109:$M$109,MATCH(O111,B111:M111,0)))</f>
        <v>Ene</v>
      </c>
    </row>
    <row r="112" customFormat="false" ht="14.25" hidden="false" customHeight="true" outlineLevel="0" collapsed="false">
      <c r="A112" s="8" t="str">
        <f aca="false">parametros_manuales!$B$21</f>
        <v>Corte de tubo — 1 kg</v>
      </c>
      <c r="B112" s="9" t="n">
        <f aca="false">(parametros_manuales!$D$21*(datos_base!$F$2+datos_base!$F$18+IF(parametros_manuales!$H$21="Todos",datos_base!$F$9+datos_base!$F$23,0))*parametros_manuales!$B$95+parametros_manuales!$E$21*(datos_base!$F$3+datos_base!$F$19+IF(parametros_manuales!$H$21="Todos",datos_base!$F$10+datos_base!$F$24,0))*parametros_manuales!$B$100+parametros_manuales!$F$21*(datos_base!$F$4+datos_base!$F$20+IF(parametros_manuales!$H$21="Todos",datos_base!$F$11+datos_base!$F$25,0))*parametros_manuales!$B$105+parametros_manuales!$G$21*(datos_base!$F$5+datos_base!$F$21+IF(parametros_manuales!$H$21="Todos",datos_base!$F$12+datos_base!$F$26,0))*parametros_manuales!$B$110)*parametros_manuales!$I$21*parametros_manuales!$J$21</f>
        <v>5590.3889439</v>
      </c>
      <c r="C112" s="9" t="n">
        <f aca="false">(parametros_manuales!$D$21*(datos_base!$F$2+datos_base!$F$18+IF(parametros_manuales!$H$21="Todos",datos_base!$F$9+datos_base!$F$23,0))*parametros_manuales!$C$95+parametros_manuales!$E$21*(datos_base!$F$3+datos_base!$F$19+IF(parametros_manuales!$H$21="Todos",datos_base!$F$10+datos_base!$F$24,0))*parametros_manuales!$C$100+parametros_manuales!$F$21*(datos_base!$F$4+datos_base!$F$20+IF(parametros_manuales!$H$21="Todos",datos_base!$F$11+datos_base!$F$25,0))*parametros_manuales!$C$105+parametros_manuales!$G$21*(datos_base!$F$5+datos_base!$F$21+IF(parametros_manuales!$H$21="Todos",datos_base!$F$12+datos_base!$F$26,0))*parametros_manuales!$C$110)*parametros_manuales!$I$21*parametros_manuales!$J$21</f>
        <v>5590.3889439</v>
      </c>
      <c r="D112" s="9" t="n">
        <f aca="false">(parametros_manuales!$D$21*(datos_base!$F$2+datos_base!$F$18+IF(parametros_manuales!$H$21="Todos",datos_base!$F$9+datos_base!$F$23,0))*parametros_manuales!$D$95+parametros_manuales!$E$21*(datos_base!$F$3+datos_base!$F$19+IF(parametros_manuales!$H$21="Todos",datos_base!$F$10+datos_base!$F$24,0))*parametros_manuales!$D$100+parametros_manuales!$F$21*(datos_base!$F$4+datos_base!$F$20+IF(parametros_manuales!$H$21="Todos",datos_base!$F$11+datos_base!$F$25,0))*parametros_manuales!$D$105+parametros_manuales!$G$21*(datos_base!$F$5+datos_base!$F$21+IF(parametros_manuales!$H$21="Todos",datos_base!$F$12+datos_base!$F$26,0))*parametros_manuales!$D$110)*parametros_manuales!$I$21*parametros_manuales!$J$21</f>
        <v>4969.2346168</v>
      </c>
      <c r="E112" s="9" t="n">
        <f aca="false">(parametros_manuales!$D$21*(datos_base!$F$2+datos_base!$F$18+IF(parametros_manuales!$H$21="Todos",datos_base!$F$9+datos_base!$F$23,0))*parametros_manuales!$E$95+parametros_manuales!$E$21*(datos_base!$F$3+datos_base!$F$19+IF(parametros_manuales!$H$21="Todos",datos_base!$F$10+datos_base!$F$24,0))*parametros_manuales!$E$100+parametros_manuales!$F$21*(datos_base!$F$4+datos_base!$F$20+IF(parametros_manuales!$H$21="Todos",datos_base!$F$11+datos_base!$F$25,0))*parametros_manuales!$E$105+parametros_manuales!$G$21*(datos_base!$F$5+datos_base!$F$21+IF(parametros_manuales!$H$21="Todos",datos_base!$F$12+datos_base!$F$26,0))*parametros_manuales!$E$110)*parametros_manuales!$I$21*parametros_manuales!$J$21</f>
        <v>4658.65745325</v>
      </c>
      <c r="F112" s="9" t="n">
        <f aca="false">(parametros_manuales!$D$21*(datos_base!$F$2+datos_base!$F$18+IF(parametros_manuales!$H$21="Todos",datos_base!$F$9+datos_base!$F$23,0))*parametros_manuales!$F$95+parametros_manuales!$E$21*(datos_base!$F$3+datos_base!$F$19+IF(parametros_manuales!$H$21="Todos",datos_base!$F$10+datos_base!$F$24,0))*parametros_manuales!$F$100+parametros_manuales!$F$21*(datos_base!$F$4+datos_base!$F$20+IF(parametros_manuales!$H$21="Todos",datos_base!$F$11+datos_base!$F$25,0))*parametros_manuales!$F$105+parametros_manuales!$G$21*(datos_base!$F$5+datos_base!$F$21+IF(parametros_manuales!$H$21="Todos",datos_base!$F$12+datos_base!$F$26,0))*parametros_manuales!$F$110)*parametros_manuales!$I$21*parametros_manuales!$J$21</f>
        <v>4348.0802897</v>
      </c>
      <c r="G112" s="9" t="n">
        <f aca="false">(parametros_manuales!$D$21*(datos_base!$F$2+datos_base!$F$18+IF(parametros_manuales!$H$21="Todos",datos_base!$F$9+datos_base!$F$23,0))*parametros_manuales!$G$95+parametros_manuales!$E$21*(datos_base!$F$3+datos_base!$F$19+IF(parametros_manuales!$H$21="Todos",datos_base!$F$10+datos_base!$F$24,0))*parametros_manuales!$G$100+parametros_manuales!$F$21*(datos_base!$F$4+datos_base!$F$20+IF(parametros_manuales!$H$21="Todos",datos_base!$F$11+datos_base!$F$25,0))*parametros_manuales!$G$105+parametros_manuales!$G$21*(datos_base!$F$5+datos_base!$F$21+IF(parametros_manuales!$H$21="Todos",datos_base!$F$12+datos_base!$F$26,0))*parametros_manuales!$G$110)*parametros_manuales!$I$21*parametros_manuales!$J$21</f>
        <v>4348.0802897</v>
      </c>
      <c r="H112" s="9" t="n">
        <f aca="false">(parametros_manuales!$D$21*(datos_base!$F$2+datos_base!$F$18+IF(parametros_manuales!$H$21="Todos",datos_base!$F$9+datos_base!$F$23,0))*parametros_manuales!$H$95+parametros_manuales!$E$21*(datos_base!$F$3+datos_base!$F$19+IF(parametros_manuales!$H$21="Todos",datos_base!$F$10+datos_base!$F$24,0))*parametros_manuales!$H$100+parametros_manuales!$F$21*(datos_base!$F$4+datos_base!$F$20+IF(parametros_manuales!$H$21="Todos",datos_base!$F$11+datos_base!$F$25,0))*parametros_manuales!$H$105+parametros_manuales!$G$21*(datos_base!$F$5+datos_base!$F$21+IF(parametros_manuales!$H$21="Todos",datos_base!$F$12+datos_base!$F$26,0))*parametros_manuales!$H$110)*parametros_manuales!$I$21*parametros_manuales!$J$21</f>
        <v>4658.65745325</v>
      </c>
      <c r="I112" s="9" t="n">
        <f aca="false">(parametros_manuales!$D$21*(datos_base!$F$2+datos_base!$F$18+IF(parametros_manuales!$H$21="Todos",datos_base!$F$9+datos_base!$F$23,0))*parametros_manuales!$I$95+parametros_manuales!$E$21*(datos_base!$F$3+datos_base!$F$19+IF(parametros_manuales!$H$21="Todos",datos_base!$F$10+datos_base!$F$24,0))*parametros_manuales!$I$100+parametros_manuales!$F$21*(datos_base!$F$4+datos_base!$F$20+IF(parametros_manuales!$H$21="Todos",datos_base!$F$11+datos_base!$F$25,0))*parametros_manuales!$I$105+parametros_manuales!$G$21*(datos_base!$F$5+datos_base!$F$21+IF(parametros_manuales!$H$21="Todos",datos_base!$F$12+datos_base!$F$26,0))*parametros_manuales!$I$110)*parametros_manuales!$I$21*parametros_manuales!$J$21</f>
        <v>5590.3889439</v>
      </c>
      <c r="J112" s="9" t="n">
        <f aca="false">(parametros_manuales!$D$21*(datos_base!$F$2+datos_base!$F$18+IF(parametros_manuales!$H$21="Todos",datos_base!$F$9+datos_base!$F$23,0))*parametros_manuales!$J$95+parametros_manuales!$E$21*(datos_base!$F$3+datos_base!$F$19+IF(parametros_manuales!$H$21="Todos",datos_base!$F$10+datos_base!$F$24,0))*parametros_manuales!$J$100+parametros_manuales!$F$21*(datos_base!$F$4+datos_base!$F$20+IF(parametros_manuales!$H$21="Todos",datos_base!$F$11+datos_base!$F$25,0))*parametros_manuales!$J$105+parametros_manuales!$G$21*(datos_base!$F$5+datos_base!$F$21+IF(parametros_manuales!$H$21="Todos",datos_base!$F$12+datos_base!$F$26,0))*parametros_manuales!$J$110)*parametros_manuales!$I$21*parametros_manuales!$J$21</f>
        <v>5590.3889439</v>
      </c>
      <c r="K112" s="9" t="n">
        <f aca="false">(parametros_manuales!$D$21*(datos_base!$F$2+datos_base!$F$18+IF(parametros_manuales!$H$21="Todos",datos_base!$F$9+datos_base!$F$23,0))*parametros_manuales!$K$95+parametros_manuales!$E$21*(datos_base!$F$3+datos_base!$F$19+IF(parametros_manuales!$H$21="Todos",datos_base!$F$10+datos_base!$F$24,0))*parametros_manuales!$K$100+parametros_manuales!$F$21*(datos_base!$F$4+datos_base!$F$20+IF(parametros_manuales!$H$21="Todos",datos_base!$F$11+datos_base!$F$25,0))*parametros_manuales!$K$105+parametros_manuales!$G$21*(datos_base!$F$5+datos_base!$F$21+IF(parametros_manuales!$H$21="Todos",datos_base!$F$12+datos_base!$F$26,0))*parametros_manuales!$K$110)*parametros_manuales!$I$21*parametros_manuales!$J$21</f>
        <v>5590.3889439</v>
      </c>
      <c r="L112" s="9" t="n">
        <f aca="false">(parametros_manuales!$D$21*(datos_base!$F$2+datos_base!$F$18+IF(parametros_manuales!$H$21="Todos",datos_base!$F$9+datos_base!$F$23,0))*parametros_manuales!$L$95+parametros_manuales!$E$21*(datos_base!$F$3+datos_base!$F$19+IF(parametros_manuales!$H$21="Todos",datos_base!$F$10+datos_base!$F$24,0))*parametros_manuales!$L$100+parametros_manuales!$F$21*(datos_base!$F$4+datos_base!$F$20+IF(parametros_manuales!$H$21="Todos",datos_base!$F$11+datos_base!$F$25,0))*parametros_manuales!$L$105+parametros_manuales!$G$21*(datos_base!$F$5+datos_base!$F$21+IF(parametros_manuales!$H$21="Todos",datos_base!$F$12+datos_base!$F$26,0))*parametros_manuales!$L$110)*parametros_manuales!$I$21*parametros_manuales!$J$21</f>
        <v>5590.3889439</v>
      </c>
      <c r="M112" s="9" t="n">
        <f aca="false">(parametros_manuales!$D$21*(datos_base!$F$2+datos_base!$F$18+IF(parametros_manuales!$H$21="Todos",datos_base!$F$9+datos_base!$F$23,0))*parametros_manuales!$M$95+parametros_manuales!$E$21*(datos_base!$F$3+datos_base!$F$19+IF(parametros_manuales!$H$21="Todos",datos_base!$F$10+datos_base!$F$24,0))*parametros_manuales!$M$100+parametros_manuales!$F$21*(datos_base!$F$4+datos_base!$F$20+IF(parametros_manuales!$H$21="Todos",datos_base!$F$11+datos_base!$F$25,0))*parametros_manuales!$M$105+parametros_manuales!$G$21*(datos_base!$F$5+datos_base!$F$21+IF(parametros_manuales!$H$21="Todos",datos_base!$F$12+datos_base!$F$26,0))*parametros_manuales!$M$110)*parametros_manuales!$I$21*parametros_manuales!$J$21</f>
        <v>5590.3889439</v>
      </c>
      <c r="N112" s="9" t="n">
        <f aca="false">SUM(B112:M112)</f>
        <v>62115.43271</v>
      </c>
      <c r="O112" s="9" t="n">
        <f aca="false">MAX(B112:M112)</f>
        <v>5590.3889439</v>
      </c>
      <c r="P112" s="43" t="n">
        <f aca="false">O112/(parametros_manuales!$B$7)</f>
        <v>37.269259626</v>
      </c>
      <c r="Q112" s="8" t="str">
        <f aca="false">IF(O112=0,"-",INDEX($B$109:$M$109,MATCH(O112,B112:M112,0)))</f>
        <v>Ene</v>
      </c>
    </row>
    <row r="113" customFormat="false" ht="14.25" hidden="false" customHeight="true" outlineLevel="0" collapsed="false">
      <c r="A113" s="8" t="str">
        <f aca="false">parametros_manuales!$B$22</f>
        <v>Corte de disco y embutido (cúpula y fondo)</v>
      </c>
      <c r="B113" s="9" t="n">
        <f aca="false">(parametros_manuales!$D$22*(datos_base!$F$2+datos_base!$F$18+IF(parametros_manuales!$H$22="Todos",datos_base!$F$9+datos_base!$F$23,0))*parametros_manuales!$B$95+parametros_manuales!$E$22*(datos_base!$F$3+datos_base!$F$19+IF(parametros_manuales!$H$22="Todos",datos_base!$F$10+datos_base!$F$24,0))*parametros_manuales!$B$100+parametros_manuales!$F$22*(datos_base!$F$4+datos_base!$F$20+IF(parametros_manuales!$H$22="Todos",datos_base!$F$11+datos_base!$F$25,0))*parametros_manuales!$B$105+parametros_manuales!$G$22*(datos_base!$F$5+datos_base!$F$21+IF(parametros_manuales!$H$22="Todos",datos_base!$F$12+datos_base!$F$26,0))*parametros_manuales!$B$110)*parametros_manuales!$I$22*parametros_manuales!$J$22</f>
        <v>15884.583395022</v>
      </c>
      <c r="C113" s="9" t="n">
        <f aca="false">(parametros_manuales!$D$22*(datos_base!$F$2+datos_base!$F$18+IF(parametros_manuales!$H$22="Todos",datos_base!$F$9+datos_base!$F$23,0))*parametros_manuales!$C$95+parametros_manuales!$E$22*(datos_base!$F$3+datos_base!$F$19+IF(parametros_manuales!$H$22="Todos",datos_base!$F$10+datos_base!$F$24,0))*parametros_manuales!$C$100+parametros_manuales!$F$22*(datos_base!$F$4+datos_base!$F$20+IF(parametros_manuales!$H$22="Todos",datos_base!$F$11+datos_base!$F$25,0))*parametros_manuales!$C$105+parametros_manuales!$G$22*(datos_base!$F$5+datos_base!$F$21+IF(parametros_manuales!$H$22="Todos",datos_base!$F$12+datos_base!$F$26,0))*parametros_manuales!$C$110)*parametros_manuales!$I$22*parametros_manuales!$J$22</f>
        <v>15361.938338664</v>
      </c>
      <c r="D113" s="9" t="n">
        <f aca="false">(parametros_manuales!$D$22*(datos_base!$F$2+datos_base!$F$18+IF(parametros_manuales!$H$22="Todos",datos_base!$F$9+datos_base!$F$23,0))*parametros_manuales!$D$95+parametros_manuales!$E$22*(datos_base!$F$3+datos_base!$F$19+IF(parametros_manuales!$H$22="Todos",datos_base!$F$10+datos_base!$F$24,0))*parametros_manuales!$D$100+parametros_manuales!$F$22*(datos_base!$F$4+datos_base!$F$20+IF(parametros_manuales!$H$22="Todos",datos_base!$F$11+datos_base!$F$25,0))*parametros_manuales!$D$105+parametros_manuales!$G$22*(datos_base!$F$5+datos_base!$F$21+IF(parametros_manuales!$H$22="Todos",datos_base!$F$12+datos_base!$F$26,0))*parametros_manuales!$D$110)*parametros_manuales!$I$22*parametros_manuales!$J$22</f>
        <v>14380.952212643</v>
      </c>
      <c r="E113" s="9" t="n">
        <f aca="false">(parametros_manuales!$D$22*(datos_base!$F$2+datos_base!$F$18+IF(parametros_manuales!$H$22="Todos",datos_base!$F$9+datos_base!$F$23,0))*parametros_manuales!$E$95+parametros_manuales!$E$22*(datos_base!$F$3+datos_base!$F$19+IF(parametros_manuales!$H$22="Todos",datos_base!$F$10+datos_base!$F$24,0))*parametros_manuales!$E$100+parametros_manuales!$F$22*(datos_base!$F$4+datos_base!$F$20+IF(parametros_manuales!$H$22="Todos",datos_base!$F$11+datos_base!$F$25,0))*parametros_manuales!$E$105+parametros_manuales!$G$22*(datos_base!$F$5+datos_base!$F$21+IF(parametros_manuales!$H$22="Todos",datos_base!$F$12+datos_base!$F$26,0))*parametros_manuales!$E$110)*parametros_manuales!$I$22*parametros_manuales!$J$22</f>
        <v>13759.797885543</v>
      </c>
      <c r="F113" s="9" t="n">
        <f aca="false">(parametros_manuales!$D$22*(datos_base!$F$2+datos_base!$F$18+IF(parametros_manuales!$H$22="Todos",datos_base!$F$9+datos_base!$F$23,0))*parametros_manuales!$F$95+parametros_manuales!$E$22*(datos_base!$F$3+datos_base!$F$19+IF(parametros_manuales!$H$22="Todos",datos_base!$F$10+datos_base!$F$24,0))*parametros_manuales!$F$100+parametros_manuales!$F$22*(datos_base!$F$4+datos_base!$F$20+IF(parametros_manuales!$H$22="Todos",datos_base!$F$11+datos_base!$F$25,0))*parametros_manuales!$F$105+parametros_manuales!$G$22*(datos_base!$F$5+datos_base!$F$21+IF(parametros_manuales!$H$22="Todos",datos_base!$F$12+datos_base!$F$26,0))*parametros_manuales!$F$110)*parametros_manuales!$I$22*parametros_manuales!$J$22</f>
        <v>12877.321030264</v>
      </c>
      <c r="G113" s="9" t="n">
        <f aca="false">(parametros_manuales!$D$22*(datos_base!$F$2+datos_base!$F$18+IF(parametros_manuales!$H$22="Todos",datos_base!$F$9+datos_base!$F$23,0))*parametros_manuales!$G$95+parametros_manuales!$E$22*(datos_base!$F$3+datos_base!$F$19+IF(parametros_manuales!$H$22="Todos",datos_base!$F$10+datos_base!$F$24,0))*parametros_manuales!$G$100+parametros_manuales!$F$22*(datos_base!$F$4+datos_base!$F$20+IF(parametros_manuales!$H$22="Todos",datos_base!$F$11+datos_base!$F$25,0))*parametros_manuales!$G$105+parametros_manuales!$G$22*(datos_base!$F$5+datos_base!$F$21+IF(parametros_manuales!$H$22="Todos",datos_base!$F$12+datos_base!$F$26,0))*parametros_manuales!$G$110)*parametros_manuales!$I$22*parametros_manuales!$J$22</f>
        <v>12615.998502085</v>
      </c>
      <c r="H113" s="9" t="n">
        <f aca="false">(parametros_manuales!$D$22*(datos_base!$F$2+datos_base!$F$18+IF(parametros_manuales!$H$22="Todos",datos_base!$F$9+datos_base!$F$23,0))*parametros_manuales!$H$95+parametros_manuales!$E$22*(datos_base!$F$3+datos_base!$F$19+IF(parametros_manuales!$H$22="Todos",datos_base!$F$10+datos_base!$F$24,0))*parametros_manuales!$H$100+parametros_manuales!$F$22*(datos_base!$F$4+datos_base!$F$20+IF(parametros_manuales!$H$22="Todos",datos_base!$F$11+datos_base!$F$25,0))*parametros_manuales!$H$105+parametros_manuales!$G$22*(datos_base!$F$5+datos_base!$F$21+IF(parametros_manuales!$H$22="Todos",datos_base!$F$12+datos_base!$F$26,0))*parametros_manuales!$H$110)*parametros_manuales!$I$22*parametros_manuales!$J$22</f>
        <v>13498.475357364</v>
      </c>
      <c r="I113" s="9" t="n">
        <f aca="false">(parametros_manuales!$D$22*(datos_base!$F$2+datos_base!$F$18+IF(parametros_manuales!$H$22="Todos",datos_base!$F$9+datos_base!$F$23,0))*parametros_manuales!$I$95+parametros_manuales!$E$22*(datos_base!$F$3+datos_base!$F$19+IF(parametros_manuales!$H$22="Todos",datos_base!$F$10+datos_base!$F$24,0))*parametros_manuales!$I$100+parametros_manuales!$F$22*(datos_base!$F$4+datos_base!$F$20+IF(parametros_manuales!$H$22="Todos",datos_base!$F$11+datos_base!$F$25,0))*parametros_manuales!$I$105+parametros_manuales!$G$22*(datos_base!$F$5+datos_base!$F$21+IF(parametros_manuales!$H$22="Todos",datos_base!$F$12+datos_base!$F$26,0))*parametros_manuales!$I$110)*parametros_manuales!$I$22*parametros_manuales!$J$22</f>
        <v>15361.938338664</v>
      </c>
      <c r="J113" s="9" t="n">
        <f aca="false">(parametros_manuales!$D$22*(datos_base!$F$2+datos_base!$F$18+IF(parametros_manuales!$H$22="Todos",datos_base!$F$9+datos_base!$F$23,0))*parametros_manuales!$J$95+parametros_manuales!$E$22*(datos_base!$F$3+datos_base!$F$19+IF(parametros_manuales!$H$22="Todos",datos_base!$F$10+datos_base!$F$24,0))*parametros_manuales!$J$100+parametros_manuales!$F$22*(datos_base!$F$4+datos_base!$F$20+IF(parametros_manuales!$H$22="Todos",datos_base!$F$11+datos_base!$F$25,0))*parametros_manuales!$J$105+parametros_manuales!$G$22*(datos_base!$F$5+datos_base!$F$21+IF(parametros_manuales!$H$22="Todos",datos_base!$F$12+datos_base!$F$26,0))*parametros_manuales!$J$110)*parametros_manuales!$I$22*parametros_manuales!$J$22</f>
        <v>15361.938338664</v>
      </c>
      <c r="K113" s="9" t="n">
        <f aca="false">(parametros_manuales!$D$22*(datos_base!$F$2+datos_base!$F$18+IF(parametros_manuales!$H$22="Todos",datos_base!$F$9+datos_base!$F$23,0))*parametros_manuales!$K$95+parametros_manuales!$E$22*(datos_base!$F$3+datos_base!$F$19+IF(parametros_manuales!$H$22="Todos",datos_base!$F$10+datos_base!$F$24,0))*parametros_manuales!$K$100+parametros_manuales!$F$22*(datos_base!$F$4+datos_base!$F$20+IF(parametros_manuales!$H$22="Todos",datos_base!$F$11+datos_base!$F$25,0))*parametros_manuales!$K$105+parametros_manuales!$G$22*(datos_base!$F$5+datos_base!$F$21+IF(parametros_manuales!$H$22="Todos",datos_base!$F$12+datos_base!$F$26,0))*parametros_manuales!$K$110)*parametros_manuales!$I$22*parametros_manuales!$J$22</f>
        <v>15623.260866843</v>
      </c>
      <c r="L113" s="9" t="n">
        <f aca="false">(parametros_manuales!$D$22*(datos_base!$F$2+datos_base!$F$18+IF(parametros_manuales!$H$22="Todos",datos_base!$F$9+datos_base!$F$23,0))*parametros_manuales!$L$95+parametros_manuales!$E$22*(datos_base!$F$3+datos_base!$F$19+IF(parametros_manuales!$H$22="Todos",datos_base!$F$10+datos_base!$F$24,0))*parametros_manuales!$L$100+parametros_manuales!$F$22*(datos_base!$F$4+datos_base!$F$20+IF(parametros_manuales!$H$22="Todos",datos_base!$F$11+datos_base!$F$25,0))*parametros_manuales!$L$105+parametros_manuales!$G$22*(datos_base!$F$5+datos_base!$F$21+IF(parametros_manuales!$H$22="Todos",datos_base!$F$12+datos_base!$F$26,0))*parametros_manuales!$L$110)*parametros_manuales!$I$22*parametros_manuales!$J$22</f>
        <v>15884.583395022</v>
      </c>
      <c r="M113" s="9" t="n">
        <f aca="false">(parametros_manuales!$D$22*(datos_base!$F$2+datos_base!$F$18+IF(parametros_manuales!$H$22="Todos",datos_base!$F$9+datos_base!$F$23,0))*parametros_manuales!$M$95+parametros_manuales!$E$22*(datos_base!$F$3+datos_base!$F$19+IF(parametros_manuales!$H$22="Todos",datos_base!$F$10+datos_base!$F$24,0))*parametros_manuales!$M$100+parametros_manuales!$F$22*(datos_base!$F$4+datos_base!$F$20+IF(parametros_manuales!$H$22="Todos",datos_base!$F$11+datos_base!$F$25,0))*parametros_manuales!$M$105+parametros_manuales!$G$22*(datos_base!$F$5+datos_base!$F$21+IF(parametros_manuales!$H$22="Todos",datos_base!$F$12+datos_base!$F$26,0))*parametros_manuales!$M$110)*parametros_manuales!$I$22*parametros_manuales!$J$22</f>
        <v>15884.583395022</v>
      </c>
      <c r="N113" s="9" t="n">
        <f aca="false">SUM(B113:M113)</f>
        <v>176495.3710558</v>
      </c>
      <c r="O113" s="9" t="n">
        <f aca="false">MAX(B113:M113)</f>
        <v>15884.583395022</v>
      </c>
      <c r="P113" s="43" t="n">
        <f aca="false">O113/(parametros_manuales!$B$7)</f>
        <v>105.89722263348</v>
      </c>
      <c r="Q113" s="8" t="str">
        <f aca="false">IF(O113=0,"-",INDEX($B$109:$M$109,MATCH(O113,B113:M113,0)))</f>
        <v>Ene</v>
      </c>
    </row>
    <row r="114" customFormat="false" ht="14.25" hidden="false" customHeight="true" outlineLevel="0" collapsed="false">
      <c r="A114" s="8" t="str">
        <f aca="false">parametros_manuales!$B$23</f>
        <v>Preparación de cuello</v>
      </c>
      <c r="B114" s="9" t="n">
        <f aca="false">(parametros_manuales!$D$23*(datos_base!$F$2+datos_base!$F$18+IF(parametros_manuales!$H$23="Todos",datos_base!$F$9+datos_base!$F$23,0))*parametros_manuales!$B$95+parametros_manuales!$E$23*(datos_base!$F$3+datos_base!$F$19+IF(parametros_manuales!$H$23="Todos",datos_base!$F$10+datos_base!$F$24,0))*parametros_manuales!$B$100+parametros_manuales!$F$23*(datos_base!$F$4+datos_base!$F$20+IF(parametros_manuales!$H$23="Todos",datos_base!$F$11+datos_base!$F$25,0))*parametros_manuales!$B$105+parametros_manuales!$G$23*(datos_base!$F$5+datos_base!$F$21+IF(parametros_manuales!$H$23="Todos",datos_base!$F$12+datos_base!$F$26,0))*parametros_manuales!$B$110)*parametros_manuales!$I$23*parametros_manuales!$J$23</f>
        <v>7942.291697511</v>
      </c>
      <c r="C114" s="9" t="n">
        <f aca="false">(parametros_manuales!$D$23*(datos_base!$F$2+datos_base!$F$18+IF(parametros_manuales!$H$23="Todos",datos_base!$F$9+datos_base!$F$23,0))*parametros_manuales!$C$95+parametros_manuales!$E$23*(datos_base!$F$3+datos_base!$F$19+IF(parametros_manuales!$H$23="Todos",datos_base!$F$10+datos_base!$F$24,0))*parametros_manuales!$C$100+parametros_manuales!$F$23*(datos_base!$F$4+datos_base!$F$20+IF(parametros_manuales!$H$23="Todos",datos_base!$F$11+datos_base!$F$25,0))*parametros_manuales!$C$105+parametros_manuales!$G$23*(datos_base!$F$5+datos_base!$F$21+IF(parametros_manuales!$H$23="Todos",datos_base!$F$12+datos_base!$F$26,0))*parametros_manuales!$C$110)*parametros_manuales!$I$23*parametros_manuales!$J$23</f>
        <v>7680.969169332</v>
      </c>
      <c r="D114" s="9" t="n">
        <f aca="false">(parametros_manuales!$D$23*(datos_base!$F$2+datos_base!$F$18+IF(parametros_manuales!$H$23="Todos",datos_base!$F$9+datos_base!$F$23,0))*parametros_manuales!$D$95+parametros_manuales!$E$23*(datos_base!$F$3+datos_base!$F$19+IF(parametros_manuales!$H$23="Todos",datos_base!$F$10+datos_base!$F$24,0))*parametros_manuales!$D$100+parametros_manuales!$F$23*(datos_base!$F$4+datos_base!$F$20+IF(parametros_manuales!$H$23="Todos",datos_base!$F$11+datos_base!$F$25,0))*parametros_manuales!$D$105+parametros_manuales!$G$23*(datos_base!$F$5+datos_base!$F$21+IF(parametros_manuales!$H$23="Todos",datos_base!$F$12+datos_base!$F$26,0))*parametros_manuales!$D$110)*parametros_manuales!$I$23*parametros_manuales!$J$23</f>
        <v>7190.4761063215</v>
      </c>
      <c r="E114" s="9" t="n">
        <f aca="false">(parametros_manuales!$D$23*(datos_base!$F$2+datos_base!$F$18+IF(parametros_manuales!$H$23="Todos",datos_base!$F$9+datos_base!$F$23,0))*parametros_manuales!$E$95+parametros_manuales!$E$23*(datos_base!$F$3+datos_base!$F$19+IF(parametros_manuales!$H$23="Todos",datos_base!$F$10+datos_base!$F$24,0))*parametros_manuales!$E$100+parametros_manuales!$F$23*(datos_base!$F$4+datos_base!$F$20+IF(parametros_manuales!$H$23="Todos",datos_base!$F$11+datos_base!$F$25,0))*parametros_manuales!$E$105+parametros_manuales!$G$23*(datos_base!$F$5+datos_base!$F$21+IF(parametros_manuales!$H$23="Todos",datos_base!$F$12+datos_base!$F$26,0))*parametros_manuales!$E$110)*parametros_manuales!$I$23*parametros_manuales!$J$23</f>
        <v>6879.8989427715</v>
      </c>
      <c r="F114" s="9" t="n">
        <f aca="false">(parametros_manuales!$D$23*(datos_base!$F$2+datos_base!$F$18+IF(parametros_manuales!$H$23="Todos",datos_base!$F$9+datos_base!$F$23,0))*parametros_manuales!$F$95+parametros_manuales!$E$23*(datos_base!$F$3+datos_base!$F$19+IF(parametros_manuales!$H$23="Todos",datos_base!$F$10+datos_base!$F$24,0))*parametros_manuales!$F$100+parametros_manuales!$F$23*(datos_base!$F$4+datos_base!$F$20+IF(parametros_manuales!$H$23="Todos",datos_base!$F$11+datos_base!$F$25,0))*parametros_manuales!$F$105+parametros_manuales!$G$23*(datos_base!$F$5+datos_base!$F$21+IF(parametros_manuales!$H$23="Todos",datos_base!$F$12+datos_base!$F$26,0))*parametros_manuales!$F$110)*parametros_manuales!$I$23*parametros_manuales!$J$23</f>
        <v>6438.660515132</v>
      </c>
      <c r="G114" s="9" t="n">
        <f aca="false">(parametros_manuales!$D$23*(datos_base!$F$2+datos_base!$F$18+IF(parametros_manuales!$H$23="Todos",datos_base!$F$9+datos_base!$F$23,0))*parametros_manuales!$G$95+parametros_manuales!$E$23*(datos_base!$F$3+datos_base!$F$19+IF(parametros_manuales!$H$23="Todos",datos_base!$F$10+datos_base!$F$24,0))*parametros_manuales!$G$100+parametros_manuales!$F$23*(datos_base!$F$4+datos_base!$F$20+IF(parametros_manuales!$H$23="Todos",datos_base!$F$11+datos_base!$F$25,0))*parametros_manuales!$G$105+parametros_manuales!$G$23*(datos_base!$F$5+datos_base!$F$21+IF(parametros_manuales!$H$23="Todos",datos_base!$F$12+datos_base!$F$26,0))*parametros_manuales!$G$110)*parametros_manuales!$I$23*parametros_manuales!$J$23</f>
        <v>6307.9992510425</v>
      </c>
      <c r="H114" s="9" t="n">
        <f aca="false">(parametros_manuales!$D$23*(datos_base!$F$2+datos_base!$F$18+IF(parametros_manuales!$H$23="Todos",datos_base!$F$9+datos_base!$F$23,0))*parametros_manuales!$H$95+parametros_manuales!$E$23*(datos_base!$F$3+datos_base!$F$19+IF(parametros_manuales!$H$23="Todos",datos_base!$F$10+datos_base!$F$24,0))*parametros_manuales!$H$100+parametros_manuales!$F$23*(datos_base!$F$4+datos_base!$F$20+IF(parametros_manuales!$H$23="Todos",datos_base!$F$11+datos_base!$F$25,0))*parametros_manuales!$H$105+parametros_manuales!$G$23*(datos_base!$F$5+datos_base!$F$21+IF(parametros_manuales!$H$23="Todos",datos_base!$F$12+datos_base!$F$26,0))*parametros_manuales!$H$110)*parametros_manuales!$I$23*parametros_manuales!$J$23</f>
        <v>6749.237678682</v>
      </c>
      <c r="I114" s="9" t="n">
        <f aca="false">(parametros_manuales!$D$23*(datos_base!$F$2+datos_base!$F$18+IF(parametros_manuales!$H$23="Todos",datos_base!$F$9+datos_base!$F$23,0))*parametros_manuales!$I$95+parametros_manuales!$E$23*(datos_base!$F$3+datos_base!$F$19+IF(parametros_manuales!$H$23="Todos",datos_base!$F$10+datos_base!$F$24,0))*parametros_manuales!$I$100+parametros_manuales!$F$23*(datos_base!$F$4+datos_base!$F$20+IF(parametros_manuales!$H$23="Todos",datos_base!$F$11+datos_base!$F$25,0))*parametros_manuales!$I$105+parametros_manuales!$G$23*(datos_base!$F$5+datos_base!$F$21+IF(parametros_manuales!$H$23="Todos",datos_base!$F$12+datos_base!$F$26,0))*parametros_manuales!$I$110)*parametros_manuales!$I$23*parametros_manuales!$J$23</f>
        <v>7680.969169332</v>
      </c>
      <c r="J114" s="9" t="n">
        <f aca="false">(parametros_manuales!$D$23*(datos_base!$F$2+datos_base!$F$18+IF(parametros_manuales!$H$23="Todos",datos_base!$F$9+datos_base!$F$23,0))*parametros_manuales!$J$95+parametros_manuales!$E$23*(datos_base!$F$3+datos_base!$F$19+IF(parametros_manuales!$H$23="Todos",datos_base!$F$10+datos_base!$F$24,0))*parametros_manuales!$J$100+parametros_manuales!$F$23*(datos_base!$F$4+datos_base!$F$20+IF(parametros_manuales!$H$23="Todos",datos_base!$F$11+datos_base!$F$25,0))*parametros_manuales!$J$105+parametros_manuales!$G$23*(datos_base!$F$5+datos_base!$F$21+IF(parametros_manuales!$H$23="Todos",datos_base!$F$12+datos_base!$F$26,0))*parametros_manuales!$J$110)*parametros_manuales!$I$23*parametros_manuales!$J$23</f>
        <v>7680.969169332</v>
      </c>
      <c r="K114" s="9" t="n">
        <f aca="false">(parametros_manuales!$D$23*(datos_base!$F$2+datos_base!$F$18+IF(parametros_manuales!$H$23="Todos",datos_base!$F$9+datos_base!$F$23,0))*parametros_manuales!$K$95+parametros_manuales!$E$23*(datos_base!$F$3+datos_base!$F$19+IF(parametros_manuales!$H$23="Todos",datos_base!$F$10+datos_base!$F$24,0))*parametros_manuales!$K$100+parametros_manuales!$F$23*(datos_base!$F$4+datos_base!$F$20+IF(parametros_manuales!$H$23="Todos",datos_base!$F$11+datos_base!$F$25,0))*parametros_manuales!$K$105+parametros_manuales!$G$23*(datos_base!$F$5+datos_base!$F$21+IF(parametros_manuales!$H$23="Todos",datos_base!$F$12+datos_base!$F$26,0))*parametros_manuales!$K$110)*parametros_manuales!$I$23*parametros_manuales!$J$23</f>
        <v>7811.6304334215</v>
      </c>
      <c r="L114" s="9" t="n">
        <f aca="false">(parametros_manuales!$D$23*(datos_base!$F$2+datos_base!$F$18+IF(parametros_manuales!$H$23="Todos",datos_base!$F$9+datos_base!$F$23,0))*parametros_manuales!$L$95+parametros_manuales!$E$23*(datos_base!$F$3+datos_base!$F$19+IF(parametros_manuales!$H$23="Todos",datos_base!$F$10+datos_base!$F$24,0))*parametros_manuales!$L$100+parametros_manuales!$F$23*(datos_base!$F$4+datos_base!$F$20+IF(parametros_manuales!$H$23="Todos",datos_base!$F$11+datos_base!$F$25,0))*parametros_manuales!$L$105+parametros_manuales!$G$23*(datos_base!$F$5+datos_base!$F$21+IF(parametros_manuales!$H$23="Todos",datos_base!$F$12+datos_base!$F$26,0))*parametros_manuales!$L$110)*parametros_manuales!$I$23*parametros_manuales!$J$23</f>
        <v>7942.291697511</v>
      </c>
      <c r="M114" s="9" t="n">
        <f aca="false">(parametros_manuales!$D$23*(datos_base!$F$2+datos_base!$F$18+IF(parametros_manuales!$H$23="Todos",datos_base!$F$9+datos_base!$F$23,0))*parametros_manuales!$M$95+parametros_manuales!$E$23*(datos_base!$F$3+datos_base!$F$19+IF(parametros_manuales!$H$23="Todos",datos_base!$F$10+datos_base!$F$24,0))*parametros_manuales!$M$100+parametros_manuales!$F$23*(datos_base!$F$4+datos_base!$F$20+IF(parametros_manuales!$H$23="Todos",datos_base!$F$11+datos_base!$F$25,0))*parametros_manuales!$M$105+parametros_manuales!$G$23*(datos_base!$F$5+datos_base!$F$21+IF(parametros_manuales!$H$23="Todos",datos_base!$F$12+datos_base!$F$26,0))*parametros_manuales!$M$110)*parametros_manuales!$I$23*parametros_manuales!$J$23</f>
        <v>7942.291697511</v>
      </c>
      <c r="N114" s="9" t="n">
        <f aca="false">SUM(B114:M114)</f>
        <v>88247.6855279</v>
      </c>
      <c r="O114" s="9" t="n">
        <f aca="false">MAX(B114:M114)</f>
        <v>7942.291697511</v>
      </c>
      <c r="P114" s="43" t="n">
        <f aca="false">O114/(parametros_manuales!$B$7)</f>
        <v>52.94861131674</v>
      </c>
      <c r="Q114" s="8" t="str">
        <f aca="false">IF(O114=0,"-",INDEX($B$109:$M$109,MATCH(O114,B114:M114,0)))</f>
        <v>Ene</v>
      </c>
    </row>
    <row r="115" customFormat="false" ht="14.25" hidden="false" customHeight="true" outlineLevel="0" collapsed="false">
      <c r="A115" s="8" t="str">
        <f aca="false">parametros_manuales!$B$24</f>
        <v>Numerado de cúpula</v>
      </c>
      <c r="B115" s="9" t="n">
        <f aca="false">(parametros_manuales!$D$24*(datos_base!$F$2+datos_base!$F$18+IF(parametros_manuales!$H$24="Todos",datos_base!$F$9+datos_base!$F$23,0))*parametros_manuales!$B$95+parametros_manuales!$E$24*(datos_base!$F$3+datos_base!$F$19+IF(parametros_manuales!$H$24="Todos",datos_base!$F$10+datos_base!$F$24,0))*parametros_manuales!$B$100+parametros_manuales!$F$24*(datos_base!$F$4+datos_base!$F$20+IF(parametros_manuales!$H$24="Todos",datos_base!$F$11+datos_base!$F$25,0))*parametros_manuales!$B$105+parametros_manuales!$G$24*(datos_base!$F$5+datos_base!$F$21+IF(parametros_manuales!$H$24="Todos",datos_base!$F$12+datos_base!$F$26,0))*parametros_manuales!$B$110)*parametros_manuales!$I$24*parametros_manuales!$J$24</f>
        <v>7942.291697511</v>
      </c>
      <c r="C115" s="9" t="n">
        <f aca="false">(parametros_manuales!$D$24*(datos_base!$F$2+datos_base!$F$18+IF(parametros_manuales!$H$24="Todos",datos_base!$F$9+datos_base!$F$23,0))*parametros_manuales!$C$95+parametros_manuales!$E$24*(datos_base!$F$3+datos_base!$F$19+IF(parametros_manuales!$H$24="Todos",datos_base!$F$10+datos_base!$F$24,0))*parametros_manuales!$C$100+parametros_manuales!$F$24*(datos_base!$F$4+datos_base!$F$20+IF(parametros_manuales!$H$24="Todos",datos_base!$F$11+datos_base!$F$25,0))*parametros_manuales!$C$105+parametros_manuales!$G$24*(datos_base!$F$5+datos_base!$F$21+IF(parametros_manuales!$H$24="Todos",datos_base!$F$12+datos_base!$F$26,0))*parametros_manuales!$C$110)*parametros_manuales!$I$24*parametros_manuales!$J$24</f>
        <v>7680.969169332</v>
      </c>
      <c r="D115" s="9" t="n">
        <f aca="false">(parametros_manuales!$D$24*(datos_base!$F$2+datos_base!$F$18+IF(parametros_manuales!$H$24="Todos",datos_base!$F$9+datos_base!$F$23,0))*parametros_manuales!$D$95+parametros_manuales!$E$24*(datos_base!$F$3+datos_base!$F$19+IF(parametros_manuales!$H$24="Todos",datos_base!$F$10+datos_base!$F$24,0))*parametros_manuales!$D$100+parametros_manuales!$F$24*(datos_base!$F$4+datos_base!$F$20+IF(parametros_manuales!$H$24="Todos",datos_base!$F$11+datos_base!$F$25,0))*parametros_manuales!$D$105+parametros_manuales!$G$24*(datos_base!$F$5+datos_base!$F$21+IF(parametros_manuales!$H$24="Todos",datos_base!$F$12+datos_base!$F$26,0))*parametros_manuales!$D$110)*parametros_manuales!$I$24*parametros_manuales!$J$24</f>
        <v>7190.4761063215</v>
      </c>
      <c r="E115" s="9" t="n">
        <f aca="false">(parametros_manuales!$D$24*(datos_base!$F$2+datos_base!$F$18+IF(parametros_manuales!$H$24="Todos",datos_base!$F$9+datos_base!$F$23,0))*parametros_manuales!$E$95+parametros_manuales!$E$24*(datos_base!$F$3+datos_base!$F$19+IF(parametros_manuales!$H$24="Todos",datos_base!$F$10+datos_base!$F$24,0))*parametros_manuales!$E$100+parametros_manuales!$F$24*(datos_base!$F$4+datos_base!$F$20+IF(parametros_manuales!$H$24="Todos",datos_base!$F$11+datos_base!$F$25,0))*parametros_manuales!$E$105+parametros_manuales!$G$24*(datos_base!$F$5+datos_base!$F$21+IF(parametros_manuales!$H$24="Todos",datos_base!$F$12+datos_base!$F$26,0))*parametros_manuales!$E$110)*parametros_manuales!$I$24*parametros_manuales!$J$24</f>
        <v>6879.8989427715</v>
      </c>
      <c r="F115" s="9" t="n">
        <f aca="false">(parametros_manuales!$D$24*(datos_base!$F$2+datos_base!$F$18+IF(parametros_manuales!$H$24="Todos",datos_base!$F$9+datos_base!$F$23,0))*parametros_manuales!$F$95+parametros_manuales!$E$24*(datos_base!$F$3+datos_base!$F$19+IF(parametros_manuales!$H$24="Todos",datos_base!$F$10+datos_base!$F$24,0))*parametros_manuales!$F$100+parametros_manuales!$F$24*(datos_base!$F$4+datos_base!$F$20+IF(parametros_manuales!$H$24="Todos",datos_base!$F$11+datos_base!$F$25,0))*parametros_manuales!$F$105+parametros_manuales!$G$24*(datos_base!$F$5+datos_base!$F$21+IF(parametros_manuales!$H$24="Todos",datos_base!$F$12+datos_base!$F$26,0))*parametros_manuales!$F$110)*parametros_manuales!$I$24*parametros_manuales!$J$24</f>
        <v>6438.660515132</v>
      </c>
      <c r="G115" s="9" t="n">
        <f aca="false">(parametros_manuales!$D$24*(datos_base!$F$2+datos_base!$F$18+IF(parametros_manuales!$H$24="Todos",datos_base!$F$9+datos_base!$F$23,0))*parametros_manuales!$G$95+parametros_manuales!$E$24*(datos_base!$F$3+datos_base!$F$19+IF(parametros_manuales!$H$24="Todos",datos_base!$F$10+datos_base!$F$24,0))*parametros_manuales!$G$100+parametros_manuales!$F$24*(datos_base!$F$4+datos_base!$F$20+IF(parametros_manuales!$H$24="Todos",datos_base!$F$11+datos_base!$F$25,0))*parametros_manuales!$G$105+parametros_manuales!$G$24*(datos_base!$F$5+datos_base!$F$21+IF(parametros_manuales!$H$24="Todos",datos_base!$F$12+datos_base!$F$26,0))*parametros_manuales!$G$110)*parametros_manuales!$I$24*parametros_manuales!$J$24</f>
        <v>6307.9992510425</v>
      </c>
      <c r="H115" s="9" t="n">
        <f aca="false">(parametros_manuales!$D$24*(datos_base!$F$2+datos_base!$F$18+IF(parametros_manuales!$H$24="Todos",datos_base!$F$9+datos_base!$F$23,0))*parametros_manuales!$H$95+parametros_manuales!$E$24*(datos_base!$F$3+datos_base!$F$19+IF(parametros_manuales!$H$24="Todos",datos_base!$F$10+datos_base!$F$24,0))*parametros_manuales!$H$100+parametros_manuales!$F$24*(datos_base!$F$4+datos_base!$F$20+IF(parametros_manuales!$H$24="Todos",datos_base!$F$11+datos_base!$F$25,0))*parametros_manuales!$H$105+parametros_manuales!$G$24*(datos_base!$F$5+datos_base!$F$21+IF(parametros_manuales!$H$24="Todos",datos_base!$F$12+datos_base!$F$26,0))*parametros_manuales!$H$110)*parametros_manuales!$I$24*parametros_manuales!$J$24</f>
        <v>6749.237678682</v>
      </c>
      <c r="I115" s="9" t="n">
        <f aca="false">(parametros_manuales!$D$24*(datos_base!$F$2+datos_base!$F$18+IF(parametros_manuales!$H$24="Todos",datos_base!$F$9+datos_base!$F$23,0))*parametros_manuales!$I$95+parametros_manuales!$E$24*(datos_base!$F$3+datos_base!$F$19+IF(parametros_manuales!$H$24="Todos",datos_base!$F$10+datos_base!$F$24,0))*parametros_manuales!$I$100+parametros_manuales!$F$24*(datos_base!$F$4+datos_base!$F$20+IF(parametros_manuales!$H$24="Todos",datos_base!$F$11+datos_base!$F$25,0))*parametros_manuales!$I$105+parametros_manuales!$G$24*(datos_base!$F$5+datos_base!$F$21+IF(parametros_manuales!$H$24="Todos",datos_base!$F$12+datos_base!$F$26,0))*parametros_manuales!$I$110)*parametros_manuales!$I$24*parametros_manuales!$J$24</f>
        <v>7680.969169332</v>
      </c>
      <c r="J115" s="9" t="n">
        <f aca="false">(parametros_manuales!$D$24*(datos_base!$F$2+datos_base!$F$18+IF(parametros_manuales!$H$24="Todos",datos_base!$F$9+datos_base!$F$23,0))*parametros_manuales!$J$95+parametros_manuales!$E$24*(datos_base!$F$3+datos_base!$F$19+IF(parametros_manuales!$H$24="Todos",datos_base!$F$10+datos_base!$F$24,0))*parametros_manuales!$J$100+parametros_manuales!$F$24*(datos_base!$F$4+datos_base!$F$20+IF(parametros_manuales!$H$24="Todos",datos_base!$F$11+datos_base!$F$25,0))*parametros_manuales!$J$105+parametros_manuales!$G$24*(datos_base!$F$5+datos_base!$F$21+IF(parametros_manuales!$H$24="Todos",datos_base!$F$12+datos_base!$F$26,0))*parametros_manuales!$J$110)*parametros_manuales!$I$24*parametros_manuales!$J$24</f>
        <v>7680.969169332</v>
      </c>
      <c r="K115" s="9" t="n">
        <f aca="false">(parametros_manuales!$D$24*(datos_base!$F$2+datos_base!$F$18+IF(parametros_manuales!$H$24="Todos",datos_base!$F$9+datos_base!$F$23,0))*parametros_manuales!$K$95+parametros_manuales!$E$24*(datos_base!$F$3+datos_base!$F$19+IF(parametros_manuales!$H$24="Todos",datos_base!$F$10+datos_base!$F$24,0))*parametros_manuales!$K$100+parametros_manuales!$F$24*(datos_base!$F$4+datos_base!$F$20+IF(parametros_manuales!$H$24="Todos",datos_base!$F$11+datos_base!$F$25,0))*parametros_manuales!$K$105+parametros_manuales!$G$24*(datos_base!$F$5+datos_base!$F$21+IF(parametros_manuales!$H$24="Todos",datos_base!$F$12+datos_base!$F$26,0))*parametros_manuales!$K$110)*parametros_manuales!$I$24*parametros_manuales!$J$24</f>
        <v>7811.6304334215</v>
      </c>
      <c r="L115" s="9" t="n">
        <f aca="false">(parametros_manuales!$D$24*(datos_base!$F$2+datos_base!$F$18+IF(parametros_manuales!$H$24="Todos",datos_base!$F$9+datos_base!$F$23,0))*parametros_manuales!$L$95+parametros_manuales!$E$24*(datos_base!$F$3+datos_base!$F$19+IF(parametros_manuales!$H$24="Todos",datos_base!$F$10+datos_base!$F$24,0))*parametros_manuales!$L$100+parametros_manuales!$F$24*(datos_base!$F$4+datos_base!$F$20+IF(parametros_manuales!$H$24="Todos",datos_base!$F$11+datos_base!$F$25,0))*parametros_manuales!$L$105+parametros_manuales!$G$24*(datos_base!$F$5+datos_base!$F$21+IF(parametros_manuales!$H$24="Todos",datos_base!$F$12+datos_base!$F$26,0))*parametros_manuales!$L$110)*parametros_manuales!$I$24*parametros_manuales!$J$24</f>
        <v>7942.291697511</v>
      </c>
      <c r="M115" s="9" t="n">
        <f aca="false">(parametros_manuales!$D$24*(datos_base!$F$2+datos_base!$F$18+IF(parametros_manuales!$H$24="Todos",datos_base!$F$9+datos_base!$F$23,0))*parametros_manuales!$M$95+parametros_manuales!$E$24*(datos_base!$F$3+datos_base!$F$19+IF(parametros_manuales!$H$24="Todos",datos_base!$F$10+datos_base!$F$24,0))*parametros_manuales!$M$100+parametros_manuales!$F$24*(datos_base!$F$4+datos_base!$F$20+IF(parametros_manuales!$H$24="Todos",datos_base!$F$11+datos_base!$F$25,0))*parametros_manuales!$M$105+parametros_manuales!$G$24*(datos_base!$F$5+datos_base!$F$21+IF(parametros_manuales!$H$24="Todos",datos_base!$F$12+datos_base!$F$26,0))*parametros_manuales!$M$110)*parametros_manuales!$I$24*parametros_manuales!$J$24</f>
        <v>7942.291697511</v>
      </c>
      <c r="N115" s="9" t="n">
        <f aca="false">SUM(B115:M115)</f>
        <v>88247.6855279</v>
      </c>
      <c r="O115" s="9" t="n">
        <f aca="false">MAX(B115:M115)</f>
        <v>7942.291697511</v>
      </c>
      <c r="P115" s="43" t="n">
        <f aca="false">O115/(parametros_manuales!$B$7)</f>
        <v>52.94861131674</v>
      </c>
      <c r="Q115" s="8" t="str">
        <f aca="false">IF(O115=0,"-",INDEX($B$109:$M$109,MATCH(O115,B115:M115,0)))</f>
        <v>Ene</v>
      </c>
    </row>
    <row r="116" customFormat="false" ht="14.25" hidden="false" customHeight="true" outlineLevel="0" collapsed="false">
      <c r="A116" s="8" t="str">
        <f aca="false">parametros_manuales!$B$25</f>
        <v>Soldadura del cuello a la cúpula</v>
      </c>
      <c r="B116" s="9" t="n">
        <f aca="false">(parametros_manuales!$D$25*(datos_base!$F$2+datos_base!$F$18+IF(parametros_manuales!$H$25="Todos",datos_base!$F$9+datos_base!$F$23,0))*parametros_manuales!$B$95+parametros_manuales!$E$25*(datos_base!$F$3+datos_base!$F$19+IF(parametros_manuales!$H$25="Todos",datos_base!$F$10+datos_base!$F$24,0))*parametros_manuales!$B$100+parametros_manuales!$F$25*(datos_base!$F$4+datos_base!$F$20+IF(parametros_manuales!$H$25="Todos",datos_base!$F$11+datos_base!$F$25,0))*parametros_manuales!$B$105+parametros_manuales!$G$25*(datos_base!$F$5+datos_base!$F$21+IF(parametros_manuales!$H$25="Todos",datos_base!$F$12+datos_base!$F$26,0))*parametros_manuales!$B$110)*parametros_manuales!$I$25*parametros_manuales!$J$25</f>
        <v>7942.291697511</v>
      </c>
      <c r="C116" s="9" t="n">
        <f aca="false">(parametros_manuales!$D$25*(datos_base!$F$2+datos_base!$F$18+IF(parametros_manuales!$H$25="Todos",datos_base!$F$9+datos_base!$F$23,0))*parametros_manuales!$C$95+parametros_manuales!$E$25*(datos_base!$F$3+datos_base!$F$19+IF(parametros_manuales!$H$25="Todos",datos_base!$F$10+datos_base!$F$24,0))*parametros_manuales!$C$100+parametros_manuales!$F$25*(datos_base!$F$4+datos_base!$F$20+IF(parametros_manuales!$H$25="Todos",datos_base!$F$11+datos_base!$F$25,0))*parametros_manuales!$C$105+parametros_manuales!$G$25*(datos_base!$F$5+datos_base!$F$21+IF(parametros_manuales!$H$25="Todos",datos_base!$F$12+datos_base!$F$26,0))*parametros_manuales!$C$110)*parametros_manuales!$I$25*parametros_manuales!$J$25</f>
        <v>7680.969169332</v>
      </c>
      <c r="D116" s="9" t="n">
        <f aca="false">(parametros_manuales!$D$25*(datos_base!$F$2+datos_base!$F$18+IF(parametros_manuales!$H$25="Todos",datos_base!$F$9+datos_base!$F$23,0))*parametros_manuales!$D$95+parametros_manuales!$E$25*(datos_base!$F$3+datos_base!$F$19+IF(parametros_manuales!$H$25="Todos",datos_base!$F$10+datos_base!$F$24,0))*parametros_manuales!$D$100+parametros_manuales!$F$25*(datos_base!$F$4+datos_base!$F$20+IF(parametros_manuales!$H$25="Todos",datos_base!$F$11+datos_base!$F$25,0))*parametros_manuales!$D$105+parametros_manuales!$G$25*(datos_base!$F$5+datos_base!$F$21+IF(parametros_manuales!$H$25="Todos",datos_base!$F$12+datos_base!$F$26,0))*parametros_manuales!$D$110)*parametros_manuales!$I$25*parametros_manuales!$J$25</f>
        <v>7190.4761063215</v>
      </c>
      <c r="E116" s="9" t="n">
        <f aca="false">(parametros_manuales!$D$25*(datos_base!$F$2+datos_base!$F$18+IF(parametros_manuales!$H$25="Todos",datos_base!$F$9+datos_base!$F$23,0))*parametros_manuales!$E$95+parametros_manuales!$E$25*(datos_base!$F$3+datos_base!$F$19+IF(parametros_manuales!$H$25="Todos",datos_base!$F$10+datos_base!$F$24,0))*parametros_manuales!$E$100+parametros_manuales!$F$25*(datos_base!$F$4+datos_base!$F$20+IF(parametros_manuales!$H$25="Todos",datos_base!$F$11+datos_base!$F$25,0))*parametros_manuales!$E$105+parametros_manuales!$G$25*(datos_base!$F$5+datos_base!$F$21+IF(parametros_manuales!$H$25="Todos",datos_base!$F$12+datos_base!$F$26,0))*parametros_manuales!$E$110)*parametros_manuales!$I$25*parametros_manuales!$J$25</f>
        <v>6879.8989427715</v>
      </c>
      <c r="F116" s="9" t="n">
        <f aca="false">(parametros_manuales!$D$25*(datos_base!$F$2+datos_base!$F$18+IF(parametros_manuales!$H$25="Todos",datos_base!$F$9+datos_base!$F$23,0))*parametros_manuales!$F$95+parametros_manuales!$E$25*(datos_base!$F$3+datos_base!$F$19+IF(parametros_manuales!$H$25="Todos",datos_base!$F$10+datos_base!$F$24,0))*parametros_manuales!$F$100+parametros_manuales!$F$25*(datos_base!$F$4+datos_base!$F$20+IF(parametros_manuales!$H$25="Todos",datos_base!$F$11+datos_base!$F$25,0))*parametros_manuales!$F$105+parametros_manuales!$G$25*(datos_base!$F$5+datos_base!$F$21+IF(parametros_manuales!$H$25="Todos",datos_base!$F$12+datos_base!$F$26,0))*parametros_manuales!$F$110)*parametros_manuales!$I$25*parametros_manuales!$J$25</f>
        <v>6438.660515132</v>
      </c>
      <c r="G116" s="9" t="n">
        <f aca="false">(parametros_manuales!$D$25*(datos_base!$F$2+datos_base!$F$18+IF(parametros_manuales!$H$25="Todos",datos_base!$F$9+datos_base!$F$23,0))*parametros_manuales!$G$95+parametros_manuales!$E$25*(datos_base!$F$3+datos_base!$F$19+IF(parametros_manuales!$H$25="Todos",datos_base!$F$10+datos_base!$F$24,0))*parametros_manuales!$G$100+parametros_manuales!$F$25*(datos_base!$F$4+datos_base!$F$20+IF(parametros_manuales!$H$25="Todos",datos_base!$F$11+datos_base!$F$25,0))*parametros_manuales!$G$105+parametros_manuales!$G$25*(datos_base!$F$5+datos_base!$F$21+IF(parametros_manuales!$H$25="Todos",datos_base!$F$12+datos_base!$F$26,0))*parametros_manuales!$G$110)*parametros_manuales!$I$25*parametros_manuales!$J$25</f>
        <v>6307.9992510425</v>
      </c>
      <c r="H116" s="9" t="n">
        <f aca="false">(parametros_manuales!$D$25*(datos_base!$F$2+datos_base!$F$18+IF(parametros_manuales!$H$25="Todos",datos_base!$F$9+datos_base!$F$23,0))*parametros_manuales!$H$95+parametros_manuales!$E$25*(datos_base!$F$3+datos_base!$F$19+IF(parametros_manuales!$H$25="Todos",datos_base!$F$10+datos_base!$F$24,0))*parametros_manuales!$H$100+parametros_manuales!$F$25*(datos_base!$F$4+datos_base!$F$20+IF(parametros_manuales!$H$25="Todos",datos_base!$F$11+datos_base!$F$25,0))*parametros_manuales!$H$105+parametros_manuales!$G$25*(datos_base!$F$5+datos_base!$F$21+IF(parametros_manuales!$H$25="Todos",datos_base!$F$12+datos_base!$F$26,0))*parametros_manuales!$H$110)*parametros_manuales!$I$25*parametros_manuales!$J$25</f>
        <v>6749.237678682</v>
      </c>
      <c r="I116" s="9" t="n">
        <f aca="false">(parametros_manuales!$D$25*(datos_base!$F$2+datos_base!$F$18+IF(parametros_manuales!$H$25="Todos",datos_base!$F$9+datos_base!$F$23,0))*parametros_manuales!$I$95+parametros_manuales!$E$25*(datos_base!$F$3+datos_base!$F$19+IF(parametros_manuales!$H$25="Todos",datos_base!$F$10+datos_base!$F$24,0))*parametros_manuales!$I$100+parametros_manuales!$F$25*(datos_base!$F$4+datos_base!$F$20+IF(parametros_manuales!$H$25="Todos",datos_base!$F$11+datos_base!$F$25,0))*parametros_manuales!$I$105+parametros_manuales!$G$25*(datos_base!$F$5+datos_base!$F$21+IF(parametros_manuales!$H$25="Todos",datos_base!$F$12+datos_base!$F$26,0))*parametros_manuales!$I$110)*parametros_manuales!$I$25*parametros_manuales!$J$25</f>
        <v>7680.969169332</v>
      </c>
      <c r="J116" s="9" t="n">
        <f aca="false">(parametros_manuales!$D$25*(datos_base!$F$2+datos_base!$F$18+IF(parametros_manuales!$H$25="Todos",datos_base!$F$9+datos_base!$F$23,0))*parametros_manuales!$J$95+parametros_manuales!$E$25*(datos_base!$F$3+datos_base!$F$19+IF(parametros_manuales!$H$25="Todos",datos_base!$F$10+datos_base!$F$24,0))*parametros_manuales!$J$100+parametros_manuales!$F$25*(datos_base!$F$4+datos_base!$F$20+IF(parametros_manuales!$H$25="Todos",datos_base!$F$11+datos_base!$F$25,0))*parametros_manuales!$J$105+parametros_manuales!$G$25*(datos_base!$F$5+datos_base!$F$21+IF(parametros_manuales!$H$25="Todos",datos_base!$F$12+datos_base!$F$26,0))*parametros_manuales!$J$110)*parametros_manuales!$I$25*parametros_manuales!$J$25</f>
        <v>7680.969169332</v>
      </c>
      <c r="K116" s="9" t="n">
        <f aca="false">(parametros_manuales!$D$25*(datos_base!$F$2+datos_base!$F$18+IF(parametros_manuales!$H$25="Todos",datos_base!$F$9+datos_base!$F$23,0))*parametros_manuales!$K$95+parametros_manuales!$E$25*(datos_base!$F$3+datos_base!$F$19+IF(parametros_manuales!$H$25="Todos",datos_base!$F$10+datos_base!$F$24,0))*parametros_manuales!$K$100+parametros_manuales!$F$25*(datos_base!$F$4+datos_base!$F$20+IF(parametros_manuales!$H$25="Todos",datos_base!$F$11+datos_base!$F$25,0))*parametros_manuales!$K$105+parametros_manuales!$G$25*(datos_base!$F$5+datos_base!$F$21+IF(parametros_manuales!$H$25="Todos",datos_base!$F$12+datos_base!$F$26,0))*parametros_manuales!$K$110)*parametros_manuales!$I$25*parametros_manuales!$J$25</f>
        <v>7811.6304334215</v>
      </c>
      <c r="L116" s="9" t="n">
        <f aca="false">(parametros_manuales!$D$25*(datos_base!$F$2+datos_base!$F$18+IF(parametros_manuales!$H$25="Todos",datos_base!$F$9+datos_base!$F$23,0))*parametros_manuales!$L$95+parametros_manuales!$E$25*(datos_base!$F$3+datos_base!$F$19+IF(parametros_manuales!$H$25="Todos",datos_base!$F$10+datos_base!$F$24,0))*parametros_manuales!$L$100+parametros_manuales!$F$25*(datos_base!$F$4+datos_base!$F$20+IF(parametros_manuales!$H$25="Todos",datos_base!$F$11+datos_base!$F$25,0))*parametros_manuales!$L$105+parametros_manuales!$G$25*(datos_base!$F$5+datos_base!$F$21+IF(parametros_manuales!$H$25="Todos",datos_base!$F$12+datos_base!$F$26,0))*parametros_manuales!$L$110)*parametros_manuales!$I$25*parametros_manuales!$J$25</f>
        <v>7942.291697511</v>
      </c>
      <c r="M116" s="9" t="n">
        <f aca="false">(parametros_manuales!$D$25*(datos_base!$F$2+datos_base!$F$18+IF(parametros_manuales!$H$25="Todos",datos_base!$F$9+datos_base!$F$23,0))*parametros_manuales!$M$95+parametros_manuales!$E$25*(datos_base!$F$3+datos_base!$F$19+IF(parametros_manuales!$H$25="Todos",datos_base!$F$10+datos_base!$F$24,0))*parametros_manuales!$M$100+parametros_manuales!$F$25*(datos_base!$F$4+datos_base!$F$20+IF(parametros_manuales!$H$25="Todos",datos_base!$F$11+datos_base!$F$25,0))*parametros_manuales!$M$105+parametros_manuales!$G$25*(datos_base!$F$5+datos_base!$F$21+IF(parametros_manuales!$H$25="Todos",datos_base!$F$12+datos_base!$F$26,0))*parametros_manuales!$M$110)*parametros_manuales!$I$25*parametros_manuales!$J$25</f>
        <v>7942.291697511</v>
      </c>
      <c r="N116" s="9" t="n">
        <f aca="false">SUM(B116:M116)</f>
        <v>88247.6855279</v>
      </c>
      <c r="O116" s="9" t="n">
        <f aca="false">MAX(B116:M116)</f>
        <v>7942.291697511</v>
      </c>
      <c r="P116" s="43" t="n">
        <f aca="false">O116/(parametros_manuales!$B$7)</f>
        <v>52.94861131674</v>
      </c>
      <c r="Q116" s="8" t="str">
        <f aca="false">IF(O116=0,"-",INDEX($B$109:$M$109,MATCH(O116,B116:M116,0)))</f>
        <v>Ene</v>
      </c>
    </row>
    <row r="117" customFormat="false" ht="14.25" hidden="false" customHeight="true" outlineLevel="0" collapsed="false">
      <c r="A117" s="8" t="str">
        <f aca="false">parametros_manuales!$B$26</f>
        <v>Cilindrado</v>
      </c>
      <c r="B117" s="9" t="n">
        <f aca="false">(parametros_manuales!$D$26*(datos_base!$F$2+datos_base!$F$18+IF(parametros_manuales!$H$26="Todos",datos_base!$F$9+datos_base!$F$23,0))*parametros_manuales!$B$95+parametros_manuales!$E$26*(datos_base!$F$3+datos_base!$F$19+IF(parametros_manuales!$H$26="Todos",datos_base!$F$10+datos_base!$F$24,0))*parametros_manuales!$B$100+parametros_manuales!$F$26*(datos_base!$F$4+datos_base!$F$20+IF(parametros_manuales!$H$26="Todos",datos_base!$F$11+datos_base!$F$25,0))*parametros_manuales!$B$105+parametros_manuales!$G$26*(datos_base!$F$5+datos_base!$F$21+IF(parametros_manuales!$H$26="Todos",datos_base!$F$12+datos_base!$F$26,0))*parametros_manuales!$B$110)*parametros_manuales!$I$26*parametros_manuales!$J$26</f>
        <v>2351.902753611</v>
      </c>
      <c r="C117" s="9" t="n">
        <f aca="false">(parametros_manuales!$D$26*(datos_base!$F$2+datos_base!$F$18+IF(parametros_manuales!$H$26="Todos",datos_base!$F$9+datos_base!$F$23,0))*parametros_manuales!$C$95+parametros_manuales!$E$26*(datos_base!$F$3+datos_base!$F$19+IF(parametros_manuales!$H$26="Todos",datos_base!$F$10+datos_base!$F$24,0))*parametros_manuales!$C$100+parametros_manuales!$F$26*(datos_base!$F$4+datos_base!$F$20+IF(parametros_manuales!$H$26="Todos",datos_base!$F$11+datos_base!$F$25,0))*parametros_manuales!$C$105+parametros_manuales!$G$26*(datos_base!$F$5+datos_base!$F$21+IF(parametros_manuales!$H$26="Todos",datos_base!$F$12+datos_base!$F$26,0))*parametros_manuales!$C$110)*parametros_manuales!$I$26*parametros_manuales!$J$26</f>
        <v>2090.580225432</v>
      </c>
      <c r="D117" s="9" t="n">
        <f aca="false">(parametros_manuales!$D$26*(datos_base!$F$2+datos_base!$F$18+IF(parametros_manuales!$H$26="Todos",datos_base!$F$9+datos_base!$F$23,0))*parametros_manuales!$D$95+parametros_manuales!$E$26*(datos_base!$F$3+datos_base!$F$19+IF(parametros_manuales!$H$26="Todos",datos_base!$F$10+datos_base!$F$24,0))*parametros_manuales!$D$100+parametros_manuales!$F$26*(datos_base!$F$4+datos_base!$F$20+IF(parametros_manuales!$H$26="Todos",datos_base!$F$11+datos_base!$F$25,0))*parametros_manuales!$D$105+parametros_manuales!$G$26*(datos_base!$F$5+datos_base!$F$21+IF(parametros_manuales!$H$26="Todos",datos_base!$F$12+datos_base!$F$26,0))*parametros_manuales!$D$110)*parametros_manuales!$I$26*parametros_manuales!$J$26</f>
        <v>2221.2414895215</v>
      </c>
      <c r="E117" s="9" t="n">
        <f aca="false">(parametros_manuales!$D$26*(datos_base!$F$2+datos_base!$F$18+IF(parametros_manuales!$H$26="Todos",datos_base!$F$9+datos_base!$F$23,0))*parametros_manuales!$E$95+parametros_manuales!$E$26*(datos_base!$F$3+datos_base!$F$19+IF(parametros_manuales!$H$26="Todos",datos_base!$F$10+datos_base!$F$24,0))*parametros_manuales!$E$100+parametros_manuales!$F$26*(datos_base!$F$4+datos_base!$F$20+IF(parametros_manuales!$H$26="Todos",datos_base!$F$11+datos_base!$F$25,0))*parametros_manuales!$E$105+parametros_manuales!$G$26*(datos_base!$F$5+datos_base!$F$21+IF(parametros_manuales!$H$26="Todos",datos_base!$F$12+datos_base!$F$26,0))*parametros_manuales!$E$110)*parametros_manuales!$I$26*parametros_manuales!$J$26</f>
        <v>2221.2414895215</v>
      </c>
      <c r="F117" s="9" t="n">
        <f aca="false">(parametros_manuales!$D$26*(datos_base!$F$2+datos_base!$F$18+IF(parametros_manuales!$H$26="Todos",datos_base!$F$9+datos_base!$F$23,0))*parametros_manuales!$F$95+parametros_manuales!$E$26*(datos_base!$F$3+datos_base!$F$19+IF(parametros_manuales!$H$26="Todos",datos_base!$F$10+datos_base!$F$24,0))*parametros_manuales!$F$100+parametros_manuales!$F$26*(datos_base!$F$4+datos_base!$F$20+IF(parametros_manuales!$H$26="Todos",datos_base!$F$11+datos_base!$F$25,0))*parametros_manuales!$F$105+parametros_manuales!$G$26*(datos_base!$F$5+datos_base!$F$21+IF(parametros_manuales!$H$26="Todos",datos_base!$F$12+datos_base!$F$26,0))*parametros_manuales!$F$110)*parametros_manuales!$I$26*parametros_manuales!$J$26</f>
        <v>2090.580225432</v>
      </c>
      <c r="G117" s="9" t="n">
        <f aca="false">(parametros_manuales!$D$26*(datos_base!$F$2+datos_base!$F$18+IF(parametros_manuales!$H$26="Todos",datos_base!$F$9+datos_base!$F$23,0))*parametros_manuales!$G$95+parametros_manuales!$E$26*(datos_base!$F$3+datos_base!$F$19+IF(parametros_manuales!$H$26="Todos",datos_base!$F$10+datos_base!$F$24,0))*parametros_manuales!$G$100+parametros_manuales!$F$26*(datos_base!$F$4+datos_base!$F$20+IF(parametros_manuales!$H$26="Todos",datos_base!$F$11+datos_base!$F$25,0))*parametros_manuales!$G$105+parametros_manuales!$G$26*(datos_base!$F$5+datos_base!$F$21+IF(parametros_manuales!$H$26="Todos",datos_base!$F$12+datos_base!$F$26,0))*parametros_manuales!$G$110)*parametros_manuales!$I$26*parametros_manuales!$J$26</f>
        <v>1959.9189613425</v>
      </c>
      <c r="H117" s="9" t="n">
        <f aca="false">(parametros_manuales!$D$26*(datos_base!$F$2+datos_base!$F$18+IF(parametros_manuales!$H$26="Todos",datos_base!$F$9+datos_base!$F$23,0))*parametros_manuales!$H$95+parametros_manuales!$E$26*(datos_base!$F$3+datos_base!$F$19+IF(parametros_manuales!$H$26="Todos",datos_base!$F$10+datos_base!$F$24,0))*parametros_manuales!$H$100+parametros_manuales!$F$26*(datos_base!$F$4+datos_base!$F$20+IF(parametros_manuales!$H$26="Todos",datos_base!$F$11+datos_base!$F$25,0))*parametros_manuales!$H$105+parametros_manuales!$G$26*(datos_base!$F$5+datos_base!$F$21+IF(parametros_manuales!$H$26="Todos",datos_base!$F$12+datos_base!$F$26,0))*parametros_manuales!$H$110)*parametros_manuales!$I$26*parametros_manuales!$J$26</f>
        <v>2090.580225432</v>
      </c>
      <c r="I117" s="9" t="n">
        <f aca="false">(parametros_manuales!$D$26*(datos_base!$F$2+datos_base!$F$18+IF(parametros_manuales!$H$26="Todos",datos_base!$F$9+datos_base!$F$23,0))*parametros_manuales!$I$95+parametros_manuales!$E$26*(datos_base!$F$3+datos_base!$F$19+IF(parametros_manuales!$H$26="Todos",datos_base!$F$10+datos_base!$F$24,0))*parametros_manuales!$I$100+parametros_manuales!$F$26*(datos_base!$F$4+datos_base!$F$20+IF(parametros_manuales!$H$26="Todos",datos_base!$F$11+datos_base!$F$25,0))*parametros_manuales!$I$105+parametros_manuales!$G$26*(datos_base!$F$5+datos_base!$F$21+IF(parametros_manuales!$H$26="Todos",datos_base!$F$12+datos_base!$F$26,0))*parametros_manuales!$I$110)*parametros_manuales!$I$26*parametros_manuales!$J$26</f>
        <v>2090.580225432</v>
      </c>
      <c r="J117" s="9" t="n">
        <f aca="false">(parametros_manuales!$D$26*(datos_base!$F$2+datos_base!$F$18+IF(parametros_manuales!$H$26="Todos",datos_base!$F$9+datos_base!$F$23,0))*parametros_manuales!$J$95+parametros_manuales!$E$26*(datos_base!$F$3+datos_base!$F$19+IF(parametros_manuales!$H$26="Todos",datos_base!$F$10+datos_base!$F$24,0))*parametros_manuales!$J$100+parametros_manuales!$F$26*(datos_base!$F$4+datos_base!$F$20+IF(parametros_manuales!$H$26="Todos",datos_base!$F$11+datos_base!$F$25,0))*parametros_manuales!$J$105+parametros_manuales!$G$26*(datos_base!$F$5+datos_base!$F$21+IF(parametros_manuales!$H$26="Todos",datos_base!$F$12+datos_base!$F$26,0))*parametros_manuales!$J$110)*parametros_manuales!$I$26*parametros_manuales!$J$26</f>
        <v>2090.580225432</v>
      </c>
      <c r="K117" s="9" t="n">
        <f aca="false">(parametros_manuales!$D$26*(datos_base!$F$2+datos_base!$F$18+IF(parametros_manuales!$H$26="Todos",datos_base!$F$9+datos_base!$F$23,0))*parametros_manuales!$K$95+parametros_manuales!$E$26*(datos_base!$F$3+datos_base!$F$19+IF(parametros_manuales!$H$26="Todos",datos_base!$F$10+datos_base!$F$24,0))*parametros_manuales!$K$100+parametros_manuales!$F$26*(datos_base!$F$4+datos_base!$F$20+IF(parametros_manuales!$H$26="Todos",datos_base!$F$11+datos_base!$F$25,0))*parametros_manuales!$K$105+parametros_manuales!$G$26*(datos_base!$F$5+datos_base!$F$21+IF(parametros_manuales!$H$26="Todos",datos_base!$F$12+datos_base!$F$26,0))*parametros_manuales!$K$110)*parametros_manuales!$I$26*parametros_manuales!$J$26</f>
        <v>2221.2414895215</v>
      </c>
      <c r="L117" s="9" t="n">
        <f aca="false">(parametros_manuales!$D$26*(datos_base!$F$2+datos_base!$F$18+IF(parametros_manuales!$H$26="Todos",datos_base!$F$9+datos_base!$F$23,0))*parametros_manuales!$L$95+parametros_manuales!$E$26*(datos_base!$F$3+datos_base!$F$19+IF(parametros_manuales!$H$26="Todos",datos_base!$F$10+datos_base!$F$24,0))*parametros_manuales!$L$100+parametros_manuales!$F$26*(datos_base!$F$4+datos_base!$F$20+IF(parametros_manuales!$H$26="Todos",datos_base!$F$11+datos_base!$F$25,0))*parametros_manuales!$L$105+parametros_manuales!$G$26*(datos_base!$F$5+datos_base!$F$21+IF(parametros_manuales!$H$26="Todos",datos_base!$F$12+datos_base!$F$26,0))*parametros_manuales!$L$110)*parametros_manuales!$I$26*parametros_manuales!$J$26</f>
        <v>2351.902753611</v>
      </c>
      <c r="M117" s="9" t="n">
        <f aca="false">(parametros_manuales!$D$26*(datos_base!$F$2+datos_base!$F$18+IF(parametros_manuales!$H$26="Todos",datos_base!$F$9+datos_base!$F$23,0))*parametros_manuales!$M$95+parametros_manuales!$E$26*(datos_base!$F$3+datos_base!$F$19+IF(parametros_manuales!$H$26="Todos",datos_base!$F$10+datos_base!$F$24,0))*parametros_manuales!$M$100+parametros_manuales!$F$26*(datos_base!$F$4+datos_base!$F$20+IF(parametros_manuales!$H$26="Todos",datos_base!$F$11+datos_base!$F$25,0))*parametros_manuales!$M$105+parametros_manuales!$G$26*(datos_base!$F$5+datos_base!$F$21+IF(parametros_manuales!$H$26="Todos",datos_base!$F$12+datos_base!$F$26,0))*parametros_manuales!$M$110)*parametros_manuales!$I$26*parametros_manuales!$J$26</f>
        <v>2351.902753611</v>
      </c>
      <c r="N117" s="9" t="n">
        <f aca="false">SUM(B117:M117)</f>
        <v>26132.2528179</v>
      </c>
      <c r="O117" s="9" t="n">
        <f aca="false">MAX(B117:M117)</f>
        <v>2351.902753611</v>
      </c>
      <c r="P117" s="43" t="n">
        <f aca="false">O117/(parametros_manuales!$B$7)</f>
        <v>15.67935169074</v>
      </c>
      <c r="Q117" s="8" t="str">
        <f aca="false">IF(O117=0,"-",INDEX($B$109:$M$109,MATCH(O117,B117:M117,0)))</f>
        <v>Ene</v>
      </c>
    </row>
    <row r="118" customFormat="false" ht="14.25" hidden="false" customHeight="true" outlineLevel="0" collapsed="false">
      <c r="A118" s="8" t="str">
        <f aca="false">parametros_manuales!$B$27</f>
        <v>Soldadura longitudinal</v>
      </c>
      <c r="B118" s="9" t="n">
        <f aca="false">(parametros_manuales!$D$27*(datos_base!$F$2+datos_base!$F$18+IF(parametros_manuales!$H$27="Todos",datos_base!$F$9+datos_base!$F$23,0))*parametros_manuales!$B$95+parametros_manuales!$E$27*(datos_base!$F$3+datos_base!$F$19+IF(parametros_manuales!$H$27="Todos",datos_base!$F$10+datos_base!$F$24,0))*parametros_manuales!$B$100+parametros_manuales!$F$27*(datos_base!$F$4+datos_base!$F$20+IF(parametros_manuales!$H$27="Todos",datos_base!$F$11+datos_base!$F$25,0))*parametros_manuales!$B$105+parametros_manuales!$G$27*(datos_base!$F$5+datos_base!$F$21+IF(parametros_manuales!$H$27="Todos",datos_base!$F$12+datos_base!$F$26,0))*parametros_manuales!$B$110)*parametros_manuales!$I$27*parametros_manuales!$J$27</f>
        <v>2351.902753611</v>
      </c>
      <c r="C118" s="9" t="n">
        <f aca="false">(parametros_manuales!$D$27*(datos_base!$F$2+datos_base!$F$18+IF(parametros_manuales!$H$27="Todos",datos_base!$F$9+datos_base!$F$23,0))*parametros_manuales!$C$95+parametros_manuales!$E$27*(datos_base!$F$3+datos_base!$F$19+IF(parametros_manuales!$H$27="Todos",datos_base!$F$10+datos_base!$F$24,0))*parametros_manuales!$C$100+parametros_manuales!$F$27*(datos_base!$F$4+datos_base!$F$20+IF(parametros_manuales!$H$27="Todos",datos_base!$F$11+datos_base!$F$25,0))*parametros_manuales!$C$105+parametros_manuales!$G$27*(datos_base!$F$5+datos_base!$F$21+IF(parametros_manuales!$H$27="Todos",datos_base!$F$12+datos_base!$F$26,0))*parametros_manuales!$C$110)*parametros_manuales!$I$27*parametros_manuales!$J$27</f>
        <v>2090.580225432</v>
      </c>
      <c r="D118" s="9" t="n">
        <f aca="false">(parametros_manuales!$D$27*(datos_base!$F$2+datos_base!$F$18+IF(parametros_manuales!$H$27="Todos",datos_base!$F$9+datos_base!$F$23,0))*parametros_manuales!$D$95+parametros_manuales!$E$27*(datos_base!$F$3+datos_base!$F$19+IF(parametros_manuales!$H$27="Todos",datos_base!$F$10+datos_base!$F$24,0))*parametros_manuales!$D$100+parametros_manuales!$F$27*(datos_base!$F$4+datos_base!$F$20+IF(parametros_manuales!$H$27="Todos",datos_base!$F$11+datos_base!$F$25,0))*parametros_manuales!$D$105+parametros_manuales!$G$27*(datos_base!$F$5+datos_base!$F$21+IF(parametros_manuales!$H$27="Todos",datos_base!$F$12+datos_base!$F$26,0))*parametros_manuales!$D$110)*parametros_manuales!$I$27*parametros_manuales!$J$27</f>
        <v>2221.2414895215</v>
      </c>
      <c r="E118" s="9" t="n">
        <f aca="false">(parametros_manuales!$D$27*(datos_base!$F$2+datos_base!$F$18+IF(parametros_manuales!$H$27="Todos",datos_base!$F$9+datos_base!$F$23,0))*parametros_manuales!$E$95+parametros_manuales!$E$27*(datos_base!$F$3+datos_base!$F$19+IF(parametros_manuales!$H$27="Todos",datos_base!$F$10+datos_base!$F$24,0))*parametros_manuales!$E$100+parametros_manuales!$F$27*(datos_base!$F$4+datos_base!$F$20+IF(parametros_manuales!$H$27="Todos",datos_base!$F$11+datos_base!$F$25,0))*parametros_manuales!$E$105+parametros_manuales!$G$27*(datos_base!$F$5+datos_base!$F$21+IF(parametros_manuales!$H$27="Todos",datos_base!$F$12+datos_base!$F$26,0))*parametros_manuales!$E$110)*parametros_manuales!$I$27*parametros_manuales!$J$27</f>
        <v>2221.2414895215</v>
      </c>
      <c r="F118" s="9" t="n">
        <f aca="false">(parametros_manuales!$D$27*(datos_base!$F$2+datos_base!$F$18+IF(parametros_manuales!$H$27="Todos",datos_base!$F$9+datos_base!$F$23,0))*parametros_manuales!$F$95+parametros_manuales!$E$27*(datos_base!$F$3+datos_base!$F$19+IF(parametros_manuales!$H$27="Todos",datos_base!$F$10+datos_base!$F$24,0))*parametros_manuales!$F$100+parametros_manuales!$F$27*(datos_base!$F$4+datos_base!$F$20+IF(parametros_manuales!$H$27="Todos",datos_base!$F$11+datos_base!$F$25,0))*parametros_manuales!$F$105+parametros_manuales!$G$27*(datos_base!$F$5+datos_base!$F$21+IF(parametros_manuales!$H$27="Todos",datos_base!$F$12+datos_base!$F$26,0))*parametros_manuales!$F$110)*parametros_manuales!$I$27*parametros_manuales!$J$27</f>
        <v>2090.580225432</v>
      </c>
      <c r="G118" s="9" t="n">
        <f aca="false">(parametros_manuales!$D$27*(datos_base!$F$2+datos_base!$F$18+IF(parametros_manuales!$H$27="Todos",datos_base!$F$9+datos_base!$F$23,0))*parametros_manuales!$G$95+parametros_manuales!$E$27*(datos_base!$F$3+datos_base!$F$19+IF(parametros_manuales!$H$27="Todos",datos_base!$F$10+datos_base!$F$24,0))*parametros_manuales!$G$100+parametros_manuales!$F$27*(datos_base!$F$4+datos_base!$F$20+IF(parametros_manuales!$H$27="Todos",datos_base!$F$11+datos_base!$F$25,0))*parametros_manuales!$G$105+parametros_manuales!$G$27*(datos_base!$F$5+datos_base!$F$21+IF(parametros_manuales!$H$27="Todos",datos_base!$F$12+datos_base!$F$26,0))*parametros_manuales!$G$110)*parametros_manuales!$I$27*parametros_manuales!$J$27</f>
        <v>1959.9189613425</v>
      </c>
      <c r="H118" s="9" t="n">
        <f aca="false">(parametros_manuales!$D$27*(datos_base!$F$2+datos_base!$F$18+IF(parametros_manuales!$H$27="Todos",datos_base!$F$9+datos_base!$F$23,0))*parametros_manuales!$H$95+parametros_manuales!$E$27*(datos_base!$F$3+datos_base!$F$19+IF(parametros_manuales!$H$27="Todos",datos_base!$F$10+datos_base!$F$24,0))*parametros_manuales!$H$100+parametros_manuales!$F$27*(datos_base!$F$4+datos_base!$F$20+IF(parametros_manuales!$H$27="Todos",datos_base!$F$11+datos_base!$F$25,0))*parametros_manuales!$H$105+parametros_manuales!$G$27*(datos_base!$F$5+datos_base!$F$21+IF(parametros_manuales!$H$27="Todos",datos_base!$F$12+datos_base!$F$26,0))*parametros_manuales!$H$110)*parametros_manuales!$I$27*parametros_manuales!$J$27</f>
        <v>2090.580225432</v>
      </c>
      <c r="I118" s="9" t="n">
        <f aca="false">(parametros_manuales!$D$27*(datos_base!$F$2+datos_base!$F$18+IF(parametros_manuales!$H$27="Todos",datos_base!$F$9+datos_base!$F$23,0))*parametros_manuales!$I$95+parametros_manuales!$E$27*(datos_base!$F$3+datos_base!$F$19+IF(parametros_manuales!$H$27="Todos",datos_base!$F$10+datos_base!$F$24,0))*parametros_manuales!$I$100+parametros_manuales!$F$27*(datos_base!$F$4+datos_base!$F$20+IF(parametros_manuales!$H$27="Todos",datos_base!$F$11+datos_base!$F$25,0))*parametros_manuales!$I$105+parametros_manuales!$G$27*(datos_base!$F$5+datos_base!$F$21+IF(parametros_manuales!$H$27="Todos",datos_base!$F$12+datos_base!$F$26,0))*parametros_manuales!$I$110)*parametros_manuales!$I$27*parametros_manuales!$J$27</f>
        <v>2090.580225432</v>
      </c>
      <c r="J118" s="9" t="n">
        <f aca="false">(parametros_manuales!$D$27*(datos_base!$F$2+datos_base!$F$18+IF(parametros_manuales!$H$27="Todos",datos_base!$F$9+datos_base!$F$23,0))*parametros_manuales!$J$95+parametros_manuales!$E$27*(datos_base!$F$3+datos_base!$F$19+IF(parametros_manuales!$H$27="Todos",datos_base!$F$10+datos_base!$F$24,0))*parametros_manuales!$J$100+parametros_manuales!$F$27*(datos_base!$F$4+datos_base!$F$20+IF(parametros_manuales!$H$27="Todos",datos_base!$F$11+datos_base!$F$25,0))*parametros_manuales!$J$105+parametros_manuales!$G$27*(datos_base!$F$5+datos_base!$F$21+IF(parametros_manuales!$H$27="Todos",datos_base!$F$12+datos_base!$F$26,0))*parametros_manuales!$J$110)*parametros_manuales!$I$27*parametros_manuales!$J$27</f>
        <v>2090.580225432</v>
      </c>
      <c r="K118" s="9" t="n">
        <f aca="false">(parametros_manuales!$D$27*(datos_base!$F$2+datos_base!$F$18+IF(parametros_manuales!$H$27="Todos",datos_base!$F$9+datos_base!$F$23,0))*parametros_manuales!$K$95+parametros_manuales!$E$27*(datos_base!$F$3+datos_base!$F$19+IF(parametros_manuales!$H$27="Todos",datos_base!$F$10+datos_base!$F$24,0))*parametros_manuales!$K$100+parametros_manuales!$F$27*(datos_base!$F$4+datos_base!$F$20+IF(parametros_manuales!$H$27="Todos",datos_base!$F$11+datos_base!$F$25,0))*parametros_manuales!$K$105+parametros_manuales!$G$27*(datos_base!$F$5+datos_base!$F$21+IF(parametros_manuales!$H$27="Todos",datos_base!$F$12+datos_base!$F$26,0))*parametros_manuales!$K$110)*parametros_manuales!$I$27*parametros_manuales!$J$27</f>
        <v>2221.2414895215</v>
      </c>
      <c r="L118" s="9" t="n">
        <f aca="false">(parametros_manuales!$D$27*(datos_base!$F$2+datos_base!$F$18+IF(parametros_manuales!$H$27="Todos",datos_base!$F$9+datos_base!$F$23,0))*parametros_manuales!$L$95+parametros_manuales!$E$27*(datos_base!$F$3+datos_base!$F$19+IF(parametros_manuales!$H$27="Todos",datos_base!$F$10+datos_base!$F$24,0))*parametros_manuales!$L$100+parametros_manuales!$F$27*(datos_base!$F$4+datos_base!$F$20+IF(parametros_manuales!$H$27="Todos",datos_base!$F$11+datos_base!$F$25,0))*parametros_manuales!$L$105+parametros_manuales!$G$27*(datos_base!$F$5+datos_base!$F$21+IF(parametros_manuales!$H$27="Todos",datos_base!$F$12+datos_base!$F$26,0))*parametros_manuales!$L$110)*parametros_manuales!$I$27*parametros_manuales!$J$27</f>
        <v>2351.902753611</v>
      </c>
      <c r="M118" s="9" t="n">
        <f aca="false">(parametros_manuales!$D$27*(datos_base!$F$2+datos_base!$F$18+IF(parametros_manuales!$H$27="Todos",datos_base!$F$9+datos_base!$F$23,0))*parametros_manuales!$M$95+parametros_manuales!$E$27*(datos_base!$F$3+datos_base!$F$19+IF(parametros_manuales!$H$27="Todos",datos_base!$F$10+datos_base!$F$24,0))*parametros_manuales!$M$100+parametros_manuales!$F$27*(datos_base!$F$4+datos_base!$F$20+IF(parametros_manuales!$H$27="Todos",datos_base!$F$11+datos_base!$F$25,0))*parametros_manuales!$M$105+parametros_manuales!$G$27*(datos_base!$F$5+datos_base!$F$21+IF(parametros_manuales!$H$27="Todos",datos_base!$F$12+datos_base!$F$26,0))*parametros_manuales!$M$110)*parametros_manuales!$I$27*parametros_manuales!$J$27</f>
        <v>2351.902753611</v>
      </c>
      <c r="N118" s="9" t="n">
        <f aca="false">SUM(B118:M118)</f>
        <v>26132.2528179</v>
      </c>
      <c r="O118" s="9" t="n">
        <f aca="false">MAX(B118:M118)</f>
        <v>2351.902753611</v>
      </c>
      <c r="P118" s="43" t="n">
        <f aca="false">O118/(parametros_manuales!$B$7)</f>
        <v>15.67935169074</v>
      </c>
      <c r="Q118" s="8" t="str">
        <f aca="false">IF(O118=0,"-",INDEX($B$109:$M$109,MATCH(O118,B118:M118,0)))</f>
        <v>Ene</v>
      </c>
    </row>
    <row r="119" customFormat="false" ht="14.25" hidden="false" customHeight="true" outlineLevel="0" collapsed="false">
      <c r="A119" s="8" t="str">
        <f aca="false">parametros_manuales!$B$28</f>
        <v>Encastre de fondo</v>
      </c>
      <c r="B119" s="9" t="n">
        <f aca="false">(parametros_manuales!$D$28*(datos_base!$F$2+datos_base!$F$18+IF(parametros_manuales!$H$28="Todos",datos_base!$F$9+datos_base!$F$23,0))*parametros_manuales!$B$95+parametros_manuales!$E$28*(datos_base!$F$3+datos_base!$F$19+IF(parametros_manuales!$H$28="Todos",datos_base!$F$10+datos_base!$F$24,0))*parametros_manuales!$B$100+parametros_manuales!$F$28*(datos_base!$F$4+datos_base!$F$20+IF(parametros_manuales!$H$28="Todos",datos_base!$F$11+datos_base!$F$25,0))*parametros_manuales!$B$105+parametros_manuales!$G$28*(datos_base!$F$5+datos_base!$F$21+IF(parametros_manuales!$H$28="Todos",datos_base!$F$12+datos_base!$F$26,0))*parametros_manuales!$B$110)*parametros_manuales!$I$28*parametros_manuales!$J$28</f>
        <v>7942.291697511</v>
      </c>
      <c r="C119" s="9" t="n">
        <f aca="false">(parametros_manuales!$D$28*(datos_base!$F$2+datos_base!$F$18+IF(parametros_manuales!$H$28="Todos",datos_base!$F$9+datos_base!$F$23,0))*parametros_manuales!$C$95+parametros_manuales!$E$28*(datos_base!$F$3+datos_base!$F$19+IF(parametros_manuales!$H$28="Todos",datos_base!$F$10+datos_base!$F$24,0))*parametros_manuales!$C$100+parametros_manuales!$F$28*(datos_base!$F$4+datos_base!$F$20+IF(parametros_manuales!$H$28="Todos",datos_base!$F$11+datos_base!$F$25,0))*parametros_manuales!$C$105+parametros_manuales!$G$28*(datos_base!$F$5+datos_base!$F$21+IF(parametros_manuales!$H$28="Todos",datos_base!$F$12+datos_base!$F$26,0))*parametros_manuales!$C$110)*parametros_manuales!$I$28*parametros_manuales!$J$28</f>
        <v>7680.969169332</v>
      </c>
      <c r="D119" s="9" t="n">
        <f aca="false">(parametros_manuales!$D$28*(datos_base!$F$2+datos_base!$F$18+IF(parametros_manuales!$H$28="Todos",datos_base!$F$9+datos_base!$F$23,0))*parametros_manuales!$D$95+parametros_manuales!$E$28*(datos_base!$F$3+datos_base!$F$19+IF(parametros_manuales!$H$28="Todos",datos_base!$F$10+datos_base!$F$24,0))*parametros_manuales!$D$100+parametros_manuales!$F$28*(datos_base!$F$4+datos_base!$F$20+IF(parametros_manuales!$H$28="Todos",datos_base!$F$11+datos_base!$F$25,0))*parametros_manuales!$D$105+parametros_manuales!$G$28*(datos_base!$F$5+datos_base!$F$21+IF(parametros_manuales!$H$28="Todos",datos_base!$F$12+datos_base!$F$26,0))*parametros_manuales!$D$110)*parametros_manuales!$I$28*parametros_manuales!$J$28</f>
        <v>7190.4761063215</v>
      </c>
      <c r="E119" s="9" t="n">
        <f aca="false">(parametros_manuales!$D$28*(datos_base!$F$2+datos_base!$F$18+IF(parametros_manuales!$H$28="Todos",datos_base!$F$9+datos_base!$F$23,0))*parametros_manuales!$E$95+parametros_manuales!$E$28*(datos_base!$F$3+datos_base!$F$19+IF(parametros_manuales!$H$28="Todos",datos_base!$F$10+datos_base!$F$24,0))*parametros_manuales!$E$100+parametros_manuales!$F$28*(datos_base!$F$4+datos_base!$F$20+IF(parametros_manuales!$H$28="Todos",datos_base!$F$11+datos_base!$F$25,0))*parametros_manuales!$E$105+parametros_manuales!$G$28*(datos_base!$F$5+datos_base!$F$21+IF(parametros_manuales!$H$28="Todos",datos_base!$F$12+datos_base!$F$26,0))*parametros_manuales!$E$110)*parametros_manuales!$I$28*parametros_manuales!$J$28</f>
        <v>6879.8989427715</v>
      </c>
      <c r="F119" s="9" t="n">
        <f aca="false">(parametros_manuales!$D$28*(datos_base!$F$2+datos_base!$F$18+IF(parametros_manuales!$H$28="Todos",datos_base!$F$9+datos_base!$F$23,0))*parametros_manuales!$F$95+parametros_manuales!$E$28*(datos_base!$F$3+datos_base!$F$19+IF(parametros_manuales!$H$28="Todos",datos_base!$F$10+datos_base!$F$24,0))*parametros_manuales!$F$100+parametros_manuales!$F$28*(datos_base!$F$4+datos_base!$F$20+IF(parametros_manuales!$H$28="Todos",datos_base!$F$11+datos_base!$F$25,0))*parametros_manuales!$F$105+parametros_manuales!$G$28*(datos_base!$F$5+datos_base!$F$21+IF(parametros_manuales!$H$28="Todos",datos_base!$F$12+datos_base!$F$26,0))*parametros_manuales!$F$110)*parametros_manuales!$I$28*parametros_manuales!$J$28</f>
        <v>6438.660515132</v>
      </c>
      <c r="G119" s="9" t="n">
        <f aca="false">(parametros_manuales!$D$28*(datos_base!$F$2+datos_base!$F$18+IF(parametros_manuales!$H$28="Todos",datos_base!$F$9+datos_base!$F$23,0))*parametros_manuales!$G$95+parametros_manuales!$E$28*(datos_base!$F$3+datos_base!$F$19+IF(parametros_manuales!$H$28="Todos",datos_base!$F$10+datos_base!$F$24,0))*parametros_manuales!$G$100+parametros_manuales!$F$28*(datos_base!$F$4+datos_base!$F$20+IF(parametros_manuales!$H$28="Todos",datos_base!$F$11+datos_base!$F$25,0))*parametros_manuales!$G$105+parametros_manuales!$G$28*(datos_base!$F$5+datos_base!$F$21+IF(parametros_manuales!$H$28="Todos",datos_base!$F$12+datos_base!$F$26,0))*parametros_manuales!$G$110)*parametros_manuales!$I$28*parametros_manuales!$J$28</f>
        <v>6307.9992510425</v>
      </c>
      <c r="H119" s="9" t="n">
        <f aca="false">(parametros_manuales!$D$28*(datos_base!$F$2+datos_base!$F$18+IF(parametros_manuales!$H$28="Todos",datos_base!$F$9+datos_base!$F$23,0))*parametros_manuales!$H$95+parametros_manuales!$E$28*(datos_base!$F$3+datos_base!$F$19+IF(parametros_manuales!$H$28="Todos",datos_base!$F$10+datos_base!$F$24,0))*parametros_manuales!$H$100+parametros_manuales!$F$28*(datos_base!$F$4+datos_base!$F$20+IF(parametros_manuales!$H$28="Todos",datos_base!$F$11+datos_base!$F$25,0))*parametros_manuales!$H$105+parametros_manuales!$G$28*(datos_base!$F$5+datos_base!$F$21+IF(parametros_manuales!$H$28="Todos",datos_base!$F$12+datos_base!$F$26,0))*parametros_manuales!$H$110)*parametros_manuales!$I$28*parametros_manuales!$J$28</f>
        <v>6749.237678682</v>
      </c>
      <c r="I119" s="9" t="n">
        <f aca="false">(parametros_manuales!$D$28*(datos_base!$F$2+datos_base!$F$18+IF(parametros_manuales!$H$28="Todos",datos_base!$F$9+datos_base!$F$23,0))*parametros_manuales!$I$95+parametros_manuales!$E$28*(datos_base!$F$3+datos_base!$F$19+IF(parametros_manuales!$H$28="Todos",datos_base!$F$10+datos_base!$F$24,0))*parametros_manuales!$I$100+parametros_manuales!$F$28*(datos_base!$F$4+datos_base!$F$20+IF(parametros_manuales!$H$28="Todos",datos_base!$F$11+datos_base!$F$25,0))*parametros_manuales!$I$105+parametros_manuales!$G$28*(datos_base!$F$5+datos_base!$F$21+IF(parametros_manuales!$H$28="Todos",datos_base!$F$12+datos_base!$F$26,0))*parametros_manuales!$I$110)*parametros_manuales!$I$28*parametros_manuales!$J$28</f>
        <v>7680.969169332</v>
      </c>
      <c r="J119" s="9" t="n">
        <f aca="false">(parametros_manuales!$D$28*(datos_base!$F$2+datos_base!$F$18+IF(parametros_manuales!$H$28="Todos",datos_base!$F$9+datos_base!$F$23,0))*parametros_manuales!$J$95+parametros_manuales!$E$28*(datos_base!$F$3+datos_base!$F$19+IF(parametros_manuales!$H$28="Todos",datos_base!$F$10+datos_base!$F$24,0))*parametros_manuales!$J$100+parametros_manuales!$F$28*(datos_base!$F$4+datos_base!$F$20+IF(parametros_manuales!$H$28="Todos",datos_base!$F$11+datos_base!$F$25,0))*parametros_manuales!$J$105+parametros_manuales!$G$28*(datos_base!$F$5+datos_base!$F$21+IF(parametros_manuales!$H$28="Todos",datos_base!$F$12+datos_base!$F$26,0))*parametros_manuales!$J$110)*parametros_manuales!$I$28*parametros_manuales!$J$28</f>
        <v>7680.969169332</v>
      </c>
      <c r="K119" s="9" t="n">
        <f aca="false">(parametros_manuales!$D$28*(datos_base!$F$2+datos_base!$F$18+IF(parametros_manuales!$H$28="Todos",datos_base!$F$9+datos_base!$F$23,0))*parametros_manuales!$K$95+parametros_manuales!$E$28*(datos_base!$F$3+datos_base!$F$19+IF(parametros_manuales!$H$28="Todos",datos_base!$F$10+datos_base!$F$24,0))*parametros_manuales!$K$100+parametros_manuales!$F$28*(datos_base!$F$4+datos_base!$F$20+IF(parametros_manuales!$H$28="Todos",datos_base!$F$11+datos_base!$F$25,0))*parametros_manuales!$K$105+parametros_manuales!$G$28*(datos_base!$F$5+datos_base!$F$21+IF(parametros_manuales!$H$28="Todos",datos_base!$F$12+datos_base!$F$26,0))*parametros_manuales!$K$110)*parametros_manuales!$I$28*parametros_manuales!$J$28</f>
        <v>7811.6304334215</v>
      </c>
      <c r="L119" s="9" t="n">
        <f aca="false">(parametros_manuales!$D$28*(datos_base!$F$2+datos_base!$F$18+IF(parametros_manuales!$H$28="Todos",datos_base!$F$9+datos_base!$F$23,0))*parametros_manuales!$L$95+parametros_manuales!$E$28*(datos_base!$F$3+datos_base!$F$19+IF(parametros_manuales!$H$28="Todos",datos_base!$F$10+datos_base!$F$24,0))*parametros_manuales!$L$100+parametros_manuales!$F$28*(datos_base!$F$4+datos_base!$F$20+IF(parametros_manuales!$H$28="Todos",datos_base!$F$11+datos_base!$F$25,0))*parametros_manuales!$L$105+parametros_manuales!$G$28*(datos_base!$F$5+datos_base!$F$21+IF(parametros_manuales!$H$28="Todos",datos_base!$F$12+datos_base!$F$26,0))*parametros_manuales!$L$110)*parametros_manuales!$I$28*parametros_manuales!$J$28</f>
        <v>7942.291697511</v>
      </c>
      <c r="M119" s="9" t="n">
        <f aca="false">(parametros_manuales!$D$28*(datos_base!$F$2+datos_base!$F$18+IF(parametros_manuales!$H$28="Todos",datos_base!$F$9+datos_base!$F$23,0))*parametros_manuales!$M$95+parametros_manuales!$E$28*(datos_base!$F$3+datos_base!$F$19+IF(parametros_manuales!$H$28="Todos",datos_base!$F$10+datos_base!$F$24,0))*parametros_manuales!$M$100+parametros_manuales!$F$28*(datos_base!$F$4+datos_base!$F$20+IF(parametros_manuales!$H$28="Todos",datos_base!$F$11+datos_base!$F$25,0))*parametros_manuales!$M$105+parametros_manuales!$G$28*(datos_base!$F$5+datos_base!$F$21+IF(parametros_manuales!$H$28="Todos",datos_base!$F$12+datos_base!$F$26,0))*parametros_manuales!$M$110)*parametros_manuales!$I$28*parametros_manuales!$J$28</f>
        <v>7942.291697511</v>
      </c>
      <c r="N119" s="9" t="n">
        <f aca="false">SUM(B119:M119)</f>
        <v>88247.6855279</v>
      </c>
      <c r="O119" s="9" t="n">
        <f aca="false">MAX(B119:M119)</f>
        <v>7942.291697511</v>
      </c>
      <c r="P119" s="43" t="n">
        <f aca="false">O119/(parametros_manuales!$B$7)</f>
        <v>52.94861131674</v>
      </c>
      <c r="Q119" s="8" t="str">
        <f aca="false">IF(O119=0,"-",INDEX($B$109:$M$109,MATCH(O119,B119:M119,0)))</f>
        <v>Ene</v>
      </c>
    </row>
    <row r="120" customFormat="false" ht="14.25" hidden="false" customHeight="true" outlineLevel="0" collapsed="false">
      <c r="A120" s="8" t="str">
        <f aca="false">parametros_manuales!$B$29</f>
        <v>Bordoneado</v>
      </c>
      <c r="B120" s="9" t="n">
        <f aca="false">(parametros_manuales!$D$29*(datos_base!$F$2+datos_base!$F$18+IF(parametros_manuales!$H$29="Todos",datos_base!$F$9+datos_base!$F$23,0))*parametros_manuales!$B$95+parametros_manuales!$E$29*(datos_base!$F$3+datos_base!$F$19+IF(parametros_manuales!$H$29="Todos",datos_base!$F$10+datos_base!$F$24,0))*parametros_manuales!$B$100+parametros_manuales!$F$29*(datos_base!$F$4+datos_base!$F$20+IF(parametros_manuales!$H$29="Todos",datos_base!$F$11+datos_base!$F$25,0))*parametros_manuales!$B$105+parametros_manuales!$G$29*(datos_base!$F$5+datos_base!$F$21+IF(parametros_manuales!$H$29="Todos",datos_base!$F$12+datos_base!$F$26,0))*parametros_manuales!$B$110)*parametros_manuales!$I$29*parametros_manuales!$J$29</f>
        <v>7942.291697511</v>
      </c>
      <c r="C120" s="9" t="n">
        <f aca="false">(parametros_manuales!$D$29*(datos_base!$F$2+datos_base!$F$18+IF(parametros_manuales!$H$29="Todos",datos_base!$F$9+datos_base!$F$23,0))*parametros_manuales!$C$95+parametros_manuales!$E$29*(datos_base!$F$3+datos_base!$F$19+IF(parametros_manuales!$H$29="Todos",datos_base!$F$10+datos_base!$F$24,0))*parametros_manuales!$C$100+parametros_manuales!$F$29*(datos_base!$F$4+datos_base!$F$20+IF(parametros_manuales!$H$29="Todos",datos_base!$F$11+datos_base!$F$25,0))*parametros_manuales!$C$105+parametros_manuales!$G$29*(datos_base!$F$5+datos_base!$F$21+IF(parametros_manuales!$H$29="Todos",datos_base!$F$12+datos_base!$F$26,0))*parametros_manuales!$C$110)*parametros_manuales!$I$29*parametros_manuales!$J$29</f>
        <v>7680.969169332</v>
      </c>
      <c r="D120" s="9" t="n">
        <f aca="false">(parametros_manuales!$D$29*(datos_base!$F$2+datos_base!$F$18+IF(parametros_manuales!$H$29="Todos",datos_base!$F$9+datos_base!$F$23,0))*parametros_manuales!$D$95+parametros_manuales!$E$29*(datos_base!$F$3+datos_base!$F$19+IF(parametros_manuales!$H$29="Todos",datos_base!$F$10+datos_base!$F$24,0))*parametros_manuales!$D$100+parametros_manuales!$F$29*(datos_base!$F$4+datos_base!$F$20+IF(parametros_manuales!$H$29="Todos",datos_base!$F$11+datos_base!$F$25,0))*parametros_manuales!$D$105+parametros_manuales!$G$29*(datos_base!$F$5+datos_base!$F$21+IF(parametros_manuales!$H$29="Todos",datos_base!$F$12+datos_base!$F$26,0))*parametros_manuales!$D$110)*parametros_manuales!$I$29*parametros_manuales!$J$29</f>
        <v>7190.4761063215</v>
      </c>
      <c r="E120" s="9" t="n">
        <f aca="false">(parametros_manuales!$D$29*(datos_base!$F$2+datos_base!$F$18+IF(parametros_manuales!$H$29="Todos",datos_base!$F$9+datos_base!$F$23,0))*parametros_manuales!$E$95+parametros_manuales!$E$29*(datos_base!$F$3+datos_base!$F$19+IF(parametros_manuales!$H$29="Todos",datos_base!$F$10+datos_base!$F$24,0))*parametros_manuales!$E$100+parametros_manuales!$F$29*(datos_base!$F$4+datos_base!$F$20+IF(parametros_manuales!$H$29="Todos",datos_base!$F$11+datos_base!$F$25,0))*parametros_manuales!$E$105+parametros_manuales!$G$29*(datos_base!$F$5+datos_base!$F$21+IF(parametros_manuales!$H$29="Todos",datos_base!$F$12+datos_base!$F$26,0))*parametros_manuales!$E$110)*parametros_manuales!$I$29*parametros_manuales!$J$29</f>
        <v>6879.8989427715</v>
      </c>
      <c r="F120" s="9" t="n">
        <f aca="false">(parametros_manuales!$D$29*(datos_base!$F$2+datos_base!$F$18+IF(parametros_manuales!$H$29="Todos",datos_base!$F$9+datos_base!$F$23,0))*parametros_manuales!$F$95+parametros_manuales!$E$29*(datos_base!$F$3+datos_base!$F$19+IF(parametros_manuales!$H$29="Todos",datos_base!$F$10+datos_base!$F$24,0))*parametros_manuales!$F$100+parametros_manuales!$F$29*(datos_base!$F$4+datos_base!$F$20+IF(parametros_manuales!$H$29="Todos",datos_base!$F$11+datos_base!$F$25,0))*parametros_manuales!$F$105+parametros_manuales!$G$29*(datos_base!$F$5+datos_base!$F$21+IF(parametros_manuales!$H$29="Todos",datos_base!$F$12+datos_base!$F$26,0))*parametros_manuales!$F$110)*parametros_manuales!$I$29*parametros_manuales!$J$29</f>
        <v>6438.660515132</v>
      </c>
      <c r="G120" s="9" t="n">
        <f aca="false">(parametros_manuales!$D$29*(datos_base!$F$2+datos_base!$F$18+IF(parametros_manuales!$H$29="Todos",datos_base!$F$9+datos_base!$F$23,0))*parametros_manuales!$G$95+parametros_manuales!$E$29*(datos_base!$F$3+datos_base!$F$19+IF(parametros_manuales!$H$29="Todos",datos_base!$F$10+datos_base!$F$24,0))*parametros_manuales!$G$100+parametros_manuales!$F$29*(datos_base!$F$4+datos_base!$F$20+IF(parametros_manuales!$H$29="Todos",datos_base!$F$11+datos_base!$F$25,0))*parametros_manuales!$G$105+parametros_manuales!$G$29*(datos_base!$F$5+datos_base!$F$21+IF(parametros_manuales!$H$29="Todos",datos_base!$F$12+datos_base!$F$26,0))*parametros_manuales!$G$110)*parametros_manuales!$I$29*parametros_manuales!$J$29</f>
        <v>6307.9992510425</v>
      </c>
      <c r="H120" s="9" t="n">
        <f aca="false">(parametros_manuales!$D$29*(datos_base!$F$2+datos_base!$F$18+IF(parametros_manuales!$H$29="Todos",datos_base!$F$9+datos_base!$F$23,0))*parametros_manuales!$H$95+parametros_manuales!$E$29*(datos_base!$F$3+datos_base!$F$19+IF(parametros_manuales!$H$29="Todos",datos_base!$F$10+datos_base!$F$24,0))*parametros_manuales!$H$100+parametros_manuales!$F$29*(datos_base!$F$4+datos_base!$F$20+IF(parametros_manuales!$H$29="Todos",datos_base!$F$11+datos_base!$F$25,0))*parametros_manuales!$H$105+parametros_manuales!$G$29*(datos_base!$F$5+datos_base!$F$21+IF(parametros_manuales!$H$29="Todos",datos_base!$F$12+datos_base!$F$26,0))*parametros_manuales!$H$110)*parametros_manuales!$I$29*parametros_manuales!$J$29</f>
        <v>6749.237678682</v>
      </c>
      <c r="I120" s="9" t="n">
        <f aca="false">(parametros_manuales!$D$29*(datos_base!$F$2+datos_base!$F$18+IF(parametros_manuales!$H$29="Todos",datos_base!$F$9+datos_base!$F$23,0))*parametros_manuales!$I$95+parametros_manuales!$E$29*(datos_base!$F$3+datos_base!$F$19+IF(parametros_manuales!$H$29="Todos",datos_base!$F$10+datos_base!$F$24,0))*parametros_manuales!$I$100+parametros_manuales!$F$29*(datos_base!$F$4+datos_base!$F$20+IF(parametros_manuales!$H$29="Todos",datos_base!$F$11+datos_base!$F$25,0))*parametros_manuales!$I$105+parametros_manuales!$G$29*(datos_base!$F$5+datos_base!$F$21+IF(parametros_manuales!$H$29="Todos",datos_base!$F$12+datos_base!$F$26,0))*parametros_manuales!$I$110)*parametros_manuales!$I$29*parametros_manuales!$J$29</f>
        <v>7680.969169332</v>
      </c>
      <c r="J120" s="9" t="n">
        <f aca="false">(parametros_manuales!$D$29*(datos_base!$F$2+datos_base!$F$18+IF(parametros_manuales!$H$29="Todos",datos_base!$F$9+datos_base!$F$23,0))*parametros_manuales!$J$95+parametros_manuales!$E$29*(datos_base!$F$3+datos_base!$F$19+IF(parametros_manuales!$H$29="Todos",datos_base!$F$10+datos_base!$F$24,0))*parametros_manuales!$J$100+parametros_manuales!$F$29*(datos_base!$F$4+datos_base!$F$20+IF(parametros_manuales!$H$29="Todos",datos_base!$F$11+datos_base!$F$25,0))*parametros_manuales!$J$105+parametros_manuales!$G$29*(datos_base!$F$5+datos_base!$F$21+IF(parametros_manuales!$H$29="Todos",datos_base!$F$12+datos_base!$F$26,0))*parametros_manuales!$J$110)*parametros_manuales!$I$29*parametros_manuales!$J$29</f>
        <v>7680.969169332</v>
      </c>
      <c r="K120" s="9" t="n">
        <f aca="false">(parametros_manuales!$D$29*(datos_base!$F$2+datos_base!$F$18+IF(parametros_manuales!$H$29="Todos",datos_base!$F$9+datos_base!$F$23,0))*parametros_manuales!$K$95+parametros_manuales!$E$29*(datos_base!$F$3+datos_base!$F$19+IF(parametros_manuales!$H$29="Todos",datos_base!$F$10+datos_base!$F$24,0))*parametros_manuales!$K$100+parametros_manuales!$F$29*(datos_base!$F$4+datos_base!$F$20+IF(parametros_manuales!$H$29="Todos",datos_base!$F$11+datos_base!$F$25,0))*parametros_manuales!$K$105+parametros_manuales!$G$29*(datos_base!$F$5+datos_base!$F$21+IF(parametros_manuales!$H$29="Todos",datos_base!$F$12+datos_base!$F$26,0))*parametros_manuales!$K$110)*parametros_manuales!$I$29*parametros_manuales!$J$29</f>
        <v>7811.6304334215</v>
      </c>
      <c r="L120" s="9" t="n">
        <f aca="false">(parametros_manuales!$D$29*(datos_base!$F$2+datos_base!$F$18+IF(parametros_manuales!$H$29="Todos",datos_base!$F$9+datos_base!$F$23,0))*parametros_manuales!$L$95+parametros_manuales!$E$29*(datos_base!$F$3+datos_base!$F$19+IF(parametros_manuales!$H$29="Todos",datos_base!$F$10+datos_base!$F$24,0))*parametros_manuales!$L$100+parametros_manuales!$F$29*(datos_base!$F$4+datos_base!$F$20+IF(parametros_manuales!$H$29="Todos",datos_base!$F$11+datos_base!$F$25,0))*parametros_manuales!$L$105+parametros_manuales!$G$29*(datos_base!$F$5+datos_base!$F$21+IF(parametros_manuales!$H$29="Todos",datos_base!$F$12+datos_base!$F$26,0))*parametros_manuales!$L$110)*parametros_manuales!$I$29*parametros_manuales!$J$29</f>
        <v>7942.291697511</v>
      </c>
      <c r="M120" s="9" t="n">
        <f aca="false">(parametros_manuales!$D$29*(datos_base!$F$2+datos_base!$F$18+IF(parametros_manuales!$H$29="Todos",datos_base!$F$9+datos_base!$F$23,0))*parametros_manuales!$M$95+parametros_manuales!$E$29*(datos_base!$F$3+datos_base!$F$19+IF(parametros_manuales!$H$29="Todos",datos_base!$F$10+datos_base!$F$24,0))*parametros_manuales!$M$100+parametros_manuales!$F$29*(datos_base!$F$4+datos_base!$F$20+IF(parametros_manuales!$H$29="Todos",datos_base!$F$11+datos_base!$F$25,0))*parametros_manuales!$M$105+parametros_manuales!$G$29*(datos_base!$F$5+datos_base!$F$21+IF(parametros_manuales!$H$29="Todos",datos_base!$F$12+datos_base!$F$26,0))*parametros_manuales!$M$110)*parametros_manuales!$I$29*parametros_manuales!$J$29</f>
        <v>7942.291697511</v>
      </c>
      <c r="N120" s="9" t="n">
        <f aca="false">SUM(B120:M120)</f>
        <v>88247.6855279</v>
      </c>
      <c r="O120" s="9" t="n">
        <f aca="false">MAX(B120:M120)</f>
        <v>7942.291697511</v>
      </c>
      <c r="P120" s="43" t="n">
        <f aca="false">O120/(parametros_manuales!$B$7)</f>
        <v>52.94861131674</v>
      </c>
      <c r="Q120" s="8" t="str">
        <f aca="false">IF(O120=0,"-",INDEX($B$109:$M$109,MATCH(O120,B120:M120,0)))</f>
        <v>Ene</v>
      </c>
    </row>
    <row r="121" customFormat="false" ht="14.25" hidden="false" customHeight="true" outlineLevel="0" collapsed="false">
      <c r="A121" s="8" t="str">
        <f aca="false">parametros_manuales!$B$30</f>
        <v>Soldadura circunferencial de cúpula y fondo</v>
      </c>
      <c r="B121" s="9" t="n">
        <f aca="false">(parametros_manuales!$D$30*(datos_base!$F$2+datos_base!$F$18+IF(parametros_manuales!$H$30="Todos",datos_base!$F$9+datos_base!$F$23,0))*parametros_manuales!$B$95+parametros_manuales!$E$30*(datos_base!$F$3+datos_base!$F$19+IF(parametros_manuales!$H$30="Todos",datos_base!$F$10+datos_base!$F$24,0))*parametros_manuales!$B$100+parametros_manuales!$F$30*(datos_base!$F$4+datos_base!$F$20+IF(parametros_manuales!$H$30="Todos",datos_base!$F$11+datos_base!$F$25,0))*parametros_manuales!$B$105+parametros_manuales!$G$30*(datos_base!$F$5+datos_base!$F$21+IF(parametros_manuales!$H$30="Todos",datos_base!$F$12+datos_base!$F$26,0))*parametros_manuales!$B$110)*parametros_manuales!$I$30*parametros_manuales!$J$30</f>
        <v>7942.291697511</v>
      </c>
      <c r="C121" s="9" t="n">
        <f aca="false">(parametros_manuales!$D$30*(datos_base!$F$2+datos_base!$F$18+IF(parametros_manuales!$H$30="Todos",datos_base!$F$9+datos_base!$F$23,0))*parametros_manuales!$C$95+parametros_manuales!$E$30*(datos_base!$F$3+datos_base!$F$19+IF(parametros_manuales!$H$30="Todos",datos_base!$F$10+datos_base!$F$24,0))*parametros_manuales!$C$100+parametros_manuales!$F$30*(datos_base!$F$4+datos_base!$F$20+IF(parametros_manuales!$H$30="Todos",datos_base!$F$11+datos_base!$F$25,0))*parametros_manuales!$C$105+parametros_manuales!$G$30*(datos_base!$F$5+datos_base!$F$21+IF(parametros_manuales!$H$30="Todos",datos_base!$F$12+datos_base!$F$26,0))*parametros_manuales!$C$110)*parametros_manuales!$I$30*parametros_manuales!$J$30</f>
        <v>7680.969169332</v>
      </c>
      <c r="D121" s="9" t="n">
        <f aca="false">(parametros_manuales!$D$30*(datos_base!$F$2+datos_base!$F$18+IF(parametros_manuales!$H$30="Todos",datos_base!$F$9+datos_base!$F$23,0))*parametros_manuales!$D$95+parametros_manuales!$E$30*(datos_base!$F$3+datos_base!$F$19+IF(parametros_manuales!$H$30="Todos",datos_base!$F$10+datos_base!$F$24,0))*parametros_manuales!$D$100+parametros_manuales!$F$30*(datos_base!$F$4+datos_base!$F$20+IF(parametros_manuales!$H$30="Todos",datos_base!$F$11+datos_base!$F$25,0))*parametros_manuales!$D$105+parametros_manuales!$G$30*(datos_base!$F$5+datos_base!$F$21+IF(parametros_manuales!$H$30="Todos",datos_base!$F$12+datos_base!$F$26,0))*parametros_manuales!$D$110)*parametros_manuales!$I$30*parametros_manuales!$J$30</f>
        <v>7190.4761063215</v>
      </c>
      <c r="E121" s="9" t="n">
        <f aca="false">(parametros_manuales!$D$30*(datos_base!$F$2+datos_base!$F$18+IF(parametros_manuales!$H$30="Todos",datos_base!$F$9+datos_base!$F$23,0))*parametros_manuales!$E$95+parametros_manuales!$E$30*(datos_base!$F$3+datos_base!$F$19+IF(parametros_manuales!$H$30="Todos",datos_base!$F$10+datos_base!$F$24,0))*parametros_manuales!$E$100+parametros_manuales!$F$30*(datos_base!$F$4+datos_base!$F$20+IF(parametros_manuales!$H$30="Todos",datos_base!$F$11+datos_base!$F$25,0))*parametros_manuales!$E$105+parametros_manuales!$G$30*(datos_base!$F$5+datos_base!$F$21+IF(parametros_manuales!$H$30="Todos",datos_base!$F$12+datos_base!$F$26,0))*parametros_manuales!$E$110)*parametros_manuales!$I$30*parametros_manuales!$J$30</f>
        <v>6879.8989427715</v>
      </c>
      <c r="F121" s="9" t="n">
        <f aca="false">(parametros_manuales!$D$30*(datos_base!$F$2+datos_base!$F$18+IF(parametros_manuales!$H$30="Todos",datos_base!$F$9+datos_base!$F$23,0))*parametros_manuales!$F$95+parametros_manuales!$E$30*(datos_base!$F$3+datos_base!$F$19+IF(parametros_manuales!$H$30="Todos",datos_base!$F$10+datos_base!$F$24,0))*parametros_manuales!$F$100+parametros_manuales!$F$30*(datos_base!$F$4+datos_base!$F$20+IF(parametros_manuales!$H$30="Todos",datos_base!$F$11+datos_base!$F$25,0))*parametros_manuales!$F$105+parametros_manuales!$G$30*(datos_base!$F$5+datos_base!$F$21+IF(parametros_manuales!$H$30="Todos",datos_base!$F$12+datos_base!$F$26,0))*parametros_manuales!$F$110)*parametros_manuales!$I$30*parametros_manuales!$J$30</f>
        <v>6438.660515132</v>
      </c>
      <c r="G121" s="9" t="n">
        <f aca="false">(parametros_manuales!$D$30*(datos_base!$F$2+datos_base!$F$18+IF(parametros_manuales!$H$30="Todos",datos_base!$F$9+datos_base!$F$23,0))*parametros_manuales!$G$95+parametros_manuales!$E$30*(datos_base!$F$3+datos_base!$F$19+IF(parametros_manuales!$H$30="Todos",datos_base!$F$10+datos_base!$F$24,0))*parametros_manuales!$G$100+parametros_manuales!$F$30*(datos_base!$F$4+datos_base!$F$20+IF(parametros_manuales!$H$30="Todos",datos_base!$F$11+datos_base!$F$25,0))*parametros_manuales!$G$105+parametros_manuales!$G$30*(datos_base!$F$5+datos_base!$F$21+IF(parametros_manuales!$H$30="Todos",datos_base!$F$12+datos_base!$F$26,0))*parametros_manuales!$G$110)*parametros_manuales!$I$30*parametros_manuales!$J$30</f>
        <v>6307.9992510425</v>
      </c>
      <c r="H121" s="9" t="n">
        <f aca="false">(parametros_manuales!$D$30*(datos_base!$F$2+datos_base!$F$18+IF(parametros_manuales!$H$30="Todos",datos_base!$F$9+datos_base!$F$23,0))*parametros_manuales!$H$95+parametros_manuales!$E$30*(datos_base!$F$3+datos_base!$F$19+IF(parametros_manuales!$H$30="Todos",datos_base!$F$10+datos_base!$F$24,0))*parametros_manuales!$H$100+parametros_manuales!$F$30*(datos_base!$F$4+datos_base!$F$20+IF(parametros_manuales!$H$30="Todos",datos_base!$F$11+datos_base!$F$25,0))*parametros_manuales!$H$105+parametros_manuales!$G$30*(datos_base!$F$5+datos_base!$F$21+IF(parametros_manuales!$H$30="Todos",datos_base!$F$12+datos_base!$F$26,0))*parametros_manuales!$H$110)*parametros_manuales!$I$30*parametros_manuales!$J$30</f>
        <v>6749.237678682</v>
      </c>
      <c r="I121" s="9" t="n">
        <f aca="false">(parametros_manuales!$D$30*(datos_base!$F$2+datos_base!$F$18+IF(parametros_manuales!$H$30="Todos",datos_base!$F$9+datos_base!$F$23,0))*parametros_manuales!$I$95+parametros_manuales!$E$30*(datos_base!$F$3+datos_base!$F$19+IF(parametros_manuales!$H$30="Todos",datos_base!$F$10+datos_base!$F$24,0))*parametros_manuales!$I$100+parametros_manuales!$F$30*(datos_base!$F$4+datos_base!$F$20+IF(parametros_manuales!$H$30="Todos",datos_base!$F$11+datos_base!$F$25,0))*parametros_manuales!$I$105+parametros_manuales!$G$30*(datos_base!$F$5+datos_base!$F$21+IF(parametros_manuales!$H$30="Todos",datos_base!$F$12+datos_base!$F$26,0))*parametros_manuales!$I$110)*parametros_manuales!$I$30*parametros_manuales!$J$30</f>
        <v>7680.969169332</v>
      </c>
      <c r="J121" s="9" t="n">
        <f aca="false">(parametros_manuales!$D$30*(datos_base!$F$2+datos_base!$F$18+IF(parametros_manuales!$H$30="Todos",datos_base!$F$9+datos_base!$F$23,0))*parametros_manuales!$J$95+parametros_manuales!$E$30*(datos_base!$F$3+datos_base!$F$19+IF(parametros_manuales!$H$30="Todos",datos_base!$F$10+datos_base!$F$24,0))*parametros_manuales!$J$100+parametros_manuales!$F$30*(datos_base!$F$4+datos_base!$F$20+IF(parametros_manuales!$H$30="Todos",datos_base!$F$11+datos_base!$F$25,0))*parametros_manuales!$J$105+parametros_manuales!$G$30*(datos_base!$F$5+datos_base!$F$21+IF(parametros_manuales!$H$30="Todos",datos_base!$F$12+datos_base!$F$26,0))*parametros_manuales!$J$110)*parametros_manuales!$I$30*parametros_manuales!$J$30</f>
        <v>7680.969169332</v>
      </c>
      <c r="K121" s="9" t="n">
        <f aca="false">(parametros_manuales!$D$30*(datos_base!$F$2+datos_base!$F$18+IF(parametros_manuales!$H$30="Todos",datos_base!$F$9+datos_base!$F$23,0))*parametros_manuales!$K$95+parametros_manuales!$E$30*(datos_base!$F$3+datos_base!$F$19+IF(parametros_manuales!$H$30="Todos",datos_base!$F$10+datos_base!$F$24,0))*parametros_manuales!$K$100+parametros_manuales!$F$30*(datos_base!$F$4+datos_base!$F$20+IF(parametros_manuales!$H$30="Todos",datos_base!$F$11+datos_base!$F$25,0))*parametros_manuales!$K$105+parametros_manuales!$G$30*(datos_base!$F$5+datos_base!$F$21+IF(parametros_manuales!$H$30="Todos",datos_base!$F$12+datos_base!$F$26,0))*parametros_manuales!$K$110)*parametros_manuales!$I$30*parametros_manuales!$J$30</f>
        <v>7811.6304334215</v>
      </c>
      <c r="L121" s="9" t="n">
        <f aca="false">(parametros_manuales!$D$30*(datos_base!$F$2+datos_base!$F$18+IF(parametros_manuales!$H$30="Todos",datos_base!$F$9+datos_base!$F$23,0))*parametros_manuales!$L$95+parametros_manuales!$E$30*(datos_base!$F$3+datos_base!$F$19+IF(parametros_manuales!$H$30="Todos",datos_base!$F$10+datos_base!$F$24,0))*parametros_manuales!$L$100+parametros_manuales!$F$30*(datos_base!$F$4+datos_base!$F$20+IF(parametros_manuales!$H$30="Todos",datos_base!$F$11+datos_base!$F$25,0))*parametros_manuales!$L$105+parametros_manuales!$G$30*(datos_base!$F$5+datos_base!$F$21+IF(parametros_manuales!$H$30="Todos",datos_base!$F$12+datos_base!$F$26,0))*parametros_manuales!$L$110)*parametros_manuales!$I$30*parametros_manuales!$J$30</f>
        <v>7942.291697511</v>
      </c>
      <c r="M121" s="9" t="n">
        <f aca="false">(parametros_manuales!$D$30*(datos_base!$F$2+datos_base!$F$18+IF(parametros_manuales!$H$30="Todos",datos_base!$F$9+datos_base!$F$23,0))*parametros_manuales!$M$95+parametros_manuales!$E$30*(datos_base!$F$3+datos_base!$F$19+IF(parametros_manuales!$H$30="Todos",datos_base!$F$10+datos_base!$F$24,0))*parametros_manuales!$M$100+parametros_manuales!$F$30*(datos_base!$F$4+datos_base!$F$20+IF(parametros_manuales!$H$30="Todos",datos_base!$F$11+datos_base!$F$25,0))*parametros_manuales!$M$105+parametros_manuales!$G$30*(datos_base!$F$5+datos_base!$F$21+IF(parametros_manuales!$H$30="Todos",datos_base!$F$12+datos_base!$F$26,0))*parametros_manuales!$M$110)*parametros_manuales!$I$30*parametros_manuales!$J$30</f>
        <v>7942.291697511</v>
      </c>
      <c r="N121" s="9" t="n">
        <f aca="false">SUM(B121:M121)</f>
        <v>88247.6855279</v>
      </c>
      <c r="O121" s="9" t="n">
        <f aca="false">MAX(B121:M121)</f>
        <v>7942.291697511</v>
      </c>
      <c r="P121" s="43" t="n">
        <f aca="false">O121/(parametros_manuales!$B$7)</f>
        <v>52.94861131674</v>
      </c>
      <c r="Q121" s="8" t="str">
        <f aca="false">IF(O121=0,"-",INDEX($B$109:$M$109,MATCH(O121,B121:M121,0)))</f>
        <v>Ene</v>
      </c>
    </row>
    <row r="122" customFormat="false" ht="14.25" hidden="false" customHeight="true" outlineLevel="0" collapsed="false">
      <c r="A122" s="8" t="str">
        <f aca="false">parametros_manuales!$B$31</f>
        <v>Control de calidad — Espesor</v>
      </c>
      <c r="B122" s="9" t="n">
        <f aca="false">(parametros_manuales!$D$31*(datos_base!$F$2+datos_base!$F$18+IF(parametros_manuales!$H$31="Todos",datos_base!$F$9+datos_base!$F$23,0))*parametros_manuales!$B$95+parametros_manuales!$E$31*(datos_base!$F$3+datos_base!$F$19+IF(parametros_manuales!$H$31="Todos",datos_base!$F$10+datos_base!$F$24,0))*parametros_manuales!$B$100+parametros_manuales!$F$31*(datos_base!$F$4+datos_base!$F$20+IF(parametros_manuales!$H$31="Todos",datos_base!$F$11+datos_base!$F$25,0))*parametros_manuales!$B$105+parametros_manuales!$G$31*(datos_base!$F$5+datos_base!$F$21+IF(parametros_manuales!$H$31="Todos",datos_base!$F$12+datos_base!$F$26,0))*parametros_manuales!$B$110)*parametros_manuales!$I$31*parametros_manuales!$J$31</f>
        <v>158.84583395022</v>
      </c>
      <c r="C122" s="9" t="n">
        <f aca="false">(parametros_manuales!$D$31*(datos_base!$F$2+datos_base!$F$18+IF(parametros_manuales!$H$31="Todos",datos_base!$F$9+datos_base!$F$23,0))*parametros_manuales!$C$95+parametros_manuales!$E$31*(datos_base!$F$3+datos_base!$F$19+IF(parametros_manuales!$H$31="Todos",datos_base!$F$10+datos_base!$F$24,0))*parametros_manuales!$C$100+parametros_manuales!$F$31*(datos_base!$F$4+datos_base!$F$20+IF(parametros_manuales!$H$31="Todos",datos_base!$F$11+datos_base!$F$25,0))*parametros_manuales!$C$105+parametros_manuales!$G$31*(datos_base!$F$5+datos_base!$F$21+IF(parametros_manuales!$H$31="Todos",datos_base!$F$12+datos_base!$F$26,0))*parametros_manuales!$C$110)*parametros_manuales!$I$31*parametros_manuales!$J$31</f>
        <v>153.61938338664</v>
      </c>
      <c r="D122" s="9" t="n">
        <f aca="false">(parametros_manuales!$D$31*(datos_base!$F$2+datos_base!$F$18+IF(parametros_manuales!$H$31="Todos",datos_base!$F$9+datos_base!$F$23,0))*parametros_manuales!$D$95+parametros_manuales!$E$31*(datos_base!$F$3+datos_base!$F$19+IF(parametros_manuales!$H$31="Todos",datos_base!$F$10+datos_base!$F$24,0))*parametros_manuales!$D$100+parametros_manuales!$F$31*(datos_base!$F$4+datos_base!$F$20+IF(parametros_manuales!$H$31="Todos",datos_base!$F$11+datos_base!$F$25,0))*parametros_manuales!$D$105+parametros_manuales!$G$31*(datos_base!$F$5+datos_base!$F$21+IF(parametros_manuales!$H$31="Todos",datos_base!$F$12+datos_base!$F$26,0))*parametros_manuales!$D$110)*parametros_manuales!$I$31*parametros_manuales!$J$31</f>
        <v>143.80952212643</v>
      </c>
      <c r="E122" s="9" t="n">
        <f aca="false">(parametros_manuales!$D$31*(datos_base!$F$2+datos_base!$F$18+IF(parametros_manuales!$H$31="Todos",datos_base!$F$9+datos_base!$F$23,0))*parametros_manuales!$E$95+parametros_manuales!$E$31*(datos_base!$F$3+datos_base!$F$19+IF(parametros_manuales!$H$31="Todos",datos_base!$F$10+datos_base!$F$24,0))*parametros_manuales!$E$100+parametros_manuales!$F$31*(datos_base!$F$4+datos_base!$F$20+IF(parametros_manuales!$H$31="Todos",datos_base!$F$11+datos_base!$F$25,0))*parametros_manuales!$E$105+parametros_manuales!$G$31*(datos_base!$F$5+datos_base!$F$21+IF(parametros_manuales!$H$31="Todos",datos_base!$F$12+datos_base!$F$26,0))*parametros_manuales!$E$110)*parametros_manuales!$I$31*parametros_manuales!$J$31</f>
        <v>137.59797885543</v>
      </c>
      <c r="F122" s="9" t="n">
        <f aca="false">(parametros_manuales!$D$31*(datos_base!$F$2+datos_base!$F$18+IF(parametros_manuales!$H$31="Todos",datos_base!$F$9+datos_base!$F$23,0))*parametros_manuales!$F$95+parametros_manuales!$E$31*(datos_base!$F$3+datos_base!$F$19+IF(parametros_manuales!$H$31="Todos",datos_base!$F$10+datos_base!$F$24,0))*parametros_manuales!$F$100+parametros_manuales!$F$31*(datos_base!$F$4+datos_base!$F$20+IF(parametros_manuales!$H$31="Todos",datos_base!$F$11+datos_base!$F$25,0))*parametros_manuales!$F$105+parametros_manuales!$G$31*(datos_base!$F$5+datos_base!$F$21+IF(parametros_manuales!$H$31="Todos",datos_base!$F$12+datos_base!$F$26,0))*parametros_manuales!$F$110)*parametros_manuales!$I$31*parametros_manuales!$J$31</f>
        <v>128.77321030264</v>
      </c>
      <c r="G122" s="9" t="n">
        <f aca="false">(parametros_manuales!$D$31*(datos_base!$F$2+datos_base!$F$18+IF(parametros_manuales!$H$31="Todos",datos_base!$F$9+datos_base!$F$23,0))*parametros_manuales!$G$95+parametros_manuales!$E$31*(datos_base!$F$3+datos_base!$F$19+IF(parametros_manuales!$H$31="Todos",datos_base!$F$10+datos_base!$F$24,0))*parametros_manuales!$G$100+parametros_manuales!$F$31*(datos_base!$F$4+datos_base!$F$20+IF(parametros_manuales!$H$31="Todos",datos_base!$F$11+datos_base!$F$25,0))*parametros_manuales!$G$105+parametros_manuales!$G$31*(datos_base!$F$5+datos_base!$F$21+IF(parametros_manuales!$H$31="Todos",datos_base!$F$12+datos_base!$F$26,0))*parametros_manuales!$G$110)*parametros_manuales!$I$31*parametros_manuales!$J$31</f>
        <v>126.15998502085</v>
      </c>
      <c r="H122" s="9" t="n">
        <f aca="false">(parametros_manuales!$D$31*(datos_base!$F$2+datos_base!$F$18+IF(parametros_manuales!$H$31="Todos",datos_base!$F$9+datos_base!$F$23,0))*parametros_manuales!$H$95+parametros_manuales!$E$31*(datos_base!$F$3+datos_base!$F$19+IF(parametros_manuales!$H$31="Todos",datos_base!$F$10+datos_base!$F$24,0))*parametros_manuales!$H$100+parametros_manuales!$F$31*(datos_base!$F$4+datos_base!$F$20+IF(parametros_manuales!$H$31="Todos",datos_base!$F$11+datos_base!$F$25,0))*parametros_manuales!$H$105+parametros_manuales!$G$31*(datos_base!$F$5+datos_base!$F$21+IF(parametros_manuales!$H$31="Todos",datos_base!$F$12+datos_base!$F$26,0))*parametros_manuales!$H$110)*parametros_manuales!$I$31*parametros_manuales!$J$31</f>
        <v>134.98475357364</v>
      </c>
      <c r="I122" s="9" t="n">
        <f aca="false">(parametros_manuales!$D$31*(datos_base!$F$2+datos_base!$F$18+IF(parametros_manuales!$H$31="Todos",datos_base!$F$9+datos_base!$F$23,0))*parametros_manuales!$I$95+parametros_manuales!$E$31*(datos_base!$F$3+datos_base!$F$19+IF(parametros_manuales!$H$31="Todos",datos_base!$F$10+datos_base!$F$24,0))*parametros_manuales!$I$100+parametros_manuales!$F$31*(datos_base!$F$4+datos_base!$F$20+IF(parametros_manuales!$H$31="Todos",datos_base!$F$11+datos_base!$F$25,0))*parametros_manuales!$I$105+parametros_manuales!$G$31*(datos_base!$F$5+datos_base!$F$21+IF(parametros_manuales!$H$31="Todos",datos_base!$F$12+datos_base!$F$26,0))*parametros_manuales!$I$110)*parametros_manuales!$I$31*parametros_manuales!$J$31</f>
        <v>153.61938338664</v>
      </c>
      <c r="J122" s="9" t="n">
        <f aca="false">(parametros_manuales!$D$31*(datos_base!$F$2+datos_base!$F$18+IF(parametros_manuales!$H$31="Todos",datos_base!$F$9+datos_base!$F$23,0))*parametros_manuales!$J$95+parametros_manuales!$E$31*(datos_base!$F$3+datos_base!$F$19+IF(parametros_manuales!$H$31="Todos",datos_base!$F$10+datos_base!$F$24,0))*parametros_manuales!$J$100+parametros_manuales!$F$31*(datos_base!$F$4+datos_base!$F$20+IF(parametros_manuales!$H$31="Todos",datos_base!$F$11+datos_base!$F$25,0))*parametros_manuales!$J$105+parametros_manuales!$G$31*(datos_base!$F$5+datos_base!$F$21+IF(parametros_manuales!$H$31="Todos",datos_base!$F$12+datos_base!$F$26,0))*parametros_manuales!$J$110)*parametros_manuales!$I$31*parametros_manuales!$J$31</f>
        <v>153.61938338664</v>
      </c>
      <c r="K122" s="9" t="n">
        <f aca="false">(parametros_manuales!$D$31*(datos_base!$F$2+datos_base!$F$18+IF(parametros_manuales!$H$31="Todos",datos_base!$F$9+datos_base!$F$23,0))*parametros_manuales!$K$95+parametros_manuales!$E$31*(datos_base!$F$3+datos_base!$F$19+IF(parametros_manuales!$H$31="Todos",datos_base!$F$10+datos_base!$F$24,0))*parametros_manuales!$K$100+parametros_manuales!$F$31*(datos_base!$F$4+datos_base!$F$20+IF(parametros_manuales!$H$31="Todos",datos_base!$F$11+datos_base!$F$25,0))*parametros_manuales!$K$105+parametros_manuales!$G$31*(datos_base!$F$5+datos_base!$F$21+IF(parametros_manuales!$H$31="Todos",datos_base!$F$12+datos_base!$F$26,0))*parametros_manuales!$K$110)*parametros_manuales!$I$31*parametros_manuales!$J$31</f>
        <v>156.23260866843</v>
      </c>
      <c r="L122" s="9" t="n">
        <f aca="false">(parametros_manuales!$D$31*(datos_base!$F$2+datos_base!$F$18+IF(parametros_manuales!$H$31="Todos",datos_base!$F$9+datos_base!$F$23,0))*parametros_manuales!$L$95+parametros_manuales!$E$31*(datos_base!$F$3+datos_base!$F$19+IF(parametros_manuales!$H$31="Todos",datos_base!$F$10+datos_base!$F$24,0))*parametros_manuales!$L$100+parametros_manuales!$F$31*(datos_base!$F$4+datos_base!$F$20+IF(parametros_manuales!$H$31="Todos",datos_base!$F$11+datos_base!$F$25,0))*parametros_manuales!$L$105+parametros_manuales!$G$31*(datos_base!$F$5+datos_base!$F$21+IF(parametros_manuales!$H$31="Todos",datos_base!$F$12+datos_base!$F$26,0))*parametros_manuales!$L$110)*parametros_manuales!$I$31*parametros_manuales!$J$31</f>
        <v>158.84583395022</v>
      </c>
      <c r="M122" s="9" t="n">
        <f aca="false">(parametros_manuales!$D$31*(datos_base!$F$2+datos_base!$F$18+IF(parametros_manuales!$H$31="Todos",datos_base!$F$9+datos_base!$F$23,0))*parametros_manuales!$M$95+parametros_manuales!$E$31*(datos_base!$F$3+datos_base!$F$19+IF(parametros_manuales!$H$31="Todos",datos_base!$F$10+datos_base!$F$24,0))*parametros_manuales!$M$100+parametros_manuales!$F$31*(datos_base!$F$4+datos_base!$F$20+IF(parametros_manuales!$H$31="Todos",datos_base!$F$11+datos_base!$F$25,0))*parametros_manuales!$M$105+parametros_manuales!$G$31*(datos_base!$F$5+datos_base!$F$21+IF(parametros_manuales!$H$31="Todos",datos_base!$F$12+datos_base!$F$26,0))*parametros_manuales!$M$110)*parametros_manuales!$I$31*parametros_manuales!$J$31</f>
        <v>158.84583395022</v>
      </c>
      <c r="N122" s="9" t="n">
        <f aca="false">SUM(B122:M122)</f>
        <v>1764.953710558</v>
      </c>
      <c r="O122" s="9" t="n">
        <f aca="false">MAX(B122:M122)</f>
        <v>158.84583395022</v>
      </c>
      <c r="P122" s="43" t="n">
        <f aca="false">O122/(parametros_manuales!$B$7)</f>
        <v>1.0589722263348</v>
      </c>
      <c r="Q122" s="8" t="str">
        <f aca="false">IF(O122=0,"-",INDEX($B$109:$M$109,MATCH(O122,B122:M122,0)))</f>
        <v>Ene</v>
      </c>
    </row>
    <row r="123" customFormat="false" ht="14.25" hidden="false" customHeight="true" outlineLevel="0" collapsed="false">
      <c r="A123" s="8" t="str">
        <f aca="false">parametros_manuales!$B$32</f>
        <v>Prueba hidráulica</v>
      </c>
      <c r="B123" s="9" t="n">
        <f aca="false">(parametros_manuales!$D$32*(datos_base!$F$2+datos_base!$F$18+IF(parametros_manuales!$H$32="Todos",datos_base!$F$9+datos_base!$F$23,0))*parametros_manuales!$B$95+parametros_manuales!$E$32*(datos_base!$F$3+datos_base!$F$19+IF(parametros_manuales!$H$32="Todos",datos_base!$F$10+datos_base!$F$24,0))*parametros_manuales!$B$100+parametros_manuales!$F$32*(datos_base!$F$4+datos_base!$F$20+IF(parametros_manuales!$H$32="Todos",datos_base!$F$11+datos_base!$F$25,0))*parametros_manuales!$B$105+parametros_manuales!$G$32*(datos_base!$F$5+datos_base!$F$21+IF(parametros_manuales!$H$32="Todos",datos_base!$F$12+datos_base!$F$26,0))*parametros_manuales!$B$110)*parametros_manuales!$I$32*parametros_manuales!$J$32</f>
        <v>7942.291697511</v>
      </c>
      <c r="C123" s="9" t="n">
        <f aca="false">(parametros_manuales!$D$32*(datos_base!$F$2+datos_base!$F$18+IF(parametros_manuales!$H$32="Todos",datos_base!$F$9+datos_base!$F$23,0))*parametros_manuales!$C$95+parametros_manuales!$E$32*(datos_base!$F$3+datos_base!$F$19+IF(parametros_manuales!$H$32="Todos",datos_base!$F$10+datos_base!$F$24,0))*parametros_manuales!$C$100+parametros_manuales!$F$32*(datos_base!$F$4+datos_base!$F$20+IF(parametros_manuales!$H$32="Todos",datos_base!$F$11+datos_base!$F$25,0))*parametros_manuales!$C$105+parametros_manuales!$G$32*(datos_base!$F$5+datos_base!$F$21+IF(parametros_manuales!$H$32="Todos",datos_base!$F$12+datos_base!$F$26,0))*parametros_manuales!$C$110)*parametros_manuales!$I$32*parametros_manuales!$J$32</f>
        <v>7680.969169332</v>
      </c>
      <c r="D123" s="9" t="n">
        <f aca="false">(parametros_manuales!$D$32*(datos_base!$F$2+datos_base!$F$18+IF(parametros_manuales!$H$32="Todos",datos_base!$F$9+datos_base!$F$23,0))*parametros_manuales!$D$95+parametros_manuales!$E$32*(datos_base!$F$3+datos_base!$F$19+IF(parametros_manuales!$H$32="Todos",datos_base!$F$10+datos_base!$F$24,0))*parametros_manuales!$D$100+parametros_manuales!$F$32*(datos_base!$F$4+datos_base!$F$20+IF(parametros_manuales!$H$32="Todos",datos_base!$F$11+datos_base!$F$25,0))*parametros_manuales!$D$105+parametros_manuales!$G$32*(datos_base!$F$5+datos_base!$F$21+IF(parametros_manuales!$H$32="Todos",datos_base!$F$12+datos_base!$F$26,0))*parametros_manuales!$D$110)*parametros_manuales!$I$32*parametros_manuales!$J$32</f>
        <v>7190.4761063215</v>
      </c>
      <c r="E123" s="9" t="n">
        <f aca="false">(parametros_manuales!$D$32*(datos_base!$F$2+datos_base!$F$18+IF(parametros_manuales!$H$32="Todos",datos_base!$F$9+datos_base!$F$23,0))*parametros_manuales!$E$95+parametros_manuales!$E$32*(datos_base!$F$3+datos_base!$F$19+IF(parametros_manuales!$H$32="Todos",datos_base!$F$10+datos_base!$F$24,0))*parametros_manuales!$E$100+parametros_manuales!$F$32*(datos_base!$F$4+datos_base!$F$20+IF(parametros_manuales!$H$32="Todos",datos_base!$F$11+datos_base!$F$25,0))*parametros_manuales!$E$105+parametros_manuales!$G$32*(datos_base!$F$5+datos_base!$F$21+IF(parametros_manuales!$H$32="Todos",datos_base!$F$12+datos_base!$F$26,0))*parametros_manuales!$E$110)*parametros_manuales!$I$32*parametros_manuales!$J$32</f>
        <v>6879.8989427715</v>
      </c>
      <c r="F123" s="9" t="n">
        <f aca="false">(parametros_manuales!$D$32*(datos_base!$F$2+datos_base!$F$18+IF(parametros_manuales!$H$32="Todos",datos_base!$F$9+datos_base!$F$23,0))*parametros_manuales!$F$95+parametros_manuales!$E$32*(datos_base!$F$3+datos_base!$F$19+IF(parametros_manuales!$H$32="Todos",datos_base!$F$10+datos_base!$F$24,0))*parametros_manuales!$F$100+parametros_manuales!$F$32*(datos_base!$F$4+datos_base!$F$20+IF(parametros_manuales!$H$32="Todos",datos_base!$F$11+datos_base!$F$25,0))*parametros_manuales!$F$105+parametros_manuales!$G$32*(datos_base!$F$5+datos_base!$F$21+IF(parametros_manuales!$H$32="Todos",datos_base!$F$12+datos_base!$F$26,0))*parametros_manuales!$F$110)*parametros_manuales!$I$32*parametros_manuales!$J$32</f>
        <v>6438.660515132</v>
      </c>
      <c r="G123" s="9" t="n">
        <f aca="false">(parametros_manuales!$D$32*(datos_base!$F$2+datos_base!$F$18+IF(parametros_manuales!$H$32="Todos",datos_base!$F$9+datos_base!$F$23,0))*parametros_manuales!$G$95+parametros_manuales!$E$32*(datos_base!$F$3+datos_base!$F$19+IF(parametros_manuales!$H$32="Todos",datos_base!$F$10+datos_base!$F$24,0))*parametros_manuales!$G$100+parametros_manuales!$F$32*(datos_base!$F$4+datos_base!$F$20+IF(parametros_manuales!$H$32="Todos",datos_base!$F$11+datos_base!$F$25,0))*parametros_manuales!$G$105+parametros_manuales!$G$32*(datos_base!$F$5+datos_base!$F$21+IF(parametros_manuales!$H$32="Todos",datos_base!$F$12+datos_base!$F$26,0))*parametros_manuales!$G$110)*parametros_manuales!$I$32*parametros_manuales!$J$32</f>
        <v>6307.9992510425</v>
      </c>
      <c r="H123" s="9" t="n">
        <f aca="false">(parametros_manuales!$D$32*(datos_base!$F$2+datos_base!$F$18+IF(parametros_manuales!$H$32="Todos",datos_base!$F$9+datos_base!$F$23,0))*parametros_manuales!$H$95+parametros_manuales!$E$32*(datos_base!$F$3+datos_base!$F$19+IF(parametros_manuales!$H$32="Todos",datos_base!$F$10+datos_base!$F$24,0))*parametros_manuales!$H$100+parametros_manuales!$F$32*(datos_base!$F$4+datos_base!$F$20+IF(parametros_manuales!$H$32="Todos",datos_base!$F$11+datos_base!$F$25,0))*parametros_manuales!$H$105+parametros_manuales!$G$32*(datos_base!$F$5+datos_base!$F$21+IF(parametros_manuales!$H$32="Todos",datos_base!$F$12+datos_base!$F$26,0))*parametros_manuales!$H$110)*parametros_manuales!$I$32*parametros_manuales!$J$32</f>
        <v>6749.237678682</v>
      </c>
      <c r="I123" s="9" t="n">
        <f aca="false">(parametros_manuales!$D$32*(datos_base!$F$2+datos_base!$F$18+IF(parametros_manuales!$H$32="Todos",datos_base!$F$9+datos_base!$F$23,0))*parametros_manuales!$I$95+parametros_manuales!$E$32*(datos_base!$F$3+datos_base!$F$19+IF(parametros_manuales!$H$32="Todos",datos_base!$F$10+datos_base!$F$24,0))*parametros_manuales!$I$100+parametros_manuales!$F$32*(datos_base!$F$4+datos_base!$F$20+IF(parametros_manuales!$H$32="Todos",datos_base!$F$11+datos_base!$F$25,0))*parametros_manuales!$I$105+parametros_manuales!$G$32*(datos_base!$F$5+datos_base!$F$21+IF(parametros_manuales!$H$32="Todos",datos_base!$F$12+datos_base!$F$26,0))*parametros_manuales!$I$110)*parametros_manuales!$I$32*parametros_manuales!$J$32</f>
        <v>7680.969169332</v>
      </c>
      <c r="J123" s="9" t="n">
        <f aca="false">(parametros_manuales!$D$32*(datos_base!$F$2+datos_base!$F$18+IF(parametros_manuales!$H$32="Todos",datos_base!$F$9+datos_base!$F$23,0))*parametros_manuales!$J$95+parametros_manuales!$E$32*(datos_base!$F$3+datos_base!$F$19+IF(parametros_manuales!$H$32="Todos",datos_base!$F$10+datos_base!$F$24,0))*parametros_manuales!$J$100+parametros_manuales!$F$32*(datos_base!$F$4+datos_base!$F$20+IF(parametros_manuales!$H$32="Todos",datos_base!$F$11+datos_base!$F$25,0))*parametros_manuales!$J$105+parametros_manuales!$G$32*(datos_base!$F$5+datos_base!$F$21+IF(parametros_manuales!$H$32="Todos",datos_base!$F$12+datos_base!$F$26,0))*parametros_manuales!$J$110)*parametros_manuales!$I$32*parametros_manuales!$J$32</f>
        <v>7680.969169332</v>
      </c>
      <c r="K123" s="9" t="n">
        <f aca="false">(parametros_manuales!$D$32*(datos_base!$F$2+datos_base!$F$18+IF(parametros_manuales!$H$32="Todos",datos_base!$F$9+datos_base!$F$23,0))*parametros_manuales!$K$95+parametros_manuales!$E$32*(datos_base!$F$3+datos_base!$F$19+IF(parametros_manuales!$H$32="Todos",datos_base!$F$10+datos_base!$F$24,0))*parametros_manuales!$K$100+parametros_manuales!$F$32*(datos_base!$F$4+datos_base!$F$20+IF(parametros_manuales!$H$32="Todos",datos_base!$F$11+datos_base!$F$25,0))*parametros_manuales!$K$105+parametros_manuales!$G$32*(datos_base!$F$5+datos_base!$F$21+IF(parametros_manuales!$H$32="Todos",datos_base!$F$12+datos_base!$F$26,0))*parametros_manuales!$K$110)*parametros_manuales!$I$32*parametros_manuales!$J$32</f>
        <v>7811.6304334215</v>
      </c>
      <c r="L123" s="9" t="n">
        <f aca="false">(parametros_manuales!$D$32*(datos_base!$F$2+datos_base!$F$18+IF(parametros_manuales!$H$32="Todos",datos_base!$F$9+datos_base!$F$23,0))*parametros_manuales!$L$95+parametros_manuales!$E$32*(datos_base!$F$3+datos_base!$F$19+IF(parametros_manuales!$H$32="Todos",datos_base!$F$10+datos_base!$F$24,0))*parametros_manuales!$L$100+parametros_manuales!$F$32*(datos_base!$F$4+datos_base!$F$20+IF(parametros_manuales!$H$32="Todos",datos_base!$F$11+datos_base!$F$25,0))*parametros_manuales!$L$105+parametros_manuales!$G$32*(datos_base!$F$5+datos_base!$F$21+IF(parametros_manuales!$H$32="Todos",datos_base!$F$12+datos_base!$F$26,0))*parametros_manuales!$L$110)*parametros_manuales!$I$32*parametros_manuales!$J$32</f>
        <v>7942.291697511</v>
      </c>
      <c r="M123" s="9" t="n">
        <f aca="false">(parametros_manuales!$D$32*(datos_base!$F$2+datos_base!$F$18+IF(parametros_manuales!$H$32="Todos",datos_base!$F$9+datos_base!$F$23,0))*parametros_manuales!$M$95+parametros_manuales!$E$32*(datos_base!$F$3+datos_base!$F$19+IF(parametros_manuales!$H$32="Todos",datos_base!$F$10+datos_base!$F$24,0))*parametros_manuales!$M$100+parametros_manuales!$F$32*(datos_base!$F$4+datos_base!$F$20+IF(parametros_manuales!$H$32="Todos",datos_base!$F$11+datos_base!$F$25,0))*parametros_manuales!$M$105+parametros_manuales!$G$32*(datos_base!$F$5+datos_base!$F$21+IF(parametros_manuales!$H$32="Todos",datos_base!$F$12+datos_base!$F$26,0))*parametros_manuales!$M$110)*parametros_manuales!$I$32*parametros_manuales!$J$32</f>
        <v>7942.291697511</v>
      </c>
      <c r="N123" s="9" t="n">
        <f aca="false">SUM(B123:M123)</f>
        <v>88247.6855279</v>
      </c>
      <c r="O123" s="9" t="n">
        <f aca="false">MAX(B123:M123)</f>
        <v>7942.291697511</v>
      </c>
      <c r="P123" s="43" t="n">
        <f aca="false">O123/(parametros_manuales!$B$7)</f>
        <v>52.94861131674</v>
      </c>
      <c r="Q123" s="8" t="str">
        <f aca="false">IF(O123=0,"-",INDEX($B$109:$M$109,MATCH(O123,B123:M123,0)))</f>
        <v>Ene</v>
      </c>
    </row>
    <row r="124" customFormat="false" ht="14.25" hidden="false" customHeight="true" outlineLevel="0" collapsed="false">
      <c r="A124" s="8" t="str">
        <f aca="false">parametros_manuales!$B$33</f>
        <v>Secado</v>
      </c>
      <c r="B124" s="9" t="n">
        <f aca="false">(parametros_manuales!$D$33*(datos_base!$F$2+datos_base!$F$18+IF(parametros_manuales!$H$33="Todos",datos_base!$F$9+datos_base!$F$23,0))*parametros_manuales!$B$95+parametros_manuales!$E$33*(datos_base!$F$3+datos_base!$F$19+IF(parametros_manuales!$H$33="Todos",datos_base!$F$10+datos_base!$F$24,0))*parametros_manuales!$B$100+parametros_manuales!$F$33*(datos_base!$F$4+datos_base!$F$20+IF(parametros_manuales!$H$33="Todos",datos_base!$F$11+datos_base!$F$25,0))*parametros_manuales!$B$105+parametros_manuales!$G$33*(datos_base!$F$5+datos_base!$F$21+IF(parametros_manuales!$H$33="Todos",datos_base!$F$12+datos_base!$F$26,0))*parametros_manuales!$B$110)*parametros_manuales!$I$33*parametros_manuales!$J$33</f>
        <v>7942.291697511</v>
      </c>
      <c r="C124" s="9" t="n">
        <f aca="false">(parametros_manuales!$D$33*(datos_base!$F$2+datos_base!$F$18+IF(parametros_manuales!$H$33="Todos",datos_base!$F$9+datos_base!$F$23,0))*parametros_manuales!$C$95+parametros_manuales!$E$33*(datos_base!$F$3+datos_base!$F$19+IF(parametros_manuales!$H$33="Todos",datos_base!$F$10+datos_base!$F$24,0))*parametros_manuales!$C$100+parametros_manuales!$F$33*(datos_base!$F$4+datos_base!$F$20+IF(parametros_manuales!$H$33="Todos",datos_base!$F$11+datos_base!$F$25,0))*parametros_manuales!$C$105+parametros_manuales!$G$33*(datos_base!$F$5+datos_base!$F$21+IF(parametros_manuales!$H$33="Todos",datos_base!$F$12+datos_base!$F$26,0))*parametros_manuales!$C$110)*parametros_manuales!$I$33*parametros_manuales!$J$33</f>
        <v>7680.969169332</v>
      </c>
      <c r="D124" s="9" t="n">
        <f aca="false">(parametros_manuales!$D$33*(datos_base!$F$2+datos_base!$F$18+IF(parametros_manuales!$H$33="Todos",datos_base!$F$9+datos_base!$F$23,0))*parametros_manuales!$D$95+parametros_manuales!$E$33*(datos_base!$F$3+datos_base!$F$19+IF(parametros_manuales!$H$33="Todos",datos_base!$F$10+datos_base!$F$24,0))*parametros_manuales!$D$100+parametros_manuales!$F$33*(datos_base!$F$4+datos_base!$F$20+IF(parametros_manuales!$H$33="Todos",datos_base!$F$11+datos_base!$F$25,0))*parametros_manuales!$D$105+parametros_manuales!$G$33*(datos_base!$F$5+datos_base!$F$21+IF(parametros_manuales!$H$33="Todos",datos_base!$F$12+datos_base!$F$26,0))*parametros_manuales!$D$110)*parametros_manuales!$I$33*parametros_manuales!$J$33</f>
        <v>7190.4761063215</v>
      </c>
      <c r="E124" s="9" t="n">
        <f aca="false">(parametros_manuales!$D$33*(datos_base!$F$2+datos_base!$F$18+IF(parametros_manuales!$H$33="Todos",datos_base!$F$9+datos_base!$F$23,0))*parametros_manuales!$E$95+parametros_manuales!$E$33*(datos_base!$F$3+datos_base!$F$19+IF(parametros_manuales!$H$33="Todos",datos_base!$F$10+datos_base!$F$24,0))*parametros_manuales!$E$100+parametros_manuales!$F$33*(datos_base!$F$4+datos_base!$F$20+IF(parametros_manuales!$H$33="Todos",datos_base!$F$11+datos_base!$F$25,0))*parametros_manuales!$E$105+parametros_manuales!$G$33*(datos_base!$F$5+datos_base!$F$21+IF(parametros_manuales!$H$33="Todos",datos_base!$F$12+datos_base!$F$26,0))*parametros_manuales!$E$110)*parametros_manuales!$I$33*parametros_manuales!$J$33</f>
        <v>6879.8989427715</v>
      </c>
      <c r="F124" s="9" t="n">
        <f aca="false">(parametros_manuales!$D$33*(datos_base!$F$2+datos_base!$F$18+IF(parametros_manuales!$H$33="Todos",datos_base!$F$9+datos_base!$F$23,0))*parametros_manuales!$F$95+parametros_manuales!$E$33*(datos_base!$F$3+datos_base!$F$19+IF(parametros_manuales!$H$33="Todos",datos_base!$F$10+datos_base!$F$24,0))*parametros_manuales!$F$100+parametros_manuales!$F$33*(datos_base!$F$4+datos_base!$F$20+IF(parametros_manuales!$H$33="Todos",datos_base!$F$11+datos_base!$F$25,0))*parametros_manuales!$F$105+parametros_manuales!$G$33*(datos_base!$F$5+datos_base!$F$21+IF(parametros_manuales!$H$33="Todos",datos_base!$F$12+datos_base!$F$26,0))*parametros_manuales!$F$110)*parametros_manuales!$I$33*parametros_manuales!$J$33</f>
        <v>6438.660515132</v>
      </c>
      <c r="G124" s="9" t="n">
        <f aca="false">(parametros_manuales!$D$33*(datos_base!$F$2+datos_base!$F$18+IF(parametros_manuales!$H$33="Todos",datos_base!$F$9+datos_base!$F$23,0))*parametros_manuales!$G$95+parametros_manuales!$E$33*(datos_base!$F$3+datos_base!$F$19+IF(parametros_manuales!$H$33="Todos",datos_base!$F$10+datos_base!$F$24,0))*parametros_manuales!$G$100+parametros_manuales!$F$33*(datos_base!$F$4+datos_base!$F$20+IF(parametros_manuales!$H$33="Todos",datos_base!$F$11+datos_base!$F$25,0))*parametros_manuales!$G$105+parametros_manuales!$G$33*(datos_base!$F$5+datos_base!$F$21+IF(parametros_manuales!$H$33="Todos",datos_base!$F$12+datos_base!$F$26,0))*parametros_manuales!$G$110)*parametros_manuales!$I$33*parametros_manuales!$J$33</f>
        <v>6307.9992510425</v>
      </c>
      <c r="H124" s="9" t="n">
        <f aca="false">(parametros_manuales!$D$33*(datos_base!$F$2+datos_base!$F$18+IF(parametros_manuales!$H$33="Todos",datos_base!$F$9+datos_base!$F$23,0))*parametros_manuales!$H$95+parametros_manuales!$E$33*(datos_base!$F$3+datos_base!$F$19+IF(parametros_manuales!$H$33="Todos",datos_base!$F$10+datos_base!$F$24,0))*parametros_manuales!$H$100+parametros_manuales!$F$33*(datos_base!$F$4+datos_base!$F$20+IF(parametros_manuales!$H$33="Todos",datos_base!$F$11+datos_base!$F$25,0))*parametros_manuales!$H$105+parametros_manuales!$G$33*(datos_base!$F$5+datos_base!$F$21+IF(parametros_manuales!$H$33="Todos",datos_base!$F$12+datos_base!$F$26,0))*parametros_manuales!$H$110)*parametros_manuales!$I$33*parametros_manuales!$J$33</f>
        <v>6749.237678682</v>
      </c>
      <c r="I124" s="9" t="n">
        <f aca="false">(parametros_manuales!$D$33*(datos_base!$F$2+datos_base!$F$18+IF(parametros_manuales!$H$33="Todos",datos_base!$F$9+datos_base!$F$23,0))*parametros_manuales!$I$95+parametros_manuales!$E$33*(datos_base!$F$3+datos_base!$F$19+IF(parametros_manuales!$H$33="Todos",datos_base!$F$10+datos_base!$F$24,0))*parametros_manuales!$I$100+parametros_manuales!$F$33*(datos_base!$F$4+datos_base!$F$20+IF(parametros_manuales!$H$33="Todos",datos_base!$F$11+datos_base!$F$25,0))*parametros_manuales!$I$105+parametros_manuales!$G$33*(datos_base!$F$5+datos_base!$F$21+IF(parametros_manuales!$H$33="Todos",datos_base!$F$12+datos_base!$F$26,0))*parametros_manuales!$I$110)*parametros_manuales!$I$33*parametros_manuales!$J$33</f>
        <v>7680.969169332</v>
      </c>
      <c r="J124" s="9" t="n">
        <f aca="false">(parametros_manuales!$D$33*(datos_base!$F$2+datos_base!$F$18+IF(parametros_manuales!$H$33="Todos",datos_base!$F$9+datos_base!$F$23,0))*parametros_manuales!$J$95+parametros_manuales!$E$33*(datos_base!$F$3+datos_base!$F$19+IF(parametros_manuales!$H$33="Todos",datos_base!$F$10+datos_base!$F$24,0))*parametros_manuales!$J$100+parametros_manuales!$F$33*(datos_base!$F$4+datos_base!$F$20+IF(parametros_manuales!$H$33="Todos",datos_base!$F$11+datos_base!$F$25,0))*parametros_manuales!$J$105+parametros_manuales!$G$33*(datos_base!$F$5+datos_base!$F$21+IF(parametros_manuales!$H$33="Todos",datos_base!$F$12+datos_base!$F$26,0))*parametros_manuales!$J$110)*parametros_manuales!$I$33*parametros_manuales!$J$33</f>
        <v>7680.969169332</v>
      </c>
      <c r="K124" s="9" t="n">
        <f aca="false">(parametros_manuales!$D$33*(datos_base!$F$2+datos_base!$F$18+IF(parametros_manuales!$H$33="Todos",datos_base!$F$9+datos_base!$F$23,0))*parametros_manuales!$K$95+parametros_manuales!$E$33*(datos_base!$F$3+datos_base!$F$19+IF(parametros_manuales!$H$33="Todos",datos_base!$F$10+datos_base!$F$24,0))*parametros_manuales!$K$100+parametros_manuales!$F$33*(datos_base!$F$4+datos_base!$F$20+IF(parametros_manuales!$H$33="Todos",datos_base!$F$11+datos_base!$F$25,0))*parametros_manuales!$K$105+parametros_manuales!$G$33*(datos_base!$F$5+datos_base!$F$21+IF(parametros_manuales!$H$33="Todos",datos_base!$F$12+datos_base!$F$26,0))*parametros_manuales!$K$110)*parametros_manuales!$I$33*parametros_manuales!$J$33</f>
        <v>7811.6304334215</v>
      </c>
      <c r="L124" s="9" t="n">
        <f aca="false">(parametros_manuales!$D$33*(datos_base!$F$2+datos_base!$F$18+IF(parametros_manuales!$H$33="Todos",datos_base!$F$9+datos_base!$F$23,0))*parametros_manuales!$L$95+parametros_manuales!$E$33*(datos_base!$F$3+datos_base!$F$19+IF(parametros_manuales!$H$33="Todos",datos_base!$F$10+datos_base!$F$24,0))*parametros_manuales!$L$100+parametros_manuales!$F$33*(datos_base!$F$4+datos_base!$F$20+IF(parametros_manuales!$H$33="Todos",datos_base!$F$11+datos_base!$F$25,0))*parametros_manuales!$L$105+parametros_manuales!$G$33*(datos_base!$F$5+datos_base!$F$21+IF(parametros_manuales!$H$33="Todos",datos_base!$F$12+datos_base!$F$26,0))*parametros_manuales!$L$110)*parametros_manuales!$I$33*parametros_manuales!$J$33</f>
        <v>7942.291697511</v>
      </c>
      <c r="M124" s="9" t="n">
        <f aca="false">(parametros_manuales!$D$33*(datos_base!$F$2+datos_base!$F$18+IF(parametros_manuales!$H$33="Todos",datos_base!$F$9+datos_base!$F$23,0))*parametros_manuales!$M$95+parametros_manuales!$E$33*(datos_base!$F$3+datos_base!$F$19+IF(parametros_manuales!$H$33="Todos",datos_base!$F$10+datos_base!$F$24,0))*parametros_manuales!$M$100+parametros_manuales!$F$33*(datos_base!$F$4+datos_base!$F$20+IF(parametros_manuales!$H$33="Todos",datos_base!$F$11+datos_base!$F$25,0))*parametros_manuales!$M$105+parametros_manuales!$G$33*(datos_base!$F$5+datos_base!$F$21+IF(parametros_manuales!$H$33="Todos",datos_base!$F$12+datos_base!$F$26,0))*parametros_manuales!$M$110)*parametros_manuales!$I$33*parametros_manuales!$J$33</f>
        <v>7942.291697511</v>
      </c>
      <c r="N124" s="9" t="n">
        <f aca="false">SUM(B124:M124)</f>
        <v>88247.6855279</v>
      </c>
      <c r="O124" s="9" t="n">
        <f aca="false">MAX(B124:M124)</f>
        <v>7942.291697511</v>
      </c>
      <c r="P124" s="43" t="n">
        <f aca="false">O124/(parametros_manuales!$B$7)</f>
        <v>52.94861131674</v>
      </c>
      <c r="Q124" s="8" t="str">
        <f aca="false">IF(O124=0,"-",INDEX($B$109:$M$109,MATCH(O124,B124:M124,0)))</f>
        <v>Ene</v>
      </c>
    </row>
    <row r="125" customFormat="false" ht="14.25" hidden="false" customHeight="true" outlineLevel="0" collapsed="false">
      <c r="A125" s="8" t="str">
        <f aca="false">parametros_manuales!$B$34</f>
        <v>Granallado</v>
      </c>
      <c r="B125" s="9" t="n">
        <f aca="false">(parametros_manuales!$D$34*(datos_base!$F$2+datos_base!$F$18+IF(parametros_manuales!$H$34="Todos",datos_base!$F$9+datos_base!$F$23,0))*parametros_manuales!$B$95+parametros_manuales!$E$34*(datos_base!$F$3+datos_base!$F$19+IF(parametros_manuales!$H$34="Todos",datos_base!$F$10+datos_base!$F$24,0))*parametros_manuales!$B$100+parametros_manuales!$F$34*(datos_base!$F$4+datos_base!$F$20+IF(parametros_manuales!$H$34="Todos",datos_base!$F$11+datos_base!$F$25,0))*parametros_manuales!$B$105+parametros_manuales!$G$34*(datos_base!$F$5+datos_base!$F$21+IF(parametros_manuales!$H$34="Todos",datos_base!$F$12+datos_base!$F$26,0))*parametros_manuales!$B$110)*parametros_manuales!$I$34*parametros_manuales!$J$34</f>
        <v>7942.291697511</v>
      </c>
      <c r="C125" s="9" t="n">
        <f aca="false">(parametros_manuales!$D$34*(datos_base!$F$2+datos_base!$F$18+IF(parametros_manuales!$H$34="Todos",datos_base!$F$9+datos_base!$F$23,0))*parametros_manuales!$C$95+parametros_manuales!$E$34*(datos_base!$F$3+datos_base!$F$19+IF(parametros_manuales!$H$34="Todos",datos_base!$F$10+datos_base!$F$24,0))*parametros_manuales!$C$100+parametros_manuales!$F$34*(datos_base!$F$4+datos_base!$F$20+IF(parametros_manuales!$H$34="Todos",datos_base!$F$11+datos_base!$F$25,0))*parametros_manuales!$C$105+parametros_manuales!$G$34*(datos_base!$F$5+datos_base!$F$21+IF(parametros_manuales!$H$34="Todos",datos_base!$F$12+datos_base!$F$26,0))*parametros_manuales!$C$110)*parametros_manuales!$I$34*parametros_manuales!$J$34</f>
        <v>7680.969169332</v>
      </c>
      <c r="D125" s="9" t="n">
        <f aca="false">(parametros_manuales!$D$34*(datos_base!$F$2+datos_base!$F$18+IF(parametros_manuales!$H$34="Todos",datos_base!$F$9+datos_base!$F$23,0))*parametros_manuales!$D$95+parametros_manuales!$E$34*(datos_base!$F$3+datos_base!$F$19+IF(parametros_manuales!$H$34="Todos",datos_base!$F$10+datos_base!$F$24,0))*parametros_manuales!$D$100+parametros_manuales!$F$34*(datos_base!$F$4+datos_base!$F$20+IF(parametros_manuales!$H$34="Todos",datos_base!$F$11+datos_base!$F$25,0))*parametros_manuales!$D$105+parametros_manuales!$G$34*(datos_base!$F$5+datos_base!$F$21+IF(parametros_manuales!$H$34="Todos",datos_base!$F$12+datos_base!$F$26,0))*parametros_manuales!$D$110)*parametros_manuales!$I$34*parametros_manuales!$J$34</f>
        <v>7190.4761063215</v>
      </c>
      <c r="E125" s="9" t="n">
        <f aca="false">(parametros_manuales!$D$34*(datos_base!$F$2+datos_base!$F$18+IF(parametros_manuales!$H$34="Todos",datos_base!$F$9+datos_base!$F$23,0))*parametros_manuales!$E$95+parametros_manuales!$E$34*(datos_base!$F$3+datos_base!$F$19+IF(parametros_manuales!$H$34="Todos",datos_base!$F$10+datos_base!$F$24,0))*parametros_manuales!$E$100+parametros_manuales!$F$34*(datos_base!$F$4+datos_base!$F$20+IF(parametros_manuales!$H$34="Todos",datos_base!$F$11+datos_base!$F$25,0))*parametros_manuales!$E$105+parametros_manuales!$G$34*(datos_base!$F$5+datos_base!$F$21+IF(parametros_manuales!$H$34="Todos",datos_base!$F$12+datos_base!$F$26,0))*parametros_manuales!$E$110)*parametros_manuales!$I$34*parametros_manuales!$J$34</f>
        <v>6879.8989427715</v>
      </c>
      <c r="F125" s="9" t="n">
        <f aca="false">(parametros_manuales!$D$34*(datos_base!$F$2+datos_base!$F$18+IF(parametros_manuales!$H$34="Todos",datos_base!$F$9+datos_base!$F$23,0))*parametros_manuales!$F$95+parametros_manuales!$E$34*(datos_base!$F$3+datos_base!$F$19+IF(parametros_manuales!$H$34="Todos",datos_base!$F$10+datos_base!$F$24,0))*parametros_manuales!$F$100+parametros_manuales!$F$34*(datos_base!$F$4+datos_base!$F$20+IF(parametros_manuales!$H$34="Todos",datos_base!$F$11+datos_base!$F$25,0))*parametros_manuales!$F$105+parametros_manuales!$G$34*(datos_base!$F$5+datos_base!$F$21+IF(parametros_manuales!$H$34="Todos",datos_base!$F$12+datos_base!$F$26,0))*parametros_manuales!$F$110)*parametros_manuales!$I$34*parametros_manuales!$J$34</f>
        <v>6438.660515132</v>
      </c>
      <c r="G125" s="9" t="n">
        <f aca="false">(parametros_manuales!$D$34*(datos_base!$F$2+datos_base!$F$18+IF(parametros_manuales!$H$34="Todos",datos_base!$F$9+datos_base!$F$23,0))*parametros_manuales!$G$95+parametros_manuales!$E$34*(datos_base!$F$3+datos_base!$F$19+IF(parametros_manuales!$H$34="Todos",datos_base!$F$10+datos_base!$F$24,0))*parametros_manuales!$G$100+parametros_manuales!$F$34*(datos_base!$F$4+datos_base!$F$20+IF(parametros_manuales!$H$34="Todos",datos_base!$F$11+datos_base!$F$25,0))*parametros_manuales!$G$105+parametros_manuales!$G$34*(datos_base!$F$5+datos_base!$F$21+IF(parametros_manuales!$H$34="Todos",datos_base!$F$12+datos_base!$F$26,0))*parametros_manuales!$G$110)*parametros_manuales!$I$34*parametros_manuales!$J$34</f>
        <v>6307.9992510425</v>
      </c>
      <c r="H125" s="9" t="n">
        <f aca="false">(parametros_manuales!$D$34*(datos_base!$F$2+datos_base!$F$18+IF(parametros_manuales!$H$34="Todos",datos_base!$F$9+datos_base!$F$23,0))*parametros_manuales!$H$95+parametros_manuales!$E$34*(datos_base!$F$3+datos_base!$F$19+IF(parametros_manuales!$H$34="Todos",datos_base!$F$10+datos_base!$F$24,0))*parametros_manuales!$H$100+parametros_manuales!$F$34*(datos_base!$F$4+datos_base!$F$20+IF(parametros_manuales!$H$34="Todos",datos_base!$F$11+datos_base!$F$25,0))*parametros_manuales!$H$105+parametros_manuales!$G$34*(datos_base!$F$5+datos_base!$F$21+IF(parametros_manuales!$H$34="Todos",datos_base!$F$12+datos_base!$F$26,0))*parametros_manuales!$H$110)*parametros_manuales!$I$34*parametros_manuales!$J$34</f>
        <v>6749.237678682</v>
      </c>
      <c r="I125" s="9" t="n">
        <f aca="false">(parametros_manuales!$D$34*(datos_base!$F$2+datos_base!$F$18+IF(parametros_manuales!$H$34="Todos",datos_base!$F$9+datos_base!$F$23,0))*parametros_manuales!$I$95+parametros_manuales!$E$34*(datos_base!$F$3+datos_base!$F$19+IF(parametros_manuales!$H$34="Todos",datos_base!$F$10+datos_base!$F$24,0))*parametros_manuales!$I$100+parametros_manuales!$F$34*(datos_base!$F$4+datos_base!$F$20+IF(parametros_manuales!$H$34="Todos",datos_base!$F$11+datos_base!$F$25,0))*parametros_manuales!$I$105+parametros_manuales!$G$34*(datos_base!$F$5+datos_base!$F$21+IF(parametros_manuales!$H$34="Todos",datos_base!$F$12+datos_base!$F$26,0))*parametros_manuales!$I$110)*parametros_manuales!$I$34*parametros_manuales!$J$34</f>
        <v>7680.969169332</v>
      </c>
      <c r="J125" s="9" t="n">
        <f aca="false">(parametros_manuales!$D$34*(datos_base!$F$2+datos_base!$F$18+IF(parametros_manuales!$H$34="Todos",datos_base!$F$9+datos_base!$F$23,0))*parametros_manuales!$J$95+parametros_manuales!$E$34*(datos_base!$F$3+datos_base!$F$19+IF(parametros_manuales!$H$34="Todos",datos_base!$F$10+datos_base!$F$24,0))*parametros_manuales!$J$100+parametros_manuales!$F$34*(datos_base!$F$4+datos_base!$F$20+IF(parametros_manuales!$H$34="Todos",datos_base!$F$11+datos_base!$F$25,0))*parametros_manuales!$J$105+parametros_manuales!$G$34*(datos_base!$F$5+datos_base!$F$21+IF(parametros_manuales!$H$34="Todos",datos_base!$F$12+datos_base!$F$26,0))*parametros_manuales!$J$110)*parametros_manuales!$I$34*parametros_manuales!$J$34</f>
        <v>7680.969169332</v>
      </c>
      <c r="K125" s="9" t="n">
        <f aca="false">(parametros_manuales!$D$34*(datos_base!$F$2+datos_base!$F$18+IF(parametros_manuales!$H$34="Todos",datos_base!$F$9+datos_base!$F$23,0))*parametros_manuales!$K$95+parametros_manuales!$E$34*(datos_base!$F$3+datos_base!$F$19+IF(parametros_manuales!$H$34="Todos",datos_base!$F$10+datos_base!$F$24,0))*parametros_manuales!$K$100+parametros_manuales!$F$34*(datos_base!$F$4+datos_base!$F$20+IF(parametros_manuales!$H$34="Todos",datos_base!$F$11+datos_base!$F$25,0))*parametros_manuales!$K$105+parametros_manuales!$G$34*(datos_base!$F$5+datos_base!$F$21+IF(parametros_manuales!$H$34="Todos",datos_base!$F$12+datos_base!$F$26,0))*parametros_manuales!$K$110)*parametros_manuales!$I$34*parametros_manuales!$J$34</f>
        <v>7811.6304334215</v>
      </c>
      <c r="L125" s="9" t="n">
        <f aca="false">(parametros_manuales!$D$34*(datos_base!$F$2+datos_base!$F$18+IF(parametros_manuales!$H$34="Todos",datos_base!$F$9+datos_base!$F$23,0))*parametros_manuales!$L$95+parametros_manuales!$E$34*(datos_base!$F$3+datos_base!$F$19+IF(parametros_manuales!$H$34="Todos",datos_base!$F$10+datos_base!$F$24,0))*parametros_manuales!$L$100+parametros_manuales!$F$34*(datos_base!$F$4+datos_base!$F$20+IF(parametros_manuales!$H$34="Todos",datos_base!$F$11+datos_base!$F$25,0))*parametros_manuales!$L$105+parametros_manuales!$G$34*(datos_base!$F$5+datos_base!$F$21+IF(parametros_manuales!$H$34="Todos",datos_base!$F$12+datos_base!$F$26,0))*parametros_manuales!$L$110)*parametros_manuales!$I$34*parametros_manuales!$J$34</f>
        <v>7942.291697511</v>
      </c>
      <c r="M125" s="9" t="n">
        <f aca="false">(parametros_manuales!$D$34*(datos_base!$F$2+datos_base!$F$18+IF(parametros_manuales!$H$34="Todos",datos_base!$F$9+datos_base!$F$23,0))*parametros_manuales!$M$95+parametros_manuales!$E$34*(datos_base!$F$3+datos_base!$F$19+IF(parametros_manuales!$H$34="Todos",datos_base!$F$10+datos_base!$F$24,0))*parametros_manuales!$M$100+parametros_manuales!$F$34*(datos_base!$F$4+datos_base!$F$20+IF(parametros_manuales!$H$34="Todos",datos_base!$F$11+datos_base!$F$25,0))*parametros_manuales!$M$105+parametros_manuales!$G$34*(datos_base!$F$5+datos_base!$F$21+IF(parametros_manuales!$H$34="Todos",datos_base!$F$12+datos_base!$F$26,0))*parametros_manuales!$M$110)*parametros_manuales!$I$34*parametros_manuales!$J$34</f>
        <v>7942.291697511</v>
      </c>
      <c r="N125" s="9" t="n">
        <f aca="false">SUM(B125:M125)</f>
        <v>88247.6855279</v>
      </c>
      <c r="O125" s="9" t="n">
        <f aca="false">MAX(B125:M125)</f>
        <v>7942.291697511</v>
      </c>
      <c r="P125" s="43" t="n">
        <f aca="false">O125/(parametros_manuales!$B$7)</f>
        <v>52.94861131674</v>
      </c>
      <c r="Q125" s="8" t="str">
        <f aca="false">IF(O125=0,"-",INDEX($B$109:$M$109,MATCH(O125,B125:M125,0)))</f>
        <v>Ene</v>
      </c>
    </row>
    <row r="126" customFormat="false" ht="14.25" hidden="false" customHeight="true" outlineLevel="0" collapsed="false">
      <c r="A126" s="8" t="str">
        <f aca="false">parametros_manuales!$B$35</f>
        <v>Detección de defectos</v>
      </c>
      <c r="B126" s="9" t="n">
        <f aca="false">(parametros_manuales!$D$35*(datos_base!$F$2+datos_base!$F$18+IF(parametros_manuales!$H$35="Todos",datos_base!$F$9+datos_base!$F$23,0))*parametros_manuales!$B$95+parametros_manuales!$E$35*(datos_base!$F$3+datos_base!$F$19+IF(parametros_manuales!$H$35="Todos",datos_base!$F$10+datos_base!$F$24,0))*parametros_manuales!$B$100+parametros_manuales!$F$35*(datos_base!$F$4+datos_base!$F$20+IF(parametros_manuales!$H$35="Todos",datos_base!$F$11+datos_base!$F$25,0))*parametros_manuales!$B$105+parametros_manuales!$G$35*(datos_base!$F$5+datos_base!$F$21+IF(parametros_manuales!$H$35="Todos",datos_base!$F$12+datos_base!$F$26,0))*parametros_manuales!$B$110)*parametros_manuales!$I$35*parametros_manuales!$J$35</f>
        <v>7942.291697511</v>
      </c>
      <c r="C126" s="9" t="n">
        <f aca="false">(parametros_manuales!$D$35*(datos_base!$F$2+datos_base!$F$18+IF(parametros_manuales!$H$35="Todos",datos_base!$F$9+datos_base!$F$23,0))*parametros_manuales!$C$95+parametros_manuales!$E$35*(datos_base!$F$3+datos_base!$F$19+IF(parametros_manuales!$H$35="Todos",datos_base!$F$10+datos_base!$F$24,0))*parametros_manuales!$C$100+parametros_manuales!$F$35*(datos_base!$F$4+datos_base!$F$20+IF(parametros_manuales!$H$35="Todos",datos_base!$F$11+datos_base!$F$25,0))*parametros_manuales!$C$105+parametros_manuales!$G$35*(datos_base!$F$5+datos_base!$F$21+IF(parametros_manuales!$H$35="Todos",datos_base!$F$12+datos_base!$F$26,0))*parametros_manuales!$C$110)*parametros_manuales!$I$35*parametros_manuales!$J$35</f>
        <v>7680.969169332</v>
      </c>
      <c r="D126" s="9" t="n">
        <f aca="false">(parametros_manuales!$D$35*(datos_base!$F$2+datos_base!$F$18+IF(parametros_manuales!$H$35="Todos",datos_base!$F$9+datos_base!$F$23,0))*parametros_manuales!$D$95+parametros_manuales!$E$35*(datos_base!$F$3+datos_base!$F$19+IF(parametros_manuales!$H$35="Todos",datos_base!$F$10+datos_base!$F$24,0))*parametros_manuales!$D$100+parametros_manuales!$F$35*(datos_base!$F$4+datos_base!$F$20+IF(parametros_manuales!$H$35="Todos",datos_base!$F$11+datos_base!$F$25,0))*parametros_manuales!$D$105+parametros_manuales!$G$35*(datos_base!$F$5+datos_base!$F$21+IF(parametros_manuales!$H$35="Todos",datos_base!$F$12+datos_base!$F$26,0))*parametros_manuales!$D$110)*parametros_manuales!$I$35*parametros_manuales!$J$35</f>
        <v>7190.4761063215</v>
      </c>
      <c r="E126" s="9" t="n">
        <f aca="false">(parametros_manuales!$D$35*(datos_base!$F$2+datos_base!$F$18+IF(parametros_manuales!$H$35="Todos",datos_base!$F$9+datos_base!$F$23,0))*parametros_manuales!$E$95+parametros_manuales!$E$35*(datos_base!$F$3+datos_base!$F$19+IF(parametros_manuales!$H$35="Todos",datos_base!$F$10+datos_base!$F$24,0))*parametros_manuales!$E$100+parametros_manuales!$F$35*(datos_base!$F$4+datos_base!$F$20+IF(parametros_manuales!$H$35="Todos",datos_base!$F$11+datos_base!$F$25,0))*parametros_manuales!$E$105+parametros_manuales!$G$35*(datos_base!$F$5+datos_base!$F$21+IF(parametros_manuales!$H$35="Todos",datos_base!$F$12+datos_base!$F$26,0))*parametros_manuales!$E$110)*parametros_manuales!$I$35*parametros_manuales!$J$35</f>
        <v>6879.8989427715</v>
      </c>
      <c r="F126" s="9" t="n">
        <f aca="false">(parametros_manuales!$D$35*(datos_base!$F$2+datos_base!$F$18+IF(parametros_manuales!$H$35="Todos",datos_base!$F$9+datos_base!$F$23,0))*parametros_manuales!$F$95+parametros_manuales!$E$35*(datos_base!$F$3+datos_base!$F$19+IF(parametros_manuales!$H$35="Todos",datos_base!$F$10+datos_base!$F$24,0))*parametros_manuales!$F$100+parametros_manuales!$F$35*(datos_base!$F$4+datos_base!$F$20+IF(parametros_manuales!$H$35="Todos",datos_base!$F$11+datos_base!$F$25,0))*parametros_manuales!$F$105+parametros_manuales!$G$35*(datos_base!$F$5+datos_base!$F$21+IF(parametros_manuales!$H$35="Todos",datos_base!$F$12+datos_base!$F$26,0))*parametros_manuales!$F$110)*parametros_manuales!$I$35*parametros_manuales!$J$35</f>
        <v>6438.660515132</v>
      </c>
      <c r="G126" s="9" t="n">
        <f aca="false">(parametros_manuales!$D$35*(datos_base!$F$2+datos_base!$F$18+IF(parametros_manuales!$H$35="Todos",datos_base!$F$9+datos_base!$F$23,0))*parametros_manuales!$G$95+parametros_manuales!$E$35*(datos_base!$F$3+datos_base!$F$19+IF(parametros_manuales!$H$35="Todos",datos_base!$F$10+datos_base!$F$24,0))*parametros_manuales!$G$100+parametros_manuales!$F$35*(datos_base!$F$4+datos_base!$F$20+IF(parametros_manuales!$H$35="Todos",datos_base!$F$11+datos_base!$F$25,0))*parametros_manuales!$G$105+parametros_manuales!$G$35*(datos_base!$F$5+datos_base!$F$21+IF(parametros_manuales!$H$35="Todos",datos_base!$F$12+datos_base!$F$26,0))*parametros_manuales!$G$110)*parametros_manuales!$I$35*parametros_manuales!$J$35</f>
        <v>6307.9992510425</v>
      </c>
      <c r="H126" s="9" t="n">
        <f aca="false">(parametros_manuales!$D$35*(datos_base!$F$2+datos_base!$F$18+IF(parametros_manuales!$H$35="Todos",datos_base!$F$9+datos_base!$F$23,0))*parametros_manuales!$H$95+parametros_manuales!$E$35*(datos_base!$F$3+datos_base!$F$19+IF(parametros_manuales!$H$35="Todos",datos_base!$F$10+datos_base!$F$24,0))*parametros_manuales!$H$100+parametros_manuales!$F$35*(datos_base!$F$4+datos_base!$F$20+IF(parametros_manuales!$H$35="Todos",datos_base!$F$11+datos_base!$F$25,0))*parametros_manuales!$H$105+parametros_manuales!$G$35*(datos_base!$F$5+datos_base!$F$21+IF(parametros_manuales!$H$35="Todos",datos_base!$F$12+datos_base!$F$26,0))*parametros_manuales!$H$110)*parametros_manuales!$I$35*parametros_manuales!$J$35</f>
        <v>6749.237678682</v>
      </c>
      <c r="I126" s="9" t="n">
        <f aca="false">(parametros_manuales!$D$35*(datos_base!$F$2+datos_base!$F$18+IF(parametros_manuales!$H$35="Todos",datos_base!$F$9+datos_base!$F$23,0))*parametros_manuales!$I$95+parametros_manuales!$E$35*(datos_base!$F$3+datos_base!$F$19+IF(parametros_manuales!$H$35="Todos",datos_base!$F$10+datos_base!$F$24,0))*parametros_manuales!$I$100+parametros_manuales!$F$35*(datos_base!$F$4+datos_base!$F$20+IF(parametros_manuales!$H$35="Todos",datos_base!$F$11+datos_base!$F$25,0))*parametros_manuales!$I$105+parametros_manuales!$G$35*(datos_base!$F$5+datos_base!$F$21+IF(parametros_manuales!$H$35="Todos",datos_base!$F$12+datos_base!$F$26,0))*parametros_manuales!$I$110)*parametros_manuales!$I$35*parametros_manuales!$J$35</f>
        <v>7680.969169332</v>
      </c>
      <c r="J126" s="9" t="n">
        <f aca="false">(parametros_manuales!$D$35*(datos_base!$F$2+datos_base!$F$18+IF(parametros_manuales!$H$35="Todos",datos_base!$F$9+datos_base!$F$23,0))*parametros_manuales!$J$95+parametros_manuales!$E$35*(datos_base!$F$3+datos_base!$F$19+IF(parametros_manuales!$H$35="Todos",datos_base!$F$10+datos_base!$F$24,0))*parametros_manuales!$J$100+parametros_manuales!$F$35*(datos_base!$F$4+datos_base!$F$20+IF(parametros_manuales!$H$35="Todos",datos_base!$F$11+datos_base!$F$25,0))*parametros_manuales!$J$105+parametros_manuales!$G$35*(datos_base!$F$5+datos_base!$F$21+IF(parametros_manuales!$H$35="Todos",datos_base!$F$12+datos_base!$F$26,0))*parametros_manuales!$J$110)*parametros_manuales!$I$35*parametros_manuales!$J$35</f>
        <v>7680.969169332</v>
      </c>
      <c r="K126" s="9" t="n">
        <f aca="false">(parametros_manuales!$D$35*(datos_base!$F$2+datos_base!$F$18+IF(parametros_manuales!$H$35="Todos",datos_base!$F$9+datos_base!$F$23,0))*parametros_manuales!$K$95+parametros_manuales!$E$35*(datos_base!$F$3+datos_base!$F$19+IF(parametros_manuales!$H$35="Todos",datos_base!$F$10+datos_base!$F$24,0))*parametros_manuales!$K$100+parametros_manuales!$F$35*(datos_base!$F$4+datos_base!$F$20+IF(parametros_manuales!$H$35="Todos",datos_base!$F$11+datos_base!$F$25,0))*parametros_manuales!$K$105+parametros_manuales!$G$35*(datos_base!$F$5+datos_base!$F$21+IF(parametros_manuales!$H$35="Todos",datos_base!$F$12+datos_base!$F$26,0))*parametros_manuales!$K$110)*parametros_manuales!$I$35*parametros_manuales!$J$35</f>
        <v>7811.6304334215</v>
      </c>
      <c r="L126" s="9" t="n">
        <f aca="false">(parametros_manuales!$D$35*(datos_base!$F$2+datos_base!$F$18+IF(parametros_manuales!$H$35="Todos",datos_base!$F$9+datos_base!$F$23,0))*parametros_manuales!$L$95+parametros_manuales!$E$35*(datos_base!$F$3+datos_base!$F$19+IF(parametros_manuales!$H$35="Todos",datos_base!$F$10+datos_base!$F$24,0))*parametros_manuales!$L$100+parametros_manuales!$F$35*(datos_base!$F$4+datos_base!$F$20+IF(parametros_manuales!$H$35="Todos",datos_base!$F$11+datos_base!$F$25,0))*parametros_manuales!$L$105+parametros_manuales!$G$35*(datos_base!$F$5+datos_base!$F$21+IF(parametros_manuales!$H$35="Todos",datos_base!$F$12+datos_base!$F$26,0))*parametros_manuales!$L$110)*parametros_manuales!$I$35*parametros_manuales!$J$35</f>
        <v>7942.291697511</v>
      </c>
      <c r="M126" s="9" t="n">
        <f aca="false">(parametros_manuales!$D$35*(datos_base!$F$2+datos_base!$F$18+IF(parametros_manuales!$H$35="Todos",datos_base!$F$9+datos_base!$F$23,0))*parametros_manuales!$M$95+parametros_manuales!$E$35*(datos_base!$F$3+datos_base!$F$19+IF(parametros_manuales!$H$35="Todos",datos_base!$F$10+datos_base!$F$24,0))*parametros_manuales!$M$100+parametros_manuales!$F$35*(datos_base!$F$4+datos_base!$F$20+IF(parametros_manuales!$H$35="Todos",datos_base!$F$11+datos_base!$F$25,0))*parametros_manuales!$M$105+parametros_manuales!$G$35*(datos_base!$F$5+datos_base!$F$21+IF(parametros_manuales!$H$35="Todos",datos_base!$F$12+datos_base!$F$26,0))*parametros_manuales!$M$110)*parametros_manuales!$I$35*parametros_manuales!$J$35</f>
        <v>7942.291697511</v>
      </c>
      <c r="N126" s="9" t="n">
        <f aca="false">SUM(B126:M126)</f>
        <v>88247.6855279</v>
      </c>
      <c r="O126" s="9" t="n">
        <f aca="false">MAX(B126:M126)</f>
        <v>7942.291697511</v>
      </c>
      <c r="P126" s="43" t="n">
        <f aca="false">O126/(parametros_manuales!$B$7)</f>
        <v>52.94861131674</v>
      </c>
      <c r="Q126" s="8" t="str">
        <f aca="false">IF(O126=0,"-",INDEX($B$109:$M$109,MATCH(O126,B126:M126,0)))</f>
        <v>Ene</v>
      </c>
    </row>
    <row r="127" customFormat="false" ht="14.25" hidden="false" customHeight="true" outlineLevel="0" collapsed="false">
      <c r="A127" s="8" t="str">
        <f aca="false">parametros_manuales!$B$36</f>
        <v>Corrección de defectos</v>
      </c>
      <c r="B127" s="9" t="n">
        <f aca="false">(parametros_manuales!$D$36*(datos_base!$F$2+datos_base!$F$18+IF(parametros_manuales!$H$36="Todos",datos_base!$F$9+datos_base!$F$23,0))*parametros_manuales!$B$95+parametros_manuales!$E$36*(datos_base!$F$3+datos_base!$F$19+IF(parametros_manuales!$H$36="Todos",datos_base!$F$10+datos_base!$F$24,0))*parametros_manuales!$B$100+parametros_manuales!$F$36*(datos_base!$F$4+datos_base!$F$20+IF(parametros_manuales!$H$36="Todos",datos_base!$F$11+datos_base!$F$25,0))*parametros_manuales!$B$105+parametros_manuales!$G$36*(datos_base!$F$5+datos_base!$F$21+IF(parametros_manuales!$H$36="Todos",datos_base!$F$12+datos_base!$F$26,0))*parametros_manuales!$B$110)*parametros_manuales!$I$36*parametros_manuales!$J$36</f>
        <v>397.11458487555</v>
      </c>
      <c r="C127" s="9" t="n">
        <f aca="false">(parametros_manuales!$D$36*(datos_base!$F$2+datos_base!$F$18+IF(parametros_manuales!$H$36="Todos",datos_base!$F$9+datos_base!$F$23,0))*parametros_manuales!$C$95+parametros_manuales!$E$36*(datos_base!$F$3+datos_base!$F$19+IF(parametros_manuales!$H$36="Todos",datos_base!$F$10+datos_base!$F$24,0))*parametros_manuales!$C$100+parametros_manuales!$F$36*(datos_base!$F$4+datos_base!$F$20+IF(parametros_manuales!$H$36="Todos",datos_base!$F$11+datos_base!$F$25,0))*parametros_manuales!$C$105+parametros_manuales!$G$36*(datos_base!$F$5+datos_base!$F$21+IF(parametros_manuales!$H$36="Todos",datos_base!$F$12+datos_base!$F$26,0))*parametros_manuales!$C$110)*parametros_manuales!$I$36*parametros_manuales!$J$36</f>
        <v>384.0484584666</v>
      </c>
      <c r="D127" s="9" t="n">
        <f aca="false">(parametros_manuales!$D$36*(datos_base!$F$2+datos_base!$F$18+IF(parametros_manuales!$H$36="Todos",datos_base!$F$9+datos_base!$F$23,0))*parametros_manuales!$D$95+parametros_manuales!$E$36*(datos_base!$F$3+datos_base!$F$19+IF(parametros_manuales!$H$36="Todos",datos_base!$F$10+datos_base!$F$24,0))*parametros_manuales!$D$100+parametros_manuales!$F$36*(datos_base!$F$4+datos_base!$F$20+IF(parametros_manuales!$H$36="Todos",datos_base!$F$11+datos_base!$F$25,0))*parametros_manuales!$D$105+parametros_manuales!$G$36*(datos_base!$F$5+datos_base!$F$21+IF(parametros_manuales!$H$36="Todos",datos_base!$F$12+datos_base!$F$26,0))*parametros_manuales!$D$110)*parametros_manuales!$I$36*parametros_manuales!$J$36</f>
        <v>359.523805316075</v>
      </c>
      <c r="E127" s="9" t="n">
        <f aca="false">(parametros_manuales!$D$36*(datos_base!$F$2+datos_base!$F$18+IF(parametros_manuales!$H$36="Todos",datos_base!$F$9+datos_base!$F$23,0))*parametros_manuales!$E$95+parametros_manuales!$E$36*(datos_base!$F$3+datos_base!$F$19+IF(parametros_manuales!$H$36="Todos",datos_base!$F$10+datos_base!$F$24,0))*parametros_manuales!$E$100+parametros_manuales!$F$36*(datos_base!$F$4+datos_base!$F$20+IF(parametros_manuales!$H$36="Todos",datos_base!$F$11+datos_base!$F$25,0))*parametros_manuales!$E$105+parametros_manuales!$G$36*(datos_base!$F$5+datos_base!$F$21+IF(parametros_manuales!$H$36="Todos",datos_base!$F$12+datos_base!$F$26,0))*parametros_manuales!$E$110)*parametros_manuales!$I$36*parametros_manuales!$J$36</f>
        <v>343.994947138575</v>
      </c>
      <c r="F127" s="9" t="n">
        <f aca="false">(parametros_manuales!$D$36*(datos_base!$F$2+datos_base!$F$18+IF(parametros_manuales!$H$36="Todos",datos_base!$F$9+datos_base!$F$23,0))*parametros_manuales!$F$95+parametros_manuales!$E$36*(datos_base!$F$3+datos_base!$F$19+IF(parametros_manuales!$H$36="Todos",datos_base!$F$10+datos_base!$F$24,0))*parametros_manuales!$F$100+parametros_manuales!$F$36*(datos_base!$F$4+datos_base!$F$20+IF(parametros_manuales!$H$36="Todos",datos_base!$F$11+datos_base!$F$25,0))*parametros_manuales!$F$105+parametros_manuales!$G$36*(datos_base!$F$5+datos_base!$F$21+IF(parametros_manuales!$H$36="Todos",datos_base!$F$12+datos_base!$F$26,0))*parametros_manuales!$F$110)*parametros_manuales!$I$36*parametros_manuales!$J$36</f>
        <v>321.9330257566</v>
      </c>
      <c r="G127" s="9" t="n">
        <f aca="false">(parametros_manuales!$D$36*(datos_base!$F$2+datos_base!$F$18+IF(parametros_manuales!$H$36="Todos",datos_base!$F$9+datos_base!$F$23,0))*parametros_manuales!$G$95+parametros_manuales!$E$36*(datos_base!$F$3+datos_base!$F$19+IF(parametros_manuales!$H$36="Todos",datos_base!$F$10+datos_base!$F$24,0))*parametros_manuales!$G$100+parametros_manuales!$F$36*(datos_base!$F$4+datos_base!$F$20+IF(parametros_manuales!$H$36="Todos",datos_base!$F$11+datos_base!$F$25,0))*parametros_manuales!$G$105+parametros_manuales!$G$36*(datos_base!$F$5+datos_base!$F$21+IF(parametros_manuales!$H$36="Todos",datos_base!$F$12+datos_base!$F$26,0))*parametros_manuales!$G$110)*parametros_manuales!$I$36*parametros_manuales!$J$36</f>
        <v>315.399962552125</v>
      </c>
      <c r="H127" s="9" t="n">
        <f aca="false">(parametros_manuales!$D$36*(datos_base!$F$2+datos_base!$F$18+IF(parametros_manuales!$H$36="Todos",datos_base!$F$9+datos_base!$F$23,0))*parametros_manuales!$H$95+parametros_manuales!$E$36*(datos_base!$F$3+datos_base!$F$19+IF(parametros_manuales!$H$36="Todos",datos_base!$F$10+datos_base!$F$24,0))*parametros_manuales!$H$100+parametros_manuales!$F$36*(datos_base!$F$4+datos_base!$F$20+IF(parametros_manuales!$H$36="Todos",datos_base!$F$11+datos_base!$F$25,0))*parametros_manuales!$H$105+parametros_manuales!$G$36*(datos_base!$F$5+datos_base!$F$21+IF(parametros_manuales!$H$36="Todos",datos_base!$F$12+datos_base!$F$26,0))*parametros_manuales!$H$110)*parametros_manuales!$I$36*parametros_manuales!$J$36</f>
        <v>337.4618839341</v>
      </c>
      <c r="I127" s="9" t="n">
        <f aca="false">(parametros_manuales!$D$36*(datos_base!$F$2+datos_base!$F$18+IF(parametros_manuales!$H$36="Todos",datos_base!$F$9+datos_base!$F$23,0))*parametros_manuales!$I$95+parametros_manuales!$E$36*(datos_base!$F$3+datos_base!$F$19+IF(parametros_manuales!$H$36="Todos",datos_base!$F$10+datos_base!$F$24,0))*parametros_manuales!$I$100+parametros_manuales!$F$36*(datos_base!$F$4+datos_base!$F$20+IF(parametros_manuales!$H$36="Todos",datos_base!$F$11+datos_base!$F$25,0))*parametros_manuales!$I$105+parametros_manuales!$G$36*(datos_base!$F$5+datos_base!$F$21+IF(parametros_manuales!$H$36="Todos",datos_base!$F$12+datos_base!$F$26,0))*parametros_manuales!$I$110)*parametros_manuales!$I$36*parametros_manuales!$J$36</f>
        <v>384.0484584666</v>
      </c>
      <c r="J127" s="9" t="n">
        <f aca="false">(parametros_manuales!$D$36*(datos_base!$F$2+datos_base!$F$18+IF(parametros_manuales!$H$36="Todos",datos_base!$F$9+datos_base!$F$23,0))*parametros_manuales!$J$95+parametros_manuales!$E$36*(datos_base!$F$3+datos_base!$F$19+IF(parametros_manuales!$H$36="Todos",datos_base!$F$10+datos_base!$F$24,0))*parametros_manuales!$J$100+parametros_manuales!$F$36*(datos_base!$F$4+datos_base!$F$20+IF(parametros_manuales!$H$36="Todos",datos_base!$F$11+datos_base!$F$25,0))*parametros_manuales!$J$105+parametros_manuales!$G$36*(datos_base!$F$5+datos_base!$F$21+IF(parametros_manuales!$H$36="Todos",datos_base!$F$12+datos_base!$F$26,0))*parametros_manuales!$J$110)*parametros_manuales!$I$36*parametros_manuales!$J$36</f>
        <v>384.0484584666</v>
      </c>
      <c r="K127" s="9" t="n">
        <f aca="false">(parametros_manuales!$D$36*(datos_base!$F$2+datos_base!$F$18+IF(parametros_manuales!$H$36="Todos",datos_base!$F$9+datos_base!$F$23,0))*parametros_manuales!$K$95+parametros_manuales!$E$36*(datos_base!$F$3+datos_base!$F$19+IF(parametros_manuales!$H$36="Todos",datos_base!$F$10+datos_base!$F$24,0))*parametros_manuales!$K$100+parametros_manuales!$F$36*(datos_base!$F$4+datos_base!$F$20+IF(parametros_manuales!$H$36="Todos",datos_base!$F$11+datos_base!$F$25,0))*parametros_manuales!$K$105+parametros_manuales!$G$36*(datos_base!$F$5+datos_base!$F$21+IF(parametros_manuales!$H$36="Todos",datos_base!$F$12+datos_base!$F$26,0))*parametros_manuales!$K$110)*parametros_manuales!$I$36*parametros_manuales!$J$36</f>
        <v>390.581521671075</v>
      </c>
      <c r="L127" s="9" t="n">
        <f aca="false">(parametros_manuales!$D$36*(datos_base!$F$2+datos_base!$F$18+IF(parametros_manuales!$H$36="Todos",datos_base!$F$9+datos_base!$F$23,0))*parametros_manuales!$L$95+parametros_manuales!$E$36*(datos_base!$F$3+datos_base!$F$19+IF(parametros_manuales!$H$36="Todos",datos_base!$F$10+datos_base!$F$24,0))*parametros_manuales!$L$100+parametros_manuales!$F$36*(datos_base!$F$4+datos_base!$F$20+IF(parametros_manuales!$H$36="Todos",datos_base!$F$11+datos_base!$F$25,0))*parametros_manuales!$L$105+parametros_manuales!$G$36*(datos_base!$F$5+datos_base!$F$21+IF(parametros_manuales!$H$36="Todos",datos_base!$F$12+datos_base!$F$26,0))*parametros_manuales!$L$110)*parametros_manuales!$I$36*parametros_manuales!$J$36</f>
        <v>397.11458487555</v>
      </c>
      <c r="M127" s="9" t="n">
        <f aca="false">(parametros_manuales!$D$36*(datos_base!$F$2+datos_base!$F$18+IF(parametros_manuales!$H$36="Todos",datos_base!$F$9+datos_base!$F$23,0))*parametros_manuales!$M$95+parametros_manuales!$E$36*(datos_base!$F$3+datos_base!$F$19+IF(parametros_manuales!$H$36="Todos",datos_base!$F$10+datos_base!$F$24,0))*parametros_manuales!$M$100+parametros_manuales!$F$36*(datos_base!$F$4+datos_base!$F$20+IF(parametros_manuales!$H$36="Todos",datos_base!$F$11+datos_base!$F$25,0))*parametros_manuales!$M$105+parametros_manuales!$G$36*(datos_base!$F$5+datos_base!$F$21+IF(parametros_manuales!$H$36="Todos",datos_base!$F$12+datos_base!$F$26,0))*parametros_manuales!$M$110)*parametros_manuales!$I$36*parametros_manuales!$J$36</f>
        <v>397.11458487555</v>
      </c>
      <c r="N127" s="9" t="n">
        <f aca="false">SUM(B127:M127)</f>
        <v>4412.384276395</v>
      </c>
      <c r="O127" s="9" t="n">
        <f aca="false">MAX(B127:M127)</f>
        <v>397.11458487555</v>
      </c>
      <c r="P127" s="43" t="n">
        <f aca="false">O127/(parametros_manuales!$B$7)</f>
        <v>2.647430565837</v>
      </c>
      <c r="Q127" s="8" t="str">
        <f aca="false">IF(O127=0,"-",INDEX($B$109:$M$109,MATCH(O127,B127:M127,0)))</f>
        <v>Ene</v>
      </c>
    </row>
    <row r="128" customFormat="false" ht="14.25" hidden="false" customHeight="true" outlineLevel="0" collapsed="false">
      <c r="A128" s="8" t="str">
        <f aca="false">parametros_manuales!$B$37</f>
        <v>Pintura en polvo + horno</v>
      </c>
      <c r="B128" s="9" t="n">
        <f aca="false">(parametros_manuales!$D$37*(datos_base!$F$2+datos_base!$F$18+IF(parametros_manuales!$H$37="Todos",datos_base!$F$9+datos_base!$F$23,0))*parametros_manuales!$B$95+parametros_manuales!$E$37*(datos_base!$F$3+datos_base!$F$19+IF(parametros_manuales!$H$37="Todos",datos_base!$F$10+datos_base!$F$24,0))*parametros_manuales!$B$100+parametros_manuales!$F$37*(datos_base!$F$4+datos_base!$F$20+IF(parametros_manuales!$H$37="Todos",datos_base!$F$11+datos_base!$F$25,0))*parametros_manuales!$B$105+parametros_manuales!$G$37*(datos_base!$F$5+datos_base!$F$21+IF(parametros_manuales!$H$37="Todos",datos_base!$F$12+datos_base!$F$26,0))*parametros_manuales!$B$110)*parametros_manuales!$I$37*parametros_manuales!$J$37</f>
        <v>7942.291697511</v>
      </c>
      <c r="C128" s="9" t="n">
        <f aca="false">(parametros_manuales!$D$37*(datos_base!$F$2+datos_base!$F$18+IF(parametros_manuales!$H$37="Todos",datos_base!$F$9+datos_base!$F$23,0))*parametros_manuales!$C$95+parametros_manuales!$E$37*(datos_base!$F$3+datos_base!$F$19+IF(parametros_manuales!$H$37="Todos",datos_base!$F$10+datos_base!$F$24,0))*parametros_manuales!$C$100+parametros_manuales!$F$37*(datos_base!$F$4+datos_base!$F$20+IF(parametros_manuales!$H$37="Todos",datos_base!$F$11+datos_base!$F$25,0))*parametros_manuales!$C$105+parametros_manuales!$G$37*(datos_base!$F$5+datos_base!$F$21+IF(parametros_manuales!$H$37="Todos",datos_base!$F$12+datos_base!$F$26,0))*parametros_manuales!$C$110)*parametros_manuales!$I$37*parametros_manuales!$J$37</f>
        <v>7680.969169332</v>
      </c>
      <c r="D128" s="9" t="n">
        <f aca="false">(parametros_manuales!$D$37*(datos_base!$F$2+datos_base!$F$18+IF(parametros_manuales!$H$37="Todos",datos_base!$F$9+datos_base!$F$23,0))*parametros_manuales!$D$95+parametros_manuales!$E$37*(datos_base!$F$3+datos_base!$F$19+IF(parametros_manuales!$H$37="Todos",datos_base!$F$10+datos_base!$F$24,0))*parametros_manuales!$D$100+parametros_manuales!$F$37*(datos_base!$F$4+datos_base!$F$20+IF(parametros_manuales!$H$37="Todos",datos_base!$F$11+datos_base!$F$25,0))*parametros_manuales!$D$105+parametros_manuales!$G$37*(datos_base!$F$5+datos_base!$F$21+IF(parametros_manuales!$H$37="Todos",datos_base!$F$12+datos_base!$F$26,0))*parametros_manuales!$D$110)*parametros_manuales!$I$37*parametros_manuales!$J$37</f>
        <v>7190.4761063215</v>
      </c>
      <c r="E128" s="9" t="n">
        <f aca="false">(parametros_manuales!$D$37*(datos_base!$F$2+datos_base!$F$18+IF(parametros_manuales!$H$37="Todos",datos_base!$F$9+datos_base!$F$23,0))*parametros_manuales!$E$95+parametros_manuales!$E$37*(datos_base!$F$3+datos_base!$F$19+IF(parametros_manuales!$H$37="Todos",datos_base!$F$10+datos_base!$F$24,0))*parametros_manuales!$E$100+parametros_manuales!$F$37*(datos_base!$F$4+datos_base!$F$20+IF(parametros_manuales!$H$37="Todos",datos_base!$F$11+datos_base!$F$25,0))*parametros_manuales!$E$105+parametros_manuales!$G$37*(datos_base!$F$5+datos_base!$F$21+IF(parametros_manuales!$H$37="Todos",datos_base!$F$12+datos_base!$F$26,0))*parametros_manuales!$E$110)*parametros_manuales!$I$37*parametros_manuales!$J$37</f>
        <v>6879.8989427715</v>
      </c>
      <c r="F128" s="9" t="n">
        <f aca="false">(parametros_manuales!$D$37*(datos_base!$F$2+datos_base!$F$18+IF(parametros_manuales!$H$37="Todos",datos_base!$F$9+datos_base!$F$23,0))*parametros_manuales!$F$95+parametros_manuales!$E$37*(datos_base!$F$3+datos_base!$F$19+IF(parametros_manuales!$H$37="Todos",datos_base!$F$10+datos_base!$F$24,0))*parametros_manuales!$F$100+parametros_manuales!$F$37*(datos_base!$F$4+datos_base!$F$20+IF(parametros_manuales!$H$37="Todos",datos_base!$F$11+datos_base!$F$25,0))*parametros_manuales!$F$105+parametros_manuales!$G$37*(datos_base!$F$5+datos_base!$F$21+IF(parametros_manuales!$H$37="Todos",datos_base!$F$12+datos_base!$F$26,0))*parametros_manuales!$F$110)*parametros_manuales!$I$37*parametros_manuales!$J$37</f>
        <v>6438.660515132</v>
      </c>
      <c r="G128" s="9" t="n">
        <f aca="false">(parametros_manuales!$D$37*(datos_base!$F$2+datos_base!$F$18+IF(parametros_manuales!$H$37="Todos",datos_base!$F$9+datos_base!$F$23,0))*parametros_manuales!$G$95+parametros_manuales!$E$37*(datos_base!$F$3+datos_base!$F$19+IF(parametros_manuales!$H$37="Todos",datos_base!$F$10+datos_base!$F$24,0))*parametros_manuales!$G$100+parametros_manuales!$F$37*(datos_base!$F$4+datos_base!$F$20+IF(parametros_manuales!$H$37="Todos",datos_base!$F$11+datos_base!$F$25,0))*parametros_manuales!$G$105+parametros_manuales!$G$37*(datos_base!$F$5+datos_base!$F$21+IF(parametros_manuales!$H$37="Todos",datos_base!$F$12+datos_base!$F$26,0))*parametros_manuales!$G$110)*parametros_manuales!$I$37*parametros_manuales!$J$37</f>
        <v>6307.9992510425</v>
      </c>
      <c r="H128" s="9" t="n">
        <f aca="false">(parametros_manuales!$D$37*(datos_base!$F$2+datos_base!$F$18+IF(parametros_manuales!$H$37="Todos",datos_base!$F$9+datos_base!$F$23,0))*parametros_manuales!$H$95+parametros_manuales!$E$37*(datos_base!$F$3+datos_base!$F$19+IF(parametros_manuales!$H$37="Todos",datos_base!$F$10+datos_base!$F$24,0))*parametros_manuales!$H$100+parametros_manuales!$F$37*(datos_base!$F$4+datos_base!$F$20+IF(parametros_manuales!$H$37="Todos",datos_base!$F$11+datos_base!$F$25,0))*parametros_manuales!$H$105+parametros_manuales!$G$37*(datos_base!$F$5+datos_base!$F$21+IF(parametros_manuales!$H$37="Todos",datos_base!$F$12+datos_base!$F$26,0))*parametros_manuales!$H$110)*parametros_manuales!$I$37*parametros_manuales!$J$37</f>
        <v>6749.237678682</v>
      </c>
      <c r="I128" s="9" t="n">
        <f aca="false">(parametros_manuales!$D$37*(datos_base!$F$2+datos_base!$F$18+IF(parametros_manuales!$H$37="Todos",datos_base!$F$9+datos_base!$F$23,0))*parametros_manuales!$I$95+parametros_manuales!$E$37*(datos_base!$F$3+datos_base!$F$19+IF(parametros_manuales!$H$37="Todos",datos_base!$F$10+datos_base!$F$24,0))*parametros_manuales!$I$100+parametros_manuales!$F$37*(datos_base!$F$4+datos_base!$F$20+IF(parametros_manuales!$H$37="Todos",datos_base!$F$11+datos_base!$F$25,0))*parametros_manuales!$I$105+parametros_manuales!$G$37*(datos_base!$F$5+datos_base!$F$21+IF(parametros_manuales!$H$37="Todos",datos_base!$F$12+datos_base!$F$26,0))*parametros_manuales!$I$110)*parametros_manuales!$I$37*parametros_manuales!$J$37</f>
        <v>7680.969169332</v>
      </c>
      <c r="J128" s="9" t="n">
        <f aca="false">(parametros_manuales!$D$37*(datos_base!$F$2+datos_base!$F$18+IF(parametros_manuales!$H$37="Todos",datos_base!$F$9+datos_base!$F$23,0))*parametros_manuales!$J$95+parametros_manuales!$E$37*(datos_base!$F$3+datos_base!$F$19+IF(parametros_manuales!$H$37="Todos",datos_base!$F$10+datos_base!$F$24,0))*parametros_manuales!$J$100+parametros_manuales!$F$37*(datos_base!$F$4+datos_base!$F$20+IF(parametros_manuales!$H$37="Todos",datos_base!$F$11+datos_base!$F$25,0))*parametros_manuales!$J$105+parametros_manuales!$G$37*(datos_base!$F$5+datos_base!$F$21+IF(parametros_manuales!$H$37="Todos",datos_base!$F$12+datos_base!$F$26,0))*parametros_manuales!$J$110)*parametros_manuales!$I$37*parametros_manuales!$J$37</f>
        <v>7680.969169332</v>
      </c>
      <c r="K128" s="9" t="n">
        <f aca="false">(parametros_manuales!$D$37*(datos_base!$F$2+datos_base!$F$18+IF(parametros_manuales!$H$37="Todos",datos_base!$F$9+datos_base!$F$23,0))*parametros_manuales!$K$95+parametros_manuales!$E$37*(datos_base!$F$3+datos_base!$F$19+IF(parametros_manuales!$H$37="Todos",datos_base!$F$10+datos_base!$F$24,0))*parametros_manuales!$K$100+parametros_manuales!$F$37*(datos_base!$F$4+datos_base!$F$20+IF(parametros_manuales!$H$37="Todos",datos_base!$F$11+datos_base!$F$25,0))*parametros_manuales!$K$105+parametros_manuales!$G$37*(datos_base!$F$5+datos_base!$F$21+IF(parametros_manuales!$H$37="Todos",datos_base!$F$12+datos_base!$F$26,0))*parametros_manuales!$K$110)*parametros_manuales!$I$37*parametros_manuales!$J$37</f>
        <v>7811.6304334215</v>
      </c>
      <c r="L128" s="9" t="n">
        <f aca="false">(parametros_manuales!$D$37*(datos_base!$F$2+datos_base!$F$18+IF(parametros_manuales!$H$37="Todos",datos_base!$F$9+datos_base!$F$23,0))*parametros_manuales!$L$95+parametros_manuales!$E$37*(datos_base!$F$3+datos_base!$F$19+IF(parametros_manuales!$H$37="Todos",datos_base!$F$10+datos_base!$F$24,0))*parametros_manuales!$L$100+parametros_manuales!$F$37*(datos_base!$F$4+datos_base!$F$20+IF(parametros_manuales!$H$37="Todos",datos_base!$F$11+datos_base!$F$25,0))*parametros_manuales!$L$105+parametros_manuales!$G$37*(datos_base!$F$5+datos_base!$F$21+IF(parametros_manuales!$H$37="Todos",datos_base!$F$12+datos_base!$F$26,0))*parametros_manuales!$L$110)*parametros_manuales!$I$37*parametros_manuales!$J$37</f>
        <v>7942.291697511</v>
      </c>
      <c r="M128" s="9" t="n">
        <f aca="false">(parametros_manuales!$D$37*(datos_base!$F$2+datos_base!$F$18+IF(parametros_manuales!$H$37="Todos",datos_base!$F$9+datos_base!$F$23,0))*parametros_manuales!$M$95+parametros_manuales!$E$37*(datos_base!$F$3+datos_base!$F$19+IF(parametros_manuales!$H$37="Todos",datos_base!$F$10+datos_base!$F$24,0))*parametros_manuales!$M$100+parametros_manuales!$F$37*(datos_base!$F$4+datos_base!$F$20+IF(parametros_manuales!$H$37="Todos",datos_base!$F$11+datos_base!$F$25,0))*parametros_manuales!$M$105+parametros_manuales!$G$37*(datos_base!$F$5+datos_base!$F$21+IF(parametros_manuales!$H$37="Todos",datos_base!$F$12+datos_base!$F$26,0))*parametros_manuales!$M$110)*parametros_manuales!$I$37*parametros_manuales!$J$37</f>
        <v>7942.291697511</v>
      </c>
      <c r="N128" s="9" t="n">
        <f aca="false">SUM(B128:M128)</f>
        <v>88247.6855279</v>
      </c>
      <c r="O128" s="9" t="n">
        <f aca="false">MAX(B128:M128)</f>
        <v>7942.291697511</v>
      </c>
      <c r="P128" s="43" t="n">
        <f aca="false">O128/(parametros_manuales!$B$7)</f>
        <v>52.94861131674</v>
      </c>
      <c r="Q128" s="8" t="str">
        <f aca="false">IF(O128=0,"-",INDEX($B$109:$M$109,MATCH(O128,B128:M128,0)))</f>
        <v>Ene</v>
      </c>
    </row>
    <row r="129" customFormat="false" ht="14.25" hidden="false" customHeight="true" outlineLevel="0" collapsed="false">
      <c r="A129" s="8" t="str">
        <f aca="false">parametros_manuales!$B$38</f>
        <v>Carga de polvo</v>
      </c>
      <c r="B129" s="9" t="n">
        <f aca="false">(parametros_manuales!$D$38*(datos_base!$F$2+datos_base!$F$18+IF(parametros_manuales!$H$38="Todos",datos_base!$F$9+datos_base!$F$23,0))*parametros_manuales!$B$95+parametros_manuales!$E$38*(datos_base!$F$3+datos_base!$F$19+IF(parametros_manuales!$H$38="Todos",datos_base!$F$10+datos_base!$F$24,0))*parametros_manuales!$B$100+parametros_manuales!$F$38*(datos_base!$F$4+datos_base!$F$20+IF(parametros_manuales!$H$38="Todos",datos_base!$F$11+datos_base!$F$25,0))*parametros_manuales!$B$105+parametros_manuales!$G$38*(datos_base!$F$5+datos_base!$F$21+IF(parametros_manuales!$H$38="Todos",datos_base!$F$12+datos_base!$F$26,0))*parametros_manuales!$B$110)*parametros_manuales!$I$38*parametros_manuales!$J$38</f>
        <v>2388.344897511</v>
      </c>
      <c r="C129" s="9" t="n">
        <f aca="false">(parametros_manuales!$D$38*(datos_base!$F$2+datos_base!$F$18+IF(parametros_manuales!$H$38="Todos",datos_base!$F$9+datos_base!$F$23,0))*parametros_manuales!$C$95+parametros_manuales!$E$38*(datos_base!$F$3+datos_base!$F$19+IF(parametros_manuales!$H$38="Todos",datos_base!$F$10+datos_base!$F$24,0))*parametros_manuales!$C$100+parametros_manuales!$F$38*(datos_base!$F$4+datos_base!$F$20+IF(parametros_manuales!$H$38="Todos",datos_base!$F$11+datos_base!$F$25,0))*parametros_manuales!$C$105+parametros_manuales!$G$38*(datos_base!$F$5+datos_base!$F$21+IF(parametros_manuales!$H$38="Todos",datos_base!$F$12+datos_base!$F$26,0))*parametros_manuales!$C$110)*parametros_manuales!$I$38*parametros_manuales!$J$38</f>
        <v>2249.779569332</v>
      </c>
      <c r="D129" s="9" t="n">
        <f aca="false">(parametros_manuales!$D$38*(datos_base!$F$2+datos_base!$F$18+IF(parametros_manuales!$H$38="Todos",datos_base!$F$9+datos_base!$F$23,0))*parametros_manuales!$D$95+parametros_manuales!$E$38*(datos_base!$F$3+datos_base!$F$19+IF(parametros_manuales!$H$38="Todos",datos_base!$F$10+datos_base!$F$24,0))*parametros_manuales!$D$100+parametros_manuales!$F$38*(datos_base!$F$4+datos_base!$F$20+IF(parametros_manuales!$H$38="Todos",datos_base!$F$11+datos_base!$F$25,0))*parametros_manuales!$D$105+parametros_manuales!$G$38*(datos_base!$F$5+datos_base!$F$21+IF(parametros_manuales!$H$38="Todos",datos_base!$F$12+datos_base!$F$26,0))*parametros_manuales!$D$110)*parametros_manuales!$I$38*parametros_manuales!$J$38</f>
        <v>2192.2559063215</v>
      </c>
      <c r="E129" s="9" t="n">
        <f aca="false">(parametros_manuales!$D$38*(datos_base!$F$2+datos_base!$F$18+IF(parametros_manuales!$H$38="Todos",datos_base!$F$9+datos_base!$F$23,0))*parametros_manuales!$E$95+parametros_manuales!$E$38*(datos_base!$F$3+datos_base!$F$19+IF(parametros_manuales!$H$38="Todos",datos_base!$F$10+datos_base!$F$24,0))*parametros_manuales!$E$100+parametros_manuales!$F$38*(datos_base!$F$4+datos_base!$F$20+IF(parametros_manuales!$H$38="Todos",datos_base!$F$11+datos_base!$F$25,0))*parametros_manuales!$E$105+parametros_manuales!$G$38*(datos_base!$F$5+datos_base!$F$21+IF(parametros_manuales!$H$38="Todos",datos_base!$F$12+datos_base!$F$26,0))*parametros_manuales!$E$110)*parametros_manuales!$I$38*parametros_manuales!$J$38</f>
        <v>2128.8527427715</v>
      </c>
      <c r="F129" s="9" t="n">
        <f aca="false">(parametros_manuales!$D$38*(datos_base!$F$2+datos_base!$F$18+IF(parametros_manuales!$H$38="Todos",datos_base!$F$9+datos_base!$F$23,0))*parametros_manuales!$F$95+parametros_manuales!$E$38*(datos_base!$F$3+datos_base!$F$19+IF(parametros_manuales!$H$38="Todos",datos_base!$F$10+datos_base!$F$24,0))*parametros_manuales!$F$100+parametros_manuales!$F$38*(datos_base!$F$4+datos_base!$F$20+IF(parametros_manuales!$H$38="Todos",datos_base!$F$11+datos_base!$F$25,0))*parametros_manuales!$F$105+parametros_manuales!$G$38*(datos_base!$F$5+datos_base!$F$21+IF(parametros_manuales!$H$38="Todos",datos_base!$F$12+datos_base!$F$26,0))*parametros_manuales!$F$110)*parametros_manuales!$I$38*parametros_manuales!$J$38</f>
        <v>1996.166915132</v>
      </c>
      <c r="G129" s="9" t="n">
        <f aca="false">(parametros_manuales!$D$38*(datos_base!$F$2+datos_base!$F$18+IF(parametros_manuales!$H$38="Todos",datos_base!$F$9+datos_base!$F$23,0))*parametros_manuales!$G$95+parametros_manuales!$E$38*(datos_base!$F$3+datos_base!$F$19+IF(parametros_manuales!$H$38="Todos",datos_base!$F$10+datos_base!$F$24,0))*parametros_manuales!$G$100+parametros_manuales!$F$38*(datos_base!$F$4+datos_base!$F$20+IF(parametros_manuales!$H$38="Todos",datos_base!$F$11+datos_base!$F$25,0))*parametros_manuales!$G$105+parametros_manuales!$G$38*(datos_base!$F$5+datos_base!$F$21+IF(parametros_manuales!$H$38="Todos",datos_base!$F$12+datos_base!$F$26,0))*parametros_manuales!$G$110)*parametros_manuales!$I$38*parametros_manuales!$J$38</f>
        <v>1926.8842510425</v>
      </c>
      <c r="H129" s="9" t="n">
        <f aca="false">(parametros_manuales!$D$38*(datos_base!$F$2+datos_base!$F$18+IF(parametros_manuales!$H$38="Todos",datos_base!$F$9+datos_base!$F$23,0))*parametros_manuales!$H$95+parametros_manuales!$E$38*(datos_base!$F$3+datos_base!$F$19+IF(parametros_manuales!$H$38="Todos",datos_base!$F$10+datos_base!$F$24,0))*parametros_manuales!$H$100+parametros_manuales!$F$38*(datos_base!$F$4+datos_base!$F$20+IF(parametros_manuales!$H$38="Todos",datos_base!$F$11+datos_base!$F$25,0))*parametros_manuales!$H$105+parametros_manuales!$G$38*(datos_base!$F$5+datos_base!$F$21+IF(parametros_manuales!$H$38="Todos",datos_base!$F$12+datos_base!$F$26,0))*parametros_manuales!$H$110)*parametros_manuales!$I$38*parametros_manuales!$J$38</f>
        <v>2059.570078682</v>
      </c>
      <c r="I129" s="9" t="n">
        <f aca="false">(parametros_manuales!$D$38*(datos_base!$F$2+datos_base!$F$18+IF(parametros_manuales!$H$38="Todos",datos_base!$F$9+datos_base!$F$23,0))*parametros_manuales!$I$95+parametros_manuales!$E$38*(datos_base!$F$3+datos_base!$F$19+IF(parametros_manuales!$H$38="Todos",datos_base!$F$10+datos_base!$F$24,0))*parametros_manuales!$I$100+parametros_manuales!$F$38*(datos_base!$F$4+datos_base!$F$20+IF(parametros_manuales!$H$38="Todos",datos_base!$F$11+datos_base!$F$25,0))*parametros_manuales!$I$105+parametros_manuales!$G$38*(datos_base!$F$5+datos_base!$F$21+IF(parametros_manuales!$H$38="Todos",datos_base!$F$12+datos_base!$F$26,0))*parametros_manuales!$I$110)*parametros_manuales!$I$38*parametros_manuales!$J$38</f>
        <v>2249.779569332</v>
      </c>
      <c r="J129" s="9" t="n">
        <f aca="false">(parametros_manuales!$D$38*(datos_base!$F$2+datos_base!$F$18+IF(parametros_manuales!$H$38="Todos",datos_base!$F$9+datos_base!$F$23,0))*parametros_manuales!$J$95+parametros_manuales!$E$38*(datos_base!$F$3+datos_base!$F$19+IF(parametros_manuales!$H$38="Todos",datos_base!$F$10+datos_base!$F$24,0))*parametros_manuales!$J$100+parametros_manuales!$F$38*(datos_base!$F$4+datos_base!$F$20+IF(parametros_manuales!$H$38="Todos",datos_base!$F$11+datos_base!$F$25,0))*parametros_manuales!$J$105+parametros_manuales!$G$38*(datos_base!$F$5+datos_base!$F$21+IF(parametros_manuales!$H$38="Todos",datos_base!$F$12+datos_base!$F$26,0))*parametros_manuales!$J$110)*parametros_manuales!$I$38*parametros_manuales!$J$38</f>
        <v>2249.779569332</v>
      </c>
      <c r="K129" s="9" t="n">
        <f aca="false">(parametros_manuales!$D$38*(datos_base!$F$2+datos_base!$F$18+IF(parametros_manuales!$H$38="Todos",datos_base!$F$9+datos_base!$F$23,0))*parametros_manuales!$K$95+parametros_manuales!$E$38*(datos_base!$F$3+datos_base!$F$19+IF(parametros_manuales!$H$38="Todos",datos_base!$F$10+datos_base!$F$24,0))*parametros_manuales!$K$100+parametros_manuales!$F$38*(datos_base!$F$4+datos_base!$F$20+IF(parametros_manuales!$H$38="Todos",datos_base!$F$11+datos_base!$F$25,0))*parametros_manuales!$K$105+parametros_manuales!$G$38*(datos_base!$F$5+datos_base!$F$21+IF(parametros_manuales!$H$38="Todos",datos_base!$F$12+datos_base!$F$26,0))*parametros_manuales!$K$110)*parametros_manuales!$I$38*parametros_manuales!$J$38</f>
        <v>2319.0622334215</v>
      </c>
      <c r="L129" s="9" t="n">
        <f aca="false">(parametros_manuales!$D$38*(datos_base!$F$2+datos_base!$F$18+IF(parametros_manuales!$H$38="Todos",datos_base!$F$9+datos_base!$F$23,0))*parametros_manuales!$L$95+parametros_manuales!$E$38*(datos_base!$F$3+datos_base!$F$19+IF(parametros_manuales!$H$38="Todos",datos_base!$F$10+datos_base!$F$24,0))*parametros_manuales!$L$100+parametros_manuales!$F$38*(datos_base!$F$4+datos_base!$F$20+IF(parametros_manuales!$H$38="Todos",datos_base!$F$11+datos_base!$F$25,0))*parametros_manuales!$L$105+parametros_manuales!$G$38*(datos_base!$F$5+datos_base!$F$21+IF(parametros_manuales!$H$38="Todos",datos_base!$F$12+datos_base!$F$26,0))*parametros_manuales!$L$110)*parametros_manuales!$I$38*parametros_manuales!$J$38</f>
        <v>2388.344897511</v>
      </c>
      <c r="M129" s="9" t="n">
        <f aca="false">(parametros_manuales!$D$38*(datos_base!$F$2+datos_base!$F$18+IF(parametros_manuales!$H$38="Todos",datos_base!$F$9+datos_base!$F$23,0))*parametros_manuales!$M$95+parametros_manuales!$E$38*(datos_base!$F$3+datos_base!$F$19+IF(parametros_manuales!$H$38="Todos",datos_base!$F$10+datos_base!$F$24,0))*parametros_manuales!$M$100+parametros_manuales!$F$38*(datos_base!$F$4+datos_base!$F$20+IF(parametros_manuales!$H$38="Todos",datos_base!$F$11+datos_base!$F$25,0))*parametros_manuales!$M$105+parametros_manuales!$G$38*(datos_base!$F$5+datos_base!$F$21+IF(parametros_manuales!$H$38="Todos",datos_base!$F$12+datos_base!$F$26,0))*parametros_manuales!$M$110)*parametros_manuales!$I$38*parametros_manuales!$J$38</f>
        <v>2388.344897511</v>
      </c>
      <c r="N129" s="9" t="n">
        <f aca="false">SUM(B129:M129)</f>
        <v>26537.1655279</v>
      </c>
      <c r="O129" s="9" t="n">
        <f aca="false">MAX(B129:M129)</f>
        <v>2388.344897511</v>
      </c>
      <c r="P129" s="43" t="n">
        <f aca="false">O129/(parametros_manuales!$B$7)</f>
        <v>15.92229931674</v>
      </c>
      <c r="Q129" s="8" t="str">
        <f aca="false">IF(O129=0,"-",INDEX($B$109:$M$109,MATCH(O129,B129:M129,0)))</f>
        <v>Ene</v>
      </c>
    </row>
    <row r="130" customFormat="false" ht="14.25" hidden="false" customHeight="true" outlineLevel="0" collapsed="false">
      <c r="A130" s="8" t="str">
        <f aca="false">parametros_manuales!$B$39</f>
        <v>Ensamblaje</v>
      </c>
      <c r="B130" s="9" t="n">
        <f aca="false">(parametros_manuales!$D$39*(datos_base!$F$2+datos_base!$F$18+IF(parametros_manuales!$H$39="Todos",datos_base!$F$9+datos_base!$F$23,0))*parametros_manuales!$B$95+parametros_manuales!$E$39*(datos_base!$F$3+datos_base!$F$19+IF(parametros_manuales!$H$39="Todos",datos_base!$F$10+datos_base!$F$24,0))*parametros_manuales!$B$100+parametros_manuales!$F$39*(datos_base!$F$4+datos_base!$F$20+IF(parametros_manuales!$H$39="Todos",datos_base!$F$11+datos_base!$F$25,0))*parametros_manuales!$B$105+parametros_manuales!$G$39*(datos_base!$F$5+datos_base!$F$21+IF(parametros_manuales!$H$39="Todos",datos_base!$F$12+datos_base!$F$26,0))*parametros_manuales!$B$110)*parametros_manuales!$I$39*parametros_manuales!$J$39</f>
        <v>2388.344897511</v>
      </c>
      <c r="C130" s="9" t="n">
        <f aca="false">(parametros_manuales!$D$39*(datos_base!$F$2+datos_base!$F$18+IF(parametros_manuales!$H$39="Todos",datos_base!$F$9+datos_base!$F$23,0))*parametros_manuales!$C$95+parametros_manuales!$E$39*(datos_base!$F$3+datos_base!$F$19+IF(parametros_manuales!$H$39="Todos",datos_base!$F$10+datos_base!$F$24,0))*parametros_manuales!$C$100+parametros_manuales!$F$39*(datos_base!$F$4+datos_base!$F$20+IF(parametros_manuales!$H$39="Todos",datos_base!$F$11+datos_base!$F$25,0))*parametros_manuales!$C$105+parametros_manuales!$G$39*(datos_base!$F$5+datos_base!$F$21+IF(parametros_manuales!$H$39="Todos",datos_base!$F$12+datos_base!$F$26,0))*parametros_manuales!$C$110)*parametros_manuales!$I$39*parametros_manuales!$J$39</f>
        <v>2249.779569332</v>
      </c>
      <c r="D130" s="9" t="n">
        <f aca="false">(parametros_manuales!$D$39*(datos_base!$F$2+datos_base!$F$18+IF(parametros_manuales!$H$39="Todos",datos_base!$F$9+datos_base!$F$23,0))*parametros_manuales!$D$95+parametros_manuales!$E$39*(datos_base!$F$3+datos_base!$F$19+IF(parametros_manuales!$H$39="Todos",datos_base!$F$10+datos_base!$F$24,0))*parametros_manuales!$D$100+parametros_manuales!$F$39*(datos_base!$F$4+datos_base!$F$20+IF(parametros_manuales!$H$39="Todos",datos_base!$F$11+datos_base!$F$25,0))*parametros_manuales!$D$105+parametros_manuales!$G$39*(datos_base!$F$5+datos_base!$F$21+IF(parametros_manuales!$H$39="Todos",datos_base!$F$12+datos_base!$F$26,0))*parametros_manuales!$D$110)*parametros_manuales!$I$39*parametros_manuales!$J$39</f>
        <v>2192.2559063215</v>
      </c>
      <c r="E130" s="9" t="n">
        <f aca="false">(parametros_manuales!$D$39*(datos_base!$F$2+datos_base!$F$18+IF(parametros_manuales!$H$39="Todos",datos_base!$F$9+datos_base!$F$23,0))*parametros_manuales!$E$95+parametros_manuales!$E$39*(datos_base!$F$3+datos_base!$F$19+IF(parametros_manuales!$H$39="Todos",datos_base!$F$10+datos_base!$F$24,0))*parametros_manuales!$E$100+parametros_manuales!$F$39*(datos_base!$F$4+datos_base!$F$20+IF(parametros_manuales!$H$39="Todos",datos_base!$F$11+datos_base!$F$25,0))*parametros_manuales!$E$105+parametros_manuales!$G$39*(datos_base!$F$5+datos_base!$F$21+IF(parametros_manuales!$H$39="Todos",datos_base!$F$12+datos_base!$F$26,0))*parametros_manuales!$E$110)*parametros_manuales!$I$39*parametros_manuales!$J$39</f>
        <v>2128.8527427715</v>
      </c>
      <c r="F130" s="9" t="n">
        <f aca="false">(parametros_manuales!$D$39*(datos_base!$F$2+datos_base!$F$18+IF(parametros_manuales!$H$39="Todos",datos_base!$F$9+datos_base!$F$23,0))*parametros_manuales!$F$95+parametros_manuales!$E$39*(datos_base!$F$3+datos_base!$F$19+IF(parametros_manuales!$H$39="Todos",datos_base!$F$10+datos_base!$F$24,0))*parametros_manuales!$F$100+parametros_manuales!$F$39*(datos_base!$F$4+datos_base!$F$20+IF(parametros_manuales!$H$39="Todos",datos_base!$F$11+datos_base!$F$25,0))*parametros_manuales!$F$105+parametros_manuales!$G$39*(datos_base!$F$5+datos_base!$F$21+IF(parametros_manuales!$H$39="Todos",datos_base!$F$12+datos_base!$F$26,0))*parametros_manuales!$F$110)*parametros_manuales!$I$39*parametros_manuales!$J$39</f>
        <v>1996.166915132</v>
      </c>
      <c r="G130" s="9" t="n">
        <f aca="false">(parametros_manuales!$D$39*(datos_base!$F$2+datos_base!$F$18+IF(parametros_manuales!$H$39="Todos",datos_base!$F$9+datos_base!$F$23,0))*parametros_manuales!$G$95+parametros_manuales!$E$39*(datos_base!$F$3+datos_base!$F$19+IF(parametros_manuales!$H$39="Todos",datos_base!$F$10+datos_base!$F$24,0))*parametros_manuales!$G$100+parametros_manuales!$F$39*(datos_base!$F$4+datos_base!$F$20+IF(parametros_manuales!$H$39="Todos",datos_base!$F$11+datos_base!$F$25,0))*parametros_manuales!$G$105+parametros_manuales!$G$39*(datos_base!$F$5+datos_base!$F$21+IF(parametros_manuales!$H$39="Todos",datos_base!$F$12+datos_base!$F$26,0))*parametros_manuales!$G$110)*parametros_manuales!$I$39*parametros_manuales!$J$39</f>
        <v>1926.8842510425</v>
      </c>
      <c r="H130" s="9" t="n">
        <f aca="false">(parametros_manuales!$D$39*(datos_base!$F$2+datos_base!$F$18+IF(parametros_manuales!$H$39="Todos",datos_base!$F$9+datos_base!$F$23,0))*parametros_manuales!$H$95+parametros_manuales!$E$39*(datos_base!$F$3+datos_base!$F$19+IF(parametros_manuales!$H$39="Todos",datos_base!$F$10+datos_base!$F$24,0))*parametros_manuales!$H$100+parametros_manuales!$F$39*(datos_base!$F$4+datos_base!$F$20+IF(parametros_manuales!$H$39="Todos",datos_base!$F$11+datos_base!$F$25,0))*parametros_manuales!$H$105+parametros_manuales!$G$39*(datos_base!$F$5+datos_base!$F$21+IF(parametros_manuales!$H$39="Todos",datos_base!$F$12+datos_base!$F$26,0))*parametros_manuales!$H$110)*parametros_manuales!$I$39*parametros_manuales!$J$39</f>
        <v>2059.570078682</v>
      </c>
      <c r="I130" s="9" t="n">
        <f aca="false">(parametros_manuales!$D$39*(datos_base!$F$2+datos_base!$F$18+IF(parametros_manuales!$H$39="Todos",datos_base!$F$9+datos_base!$F$23,0))*parametros_manuales!$I$95+parametros_manuales!$E$39*(datos_base!$F$3+datos_base!$F$19+IF(parametros_manuales!$H$39="Todos",datos_base!$F$10+datos_base!$F$24,0))*parametros_manuales!$I$100+parametros_manuales!$F$39*(datos_base!$F$4+datos_base!$F$20+IF(parametros_manuales!$H$39="Todos",datos_base!$F$11+datos_base!$F$25,0))*parametros_manuales!$I$105+parametros_manuales!$G$39*(datos_base!$F$5+datos_base!$F$21+IF(parametros_manuales!$H$39="Todos",datos_base!$F$12+datos_base!$F$26,0))*parametros_manuales!$I$110)*parametros_manuales!$I$39*parametros_manuales!$J$39</f>
        <v>2249.779569332</v>
      </c>
      <c r="J130" s="9" t="n">
        <f aca="false">(parametros_manuales!$D$39*(datos_base!$F$2+datos_base!$F$18+IF(parametros_manuales!$H$39="Todos",datos_base!$F$9+datos_base!$F$23,0))*parametros_manuales!$J$95+parametros_manuales!$E$39*(datos_base!$F$3+datos_base!$F$19+IF(parametros_manuales!$H$39="Todos",datos_base!$F$10+datos_base!$F$24,0))*parametros_manuales!$J$100+parametros_manuales!$F$39*(datos_base!$F$4+datos_base!$F$20+IF(parametros_manuales!$H$39="Todos",datos_base!$F$11+datos_base!$F$25,0))*parametros_manuales!$J$105+parametros_manuales!$G$39*(datos_base!$F$5+datos_base!$F$21+IF(parametros_manuales!$H$39="Todos",datos_base!$F$12+datos_base!$F$26,0))*parametros_manuales!$J$110)*parametros_manuales!$I$39*parametros_manuales!$J$39</f>
        <v>2249.779569332</v>
      </c>
      <c r="K130" s="9" t="n">
        <f aca="false">(parametros_manuales!$D$39*(datos_base!$F$2+datos_base!$F$18+IF(parametros_manuales!$H$39="Todos",datos_base!$F$9+datos_base!$F$23,0))*parametros_manuales!$K$95+parametros_manuales!$E$39*(datos_base!$F$3+datos_base!$F$19+IF(parametros_manuales!$H$39="Todos",datos_base!$F$10+datos_base!$F$24,0))*parametros_manuales!$K$100+parametros_manuales!$F$39*(datos_base!$F$4+datos_base!$F$20+IF(parametros_manuales!$H$39="Todos",datos_base!$F$11+datos_base!$F$25,0))*parametros_manuales!$K$105+parametros_manuales!$G$39*(datos_base!$F$5+datos_base!$F$21+IF(parametros_manuales!$H$39="Todos",datos_base!$F$12+datos_base!$F$26,0))*parametros_manuales!$K$110)*parametros_manuales!$I$39*parametros_manuales!$J$39</f>
        <v>2319.0622334215</v>
      </c>
      <c r="L130" s="9" t="n">
        <f aca="false">(parametros_manuales!$D$39*(datos_base!$F$2+datos_base!$F$18+IF(parametros_manuales!$H$39="Todos",datos_base!$F$9+datos_base!$F$23,0))*parametros_manuales!$L$95+parametros_manuales!$E$39*(datos_base!$F$3+datos_base!$F$19+IF(parametros_manuales!$H$39="Todos",datos_base!$F$10+datos_base!$F$24,0))*parametros_manuales!$L$100+parametros_manuales!$F$39*(datos_base!$F$4+datos_base!$F$20+IF(parametros_manuales!$H$39="Todos",datos_base!$F$11+datos_base!$F$25,0))*parametros_manuales!$L$105+parametros_manuales!$G$39*(datos_base!$F$5+datos_base!$F$21+IF(parametros_manuales!$H$39="Todos",datos_base!$F$12+datos_base!$F$26,0))*parametros_manuales!$L$110)*parametros_manuales!$I$39*parametros_manuales!$J$39</f>
        <v>2388.344897511</v>
      </c>
      <c r="M130" s="9" t="n">
        <f aca="false">(parametros_manuales!$D$39*(datos_base!$F$2+datos_base!$F$18+IF(parametros_manuales!$H$39="Todos",datos_base!$F$9+datos_base!$F$23,0))*parametros_manuales!$M$95+parametros_manuales!$E$39*(datos_base!$F$3+datos_base!$F$19+IF(parametros_manuales!$H$39="Todos",datos_base!$F$10+datos_base!$F$24,0))*parametros_manuales!$M$100+parametros_manuales!$F$39*(datos_base!$F$4+datos_base!$F$20+IF(parametros_manuales!$H$39="Todos",datos_base!$F$11+datos_base!$F$25,0))*parametros_manuales!$M$105+parametros_manuales!$G$39*(datos_base!$F$5+datos_base!$F$21+IF(parametros_manuales!$H$39="Todos",datos_base!$F$12+datos_base!$F$26,0))*parametros_manuales!$M$110)*parametros_manuales!$I$39*parametros_manuales!$J$39</f>
        <v>2388.344897511</v>
      </c>
      <c r="N130" s="9" t="n">
        <f aca="false">SUM(B130:M130)</f>
        <v>26537.1655279</v>
      </c>
      <c r="O130" s="9" t="n">
        <f aca="false">MAX(B130:M130)</f>
        <v>2388.344897511</v>
      </c>
      <c r="P130" s="43" t="n">
        <f aca="false">O130/(parametros_manuales!$B$7)</f>
        <v>15.92229931674</v>
      </c>
      <c r="Q130" s="8" t="str">
        <f aca="false">IF(O130=0,"-",INDEX($B$109:$M$109,MATCH(O130,B130:M130,0)))</f>
        <v>Ene</v>
      </c>
    </row>
    <row r="131" customFormat="false" ht="14.25" hidden="false" customHeight="true" outlineLevel="0" collapsed="false">
      <c r="A131" s="8" t="str">
        <f aca="false">parametros_manuales!$B$40</f>
        <v>Presurización</v>
      </c>
      <c r="B131" s="9" t="n">
        <f aca="false">(parametros_manuales!$D$40*(datos_base!$F$2+datos_base!$F$18+IF(parametros_manuales!$H$40="Todos",datos_base!$F$9+datos_base!$F$23,0))*parametros_manuales!$B$95+parametros_manuales!$E$40*(datos_base!$F$3+datos_base!$F$19+IF(parametros_manuales!$H$40="Todos",datos_base!$F$10+datos_base!$F$24,0))*parametros_manuales!$B$100+parametros_manuales!$F$40*(datos_base!$F$4+datos_base!$F$20+IF(parametros_manuales!$H$40="Todos",datos_base!$F$11+datos_base!$F$25,0))*parametros_manuales!$B$105+parametros_manuales!$G$40*(datos_base!$F$5+datos_base!$F$21+IF(parametros_manuales!$H$40="Todos",datos_base!$F$12+datos_base!$F$26,0))*parametros_manuales!$B$110)*parametros_manuales!$I$40*parametros_manuales!$J$40</f>
        <v>2388.344897511</v>
      </c>
      <c r="C131" s="9" t="n">
        <f aca="false">(parametros_manuales!$D$40*(datos_base!$F$2+datos_base!$F$18+IF(parametros_manuales!$H$40="Todos",datos_base!$F$9+datos_base!$F$23,0))*parametros_manuales!$C$95+parametros_manuales!$E$40*(datos_base!$F$3+datos_base!$F$19+IF(parametros_manuales!$H$40="Todos",datos_base!$F$10+datos_base!$F$24,0))*parametros_manuales!$C$100+parametros_manuales!$F$40*(datos_base!$F$4+datos_base!$F$20+IF(parametros_manuales!$H$40="Todos",datos_base!$F$11+datos_base!$F$25,0))*parametros_manuales!$C$105+parametros_manuales!$G$40*(datos_base!$F$5+datos_base!$F$21+IF(parametros_manuales!$H$40="Todos",datos_base!$F$12+datos_base!$F$26,0))*parametros_manuales!$C$110)*parametros_manuales!$I$40*parametros_manuales!$J$40</f>
        <v>2249.779569332</v>
      </c>
      <c r="D131" s="9" t="n">
        <f aca="false">(parametros_manuales!$D$40*(datos_base!$F$2+datos_base!$F$18+IF(parametros_manuales!$H$40="Todos",datos_base!$F$9+datos_base!$F$23,0))*parametros_manuales!$D$95+parametros_manuales!$E$40*(datos_base!$F$3+datos_base!$F$19+IF(parametros_manuales!$H$40="Todos",datos_base!$F$10+datos_base!$F$24,0))*parametros_manuales!$D$100+parametros_manuales!$F$40*(datos_base!$F$4+datos_base!$F$20+IF(parametros_manuales!$H$40="Todos",datos_base!$F$11+datos_base!$F$25,0))*parametros_manuales!$D$105+parametros_manuales!$G$40*(datos_base!$F$5+datos_base!$F$21+IF(parametros_manuales!$H$40="Todos",datos_base!$F$12+datos_base!$F$26,0))*parametros_manuales!$D$110)*parametros_manuales!$I$40*parametros_manuales!$J$40</f>
        <v>2192.2559063215</v>
      </c>
      <c r="E131" s="9" t="n">
        <f aca="false">(parametros_manuales!$D$40*(datos_base!$F$2+datos_base!$F$18+IF(parametros_manuales!$H$40="Todos",datos_base!$F$9+datos_base!$F$23,0))*parametros_manuales!$E$95+parametros_manuales!$E$40*(datos_base!$F$3+datos_base!$F$19+IF(parametros_manuales!$H$40="Todos",datos_base!$F$10+datos_base!$F$24,0))*parametros_manuales!$E$100+parametros_manuales!$F$40*(datos_base!$F$4+datos_base!$F$20+IF(parametros_manuales!$H$40="Todos",datos_base!$F$11+datos_base!$F$25,0))*parametros_manuales!$E$105+parametros_manuales!$G$40*(datos_base!$F$5+datos_base!$F$21+IF(parametros_manuales!$H$40="Todos",datos_base!$F$12+datos_base!$F$26,0))*parametros_manuales!$E$110)*parametros_manuales!$I$40*parametros_manuales!$J$40</f>
        <v>2128.8527427715</v>
      </c>
      <c r="F131" s="9" t="n">
        <f aca="false">(parametros_manuales!$D$40*(datos_base!$F$2+datos_base!$F$18+IF(parametros_manuales!$H$40="Todos",datos_base!$F$9+datos_base!$F$23,0))*parametros_manuales!$F$95+parametros_manuales!$E$40*(datos_base!$F$3+datos_base!$F$19+IF(parametros_manuales!$H$40="Todos",datos_base!$F$10+datos_base!$F$24,0))*parametros_manuales!$F$100+parametros_manuales!$F$40*(datos_base!$F$4+datos_base!$F$20+IF(parametros_manuales!$H$40="Todos",datos_base!$F$11+datos_base!$F$25,0))*parametros_manuales!$F$105+parametros_manuales!$G$40*(datos_base!$F$5+datos_base!$F$21+IF(parametros_manuales!$H$40="Todos",datos_base!$F$12+datos_base!$F$26,0))*parametros_manuales!$F$110)*parametros_manuales!$I$40*parametros_manuales!$J$40</f>
        <v>1996.166915132</v>
      </c>
      <c r="G131" s="9" t="n">
        <f aca="false">(parametros_manuales!$D$40*(datos_base!$F$2+datos_base!$F$18+IF(parametros_manuales!$H$40="Todos",datos_base!$F$9+datos_base!$F$23,0))*parametros_manuales!$G$95+parametros_manuales!$E$40*(datos_base!$F$3+datos_base!$F$19+IF(parametros_manuales!$H$40="Todos",datos_base!$F$10+datos_base!$F$24,0))*parametros_manuales!$G$100+parametros_manuales!$F$40*(datos_base!$F$4+datos_base!$F$20+IF(parametros_manuales!$H$40="Todos",datos_base!$F$11+datos_base!$F$25,0))*parametros_manuales!$G$105+parametros_manuales!$G$40*(datos_base!$F$5+datos_base!$F$21+IF(parametros_manuales!$H$40="Todos",datos_base!$F$12+datos_base!$F$26,0))*parametros_manuales!$G$110)*parametros_manuales!$I$40*parametros_manuales!$J$40</f>
        <v>1926.8842510425</v>
      </c>
      <c r="H131" s="9" t="n">
        <f aca="false">(parametros_manuales!$D$40*(datos_base!$F$2+datos_base!$F$18+IF(parametros_manuales!$H$40="Todos",datos_base!$F$9+datos_base!$F$23,0))*parametros_manuales!$H$95+parametros_manuales!$E$40*(datos_base!$F$3+datos_base!$F$19+IF(parametros_manuales!$H$40="Todos",datos_base!$F$10+datos_base!$F$24,0))*parametros_manuales!$H$100+parametros_manuales!$F$40*(datos_base!$F$4+datos_base!$F$20+IF(parametros_manuales!$H$40="Todos",datos_base!$F$11+datos_base!$F$25,0))*parametros_manuales!$H$105+parametros_manuales!$G$40*(datos_base!$F$5+datos_base!$F$21+IF(parametros_manuales!$H$40="Todos",datos_base!$F$12+datos_base!$F$26,0))*parametros_manuales!$H$110)*parametros_manuales!$I$40*parametros_manuales!$J$40</f>
        <v>2059.570078682</v>
      </c>
      <c r="I131" s="9" t="n">
        <f aca="false">(parametros_manuales!$D$40*(datos_base!$F$2+datos_base!$F$18+IF(parametros_manuales!$H$40="Todos",datos_base!$F$9+datos_base!$F$23,0))*parametros_manuales!$I$95+parametros_manuales!$E$40*(datos_base!$F$3+datos_base!$F$19+IF(parametros_manuales!$H$40="Todos",datos_base!$F$10+datos_base!$F$24,0))*parametros_manuales!$I$100+parametros_manuales!$F$40*(datos_base!$F$4+datos_base!$F$20+IF(parametros_manuales!$H$40="Todos",datos_base!$F$11+datos_base!$F$25,0))*parametros_manuales!$I$105+parametros_manuales!$G$40*(datos_base!$F$5+datos_base!$F$21+IF(parametros_manuales!$H$40="Todos",datos_base!$F$12+datos_base!$F$26,0))*parametros_manuales!$I$110)*parametros_manuales!$I$40*parametros_manuales!$J$40</f>
        <v>2249.779569332</v>
      </c>
      <c r="J131" s="9" t="n">
        <f aca="false">(parametros_manuales!$D$40*(datos_base!$F$2+datos_base!$F$18+IF(parametros_manuales!$H$40="Todos",datos_base!$F$9+datos_base!$F$23,0))*parametros_manuales!$J$95+parametros_manuales!$E$40*(datos_base!$F$3+datos_base!$F$19+IF(parametros_manuales!$H$40="Todos",datos_base!$F$10+datos_base!$F$24,0))*parametros_manuales!$J$100+parametros_manuales!$F$40*(datos_base!$F$4+datos_base!$F$20+IF(parametros_manuales!$H$40="Todos",datos_base!$F$11+datos_base!$F$25,0))*parametros_manuales!$J$105+parametros_manuales!$G$40*(datos_base!$F$5+datos_base!$F$21+IF(parametros_manuales!$H$40="Todos",datos_base!$F$12+datos_base!$F$26,0))*parametros_manuales!$J$110)*parametros_manuales!$I$40*parametros_manuales!$J$40</f>
        <v>2249.779569332</v>
      </c>
      <c r="K131" s="9" t="n">
        <f aca="false">(parametros_manuales!$D$40*(datos_base!$F$2+datos_base!$F$18+IF(parametros_manuales!$H$40="Todos",datos_base!$F$9+datos_base!$F$23,0))*parametros_manuales!$K$95+parametros_manuales!$E$40*(datos_base!$F$3+datos_base!$F$19+IF(parametros_manuales!$H$40="Todos",datos_base!$F$10+datos_base!$F$24,0))*parametros_manuales!$K$100+parametros_manuales!$F$40*(datos_base!$F$4+datos_base!$F$20+IF(parametros_manuales!$H$40="Todos",datos_base!$F$11+datos_base!$F$25,0))*parametros_manuales!$K$105+parametros_manuales!$G$40*(datos_base!$F$5+datos_base!$F$21+IF(parametros_manuales!$H$40="Todos",datos_base!$F$12+datos_base!$F$26,0))*parametros_manuales!$K$110)*parametros_manuales!$I$40*parametros_manuales!$J$40</f>
        <v>2319.0622334215</v>
      </c>
      <c r="L131" s="9" t="n">
        <f aca="false">(parametros_manuales!$D$40*(datos_base!$F$2+datos_base!$F$18+IF(parametros_manuales!$H$40="Todos",datos_base!$F$9+datos_base!$F$23,0))*parametros_manuales!$L$95+parametros_manuales!$E$40*(datos_base!$F$3+datos_base!$F$19+IF(parametros_manuales!$H$40="Todos",datos_base!$F$10+datos_base!$F$24,0))*parametros_manuales!$L$100+parametros_manuales!$F$40*(datos_base!$F$4+datos_base!$F$20+IF(parametros_manuales!$H$40="Todos",datos_base!$F$11+datos_base!$F$25,0))*parametros_manuales!$L$105+parametros_manuales!$G$40*(datos_base!$F$5+datos_base!$F$21+IF(parametros_manuales!$H$40="Todos",datos_base!$F$12+datos_base!$F$26,0))*parametros_manuales!$L$110)*parametros_manuales!$I$40*parametros_manuales!$J$40</f>
        <v>2388.344897511</v>
      </c>
      <c r="M131" s="9" t="n">
        <f aca="false">(parametros_manuales!$D$40*(datos_base!$F$2+datos_base!$F$18+IF(parametros_manuales!$H$40="Todos",datos_base!$F$9+datos_base!$F$23,0))*parametros_manuales!$M$95+parametros_manuales!$E$40*(datos_base!$F$3+datos_base!$F$19+IF(parametros_manuales!$H$40="Todos",datos_base!$F$10+datos_base!$F$24,0))*parametros_manuales!$M$100+parametros_manuales!$F$40*(datos_base!$F$4+datos_base!$F$20+IF(parametros_manuales!$H$40="Todos",datos_base!$F$11+datos_base!$F$25,0))*parametros_manuales!$M$105+parametros_manuales!$G$40*(datos_base!$F$5+datos_base!$F$21+IF(parametros_manuales!$H$40="Todos",datos_base!$F$12+datos_base!$F$26,0))*parametros_manuales!$M$110)*parametros_manuales!$I$40*parametros_manuales!$J$40</f>
        <v>2388.344897511</v>
      </c>
      <c r="N131" s="9" t="n">
        <f aca="false">SUM(B131:M131)</f>
        <v>26537.1655279</v>
      </c>
      <c r="O131" s="9" t="n">
        <f aca="false">MAX(B131:M131)</f>
        <v>2388.344897511</v>
      </c>
      <c r="P131" s="43" t="n">
        <f aca="false">O131/(parametros_manuales!$B$7)</f>
        <v>15.92229931674</v>
      </c>
      <c r="Q131" s="8" t="str">
        <f aca="false">IF(O131=0,"-",INDEX($B$109:$M$109,MATCH(O131,B131:M131,0)))</f>
        <v>Ene</v>
      </c>
    </row>
    <row r="132" customFormat="false" ht="14.25" hidden="false" customHeight="true" outlineLevel="0" collapsed="false">
      <c r="A132" s="8" t="str">
        <f aca="false">parametros_manuales!$B$41</f>
        <v>Control de calidad — Ensayo de pérdidas</v>
      </c>
      <c r="B132" s="9" t="n">
        <f aca="false">(parametros_manuales!$D$41*(datos_base!$F$2+datos_base!$F$18+IF(parametros_manuales!$H$41="Todos",datos_base!$F$9+datos_base!$F$23,0))*parametros_manuales!$B$95+parametros_manuales!$E$41*(datos_base!$F$3+datos_base!$F$19+IF(parametros_manuales!$H$41="Todos",datos_base!$F$10+datos_base!$F$24,0))*parametros_manuales!$B$100+parametros_manuales!$F$41*(datos_base!$F$4+datos_base!$F$20+IF(parametros_manuales!$H$41="Todos",datos_base!$F$11+datos_base!$F$25,0))*parametros_manuales!$B$105+parametros_manuales!$G$41*(datos_base!$F$5+datos_base!$F$21+IF(parametros_manuales!$H$41="Todos",datos_base!$F$12+datos_base!$F$26,0))*parametros_manuales!$B$110)*parametros_manuales!$I$41*parametros_manuales!$J$41</f>
        <v>2388.344897511</v>
      </c>
      <c r="C132" s="9" t="n">
        <f aca="false">(parametros_manuales!$D$41*(datos_base!$F$2+datos_base!$F$18+IF(parametros_manuales!$H$41="Todos",datos_base!$F$9+datos_base!$F$23,0))*parametros_manuales!$C$95+parametros_manuales!$E$41*(datos_base!$F$3+datos_base!$F$19+IF(parametros_manuales!$H$41="Todos",datos_base!$F$10+datos_base!$F$24,0))*parametros_manuales!$C$100+parametros_manuales!$F$41*(datos_base!$F$4+datos_base!$F$20+IF(parametros_manuales!$H$41="Todos",datos_base!$F$11+datos_base!$F$25,0))*parametros_manuales!$C$105+parametros_manuales!$G$41*(datos_base!$F$5+datos_base!$F$21+IF(parametros_manuales!$H$41="Todos",datos_base!$F$12+datos_base!$F$26,0))*parametros_manuales!$C$110)*parametros_manuales!$I$41*parametros_manuales!$J$41</f>
        <v>2249.779569332</v>
      </c>
      <c r="D132" s="9" t="n">
        <f aca="false">(parametros_manuales!$D$41*(datos_base!$F$2+datos_base!$F$18+IF(parametros_manuales!$H$41="Todos",datos_base!$F$9+datos_base!$F$23,0))*parametros_manuales!$D$95+parametros_manuales!$E$41*(datos_base!$F$3+datos_base!$F$19+IF(parametros_manuales!$H$41="Todos",datos_base!$F$10+datos_base!$F$24,0))*parametros_manuales!$D$100+parametros_manuales!$F$41*(datos_base!$F$4+datos_base!$F$20+IF(parametros_manuales!$H$41="Todos",datos_base!$F$11+datos_base!$F$25,0))*parametros_manuales!$D$105+parametros_manuales!$G$41*(datos_base!$F$5+datos_base!$F$21+IF(parametros_manuales!$H$41="Todos",datos_base!$F$12+datos_base!$F$26,0))*parametros_manuales!$D$110)*parametros_manuales!$I$41*parametros_manuales!$J$41</f>
        <v>2192.2559063215</v>
      </c>
      <c r="E132" s="9" t="n">
        <f aca="false">(parametros_manuales!$D$41*(datos_base!$F$2+datos_base!$F$18+IF(parametros_manuales!$H$41="Todos",datos_base!$F$9+datos_base!$F$23,0))*parametros_manuales!$E$95+parametros_manuales!$E$41*(datos_base!$F$3+datos_base!$F$19+IF(parametros_manuales!$H$41="Todos",datos_base!$F$10+datos_base!$F$24,0))*parametros_manuales!$E$100+parametros_manuales!$F$41*(datos_base!$F$4+datos_base!$F$20+IF(parametros_manuales!$H$41="Todos",datos_base!$F$11+datos_base!$F$25,0))*parametros_manuales!$E$105+parametros_manuales!$G$41*(datos_base!$F$5+datos_base!$F$21+IF(parametros_manuales!$H$41="Todos",datos_base!$F$12+datos_base!$F$26,0))*parametros_manuales!$E$110)*parametros_manuales!$I$41*parametros_manuales!$J$41</f>
        <v>2128.8527427715</v>
      </c>
      <c r="F132" s="9" t="n">
        <f aca="false">(parametros_manuales!$D$41*(datos_base!$F$2+datos_base!$F$18+IF(parametros_manuales!$H$41="Todos",datos_base!$F$9+datos_base!$F$23,0))*parametros_manuales!$F$95+parametros_manuales!$E$41*(datos_base!$F$3+datos_base!$F$19+IF(parametros_manuales!$H$41="Todos",datos_base!$F$10+datos_base!$F$24,0))*parametros_manuales!$F$100+parametros_manuales!$F$41*(datos_base!$F$4+datos_base!$F$20+IF(parametros_manuales!$H$41="Todos",datos_base!$F$11+datos_base!$F$25,0))*parametros_manuales!$F$105+parametros_manuales!$G$41*(datos_base!$F$5+datos_base!$F$21+IF(parametros_manuales!$H$41="Todos",datos_base!$F$12+datos_base!$F$26,0))*parametros_manuales!$F$110)*parametros_manuales!$I$41*parametros_manuales!$J$41</f>
        <v>1996.166915132</v>
      </c>
      <c r="G132" s="9" t="n">
        <f aca="false">(parametros_manuales!$D$41*(datos_base!$F$2+datos_base!$F$18+IF(parametros_manuales!$H$41="Todos",datos_base!$F$9+datos_base!$F$23,0))*parametros_manuales!$G$95+parametros_manuales!$E$41*(datos_base!$F$3+datos_base!$F$19+IF(parametros_manuales!$H$41="Todos",datos_base!$F$10+datos_base!$F$24,0))*parametros_manuales!$G$100+parametros_manuales!$F$41*(datos_base!$F$4+datos_base!$F$20+IF(parametros_manuales!$H$41="Todos",datos_base!$F$11+datos_base!$F$25,0))*parametros_manuales!$G$105+parametros_manuales!$G$41*(datos_base!$F$5+datos_base!$F$21+IF(parametros_manuales!$H$41="Todos",datos_base!$F$12+datos_base!$F$26,0))*parametros_manuales!$G$110)*parametros_manuales!$I$41*parametros_manuales!$J$41</f>
        <v>1926.8842510425</v>
      </c>
      <c r="H132" s="9" t="n">
        <f aca="false">(parametros_manuales!$D$41*(datos_base!$F$2+datos_base!$F$18+IF(parametros_manuales!$H$41="Todos",datos_base!$F$9+datos_base!$F$23,0))*parametros_manuales!$H$95+parametros_manuales!$E$41*(datos_base!$F$3+datos_base!$F$19+IF(parametros_manuales!$H$41="Todos",datos_base!$F$10+datos_base!$F$24,0))*parametros_manuales!$H$100+parametros_manuales!$F$41*(datos_base!$F$4+datos_base!$F$20+IF(parametros_manuales!$H$41="Todos",datos_base!$F$11+datos_base!$F$25,0))*parametros_manuales!$H$105+parametros_manuales!$G$41*(datos_base!$F$5+datos_base!$F$21+IF(parametros_manuales!$H$41="Todos",datos_base!$F$12+datos_base!$F$26,0))*parametros_manuales!$H$110)*parametros_manuales!$I$41*parametros_manuales!$J$41</f>
        <v>2059.570078682</v>
      </c>
      <c r="I132" s="9" t="n">
        <f aca="false">(parametros_manuales!$D$41*(datos_base!$F$2+datos_base!$F$18+IF(parametros_manuales!$H$41="Todos",datos_base!$F$9+datos_base!$F$23,0))*parametros_manuales!$I$95+parametros_manuales!$E$41*(datos_base!$F$3+datos_base!$F$19+IF(parametros_manuales!$H$41="Todos",datos_base!$F$10+datos_base!$F$24,0))*parametros_manuales!$I$100+parametros_manuales!$F$41*(datos_base!$F$4+datos_base!$F$20+IF(parametros_manuales!$H$41="Todos",datos_base!$F$11+datos_base!$F$25,0))*parametros_manuales!$I$105+parametros_manuales!$G$41*(datos_base!$F$5+datos_base!$F$21+IF(parametros_manuales!$H$41="Todos",datos_base!$F$12+datos_base!$F$26,0))*parametros_manuales!$I$110)*parametros_manuales!$I$41*parametros_manuales!$J$41</f>
        <v>2249.779569332</v>
      </c>
      <c r="J132" s="9" t="n">
        <f aca="false">(parametros_manuales!$D$41*(datos_base!$F$2+datos_base!$F$18+IF(parametros_manuales!$H$41="Todos",datos_base!$F$9+datos_base!$F$23,0))*parametros_manuales!$J$95+parametros_manuales!$E$41*(datos_base!$F$3+datos_base!$F$19+IF(parametros_manuales!$H$41="Todos",datos_base!$F$10+datos_base!$F$24,0))*parametros_manuales!$J$100+parametros_manuales!$F$41*(datos_base!$F$4+datos_base!$F$20+IF(parametros_manuales!$H$41="Todos",datos_base!$F$11+datos_base!$F$25,0))*parametros_manuales!$J$105+parametros_manuales!$G$41*(datos_base!$F$5+datos_base!$F$21+IF(parametros_manuales!$H$41="Todos",datos_base!$F$12+datos_base!$F$26,0))*parametros_manuales!$J$110)*parametros_manuales!$I$41*parametros_manuales!$J$41</f>
        <v>2249.779569332</v>
      </c>
      <c r="K132" s="9" t="n">
        <f aca="false">(parametros_manuales!$D$41*(datos_base!$F$2+datos_base!$F$18+IF(parametros_manuales!$H$41="Todos",datos_base!$F$9+datos_base!$F$23,0))*parametros_manuales!$K$95+parametros_manuales!$E$41*(datos_base!$F$3+datos_base!$F$19+IF(parametros_manuales!$H$41="Todos",datos_base!$F$10+datos_base!$F$24,0))*parametros_manuales!$K$100+parametros_manuales!$F$41*(datos_base!$F$4+datos_base!$F$20+IF(parametros_manuales!$H$41="Todos",datos_base!$F$11+datos_base!$F$25,0))*parametros_manuales!$K$105+parametros_manuales!$G$41*(datos_base!$F$5+datos_base!$F$21+IF(parametros_manuales!$H$41="Todos",datos_base!$F$12+datos_base!$F$26,0))*parametros_manuales!$K$110)*parametros_manuales!$I$41*parametros_manuales!$J$41</f>
        <v>2319.0622334215</v>
      </c>
      <c r="L132" s="9" t="n">
        <f aca="false">(parametros_manuales!$D$41*(datos_base!$F$2+datos_base!$F$18+IF(parametros_manuales!$H$41="Todos",datos_base!$F$9+datos_base!$F$23,0))*parametros_manuales!$L$95+parametros_manuales!$E$41*(datos_base!$F$3+datos_base!$F$19+IF(parametros_manuales!$H$41="Todos",datos_base!$F$10+datos_base!$F$24,0))*parametros_manuales!$L$100+parametros_manuales!$F$41*(datos_base!$F$4+datos_base!$F$20+IF(parametros_manuales!$H$41="Todos",datos_base!$F$11+datos_base!$F$25,0))*parametros_manuales!$L$105+parametros_manuales!$G$41*(datos_base!$F$5+datos_base!$F$21+IF(parametros_manuales!$H$41="Todos",datos_base!$F$12+datos_base!$F$26,0))*parametros_manuales!$L$110)*parametros_manuales!$I$41*parametros_manuales!$J$41</f>
        <v>2388.344897511</v>
      </c>
      <c r="M132" s="9" t="n">
        <f aca="false">(parametros_manuales!$D$41*(datos_base!$F$2+datos_base!$F$18+IF(parametros_manuales!$H$41="Todos",datos_base!$F$9+datos_base!$F$23,0))*parametros_manuales!$M$95+parametros_manuales!$E$41*(datos_base!$F$3+datos_base!$F$19+IF(parametros_manuales!$H$41="Todos",datos_base!$F$10+datos_base!$F$24,0))*parametros_manuales!$M$100+parametros_manuales!$F$41*(datos_base!$F$4+datos_base!$F$20+IF(parametros_manuales!$H$41="Todos",datos_base!$F$11+datos_base!$F$25,0))*parametros_manuales!$M$105+parametros_manuales!$G$41*(datos_base!$F$5+datos_base!$F$21+IF(parametros_manuales!$H$41="Todos",datos_base!$F$12+datos_base!$F$26,0))*parametros_manuales!$M$110)*parametros_manuales!$I$41*parametros_manuales!$J$41</f>
        <v>2388.344897511</v>
      </c>
      <c r="N132" s="9" t="n">
        <f aca="false">SUM(B132:M132)</f>
        <v>26537.1655279</v>
      </c>
      <c r="O132" s="9" t="n">
        <f aca="false">MAX(B132:M132)</f>
        <v>2388.344897511</v>
      </c>
      <c r="P132" s="43" t="n">
        <f aca="false">O132/(parametros_manuales!$B$7)</f>
        <v>15.92229931674</v>
      </c>
      <c r="Q132" s="8" t="str">
        <f aca="false">IF(O132=0,"-",INDEX($B$109:$M$109,MATCH(O132,B132:M132,0)))</f>
        <v>Ene</v>
      </c>
    </row>
    <row r="133" customFormat="false" ht="14.25" hidden="false" customHeight="true" outlineLevel="0" collapsed="false">
      <c r="A133" s="8" t="str">
        <f aca="false">parametros_manuales!$B$42</f>
        <v>Etiquetado</v>
      </c>
      <c r="B133" s="9" t="n">
        <f aca="false">(parametros_manuales!$D$42*(datos_base!$F$2+datos_base!$F$18+IF(parametros_manuales!$H$42="Todos",datos_base!$F$9+datos_base!$F$23,0))*parametros_manuales!$B$95+parametros_manuales!$E$42*(datos_base!$F$3+datos_base!$F$19+IF(parametros_manuales!$H$42="Todos",datos_base!$F$10+datos_base!$F$24,0))*parametros_manuales!$B$100+parametros_manuales!$F$42*(datos_base!$F$4+datos_base!$F$20+IF(parametros_manuales!$H$42="Todos",datos_base!$F$11+datos_base!$F$25,0))*parametros_manuales!$B$105+parametros_manuales!$G$42*(datos_base!$F$5+datos_base!$F$21+IF(parametros_manuales!$H$42="Todos",datos_base!$F$12+datos_base!$F$26,0))*parametros_manuales!$B$110)*parametros_manuales!$I$42*parametros_manuales!$J$42</f>
        <v>2388.344897511</v>
      </c>
      <c r="C133" s="9" t="n">
        <f aca="false">(parametros_manuales!$D$42*(datos_base!$F$2+datos_base!$F$18+IF(parametros_manuales!$H$42="Todos",datos_base!$F$9+datos_base!$F$23,0))*parametros_manuales!$C$95+parametros_manuales!$E$42*(datos_base!$F$3+datos_base!$F$19+IF(parametros_manuales!$H$42="Todos",datos_base!$F$10+datos_base!$F$24,0))*parametros_manuales!$C$100+parametros_manuales!$F$42*(datos_base!$F$4+datos_base!$F$20+IF(parametros_manuales!$H$42="Todos",datos_base!$F$11+datos_base!$F$25,0))*parametros_manuales!$C$105+parametros_manuales!$G$42*(datos_base!$F$5+datos_base!$F$21+IF(parametros_manuales!$H$42="Todos",datos_base!$F$12+datos_base!$F$26,0))*parametros_manuales!$C$110)*parametros_manuales!$I$42*parametros_manuales!$J$42</f>
        <v>2249.779569332</v>
      </c>
      <c r="D133" s="9" t="n">
        <f aca="false">(parametros_manuales!$D$42*(datos_base!$F$2+datos_base!$F$18+IF(parametros_manuales!$H$42="Todos",datos_base!$F$9+datos_base!$F$23,0))*parametros_manuales!$D$95+parametros_manuales!$E$42*(datos_base!$F$3+datos_base!$F$19+IF(parametros_manuales!$H$42="Todos",datos_base!$F$10+datos_base!$F$24,0))*parametros_manuales!$D$100+parametros_manuales!$F$42*(datos_base!$F$4+datos_base!$F$20+IF(parametros_manuales!$H$42="Todos",datos_base!$F$11+datos_base!$F$25,0))*parametros_manuales!$D$105+parametros_manuales!$G$42*(datos_base!$F$5+datos_base!$F$21+IF(parametros_manuales!$H$42="Todos",datos_base!$F$12+datos_base!$F$26,0))*parametros_manuales!$D$110)*parametros_manuales!$I$42*parametros_manuales!$J$42</f>
        <v>2192.2559063215</v>
      </c>
      <c r="E133" s="9" t="n">
        <f aca="false">(parametros_manuales!$D$42*(datos_base!$F$2+datos_base!$F$18+IF(parametros_manuales!$H$42="Todos",datos_base!$F$9+datos_base!$F$23,0))*parametros_manuales!$E$95+parametros_manuales!$E$42*(datos_base!$F$3+datos_base!$F$19+IF(parametros_manuales!$H$42="Todos",datos_base!$F$10+datos_base!$F$24,0))*parametros_manuales!$E$100+parametros_manuales!$F$42*(datos_base!$F$4+datos_base!$F$20+IF(parametros_manuales!$H$42="Todos",datos_base!$F$11+datos_base!$F$25,0))*parametros_manuales!$E$105+parametros_manuales!$G$42*(datos_base!$F$5+datos_base!$F$21+IF(parametros_manuales!$H$42="Todos",datos_base!$F$12+datos_base!$F$26,0))*parametros_manuales!$E$110)*parametros_manuales!$I$42*parametros_manuales!$J$42</f>
        <v>2128.8527427715</v>
      </c>
      <c r="F133" s="9" t="n">
        <f aca="false">(parametros_manuales!$D$42*(datos_base!$F$2+datos_base!$F$18+IF(parametros_manuales!$H$42="Todos",datos_base!$F$9+datos_base!$F$23,0))*parametros_manuales!$F$95+parametros_manuales!$E$42*(datos_base!$F$3+datos_base!$F$19+IF(parametros_manuales!$H$42="Todos",datos_base!$F$10+datos_base!$F$24,0))*parametros_manuales!$F$100+parametros_manuales!$F$42*(datos_base!$F$4+datos_base!$F$20+IF(parametros_manuales!$H$42="Todos",datos_base!$F$11+datos_base!$F$25,0))*parametros_manuales!$F$105+parametros_manuales!$G$42*(datos_base!$F$5+datos_base!$F$21+IF(parametros_manuales!$H$42="Todos",datos_base!$F$12+datos_base!$F$26,0))*parametros_manuales!$F$110)*parametros_manuales!$I$42*parametros_manuales!$J$42</f>
        <v>1996.166915132</v>
      </c>
      <c r="G133" s="9" t="n">
        <f aca="false">(parametros_manuales!$D$42*(datos_base!$F$2+datos_base!$F$18+IF(parametros_manuales!$H$42="Todos",datos_base!$F$9+datos_base!$F$23,0))*parametros_manuales!$G$95+parametros_manuales!$E$42*(datos_base!$F$3+datos_base!$F$19+IF(parametros_manuales!$H$42="Todos",datos_base!$F$10+datos_base!$F$24,0))*parametros_manuales!$G$100+parametros_manuales!$F$42*(datos_base!$F$4+datos_base!$F$20+IF(parametros_manuales!$H$42="Todos",datos_base!$F$11+datos_base!$F$25,0))*parametros_manuales!$G$105+parametros_manuales!$G$42*(datos_base!$F$5+datos_base!$F$21+IF(parametros_manuales!$H$42="Todos",datos_base!$F$12+datos_base!$F$26,0))*parametros_manuales!$G$110)*parametros_manuales!$I$42*parametros_manuales!$J$42</f>
        <v>1926.8842510425</v>
      </c>
      <c r="H133" s="9" t="n">
        <f aca="false">(parametros_manuales!$D$42*(datos_base!$F$2+datos_base!$F$18+IF(parametros_manuales!$H$42="Todos",datos_base!$F$9+datos_base!$F$23,0))*parametros_manuales!$H$95+parametros_manuales!$E$42*(datos_base!$F$3+datos_base!$F$19+IF(parametros_manuales!$H$42="Todos",datos_base!$F$10+datos_base!$F$24,0))*parametros_manuales!$H$100+parametros_manuales!$F$42*(datos_base!$F$4+datos_base!$F$20+IF(parametros_manuales!$H$42="Todos",datos_base!$F$11+datos_base!$F$25,0))*parametros_manuales!$H$105+parametros_manuales!$G$42*(datos_base!$F$5+datos_base!$F$21+IF(parametros_manuales!$H$42="Todos",datos_base!$F$12+datos_base!$F$26,0))*parametros_manuales!$H$110)*parametros_manuales!$I$42*parametros_manuales!$J$42</f>
        <v>2059.570078682</v>
      </c>
      <c r="I133" s="9" t="n">
        <f aca="false">(parametros_manuales!$D$42*(datos_base!$F$2+datos_base!$F$18+IF(parametros_manuales!$H$42="Todos",datos_base!$F$9+datos_base!$F$23,0))*parametros_manuales!$I$95+parametros_manuales!$E$42*(datos_base!$F$3+datos_base!$F$19+IF(parametros_manuales!$H$42="Todos",datos_base!$F$10+datos_base!$F$24,0))*parametros_manuales!$I$100+parametros_manuales!$F$42*(datos_base!$F$4+datos_base!$F$20+IF(parametros_manuales!$H$42="Todos",datos_base!$F$11+datos_base!$F$25,0))*parametros_manuales!$I$105+parametros_manuales!$G$42*(datos_base!$F$5+datos_base!$F$21+IF(parametros_manuales!$H$42="Todos",datos_base!$F$12+datos_base!$F$26,0))*parametros_manuales!$I$110)*parametros_manuales!$I$42*parametros_manuales!$J$42</f>
        <v>2249.779569332</v>
      </c>
      <c r="J133" s="9" t="n">
        <f aca="false">(parametros_manuales!$D$42*(datos_base!$F$2+datos_base!$F$18+IF(parametros_manuales!$H$42="Todos",datos_base!$F$9+datos_base!$F$23,0))*parametros_manuales!$J$95+parametros_manuales!$E$42*(datos_base!$F$3+datos_base!$F$19+IF(parametros_manuales!$H$42="Todos",datos_base!$F$10+datos_base!$F$24,0))*parametros_manuales!$J$100+parametros_manuales!$F$42*(datos_base!$F$4+datos_base!$F$20+IF(parametros_manuales!$H$42="Todos",datos_base!$F$11+datos_base!$F$25,0))*parametros_manuales!$J$105+parametros_manuales!$G$42*(datos_base!$F$5+datos_base!$F$21+IF(parametros_manuales!$H$42="Todos",datos_base!$F$12+datos_base!$F$26,0))*parametros_manuales!$J$110)*parametros_manuales!$I$42*parametros_manuales!$J$42</f>
        <v>2249.779569332</v>
      </c>
      <c r="K133" s="9" t="n">
        <f aca="false">(parametros_manuales!$D$42*(datos_base!$F$2+datos_base!$F$18+IF(parametros_manuales!$H$42="Todos",datos_base!$F$9+datos_base!$F$23,0))*parametros_manuales!$K$95+parametros_manuales!$E$42*(datos_base!$F$3+datos_base!$F$19+IF(parametros_manuales!$H$42="Todos",datos_base!$F$10+datos_base!$F$24,0))*parametros_manuales!$K$100+parametros_manuales!$F$42*(datos_base!$F$4+datos_base!$F$20+IF(parametros_manuales!$H$42="Todos",datos_base!$F$11+datos_base!$F$25,0))*parametros_manuales!$K$105+parametros_manuales!$G$42*(datos_base!$F$5+datos_base!$F$21+IF(parametros_manuales!$H$42="Todos",datos_base!$F$12+datos_base!$F$26,0))*parametros_manuales!$K$110)*parametros_manuales!$I$42*parametros_manuales!$J$42</f>
        <v>2319.0622334215</v>
      </c>
      <c r="L133" s="9" t="n">
        <f aca="false">(parametros_manuales!$D$42*(datos_base!$F$2+datos_base!$F$18+IF(parametros_manuales!$H$42="Todos",datos_base!$F$9+datos_base!$F$23,0))*parametros_manuales!$L$95+parametros_manuales!$E$42*(datos_base!$F$3+datos_base!$F$19+IF(parametros_manuales!$H$42="Todos",datos_base!$F$10+datos_base!$F$24,0))*parametros_manuales!$L$100+parametros_manuales!$F$42*(datos_base!$F$4+datos_base!$F$20+IF(parametros_manuales!$H$42="Todos",datos_base!$F$11+datos_base!$F$25,0))*parametros_manuales!$L$105+parametros_manuales!$G$42*(datos_base!$F$5+datos_base!$F$21+IF(parametros_manuales!$H$42="Todos",datos_base!$F$12+datos_base!$F$26,0))*parametros_manuales!$L$110)*parametros_manuales!$I$42*parametros_manuales!$J$42</f>
        <v>2388.344897511</v>
      </c>
      <c r="M133" s="9" t="n">
        <f aca="false">(parametros_manuales!$D$42*(datos_base!$F$2+datos_base!$F$18+IF(parametros_manuales!$H$42="Todos",datos_base!$F$9+datos_base!$F$23,0))*parametros_manuales!$M$95+parametros_manuales!$E$42*(datos_base!$F$3+datos_base!$F$19+IF(parametros_manuales!$H$42="Todos",datos_base!$F$10+datos_base!$F$24,0))*parametros_manuales!$M$100+parametros_manuales!$F$42*(datos_base!$F$4+datos_base!$F$20+IF(parametros_manuales!$H$42="Todos",datos_base!$F$11+datos_base!$F$25,0))*parametros_manuales!$M$105+parametros_manuales!$G$42*(datos_base!$F$5+datos_base!$F$21+IF(parametros_manuales!$H$42="Todos",datos_base!$F$12+datos_base!$F$26,0))*parametros_manuales!$M$110)*parametros_manuales!$I$42*parametros_manuales!$J$42</f>
        <v>2388.344897511</v>
      </c>
      <c r="N133" s="9" t="n">
        <f aca="false">SUM(B133:M133)</f>
        <v>26537.1655279</v>
      </c>
      <c r="O133" s="9" t="n">
        <f aca="false">MAX(B133:M133)</f>
        <v>2388.344897511</v>
      </c>
      <c r="P133" s="43" t="n">
        <f aca="false">O133/(parametros_manuales!$B$7)</f>
        <v>15.92229931674</v>
      </c>
      <c r="Q133" s="8" t="str">
        <f aca="false">IF(O133=0,"-",INDEX($B$109:$M$109,MATCH(O133,B133:M133,0)))</f>
        <v>Ene</v>
      </c>
    </row>
    <row r="134" customFormat="false" ht="14.25" hidden="false" customHeight="true" outlineLevel="0" collapsed="false">
      <c r="A134" s="8" t="str">
        <f aca="false">parametros_manuales!$B$43</f>
        <v>Embalaje y paletizado</v>
      </c>
      <c r="B134" s="9" t="n">
        <f aca="false">(parametros_manuales!$D$43*(datos_base!$F$2+datos_base!$F$18+IF(parametros_manuales!$H$43="Todos",datos_base!$F$9+datos_base!$F$23,0))*parametros_manuales!$B$95+parametros_manuales!$E$43*(datos_base!$F$3+datos_base!$F$19+IF(parametros_manuales!$H$43="Todos",datos_base!$F$10+datos_base!$F$24,0))*parametros_manuales!$B$100+parametros_manuales!$F$43*(datos_base!$F$4+datos_base!$F$20+IF(parametros_manuales!$H$43="Todos",datos_base!$F$11+datos_base!$F$25,0))*parametros_manuales!$B$105+parametros_manuales!$G$43*(datos_base!$F$5+datos_base!$F$21+IF(parametros_manuales!$H$43="Todos",datos_base!$F$12+datos_base!$F$26,0))*parametros_manuales!$B$110)*parametros_manuales!$I$43*parametros_manuales!$J$43</f>
        <v>7942.291697511</v>
      </c>
      <c r="C134" s="9" t="n">
        <f aca="false">(parametros_manuales!$D$43*(datos_base!$F$2+datos_base!$F$18+IF(parametros_manuales!$H$43="Todos",datos_base!$F$9+datos_base!$F$23,0))*parametros_manuales!$C$95+parametros_manuales!$E$43*(datos_base!$F$3+datos_base!$F$19+IF(parametros_manuales!$H$43="Todos",datos_base!$F$10+datos_base!$F$24,0))*parametros_manuales!$C$100+parametros_manuales!$F$43*(datos_base!$F$4+datos_base!$F$20+IF(parametros_manuales!$H$43="Todos",datos_base!$F$11+datos_base!$F$25,0))*parametros_manuales!$C$105+parametros_manuales!$G$43*(datos_base!$F$5+datos_base!$F$21+IF(parametros_manuales!$H$43="Todos",datos_base!$F$12+datos_base!$F$26,0))*parametros_manuales!$C$110)*parametros_manuales!$I$43*parametros_manuales!$J$43</f>
        <v>7680.969169332</v>
      </c>
      <c r="D134" s="9" t="n">
        <f aca="false">(parametros_manuales!$D$43*(datos_base!$F$2+datos_base!$F$18+IF(parametros_manuales!$H$43="Todos",datos_base!$F$9+datos_base!$F$23,0))*parametros_manuales!$D$95+parametros_manuales!$E$43*(datos_base!$F$3+datos_base!$F$19+IF(parametros_manuales!$H$43="Todos",datos_base!$F$10+datos_base!$F$24,0))*parametros_manuales!$D$100+parametros_manuales!$F$43*(datos_base!$F$4+datos_base!$F$20+IF(parametros_manuales!$H$43="Todos",datos_base!$F$11+datos_base!$F$25,0))*parametros_manuales!$D$105+parametros_manuales!$G$43*(datos_base!$F$5+datos_base!$F$21+IF(parametros_manuales!$H$43="Todos",datos_base!$F$12+datos_base!$F$26,0))*parametros_manuales!$D$110)*parametros_manuales!$I$43*parametros_manuales!$J$43</f>
        <v>7190.4761063215</v>
      </c>
      <c r="E134" s="9" t="n">
        <f aca="false">(parametros_manuales!$D$43*(datos_base!$F$2+datos_base!$F$18+IF(parametros_manuales!$H$43="Todos",datos_base!$F$9+datos_base!$F$23,0))*parametros_manuales!$E$95+parametros_manuales!$E$43*(datos_base!$F$3+datos_base!$F$19+IF(parametros_manuales!$H$43="Todos",datos_base!$F$10+datos_base!$F$24,0))*parametros_manuales!$E$100+parametros_manuales!$F$43*(datos_base!$F$4+datos_base!$F$20+IF(parametros_manuales!$H$43="Todos",datos_base!$F$11+datos_base!$F$25,0))*parametros_manuales!$E$105+parametros_manuales!$G$43*(datos_base!$F$5+datos_base!$F$21+IF(parametros_manuales!$H$43="Todos",datos_base!$F$12+datos_base!$F$26,0))*parametros_manuales!$E$110)*parametros_manuales!$I$43*parametros_manuales!$J$43</f>
        <v>6879.8989427715</v>
      </c>
      <c r="F134" s="9" t="n">
        <f aca="false">(parametros_manuales!$D$43*(datos_base!$F$2+datos_base!$F$18+IF(parametros_manuales!$H$43="Todos",datos_base!$F$9+datos_base!$F$23,0))*parametros_manuales!$F$95+parametros_manuales!$E$43*(datos_base!$F$3+datos_base!$F$19+IF(parametros_manuales!$H$43="Todos",datos_base!$F$10+datos_base!$F$24,0))*parametros_manuales!$F$100+parametros_manuales!$F$43*(datos_base!$F$4+datos_base!$F$20+IF(parametros_manuales!$H$43="Todos",datos_base!$F$11+datos_base!$F$25,0))*parametros_manuales!$F$105+parametros_manuales!$G$43*(datos_base!$F$5+datos_base!$F$21+IF(parametros_manuales!$H$43="Todos",datos_base!$F$12+datos_base!$F$26,0))*parametros_manuales!$F$110)*parametros_manuales!$I$43*parametros_manuales!$J$43</f>
        <v>6438.660515132</v>
      </c>
      <c r="G134" s="9" t="n">
        <f aca="false">(parametros_manuales!$D$43*(datos_base!$F$2+datos_base!$F$18+IF(parametros_manuales!$H$43="Todos",datos_base!$F$9+datos_base!$F$23,0))*parametros_manuales!$G$95+parametros_manuales!$E$43*(datos_base!$F$3+datos_base!$F$19+IF(parametros_manuales!$H$43="Todos",datos_base!$F$10+datos_base!$F$24,0))*parametros_manuales!$G$100+parametros_manuales!$F$43*(datos_base!$F$4+datos_base!$F$20+IF(parametros_manuales!$H$43="Todos",datos_base!$F$11+datos_base!$F$25,0))*parametros_manuales!$G$105+parametros_manuales!$G$43*(datos_base!$F$5+datos_base!$F$21+IF(parametros_manuales!$H$43="Todos",datos_base!$F$12+datos_base!$F$26,0))*parametros_manuales!$G$110)*parametros_manuales!$I$43*parametros_manuales!$J$43</f>
        <v>6307.9992510425</v>
      </c>
      <c r="H134" s="9" t="n">
        <f aca="false">(parametros_manuales!$D$43*(datos_base!$F$2+datos_base!$F$18+IF(parametros_manuales!$H$43="Todos",datos_base!$F$9+datos_base!$F$23,0))*parametros_manuales!$H$95+parametros_manuales!$E$43*(datos_base!$F$3+datos_base!$F$19+IF(parametros_manuales!$H$43="Todos",datos_base!$F$10+datos_base!$F$24,0))*parametros_manuales!$H$100+parametros_manuales!$F$43*(datos_base!$F$4+datos_base!$F$20+IF(parametros_manuales!$H$43="Todos",datos_base!$F$11+datos_base!$F$25,0))*parametros_manuales!$H$105+parametros_manuales!$G$43*(datos_base!$F$5+datos_base!$F$21+IF(parametros_manuales!$H$43="Todos",datos_base!$F$12+datos_base!$F$26,0))*parametros_manuales!$H$110)*parametros_manuales!$I$43*parametros_manuales!$J$43</f>
        <v>6749.237678682</v>
      </c>
      <c r="I134" s="9" t="n">
        <f aca="false">(parametros_manuales!$D$43*(datos_base!$F$2+datos_base!$F$18+IF(parametros_manuales!$H$43="Todos",datos_base!$F$9+datos_base!$F$23,0))*parametros_manuales!$I$95+parametros_manuales!$E$43*(datos_base!$F$3+datos_base!$F$19+IF(parametros_manuales!$H$43="Todos",datos_base!$F$10+datos_base!$F$24,0))*parametros_manuales!$I$100+parametros_manuales!$F$43*(datos_base!$F$4+datos_base!$F$20+IF(parametros_manuales!$H$43="Todos",datos_base!$F$11+datos_base!$F$25,0))*parametros_manuales!$I$105+parametros_manuales!$G$43*(datos_base!$F$5+datos_base!$F$21+IF(parametros_manuales!$H$43="Todos",datos_base!$F$12+datos_base!$F$26,0))*parametros_manuales!$I$110)*parametros_manuales!$I$43*parametros_manuales!$J$43</f>
        <v>7680.969169332</v>
      </c>
      <c r="J134" s="9" t="n">
        <f aca="false">(parametros_manuales!$D$43*(datos_base!$F$2+datos_base!$F$18+IF(parametros_manuales!$H$43="Todos",datos_base!$F$9+datos_base!$F$23,0))*parametros_manuales!$J$95+parametros_manuales!$E$43*(datos_base!$F$3+datos_base!$F$19+IF(parametros_manuales!$H$43="Todos",datos_base!$F$10+datos_base!$F$24,0))*parametros_manuales!$J$100+parametros_manuales!$F$43*(datos_base!$F$4+datos_base!$F$20+IF(parametros_manuales!$H$43="Todos",datos_base!$F$11+datos_base!$F$25,0))*parametros_manuales!$J$105+parametros_manuales!$G$43*(datos_base!$F$5+datos_base!$F$21+IF(parametros_manuales!$H$43="Todos",datos_base!$F$12+datos_base!$F$26,0))*parametros_manuales!$J$110)*parametros_manuales!$I$43*parametros_manuales!$J$43</f>
        <v>7680.969169332</v>
      </c>
      <c r="K134" s="9" t="n">
        <f aca="false">(parametros_manuales!$D$43*(datos_base!$F$2+datos_base!$F$18+IF(parametros_manuales!$H$43="Todos",datos_base!$F$9+datos_base!$F$23,0))*parametros_manuales!$K$95+parametros_manuales!$E$43*(datos_base!$F$3+datos_base!$F$19+IF(parametros_manuales!$H$43="Todos",datos_base!$F$10+datos_base!$F$24,0))*parametros_manuales!$K$100+parametros_manuales!$F$43*(datos_base!$F$4+datos_base!$F$20+IF(parametros_manuales!$H$43="Todos",datos_base!$F$11+datos_base!$F$25,0))*parametros_manuales!$K$105+parametros_manuales!$G$43*(datos_base!$F$5+datos_base!$F$21+IF(parametros_manuales!$H$43="Todos",datos_base!$F$12+datos_base!$F$26,0))*parametros_manuales!$K$110)*parametros_manuales!$I$43*parametros_manuales!$J$43</f>
        <v>7811.6304334215</v>
      </c>
      <c r="L134" s="9" t="n">
        <f aca="false">(parametros_manuales!$D$43*(datos_base!$F$2+datos_base!$F$18+IF(parametros_manuales!$H$43="Todos",datos_base!$F$9+datos_base!$F$23,0))*parametros_manuales!$L$95+parametros_manuales!$E$43*(datos_base!$F$3+datos_base!$F$19+IF(parametros_manuales!$H$43="Todos",datos_base!$F$10+datos_base!$F$24,0))*parametros_manuales!$L$100+parametros_manuales!$F$43*(datos_base!$F$4+datos_base!$F$20+IF(parametros_manuales!$H$43="Todos",datos_base!$F$11+datos_base!$F$25,0))*parametros_manuales!$L$105+parametros_manuales!$G$43*(datos_base!$F$5+datos_base!$F$21+IF(parametros_manuales!$H$43="Todos",datos_base!$F$12+datos_base!$F$26,0))*parametros_manuales!$L$110)*parametros_manuales!$I$43*parametros_manuales!$J$43</f>
        <v>7942.291697511</v>
      </c>
      <c r="M134" s="9" t="n">
        <f aca="false">(parametros_manuales!$D$43*(datos_base!$F$2+datos_base!$F$18+IF(parametros_manuales!$H$43="Todos",datos_base!$F$9+datos_base!$F$23,0))*parametros_manuales!$M$95+parametros_manuales!$E$43*(datos_base!$F$3+datos_base!$F$19+IF(parametros_manuales!$H$43="Todos",datos_base!$F$10+datos_base!$F$24,0))*parametros_manuales!$M$100+parametros_manuales!$F$43*(datos_base!$F$4+datos_base!$F$20+IF(parametros_manuales!$H$43="Todos",datos_base!$F$11+datos_base!$F$25,0))*parametros_manuales!$M$105+parametros_manuales!$G$43*(datos_base!$F$5+datos_base!$F$21+IF(parametros_manuales!$H$43="Todos",datos_base!$F$12+datos_base!$F$26,0))*parametros_manuales!$M$110)*parametros_manuales!$I$43*parametros_manuales!$J$43</f>
        <v>7942.291697511</v>
      </c>
      <c r="N134" s="9" t="n">
        <f aca="false">SUM(B134:M134)</f>
        <v>88247.6855279</v>
      </c>
      <c r="O134" s="9" t="n">
        <f aca="false">MAX(B134:M134)</f>
        <v>7942.291697511</v>
      </c>
      <c r="P134" s="43" t="n">
        <f aca="false">O134/(parametros_manuales!$B$7)</f>
        <v>52.94861131674</v>
      </c>
      <c r="Q134" s="8" t="str">
        <f aca="false">IF(O134=0,"-",INDEX($B$109:$M$109,MATCH(O134,B134:M134,0)))</f>
        <v>Ene</v>
      </c>
    </row>
    <row r="135" customFormat="false" ht="14.25" hidden="false" customHeight="true" outlineLevel="0" collapsed="false"/>
    <row r="136" customFormat="false" ht="14.25" hidden="false" customHeight="true" outlineLevel="0" collapsed="false">
      <c r="A136" s="7" t="s">
        <v>195</v>
      </c>
      <c r="B136" s="7" t="s">
        <v>61</v>
      </c>
      <c r="C136" s="7" t="s">
        <v>62</v>
      </c>
      <c r="D136" s="7" t="s">
        <v>63</v>
      </c>
      <c r="E136" s="7" t="s">
        <v>64</v>
      </c>
      <c r="F136" s="7" t="s">
        <v>65</v>
      </c>
      <c r="G136" s="7" t="s">
        <v>66</v>
      </c>
      <c r="H136" s="7" t="s">
        <v>67</v>
      </c>
      <c r="I136" s="7" t="s">
        <v>68</v>
      </c>
      <c r="J136" s="7" t="s">
        <v>69</v>
      </c>
      <c r="K136" s="7" t="s">
        <v>70</v>
      </c>
      <c r="L136" s="7" t="s">
        <v>71</v>
      </c>
      <c r="M136" s="7" t="s">
        <v>72</v>
      </c>
      <c r="N136" s="7" t="s">
        <v>183</v>
      </c>
      <c r="O136" s="7" t="s">
        <v>188</v>
      </c>
      <c r="P136" s="7" t="s">
        <v>189</v>
      </c>
      <c r="Q136" s="7" t="s">
        <v>190</v>
      </c>
    </row>
    <row r="137" customFormat="false" ht="14.25" hidden="false" customHeight="true" outlineLevel="0" collapsed="false">
      <c r="A137" s="8" t="str">
        <f aca="false">parametros_manuales!$B$19</f>
        <v>Recepción de materia prima</v>
      </c>
      <c r="B137" s="9" t="n">
        <f aca="false">(parametros_manuales!$D$19*(datos_base!$G$2+datos_base!$G$18+IF(parametros_manuales!$H$19="Todos",datos_base!$G$9+datos_base!$G$23,0))*parametros_manuales!$B$95+parametros_manuales!$E$19*(datos_base!$G$3+datos_base!$G$19+IF(parametros_manuales!$H$19="Todos",datos_base!$G$10+datos_base!$G$24,0))*parametros_manuales!$B$100+parametros_manuales!$F$19*(datos_base!$G$4+datos_base!$G$20+IF(parametros_manuales!$H$19="Todos",datos_base!$G$11+datos_base!$G$25,0))*parametros_manuales!$B$105+parametros_manuales!$G$19*(datos_base!$G$5+datos_base!$G$21+IF(parametros_manuales!$H$19="Todos",datos_base!$G$12+datos_base!$G$26,0))*parametros_manuales!$B$110)*parametros_manuales!$I$19*parametros_manuales!$J$19</f>
        <v>11151.11988891</v>
      </c>
      <c r="C137" s="9" t="n">
        <f aca="false">(parametros_manuales!$D$19*(datos_base!$G$2+datos_base!$G$18+IF(parametros_manuales!$H$19="Todos",datos_base!$G$9+datos_base!$G$23,0))*parametros_manuales!$C$95+parametros_manuales!$E$19*(datos_base!$G$3+datos_base!$G$19+IF(parametros_manuales!$H$19="Todos",datos_base!$G$10+datos_base!$G$24,0))*parametros_manuales!$C$100+parametros_manuales!$F$19*(datos_base!$G$4+datos_base!$G$20+IF(parametros_manuales!$H$19="Todos",datos_base!$G$11+datos_base!$G$25,0))*parametros_manuales!$C$105+parametros_manuales!$G$19*(datos_base!$G$5+datos_base!$G$21+IF(parametros_manuales!$H$19="Todos",datos_base!$G$12+datos_base!$G$26,0))*parametros_manuales!$C$110)*parametros_manuales!$I$19*parametros_manuales!$J$19</f>
        <v>10785.11109862</v>
      </c>
      <c r="D137" s="9" t="n">
        <f aca="false">(parametros_manuales!$D$19*(datos_base!$G$2+datos_base!$G$18+IF(parametros_manuales!$H$19="Todos",datos_base!$G$9+datos_base!$G$23,0))*parametros_manuales!$D$95+parametros_manuales!$E$19*(datos_base!$G$3+datos_base!$G$19+IF(parametros_manuales!$H$19="Todos",datos_base!$G$10+datos_base!$G$24,0))*parametros_manuales!$D$100+parametros_manuales!$F$19*(datos_base!$G$4+datos_base!$G$20+IF(parametros_manuales!$H$19="Todos",datos_base!$G$11+datos_base!$G$25,0))*parametros_manuales!$D$105+parametros_manuales!$G$19*(datos_base!$G$5+datos_base!$G$21+IF(parametros_manuales!$H$19="Todos",datos_base!$G$12+datos_base!$G$26,0))*parametros_manuales!$D$110)*parametros_manuales!$I$19*parametros_manuales!$J$19</f>
        <v>10095.110963065</v>
      </c>
      <c r="E137" s="9" t="n">
        <f aca="false">(parametros_manuales!$D$19*(datos_base!$G$2+datos_base!$G$18+IF(parametros_manuales!$H$19="Todos",datos_base!$G$9+datos_base!$G$23,0))*parametros_manuales!$E$95+parametros_manuales!$E$19*(datos_base!$G$3+datos_base!$G$19+IF(parametros_manuales!$H$19="Todos",datos_base!$G$10+datos_base!$G$24,0))*parametros_manuales!$E$100+parametros_manuales!$F$19*(datos_base!$G$4+datos_base!$G$20+IF(parametros_manuales!$H$19="Todos",datos_base!$G$11+datos_base!$G$25,0))*parametros_manuales!$E$105+parametros_manuales!$G$19*(datos_base!$G$5+datos_base!$G$21+IF(parametros_manuales!$H$19="Todos",datos_base!$G$12+datos_base!$G$26,0))*parametros_manuales!$E$110)*parametros_manuales!$I$19*parametros_manuales!$J$19</f>
        <v>9658.608697715</v>
      </c>
      <c r="F137" s="9" t="n">
        <f aca="false">(parametros_manuales!$D$19*(datos_base!$G$2+datos_base!$G$18+IF(parametros_manuales!$H$19="Todos",datos_base!$G$9+datos_base!$G$23,0))*parametros_manuales!$F$95+parametros_manuales!$E$19*(datos_base!$G$3+datos_base!$G$19+IF(parametros_manuales!$H$19="Todos",datos_base!$G$10+datos_base!$G$24,0))*parametros_manuales!$F$100+parametros_manuales!$F$19*(datos_base!$G$4+datos_base!$G$20+IF(parametros_manuales!$H$19="Todos",datos_base!$G$11+datos_base!$G$25,0))*parametros_manuales!$F$105+parametros_manuales!$G$19*(datos_base!$G$5+datos_base!$G$21+IF(parametros_manuales!$H$19="Todos",datos_base!$G$12+datos_base!$G$26,0))*parametros_manuales!$F$110)*parametros_manuales!$I$19*parametros_manuales!$J$19</f>
        <v>9039.10203722</v>
      </c>
      <c r="G137" s="9" t="n">
        <f aca="false">(parametros_manuales!$D$19*(datos_base!$G$2+datos_base!$G$18+IF(parametros_manuales!$H$19="Todos",datos_base!$G$9+datos_base!$G$23,0))*parametros_manuales!$G$95+parametros_manuales!$E$19*(datos_base!$G$3+datos_base!$G$19+IF(parametros_manuales!$H$19="Todos",datos_base!$G$10+datos_base!$G$24,0))*parametros_manuales!$G$100+parametros_manuales!$F$19*(datos_base!$G$4+datos_base!$G$20+IF(parametros_manuales!$H$19="Todos",datos_base!$G$11+datos_base!$G$25,0))*parametros_manuales!$G$105+parametros_manuales!$G$19*(datos_base!$G$5+datos_base!$G$21+IF(parametros_manuales!$H$19="Todos",datos_base!$G$12+datos_base!$G$26,0))*parametros_manuales!$G$110)*parametros_manuales!$I$19*parametros_manuales!$J$19</f>
        <v>8856.097642075</v>
      </c>
      <c r="H137" s="9" t="n">
        <f aca="false">(parametros_manuales!$D$19*(datos_base!$G$2+datos_base!$G$18+IF(parametros_manuales!$H$19="Todos",datos_base!$G$9+datos_base!$G$23,0))*parametros_manuales!$H$95+parametros_manuales!$E$19*(datos_base!$G$3+datos_base!$G$19+IF(parametros_manuales!$H$19="Todos",datos_base!$G$10+datos_base!$G$24,0))*parametros_manuales!$H$100+parametros_manuales!$F$19*(datos_base!$G$4+datos_base!$G$20+IF(parametros_manuales!$H$19="Todos",datos_base!$G$11+datos_base!$G$25,0))*parametros_manuales!$H$105+parametros_manuales!$G$19*(datos_base!$G$5+datos_base!$G$21+IF(parametros_manuales!$H$19="Todos",datos_base!$G$12+datos_base!$G$26,0))*parametros_manuales!$H$110)*parametros_manuales!$I$19*parametros_manuales!$J$19</f>
        <v>9475.60430257</v>
      </c>
      <c r="I137" s="9" t="n">
        <f aca="false">(parametros_manuales!$D$19*(datos_base!$G$2+datos_base!$G$18+IF(parametros_manuales!$H$19="Todos",datos_base!$G$9+datos_base!$G$23,0))*parametros_manuales!$I$95+parametros_manuales!$E$19*(datos_base!$G$3+datos_base!$G$19+IF(parametros_manuales!$H$19="Todos",datos_base!$G$10+datos_base!$G$24,0))*parametros_manuales!$I$100+parametros_manuales!$F$19*(datos_base!$G$4+datos_base!$G$20+IF(parametros_manuales!$H$19="Todos",datos_base!$G$11+datos_base!$G$25,0))*parametros_manuales!$I$105+parametros_manuales!$G$19*(datos_base!$G$5+datos_base!$G$21+IF(parametros_manuales!$H$19="Todos",datos_base!$G$12+datos_base!$G$26,0))*parametros_manuales!$I$110)*parametros_manuales!$I$19*parametros_manuales!$J$19</f>
        <v>10785.11109862</v>
      </c>
      <c r="J137" s="9" t="n">
        <f aca="false">(parametros_manuales!$D$19*(datos_base!$G$2+datos_base!$G$18+IF(parametros_manuales!$H$19="Todos",datos_base!$G$9+datos_base!$G$23,0))*parametros_manuales!$J$95+parametros_manuales!$E$19*(datos_base!$G$3+datos_base!$G$19+IF(parametros_manuales!$H$19="Todos",datos_base!$G$10+datos_base!$G$24,0))*parametros_manuales!$J$100+parametros_manuales!$F$19*(datos_base!$G$4+datos_base!$G$20+IF(parametros_manuales!$H$19="Todos",datos_base!$G$11+datos_base!$G$25,0))*parametros_manuales!$J$105+parametros_manuales!$G$19*(datos_base!$G$5+datos_base!$G$21+IF(parametros_manuales!$H$19="Todos",datos_base!$G$12+datos_base!$G$26,0))*parametros_manuales!$J$110)*parametros_manuales!$I$19*parametros_manuales!$J$19</f>
        <v>10785.11109862</v>
      </c>
      <c r="K137" s="9" t="n">
        <f aca="false">(parametros_manuales!$D$19*(datos_base!$G$2+datos_base!$G$18+IF(parametros_manuales!$H$19="Todos",datos_base!$G$9+datos_base!$G$23,0))*parametros_manuales!$K$95+parametros_manuales!$E$19*(datos_base!$G$3+datos_base!$G$19+IF(parametros_manuales!$H$19="Todos",datos_base!$G$10+datos_base!$G$24,0))*parametros_manuales!$K$100+parametros_manuales!$F$19*(datos_base!$G$4+datos_base!$G$20+IF(parametros_manuales!$H$19="Todos",datos_base!$G$11+datos_base!$G$25,0))*parametros_manuales!$K$105+parametros_manuales!$G$19*(datos_base!$G$5+datos_base!$G$21+IF(parametros_manuales!$H$19="Todos",datos_base!$G$12+datos_base!$G$26,0))*parametros_manuales!$K$110)*parametros_manuales!$I$19*parametros_manuales!$J$19</f>
        <v>10968.115493765</v>
      </c>
      <c r="L137" s="9" t="n">
        <f aca="false">(parametros_manuales!$D$19*(datos_base!$G$2+datos_base!$G$18+IF(parametros_manuales!$H$19="Todos",datos_base!$G$9+datos_base!$G$23,0))*parametros_manuales!$L$95+parametros_manuales!$E$19*(datos_base!$G$3+datos_base!$G$19+IF(parametros_manuales!$H$19="Todos",datos_base!$G$10+datos_base!$G$24,0))*parametros_manuales!$L$100+parametros_manuales!$F$19*(datos_base!$G$4+datos_base!$G$20+IF(parametros_manuales!$H$19="Todos",datos_base!$G$11+datos_base!$G$25,0))*parametros_manuales!$L$105+parametros_manuales!$G$19*(datos_base!$G$5+datos_base!$G$21+IF(parametros_manuales!$H$19="Todos",datos_base!$G$12+datos_base!$G$26,0))*parametros_manuales!$L$110)*parametros_manuales!$I$19*parametros_manuales!$J$19</f>
        <v>11151.11988891</v>
      </c>
      <c r="M137" s="9" t="n">
        <f aca="false">(parametros_manuales!$D$19*(datos_base!$G$2+datos_base!$G$18+IF(parametros_manuales!$H$19="Todos",datos_base!$G$9+datos_base!$G$23,0))*parametros_manuales!$M$95+parametros_manuales!$E$19*(datos_base!$G$3+datos_base!$G$19+IF(parametros_manuales!$H$19="Todos",datos_base!$G$10+datos_base!$G$24,0))*parametros_manuales!$M$100+parametros_manuales!$F$19*(datos_base!$G$4+datos_base!$G$20+IF(parametros_manuales!$H$19="Todos",datos_base!$G$11+datos_base!$G$25,0))*parametros_manuales!$M$105+parametros_manuales!$G$19*(datos_base!$G$5+datos_base!$G$21+IF(parametros_manuales!$H$19="Todos",datos_base!$G$12+datos_base!$G$26,0))*parametros_manuales!$M$110)*parametros_manuales!$I$19*parametros_manuales!$J$19</f>
        <v>11151.11988891</v>
      </c>
      <c r="N137" s="9" t="n">
        <f aca="false">SUM(B137:M137)</f>
        <v>123901.332099</v>
      </c>
      <c r="O137" s="9" t="n">
        <f aca="false">MAX(B137:M137)</f>
        <v>11151.11988891</v>
      </c>
      <c r="P137" s="43" t="n">
        <f aca="false">O137/(parametros_manuales!$B$7)</f>
        <v>74.3407992594</v>
      </c>
      <c r="Q137" s="8" t="str">
        <f aca="false">IF(O137=0,"-",INDEX($B$136:$M$136,MATCH(O137,B137:M137,0)))</f>
        <v>Ene</v>
      </c>
    </row>
    <row r="138" customFormat="false" ht="14.25" hidden="false" customHeight="true" outlineLevel="0" collapsed="false">
      <c r="A138" s="8" t="str">
        <f aca="false">parametros_manuales!$B$20</f>
        <v>Corte de chapa (guillotina) — 2,5 a 10 kg</v>
      </c>
      <c r="B138" s="9" t="n">
        <f aca="false">(parametros_manuales!$D$20*(datos_base!$G$2+datos_base!$G$18+IF(parametros_manuales!$H$20="Todos",datos_base!$G$9+datos_base!$G$23,0))*parametros_manuales!$B$95+parametros_manuales!$E$20*(datos_base!$G$3+datos_base!$G$19+IF(parametros_manuales!$H$20="Todos",datos_base!$G$10+datos_base!$G$24,0))*parametros_manuales!$B$100+parametros_manuales!$F$20*(datos_base!$G$4+datos_base!$G$20+IF(parametros_manuales!$H$20="Todos",datos_base!$G$11+datos_base!$G$25,0))*parametros_manuales!$B$105+parametros_manuales!$G$20*(datos_base!$G$5+datos_base!$G$21+IF(parametros_manuales!$H$20="Todos",datos_base!$G$12+datos_base!$G$26,0))*parametros_manuales!$B$110)*parametros_manuales!$I$20*parametros_manuales!$J$20</f>
        <v>3294.07911261</v>
      </c>
      <c r="C138" s="9" t="n">
        <f aca="false">(parametros_manuales!$D$20*(datos_base!$G$2+datos_base!$G$18+IF(parametros_manuales!$H$20="Todos",datos_base!$G$9+datos_base!$G$23,0))*parametros_manuales!$C$95+parametros_manuales!$E$20*(datos_base!$G$3+datos_base!$G$19+IF(parametros_manuales!$H$20="Todos",datos_base!$G$10+datos_base!$G$24,0))*parametros_manuales!$C$100+parametros_manuales!$F$20*(datos_base!$G$4+datos_base!$G$20+IF(parametros_manuales!$H$20="Todos",datos_base!$G$11+datos_base!$G$25,0))*parametros_manuales!$C$105+parametros_manuales!$G$20*(datos_base!$G$5+datos_base!$G$21+IF(parametros_manuales!$H$20="Todos",datos_base!$G$12+datos_base!$G$26,0))*parametros_manuales!$C$110)*parametros_manuales!$I$20*parametros_manuales!$J$20</f>
        <v>2928.07032232</v>
      </c>
      <c r="D138" s="9" t="n">
        <f aca="false">(parametros_manuales!$D$20*(datos_base!$G$2+datos_base!$G$18+IF(parametros_manuales!$H$20="Todos",datos_base!$G$9+datos_base!$G$23,0))*parametros_manuales!$D$95+parametros_manuales!$E$20*(datos_base!$G$3+datos_base!$G$19+IF(parametros_manuales!$H$20="Todos",datos_base!$G$10+datos_base!$G$24,0))*parametros_manuales!$D$100+parametros_manuales!$F$20*(datos_base!$G$4+datos_base!$G$20+IF(parametros_manuales!$H$20="Todos",datos_base!$G$11+datos_base!$G$25,0))*parametros_manuales!$D$105+parametros_manuales!$G$20*(datos_base!$G$5+datos_base!$G$21+IF(parametros_manuales!$H$20="Todos",datos_base!$G$12+datos_base!$G$26,0))*parametros_manuales!$D$110)*parametros_manuales!$I$20*parametros_manuales!$J$20</f>
        <v>3111.074717465</v>
      </c>
      <c r="E138" s="9" t="n">
        <f aca="false">(parametros_manuales!$D$20*(datos_base!$G$2+datos_base!$G$18+IF(parametros_manuales!$H$20="Todos",datos_base!$G$9+datos_base!$G$23,0))*parametros_manuales!$E$95+parametros_manuales!$E$20*(datos_base!$G$3+datos_base!$G$19+IF(parametros_manuales!$H$20="Todos",datos_base!$G$10+datos_base!$G$24,0))*parametros_manuales!$E$100+parametros_manuales!$F$20*(datos_base!$G$4+datos_base!$G$20+IF(parametros_manuales!$H$20="Todos",datos_base!$G$11+datos_base!$G$25,0))*parametros_manuales!$E$105+parametros_manuales!$G$20*(datos_base!$G$5+datos_base!$G$21+IF(parametros_manuales!$H$20="Todos",datos_base!$G$12+datos_base!$G$26,0))*parametros_manuales!$E$110)*parametros_manuales!$I$20*parametros_manuales!$J$20</f>
        <v>3111.074717465</v>
      </c>
      <c r="F138" s="9" t="n">
        <f aca="false">(parametros_manuales!$D$20*(datos_base!$G$2+datos_base!$G$18+IF(parametros_manuales!$H$20="Todos",datos_base!$G$9+datos_base!$G$23,0))*parametros_manuales!$F$95+parametros_manuales!$E$20*(datos_base!$G$3+datos_base!$G$19+IF(parametros_manuales!$H$20="Todos",datos_base!$G$10+datos_base!$G$24,0))*parametros_manuales!$F$100+parametros_manuales!$F$20*(datos_base!$G$4+datos_base!$G$20+IF(parametros_manuales!$H$20="Todos",datos_base!$G$11+datos_base!$G$25,0))*parametros_manuales!$F$105+parametros_manuales!$G$20*(datos_base!$G$5+datos_base!$G$21+IF(parametros_manuales!$H$20="Todos",datos_base!$G$12+datos_base!$G$26,0))*parametros_manuales!$F$110)*parametros_manuales!$I$20*parametros_manuales!$J$20</f>
        <v>2928.07032232</v>
      </c>
      <c r="G138" s="9" t="n">
        <f aca="false">(parametros_manuales!$D$20*(datos_base!$G$2+datos_base!$G$18+IF(parametros_manuales!$H$20="Todos",datos_base!$G$9+datos_base!$G$23,0))*parametros_manuales!$G$95+parametros_manuales!$E$20*(datos_base!$G$3+datos_base!$G$19+IF(parametros_manuales!$H$20="Todos",datos_base!$G$10+datos_base!$G$24,0))*parametros_manuales!$G$100+parametros_manuales!$F$20*(datos_base!$G$4+datos_base!$G$20+IF(parametros_manuales!$H$20="Todos",datos_base!$G$11+datos_base!$G$25,0))*parametros_manuales!$G$105+parametros_manuales!$G$20*(datos_base!$G$5+datos_base!$G$21+IF(parametros_manuales!$H$20="Todos",datos_base!$G$12+datos_base!$G$26,0))*parametros_manuales!$G$110)*parametros_manuales!$I$20*parametros_manuales!$J$20</f>
        <v>2745.065927175</v>
      </c>
      <c r="H138" s="9" t="n">
        <f aca="false">(parametros_manuales!$D$20*(datos_base!$G$2+datos_base!$G$18+IF(parametros_manuales!$H$20="Todos",datos_base!$G$9+datos_base!$G$23,0))*parametros_manuales!$H$95+parametros_manuales!$E$20*(datos_base!$G$3+datos_base!$G$19+IF(parametros_manuales!$H$20="Todos",datos_base!$G$10+datos_base!$G$24,0))*parametros_manuales!$H$100+parametros_manuales!$F$20*(datos_base!$G$4+datos_base!$G$20+IF(parametros_manuales!$H$20="Todos",datos_base!$G$11+datos_base!$G$25,0))*parametros_manuales!$H$105+parametros_manuales!$G$20*(datos_base!$G$5+datos_base!$G$21+IF(parametros_manuales!$H$20="Todos",datos_base!$G$12+datos_base!$G$26,0))*parametros_manuales!$H$110)*parametros_manuales!$I$20*parametros_manuales!$J$20</f>
        <v>2928.07032232</v>
      </c>
      <c r="I138" s="9" t="n">
        <f aca="false">(parametros_manuales!$D$20*(datos_base!$G$2+datos_base!$G$18+IF(parametros_manuales!$H$20="Todos",datos_base!$G$9+datos_base!$G$23,0))*parametros_manuales!$I$95+parametros_manuales!$E$20*(datos_base!$G$3+datos_base!$G$19+IF(parametros_manuales!$H$20="Todos",datos_base!$G$10+datos_base!$G$24,0))*parametros_manuales!$I$100+parametros_manuales!$F$20*(datos_base!$G$4+datos_base!$G$20+IF(parametros_manuales!$H$20="Todos",datos_base!$G$11+datos_base!$G$25,0))*parametros_manuales!$I$105+parametros_manuales!$G$20*(datos_base!$G$5+datos_base!$G$21+IF(parametros_manuales!$H$20="Todos",datos_base!$G$12+datos_base!$G$26,0))*parametros_manuales!$I$110)*parametros_manuales!$I$20*parametros_manuales!$J$20</f>
        <v>2928.07032232</v>
      </c>
      <c r="J138" s="9" t="n">
        <f aca="false">(parametros_manuales!$D$20*(datos_base!$G$2+datos_base!$G$18+IF(parametros_manuales!$H$20="Todos",datos_base!$G$9+datos_base!$G$23,0))*parametros_manuales!$J$95+parametros_manuales!$E$20*(datos_base!$G$3+datos_base!$G$19+IF(parametros_manuales!$H$20="Todos",datos_base!$G$10+datos_base!$G$24,0))*parametros_manuales!$J$100+parametros_manuales!$F$20*(datos_base!$G$4+datos_base!$G$20+IF(parametros_manuales!$H$20="Todos",datos_base!$G$11+datos_base!$G$25,0))*parametros_manuales!$J$105+parametros_manuales!$G$20*(datos_base!$G$5+datos_base!$G$21+IF(parametros_manuales!$H$20="Todos",datos_base!$G$12+datos_base!$G$26,0))*parametros_manuales!$J$110)*parametros_manuales!$I$20*parametros_manuales!$J$20</f>
        <v>2928.07032232</v>
      </c>
      <c r="K138" s="9" t="n">
        <f aca="false">(parametros_manuales!$D$20*(datos_base!$G$2+datos_base!$G$18+IF(parametros_manuales!$H$20="Todos",datos_base!$G$9+datos_base!$G$23,0))*parametros_manuales!$K$95+parametros_manuales!$E$20*(datos_base!$G$3+datos_base!$G$19+IF(parametros_manuales!$H$20="Todos",datos_base!$G$10+datos_base!$G$24,0))*parametros_manuales!$K$100+parametros_manuales!$F$20*(datos_base!$G$4+datos_base!$G$20+IF(parametros_manuales!$H$20="Todos",datos_base!$G$11+datos_base!$G$25,0))*parametros_manuales!$K$105+parametros_manuales!$G$20*(datos_base!$G$5+datos_base!$G$21+IF(parametros_manuales!$H$20="Todos",datos_base!$G$12+datos_base!$G$26,0))*parametros_manuales!$K$110)*parametros_manuales!$I$20*parametros_manuales!$J$20</f>
        <v>3111.074717465</v>
      </c>
      <c r="L138" s="9" t="n">
        <f aca="false">(parametros_manuales!$D$20*(datos_base!$G$2+datos_base!$G$18+IF(parametros_manuales!$H$20="Todos",datos_base!$G$9+datos_base!$G$23,0))*parametros_manuales!$L$95+parametros_manuales!$E$20*(datos_base!$G$3+datos_base!$G$19+IF(parametros_manuales!$H$20="Todos",datos_base!$G$10+datos_base!$G$24,0))*parametros_manuales!$L$100+parametros_manuales!$F$20*(datos_base!$G$4+datos_base!$G$20+IF(parametros_manuales!$H$20="Todos",datos_base!$G$11+datos_base!$G$25,0))*parametros_manuales!$L$105+parametros_manuales!$G$20*(datos_base!$G$5+datos_base!$G$21+IF(parametros_manuales!$H$20="Todos",datos_base!$G$12+datos_base!$G$26,0))*parametros_manuales!$L$110)*parametros_manuales!$I$20*parametros_manuales!$J$20</f>
        <v>3294.07911261</v>
      </c>
      <c r="M138" s="9" t="n">
        <f aca="false">(parametros_manuales!$D$20*(datos_base!$G$2+datos_base!$G$18+IF(parametros_manuales!$H$20="Todos",datos_base!$G$9+datos_base!$G$23,0))*parametros_manuales!$M$95+parametros_manuales!$E$20*(datos_base!$G$3+datos_base!$G$19+IF(parametros_manuales!$H$20="Todos",datos_base!$G$10+datos_base!$G$24,0))*parametros_manuales!$M$100+parametros_manuales!$F$20*(datos_base!$G$4+datos_base!$G$20+IF(parametros_manuales!$H$20="Todos",datos_base!$G$11+datos_base!$G$25,0))*parametros_manuales!$M$105+parametros_manuales!$G$20*(datos_base!$G$5+datos_base!$G$21+IF(parametros_manuales!$H$20="Todos",datos_base!$G$12+datos_base!$G$26,0))*parametros_manuales!$M$110)*parametros_manuales!$I$20*parametros_manuales!$J$20</f>
        <v>3294.07911261</v>
      </c>
      <c r="N138" s="9" t="n">
        <f aca="false">SUM(B138:M138)</f>
        <v>36600.879029</v>
      </c>
      <c r="O138" s="9" t="n">
        <f aca="false">MAX(B138:M138)</f>
        <v>3294.07911261</v>
      </c>
      <c r="P138" s="43" t="n">
        <f aca="false">O138/(parametros_manuales!$B$7)</f>
        <v>21.9605274174</v>
      </c>
      <c r="Q138" s="8" t="str">
        <f aca="false">IF(O138=0,"-",INDEX($B$136:$M$136,MATCH(O138,B138:M138,0)))</f>
        <v>Ene</v>
      </c>
    </row>
    <row r="139" customFormat="false" ht="14.25" hidden="false" customHeight="true" outlineLevel="0" collapsed="false">
      <c r="A139" s="8" t="str">
        <f aca="false">parametros_manuales!$B$21</f>
        <v>Corte de tubo — 1 kg</v>
      </c>
      <c r="B139" s="9" t="n">
        <f aca="false">(parametros_manuales!$D$21*(datos_base!$G$2+datos_base!$G$18+IF(parametros_manuales!$H$21="Todos",datos_base!$G$9+datos_base!$G$23,0))*parametros_manuales!$B$95+parametros_manuales!$E$21*(datos_base!$G$3+datos_base!$G$19+IF(parametros_manuales!$H$21="Todos",datos_base!$G$10+datos_base!$G$24,0))*parametros_manuales!$B$100+parametros_manuales!$F$21*(datos_base!$G$4+datos_base!$G$20+IF(parametros_manuales!$H$21="Todos",datos_base!$G$11+datos_base!$G$25,0))*parametros_manuales!$B$105+parametros_manuales!$G$21*(datos_base!$G$5+datos_base!$G$21+IF(parametros_manuales!$H$21="Todos",datos_base!$G$12+datos_base!$G$26,0))*parametros_manuales!$B$110)*parametros_manuales!$I$21*parametros_manuales!$J$21</f>
        <v>7857.0407763</v>
      </c>
      <c r="C139" s="9" t="n">
        <f aca="false">(parametros_manuales!$D$21*(datos_base!$G$2+datos_base!$G$18+IF(parametros_manuales!$H$21="Todos",datos_base!$G$9+datos_base!$G$23,0))*parametros_manuales!$C$95+parametros_manuales!$E$21*(datos_base!$G$3+datos_base!$G$19+IF(parametros_manuales!$H$21="Todos",datos_base!$G$10+datos_base!$G$24,0))*parametros_manuales!$C$100+parametros_manuales!$F$21*(datos_base!$G$4+datos_base!$G$20+IF(parametros_manuales!$H$21="Todos",datos_base!$G$11+datos_base!$G$25,0))*parametros_manuales!$C$105+parametros_manuales!$G$21*(datos_base!$G$5+datos_base!$G$21+IF(parametros_manuales!$H$21="Todos",datos_base!$G$12+datos_base!$G$26,0))*parametros_manuales!$C$110)*parametros_manuales!$I$21*parametros_manuales!$J$21</f>
        <v>7857.0407763</v>
      </c>
      <c r="D139" s="9" t="n">
        <f aca="false">(parametros_manuales!$D$21*(datos_base!$G$2+datos_base!$G$18+IF(parametros_manuales!$H$21="Todos",datos_base!$G$9+datos_base!$G$23,0))*parametros_manuales!$D$95+parametros_manuales!$E$21*(datos_base!$G$3+datos_base!$G$19+IF(parametros_manuales!$H$21="Todos",datos_base!$G$10+datos_base!$G$24,0))*parametros_manuales!$D$100+parametros_manuales!$F$21*(datos_base!$G$4+datos_base!$G$20+IF(parametros_manuales!$H$21="Todos",datos_base!$G$11+datos_base!$G$25,0))*parametros_manuales!$D$105+parametros_manuales!$G$21*(datos_base!$G$5+datos_base!$G$21+IF(parametros_manuales!$H$21="Todos",datos_base!$G$12+datos_base!$G$26,0))*parametros_manuales!$D$110)*parametros_manuales!$I$21*parametros_manuales!$J$21</f>
        <v>6984.0362456</v>
      </c>
      <c r="E139" s="9" t="n">
        <f aca="false">(parametros_manuales!$D$21*(datos_base!$G$2+datos_base!$G$18+IF(parametros_manuales!$H$21="Todos",datos_base!$G$9+datos_base!$G$23,0))*parametros_manuales!$E$95+parametros_manuales!$E$21*(datos_base!$G$3+datos_base!$G$19+IF(parametros_manuales!$H$21="Todos",datos_base!$G$10+datos_base!$G$24,0))*parametros_manuales!$E$100+parametros_manuales!$F$21*(datos_base!$G$4+datos_base!$G$20+IF(parametros_manuales!$H$21="Todos",datos_base!$G$11+datos_base!$G$25,0))*parametros_manuales!$E$105+parametros_manuales!$G$21*(datos_base!$G$5+datos_base!$G$21+IF(parametros_manuales!$H$21="Todos",datos_base!$G$12+datos_base!$G$26,0))*parametros_manuales!$E$110)*parametros_manuales!$I$21*parametros_manuales!$J$21</f>
        <v>6547.53398025</v>
      </c>
      <c r="F139" s="9" t="n">
        <f aca="false">(parametros_manuales!$D$21*(datos_base!$G$2+datos_base!$G$18+IF(parametros_manuales!$H$21="Todos",datos_base!$G$9+datos_base!$G$23,0))*parametros_manuales!$F$95+parametros_manuales!$E$21*(datos_base!$G$3+datos_base!$G$19+IF(parametros_manuales!$H$21="Todos",datos_base!$G$10+datos_base!$G$24,0))*parametros_manuales!$F$100+parametros_manuales!$F$21*(datos_base!$G$4+datos_base!$G$20+IF(parametros_manuales!$H$21="Todos",datos_base!$G$11+datos_base!$G$25,0))*parametros_manuales!$F$105+parametros_manuales!$G$21*(datos_base!$G$5+datos_base!$G$21+IF(parametros_manuales!$H$21="Todos",datos_base!$G$12+datos_base!$G$26,0))*parametros_manuales!$F$110)*parametros_manuales!$I$21*parametros_manuales!$J$21</f>
        <v>6111.0317149</v>
      </c>
      <c r="G139" s="9" t="n">
        <f aca="false">(parametros_manuales!$D$21*(datos_base!$G$2+datos_base!$G$18+IF(parametros_manuales!$H$21="Todos",datos_base!$G$9+datos_base!$G$23,0))*parametros_manuales!$G$95+parametros_manuales!$E$21*(datos_base!$G$3+datos_base!$G$19+IF(parametros_manuales!$H$21="Todos",datos_base!$G$10+datos_base!$G$24,0))*parametros_manuales!$G$100+parametros_manuales!$F$21*(datos_base!$G$4+datos_base!$G$20+IF(parametros_manuales!$H$21="Todos",datos_base!$G$11+datos_base!$G$25,0))*parametros_manuales!$G$105+parametros_manuales!$G$21*(datos_base!$G$5+datos_base!$G$21+IF(parametros_manuales!$H$21="Todos",datos_base!$G$12+datos_base!$G$26,0))*parametros_manuales!$G$110)*parametros_manuales!$I$21*parametros_manuales!$J$21</f>
        <v>6111.0317149</v>
      </c>
      <c r="H139" s="9" t="n">
        <f aca="false">(parametros_manuales!$D$21*(datos_base!$G$2+datos_base!$G$18+IF(parametros_manuales!$H$21="Todos",datos_base!$G$9+datos_base!$G$23,0))*parametros_manuales!$H$95+parametros_manuales!$E$21*(datos_base!$G$3+datos_base!$G$19+IF(parametros_manuales!$H$21="Todos",datos_base!$G$10+datos_base!$G$24,0))*parametros_manuales!$H$100+parametros_manuales!$F$21*(datos_base!$G$4+datos_base!$G$20+IF(parametros_manuales!$H$21="Todos",datos_base!$G$11+datos_base!$G$25,0))*parametros_manuales!$H$105+parametros_manuales!$G$21*(datos_base!$G$5+datos_base!$G$21+IF(parametros_manuales!$H$21="Todos",datos_base!$G$12+datos_base!$G$26,0))*parametros_manuales!$H$110)*parametros_manuales!$I$21*parametros_manuales!$J$21</f>
        <v>6547.53398025</v>
      </c>
      <c r="I139" s="9" t="n">
        <f aca="false">(parametros_manuales!$D$21*(datos_base!$G$2+datos_base!$G$18+IF(parametros_manuales!$H$21="Todos",datos_base!$G$9+datos_base!$G$23,0))*parametros_manuales!$I$95+parametros_manuales!$E$21*(datos_base!$G$3+datos_base!$G$19+IF(parametros_manuales!$H$21="Todos",datos_base!$G$10+datos_base!$G$24,0))*parametros_manuales!$I$100+parametros_manuales!$F$21*(datos_base!$G$4+datos_base!$G$20+IF(parametros_manuales!$H$21="Todos",datos_base!$G$11+datos_base!$G$25,0))*parametros_manuales!$I$105+parametros_manuales!$G$21*(datos_base!$G$5+datos_base!$G$21+IF(parametros_manuales!$H$21="Todos",datos_base!$G$12+datos_base!$G$26,0))*parametros_manuales!$I$110)*parametros_manuales!$I$21*parametros_manuales!$J$21</f>
        <v>7857.04077629999</v>
      </c>
      <c r="J139" s="9" t="n">
        <f aca="false">(parametros_manuales!$D$21*(datos_base!$G$2+datos_base!$G$18+IF(parametros_manuales!$H$21="Todos",datos_base!$G$9+datos_base!$G$23,0))*parametros_manuales!$J$95+parametros_manuales!$E$21*(datos_base!$G$3+datos_base!$G$19+IF(parametros_manuales!$H$21="Todos",datos_base!$G$10+datos_base!$G$24,0))*parametros_manuales!$J$100+parametros_manuales!$F$21*(datos_base!$G$4+datos_base!$G$20+IF(parametros_manuales!$H$21="Todos",datos_base!$G$11+datos_base!$G$25,0))*parametros_manuales!$J$105+parametros_manuales!$G$21*(datos_base!$G$5+datos_base!$G$21+IF(parametros_manuales!$H$21="Todos",datos_base!$G$12+datos_base!$G$26,0))*parametros_manuales!$J$110)*parametros_manuales!$I$21*parametros_manuales!$J$21</f>
        <v>7857.0407763</v>
      </c>
      <c r="K139" s="9" t="n">
        <f aca="false">(parametros_manuales!$D$21*(datos_base!$G$2+datos_base!$G$18+IF(parametros_manuales!$H$21="Todos",datos_base!$G$9+datos_base!$G$23,0))*parametros_manuales!$K$95+parametros_manuales!$E$21*(datos_base!$G$3+datos_base!$G$19+IF(parametros_manuales!$H$21="Todos",datos_base!$G$10+datos_base!$G$24,0))*parametros_manuales!$K$100+parametros_manuales!$F$21*(datos_base!$G$4+datos_base!$G$20+IF(parametros_manuales!$H$21="Todos",datos_base!$G$11+datos_base!$G$25,0))*parametros_manuales!$K$105+parametros_manuales!$G$21*(datos_base!$G$5+datos_base!$G$21+IF(parametros_manuales!$H$21="Todos",datos_base!$G$12+datos_base!$G$26,0))*parametros_manuales!$K$110)*parametros_manuales!$I$21*parametros_manuales!$J$21</f>
        <v>7857.0407763</v>
      </c>
      <c r="L139" s="9" t="n">
        <f aca="false">(parametros_manuales!$D$21*(datos_base!$G$2+datos_base!$G$18+IF(parametros_manuales!$H$21="Todos",datos_base!$G$9+datos_base!$G$23,0))*parametros_manuales!$L$95+parametros_manuales!$E$21*(datos_base!$G$3+datos_base!$G$19+IF(parametros_manuales!$H$21="Todos",datos_base!$G$10+datos_base!$G$24,0))*parametros_manuales!$L$100+parametros_manuales!$F$21*(datos_base!$G$4+datos_base!$G$20+IF(parametros_manuales!$H$21="Todos",datos_base!$G$11+datos_base!$G$25,0))*parametros_manuales!$L$105+parametros_manuales!$G$21*(datos_base!$G$5+datos_base!$G$21+IF(parametros_manuales!$H$21="Todos",datos_base!$G$12+datos_base!$G$26,0))*parametros_manuales!$L$110)*parametros_manuales!$I$21*parametros_manuales!$J$21</f>
        <v>7857.0407763</v>
      </c>
      <c r="M139" s="9" t="n">
        <f aca="false">(parametros_manuales!$D$21*(datos_base!$G$2+datos_base!$G$18+IF(parametros_manuales!$H$21="Todos",datos_base!$G$9+datos_base!$G$23,0))*parametros_manuales!$M$95+parametros_manuales!$E$21*(datos_base!$G$3+datos_base!$G$19+IF(parametros_manuales!$H$21="Todos",datos_base!$G$10+datos_base!$G$24,0))*parametros_manuales!$M$100+parametros_manuales!$F$21*(datos_base!$G$4+datos_base!$G$20+IF(parametros_manuales!$H$21="Todos",datos_base!$G$11+datos_base!$G$25,0))*parametros_manuales!$M$105+parametros_manuales!$G$21*(datos_base!$G$5+datos_base!$G$21+IF(parametros_manuales!$H$21="Todos",datos_base!$G$12+datos_base!$G$26,0))*parametros_manuales!$M$110)*parametros_manuales!$I$21*parametros_manuales!$J$21</f>
        <v>7857.0407763</v>
      </c>
      <c r="N139" s="9" t="n">
        <f aca="false">SUM(B139:M139)</f>
        <v>87300.45307</v>
      </c>
      <c r="O139" s="9" t="n">
        <f aca="false">MAX(B139:M139)</f>
        <v>7857.0407763</v>
      </c>
      <c r="P139" s="43" t="n">
        <f aca="false">O139/(parametros_manuales!$B$7)</f>
        <v>52.380271842</v>
      </c>
      <c r="Q139" s="8" t="str">
        <f aca="false">IF(O139=0,"-",INDEX($B$136:$M$136,MATCH(O139,B139:M139,0)))</f>
        <v>Ene</v>
      </c>
    </row>
    <row r="140" customFormat="false" ht="14.25" hidden="false" customHeight="true" outlineLevel="0" collapsed="false">
      <c r="A140" s="8" t="str">
        <f aca="false">parametros_manuales!$B$22</f>
        <v>Corte de disco y embutido (cúpula y fondo)</v>
      </c>
      <c r="B140" s="9" t="n">
        <f aca="false">(parametros_manuales!$D$22*(datos_base!$G$2+datos_base!$G$18+IF(parametros_manuales!$H$22="Todos",datos_base!$G$9+datos_base!$G$23,0))*parametros_manuales!$B$95+parametros_manuales!$E$22*(datos_base!$G$3+datos_base!$G$19+IF(parametros_manuales!$H$22="Todos",datos_base!$G$10+datos_base!$G$24,0))*parametros_manuales!$B$100+parametros_manuales!$F$22*(datos_base!$G$4+datos_base!$G$20+IF(parametros_manuales!$H$22="Todos",datos_base!$G$11+datos_base!$G$25,0))*parametros_manuales!$B$105+parametros_manuales!$G$22*(datos_base!$G$5+datos_base!$G$21+IF(parametros_manuales!$H$22="Todos",datos_base!$G$12+datos_base!$G$26,0))*parametros_manuales!$B$110)*parametros_manuales!$I$22*parametros_manuales!$J$22</f>
        <v>22302.23977782</v>
      </c>
      <c r="C140" s="9" t="n">
        <f aca="false">(parametros_manuales!$D$22*(datos_base!$G$2+datos_base!$G$18+IF(parametros_manuales!$H$22="Todos",datos_base!$G$9+datos_base!$G$23,0))*parametros_manuales!$C$95+parametros_manuales!$E$22*(datos_base!$G$3+datos_base!$G$19+IF(parametros_manuales!$H$22="Todos",datos_base!$G$10+datos_base!$G$24,0))*parametros_manuales!$C$100+parametros_manuales!$F$22*(datos_base!$G$4+datos_base!$G$20+IF(parametros_manuales!$H$22="Todos",datos_base!$G$11+datos_base!$G$25,0))*parametros_manuales!$C$105+parametros_manuales!$G$22*(datos_base!$G$5+datos_base!$G$21+IF(parametros_manuales!$H$22="Todos",datos_base!$G$12+datos_base!$G$26,0))*parametros_manuales!$C$110)*parametros_manuales!$I$22*parametros_manuales!$J$22</f>
        <v>21570.22219724</v>
      </c>
      <c r="D140" s="9" t="n">
        <f aca="false">(parametros_manuales!$D$22*(datos_base!$G$2+datos_base!$G$18+IF(parametros_manuales!$H$22="Todos",datos_base!$G$9+datos_base!$G$23,0))*parametros_manuales!$D$95+parametros_manuales!$E$22*(datos_base!$G$3+datos_base!$G$19+IF(parametros_manuales!$H$22="Todos",datos_base!$G$10+datos_base!$G$24,0))*parametros_manuales!$D$100+parametros_manuales!$F$22*(datos_base!$G$4+datos_base!$G$20+IF(parametros_manuales!$H$22="Todos",datos_base!$G$11+datos_base!$G$25,0))*parametros_manuales!$D$105+parametros_manuales!$G$22*(datos_base!$G$5+datos_base!$G$21+IF(parametros_manuales!$H$22="Todos",datos_base!$G$12+datos_base!$G$26,0))*parametros_manuales!$D$110)*parametros_manuales!$I$22*parametros_manuales!$J$22</f>
        <v>20190.22192613</v>
      </c>
      <c r="E140" s="9" t="n">
        <f aca="false">(parametros_manuales!$D$22*(datos_base!$G$2+datos_base!$G$18+IF(parametros_manuales!$H$22="Todos",datos_base!$G$9+datos_base!$G$23,0))*parametros_manuales!$E$95+parametros_manuales!$E$22*(datos_base!$G$3+datos_base!$G$19+IF(parametros_manuales!$H$22="Todos",datos_base!$G$10+datos_base!$G$24,0))*parametros_manuales!$E$100+parametros_manuales!$F$22*(datos_base!$G$4+datos_base!$G$20+IF(parametros_manuales!$H$22="Todos",datos_base!$G$11+datos_base!$G$25,0))*parametros_manuales!$E$105+parametros_manuales!$G$22*(datos_base!$G$5+datos_base!$G$21+IF(parametros_manuales!$H$22="Todos",datos_base!$G$12+datos_base!$G$26,0))*parametros_manuales!$E$110)*parametros_manuales!$I$22*parametros_manuales!$J$22</f>
        <v>19317.21739543</v>
      </c>
      <c r="F140" s="9" t="n">
        <f aca="false">(parametros_manuales!$D$22*(datos_base!$G$2+datos_base!$G$18+IF(parametros_manuales!$H$22="Todos",datos_base!$G$9+datos_base!$G$23,0))*parametros_manuales!$F$95+parametros_manuales!$E$22*(datos_base!$G$3+datos_base!$G$19+IF(parametros_manuales!$H$22="Todos",datos_base!$G$10+datos_base!$G$24,0))*parametros_manuales!$F$100+parametros_manuales!$F$22*(datos_base!$G$4+datos_base!$G$20+IF(parametros_manuales!$H$22="Todos",datos_base!$G$11+datos_base!$G$25,0))*parametros_manuales!$F$105+parametros_manuales!$G$22*(datos_base!$G$5+datos_base!$G$21+IF(parametros_manuales!$H$22="Todos",datos_base!$G$12+datos_base!$G$26,0))*parametros_manuales!$F$110)*parametros_manuales!$I$22*parametros_manuales!$J$22</f>
        <v>18078.20407444</v>
      </c>
      <c r="G140" s="9" t="n">
        <f aca="false">(parametros_manuales!$D$22*(datos_base!$G$2+datos_base!$G$18+IF(parametros_manuales!$H$22="Todos",datos_base!$G$9+datos_base!$G$23,0))*parametros_manuales!$G$95+parametros_manuales!$E$22*(datos_base!$G$3+datos_base!$G$19+IF(parametros_manuales!$H$22="Todos",datos_base!$G$10+datos_base!$G$24,0))*parametros_manuales!$G$100+parametros_manuales!$F$22*(datos_base!$G$4+datos_base!$G$20+IF(parametros_manuales!$H$22="Todos",datos_base!$G$11+datos_base!$G$25,0))*parametros_manuales!$G$105+parametros_manuales!$G$22*(datos_base!$G$5+datos_base!$G$21+IF(parametros_manuales!$H$22="Todos",datos_base!$G$12+datos_base!$G$26,0))*parametros_manuales!$G$110)*parametros_manuales!$I$22*parametros_manuales!$J$22</f>
        <v>17712.19528415</v>
      </c>
      <c r="H140" s="9" t="n">
        <f aca="false">(parametros_manuales!$D$22*(datos_base!$G$2+datos_base!$G$18+IF(parametros_manuales!$H$22="Todos",datos_base!$G$9+datos_base!$G$23,0))*parametros_manuales!$H$95+parametros_manuales!$E$22*(datos_base!$G$3+datos_base!$G$19+IF(parametros_manuales!$H$22="Todos",datos_base!$G$10+datos_base!$G$24,0))*parametros_manuales!$H$100+parametros_manuales!$F$22*(datos_base!$G$4+datos_base!$G$20+IF(parametros_manuales!$H$22="Todos",datos_base!$G$11+datos_base!$G$25,0))*parametros_manuales!$H$105+parametros_manuales!$G$22*(datos_base!$G$5+datos_base!$G$21+IF(parametros_manuales!$H$22="Todos",datos_base!$G$12+datos_base!$G$26,0))*parametros_manuales!$H$110)*parametros_manuales!$I$22*parametros_manuales!$J$22</f>
        <v>18951.20860514</v>
      </c>
      <c r="I140" s="9" t="n">
        <f aca="false">(parametros_manuales!$D$22*(datos_base!$G$2+datos_base!$G$18+IF(parametros_manuales!$H$22="Todos",datos_base!$G$9+datos_base!$G$23,0))*parametros_manuales!$I$95+parametros_manuales!$E$22*(datos_base!$G$3+datos_base!$G$19+IF(parametros_manuales!$H$22="Todos",datos_base!$G$10+datos_base!$G$24,0))*parametros_manuales!$I$100+parametros_manuales!$F$22*(datos_base!$G$4+datos_base!$G$20+IF(parametros_manuales!$H$22="Todos",datos_base!$G$11+datos_base!$G$25,0))*parametros_manuales!$I$105+parametros_manuales!$G$22*(datos_base!$G$5+datos_base!$G$21+IF(parametros_manuales!$H$22="Todos",datos_base!$G$12+datos_base!$G$26,0))*parametros_manuales!$I$110)*parametros_manuales!$I$22*parametros_manuales!$J$22</f>
        <v>21570.22219724</v>
      </c>
      <c r="J140" s="9" t="n">
        <f aca="false">(parametros_manuales!$D$22*(datos_base!$G$2+datos_base!$G$18+IF(parametros_manuales!$H$22="Todos",datos_base!$G$9+datos_base!$G$23,0))*parametros_manuales!$J$95+parametros_manuales!$E$22*(datos_base!$G$3+datos_base!$G$19+IF(parametros_manuales!$H$22="Todos",datos_base!$G$10+datos_base!$G$24,0))*parametros_manuales!$J$100+parametros_manuales!$F$22*(datos_base!$G$4+datos_base!$G$20+IF(parametros_manuales!$H$22="Todos",datos_base!$G$11+datos_base!$G$25,0))*parametros_manuales!$J$105+parametros_manuales!$G$22*(datos_base!$G$5+datos_base!$G$21+IF(parametros_manuales!$H$22="Todos",datos_base!$G$12+datos_base!$G$26,0))*parametros_manuales!$J$110)*parametros_manuales!$I$22*parametros_manuales!$J$22</f>
        <v>21570.22219724</v>
      </c>
      <c r="K140" s="9" t="n">
        <f aca="false">(parametros_manuales!$D$22*(datos_base!$G$2+datos_base!$G$18+IF(parametros_manuales!$H$22="Todos",datos_base!$G$9+datos_base!$G$23,0))*parametros_manuales!$K$95+parametros_manuales!$E$22*(datos_base!$G$3+datos_base!$G$19+IF(parametros_manuales!$H$22="Todos",datos_base!$G$10+datos_base!$G$24,0))*parametros_manuales!$K$100+parametros_manuales!$F$22*(datos_base!$G$4+datos_base!$G$20+IF(parametros_manuales!$H$22="Todos",datos_base!$G$11+datos_base!$G$25,0))*parametros_manuales!$K$105+parametros_manuales!$G$22*(datos_base!$G$5+datos_base!$G$21+IF(parametros_manuales!$H$22="Todos",datos_base!$G$12+datos_base!$G$26,0))*parametros_manuales!$K$110)*parametros_manuales!$I$22*parametros_manuales!$J$22</f>
        <v>21936.23098753</v>
      </c>
      <c r="L140" s="9" t="n">
        <f aca="false">(parametros_manuales!$D$22*(datos_base!$G$2+datos_base!$G$18+IF(parametros_manuales!$H$22="Todos",datos_base!$G$9+datos_base!$G$23,0))*parametros_manuales!$L$95+parametros_manuales!$E$22*(datos_base!$G$3+datos_base!$G$19+IF(parametros_manuales!$H$22="Todos",datos_base!$G$10+datos_base!$G$24,0))*parametros_manuales!$L$100+parametros_manuales!$F$22*(datos_base!$G$4+datos_base!$G$20+IF(parametros_manuales!$H$22="Todos",datos_base!$G$11+datos_base!$G$25,0))*parametros_manuales!$L$105+parametros_manuales!$G$22*(datos_base!$G$5+datos_base!$G$21+IF(parametros_manuales!$H$22="Todos",datos_base!$G$12+datos_base!$G$26,0))*parametros_manuales!$L$110)*parametros_manuales!$I$22*parametros_manuales!$J$22</f>
        <v>22302.23977782</v>
      </c>
      <c r="M140" s="9" t="n">
        <f aca="false">(parametros_manuales!$D$22*(datos_base!$G$2+datos_base!$G$18+IF(parametros_manuales!$H$22="Todos",datos_base!$G$9+datos_base!$G$23,0))*parametros_manuales!$M$95+parametros_manuales!$E$22*(datos_base!$G$3+datos_base!$G$19+IF(parametros_manuales!$H$22="Todos",datos_base!$G$10+datos_base!$G$24,0))*parametros_manuales!$M$100+parametros_manuales!$F$22*(datos_base!$G$4+datos_base!$G$20+IF(parametros_manuales!$H$22="Todos",datos_base!$G$11+datos_base!$G$25,0))*parametros_manuales!$M$105+parametros_manuales!$G$22*(datos_base!$G$5+datos_base!$G$21+IF(parametros_manuales!$H$22="Todos",datos_base!$G$12+datos_base!$G$26,0))*parametros_manuales!$M$110)*parametros_manuales!$I$22*parametros_manuales!$J$22</f>
        <v>22302.23977782</v>
      </c>
      <c r="N140" s="9" t="n">
        <f aca="false">SUM(B140:M140)</f>
        <v>247802.664198</v>
      </c>
      <c r="O140" s="9" t="n">
        <f aca="false">MAX(B140:M140)</f>
        <v>22302.23977782</v>
      </c>
      <c r="P140" s="43" t="n">
        <f aca="false">O140/(parametros_manuales!$B$7)</f>
        <v>148.6815985188</v>
      </c>
      <c r="Q140" s="8" t="str">
        <f aca="false">IF(O140=0,"-",INDEX($B$136:$M$136,MATCH(O140,B140:M140,0)))</f>
        <v>Ene</v>
      </c>
    </row>
    <row r="141" customFormat="false" ht="14.25" hidden="false" customHeight="true" outlineLevel="0" collapsed="false">
      <c r="A141" s="8" t="str">
        <f aca="false">parametros_manuales!$B$23</f>
        <v>Preparación de cuello</v>
      </c>
      <c r="B141" s="9" t="n">
        <f aca="false">(parametros_manuales!$D$23*(datos_base!$G$2+datos_base!$G$18+IF(parametros_manuales!$H$23="Todos",datos_base!$G$9+datos_base!$G$23,0))*parametros_manuales!$B$95+parametros_manuales!$E$23*(datos_base!$G$3+datos_base!$G$19+IF(parametros_manuales!$H$23="Todos",datos_base!$G$10+datos_base!$G$24,0))*parametros_manuales!$B$100+parametros_manuales!$F$23*(datos_base!$G$4+datos_base!$G$20+IF(parametros_manuales!$H$23="Todos",datos_base!$G$11+datos_base!$G$25,0))*parametros_manuales!$B$105+parametros_manuales!$G$23*(datos_base!$G$5+datos_base!$G$21+IF(parametros_manuales!$H$23="Todos",datos_base!$G$12+datos_base!$G$26,0))*parametros_manuales!$B$110)*parametros_manuales!$I$23*parametros_manuales!$J$23</f>
        <v>11151.11988891</v>
      </c>
      <c r="C141" s="9" t="n">
        <f aca="false">(parametros_manuales!$D$23*(datos_base!$G$2+datos_base!$G$18+IF(parametros_manuales!$H$23="Todos",datos_base!$G$9+datos_base!$G$23,0))*parametros_manuales!$C$95+parametros_manuales!$E$23*(datos_base!$G$3+datos_base!$G$19+IF(parametros_manuales!$H$23="Todos",datos_base!$G$10+datos_base!$G$24,0))*parametros_manuales!$C$100+parametros_manuales!$F$23*(datos_base!$G$4+datos_base!$G$20+IF(parametros_manuales!$H$23="Todos",datos_base!$G$11+datos_base!$G$25,0))*parametros_manuales!$C$105+parametros_manuales!$G$23*(datos_base!$G$5+datos_base!$G$21+IF(parametros_manuales!$H$23="Todos",datos_base!$G$12+datos_base!$G$26,0))*parametros_manuales!$C$110)*parametros_manuales!$I$23*parametros_manuales!$J$23</f>
        <v>10785.11109862</v>
      </c>
      <c r="D141" s="9" t="n">
        <f aca="false">(parametros_manuales!$D$23*(datos_base!$G$2+datos_base!$G$18+IF(parametros_manuales!$H$23="Todos",datos_base!$G$9+datos_base!$G$23,0))*parametros_manuales!$D$95+parametros_manuales!$E$23*(datos_base!$G$3+datos_base!$G$19+IF(parametros_manuales!$H$23="Todos",datos_base!$G$10+datos_base!$G$24,0))*parametros_manuales!$D$100+parametros_manuales!$F$23*(datos_base!$G$4+datos_base!$G$20+IF(parametros_manuales!$H$23="Todos",datos_base!$G$11+datos_base!$G$25,0))*parametros_manuales!$D$105+parametros_manuales!$G$23*(datos_base!$G$5+datos_base!$G$21+IF(parametros_manuales!$H$23="Todos",datos_base!$G$12+datos_base!$G$26,0))*parametros_manuales!$D$110)*parametros_manuales!$I$23*parametros_manuales!$J$23</f>
        <v>10095.110963065</v>
      </c>
      <c r="E141" s="9" t="n">
        <f aca="false">(parametros_manuales!$D$23*(datos_base!$G$2+datos_base!$G$18+IF(parametros_manuales!$H$23="Todos",datos_base!$G$9+datos_base!$G$23,0))*parametros_manuales!$E$95+parametros_manuales!$E$23*(datos_base!$G$3+datos_base!$G$19+IF(parametros_manuales!$H$23="Todos",datos_base!$G$10+datos_base!$G$24,0))*parametros_manuales!$E$100+parametros_manuales!$F$23*(datos_base!$G$4+datos_base!$G$20+IF(parametros_manuales!$H$23="Todos",datos_base!$G$11+datos_base!$G$25,0))*parametros_manuales!$E$105+parametros_manuales!$G$23*(datos_base!$G$5+datos_base!$G$21+IF(parametros_manuales!$H$23="Todos",datos_base!$G$12+datos_base!$G$26,0))*parametros_manuales!$E$110)*parametros_manuales!$I$23*parametros_manuales!$J$23</f>
        <v>9658.608697715</v>
      </c>
      <c r="F141" s="9" t="n">
        <f aca="false">(parametros_manuales!$D$23*(datos_base!$G$2+datos_base!$G$18+IF(parametros_manuales!$H$23="Todos",datos_base!$G$9+datos_base!$G$23,0))*parametros_manuales!$F$95+parametros_manuales!$E$23*(datos_base!$G$3+datos_base!$G$19+IF(parametros_manuales!$H$23="Todos",datos_base!$G$10+datos_base!$G$24,0))*parametros_manuales!$F$100+parametros_manuales!$F$23*(datos_base!$G$4+datos_base!$G$20+IF(parametros_manuales!$H$23="Todos",datos_base!$G$11+datos_base!$G$25,0))*parametros_manuales!$F$105+parametros_manuales!$G$23*(datos_base!$G$5+datos_base!$G$21+IF(parametros_manuales!$H$23="Todos",datos_base!$G$12+datos_base!$G$26,0))*parametros_manuales!$F$110)*parametros_manuales!$I$23*parametros_manuales!$J$23</f>
        <v>9039.10203722</v>
      </c>
      <c r="G141" s="9" t="n">
        <f aca="false">(parametros_manuales!$D$23*(datos_base!$G$2+datos_base!$G$18+IF(parametros_manuales!$H$23="Todos",datos_base!$G$9+datos_base!$G$23,0))*parametros_manuales!$G$95+parametros_manuales!$E$23*(datos_base!$G$3+datos_base!$G$19+IF(parametros_manuales!$H$23="Todos",datos_base!$G$10+datos_base!$G$24,0))*parametros_manuales!$G$100+parametros_manuales!$F$23*(datos_base!$G$4+datos_base!$G$20+IF(parametros_manuales!$H$23="Todos",datos_base!$G$11+datos_base!$G$25,0))*parametros_manuales!$G$105+parametros_manuales!$G$23*(datos_base!$G$5+datos_base!$G$21+IF(parametros_manuales!$H$23="Todos",datos_base!$G$12+datos_base!$G$26,0))*parametros_manuales!$G$110)*parametros_manuales!$I$23*parametros_manuales!$J$23</f>
        <v>8856.097642075</v>
      </c>
      <c r="H141" s="9" t="n">
        <f aca="false">(parametros_manuales!$D$23*(datos_base!$G$2+datos_base!$G$18+IF(parametros_manuales!$H$23="Todos",datos_base!$G$9+datos_base!$G$23,0))*parametros_manuales!$H$95+parametros_manuales!$E$23*(datos_base!$G$3+datos_base!$G$19+IF(parametros_manuales!$H$23="Todos",datos_base!$G$10+datos_base!$G$24,0))*parametros_manuales!$H$100+parametros_manuales!$F$23*(datos_base!$G$4+datos_base!$G$20+IF(parametros_manuales!$H$23="Todos",datos_base!$G$11+datos_base!$G$25,0))*parametros_manuales!$H$105+parametros_manuales!$G$23*(datos_base!$G$5+datos_base!$G$21+IF(parametros_manuales!$H$23="Todos",datos_base!$G$12+datos_base!$G$26,0))*parametros_manuales!$H$110)*parametros_manuales!$I$23*parametros_manuales!$J$23</f>
        <v>9475.60430257</v>
      </c>
      <c r="I141" s="9" t="n">
        <f aca="false">(parametros_manuales!$D$23*(datos_base!$G$2+datos_base!$G$18+IF(parametros_manuales!$H$23="Todos",datos_base!$G$9+datos_base!$G$23,0))*parametros_manuales!$I$95+parametros_manuales!$E$23*(datos_base!$G$3+datos_base!$G$19+IF(parametros_manuales!$H$23="Todos",datos_base!$G$10+datos_base!$G$24,0))*parametros_manuales!$I$100+parametros_manuales!$F$23*(datos_base!$G$4+datos_base!$G$20+IF(parametros_manuales!$H$23="Todos",datos_base!$G$11+datos_base!$G$25,0))*parametros_manuales!$I$105+parametros_manuales!$G$23*(datos_base!$G$5+datos_base!$G$21+IF(parametros_manuales!$H$23="Todos",datos_base!$G$12+datos_base!$G$26,0))*parametros_manuales!$I$110)*parametros_manuales!$I$23*parametros_manuales!$J$23</f>
        <v>10785.11109862</v>
      </c>
      <c r="J141" s="9" t="n">
        <f aca="false">(parametros_manuales!$D$23*(datos_base!$G$2+datos_base!$G$18+IF(parametros_manuales!$H$23="Todos",datos_base!$G$9+datos_base!$G$23,0))*parametros_manuales!$J$95+parametros_manuales!$E$23*(datos_base!$G$3+datos_base!$G$19+IF(parametros_manuales!$H$23="Todos",datos_base!$G$10+datos_base!$G$24,0))*parametros_manuales!$J$100+parametros_manuales!$F$23*(datos_base!$G$4+datos_base!$G$20+IF(parametros_manuales!$H$23="Todos",datos_base!$G$11+datos_base!$G$25,0))*parametros_manuales!$J$105+parametros_manuales!$G$23*(datos_base!$G$5+datos_base!$G$21+IF(parametros_manuales!$H$23="Todos",datos_base!$G$12+datos_base!$G$26,0))*parametros_manuales!$J$110)*parametros_manuales!$I$23*parametros_manuales!$J$23</f>
        <v>10785.11109862</v>
      </c>
      <c r="K141" s="9" t="n">
        <f aca="false">(parametros_manuales!$D$23*(datos_base!$G$2+datos_base!$G$18+IF(parametros_manuales!$H$23="Todos",datos_base!$G$9+datos_base!$G$23,0))*parametros_manuales!$K$95+parametros_manuales!$E$23*(datos_base!$G$3+datos_base!$G$19+IF(parametros_manuales!$H$23="Todos",datos_base!$G$10+datos_base!$G$24,0))*parametros_manuales!$K$100+parametros_manuales!$F$23*(datos_base!$G$4+datos_base!$G$20+IF(parametros_manuales!$H$23="Todos",datos_base!$G$11+datos_base!$G$25,0))*parametros_manuales!$K$105+parametros_manuales!$G$23*(datos_base!$G$5+datos_base!$G$21+IF(parametros_manuales!$H$23="Todos",datos_base!$G$12+datos_base!$G$26,0))*parametros_manuales!$K$110)*parametros_manuales!$I$23*parametros_manuales!$J$23</f>
        <v>10968.115493765</v>
      </c>
      <c r="L141" s="9" t="n">
        <f aca="false">(parametros_manuales!$D$23*(datos_base!$G$2+datos_base!$G$18+IF(parametros_manuales!$H$23="Todos",datos_base!$G$9+datos_base!$G$23,0))*parametros_manuales!$L$95+parametros_manuales!$E$23*(datos_base!$G$3+datos_base!$G$19+IF(parametros_manuales!$H$23="Todos",datos_base!$G$10+datos_base!$G$24,0))*parametros_manuales!$L$100+parametros_manuales!$F$23*(datos_base!$G$4+datos_base!$G$20+IF(parametros_manuales!$H$23="Todos",datos_base!$G$11+datos_base!$G$25,0))*parametros_manuales!$L$105+parametros_manuales!$G$23*(datos_base!$G$5+datos_base!$G$21+IF(parametros_manuales!$H$23="Todos",datos_base!$G$12+datos_base!$G$26,0))*parametros_manuales!$L$110)*parametros_manuales!$I$23*parametros_manuales!$J$23</f>
        <v>11151.11988891</v>
      </c>
      <c r="M141" s="9" t="n">
        <f aca="false">(parametros_manuales!$D$23*(datos_base!$G$2+datos_base!$G$18+IF(parametros_manuales!$H$23="Todos",datos_base!$G$9+datos_base!$G$23,0))*parametros_manuales!$M$95+parametros_manuales!$E$23*(datos_base!$G$3+datos_base!$G$19+IF(parametros_manuales!$H$23="Todos",datos_base!$G$10+datos_base!$G$24,0))*parametros_manuales!$M$100+parametros_manuales!$F$23*(datos_base!$G$4+datos_base!$G$20+IF(parametros_manuales!$H$23="Todos",datos_base!$G$11+datos_base!$G$25,0))*parametros_manuales!$M$105+parametros_manuales!$G$23*(datos_base!$G$5+datos_base!$G$21+IF(parametros_manuales!$H$23="Todos",datos_base!$G$12+datos_base!$G$26,0))*parametros_manuales!$M$110)*parametros_manuales!$I$23*parametros_manuales!$J$23</f>
        <v>11151.11988891</v>
      </c>
      <c r="N141" s="9" t="n">
        <f aca="false">SUM(B141:M141)</f>
        <v>123901.332099</v>
      </c>
      <c r="O141" s="9" t="n">
        <f aca="false">MAX(B141:M141)</f>
        <v>11151.11988891</v>
      </c>
      <c r="P141" s="43" t="n">
        <f aca="false">O141/(parametros_manuales!$B$7)</f>
        <v>74.3407992594</v>
      </c>
      <c r="Q141" s="8" t="str">
        <f aca="false">IF(O141=0,"-",INDEX($B$136:$M$136,MATCH(O141,B141:M141,0)))</f>
        <v>Ene</v>
      </c>
    </row>
    <row r="142" customFormat="false" ht="14.25" hidden="false" customHeight="true" outlineLevel="0" collapsed="false">
      <c r="A142" s="8" t="str">
        <f aca="false">parametros_manuales!$B$24</f>
        <v>Numerado de cúpula</v>
      </c>
      <c r="B142" s="9" t="n">
        <f aca="false">(parametros_manuales!$D$24*(datos_base!$G$2+datos_base!$G$18+IF(parametros_manuales!$H$24="Todos",datos_base!$G$9+datos_base!$G$23,0))*parametros_manuales!$B$95+parametros_manuales!$E$24*(datos_base!$G$3+datos_base!$G$19+IF(parametros_manuales!$H$24="Todos",datos_base!$G$10+datos_base!$G$24,0))*parametros_manuales!$B$100+parametros_manuales!$F$24*(datos_base!$G$4+datos_base!$G$20+IF(parametros_manuales!$H$24="Todos",datos_base!$G$11+datos_base!$G$25,0))*parametros_manuales!$B$105+parametros_manuales!$G$24*(datos_base!$G$5+datos_base!$G$21+IF(parametros_manuales!$H$24="Todos",datos_base!$G$12+datos_base!$G$26,0))*parametros_manuales!$B$110)*parametros_manuales!$I$24*parametros_manuales!$J$24</f>
        <v>11151.11988891</v>
      </c>
      <c r="C142" s="9" t="n">
        <f aca="false">(parametros_manuales!$D$24*(datos_base!$G$2+datos_base!$G$18+IF(parametros_manuales!$H$24="Todos",datos_base!$G$9+datos_base!$G$23,0))*parametros_manuales!$C$95+parametros_manuales!$E$24*(datos_base!$G$3+datos_base!$G$19+IF(parametros_manuales!$H$24="Todos",datos_base!$G$10+datos_base!$G$24,0))*parametros_manuales!$C$100+parametros_manuales!$F$24*(datos_base!$G$4+datos_base!$G$20+IF(parametros_manuales!$H$24="Todos",datos_base!$G$11+datos_base!$G$25,0))*parametros_manuales!$C$105+parametros_manuales!$G$24*(datos_base!$G$5+datos_base!$G$21+IF(parametros_manuales!$H$24="Todos",datos_base!$G$12+datos_base!$G$26,0))*parametros_manuales!$C$110)*parametros_manuales!$I$24*parametros_manuales!$J$24</f>
        <v>10785.11109862</v>
      </c>
      <c r="D142" s="9" t="n">
        <f aca="false">(parametros_manuales!$D$24*(datos_base!$G$2+datos_base!$G$18+IF(parametros_manuales!$H$24="Todos",datos_base!$G$9+datos_base!$G$23,0))*parametros_manuales!$D$95+parametros_manuales!$E$24*(datos_base!$G$3+datos_base!$G$19+IF(parametros_manuales!$H$24="Todos",datos_base!$G$10+datos_base!$G$24,0))*parametros_manuales!$D$100+parametros_manuales!$F$24*(datos_base!$G$4+datos_base!$G$20+IF(parametros_manuales!$H$24="Todos",datos_base!$G$11+datos_base!$G$25,0))*parametros_manuales!$D$105+parametros_manuales!$G$24*(datos_base!$G$5+datos_base!$G$21+IF(parametros_manuales!$H$24="Todos",datos_base!$G$12+datos_base!$G$26,0))*parametros_manuales!$D$110)*parametros_manuales!$I$24*parametros_manuales!$J$24</f>
        <v>10095.110963065</v>
      </c>
      <c r="E142" s="9" t="n">
        <f aca="false">(parametros_manuales!$D$24*(datos_base!$G$2+datos_base!$G$18+IF(parametros_manuales!$H$24="Todos",datos_base!$G$9+datos_base!$G$23,0))*parametros_manuales!$E$95+parametros_manuales!$E$24*(datos_base!$G$3+datos_base!$G$19+IF(parametros_manuales!$H$24="Todos",datos_base!$G$10+datos_base!$G$24,0))*parametros_manuales!$E$100+parametros_manuales!$F$24*(datos_base!$G$4+datos_base!$G$20+IF(parametros_manuales!$H$24="Todos",datos_base!$G$11+datos_base!$G$25,0))*parametros_manuales!$E$105+parametros_manuales!$G$24*(datos_base!$G$5+datos_base!$G$21+IF(parametros_manuales!$H$24="Todos",datos_base!$G$12+datos_base!$G$26,0))*parametros_manuales!$E$110)*parametros_manuales!$I$24*parametros_manuales!$J$24</f>
        <v>9658.608697715</v>
      </c>
      <c r="F142" s="9" t="n">
        <f aca="false">(parametros_manuales!$D$24*(datos_base!$G$2+datos_base!$G$18+IF(parametros_manuales!$H$24="Todos",datos_base!$G$9+datos_base!$G$23,0))*parametros_manuales!$F$95+parametros_manuales!$E$24*(datos_base!$G$3+datos_base!$G$19+IF(parametros_manuales!$H$24="Todos",datos_base!$G$10+datos_base!$G$24,0))*parametros_manuales!$F$100+parametros_manuales!$F$24*(datos_base!$G$4+datos_base!$G$20+IF(parametros_manuales!$H$24="Todos",datos_base!$G$11+datos_base!$G$25,0))*parametros_manuales!$F$105+parametros_manuales!$G$24*(datos_base!$G$5+datos_base!$G$21+IF(parametros_manuales!$H$24="Todos",datos_base!$G$12+datos_base!$G$26,0))*parametros_manuales!$F$110)*parametros_manuales!$I$24*parametros_manuales!$J$24</f>
        <v>9039.10203722</v>
      </c>
      <c r="G142" s="9" t="n">
        <f aca="false">(parametros_manuales!$D$24*(datos_base!$G$2+datos_base!$G$18+IF(parametros_manuales!$H$24="Todos",datos_base!$G$9+datos_base!$G$23,0))*parametros_manuales!$G$95+parametros_manuales!$E$24*(datos_base!$G$3+datos_base!$G$19+IF(parametros_manuales!$H$24="Todos",datos_base!$G$10+datos_base!$G$24,0))*parametros_manuales!$G$100+parametros_manuales!$F$24*(datos_base!$G$4+datos_base!$G$20+IF(parametros_manuales!$H$24="Todos",datos_base!$G$11+datos_base!$G$25,0))*parametros_manuales!$G$105+parametros_manuales!$G$24*(datos_base!$G$5+datos_base!$G$21+IF(parametros_manuales!$H$24="Todos",datos_base!$G$12+datos_base!$G$26,0))*parametros_manuales!$G$110)*parametros_manuales!$I$24*parametros_manuales!$J$24</f>
        <v>8856.097642075</v>
      </c>
      <c r="H142" s="9" t="n">
        <f aca="false">(parametros_manuales!$D$24*(datos_base!$G$2+datos_base!$G$18+IF(parametros_manuales!$H$24="Todos",datos_base!$G$9+datos_base!$G$23,0))*parametros_manuales!$H$95+parametros_manuales!$E$24*(datos_base!$G$3+datos_base!$G$19+IF(parametros_manuales!$H$24="Todos",datos_base!$G$10+datos_base!$G$24,0))*parametros_manuales!$H$100+parametros_manuales!$F$24*(datos_base!$G$4+datos_base!$G$20+IF(parametros_manuales!$H$24="Todos",datos_base!$G$11+datos_base!$G$25,0))*parametros_manuales!$H$105+parametros_manuales!$G$24*(datos_base!$G$5+datos_base!$G$21+IF(parametros_manuales!$H$24="Todos",datos_base!$G$12+datos_base!$G$26,0))*parametros_manuales!$H$110)*parametros_manuales!$I$24*parametros_manuales!$J$24</f>
        <v>9475.60430257</v>
      </c>
      <c r="I142" s="9" t="n">
        <f aca="false">(parametros_manuales!$D$24*(datos_base!$G$2+datos_base!$G$18+IF(parametros_manuales!$H$24="Todos",datos_base!$G$9+datos_base!$G$23,0))*parametros_manuales!$I$95+parametros_manuales!$E$24*(datos_base!$G$3+datos_base!$G$19+IF(parametros_manuales!$H$24="Todos",datos_base!$G$10+datos_base!$G$24,0))*parametros_manuales!$I$100+parametros_manuales!$F$24*(datos_base!$G$4+datos_base!$G$20+IF(parametros_manuales!$H$24="Todos",datos_base!$G$11+datos_base!$G$25,0))*parametros_manuales!$I$105+parametros_manuales!$G$24*(datos_base!$G$5+datos_base!$G$21+IF(parametros_manuales!$H$24="Todos",datos_base!$G$12+datos_base!$G$26,0))*parametros_manuales!$I$110)*parametros_manuales!$I$24*parametros_manuales!$J$24</f>
        <v>10785.11109862</v>
      </c>
      <c r="J142" s="9" t="n">
        <f aca="false">(parametros_manuales!$D$24*(datos_base!$G$2+datos_base!$G$18+IF(parametros_manuales!$H$24="Todos",datos_base!$G$9+datos_base!$G$23,0))*parametros_manuales!$J$95+parametros_manuales!$E$24*(datos_base!$G$3+datos_base!$G$19+IF(parametros_manuales!$H$24="Todos",datos_base!$G$10+datos_base!$G$24,0))*parametros_manuales!$J$100+parametros_manuales!$F$24*(datos_base!$G$4+datos_base!$G$20+IF(parametros_manuales!$H$24="Todos",datos_base!$G$11+datos_base!$G$25,0))*parametros_manuales!$J$105+parametros_manuales!$G$24*(datos_base!$G$5+datos_base!$G$21+IF(parametros_manuales!$H$24="Todos",datos_base!$G$12+datos_base!$G$26,0))*parametros_manuales!$J$110)*parametros_manuales!$I$24*parametros_manuales!$J$24</f>
        <v>10785.11109862</v>
      </c>
      <c r="K142" s="9" t="n">
        <f aca="false">(parametros_manuales!$D$24*(datos_base!$G$2+datos_base!$G$18+IF(parametros_manuales!$H$24="Todos",datos_base!$G$9+datos_base!$G$23,0))*parametros_manuales!$K$95+parametros_manuales!$E$24*(datos_base!$G$3+datos_base!$G$19+IF(parametros_manuales!$H$24="Todos",datos_base!$G$10+datos_base!$G$24,0))*parametros_manuales!$K$100+parametros_manuales!$F$24*(datos_base!$G$4+datos_base!$G$20+IF(parametros_manuales!$H$24="Todos",datos_base!$G$11+datos_base!$G$25,0))*parametros_manuales!$K$105+parametros_manuales!$G$24*(datos_base!$G$5+datos_base!$G$21+IF(parametros_manuales!$H$24="Todos",datos_base!$G$12+datos_base!$G$26,0))*parametros_manuales!$K$110)*parametros_manuales!$I$24*parametros_manuales!$J$24</f>
        <v>10968.115493765</v>
      </c>
      <c r="L142" s="9" t="n">
        <f aca="false">(parametros_manuales!$D$24*(datos_base!$G$2+datos_base!$G$18+IF(parametros_manuales!$H$24="Todos",datos_base!$G$9+datos_base!$G$23,0))*parametros_manuales!$L$95+parametros_manuales!$E$24*(datos_base!$G$3+datos_base!$G$19+IF(parametros_manuales!$H$24="Todos",datos_base!$G$10+datos_base!$G$24,0))*parametros_manuales!$L$100+parametros_manuales!$F$24*(datos_base!$G$4+datos_base!$G$20+IF(parametros_manuales!$H$24="Todos",datos_base!$G$11+datos_base!$G$25,0))*parametros_manuales!$L$105+parametros_manuales!$G$24*(datos_base!$G$5+datos_base!$G$21+IF(parametros_manuales!$H$24="Todos",datos_base!$G$12+datos_base!$G$26,0))*parametros_manuales!$L$110)*parametros_manuales!$I$24*parametros_manuales!$J$24</f>
        <v>11151.11988891</v>
      </c>
      <c r="M142" s="9" t="n">
        <f aca="false">(parametros_manuales!$D$24*(datos_base!$G$2+datos_base!$G$18+IF(parametros_manuales!$H$24="Todos",datos_base!$G$9+datos_base!$G$23,0))*parametros_manuales!$M$95+parametros_manuales!$E$24*(datos_base!$G$3+datos_base!$G$19+IF(parametros_manuales!$H$24="Todos",datos_base!$G$10+datos_base!$G$24,0))*parametros_manuales!$M$100+parametros_manuales!$F$24*(datos_base!$G$4+datos_base!$G$20+IF(parametros_manuales!$H$24="Todos",datos_base!$G$11+datos_base!$G$25,0))*parametros_manuales!$M$105+parametros_manuales!$G$24*(datos_base!$G$5+datos_base!$G$21+IF(parametros_manuales!$H$24="Todos",datos_base!$G$12+datos_base!$G$26,0))*parametros_manuales!$M$110)*parametros_manuales!$I$24*parametros_manuales!$J$24</f>
        <v>11151.11988891</v>
      </c>
      <c r="N142" s="9" t="n">
        <f aca="false">SUM(B142:M142)</f>
        <v>123901.332099</v>
      </c>
      <c r="O142" s="9" t="n">
        <f aca="false">MAX(B142:M142)</f>
        <v>11151.11988891</v>
      </c>
      <c r="P142" s="43" t="n">
        <f aca="false">O142/(parametros_manuales!$B$7)</f>
        <v>74.3407992594</v>
      </c>
      <c r="Q142" s="8" t="str">
        <f aca="false">IF(O142=0,"-",INDEX($B$136:$M$136,MATCH(O142,B142:M142,0)))</f>
        <v>Ene</v>
      </c>
    </row>
    <row r="143" customFormat="false" ht="14.25" hidden="false" customHeight="true" outlineLevel="0" collapsed="false">
      <c r="A143" s="8" t="str">
        <f aca="false">parametros_manuales!$B$25</f>
        <v>Soldadura del cuello a la cúpula</v>
      </c>
      <c r="B143" s="9" t="n">
        <f aca="false">(parametros_manuales!$D$25*(datos_base!$G$2+datos_base!$G$18+IF(parametros_manuales!$H$25="Todos",datos_base!$G$9+datos_base!$G$23,0))*parametros_manuales!$B$95+parametros_manuales!$E$25*(datos_base!$G$3+datos_base!$G$19+IF(parametros_manuales!$H$25="Todos",datos_base!$G$10+datos_base!$G$24,0))*parametros_manuales!$B$100+parametros_manuales!$F$25*(datos_base!$G$4+datos_base!$G$20+IF(parametros_manuales!$H$25="Todos",datos_base!$G$11+datos_base!$G$25,0))*parametros_manuales!$B$105+parametros_manuales!$G$25*(datos_base!$G$5+datos_base!$G$21+IF(parametros_manuales!$H$25="Todos",datos_base!$G$12+datos_base!$G$26,0))*parametros_manuales!$B$110)*parametros_manuales!$I$25*parametros_manuales!$J$25</f>
        <v>11151.11988891</v>
      </c>
      <c r="C143" s="9" t="n">
        <f aca="false">(parametros_manuales!$D$25*(datos_base!$G$2+datos_base!$G$18+IF(parametros_manuales!$H$25="Todos",datos_base!$G$9+datos_base!$G$23,0))*parametros_manuales!$C$95+parametros_manuales!$E$25*(datos_base!$G$3+datos_base!$G$19+IF(parametros_manuales!$H$25="Todos",datos_base!$G$10+datos_base!$G$24,0))*parametros_manuales!$C$100+parametros_manuales!$F$25*(datos_base!$G$4+datos_base!$G$20+IF(parametros_manuales!$H$25="Todos",datos_base!$G$11+datos_base!$G$25,0))*parametros_manuales!$C$105+parametros_manuales!$G$25*(datos_base!$G$5+datos_base!$G$21+IF(parametros_manuales!$H$25="Todos",datos_base!$G$12+datos_base!$G$26,0))*parametros_manuales!$C$110)*parametros_manuales!$I$25*parametros_manuales!$J$25</f>
        <v>10785.11109862</v>
      </c>
      <c r="D143" s="9" t="n">
        <f aca="false">(parametros_manuales!$D$25*(datos_base!$G$2+datos_base!$G$18+IF(parametros_manuales!$H$25="Todos",datos_base!$G$9+datos_base!$G$23,0))*parametros_manuales!$D$95+parametros_manuales!$E$25*(datos_base!$G$3+datos_base!$G$19+IF(parametros_manuales!$H$25="Todos",datos_base!$G$10+datos_base!$G$24,0))*parametros_manuales!$D$100+parametros_manuales!$F$25*(datos_base!$G$4+datos_base!$G$20+IF(parametros_manuales!$H$25="Todos",datos_base!$G$11+datos_base!$G$25,0))*parametros_manuales!$D$105+parametros_manuales!$G$25*(datos_base!$G$5+datos_base!$G$21+IF(parametros_manuales!$H$25="Todos",datos_base!$G$12+datos_base!$G$26,0))*parametros_manuales!$D$110)*parametros_manuales!$I$25*parametros_manuales!$J$25</f>
        <v>10095.110963065</v>
      </c>
      <c r="E143" s="9" t="n">
        <f aca="false">(parametros_manuales!$D$25*(datos_base!$G$2+datos_base!$G$18+IF(parametros_manuales!$H$25="Todos",datos_base!$G$9+datos_base!$G$23,0))*parametros_manuales!$E$95+parametros_manuales!$E$25*(datos_base!$G$3+datos_base!$G$19+IF(parametros_manuales!$H$25="Todos",datos_base!$G$10+datos_base!$G$24,0))*parametros_manuales!$E$100+parametros_manuales!$F$25*(datos_base!$G$4+datos_base!$G$20+IF(parametros_manuales!$H$25="Todos",datos_base!$G$11+datos_base!$G$25,0))*parametros_manuales!$E$105+parametros_manuales!$G$25*(datos_base!$G$5+datos_base!$G$21+IF(parametros_manuales!$H$25="Todos",datos_base!$G$12+datos_base!$G$26,0))*parametros_manuales!$E$110)*parametros_manuales!$I$25*parametros_manuales!$J$25</f>
        <v>9658.608697715</v>
      </c>
      <c r="F143" s="9" t="n">
        <f aca="false">(parametros_manuales!$D$25*(datos_base!$G$2+datos_base!$G$18+IF(parametros_manuales!$H$25="Todos",datos_base!$G$9+datos_base!$G$23,0))*parametros_manuales!$F$95+parametros_manuales!$E$25*(datos_base!$G$3+datos_base!$G$19+IF(parametros_manuales!$H$25="Todos",datos_base!$G$10+datos_base!$G$24,0))*parametros_manuales!$F$100+parametros_manuales!$F$25*(datos_base!$G$4+datos_base!$G$20+IF(parametros_manuales!$H$25="Todos",datos_base!$G$11+datos_base!$G$25,0))*parametros_manuales!$F$105+parametros_manuales!$G$25*(datos_base!$G$5+datos_base!$G$21+IF(parametros_manuales!$H$25="Todos",datos_base!$G$12+datos_base!$G$26,0))*parametros_manuales!$F$110)*parametros_manuales!$I$25*parametros_manuales!$J$25</f>
        <v>9039.10203722</v>
      </c>
      <c r="G143" s="9" t="n">
        <f aca="false">(parametros_manuales!$D$25*(datos_base!$G$2+datos_base!$G$18+IF(parametros_manuales!$H$25="Todos",datos_base!$G$9+datos_base!$G$23,0))*parametros_manuales!$G$95+parametros_manuales!$E$25*(datos_base!$G$3+datos_base!$G$19+IF(parametros_manuales!$H$25="Todos",datos_base!$G$10+datos_base!$G$24,0))*parametros_manuales!$G$100+parametros_manuales!$F$25*(datos_base!$G$4+datos_base!$G$20+IF(parametros_manuales!$H$25="Todos",datos_base!$G$11+datos_base!$G$25,0))*parametros_manuales!$G$105+parametros_manuales!$G$25*(datos_base!$G$5+datos_base!$G$21+IF(parametros_manuales!$H$25="Todos",datos_base!$G$12+datos_base!$G$26,0))*parametros_manuales!$G$110)*parametros_manuales!$I$25*parametros_manuales!$J$25</f>
        <v>8856.097642075</v>
      </c>
      <c r="H143" s="9" t="n">
        <f aca="false">(parametros_manuales!$D$25*(datos_base!$G$2+datos_base!$G$18+IF(parametros_manuales!$H$25="Todos",datos_base!$G$9+datos_base!$G$23,0))*parametros_manuales!$H$95+parametros_manuales!$E$25*(datos_base!$G$3+datos_base!$G$19+IF(parametros_manuales!$H$25="Todos",datos_base!$G$10+datos_base!$G$24,0))*parametros_manuales!$H$100+parametros_manuales!$F$25*(datos_base!$G$4+datos_base!$G$20+IF(parametros_manuales!$H$25="Todos",datos_base!$G$11+datos_base!$G$25,0))*parametros_manuales!$H$105+parametros_manuales!$G$25*(datos_base!$G$5+datos_base!$G$21+IF(parametros_manuales!$H$25="Todos",datos_base!$G$12+datos_base!$G$26,0))*parametros_manuales!$H$110)*parametros_manuales!$I$25*parametros_manuales!$J$25</f>
        <v>9475.60430257</v>
      </c>
      <c r="I143" s="9" t="n">
        <f aca="false">(parametros_manuales!$D$25*(datos_base!$G$2+datos_base!$G$18+IF(parametros_manuales!$H$25="Todos",datos_base!$G$9+datos_base!$G$23,0))*parametros_manuales!$I$95+parametros_manuales!$E$25*(datos_base!$G$3+datos_base!$G$19+IF(parametros_manuales!$H$25="Todos",datos_base!$G$10+datos_base!$G$24,0))*parametros_manuales!$I$100+parametros_manuales!$F$25*(datos_base!$G$4+datos_base!$G$20+IF(parametros_manuales!$H$25="Todos",datos_base!$G$11+datos_base!$G$25,0))*parametros_manuales!$I$105+parametros_manuales!$G$25*(datos_base!$G$5+datos_base!$G$21+IF(parametros_manuales!$H$25="Todos",datos_base!$G$12+datos_base!$G$26,0))*parametros_manuales!$I$110)*parametros_manuales!$I$25*parametros_manuales!$J$25</f>
        <v>10785.11109862</v>
      </c>
      <c r="J143" s="9" t="n">
        <f aca="false">(parametros_manuales!$D$25*(datos_base!$G$2+datos_base!$G$18+IF(parametros_manuales!$H$25="Todos",datos_base!$G$9+datos_base!$G$23,0))*parametros_manuales!$J$95+parametros_manuales!$E$25*(datos_base!$G$3+datos_base!$G$19+IF(parametros_manuales!$H$25="Todos",datos_base!$G$10+datos_base!$G$24,0))*parametros_manuales!$J$100+parametros_manuales!$F$25*(datos_base!$G$4+datos_base!$G$20+IF(parametros_manuales!$H$25="Todos",datos_base!$G$11+datos_base!$G$25,0))*parametros_manuales!$J$105+parametros_manuales!$G$25*(datos_base!$G$5+datos_base!$G$21+IF(parametros_manuales!$H$25="Todos",datos_base!$G$12+datos_base!$G$26,0))*parametros_manuales!$J$110)*parametros_manuales!$I$25*parametros_manuales!$J$25</f>
        <v>10785.11109862</v>
      </c>
      <c r="K143" s="9" t="n">
        <f aca="false">(parametros_manuales!$D$25*(datos_base!$G$2+datos_base!$G$18+IF(parametros_manuales!$H$25="Todos",datos_base!$G$9+datos_base!$G$23,0))*parametros_manuales!$K$95+parametros_manuales!$E$25*(datos_base!$G$3+datos_base!$G$19+IF(parametros_manuales!$H$25="Todos",datos_base!$G$10+datos_base!$G$24,0))*parametros_manuales!$K$100+parametros_manuales!$F$25*(datos_base!$G$4+datos_base!$G$20+IF(parametros_manuales!$H$25="Todos",datos_base!$G$11+datos_base!$G$25,0))*parametros_manuales!$K$105+parametros_manuales!$G$25*(datos_base!$G$5+datos_base!$G$21+IF(parametros_manuales!$H$25="Todos",datos_base!$G$12+datos_base!$G$26,0))*parametros_manuales!$K$110)*parametros_manuales!$I$25*parametros_manuales!$J$25</f>
        <v>10968.115493765</v>
      </c>
      <c r="L143" s="9" t="n">
        <f aca="false">(parametros_manuales!$D$25*(datos_base!$G$2+datos_base!$G$18+IF(parametros_manuales!$H$25="Todos",datos_base!$G$9+datos_base!$G$23,0))*parametros_manuales!$L$95+parametros_manuales!$E$25*(datos_base!$G$3+datos_base!$G$19+IF(parametros_manuales!$H$25="Todos",datos_base!$G$10+datos_base!$G$24,0))*parametros_manuales!$L$100+parametros_manuales!$F$25*(datos_base!$G$4+datos_base!$G$20+IF(parametros_manuales!$H$25="Todos",datos_base!$G$11+datos_base!$G$25,0))*parametros_manuales!$L$105+parametros_manuales!$G$25*(datos_base!$G$5+datos_base!$G$21+IF(parametros_manuales!$H$25="Todos",datos_base!$G$12+datos_base!$G$26,0))*parametros_manuales!$L$110)*parametros_manuales!$I$25*parametros_manuales!$J$25</f>
        <v>11151.11988891</v>
      </c>
      <c r="M143" s="9" t="n">
        <f aca="false">(parametros_manuales!$D$25*(datos_base!$G$2+datos_base!$G$18+IF(parametros_manuales!$H$25="Todos",datos_base!$G$9+datos_base!$G$23,0))*parametros_manuales!$M$95+parametros_manuales!$E$25*(datos_base!$G$3+datos_base!$G$19+IF(parametros_manuales!$H$25="Todos",datos_base!$G$10+datos_base!$G$24,0))*parametros_manuales!$M$100+parametros_manuales!$F$25*(datos_base!$G$4+datos_base!$G$20+IF(parametros_manuales!$H$25="Todos",datos_base!$G$11+datos_base!$G$25,0))*parametros_manuales!$M$105+parametros_manuales!$G$25*(datos_base!$G$5+datos_base!$G$21+IF(parametros_manuales!$H$25="Todos",datos_base!$G$12+datos_base!$G$26,0))*parametros_manuales!$M$110)*parametros_manuales!$I$25*parametros_manuales!$J$25</f>
        <v>11151.11988891</v>
      </c>
      <c r="N143" s="9" t="n">
        <f aca="false">SUM(B143:M143)</f>
        <v>123901.332099</v>
      </c>
      <c r="O143" s="9" t="n">
        <f aca="false">MAX(B143:M143)</f>
        <v>11151.11988891</v>
      </c>
      <c r="P143" s="43" t="n">
        <f aca="false">O143/(parametros_manuales!$B$7)</f>
        <v>74.3407992594</v>
      </c>
      <c r="Q143" s="8" t="str">
        <f aca="false">IF(O143=0,"-",INDEX($B$136:$M$136,MATCH(O143,B143:M143,0)))</f>
        <v>Ene</v>
      </c>
    </row>
    <row r="144" customFormat="false" ht="14.25" hidden="false" customHeight="true" outlineLevel="0" collapsed="false">
      <c r="A144" s="8" t="str">
        <f aca="false">parametros_manuales!$B$26</f>
        <v>Cilindrado</v>
      </c>
      <c r="B144" s="9" t="n">
        <f aca="false">(parametros_manuales!$D$26*(datos_base!$G$2+datos_base!$G$18+IF(parametros_manuales!$H$26="Todos",datos_base!$G$9+datos_base!$G$23,0))*parametros_manuales!$B$95+parametros_manuales!$E$26*(datos_base!$G$3+datos_base!$G$19+IF(parametros_manuales!$H$26="Todos",datos_base!$G$10+datos_base!$G$24,0))*parametros_manuales!$B$100+parametros_manuales!$F$26*(datos_base!$G$4+datos_base!$G$20+IF(parametros_manuales!$H$26="Todos",datos_base!$G$11+datos_base!$G$25,0))*parametros_manuales!$B$105+parametros_manuales!$G$26*(datos_base!$G$5+datos_base!$G$21+IF(parametros_manuales!$H$26="Todos",datos_base!$G$12+datos_base!$G$26,0))*parametros_manuales!$B$110)*parametros_manuales!$I$26*parametros_manuales!$J$26</f>
        <v>3294.07911261</v>
      </c>
      <c r="C144" s="9" t="n">
        <f aca="false">(parametros_manuales!$D$26*(datos_base!$G$2+datos_base!$G$18+IF(parametros_manuales!$H$26="Todos",datos_base!$G$9+datos_base!$G$23,0))*parametros_manuales!$C$95+parametros_manuales!$E$26*(datos_base!$G$3+datos_base!$G$19+IF(parametros_manuales!$H$26="Todos",datos_base!$G$10+datos_base!$G$24,0))*parametros_manuales!$C$100+parametros_manuales!$F$26*(datos_base!$G$4+datos_base!$G$20+IF(parametros_manuales!$H$26="Todos",datos_base!$G$11+datos_base!$G$25,0))*parametros_manuales!$C$105+parametros_manuales!$G$26*(datos_base!$G$5+datos_base!$G$21+IF(parametros_manuales!$H$26="Todos",datos_base!$G$12+datos_base!$G$26,0))*parametros_manuales!$C$110)*parametros_manuales!$I$26*parametros_manuales!$J$26</f>
        <v>2928.07032232</v>
      </c>
      <c r="D144" s="9" t="n">
        <f aca="false">(parametros_manuales!$D$26*(datos_base!$G$2+datos_base!$G$18+IF(parametros_manuales!$H$26="Todos",datos_base!$G$9+datos_base!$G$23,0))*parametros_manuales!$D$95+parametros_manuales!$E$26*(datos_base!$G$3+datos_base!$G$19+IF(parametros_manuales!$H$26="Todos",datos_base!$G$10+datos_base!$G$24,0))*parametros_manuales!$D$100+parametros_manuales!$F$26*(datos_base!$G$4+datos_base!$G$20+IF(parametros_manuales!$H$26="Todos",datos_base!$G$11+datos_base!$G$25,0))*parametros_manuales!$D$105+parametros_manuales!$G$26*(datos_base!$G$5+datos_base!$G$21+IF(parametros_manuales!$H$26="Todos",datos_base!$G$12+datos_base!$G$26,0))*parametros_manuales!$D$110)*parametros_manuales!$I$26*parametros_manuales!$J$26</f>
        <v>3111.074717465</v>
      </c>
      <c r="E144" s="9" t="n">
        <f aca="false">(parametros_manuales!$D$26*(datos_base!$G$2+datos_base!$G$18+IF(parametros_manuales!$H$26="Todos",datos_base!$G$9+datos_base!$G$23,0))*parametros_manuales!$E$95+parametros_manuales!$E$26*(datos_base!$G$3+datos_base!$G$19+IF(parametros_manuales!$H$26="Todos",datos_base!$G$10+datos_base!$G$24,0))*parametros_manuales!$E$100+parametros_manuales!$F$26*(datos_base!$G$4+datos_base!$G$20+IF(parametros_manuales!$H$26="Todos",datos_base!$G$11+datos_base!$G$25,0))*parametros_manuales!$E$105+parametros_manuales!$G$26*(datos_base!$G$5+datos_base!$G$21+IF(parametros_manuales!$H$26="Todos",datos_base!$G$12+datos_base!$G$26,0))*parametros_manuales!$E$110)*parametros_manuales!$I$26*parametros_manuales!$J$26</f>
        <v>3111.074717465</v>
      </c>
      <c r="F144" s="9" t="n">
        <f aca="false">(parametros_manuales!$D$26*(datos_base!$G$2+datos_base!$G$18+IF(parametros_manuales!$H$26="Todos",datos_base!$G$9+datos_base!$G$23,0))*parametros_manuales!$F$95+parametros_manuales!$E$26*(datos_base!$G$3+datos_base!$G$19+IF(parametros_manuales!$H$26="Todos",datos_base!$G$10+datos_base!$G$24,0))*parametros_manuales!$F$100+parametros_manuales!$F$26*(datos_base!$G$4+datos_base!$G$20+IF(parametros_manuales!$H$26="Todos",datos_base!$G$11+datos_base!$G$25,0))*parametros_manuales!$F$105+parametros_manuales!$G$26*(datos_base!$G$5+datos_base!$G$21+IF(parametros_manuales!$H$26="Todos",datos_base!$G$12+datos_base!$G$26,0))*parametros_manuales!$F$110)*parametros_manuales!$I$26*parametros_manuales!$J$26</f>
        <v>2928.07032232</v>
      </c>
      <c r="G144" s="9" t="n">
        <f aca="false">(parametros_manuales!$D$26*(datos_base!$G$2+datos_base!$G$18+IF(parametros_manuales!$H$26="Todos",datos_base!$G$9+datos_base!$G$23,0))*parametros_manuales!$G$95+parametros_manuales!$E$26*(datos_base!$G$3+datos_base!$G$19+IF(parametros_manuales!$H$26="Todos",datos_base!$G$10+datos_base!$G$24,0))*parametros_manuales!$G$100+parametros_manuales!$F$26*(datos_base!$G$4+datos_base!$G$20+IF(parametros_manuales!$H$26="Todos",datos_base!$G$11+datos_base!$G$25,0))*parametros_manuales!$G$105+parametros_manuales!$G$26*(datos_base!$G$5+datos_base!$G$21+IF(parametros_manuales!$H$26="Todos",datos_base!$G$12+datos_base!$G$26,0))*parametros_manuales!$G$110)*parametros_manuales!$I$26*parametros_manuales!$J$26</f>
        <v>2745.065927175</v>
      </c>
      <c r="H144" s="9" t="n">
        <f aca="false">(parametros_manuales!$D$26*(datos_base!$G$2+datos_base!$G$18+IF(parametros_manuales!$H$26="Todos",datos_base!$G$9+datos_base!$G$23,0))*parametros_manuales!$H$95+parametros_manuales!$E$26*(datos_base!$G$3+datos_base!$G$19+IF(parametros_manuales!$H$26="Todos",datos_base!$G$10+datos_base!$G$24,0))*parametros_manuales!$H$100+parametros_manuales!$F$26*(datos_base!$G$4+datos_base!$G$20+IF(parametros_manuales!$H$26="Todos",datos_base!$G$11+datos_base!$G$25,0))*parametros_manuales!$H$105+parametros_manuales!$G$26*(datos_base!$G$5+datos_base!$G$21+IF(parametros_manuales!$H$26="Todos",datos_base!$G$12+datos_base!$G$26,0))*parametros_manuales!$H$110)*parametros_manuales!$I$26*parametros_manuales!$J$26</f>
        <v>2928.07032232</v>
      </c>
      <c r="I144" s="9" t="n">
        <f aca="false">(parametros_manuales!$D$26*(datos_base!$G$2+datos_base!$G$18+IF(parametros_manuales!$H$26="Todos",datos_base!$G$9+datos_base!$G$23,0))*parametros_manuales!$I$95+parametros_manuales!$E$26*(datos_base!$G$3+datos_base!$G$19+IF(parametros_manuales!$H$26="Todos",datos_base!$G$10+datos_base!$G$24,0))*parametros_manuales!$I$100+parametros_manuales!$F$26*(datos_base!$G$4+datos_base!$G$20+IF(parametros_manuales!$H$26="Todos",datos_base!$G$11+datos_base!$G$25,0))*parametros_manuales!$I$105+parametros_manuales!$G$26*(datos_base!$G$5+datos_base!$G$21+IF(parametros_manuales!$H$26="Todos",datos_base!$G$12+datos_base!$G$26,0))*parametros_manuales!$I$110)*parametros_manuales!$I$26*parametros_manuales!$J$26</f>
        <v>2928.07032232</v>
      </c>
      <c r="J144" s="9" t="n">
        <f aca="false">(parametros_manuales!$D$26*(datos_base!$G$2+datos_base!$G$18+IF(parametros_manuales!$H$26="Todos",datos_base!$G$9+datos_base!$G$23,0))*parametros_manuales!$J$95+parametros_manuales!$E$26*(datos_base!$G$3+datos_base!$G$19+IF(parametros_manuales!$H$26="Todos",datos_base!$G$10+datos_base!$G$24,0))*parametros_manuales!$J$100+parametros_manuales!$F$26*(datos_base!$G$4+datos_base!$G$20+IF(parametros_manuales!$H$26="Todos",datos_base!$G$11+datos_base!$G$25,0))*parametros_manuales!$J$105+parametros_manuales!$G$26*(datos_base!$G$5+datos_base!$G$21+IF(parametros_manuales!$H$26="Todos",datos_base!$G$12+datos_base!$G$26,0))*parametros_manuales!$J$110)*parametros_manuales!$I$26*parametros_manuales!$J$26</f>
        <v>2928.07032232</v>
      </c>
      <c r="K144" s="9" t="n">
        <f aca="false">(parametros_manuales!$D$26*(datos_base!$G$2+datos_base!$G$18+IF(parametros_manuales!$H$26="Todos",datos_base!$G$9+datos_base!$G$23,0))*parametros_manuales!$K$95+parametros_manuales!$E$26*(datos_base!$G$3+datos_base!$G$19+IF(parametros_manuales!$H$26="Todos",datos_base!$G$10+datos_base!$G$24,0))*parametros_manuales!$K$100+parametros_manuales!$F$26*(datos_base!$G$4+datos_base!$G$20+IF(parametros_manuales!$H$26="Todos",datos_base!$G$11+datos_base!$G$25,0))*parametros_manuales!$K$105+parametros_manuales!$G$26*(datos_base!$G$5+datos_base!$G$21+IF(parametros_manuales!$H$26="Todos",datos_base!$G$12+datos_base!$G$26,0))*parametros_manuales!$K$110)*parametros_manuales!$I$26*parametros_manuales!$J$26</f>
        <v>3111.074717465</v>
      </c>
      <c r="L144" s="9" t="n">
        <f aca="false">(parametros_manuales!$D$26*(datos_base!$G$2+datos_base!$G$18+IF(parametros_manuales!$H$26="Todos",datos_base!$G$9+datos_base!$G$23,0))*parametros_manuales!$L$95+parametros_manuales!$E$26*(datos_base!$G$3+datos_base!$G$19+IF(parametros_manuales!$H$26="Todos",datos_base!$G$10+datos_base!$G$24,0))*parametros_manuales!$L$100+parametros_manuales!$F$26*(datos_base!$G$4+datos_base!$G$20+IF(parametros_manuales!$H$26="Todos",datos_base!$G$11+datos_base!$G$25,0))*parametros_manuales!$L$105+parametros_manuales!$G$26*(datos_base!$G$5+datos_base!$G$21+IF(parametros_manuales!$H$26="Todos",datos_base!$G$12+datos_base!$G$26,0))*parametros_manuales!$L$110)*parametros_manuales!$I$26*parametros_manuales!$J$26</f>
        <v>3294.07911261</v>
      </c>
      <c r="M144" s="9" t="n">
        <f aca="false">(parametros_manuales!$D$26*(datos_base!$G$2+datos_base!$G$18+IF(parametros_manuales!$H$26="Todos",datos_base!$G$9+datos_base!$G$23,0))*parametros_manuales!$M$95+parametros_manuales!$E$26*(datos_base!$G$3+datos_base!$G$19+IF(parametros_manuales!$H$26="Todos",datos_base!$G$10+datos_base!$G$24,0))*parametros_manuales!$M$100+parametros_manuales!$F$26*(datos_base!$G$4+datos_base!$G$20+IF(parametros_manuales!$H$26="Todos",datos_base!$G$11+datos_base!$G$25,0))*parametros_manuales!$M$105+parametros_manuales!$G$26*(datos_base!$G$5+datos_base!$G$21+IF(parametros_manuales!$H$26="Todos",datos_base!$G$12+datos_base!$G$26,0))*parametros_manuales!$M$110)*parametros_manuales!$I$26*parametros_manuales!$J$26</f>
        <v>3294.07911261</v>
      </c>
      <c r="N144" s="9" t="n">
        <f aca="false">SUM(B144:M144)</f>
        <v>36600.879029</v>
      </c>
      <c r="O144" s="9" t="n">
        <f aca="false">MAX(B144:M144)</f>
        <v>3294.07911261</v>
      </c>
      <c r="P144" s="43" t="n">
        <f aca="false">O144/(parametros_manuales!$B$7)</f>
        <v>21.9605274174</v>
      </c>
      <c r="Q144" s="8" t="str">
        <f aca="false">IF(O144=0,"-",INDEX($B$136:$M$136,MATCH(O144,B144:M144,0)))</f>
        <v>Ene</v>
      </c>
    </row>
    <row r="145" customFormat="false" ht="14.25" hidden="false" customHeight="true" outlineLevel="0" collapsed="false">
      <c r="A145" s="8" t="str">
        <f aca="false">parametros_manuales!$B$27</f>
        <v>Soldadura longitudinal</v>
      </c>
      <c r="B145" s="9" t="n">
        <f aca="false">(parametros_manuales!$D$27*(datos_base!$G$2+datos_base!$G$18+IF(parametros_manuales!$H$27="Todos",datos_base!$G$9+datos_base!$G$23,0))*parametros_manuales!$B$95+parametros_manuales!$E$27*(datos_base!$G$3+datos_base!$G$19+IF(parametros_manuales!$H$27="Todos",datos_base!$G$10+datos_base!$G$24,0))*parametros_manuales!$B$100+parametros_manuales!$F$27*(datos_base!$G$4+datos_base!$G$20+IF(parametros_manuales!$H$27="Todos",datos_base!$G$11+datos_base!$G$25,0))*parametros_manuales!$B$105+parametros_manuales!$G$27*(datos_base!$G$5+datos_base!$G$21+IF(parametros_manuales!$H$27="Todos",datos_base!$G$12+datos_base!$G$26,0))*parametros_manuales!$B$110)*parametros_manuales!$I$27*parametros_manuales!$J$27</f>
        <v>3294.07911261</v>
      </c>
      <c r="C145" s="9" t="n">
        <f aca="false">(parametros_manuales!$D$27*(datos_base!$G$2+datos_base!$G$18+IF(parametros_manuales!$H$27="Todos",datos_base!$G$9+datos_base!$G$23,0))*parametros_manuales!$C$95+parametros_manuales!$E$27*(datos_base!$G$3+datos_base!$G$19+IF(parametros_manuales!$H$27="Todos",datos_base!$G$10+datos_base!$G$24,0))*parametros_manuales!$C$100+parametros_manuales!$F$27*(datos_base!$G$4+datos_base!$G$20+IF(parametros_manuales!$H$27="Todos",datos_base!$G$11+datos_base!$G$25,0))*parametros_manuales!$C$105+parametros_manuales!$G$27*(datos_base!$G$5+datos_base!$G$21+IF(parametros_manuales!$H$27="Todos",datos_base!$G$12+datos_base!$G$26,0))*parametros_manuales!$C$110)*parametros_manuales!$I$27*parametros_manuales!$J$27</f>
        <v>2928.07032232</v>
      </c>
      <c r="D145" s="9" t="n">
        <f aca="false">(parametros_manuales!$D$27*(datos_base!$G$2+datos_base!$G$18+IF(parametros_manuales!$H$27="Todos",datos_base!$G$9+datos_base!$G$23,0))*parametros_manuales!$D$95+parametros_manuales!$E$27*(datos_base!$G$3+datos_base!$G$19+IF(parametros_manuales!$H$27="Todos",datos_base!$G$10+datos_base!$G$24,0))*parametros_manuales!$D$100+parametros_manuales!$F$27*(datos_base!$G$4+datos_base!$G$20+IF(parametros_manuales!$H$27="Todos",datos_base!$G$11+datos_base!$G$25,0))*parametros_manuales!$D$105+parametros_manuales!$G$27*(datos_base!$G$5+datos_base!$G$21+IF(parametros_manuales!$H$27="Todos",datos_base!$G$12+datos_base!$G$26,0))*parametros_manuales!$D$110)*parametros_manuales!$I$27*parametros_manuales!$J$27</f>
        <v>3111.074717465</v>
      </c>
      <c r="E145" s="9" t="n">
        <f aca="false">(parametros_manuales!$D$27*(datos_base!$G$2+datos_base!$G$18+IF(parametros_manuales!$H$27="Todos",datos_base!$G$9+datos_base!$G$23,0))*parametros_manuales!$E$95+parametros_manuales!$E$27*(datos_base!$G$3+datos_base!$G$19+IF(parametros_manuales!$H$27="Todos",datos_base!$G$10+datos_base!$G$24,0))*parametros_manuales!$E$100+parametros_manuales!$F$27*(datos_base!$G$4+datos_base!$G$20+IF(parametros_manuales!$H$27="Todos",datos_base!$G$11+datos_base!$G$25,0))*parametros_manuales!$E$105+parametros_manuales!$G$27*(datos_base!$G$5+datos_base!$G$21+IF(parametros_manuales!$H$27="Todos",datos_base!$G$12+datos_base!$G$26,0))*parametros_manuales!$E$110)*parametros_manuales!$I$27*parametros_manuales!$J$27</f>
        <v>3111.074717465</v>
      </c>
      <c r="F145" s="9" t="n">
        <f aca="false">(parametros_manuales!$D$27*(datos_base!$G$2+datos_base!$G$18+IF(parametros_manuales!$H$27="Todos",datos_base!$G$9+datos_base!$G$23,0))*parametros_manuales!$F$95+parametros_manuales!$E$27*(datos_base!$G$3+datos_base!$G$19+IF(parametros_manuales!$H$27="Todos",datos_base!$G$10+datos_base!$G$24,0))*parametros_manuales!$F$100+parametros_manuales!$F$27*(datos_base!$G$4+datos_base!$G$20+IF(parametros_manuales!$H$27="Todos",datos_base!$G$11+datos_base!$G$25,0))*parametros_manuales!$F$105+parametros_manuales!$G$27*(datos_base!$G$5+datos_base!$G$21+IF(parametros_manuales!$H$27="Todos",datos_base!$G$12+datos_base!$G$26,0))*parametros_manuales!$F$110)*parametros_manuales!$I$27*parametros_manuales!$J$27</f>
        <v>2928.07032232</v>
      </c>
      <c r="G145" s="9" t="n">
        <f aca="false">(parametros_manuales!$D$27*(datos_base!$G$2+datos_base!$G$18+IF(parametros_manuales!$H$27="Todos",datos_base!$G$9+datos_base!$G$23,0))*parametros_manuales!$G$95+parametros_manuales!$E$27*(datos_base!$G$3+datos_base!$G$19+IF(parametros_manuales!$H$27="Todos",datos_base!$G$10+datos_base!$G$24,0))*parametros_manuales!$G$100+parametros_manuales!$F$27*(datos_base!$G$4+datos_base!$G$20+IF(parametros_manuales!$H$27="Todos",datos_base!$G$11+datos_base!$G$25,0))*parametros_manuales!$G$105+parametros_manuales!$G$27*(datos_base!$G$5+datos_base!$G$21+IF(parametros_manuales!$H$27="Todos",datos_base!$G$12+datos_base!$G$26,0))*parametros_manuales!$G$110)*parametros_manuales!$I$27*parametros_manuales!$J$27</f>
        <v>2745.065927175</v>
      </c>
      <c r="H145" s="9" t="n">
        <f aca="false">(parametros_manuales!$D$27*(datos_base!$G$2+datos_base!$G$18+IF(parametros_manuales!$H$27="Todos",datos_base!$G$9+datos_base!$G$23,0))*parametros_manuales!$H$95+parametros_manuales!$E$27*(datos_base!$G$3+datos_base!$G$19+IF(parametros_manuales!$H$27="Todos",datos_base!$G$10+datos_base!$G$24,0))*parametros_manuales!$H$100+parametros_manuales!$F$27*(datos_base!$G$4+datos_base!$G$20+IF(parametros_manuales!$H$27="Todos",datos_base!$G$11+datos_base!$G$25,0))*parametros_manuales!$H$105+parametros_manuales!$G$27*(datos_base!$G$5+datos_base!$G$21+IF(parametros_manuales!$H$27="Todos",datos_base!$G$12+datos_base!$G$26,0))*parametros_manuales!$H$110)*parametros_manuales!$I$27*parametros_manuales!$J$27</f>
        <v>2928.07032232</v>
      </c>
      <c r="I145" s="9" t="n">
        <f aca="false">(parametros_manuales!$D$27*(datos_base!$G$2+datos_base!$G$18+IF(parametros_manuales!$H$27="Todos",datos_base!$G$9+datos_base!$G$23,0))*parametros_manuales!$I$95+parametros_manuales!$E$27*(datos_base!$G$3+datos_base!$G$19+IF(parametros_manuales!$H$27="Todos",datos_base!$G$10+datos_base!$G$24,0))*parametros_manuales!$I$100+parametros_manuales!$F$27*(datos_base!$G$4+datos_base!$G$20+IF(parametros_manuales!$H$27="Todos",datos_base!$G$11+datos_base!$G$25,0))*parametros_manuales!$I$105+parametros_manuales!$G$27*(datos_base!$G$5+datos_base!$G$21+IF(parametros_manuales!$H$27="Todos",datos_base!$G$12+datos_base!$G$26,0))*parametros_manuales!$I$110)*parametros_manuales!$I$27*parametros_manuales!$J$27</f>
        <v>2928.07032232</v>
      </c>
      <c r="J145" s="9" t="n">
        <f aca="false">(parametros_manuales!$D$27*(datos_base!$G$2+datos_base!$G$18+IF(parametros_manuales!$H$27="Todos",datos_base!$G$9+datos_base!$G$23,0))*parametros_manuales!$J$95+parametros_manuales!$E$27*(datos_base!$G$3+datos_base!$G$19+IF(parametros_manuales!$H$27="Todos",datos_base!$G$10+datos_base!$G$24,0))*parametros_manuales!$J$100+parametros_manuales!$F$27*(datos_base!$G$4+datos_base!$G$20+IF(parametros_manuales!$H$27="Todos",datos_base!$G$11+datos_base!$G$25,0))*parametros_manuales!$J$105+parametros_manuales!$G$27*(datos_base!$G$5+datos_base!$G$21+IF(parametros_manuales!$H$27="Todos",datos_base!$G$12+datos_base!$G$26,0))*parametros_manuales!$J$110)*parametros_manuales!$I$27*parametros_manuales!$J$27</f>
        <v>2928.07032232</v>
      </c>
      <c r="K145" s="9" t="n">
        <f aca="false">(parametros_manuales!$D$27*(datos_base!$G$2+datos_base!$G$18+IF(parametros_manuales!$H$27="Todos",datos_base!$G$9+datos_base!$G$23,0))*parametros_manuales!$K$95+parametros_manuales!$E$27*(datos_base!$G$3+datos_base!$G$19+IF(parametros_manuales!$H$27="Todos",datos_base!$G$10+datos_base!$G$24,0))*parametros_manuales!$K$100+parametros_manuales!$F$27*(datos_base!$G$4+datos_base!$G$20+IF(parametros_manuales!$H$27="Todos",datos_base!$G$11+datos_base!$G$25,0))*parametros_manuales!$K$105+parametros_manuales!$G$27*(datos_base!$G$5+datos_base!$G$21+IF(parametros_manuales!$H$27="Todos",datos_base!$G$12+datos_base!$G$26,0))*parametros_manuales!$K$110)*parametros_manuales!$I$27*parametros_manuales!$J$27</f>
        <v>3111.074717465</v>
      </c>
      <c r="L145" s="9" t="n">
        <f aca="false">(parametros_manuales!$D$27*(datos_base!$G$2+datos_base!$G$18+IF(parametros_manuales!$H$27="Todos",datos_base!$G$9+datos_base!$G$23,0))*parametros_manuales!$L$95+parametros_manuales!$E$27*(datos_base!$G$3+datos_base!$G$19+IF(parametros_manuales!$H$27="Todos",datos_base!$G$10+datos_base!$G$24,0))*parametros_manuales!$L$100+parametros_manuales!$F$27*(datos_base!$G$4+datos_base!$G$20+IF(parametros_manuales!$H$27="Todos",datos_base!$G$11+datos_base!$G$25,0))*parametros_manuales!$L$105+parametros_manuales!$G$27*(datos_base!$G$5+datos_base!$G$21+IF(parametros_manuales!$H$27="Todos",datos_base!$G$12+datos_base!$G$26,0))*parametros_manuales!$L$110)*parametros_manuales!$I$27*parametros_manuales!$J$27</f>
        <v>3294.07911261</v>
      </c>
      <c r="M145" s="9" t="n">
        <f aca="false">(parametros_manuales!$D$27*(datos_base!$G$2+datos_base!$G$18+IF(parametros_manuales!$H$27="Todos",datos_base!$G$9+datos_base!$G$23,0))*parametros_manuales!$M$95+parametros_manuales!$E$27*(datos_base!$G$3+datos_base!$G$19+IF(parametros_manuales!$H$27="Todos",datos_base!$G$10+datos_base!$G$24,0))*parametros_manuales!$M$100+parametros_manuales!$F$27*(datos_base!$G$4+datos_base!$G$20+IF(parametros_manuales!$H$27="Todos",datos_base!$G$11+datos_base!$G$25,0))*parametros_manuales!$M$105+parametros_manuales!$G$27*(datos_base!$G$5+datos_base!$G$21+IF(parametros_manuales!$H$27="Todos",datos_base!$G$12+datos_base!$G$26,0))*parametros_manuales!$M$110)*parametros_manuales!$I$27*parametros_manuales!$J$27</f>
        <v>3294.07911261</v>
      </c>
      <c r="N145" s="9" t="n">
        <f aca="false">SUM(B145:M145)</f>
        <v>36600.879029</v>
      </c>
      <c r="O145" s="9" t="n">
        <f aca="false">MAX(B145:M145)</f>
        <v>3294.07911261</v>
      </c>
      <c r="P145" s="43" t="n">
        <f aca="false">O145/(parametros_manuales!$B$7)</f>
        <v>21.9605274174</v>
      </c>
      <c r="Q145" s="8" t="str">
        <f aca="false">IF(O145=0,"-",INDEX($B$136:$M$136,MATCH(O145,B145:M145,0)))</f>
        <v>Ene</v>
      </c>
    </row>
    <row r="146" customFormat="false" ht="14.25" hidden="false" customHeight="true" outlineLevel="0" collapsed="false">
      <c r="A146" s="8" t="str">
        <f aca="false">parametros_manuales!$B$28</f>
        <v>Encastre de fondo</v>
      </c>
      <c r="B146" s="9" t="n">
        <f aca="false">(parametros_manuales!$D$28*(datos_base!$G$2+datos_base!$G$18+IF(parametros_manuales!$H$28="Todos",datos_base!$G$9+datos_base!$G$23,0))*parametros_manuales!$B$95+parametros_manuales!$E$28*(datos_base!$G$3+datos_base!$G$19+IF(parametros_manuales!$H$28="Todos",datos_base!$G$10+datos_base!$G$24,0))*parametros_manuales!$B$100+parametros_manuales!$F$28*(datos_base!$G$4+datos_base!$G$20+IF(parametros_manuales!$H$28="Todos",datos_base!$G$11+datos_base!$G$25,0))*parametros_manuales!$B$105+parametros_manuales!$G$28*(datos_base!$G$5+datos_base!$G$21+IF(parametros_manuales!$H$28="Todos",datos_base!$G$12+datos_base!$G$26,0))*parametros_manuales!$B$110)*parametros_manuales!$I$28*parametros_manuales!$J$28</f>
        <v>11151.11988891</v>
      </c>
      <c r="C146" s="9" t="n">
        <f aca="false">(parametros_manuales!$D$28*(datos_base!$G$2+datos_base!$G$18+IF(parametros_manuales!$H$28="Todos",datos_base!$G$9+datos_base!$G$23,0))*parametros_manuales!$C$95+parametros_manuales!$E$28*(datos_base!$G$3+datos_base!$G$19+IF(parametros_manuales!$H$28="Todos",datos_base!$G$10+datos_base!$G$24,0))*parametros_manuales!$C$100+parametros_manuales!$F$28*(datos_base!$G$4+datos_base!$G$20+IF(parametros_manuales!$H$28="Todos",datos_base!$G$11+datos_base!$G$25,0))*parametros_manuales!$C$105+parametros_manuales!$G$28*(datos_base!$G$5+datos_base!$G$21+IF(parametros_manuales!$H$28="Todos",datos_base!$G$12+datos_base!$G$26,0))*parametros_manuales!$C$110)*parametros_manuales!$I$28*parametros_manuales!$J$28</f>
        <v>10785.11109862</v>
      </c>
      <c r="D146" s="9" t="n">
        <f aca="false">(parametros_manuales!$D$28*(datos_base!$G$2+datos_base!$G$18+IF(parametros_manuales!$H$28="Todos",datos_base!$G$9+datos_base!$G$23,0))*parametros_manuales!$D$95+parametros_manuales!$E$28*(datos_base!$G$3+datos_base!$G$19+IF(parametros_manuales!$H$28="Todos",datos_base!$G$10+datos_base!$G$24,0))*parametros_manuales!$D$100+parametros_manuales!$F$28*(datos_base!$G$4+datos_base!$G$20+IF(parametros_manuales!$H$28="Todos",datos_base!$G$11+datos_base!$G$25,0))*parametros_manuales!$D$105+parametros_manuales!$G$28*(datos_base!$G$5+datos_base!$G$21+IF(parametros_manuales!$H$28="Todos",datos_base!$G$12+datos_base!$G$26,0))*parametros_manuales!$D$110)*parametros_manuales!$I$28*parametros_manuales!$J$28</f>
        <v>10095.110963065</v>
      </c>
      <c r="E146" s="9" t="n">
        <f aca="false">(parametros_manuales!$D$28*(datos_base!$G$2+datos_base!$G$18+IF(parametros_manuales!$H$28="Todos",datos_base!$G$9+datos_base!$G$23,0))*parametros_manuales!$E$95+parametros_manuales!$E$28*(datos_base!$G$3+datos_base!$G$19+IF(parametros_manuales!$H$28="Todos",datos_base!$G$10+datos_base!$G$24,0))*parametros_manuales!$E$100+parametros_manuales!$F$28*(datos_base!$G$4+datos_base!$G$20+IF(parametros_manuales!$H$28="Todos",datos_base!$G$11+datos_base!$G$25,0))*parametros_manuales!$E$105+parametros_manuales!$G$28*(datos_base!$G$5+datos_base!$G$21+IF(parametros_manuales!$H$28="Todos",datos_base!$G$12+datos_base!$G$26,0))*parametros_manuales!$E$110)*parametros_manuales!$I$28*parametros_manuales!$J$28</f>
        <v>9658.608697715</v>
      </c>
      <c r="F146" s="9" t="n">
        <f aca="false">(parametros_manuales!$D$28*(datos_base!$G$2+datos_base!$G$18+IF(parametros_manuales!$H$28="Todos",datos_base!$G$9+datos_base!$G$23,0))*parametros_manuales!$F$95+parametros_manuales!$E$28*(datos_base!$G$3+datos_base!$G$19+IF(parametros_manuales!$H$28="Todos",datos_base!$G$10+datos_base!$G$24,0))*parametros_manuales!$F$100+parametros_manuales!$F$28*(datos_base!$G$4+datos_base!$G$20+IF(parametros_manuales!$H$28="Todos",datos_base!$G$11+datos_base!$G$25,0))*parametros_manuales!$F$105+parametros_manuales!$G$28*(datos_base!$G$5+datos_base!$G$21+IF(parametros_manuales!$H$28="Todos",datos_base!$G$12+datos_base!$G$26,0))*parametros_manuales!$F$110)*parametros_manuales!$I$28*parametros_manuales!$J$28</f>
        <v>9039.10203722</v>
      </c>
      <c r="G146" s="9" t="n">
        <f aca="false">(parametros_manuales!$D$28*(datos_base!$G$2+datos_base!$G$18+IF(parametros_manuales!$H$28="Todos",datos_base!$G$9+datos_base!$G$23,0))*parametros_manuales!$G$95+parametros_manuales!$E$28*(datos_base!$G$3+datos_base!$G$19+IF(parametros_manuales!$H$28="Todos",datos_base!$G$10+datos_base!$G$24,0))*parametros_manuales!$G$100+parametros_manuales!$F$28*(datos_base!$G$4+datos_base!$G$20+IF(parametros_manuales!$H$28="Todos",datos_base!$G$11+datos_base!$G$25,0))*parametros_manuales!$G$105+parametros_manuales!$G$28*(datos_base!$G$5+datos_base!$G$21+IF(parametros_manuales!$H$28="Todos",datos_base!$G$12+datos_base!$G$26,0))*parametros_manuales!$G$110)*parametros_manuales!$I$28*parametros_manuales!$J$28</f>
        <v>8856.097642075</v>
      </c>
      <c r="H146" s="9" t="n">
        <f aca="false">(parametros_manuales!$D$28*(datos_base!$G$2+datos_base!$G$18+IF(parametros_manuales!$H$28="Todos",datos_base!$G$9+datos_base!$G$23,0))*parametros_manuales!$H$95+parametros_manuales!$E$28*(datos_base!$G$3+datos_base!$G$19+IF(parametros_manuales!$H$28="Todos",datos_base!$G$10+datos_base!$G$24,0))*parametros_manuales!$H$100+parametros_manuales!$F$28*(datos_base!$G$4+datos_base!$G$20+IF(parametros_manuales!$H$28="Todos",datos_base!$G$11+datos_base!$G$25,0))*parametros_manuales!$H$105+parametros_manuales!$G$28*(datos_base!$G$5+datos_base!$G$21+IF(parametros_manuales!$H$28="Todos",datos_base!$G$12+datos_base!$G$26,0))*parametros_manuales!$H$110)*parametros_manuales!$I$28*parametros_manuales!$J$28</f>
        <v>9475.60430257</v>
      </c>
      <c r="I146" s="9" t="n">
        <f aca="false">(parametros_manuales!$D$28*(datos_base!$G$2+datos_base!$G$18+IF(parametros_manuales!$H$28="Todos",datos_base!$G$9+datos_base!$G$23,0))*parametros_manuales!$I$95+parametros_manuales!$E$28*(datos_base!$G$3+datos_base!$G$19+IF(parametros_manuales!$H$28="Todos",datos_base!$G$10+datos_base!$G$24,0))*parametros_manuales!$I$100+parametros_manuales!$F$28*(datos_base!$G$4+datos_base!$G$20+IF(parametros_manuales!$H$28="Todos",datos_base!$G$11+datos_base!$G$25,0))*parametros_manuales!$I$105+parametros_manuales!$G$28*(datos_base!$G$5+datos_base!$G$21+IF(parametros_manuales!$H$28="Todos",datos_base!$G$12+datos_base!$G$26,0))*parametros_manuales!$I$110)*parametros_manuales!$I$28*parametros_manuales!$J$28</f>
        <v>10785.11109862</v>
      </c>
      <c r="J146" s="9" t="n">
        <f aca="false">(parametros_manuales!$D$28*(datos_base!$G$2+datos_base!$G$18+IF(parametros_manuales!$H$28="Todos",datos_base!$G$9+datos_base!$G$23,0))*parametros_manuales!$J$95+parametros_manuales!$E$28*(datos_base!$G$3+datos_base!$G$19+IF(parametros_manuales!$H$28="Todos",datos_base!$G$10+datos_base!$G$24,0))*parametros_manuales!$J$100+parametros_manuales!$F$28*(datos_base!$G$4+datos_base!$G$20+IF(parametros_manuales!$H$28="Todos",datos_base!$G$11+datos_base!$G$25,0))*parametros_manuales!$J$105+parametros_manuales!$G$28*(datos_base!$G$5+datos_base!$G$21+IF(parametros_manuales!$H$28="Todos",datos_base!$G$12+datos_base!$G$26,0))*parametros_manuales!$J$110)*parametros_manuales!$I$28*parametros_manuales!$J$28</f>
        <v>10785.11109862</v>
      </c>
      <c r="K146" s="9" t="n">
        <f aca="false">(parametros_manuales!$D$28*(datos_base!$G$2+datos_base!$G$18+IF(parametros_manuales!$H$28="Todos",datos_base!$G$9+datos_base!$G$23,0))*parametros_manuales!$K$95+parametros_manuales!$E$28*(datos_base!$G$3+datos_base!$G$19+IF(parametros_manuales!$H$28="Todos",datos_base!$G$10+datos_base!$G$24,0))*parametros_manuales!$K$100+parametros_manuales!$F$28*(datos_base!$G$4+datos_base!$G$20+IF(parametros_manuales!$H$28="Todos",datos_base!$G$11+datos_base!$G$25,0))*parametros_manuales!$K$105+parametros_manuales!$G$28*(datos_base!$G$5+datos_base!$G$21+IF(parametros_manuales!$H$28="Todos",datos_base!$G$12+datos_base!$G$26,0))*parametros_manuales!$K$110)*parametros_manuales!$I$28*parametros_manuales!$J$28</f>
        <v>10968.115493765</v>
      </c>
      <c r="L146" s="9" t="n">
        <f aca="false">(parametros_manuales!$D$28*(datos_base!$G$2+datos_base!$G$18+IF(parametros_manuales!$H$28="Todos",datos_base!$G$9+datos_base!$G$23,0))*parametros_manuales!$L$95+parametros_manuales!$E$28*(datos_base!$G$3+datos_base!$G$19+IF(parametros_manuales!$H$28="Todos",datos_base!$G$10+datos_base!$G$24,0))*parametros_manuales!$L$100+parametros_manuales!$F$28*(datos_base!$G$4+datos_base!$G$20+IF(parametros_manuales!$H$28="Todos",datos_base!$G$11+datos_base!$G$25,0))*parametros_manuales!$L$105+parametros_manuales!$G$28*(datos_base!$G$5+datos_base!$G$21+IF(parametros_manuales!$H$28="Todos",datos_base!$G$12+datos_base!$G$26,0))*parametros_manuales!$L$110)*parametros_manuales!$I$28*parametros_manuales!$J$28</f>
        <v>11151.11988891</v>
      </c>
      <c r="M146" s="9" t="n">
        <f aca="false">(parametros_manuales!$D$28*(datos_base!$G$2+datos_base!$G$18+IF(parametros_manuales!$H$28="Todos",datos_base!$G$9+datos_base!$G$23,0))*parametros_manuales!$M$95+parametros_manuales!$E$28*(datos_base!$G$3+datos_base!$G$19+IF(parametros_manuales!$H$28="Todos",datos_base!$G$10+datos_base!$G$24,0))*parametros_manuales!$M$100+parametros_manuales!$F$28*(datos_base!$G$4+datos_base!$G$20+IF(parametros_manuales!$H$28="Todos",datos_base!$G$11+datos_base!$G$25,0))*parametros_manuales!$M$105+parametros_manuales!$G$28*(datos_base!$G$5+datos_base!$G$21+IF(parametros_manuales!$H$28="Todos",datos_base!$G$12+datos_base!$G$26,0))*parametros_manuales!$M$110)*parametros_manuales!$I$28*parametros_manuales!$J$28</f>
        <v>11151.11988891</v>
      </c>
      <c r="N146" s="9" t="n">
        <f aca="false">SUM(B146:M146)</f>
        <v>123901.332099</v>
      </c>
      <c r="O146" s="9" t="n">
        <f aca="false">MAX(B146:M146)</f>
        <v>11151.11988891</v>
      </c>
      <c r="P146" s="43" t="n">
        <f aca="false">O146/(parametros_manuales!$B$7)</f>
        <v>74.3407992594</v>
      </c>
      <c r="Q146" s="8" t="str">
        <f aca="false">IF(O146=0,"-",INDEX($B$136:$M$136,MATCH(O146,B146:M146,0)))</f>
        <v>Ene</v>
      </c>
    </row>
    <row r="147" customFormat="false" ht="14.25" hidden="false" customHeight="true" outlineLevel="0" collapsed="false">
      <c r="A147" s="8" t="str">
        <f aca="false">parametros_manuales!$B$29</f>
        <v>Bordoneado</v>
      </c>
      <c r="B147" s="9" t="n">
        <f aca="false">(parametros_manuales!$D$29*(datos_base!$G$2+datos_base!$G$18+IF(parametros_manuales!$H$29="Todos",datos_base!$G$9+datos_base!$G$23,0))*parametros_manuales!$B$95+parametros_manuales!$E$29*(datos_base!$G$3+datos_base!$G$19+IF(parametros_manuales!$H$29="Todos",datos_base!$G$10+datos_base!$G$24,0))*parametros_manuales!$B$100+parametros_manuales!$F$29*(datos_base!$G$4+datos_base!$G$20+IF(parametros_manuales!$H$29="Todos",datos_base!$G$11+datos_base!$G$25,0))*parametros_manuales!$B$105+parametros_manuales!$G$29*(datos_base!$G$5+datos_base!$G$21+IF(parametros_manuales!$H$29="Todos",datos_base!$G$12+datos_base!$G$26,0))*parametros_manuales!$B$110)*parametros_manuales!$I$29*parametros_manuales!$J$29</f>
        <v>11151.11988891</v>
      </c>
      <c r="C147" s="9" t="n">
        <f aca="false">(parametros_manuales!$D$29*(datos_base!$G$2+datos_base!$G$18+IF(parametros_manuales!$H$29="Todos",datos_base!$G$9+datos_base!$G$23,0))*parametros_manuales!$C$95+parametros_manuales!$E$29*(datos_base!$G$3+datos_base!$G$19+IF(parametros_manuales!$H$29="Todos",datos_base!$G$10+datos_base!$G$24,0))*parametros_manuales!$C$100+parametros_manuales!$F$29*(datos_base!$G$4+datos_base!$G$20+IF(parametros_manuales!$H$29="Todos",datos_base!$G$11+datos_base!$G$25,0))*parametros_manuales!$C$105+parametros_manuales!$G$29*(datos_base!$G$5+datos_base!$G$21+IF(parametros_manuales!$H$29="Todos",datos_base!$G$12+datos_base!$G$26,0))*parametros_manuales!$C$110)*parametros_manuales!$I$29*parametros_manuales!$J$29</f>
        <v>10785.11109862</v>
      </c>
      <c r="D147" s="9" t="n">
        <f aca="false">(parametros_manuales!$D$29*(datos_base!$G$2+datos_base!$G$18+IF(parametros_manuales!$H$29="Todos",datos_base!$G$9+datos_base!$G$23,0))*parametros_manuales!$D$95+parametros_manuales!$E$29*(datos_base!$G$3+datos_base!$G$19+IF(parametros_manuales!$H$29="Todos",datos_base!$G$10+datos_base!$G$24,0))*parametros_manuales!$D$100+parametros_manuales!$F$29*(datos_base!$G$4+datos_base!$G$20+IF(parametros_manuales!$H$29="Todos",datos_base!$G$11+datos_base!$G$25,0))*parametros_manuales!$D$105+parametros_manuales!$G$29*(datos_base!$G$5+datos_base!$G$21+IF(parametros_manuales!$H$29="Todos",datos_base!$G$12+datos_base!$G$26,0))*parametros_manuales!$D$110)*parametros_manuales!$I$29*parametros_manuales!$J$29</f>
        <v>10095.110963065</v>
      </c>
      <c r="E147" s="9" t="n">
        <f aca="false">(parametros_manuales!$D$29*(datos_base!$G$2+datos_base!$G$18+IF(parametros_manuales!$H$29="Todos",datos_base!$G$9+datos_base!$G$23,0))*parametros_manuales!$E$95+parametros_manuales!$E$29*(datos_base!$G$3+datos_base!$G$19+IF(parametros_manuales!$H$29="Todos",datos_base!$G$10+datos_base!$G$24,0))*parametros_manuales!$E$100+parametros_manuales!$F$29*(datos_base!$G$4+datos_base!$G$20+IF(parametros_manuales!$H$29="Todos",datos_base!$G$11+datos_base!$G$25,0))*parametros_manuales!$E$105+parametros_manuales!$G$29*(datos_base!$G$5+datos_base!$G$21+IF(parametros_manuales!$H$29="Todos",datos_base!$G$12+datos_base!$G$26,0))*parametros_manuales!$E$110)*parametros_manuales!$I$29*parametros_manuales!$J$29</f>
        <v>9658.608697715</v>
      </c>
      <c r="F147" s="9" t="n">
        <f aca="false">(parametros_manuales!$D$29*(datos_base!$G$2+datos_base!$G$18+IF(parametros_manuales!$H$29="Todos",datos_base!$G$9+datos_base!$G$23,0))*parametros_manuales!$F$95+parametros_manuales!$E$29*(datos_base!$G$3+datos_base!$G$19+IF(parametros_manuales!$H$29="Todos",datos_base!$G$10+datos_base!$G$24,0))*parametros_manuales!$F$100+parametros_manuales!$F$29*(datos_base!$G$4+datos_base!$G$20+IF(parametros_manuales!$H$29="Todos",datos_base!$G$11+datos_base!$G$25,0))*parametros_manuales!$F$105+parametros_manuales!$G$29*(datos_base!$G$5+datos_base!$G$21+IF(parametros_manuales!$H$29="Todos",datos_base!$G$12+datos_base!$G$26,0))*parametros_manuales!$F$110)*parametros_manuales!$I$29*parametros_manuales!$J$29</f>
        <v>9039.10203722</v>
      </c>
      <c r="G147" s="9" t="n">
        <f aca="false">(parametros_manuales!$D$29*(datos_base!$G$2+datos_base!$G$18+IF(parametros_manuales!$H$29="Todos",datos_base!$G$9+datos_base!$G$23,0))*parametros_manuales!$G$95+parametros_manuales!$E$29*(datos_base!$G$3+datos_base!$G$19+IF(parametros_manuales!$H$29="Todos",datos_base!$G$10+datos_base!$G$24,0))*parametros_manuales!$G$100+parametros_manuales!$F$29*(datos_base!$G$4+datos_base!$G$20+IF(parametros_manuales!$H$29="Todos",datos_base!$G$11+datos_base!$G$25,0))*parametros_manuales!$G$105+parametros_manuales!$G$29*(datos_base!$G$5+datos_base!$G$21+IF(parametros_manuales!$H$29="Todos",datos_base!$G$12+datos_base!$G$26,0))*parametros_manuales!$G$110)*parametros_manuales!$I$29*parametros_manuales!$J$29</f>
        <v>8856.097642075</v>
      </c>
      <c r="H147" s="9" t="n">
        <f aca="false">(parametros_manuales!$D$29*(datos_base!$G$2+datos_base!$G$18+IF(parametros_manuales!$H$29="Todos",datos_base!$G$9+datos_base!$G$23,0))*parametros_manuales!$H$95+parametros_manuales!$E$29*(datos_base!$G$3+datos_base!$G$19+IF(parametros_manuales!$H$29="Todos",datos_base!$G$10+datos_base!$G$24,0))*parametros_manuales!$H$100+parametros_manuales!$F$29*(datos_base!$G$4+datos_base!$G$20+IF(parametros_manuales!$H$29="Todos",datos_base!$G$11+datos_base!$G$25,0))*parametros_manuales!$H$105+parametros_manuales!$G$29*(datos_base!$G$5+datos_base!$G$21+IF(parametros_manuales!$H$29="Todos",datos_base!$G$12+datos_base!$G$26,0))*parametros_manuales!$H$110)*parametros_manuales!$I$29*parametros_manuales!$J$29</f>
        <v>9475.60430257</v>
      </c>
      <c r="I147" s="9" t="n">
        <f aca="false">(parametros_manuales!$D$29*(datos_base!$G$2+datos_base!$G$18+IF(parametros_manuales!$H$29="Todos",datos_base!$G$9+datos_base!$G$23,0))*parametros_manuales!$I$95+parametros_manuales!$E$29*(datos_base!$G$3+datos_base!$G$19+IF(parametros_manuales!$H$29="Todos",datos_base!$G$10+datos_base!$G$24,0))*parametros_manuales!$I$100+parametros_manuales!$F$29*(datos_base!$G$4+datos_base!$G$20+IF(parametros_manuales!$H$29="Todos",datos_base!$G$11+datos_base!$G$25,0))*parametros_manuales!$I$105+parametros_manuales!$G$29*(datos_base!$G$5+datos_base!$G$21+IF(parametros_manuales!$H$29="Todos",datos_base!$G$12+datos_base!$G$26,0))*parametros_manuales!$I$110)*parametros_manuales!$I$29*parametros_manuales!$J$29</f>
        <v>10785.11109862</v>
      </c>
      <c r="J147" s="9" t="n">
        <f aca="false">(parametros_manuales!$D$29*(datos_base!$G$2+datos_base!$G$18+IF(parametros_manuales!$H$29="Todos",datos_base!$G$9+datos_base!$G$23,0))*parametros_manuales!$J$95+parametros_manuales!$E$29*(datos_base!$G$3+datos_base!$G$19+IF(parametros_manuales!$H$29="Todos",datos_base!$G$10+datos_base!$G$24,0))*parametros_manuales!$J$100+parametros_manuales!$F$29*(datos_base!$G$4+datos_base!$G$20+IF(parametros_manuales!$H$29="Todos",datos_base!$G$11+datos_base!$G$25,0))*parametros_manuales!$J$105+parametros_manuales!$G$29*(datos_base!$G$5+datos_base!$G$21+IF(parametros_manuales!$H$29="Todos",datos_base!$G$12+datos_base!$G$26,0))*parametros_manuales!$J$110)*parametros_manuales!$I$29*parametros_manuales!$J$29</f>
        <v>10785.11109862</v>
      </c>
      <c r="K147" s="9" t="n">
        <f aca="false">(parametros_manuales!$D$29*(datos_base!$G$2+datos_base!$G$18+IF(parametros_manuales!$H$29="Todos",datos_base!$G$9+datos_base!$G$23,0))*parametros_manuales!$K$95+parametros_manuales!$E$29*(datos_base!$G$3+datos_base!$G$19+IF(parametros_manuales!$H$29="Todos",datos_base!$G$10+datos_base!$G$24,0))*parametros_manuales!$K$100+parametros_manuales!$F$29*(datos_base!$G$4+datos_base!$G$20+IF(parametros_manuales!$H$29="Todos",datos_base!$G$11+datos_base!$G$25,0))*parametros_manuales!$K$105+parametros_manuales!$G$29*(datos_base!$G$5+datos_base!$G$21+IF(parametros_manuales!$H$29="Todos",datos_base!$G$12+datos_base!$G$26,0))*parametros_manuales!$K$110)*parametros_manuales!$I$29*parametros_manuales!$J$29</f>
        <v>10968.115493765</v>
      </c>
      <c r="L147" s="9" t="n">
        <f aca="false">(parametros_manuales!$D$29*(datos_base!$G$2+datos_base!$G$18+IF(parametros_manuales!$H$29="Todos",datos_base!$G$9+datos_base!$G$23,0))*parametros_manuales!$L$95+parametros_manuales!$E$29*(datos_base!$G$3+datos_base!$G$19+IF(parametros_manuales!$H$29="Todos",datos_base!$G$10+datos_base!$G$24,0))*parametros_manuales!$L$100+parametros_manuales!$F$29*(datos_base!$G$4+datos_base!$G$20+IF(parametros_manuales!$H$29="Todos",datos_base!$G$11+datos_base!$G$25,0))*parametros_manuales!$L$105+parametros_manuales!$G$29*(datos_base!$G$5+datos_base!$G$21+IF(parametros_manuales!$H$29="Todos",datos_base!$G$12+datos_base!$G$26,0))*parametros_manuales!$L$110)*parametros_manuales!$I$29*parametros_manuales!$J$29</f>
        <v>11151.11988891</v>
      </c>
      <c r="M147" s="9" t="n">
        <f aca="false">(parametros_manuales!$D$29*(datos_base!$G$2+datos_base!$G$18+IF(parametros_manuales!$H$29="Todos",datos_base!$G$9+datos_base!$G$23,0))*parametros_manuales!$M$95+parametros_manuales!$E$29*(datos_base!$G$3+datos_base!$G$19+IF(parametros_manuales!$H$29="Todos",datos_base!$G$10+datos_base!$G$24,0))*parametros_manuales!$M$100+parametros_manuales!$F$29*(datos_base!$G$4+datos_base!$G$20+IF(parametros_manuales!$H$29="Todos",datos_base!$G$11+datos_base!$G$25,0))*parametros_manuales!$M$105+parametros_manuales!$G$29*(datos_base!$G$5+datos_base!$G$21+IF(parametros_manuales!$H$29="Todos",datos_base!$G$12+datos_base!$G$26,0))*parametros_manuales!$M$110)*parametros_manuales!$I$29*parametros_manuales!$J$29</f>
        <v>11151.11988891</v>
      </c>
      <c r="N147" s="9" t="n">
        <f aca="false">SUM(B147:M147)</f>
        <v>123901.332099</v>
      </c>
      <c r="O147" s="9" t="n">
        <f aca="false">MAX(B147:M147)</f>
        <v>11151.11988891</v>
      </c>
      <c r="P147" s="43" t="n">
        <f aca="false">O147/(parametros_manuales!$B$7)</f>
        <v>74.3407992594</v>
      </c>
      <c r="Q147" s="8" t="str">
        <f aca="false">IF(O147=0,"-",INDEX($B$136:$M$136,MATCH(O147,B147:M147,0)))</f>
        <v>Ene</v>
      </c>
    </row>
    <row r="148" customFormat="false" ht="14.25" hidden="false" customHeight="true" outlineLevel="0" collapsed="false">
      <c r="A148" s="8" t="str">
        <f aca="false">parametros_manuales!$B$30</f>
        <v>Soldadura circunferencial de cúpula y fondo</v>
      </c>
      <c r="B148" s="9" t="n">
        <f aca="false">(parametros_manuales!$D$30*(datos_base!$G$2+datos_base!$G$18+IF(parametros_manuales!$H$30="Todos",datos_base!$G$9+datos_base!$G$23,0))*parametros_manuales!$B$95+parametros_manuales!$E$30*(datos_base!$G$3+datos_base!$G$19+IF(parametros_manuales!$H$30="Todos",datos_base!$G$10+datos_base!$G$24,0))*parametros_manuales!$B$100+parametros_manuales!$F$30*(datos_base!$G$4+datos_base!$G$20+IF(parametros_manuales!$H$30="Todos",datos_base!$G$11+datos_base!$G$25,0))*parametros_manuales!$B$105+parametros_manuales!$G$30*(datos_base!$G$5+datos_base!$G$21+IF(parametros_manuales!$H$30="Todos",datos_base!$G$12+datos_base!$G$26,0))*parametros_manuales!$B$110)*parametros_manuales!$I$30*parametros_manuales!$J$30</f>
        <v>11151.11988891</v>
      </c>
      <c r="C148" s="9" t="n">
        <f aca="false">(parametros_manuales!$D$30*(datos_base!$G$2+datos_base!$G$18+IF(parametros_manuales!$H$30="Todos",datos_base!$G$9+datos_base!$G$23,0))*parametros_manuales!$C$95+parametros_manuales!$E$30*(datos_base!$G$3+datos_base!$G$19+IF(parametros_manuales!$H$30="Todos",datos_base!$G$10+datos_base!$G$24,0))*parametros_manuales!$C$100+parametros_manuales!$F$30*(datos_base!$G$4+datos_base!$G$20+IF(parametros_manuales!$H$30="Todos",datos_base!$G$11+datos_base!$G$25,0))*parametros_manuales!$C$105+parametros_manuales!$G$30*(datos_base!$G$5+datos_base!$G$21+IF(parametros_manuales!$H$30="Todos",datos_base!$G$12+datos_base!$G$26,0))*parametros_manuales!$C$110)*parametros_manuales!$I$30*parametros_manuales!$J$30</f>
        <v>10785.11109862</v>
      </c>
      <c r="D148" s="9" t="n">
        <f aca="false">(parametros_manuales!$D$30*(datos_base!$G$2+datos_base!$G$18+IF(parametros_manuales!$H$30="Todos",datos_base!$G$9+datos_base!$G$23,0))*parametros_manuales!$D$95+parametros_manuales!$E$30*(datos_base!$G$3+datos_base!$G$19+IF(parametros_manuales!$H$30="Todos",datos_base!$G$10+datos_base!$G$24,0))*parametros_manuales!$D$100+parametros_manuales!$F$30*(datos_base!$G$4+datos_base!$G$20+IF(parametros_manuales!$H$30="Todos",datos_base!$G$11+datos_base!$G$25,0))*parametros_manuales!$D$105+parametros_manuales!$G$30*(datos_base!$G$5+datos_base!$G$21+IF(parametros_manuales!$H$30="Todos",datos_base!$G$12+datos_base!$G$26,0))*parametros_manuales!$D$110)*parametros_manuales!$I$30*parametros_manuales!$J$30</f>
        <v>10095.110963065</v>
      </c>
      <c r="E148" s="9" t="n">
        <f aca="false">(parametros_manuales!$D$30*(datos_base!$G$2+datos_base!$G$18+IF(parametros_manuales!$H$30="Todos",datos_base!$G$9+datos_base!$G$23,0))*parametros_manuales!$E$95+parametros_manuales!$E$30*(datos_base!$G$3+datos_base!$G$19+IF(parametros_manuales!$H$30="Todos",datos_base!$G$10+datos_base!$G$24,0))*parametros_manuales!$E$100+parametros_manuales!$F$30*(datos_base!$G$4+datos_base!$G$20+IF(parametros_manuales!$H$30="Todos",datos_base!$G$11+datos_base!$G$25,0))*parametros_manuales!$E$105+parametros_manuales!$G$30*(datos_base!$G$5+datos_base!$G$21+IF(parametros_manuales!$H$30="Todos",datos_base!$G$12+datos_base!$G$26,0))*parametros_manuales!$E$110)*parametros_manuales!$I$30*parametros_manuales!$J$30</f>
        <v>9658.608697715</v>
      </c>
      <c r="F148" s="9" t="n">
        <f aca="false">(parametros_manuales!$D$30*(datos_base!$G$2+datos_base!$G$18+IF(parametros_manuales!$H$30="Todos",datos_base!$G$9+datos_base!$G$23,0))*parametros_manuales!$F$95+parametros_manuales!$E$30*(datos_base!$G$3+datos_base!$G$19+IF(parametros_manuales!$H$30="Todos",datos_base!$G$10+datos_base!$G$24,0))*parametros_manuales!$F$100+parametros_manuales!$F$30*(datos_base!$G$4+datos_base!$G$20+IF(parametros_manuales!$H$30="Todos",datos_base!$G$11+datos_base!$G$25,0))*parametros_manuales!$F$105+parametros_manuales!$G$30*(datos_base!$G$5+datos_base!$G$21+IF(parametros_manuales!$H$30="Todos",datos_base!$G$12+datos_base!$G$26,0))*parametros_manuales!$F$110)*parametros_manuales!$I$30*parametros_manuales!$J$30</f>
        <v>9039.10203722</v>
      </c>
      <c r="G148" s="9" t="n">
        <f aca="false">(parametros_manuales!$D$30*(datos_base!$G$2+datos_base!$G$18+IF(parametros_manuales!$H$30="Todos",datos_base!$G$9+datos_base!$G$23,0))*parametros_manuales!$G$95+parametros_manuales!$E$30*(datos_base!$G$3+datos_base!$G$19+IF(parametros_manuales!$H$30="Todos",datos_base!$G$10+datos_base!$G$24,0))*parametros_manuales!$G$100+parametros_manuales!$F$30*(datos_base!$G$4+datos_base!$G$20+IF(parametros_manuales!$H$30="Todos",datos_base!$G$11+datos_base!$G$25,0))*parametros_manuales!$G$105+parametros_manuales!$G$30*(datos_base!$G$5+datos_base!$G$21+IF(parametros_manuales!$H$30="Todos",datos_base!$G$12+datos_base!$G$26,0))*parametros_manuales!$G$110)*parametros_manuales!$I$30*parametros_manuales!$J$30</f>
        <v>8856.097642075</v>
      </c>
      <c r="H148" s="9" t="n">
        <f aca="false">(parametros_manuales!$D$30*(datos_base!$G$2+datos_base!$G$18+IF(parametros_manuales!$H$30="Todos",datos_base!$G$9+datos_base!$G$23,0))*parametros_manuales!$H$95+parametros_manuales!$E$30*(datos_base!$G$3+datos_base!$G$19+IF(parametros_manuales!$H$30="Todos",datos_base!$G$10+datos_base!$G$24,0))*parametros_manuales!$H$100+parametros_manuales!$F$30*(datos_base!$G$4+datos_base!$G$20+IF(parametros_manuales!$H$30="Todos",datos_base!$G$11+datos_base!$G$25,0))*parametros_manuales!$H$105+parametros_manuales!$G$30*(datos_base!$G$5+datos_base!$G$21+IF(parametros_manuales!$H$30="Todos",datos_base!$G$12+datos_base!$G$26,0))*parametros_manuales!$H$110)*parametros_manuales!$I$30*parametros_manuales!$J$30</f>
        <v>9475.60430257</v>
      </c>
      <c r="I148" s="9" t="n">
        <f aca="false">(parametros_manuales!$D$30*(datos_base!$G$2+datos_base!$G$18+IF(parametros_manuales!$H$30="Todos",datos_base!$G$9+datos_base!$G$23,0))*parametros_manuales!$I$95+parametros_manuales!$E$30*(datos_base!$G$3+datos_base!$G$19+IF(parametros_manuales!$H$30="Todos",datos_base!$G$10+datos_base!$G$24,0))*parametros_manuales!$I$100+parametros_manuales!$F$30*(datos_base!$G$4+datos_base!$G$20+IF(parametros_manuales!$H$30="Todos",datos_base!$G$11+datos_base!$G$25,0))*parametros_manuales!$I$105+parametros_manuales!$G$30*(datos_base!$G$5+datos_base!$G$21+IF(parametros_manuales!$H$30="Todos",datos_base!$G$12+datos_base!$G$26,0))*parametros_manuales!$I$110)*parametros_manuales!$I$30*parametros_manuales!$J$30</f>
        <v>10785.11109862</v>
      </c>
      <c r="J148" s="9" t="n">
        <f aca="false">(parametros_manuales!$D$30*(datos_base!$G$2+datos_base!$G$18+IF(parametros_manuales!$H$30="Todos",datos_base!$G$9+datos_base!$G$23,0))*parametros_manuales!$J$95+parametros_manuales!$E$30*(datos_base!$G$3+datos_base!$G$19+IF(parametros_manuales!$H$30="Todos",datos_base!$G$10+datos_base!$G$24,0))*parametros_manuales!$J$100+parametros_manuales!$F$30*(datos_base!$G$4+datos_base!$G$20+IF(parametros_manuales!$H$30="Todos",datos_base!$G$11+datos_base!$G$25,0))*parametros_manuales!$J$105+parametros_manuales!$G$30*(datos_base!$G$5+datos_base!$G$21+IF(parametros_manuales!$H$30="Todos",datos_base!$G$12+datos_base!$G$26,0))*parametros_manuales!$J$110)*parametros_manuales!$I$30*parametros_manuales!$J$30</f>
        <v>10785.11109862</v>
      </c>
      <c r="K148" s="9" t="n">
        <f aca="false">(parametros_manuales!$D$30*(datos_base!$G$2+datos_base!$G$18+IF(parametros_manuales!$H$30="Todos",datos_base!$G$9+datos_base!$G$23,0))*parametros_manuales!$K$95+parametros_manuales!$E$30*(datos_base!$G$3+datos_base!$G$19+IF(parametros_manuales!$H$30="Todos",datos_base!$G$10+datos_base!$G$24,0))*parametros_manuales!$K$100+parametros_manuales!$F$30*(datos_base!$G$4+datos_base!$G$20+IF(parametros_manuales!$H$30="Todos",datos_base!$G$11+datos_base!$G$25,0))*parametros_manuales!$K$105+parametros_manuales!$G$30*(datos_base!$G$5+datos_base!$G$21+IF(parametros_manuales!$H$30="Todos",datos_base!$G$12+datos_base!$G$26,0))*parametros_manuales!$K$110)*parametros_manuales!$I$30*parametros_manuales!$J$30</f>
        <v>10968.115493765</v>
      </c>
      <c r="L148" s="9" t="n">
        <f aca="false">(parametros_manuales!$D$30*(datos_base!$G$2+datos_base!$G$18+IF(parametros_manuales!$H$30="Todos",datos_base!$G$9+datos_base!$G$23,0))*parametros_manuales!$L$95+parametros_manuales!$E$30*(datos_base!$G$3+datos_base!$G$19+IF(parametros_manuales!$H$30="Todos",datos_base!$G$10+datos_base!$G$24,0))*parametros_manuales!$L$100+parametros_manuales!$F$30*(datos_base!$G$4+datos_base!$G$20+IF(parametros_manuales!$H$30="Todos",datos_base!$G$11+datos_base!$G$25,0))*parametros_manuales!$L$105+parametros_manuales!$G$30*(datos_base!$G$5+datos_base!$G$21+IF(parametros_manuales!$H$30="Todos",datos_base!$G$12+datos_base!$G$26,0))*parametros_manuales!$L$110)*parametros_manuales!$I$30*parametros_manuales!$J$30</f>
        <v>11151.11988891</v>
      </c>
      <c r="M148" s="9" t="n">
        <f aca="false">(parametros_manuales!$D$30*(datos_base!$G$2+datos_base!$G$18+IF(parametros_manuales!$H$30="Todos",datos_base!$G$9+datos_base!$G$23,0))*parametros_manuales!$M$95+parametros_manuales!$E$30*(datos_base!$G$3+datos_base!$G$19+IF(parametros_manuales!$H$30="Todos",datos_base!$G$10+datos_base!$G$24,0))*parametros_manuales!$M$100+parametros_manuales!$F$30*(datos_base!$G$4+datos_base!$G$20+IF(parametros_manuales!$H$30="Todos",datos_base!$G$11+datos_base!$G$25,0))*parametros_manuales!$M$105+parametros_manuales!$G$30*(datos_base!$G$5+datos_base!$G$21+IF(parametros_manuales!$H$30="Todos",datos_base!$G$12+datos_base!$G$26,0))*parametros_manuales!$M$110)*parametros_manuales!$I$30*parametros_manuales!$J$30</f>
        <v>11151.11988891</v>
      </c>
      <c r="N148" s="9" t="n">
        <f aca="false">SUM(B148:M148)</f>
        <v>123901.332099</v>
      </c>
      <c r="O148" s="9" t="n">
        <f aca="false">MAX(B148:M148)</f>
        <v>11151.11988891</v>
      </c>
      <c r="P148" s="43" t="n">
        <f aca="false">O148/(parametros_manuales!$B$7)</f>
        <v>74.3407992594</v>
      </c>
      <c r="Q148" s="8" t="str">
        <f aca="false">IF(O148=0,"-",INDEX($B$136:$M$136,MATCH(O148,B148:M148,0)))</f>
        <v>Ene</v>
      </c>
    </row>
    <row r="149" customFormat="false" ht="14.25" hidden="false" customHeight="true" outlineLevel="0" collapsed="false">
      <c r="A149" s="8" t="str">
        <f aca="false">parametros_manuales!$B$31</f>
        <v>Control de calidad — Espesor</v>
      </c>
      <c r="B149" s="9" t="n">
        <f aca="false">(parametros_manuales!$D$31*(datos_base!$G$2+datos_base!$G$18+IF(parametros_manuales!$H$31="Todos",datos_base!$G$9+datos_base!$G$23,0))*parametros_manuales!$B$95+parametros_manuales!$E$31*(datos_base!$G$3+datos_base!$G$19+IF(parametros_manuales!$H$31="Todos",datos_base!$G$10+datos_base!$G$24,0))*parametros_manuales!$B$100+parametros_manuales!$F$31*(datos_base!$G$4+datos_base!$G$20+IF(parametros_manuales!$H$31="Todos",datos_base!$G$11+datos_base!$G$25,0))*parametros_manuales!$B$105+parametros_manuales!$G$31*(datos_base!$G$5+datos_base!$G$21+IF(parametros_manuales!$H$31="Todos",datos_base!$G$12+datos_base!$G$26,0))*parametros_manuales!$B$110)*parametros_manuales!$I$31*parametros_manuales!$J$31</f>
        <v>223.0223977782</v>
      </c>
      <c r="C149" s="9" t="n">
        <f aca="false">(parametros_manuales!$D$31*(datos_base!$G$2+datos_base!$G$18+IF(parametros_manuales!$H$31="Todos",datos_base!$G$9+datos_base!$G$23,0))*parametros_manuales!$C$95+parametros_manuales!$E$31*(datos_base!$G$3+datos_base!$G$19+IF(parametros_manuales!$H$31="Todos",datos_base!$G$10+datos_base!$G$24,0))*parametros_manuales!$C$100+parametros_manuales!$F$31*(datos_base!$G$4+datos_base!$G$20+IF(parametros_manuales!$H$31="Todos",datos_base!$G$11+datos_base!$G$25,0))*parametros_manuales!$C$105+parametros_manuales!$G$31*(datos_base!$G$5+datos_base!$G$21+IF(parametros_manuales!$H$31="Todos",datos_base!$G$12+datos_base!$G$26,0))*parametros_manuales!$C$110)*parametros_manuales!$I$31*parametros_manuales!$J$31</f>
        <v>215.7022219724</v>
      </c>
      <c r="D149" s="9" t="n">
        <f aca="false">(parametros_manuales!$D$31*(datos_base!$G$2+datos_base!$G$18+IF(parametros_manuales!$H$31="Todos",datos_base!$G$9+datos_base!$G$23,0))*parametros_manuales!$D$95+parametros_manuales!$E$31*(datos_base!$G$3+datos_base!$G$19+IF(parametros_manuales!$H$31="Todos",datos_base!$G$10+datos_base!$G$24,0))*parametros_manuales!$D$100+parametros_manuales!$F$31*(datos_base!$G$4+datos_base!$G$20+IF(parametros_manuales!$H$31="Todos",datos_base!$G$11+datos_base!$G$25,0))*parametros_manuales!$D$105+parametros_manuales!$G$31*(datos_base!$G$5+datos_base!$G$21+IF(parametros_manuales!$H$31="Todos",datos_base!$G$12+datos_base!$G$26,0))*parametros_manuales!$D$110)*parametros_manuales!$I$31*parametros_manuales!$J$31</f>
        <v>201.9022192613</v>
      </c>
      <c r="E149" s="9" t="n">
        <f aca="false">(parametros_manuales!$D$31*(datos_base!$G$2+datos_base!$G$18+IF(parametros_manuales!$H$31="Todos",datos_base!$G$9+datos_base!$G$23,0))*parametros_manuales!$E$95+parametros_manuales!$E$31*(datos_base!$G$3+datos_base!$G$19+IF(parametros_manuales!$H$31="Todos",datos_base!$G$10+datos_base!$G$24,0))*parametros_manuales!$E$100+parametros_manuales!$F$31*(datos_base!$G$4+datos_base!$G$20+IF(parametros_manuales!$H$31="Todos",datos_base!$G$11+datos_base!$G$25,0))*parametros_manuales!$E$105+parametros_manuales!$G$31*(datos_base!$G$5+datos_base!$G$21+IF(parametros_manuales!$H$31="Todos",datos_base!$G$12+datos_base!$G$26,0))*parametros_manuales!$E$110)*parametros_manuales!$I$31*parametros_manuales!$J$31</f>
        <v>193.1721739543</v>
      </c>
      <c r="F149" s="9" t="n">
        <f aca="false">(parametros_manuales!$D$31*(datos_base!$G$2+datos_base!$G$18+IF(parametros_manuales!$H$31="Todos",datos_base!$G$9+datos_base!$G$23,0))*parametros_manuales!$F$95+parametros_manuales!$E$31*(datos_base!$G$3+datos_base!$G$19+IF(parametros_manuales!$H$31="Todos",datos_base!$G$10+datos_base!$G$24,0))*parametros_manuales!$F$100+parametros_manuales!$F$31*(datos_base!$G$4+datos_base!$G$20+IF(parametros_manuales!$H$31="Todos",datos_base!$G$11+datos_base!$G$25,0))*parametros_manuales!$F$105+parametros_manuales!$G$31*(datos_base!$G$5+datos_base!$G$21+IF(parametros_manuales!$H$31="Todos",datos_base!$G$12+datos_base!$G$26,0))*parametros_manuales!$F$110)*parametros_manuales!$I$31*parametros_manuales!$J$31</f>
        <v>180.7820407444</v>
      </c>
      <c r="G149" s="9" t="n">
        <f aca="false">(parametros_manuales!$D$31*(datos_base!$G$2+datos_base!$G$18+IF(parametros_manuales!$H$31="Todos",datos_base!$G$9+datos_base!$G$23,0))*parametros_manuales!$G$95+parametros_manuales!$E$31*(datos_base!$G$3+datos_base!$G$19+IF(parametros_manuales!$H$31="Todos",datos_base!$G$10+datos_base!$G$24,0))*parametros_manuales!$G$100+parametros_manuales!$F$31*(datos_base!$G$4+datos_base!$G$20+IF(parametros_manuales!$H$31="Todos",datos_base!$G$11+datos_base!$G$25,0))*parametros_manuales!$G$105+parametros_manuales!$G$31*(datos_base!$G$5+datos_base!$G$21+IF(parametros_manuales!$H$31="Todos",datos_base!$G$12+datos_base!$G$26,0))*parametros_manuales!$G$110)*parametros_manuales!$I$31*parametros_manuales!$J$31</f>
        <v>177.1219528415</v>
      </c>
      <c r="H149" s="9" t="n">
        <f aca="false">(parametros_manuales!$D$31*(datos_base!$G$2+datos_base!$G$18+IF(parametros_manuales!$H$31="Todos",datos_base!$G$9+datos_base!$G$23,0))*parametros_manuales!$H$95+parametros_manuales!$E$31*(datos_base!$G$3+datos_base!$G$19+IF(parametros_manuales!$H$31="Todos",datos_base!$G$10+datos_base!$G$24,0))*parametros_manuales!$H$100+parametros_manuales!$F$31*(datos_base!$G$4+datos_base!$G$20+IF(parametros_manuales!$H$31="Todos",datos_base!$G$11+datos_base!$G$25,0))*parametros_manuales!$H$105+parametros_manuales!$G$31*(datos_base!$G$5+datos_base!$G$21+IF(parametros_manuales!$H$31="Todos",datos_base!$G$12+datos_base!$G$26,0))*parametros_manuales!$H$110)*parametros_manuales!$I$31*parametros_manuales!$J$31</f>
        <v>189.5120860514</v>
      </c>
      <c r="I149" s="9" t="n">
        <f aca="false">(parametros_manuales!$D$31*(datos_base!$G$2+datos_base!$G$18+IF(parametros_manuales!$H$31="Todos",datos_base!$G$9+datos_base!$G$23,0))*parametros_manuales!$I$95+parametros_manuales!$E$31*(datos_base!$G$3+datos_base!$G$19+IF(parametros_manuales!$H$31="Todos",datos_base!$G$10+datos_base!$G$24,0))*parametros_manuales!$I$100+parametros_manuales!$F$31*(datos_base!$G$4+datos_base!$G$20+IF(parametros_manuales!$H$31="Todos",datos_base!$G$11+datos_base!$G$25,0))*parametros_manuales!$I$105+parametros_manuales!$G$31*(datos_base!$G$5+datos_base!$G$21+IF(parametros_manuales!$H$31="Todos",datos_base!$G$12+datos_base!$G$26,0))*parametros_manuales!$I$110)*parametros_manuales!$I$31*parametros_manuales!$J$31</f>
        <v>215.7022219724</v>
      </c>
      <c r="J149" s="9" t="n">
        <f aca="false">(parametros_manuales!$D$31*(datos_base!$G$2+datos_base!$G$18+IF(parametros_manuales!$H$31="Todos",datos_base!$G$9+datos_base!$G$23,0))*parametros_manuales!$J$95+parametros_manuales!$E$31*(datos_base!$G$3+datos_base!$G$19+IF(parametros_manuales!$H$31="Todos",datos_base!$G$10+datos_base!$G$24,0))*parametros_manuales!$J$100+parametros_manuales!$F$31*(datos_base!$G$4+datos_base!$G$20+IF(parametros_manuales!$H$31="Todos",datos_base!$G$11+datos_base!$G$25,0))*parametros_manuales!$J$105+parametros_manuales!$G$31*(datos_base!$G$5+datos_base!$G$21+IF(parametros_manuales!$H$31="Todos",datos_base!$G$12+datos_base!$G$26,0))*parametros_manuales!$J$110)*parametros_manuales!$I$31*parametros_manuales!$J$31</f>
        <v>215.7022219724</v>
      </c>
      <c r="K149" s="9" t="n">
        <f aca="false">(parametros_manuales!$D$31*(datos_base!$G$2+datos_base!$G$18+IF(parametros_manuales!$H$31="Todos",datos_base!$G$9+datos_base!$G$23,0))*parametros_manuales!$K$95+parametros_manuales!$E$31*(datos_base!$G$3+datos_base!$G$19+IF(parametros_manuales!$H$31="Todos",datos_base!$G$10+datos_base!$G$24,0))*parametros_manuales!$K$100+parametros_manuales!$F$31*(datos_base!$G$4+datos_base!$G$20+IF(parametros_manuales!$H$31="Todos",datos_base!$G$11+datos_base!$G$25,0))*parametros_manuales!$K$105+parametros_manuales!$G$31*(datos_base!$G$5+datos_base!$G$21+IF(parametros_manuales!$H$31="Todos",datos_base!$G$12+datos_base!$G$26,0))*parametros_manuales!$K$110)*parametros_manuales!$I$31*parametros_manuales!$J$31</f>
        <v>219.3623098753</v>
      </c>
      <c r="L149" s="9" t="n">
        <f aca="false">(parametros_manuales!$D$31*(datos_base!$G$2+datos_base!$G$18+IF(parametros_manuales!$H$31="Todos",datos_base!$G$9+datos_base!$G$23,0))*parametros_manuales!$L$95+parametros_manuales!$E$31*(datos_base!$G$3+datos_base!$G$19+IF(parametros_manuales!$H$31="Todos",datos_base!$G$10+datos_base!$G$24,0))*parametros_manuales!$L$100+parametros_manuales!$F$31*(datos_base!$G$4+datos_base!$G$20+IF(parametros_manuales!$H$31="Todos",datos_base!$G$11+datos_base!$G$25,0))*parametros_manuales!$L$105+parametros_manuales!$G$31*(datos_base!$G$5+datos_base!$G$21+IF(parametros_manuales!$H$31="Todos",datos_base!$G$12+datos_base!$G$26,0))*parametros_manuales!$L$110)*parametros_manuales!$I$31*parametros_manuales!$J$31</f>
        <v>223.0223977782</v>
      </c>
      <c r="M149" s="9" t="n">
        <f aca="false">(parametros_manuales!$D$31*(datos_base!$G$2+datos_base!$G$18+IF(parametros_manuales!$H$31="Todos",datos_base!$G$9+datos_base!$G$23,0))*parametros_manuales!$M$95+parametros_manuales!$E$31*(datos_base!$G$3+datos_base!$G$19+IF(parametros_manuales!$H$31="Todos",datos_base!$G$10+datos_base!$G$24,0))*parametros_manuales!$M$100+parametros_manuales!$F$31*(datos_base!$G$4+datos_base!$G$20+IF(parametros_manuales!$H$31="Todos",datos_base!$G$11+datos_base!$G$25,0))*parametros_manuales!$M$105+parametros_manuales!$G$31*(datos_base!$G$5+datos_base!$G$21+IF(parametros_manuales!$H$31="Todos",datos_base!$G$12+datos_base!$G$26,0))*parametros_manuales!$M$110)*parametros_manuales!$I$31*parametros_manuales!$J$31</f>
        <v>223.0223977782</v>
      </c>
      <c r="N149" s="9" t="n">
        <f aca="false">SUM(B149:M149)</f>
        <v>2478.02664198</v>
      </c>
      <c r="O149" s="9" t="n">
        <f aca="false">MAX(B149:M149)</f>
        <v>223.0223977782</v>
      </c>
      <c r="P149" s="43" t="n">
        <f aca="false">O149/(parametros_manuales!$B$7)</f>
        <v>1.486815985188</v>
      </c>
      <c r="Q149" s="8" t="str">
        <f aca="false">IF(O149=0,"-",INDEX($B$136:$M$136,MATCH(O149,B149:M149,0)))</f>
        <v>Ene</v>
      </c>
    </row>
    <row r="150" customFormat="false" ht="14.25" hidden="false" customHeight="true" outlineLevel="0" collapsed="false">
      <c r="A150" s="8" t="str">
        <f aca="false">parametros_manuales!$B$32</f>
        <v>Prueba hidráulica</v>
      </c>
      <c r="B150" s="9" t="n">
        <f aca="false">(parametros_manuales!$D$32*(datos_base!$G$2+datos_base!$G$18+IF(parametros_manuales!$H$32="Todos",datos_base!$G$9+datos_base!$G$23,0))*parametros_manuales!$B$95+parametros_manuales!$E$32*(datos_base!$G$3+datos_base!$G$19+IF(parametros_manuales!$H$32="Todos",datos_base!$G$10+datos_base!$G$24,0))*parametros_manuales!$B$100+parametros_manuales!$F$32*(datos_base!$G$4+datos_base!$G$20+IF(parametros_manuales!$H$32="Todos",datos_base!$G$11+datos_base!$G$25,0))*parametros_manuales!$B$105+parametros_manuales!$G$32*(datos_base!$G$5+datos_base!$G$21+IF(parametros_manuales!$H$32="Todos",datos_base!$G$12+datos_base!$G$26,0))*parametros_manuales!$B$110)*parametros_manuales!$I$32*parametros_manuales!$J$32</f>
        <v>11151.11988891</v>
      </c>
      <c r="C150" s="9" t="n">
        <f aca="false">(parametros_manuales!$D$32*(datos_base!$G$2+datos_base!$G$18+IF(parametros_manuales!$H$32="Todos",datos_base!$G$9+datos_base!$G$23,0))*parametros_manuales!$C$95+parametros_manuales!$E$32*(datos_base!$G$3+datos_base!$G$19+IF(parametros_manuales!$H$32="Todos",datos_base!$G$10+datos_base!$G$24,0))*parametros_manuales!$C$100+parametros_manuales!$F$32*(datos_base!$G$4+datos_base!$G$20+IF(parametros_manuales!$H$32="Todos",datos_base!$G$11+datos_base!$G$25,0))*parametros_manuales!$C$105+parametros_manuales!$G$32*(datos_base!$G$5+datos_base!$G$21+IF(parametros_manuales!$H$32="Todos",datos_base!$G$12+datos_base!$G$26,0))*parametros_manuales!$C$110)*parametros_manuales!$I$32*parametros_manuales!$J$32</f>
        <v>10785.11109862</v>
      </c>
      <c r="D150" s="9" t="n">
        <f aca="false">(parametros_manuales!$D$32*(datos_base!$G$2+datos_base!$G$18+IF(parametros_manuales!$H$32="Todos",datos_base!$G$9+datos_base!$G$23,0))*parametros_manuales!$D$95+parametros_manuales!$E$32*(datos_base!$G$3+datos_base!$G$19+IF(parametros_manuales!$H$32="Todos",datos_base!$G$10+datos_base!$G$24,0))*parametros_manuales!$D$100+parametros_manuales!$F$32*(datos_base!$G$4+datos_base!$G$20+IF(parametros_manuales!$H$32="Todos",datos_base!$G$11+datos_base!$G$25,0))*parametros_manuales!$D$105+parametros_manuales!$G$32*(datos_base!$G$5+datos_base!$G$21+IF(parametros_manuales!$H$32="Todos",datos_base!$G$12+datos_base!$G$26,0))*parametros_manuales!$D$110)*parametros_manuales!$I$32*parametros_manuales!$J$32</f>
        <v>10095.110963065</v>
      </c>
      <c r="E150" s="9" t="n">
        <f aca="false">(parametros_manuales!$D$32*(datos_base!$G$2+datos_base!$G$18+IF(parametros_manuales!$H$32="Todos",datos_base!$G$9+datos_base!$G$23,0))*parametros_manuales!$E$95+parametros_manuales!$E$32*(datos_base!$G$3+datos_base!$G$19+IF(parametros_manuales!$H$32="Todos",datos_base!$G$10+datos_base!$G$24,0))*parametros_manuales!$E$100+parametros_manuales!$F$32*(datos_base!$G$4+datos_base!$G$20+IF(parametros_manuales!$H$32="Todos",datos_base!$G$11+datos_base!$G$25,0))*parametros_manuales!$E$105+parametros_manuales!$G$32*(datos_base!$G$5+datos_base!$G$21+IF(parametros_manuales!$H$32="Todos",datos_base!$G$12+datos_base!$G$26,0))*parametros_manuales!$E$110)*parametros_manuales!$I$32*parametros_manuales!$J$32</f>
        <v>9658.608697715</v>
      </c>
      <c r="F150" s="9" t="n">
        <f aca="false">(parametros_manuales!$D$32*(datos_base!$G$2+datos_base!$G$18+IF(parametros_manuales!$H$32="Todos",datos_base!$G$9+datos_base!$G$23,0))*parametros_manuales!$F$95+parametros_manuales!$E$32*(datos_base!$G$3+datos_base!$G$19+IF(parametros_manuales!$H$32="Todos",datos_base!$G$10+datos_base!$G$24,0))*parametros_manuales!$F$100+parametros_manuales!$F$32*(datos_base!$G$4+datos_base!$G$20+IF(parametros_manuales!$H$32="Todos",datos_base!$G$11+datos_base!$G$25,0))*parametros_manuales!$F$105+parametros_manuales!$G$32*(datos_base!$G$5+datos_base!$G$21+IF(parametros_manuales!$H$32="Todos",datos_base!$G$12+datos_base!$G$26,0))*parametros_manuales!$F$110)*parametros_manuales!$I$32*parametros_manuales!$J$32</f>
        <v>9039.10203722</v>
      </c>
      <c r="G150" s="9" t="n">
        <f aca="false">(parametros_manuales!$D$32*(datos_base!$G$2+datos_base!$G$18+IF(parametros_manuales!$H$32="Todos",datos_base!$G$9+datos_base!$G$23,0))*parametros_manuales!$G$95+parametros_manuales!$E$32*(datos_base!$G$3+datos_base!$G$19+IF(parametros_manuales!$H$32="Todos",datos_base!$G$10+datos_base!$G$24,0))*parametros_manuales!$G$100+parametros_manuales!$F$32*(datos_base!$G$4+datos_base!$G$20+IF(parametros_manuales!$H$32="Todos",datos_base!$G$11+datos_base!$G$25,0))*parametros_manuales!$G$105+parametros_manuales!$G$32*(datos_base!$G$5+datos_base!$G$21+IF(parametros_manuales!$H$32="Todos",datos_base!$G$12+datos_base!$G$26,0))*parametros_manuales!$G$110)*parametros_manuales!$I$32*parametros_manuales!$J$32</f>
        <v>8856.097642075</v>
      </c>
      <c r="H150" s="9" t="n">
        <f aca="false">(parametros_manuales!$D$32*(datos_base!$G$2+datos_base!$G$18+IF(parametros_manuales!$H$32="Todos",datos_base!$G$9+datos_base!$G$23,0))*parametros_manuales!$H$95+parametros_manuales!$E$32*(datos_base!$G$3+datos_base!$G$19+IF(parametros_manuales!$H$32="Todos",datos_base!$G$10+datos_base!$G$24,0))*parametros_manuales!$H$100+parametros_manuales!$F$32*(datos_base!$G$4+datos_base!$G$20+IF(parametros_manuales!$H$32="Todos",datos_base!$G$11+datos_base!$G$25,0))*parametros_manuales!$H$105+parametros_manuales!$G$32*(datos_base!$G$5+datos_base!$G$21+IF(parametros_manuales!$H$32="Todos",datos_base!$G$12+datos_base!$G$26,0))*parametros_manuales!$H$110)*parametros_manuales!$I$32*parametros_manuales!$J$32</f>
        <v>9475.60430257</v>
      </c>
      <c r="I150" s="9" t="n">
        <f aca="false">(parametros_manuales!$D$32*(datos_base!$G$2+datos_base!$G$18+IF(parametros_manuales!$H$32="Todos",datos_base!$G$9+datos_base!$G$23,0))*parametros_manuales!$I$95+parametros_manuales!$E$32*(datos_base!$G$3+datos_base!$G$19+IF(parametros_manuales!$H$32="Todos",datos_base!$G$10+datos_base!$G$24,0))*parametros_manuales!$I$100+parametros_manuales!$F$32*(datos_base!$G$4+datos_base!$G$20+IF(parametros_manuales!$H$32="Todos",datos_base!$G$11+datos_base!$G$25,0))*parametros_manuales!$I$105+parametros_manuales!$G$32*(datos_base!$G$5+datos_base!$G$21+IF(parametros_manuales!$H$32="Todos",datos_base!$G$12+datos_base!$G$26,0))*parametros_manuales!$I$110)*parametros_manuales!$I$32*parametros_manuales!$J$32</f>
        <v>10785.11109862</v>
      </c>
      <c r="J150" s="9" t="n">
        <f aca="false">(parametros_manuales!$D$32*(datos_base!$G$2+datos_base!$G$18+IF(parametros_manuales!$H$32="Todos",datos_base!$G$9+datos_base!$G$23,0))*parametros_manuales!$J$95+parametros_manuales!$E$32*(datos_base!$G$3+datos_base!$G$19+IF(parametros_manuales!$H$32="Todos",datos_base!$G$10+datos_base!$G$24,0))*parametros_manuales!$J$100+parametros_manuales!$F$32*(datos_base!$G$4+datos_base!$G$20+IF(parametros_manuales!$H$32="Todos",datos_base!$G$11+datos_base!$G$25,0))*parametros_manuales!$J$105+parametros_manuales!$G$32*(datos_base!$G$5+datos_base!$G$21+IF(parametros_manuales!$H$32="Todos",datos_base!$G$12+datos_base!$G$26,0))*parametros_manuales!$J$110)*parametros_manuales!$I$32*parametros_manuales!$J$32</f>
        <v>10785.11109862</v>
      </c>
      <c r="K150" s="9" t="n">
        <f aca="false">(parametros_manuales!$D$32*(datos_base!$G$2+datos_base!$G$18+IF(parametros_manuales!$H$32="Todos",datos_base!$G$9+datos_base!$G$23,0))*parametros_manuales!$K$95+parametros_manuales!$E$32*(datos_base!$G$3+datos_base!$G$19+IF(parametros_manuales!$H$32="Todos",datos_base!$G$10+datos_base!$G$24,0))*parametros_manuales!$K$100+parametros_manuales!$F$32*(datos_base!$G$4+datos_base!$G$20+IF(parametros_manuales!$H$32="Todos",datos_base!$G$11+datos_base!$G$25,0))*parametros_manuales!$K$105+parametros_manuales!$G$32*(datos_base!$G$5+datos_base!$G$21+IF(parametros_manuales!$H$32="Todos",datos_base!$G$12+datos_base!$G$26,0))*parametros_manuales!$K$110)*parametros_manuales!$I$32*parametros_manuales!$J$32</f>
        <v>10968.115493765</v>
      </c>
      <c r="L150" s="9" t="n">
        <f aca="false">(parametros_manuales!$D$32*(datos_base!$G$2+datos_base!$G$18+IF(parametros_manuales!$H$32="Todos",datos_base!$G$9+datos_base!$G$23,0))*parametros_manuales!$L$95+parametros_manuales!$E$32*(datos_base!$G$3+datos_base!$G$19+IF(parametros_manuales!$H$32="Todos",datos_base!$G$10+datos_base!$G$24,0))*parametros_manuales!$L$100+parametros_manuales!$F$32*(datos_base!$G$4+datos_base!$G$20+IF(parametros_manuales!$H$32="Todos",datos_base!$G$11+datos_base!$G$25,0))*parametros_manuales!$L$105+parametros_manuales!$G$32*(datos_base!$G$5+datos_base!$G$21+IF(parametros_manuales!$H$32="Todos",datos_base!$G$12+datos_base!$G$26,0))*parametros_manuales!$L$110)*parametros_manuales!$I$32*parametros_manuales!$J$32</f>
        <v>11151.11988891</v>
      </c>
      <c r="M150" s="9" t="n">
        <f aca="false">(parametros_manuales!$D$32*(datos_base!$G$2+datos_base!$G$18+IF(parametros_manuales!$H$32="Todos",datos_base!$G$9+datos_base!$G$23,0))*parametros_manuales!$M$95+parametros_manuales!$E$32*(datos_base!$G$3+datos_base!$G$19+IF(parametros_manuales!$H$32="Todos",datos_base!$G$10+datos_base!$G$24,0))*parametros_manuales!$M$100+parametros_manuales!$F$32*(datos_base!$G$4+datos_base!$G$20+IF(parametros_manuales!$H$32="Todos",datos_base!$G$11+datos_base!$G$25,0))*parametros_manuales!$M$105+parametros_manuales!$G$32*(datos_base!$G$5+datos_base!$G$21+IF(parametros_manuales!$H$32="Todos",datos_base!$G$12+datos_base!$G$26,0))*parametros_manuales!$M$110)*parametros_manuales!$I$32*parametros_manuales!$J$32</f>
        <v>11151.11988891</v>
      </c>
      <c r="N150" s="9" t="n">
        <f aca="false">SUM(B150:M150)</f>
        <v>123901.332099</v>
      </c>
      <c r="O150" s="9" t="n">
        <f aca="false">MAX(B150:M150)</f>
        <v>11151.11988891</v>
      </c>
      <c r="P150" s="43" t="n">
        <f aca="false">O150/(parametros_manuales!$B$7)</f>
        <v>74.3407992594</v>
      </c>
      <c r="Q150" s="8" t="str">
        <f aca="false">IF(O150=0,"-",INDEX($B$136:$M$136,MATCH(O150,B150:M150,0)))</f>
        <v>Ene</v>
      </c>
    </row>
    <row r="151" customFormat="false" ht="14.25" hidden="false" customHeight="true" outlineLevel="0" collapsed="false">
      <c r="A151" s="8" t="str">
        <f aca="false">parametros_manuales!$B$33</f>
        <v>Secado</v>
      </c>
      <c r="B151" s="9" t="n">
        <f aca="false">(parametros_manuales!$D$33*(datos_base!$G$2+datos_base!$G$18+IF(parametros_manuales!$H$33="Todos",datos_base!$G$9+datos_base!$G$23,0))*parametros_manuales!$B$95+parametros_manuales!$E$33*(datos_base!$G$3+datos_base!$G$19+IF(parametros_manuales!$H$33="Todos",datos_base!$G$10+datos_base!$G$24,0))*parametros_manuales!$B$100+parametros_manuales!$F$33*(datos_base!$G$4+datos_base!$G$20+IF(parametros_manuales!$H$33="Todos",datos_base!$G$11+datos_base!$G$25,0))*parametros_manuales!$B$105+parametros_manuales!$G$33*(datos_base!$G$5+datos_base!$G$21+IF(parametros_manuales!$H$33="Todos",datos_base!$G$12+datos_base!$G$26,0))*parametros_manuales!$B$110)*parametros_manuales!$I$33*parametros_manuales!$J$33</f>
        <v>11151.11988891</v>
      </c>
      <c r="C151" s="9" t="n">
        <f aca="false">(parametros_manuales!$D$33*(datos_base!$G$2+datos_base!$G$18+IF(parametros_manuales!$H$33="Todos",datos_base!$G$9+datos_base!$G$23,0))*parametros_manuales!$C$95+parametros_manuales!$E$33*(datos_base!$G$3+datos_base!$G$19+IF(parametros_manuales!$H$33="Todos",datos_base!$G$10+datos_base!$G$24,0))*parametros_manuales!$C$100+parametros_manuales!$F$33*(datos_base!$G$4+datos_base!$G$20+IF(parametros_manuales!$H$33="Todos",datos_base!$G$11+datos_base!$G$25,0))*parametros_manuales!$C$105+parametros_manuales!$G$33*(datos_base!$G$5+datos_base!$G$21+IF(parametros_manuales!$H$33="Todos",datos_base!$G$12+datos_base!$G$26,0))*parametros_manuales!$C$110)*parametros_manuales!$I$33*parametros_manuales!$J$33</f>
        <v>10785.11109862</v>
      </c>
      <c r="D151" s="9" t="n">
        <f aca="false">(parametros_manuales!$D$33*(datos_base!$G$2+datos_base!$G$18+IF(parametros_manuales!$H$33="Todos",datos_base!$G$9+datos_base!$G$23,0))*parametros_manuales!$D$95+parametros_manuales!$E$33*(datos_base!$G$3+datos_base!$G$19+IF(parametros_manuales!$H$33="Todos",datos_base!$G$10+datos_base!$G$24,0))*parametros_manuales!$D$100+parametros_manuales!$F$33*(datos_base!$G$4+datos_base!$G$20+IF(parametros_manuales!$H$33="Todos",datos_base!$G$11+datos_base!$G$25,0))*parametros_manuales!$D$105+parametros_manuales!$G$33*(datos_base!$G$5+datos_base!$G$21+IF(parametros_manuales!$H$33="Todos",datos_base!$G$12+datos_base!$G$26,0))*parametros_manuales!$D$110)*parametros_manuales!$I$33*parametros_manuales!$J$33</f>
        <v>10095.110963065</v>
      </c>
      <c r="E151" s="9" t="n">
        <f aca="false">(parametros_manuales!$D$33*(datos_base!$G$2+datos_base!$G$18+IF(parametros_manuales!$H$33="Todos",datos_base!$G$9+datos_base!$G$23,0))*parametros_manuales!$E$95+parametros_manuales!$E$33*(datos_base!$G$3+datos_base!$G$19+IF(parametros_manuales!$H$33="Todos",datos_base!$G$10+datos_base!$G$24,0))*parametros_manuales!$E$100+parametros_manuales!$F$33*(datos_base!$G$4+datos_base!$G$20+IF(parametros_manuales!$H$33="Todos",datos_base!$G$11+datos_base!$G$25,0))*parametros_manuales!$E$105+parametros_manuales!$G$33*(datos_base!$G$5+datos_base!$G$21+IF(parametros_manuales!$H$33="Todos",datos_base!$G$12+datos_base!$G$26,0))*parametros_manuales!$E$110)*parametros_manuales!$I$33*parametros_manuales!$J$33</f>
        <v>9658.608697715</v>
      </c>
      <c r="F151" s="9" t="n">
        <f aca="false">(parametros_manuales!$D$33*(datos_base!$G$2+datos_base!$G$18+IF(parametros_manuales!$H$33="Todos",datos_base!$G$9+datos_base!$G$23,0))*parametros_manuales!$F$95+parametros_manuales!$E$33*(datos_base!$G$3+datos_base!$G$19+IF(parametros_manuales!$H$33="Todos",datos_base!$G$10+datos_base!$G$24,0))*parametros_manuales!$F$100+parametros_manuales!$F$33*(datos_base!$G$4+datos_base!$G$20+IF(parametros_manuales!$H$33="Todos",datos_base!$G$11+datos_base!$G$25,0))*parametros_manuales!$F$105+parametros_manuales!$G$33*(datos_base!$G$5+datos_base!$G$21+IF(parametros_manuales!$H$33="Todos",datos_base!$G$12+datos_base!$G$26,0))*parametros_manuales!$F$110)*parametros_manuales!$I$33*parametros_manuales!$J$33</f>
        <v>9039.10203722</v>
      </c>
      <c r="G151" s="9" t="n">
        <f aca="false">(parametros_manuales!$D$33*(datos_base!$G$2+datos_base!$G$18+IF(parametros_manuales!$H$33="Todos",datos_base!$G$9+datos_base!$G$23,0))*parametros_manuales!$G$95+parametros_manuales!$E$33*(datos_base!$G$3+datos_base!$G$19+IF(parametros_manuales!$H$33="Todos",datos_base!$G$10+datos_base!$G$24,0))*parametros_manuales!$G$100+parametros_manuales!$F$33*(datos_base!$G$4+datos_base!$G$20+IF(parametros_manuales!$H$33="Todos",datos_base!$G$11+datos_base!$G$25,0))*parametros_manuales!$G$105+parametros_manuales!$G$33*(datos_base!$G$5+datos_base!$G$21+IF(parametros_manuales!$H$33="Todos",datos_base!$G$12+datos_base!$G$26,0))*parametros_manuales!$G$110)*parametros_manuales!$I$33*parametros_manuales!$J$33</f>
        <v>8856.097642075</v>
      </c>
      <c r="H151" s="9" t="n">
        <f aca="false">(parametros_manuales!$D$33*(datos_base!$G$2+datos_base!$G$18+IF(parametros_manuales!$H$33="Todos",datos_base!$G$9+datos_base!$G$23,0))*parametros_manuales!$H$95+parametros_manuales!$E$33*(datos_base!$G$3+datos_base!$G$19+IF(parametros_manuales!$H$33="Todos",datos_base!$G$10+datos_base!$G$24,0))*parametros_manuales!$H$100+parametros_manuales!$F$33*(datos_base!$G$4+datos_base!$G$20+IF(parametros_manuales!$H$33="Todos",datos_base!$G$11+datos_base!$G$25,0))*parametros_manuales!$H$105+parametros_manuales!$G$33*(datos_base!$G$5+datos_base!$G$21+IF(parametros_manuales!$H$33="Todos",datos_base!$G$12+datos_base!$G$26,0))*parametros_manuales!$H$110)*parametros_manuales!$I$33*parametros_manuales!$J$33</f>
        <v>9475.60430257</v>
      </c>
      <c r="I151" s="9" t="n">
        <f aca="false">(parametros_manuales!$D$33*(datos_base!$G$2+datos_base!$G$18+IF(parametros_manuales!$H$33="Todos",datos_base!$G$9+datos_base!$G$23,0))*parametros_manuales!$I$95+parametros_manuales!$E$33*(datos_base!$G$3+datos_base!$G$19+IF(parametros_manuales!$H$33="Todos",datos_base!$G$10+datos_base!$G$24,0))*parametros_manuales!$I$100+parametros_manuales!$F$33*(datos_base!$G$4+datos_base!$G$20+IF(parametros_manuales!$H$33="Todos",datos_base!$G$11+datos_base!$G$25,0))*parametros_manuales!$I$105+parametros_manuales!$G$33*(datos_base!$G$5+datos_base!$G$21+IF(parametros_manuales!$H$33="Todos",datos_base!$G$12+datos_base!$G$26,0))*parametros_manuales!$I$110)*parametros_manuales!$I$33*parametros_manuales!$J$33</f>
        <v>10785.11109862</v>
      </c>
      <c r="J151" s="9" t="n">
        <f aca="false">(parametros_manuales!$D$33*(datos_base!$G$2+datos_base!$G$18+IF(parametros_manuales!$H$33="Todos",datos_base!$G$9+datos_base!$G$23,0))*parametros_manuales!$J$95+parametros_manuales!$E$33*(datos_base!$G$3+datos_base!$G$19+IF(parametros_manuales!$H$33="Todos",datos_base!$G$10+datos_base!$G$24,0))*parametros_manuales!$J$100+parametros_manuales!$F$33*(datos_base!$G$4+datos_base!$G$20+IF(parametros_manuales!$H$33="Todos",datos_base!$G$11+datos_base!$G$25,0))*parametros_manuales!$J$105+parametros_manuales!$G$33*(datos_base!$G$5+datos_base!$G$21+IF(parametros_manuales!$H$33="Todos",datos_base!$G$12+datos_base!$G$26,0))*parametros_manuales!$J$110)*parametros_manuales!$I$33*parametros_manuales!$J$33</f>
        <v>10785.11109862</v>
      </c>
      <c r="K151" s="9" t="n">
        <f aca="false">(parametros_manuales!$D$33*(datos_base!$G$2+datos_base!$G$18+IF(parametros_manuales!$H$33="Todos",datos_base!$G$9+datos_base!$G$23,0))*parametros_manuales!$K$95+parametros_manuales!$E$33*(datos_base!$G$3+datos_base!$G$19+IF(parametros_manuales!$H$33="Todos",datos_base!$G$10+datos_base!$G$24,0))*parametros_manuales!$K$100+parametros_manuales!$F$33*(datos_base!$G$4+datos_base!$G$20+IF(parametros_manuales!$H$33="Todos",datos_base!$G$11+datos_base!$G$25,0))*parametros_manuales!$K$105+parametros_manuales!$G$33*(datos_base!$G$5+datos_base!$G$21+IF(parametros_manuales!$H$33="Todos",datos_base!$G$12+datos_base!$G$26,0))*parametros_manuales!$K$110)*parametros_manuales!$I$33*parametros_manuales!$J$33</f>
        <v>10968.115493765</v>
      </c>
      <c r="L151" s="9" t="n">
        <f aca="false">(parametros_manuales!$D$33*(datos_base!$G$2+datos_base!$G$18+IF(parametros_manuales!$H$33="Todos",datos_base!$G$9+datos_base!$G$23,0))*parametros_manuales!$L$95+parametros_manuales!$E$33*(datos_base!$G$3+datos_base!$G$19+IF(parametros_manuales!$H$33="Todos",datos_base!$G$10+datos_base!$G$24,0))*parametros_manuales!$L$100+parametros_manuales!$F$33*(datos_base!$G$4+datos_base!$G$20+IF(parametros_manuales!$H$33="Todos",datos_base!$G$11+datos_base!$G$25,0))*parametros_manuales!$L$105+parametros_manuales!$G$33*(datos_base!$G$5+datos_base!$G$21+IF(parametros_manuales!$H$33="Todos",datos_base!$G$12+datos_base!$G$26,0))*parametros_manuales!$L$110)*parametros_manuales!$I$33*parametros_manuales!$J$33</f>
        <v>11151.11988891</v>
      </c>
      <c r="M151" s="9" t="n">
        <f aca="false">(parametros_manuales!$D$33*(datos_base!$G$2+datos_base!$G$18+IF(parametros_manuales!$H$33="Todos",datos_base!$G$9+datos_base!$G$23,0))*parametros_manuales!$M$95+parametros_manuales!$E$33*(datos_base!$G$3+datos_base!$G$19+IF(parametros_manuales!$H$33="Todos",datos_base!$G$10+datos_base!$G$24,0))*parametros_manuales!$M$100+parametros_manuales!$F$33*(datos_base!$G$4+datos_base!$G$20+IF(parametros_manuales!$H$33="Todos",datos_base!$G$11+datos_base!$G$25,0))*parametros_manuales!$M$105+parametros_manuales!$G$33*(datos_base!$G$5+datos_base!$G$21+IF(parametros_manuales!$H$33="Todos",datos_base!$G$12+datos_base!$G$26,0))*parametros_manuales!$M$110)*parametros_manuales!$I$33*parametros_manuales!$J$33</f>
        <v>11151.11988891</v>
      </c>
      <c r="N151" s="9" t="n">
        <f aca="false">SUM(B151:M151)</f>
        <v>123901.332099</v>
      </c>
      <c r="O151" s="9" t="n">
        <f aca="false">MAX(B151:M151)</f>
        <v>11151.11988891</v>
      </c>
      <c r="P151" s="43" t="n">
        <f aca="false">O151/(parametros_manuales!$B$7)</f>
        <v>74.3407992594</v>
      </c>
      <c r="Q151" s="8" t="str">
        <f aca="false">IF(O151=0,"-",INDEX($B$136:$M$136,MATCH(O151,B151:M151,0)))</f>
        <v>Ene</v>
      </c>
    </row>
    <row r="152" customFormat="false" ht="14.25" hidden="false" customHeight="true" outlineLevel="0" collapsed="false">
      <c r="A152" s="8" t="str">
        <f aca="false">parametros_manuales!$B$34</f>
        <v>Granallado</v>
      </c>
      <c r="B152" s="9" t="n">
        <f aca="false">(parametros_manuales!$D$34*(datos_base!$G$2+datos_base!$G$18+IF(parametros_manuales!$H$34="Todos",datos_base!$G$9+datos_base!$G$23,0))*parametros_manuales!$B$95+parametros_manuales!$E$34*(datos_base!$G$3+datos_base!$G$19+IF(parametros_manuales!$H$34="Todos",datos_base!$G$10+datos_base!$G$24,0))*parametros_manuales!$B$100+parametros_manuales!$F$34*(datos_base!$G$4+datos_base!$G$20+IF(parametros_manuales!$H$34="Todos",datos_base!$G$11+datos_base!$G$25,0))*parametros_manuales!$B$105+parametros_manuales!$G$34*(datos_base!$G$5+datos_base!$G$21+IF(parametros_manuales!$H$34="Todos",datos_base!$G$12+datos_base!$G$26,0))*parametros_manuales!$B$110)*parametros_manuales!$I$34*parametros_manuales!$J$34</f>
        <v>11151.11988891</v>
      </c>
      <c r="C152" s="9" t="n">
        <f aca="false">(parametros_manuales!$D$34*(datos_base!$G$2+datos_base!$G$18+IF(parametros_manuales!$H$34="Todos",datos_base!$G$9+datos_base!$G$23,0))*parametros_manuales!$C$95+parametros_manuales!$E$34*(datos_base!$G$3+datos_base!$G$19+IF(parametros_manuales!$H$34="Todos",datos_base!$G$10+datos_base!$G$24,0))*parametros_manuales!$C$100+parametros_manuales!$F$34*(datos_base!$G$4+datos_base!$G$20+IF(parametros_manuales!$H$34="Todos",datos_base!$G$11+datos_base!$G$25,0))*parametros_manuales!$C$105+parametros_manuales!$G$34*(datos_base!$G$5+datos_base!$G$21+IF(parametros_manuales!$H$34="Todos",datos_base!$G$12+datos_base!$G$26,0))*parametros_manuales!$C$110)*parametros_manuales!$I$34*parametros_manuales!$J$34</f>
        <v>10785.11109862</v>
      </c>
      <c r="D152" s="9" t="n">
        <f aca="false">(parametros_manuales!$D$34*(datos_base!$G$2+datos_base!$G$18+IF(parametros_manuales!$H$34="Todos",datos_base!$G$9+datos_base!$G$23,0))*parametros_manuales!$D$95+parametros_manuales!$E$34*(datos_base!$G$3+datos_base!$G$19+IF(parametros_manuales!$H$34="Todos",datos_base!$G$10+datos_base!$G$24,0))*parametros_manuales!$D$100+parametros_manuales!$F$34*(datos_base!$G$4+datos_base!$G$20+IF(parametros_manuales!$H$34="Todos",datos_base!$G$11+datos_base!$G$25,0))*parametros_manuales!$D$105+parametros_manuales!$G$34*(datos_base!$G$5+datos_base!$G$21+IF(parametros_manuales!$H$34="Todos",datos_base!$G$12+datos_base!$G$26,0))*parametros_manuales!$D$110)*parametros_manuales!$I$34*parametros_manuales!$J$34</f>
        <v>10095.110963065</v>
      </c>
      <c r="E152" s="9" t="n">
        <f aca="false">(parametros_manuales!$D$34*(datos_base!$G$2+datos_base!$G$18+IF(parametros_manuales!$H$34="Todos",datos_base!$G$9+datos_base!$G$23,0))*parametros_manuales!$E$95+parametros_manuales!$E$34*(datos_base!$G$3+datos_base!$G$19+IF(parametros_manuales!$H$34="Todos",datos_base!$G$10+datos_base!$G$24,0))*parametros_manuales!$E$100+parametros_manuales!$F$34*(datos_base!$G$4+datos_base!$G$20+IF(parametros_manuales!$H$34="Todos",datos_base!$G$11+datos_base!$G$25,0))*parametros_manuales!$E$105+parametros_manuales!$G$34*(datos_base!$G$5+datos_base!$G$21+IF(parametros_manuales!$H$34="Todos",datos_base!$G$12+datos_base!$G$26,0))*parametros_manuales!$E$110)*parametros_manuales!$I$34*parametros_manuales!$J$34</f>
        <v>9658.608697715</v>
      </c>
      <c r="F152" s="9" t="n">
        <f aca="false">(parametros_manuales!$D$34*(datos_base!$G$2+datos_base!$G$18+IF(parametros_manuales!$H$34="Todos",datos_base!$G$9+datos_base!$G$23,0))*parametros_manuales!$F$95+parametros_manuales!$E$34*(datos_base!$G$3+datos_base!$G$19+IF(parametros_manuales!$H$34="Todos",datos_base!$G$10+datos_base!$G$24,0))*parametros_manuales!$F$100+parametros_manuales!$F$34*(datos_base!$G$4+datos_base!$G$20+IF(parametros_manuales!$H$34="Todos",datos_base!$G$11+datos_base!$G$25,0))*parametros_manuales!$F$105+parametros_manuales!$G$34*(datos_base!$G$5+datos_base!$G$21+IF(parametros_manuales!$H$34="Todos",datos_base!$G$12+datos_base!$G$26,0))*parametros_manuales!$F$110)*parametros_manuales!$I$34*parametros_manuales!$J$34</f>
        <v>9039.10203722</v>
      </c>
      <c r="G152" s="9" t="n">
        <f aca="false">(parametros_manuales!$D$34*(datos_base!$G$2+datos_base!$G$18+IF(parametros_manuales!$H$34="Todos",datos_base!$G$9+datos_base!$G$23,0))*parametros_manuales!$G$95+parametros_manuales!$E$34*(datos_base!$G$3+datos_base!$G$19+IF(parametros_manuales!$H$34="Todos",datos_base!$G$10+datos_base!$G$24,0))*parametros_manuales!$G$100+parametros_manuales!$F$34*(datos_base!$G$4+datos_base!$G$20+IF(parametros_manuales!$H$34="Todos",datos_base!$G$11+datos_base!$G$25,0))*parametros_manuales!$G$105+parametros_manuales!$G$34*(datos_base!$G$5+datos_base!$G$21+IF(parametros_manuales!$H$34="Todos",datos_base!$G$12+datos_base!$G$26,0))*parametros_manuales!$G$110)*parametros_manuales!$I$34*parametros_manuales!$J$34</f>
        <v>8856.097642075</v>
      </c>
      <c r="H152" s="9" t="n">
        <f aca="false">(parametros_manuales!$D$34*(datos_base!$G$2+datos_base!$G$18+IF(parametros_manuales!$H$34="Todos",datos_base!$G$9+datos_base!$G$23,0))*parametros_manuales!$H$95+parametros_manuales!$E$34*(datos_base!$G$3+datos_base!$G$19+IF(parametros_manuales!$H$34="Todos",datos_base!$G$10+datos_base!$G$24,0))*parametros_manuales!$H$100+parametros_manuales!$F$34*(datos_base!$G$4+datos_base!$G$20+IF(parametros_manuales!$H$34="Todos",datos_base!$G$11+datos_base!$G$25,0))*parametros_manuales!$H$105+parametros_manuales!$G$34*(datos_base!$G$5+datos_base!$G$21+IF(parametros_manuales!$H$34="Todos",datos_base!$G$12+datos_base!$G$26,0))*parametros_manuales!$H$110)*parametros_manuales!$I$34*parametros_manuales!$J$34</f>
        <v>9475.60430257</v>
      </c>
      <c r="I152" s="9" t="n">
        <f aca="false">(parametros_manuales!$D$34*(datos_base!$G$2+datos_base!$G$18+IF(parametros_manuales!$H$34="Todos",datos_base!$G$9+datos_base!$G$23,0))*parametros_manuales!$I$95+parametros_manuales!$E$34*(datos_base!$G$3+datos_base!$G$19+IF(parametros_manuales!$H$34="Todos",datos_base!$G$10+datos_base!$G$24,0))*parametros_manuales!$I$100+parametros_manuales!$F$34*(datos_base!$G$4+datos_base!$G$20+IF(parametros_manuales!$H$34="Todos",datos_base!$G$11+datos_base!$G$25,0))*parametros_manuales!$I$105+parametros_manuales!$G$34*(datos_base!$G$5+datos_base!$G$21+IF(parametros_manuales!$H$34="Todos",datos_base!$G$12+datos_base!$G$26,0))*parametros_manuales!$I$110)*parametros_manuales!$I$34*parametros_manuales!$J$34</f>
        <v>10785.11109862</v>
      </c>
      <c r="J152" s="9" t="n">
        <f aca="false">(parametros_manuales!$D$34*(datos_base!$G$2+datos_base!$G$18+IF(parametros_manuales!$H$34="Todos",datos_base!$G$9+datos_base!$G$23,0))*parametros_manuales!$J$95+parametros_manuales!$E$34*(datos_base!$G$3+datos_base!$G$19+IF(parametros_manuales!$H$34="Todos",datos_base!$G$10+datos_base!$G$24,0))*parametros_manuales!$J$100+parametros_manuales!$F$34*(datos_base!$G$4+datos_base!$G$20+IF(parametros_manuales!$H$34="Todos",datos_base!$G$11+datos_base!$G$25,0))*parametros_manuales!$J$105+parametros_manuales!$G$34*(datos_base!$G$5+datos_base!$G$21+IF(parametros_manuales!$H$34="Todos",datos_base!$G$12+datos_base!$G$26,0))*parametros_manuales!$J$110)*parametros_manuales!$I$34*parametros_manuales!$J$34</f>
        <v>10785.11109862</v>
      </c>
      <c r="K152" s="9" t="n">
        <f aca="false">(parametros_manuales!$D$34*(datos_base!$G$2+datos_base!$G$18+IF(parametros_manuales!$H$34="Todos",datos_base!$G$9+datos_base!$G$23,0))*parametros_manuales!$K$95+parametros_manuales!$E$34*(datos_base!$G$3+datos_base!$G$19+IF(parametros_manuales!$H$34="Todos",datos_base!$G$10+datos_base!$G$24,0))*parametros_manuales!$K$100+parametros_manuales!$F$34*(datos_base!$G$4+datos_base!$G$20+IF(parametros_manuales!$H$34="Todos",datos_base!$G$11+datos_base!$G$25,0))*parametros_manuales!$K$105+parametros_manuales!$G$34*(datos_base!$G$5+datos_base!$G$21+IF(parametros_manuales!$H$34="Todos",datos_base!$G$12+datos_base!$G$26,0))*parametros_manuales!$K$110)*parametros_manuales!$I$34*parametros_manuales!$J$34</f>
        <v>10968.115493765</v>
      </c>
      <c r="L152" s="9" t="n">
        <f aca="false">(parametros_manuales!$D$34*(datos_base!$G$2+datos_base!$G$18+IF(parametros_manuales!$H$34="Todos",datos_base!$G$9+datos_base!$G$23,0))*parametros_manuales!$L$95+parametros_manuales!$E$34*(datos_base!$G$3+datos_base!$G$19+IF(parametros_manuales!$H$34="Todos",datos_base!$G$10+datos_base!$G$24,0))*parametros_manuales!$L$100+parametros_manuales!$F$34*(datos_base!$G$4+datos_base!$G$20+IF(parametros_manuales!$H$34="Todos",datos_base!$G$11+datos_base!$G$25,0))*parametros_manuales!$L$105+parametros_manuales!$G$34*(datos_base!$G$5+datos_base!$G$21+IF(parametros_manuales!$H$34="Todos",datos_base!$G$12+datos_base!$G$26,0))*parametros_manuales!$L$110)*parametros_manuales!$I$34*parametros_manuales!$J$34</f>
        <v>11151.11988891</v>
      </c>
      <c r="M152" s="9" t="n">
        <f aca="false">(parametros_manuales!$D$34*(datos_base!$G$2+datos_base!$G$18+IF(parametros_manuales!$H$34="Todos",datos_base!$G$9+datos_base!$G$23,0))*parametros_manuales!$M$95+parametros_manuales!$E$34*(datos_base!$G$3+datos_base!$G$19+IF(parametros_manuales!$H$34="Todos",datos_base!$G$10+datos_base!$G$24,0))*parametros_manuales!$M$100+parametros_manuales!$F$34*(datos_base!$G$4+datos_base!$G$20+IF(parametros_manuales!$H$34="Todos",datos_base!$G$11+datos_base!$G$25,0))*parametros_manuales!$M$105+parametros_manuales!$G$34*(datos_base!$G$5+datos_base!$G$21+IF(parametros_manuales!$H$34="Todos",datos_base!$G$12+datos_base!$G$26,0))*parametros_manuales!$M$110)*parametros_manuales!$I$34*parametros_manuales!$J$34</f>
        <v>11151.11988891</v>
      </c>
      <c r="N152" s="9" t="n">
        <f aca="false">SUM(B152:M152)</f>
        <v>123901.332099</v>
      </c>
      <c r="O152" s="9" t="n">
        <f aca="false">MAX(B152:M152)</f>
        <v>11151.11988891</v>
      </c>
      <c r="P152" s="43" t="n">
        <f aca="false">O152/(parametros_manuales!$B$7)</f>
        <v>74.3407992594</v>
      </c>
      <c r="Q152" s="8" t="str">
        <f aca="false">IF(O152=0,"-",INDEX($B$136:$M$136,MATCH(O152,B152:M152,0)))</f>
        <v>Ene</v>
      </c>
    </row>
    <row r="153" customFormat="false" ht="14.25" hidden="false" customHeight="true" outlineLevel="0" collapsed="false">
      <c r="A153" s="8" t="str">
        <f aca="false">parametros_manuales!$B$35</f>
        <v>Detección de defectos</v>
      </c>
      <c r="B153" s="9" t="n">
        <f aca="false">(parametros_manuales!$D$35*(datos_base!$G$2+datos_base!$G$18+IF(parametros_manuales!$H$35="Todos",datos_base!$G$9+datos_base!$G$23,0))*parametros_manuales!$B$95+parametros_manuales!$E$35*(datos_base!$G$3+datos_base!$G$19+IF(parametros_manuales!$H$35="Todos",datos_base!$G$10+datos_base!$G$24,0))*parametros_manuales!$B$100+parametros_manuales!$F$35*(datos_base!$G$4+datos_base!$G$20+IF(parametros_manuales!$H$35="Todos",datos_base!$G$11+datos_base!$G$25,0))*parametros_manuales!$B$105+parametros_manuales!$G$35*(datos_base!$G$5+datos_base!$G$21+IF(parametros_manuales!$H$35="Todos",datos_base!$G$12+datos_base!$G$26,0))*parametros_manuales!$B$110)*parametros_manuales!$I$35*parametros_manuales!$J$35</f>
        <v>11151.11988891</v>
      </c>
      <c r="C153" s="9" t="n">
        <f aca="false">(parametros_manuales!$D$35*(datos_base!$G$2+datos_base!$G$18+IF(parametros_manuales!$H$35="Todos",datos_base!$G$9+datos_base!$G$23,0))*parametros_manuales!$C$95+parametros_manuales!$E$35*(datos_base!$G$3+datos_base!$G$19+IF(parametros_manuales!$H$35="Todos",datos_base!$G$10+datos_base!$G$24,0))*parametros_manuales!$C$100+parametros_manuales!$F$35*(datos_base!$G$4+datos_base!$G$20+IF(parametros_manuales!$H$35="Todos",datos_base!$G$11+datos_base!$G$25,0))*parametros_manuales!$C$105+parametros_manuales!$G$35*(datos_base!$G$5+datos_base!$G$21+IF(parametros_manuales!$H$35="Todos",datos_base!$G$12+datos_base!$G$26,0))*parametros_manuales!$C$110)*parametros_manuales!$I$35*parametros_manuales!$J$35</f>
        <v>10785.11109862</v>
      </c>
      <c r="D153" s="9" t="n">
        <f aca="false">(parametros_manuales!$D$35*(datos_base!$G$2+datos_base!$G$18+IF(parametros_manuales!$H$35="Todos",datos_base!$G$9+datos_base!$G$23,0))*parametros_manuales!$D$95+parametros_manuales!$E$35*(datos_base!$G$3+datos_base!$G$19+IF(parametros_manuales!$H$35="Todos",datos_base!$G$10+datos_base!$G$24,0))*parametros_manuales!$D$100+parametros_manuales!$F$35*(datos_base!$G$4+datos_base!$G$20+IF(parametros_manuales!$H$35="Todos",datos_base!$G$11+datos_base!$G$25,0))*parametros_manuales!$D$105+parametros_manuales!$G$35*(datos_base!$G$5+datos_base!$G$21+IF(parametros_manuales!$H$35="Todos",datos_base!$G$12+datos_base!$G$26,0))*parametros_manuales!$D$110)*parametros_manuales!$I$35*parametros_manuales!$J$35</f>
        <v>10095.110963065</v>
      </c>
      <c r="E153" s="9" t="n">
        <f aca="false">(parametros_manuales!$D$35*(datos_base!$G$2+datos_base!$G$18+IF(parametros_manuales!$H$35="Todos",datos_base!$G$9+datos_base!$G$23,0))*parametros_manuales!$E$95+parametros_manuales!$E$35*(datos_base!$G$3+datos_base!$G$19+IF(parametros_manuales!$H$35="Todos",datos_base!$G$10+datos_base!$G$24,0))*parametros_manuales!$E$100+parametros_manuales!$F$35*(datos_base!$G$4+datos_base!$G$20+IF(parametros_manuales!$H$35="Todos",datos_base!$G$11+datos_base!$G$25,0))*parametros_manuales!$E$105+parametros_manuales!$G$35*(datos_base!$G$5+datos_base!$G$21+IF(parametros_manuales!$H$35="Todos",datos_base!$G$12+datos_base!$G$26,0))*parametros_manuales!$E$110)*parametros_manuales!$I$35*parametros_manuales!$J$35</f>
        <v>9658.608697715</v>
      </c>
      <c r="F153" s="9" t="n">
        <f aca="false">(parametros_manuales!$D$35*(datos_base!$G$2+datos_base!$G$18+IF(parametros_manuales!$H$35="Todos",datos_base!$G$9+datos_base!$G$23,0))*parametros_manuales!$F$95+parametros_manuales!$E$35*(datos_base!$G$3+datos_base!$G$19+IF(parametros_manuales!$H$35="Todos",datos_base!$G$10+datos_base!$G$24,0))*parametros_manuales!$F$100+parametros_manuales!$F$35*(datos_base!$G$4+datos_base!$G$20+IF(parametros_manuales!$H$35="Todos",datos_base!$G$11+datos_base!$G$25,0))*parametros_manuales!$F$105+parametros_manuales!$G$35*(datos_base!$G$5+datos_base!$G$21+IF(parametros_manuales!$H$35="Todos",datos_base!$G$12+datos_base!$G$26,0))*parametros_manuales!$F$110)*parametros_manuales!$I$35*parametros_manuales!$J$35</f>
        <v>9039.10203722</v>
      </c>
      <c r="G153" s="9" t="n">
        <f aca="false">(parametros_manuales!$D$35*(datos_base!$G$2+datos_base!$G$18+IF(parametros_manuales!$H$35="Todos",datos_base!$G$9+datos_base!$G$23,0))*parametros_manuales!$G$95+parametros_manuales!$E$35*(datos_base!$G$3+datos_base!$G$19+IF(parametros_manuales!$H$35="Todos",datos_base!$G$10+datos_base!$G$24,0))*parametros_manuales!$G$100+parametros_manuales!$F$35*(datos_base!$G$4+datos_base!$G$20+IF(parametros_manuales!$H$35="Todos",datos_base!$G$11+datos_base!$G$25,0))*parametros_manuales!$G$105+parametros_manuales!$G$35*(datos_base!$G$5+datos_base!$G$21+IF(parametros_manuales!$H$35="Todos",datos_base!$G$12+datos_base!$G$26,0))*parametros_manuales!$G$110)*parametros_manuales!$I$35*parametros_manuales!$J$35</f>
        <v>8856.097642075</v>
      </c>
      <c r="H153" s="9" t="n">
        <f aca="false">(parametros_manuales!$D$35*(datos_base!$G$2+datos_base!$G$18+IF(parametros_manuales!$H$35="Todos",datos_base!$G$9+datos_base!$G$23,0))*parametros_manuales!$H$95+parametros_manuales!$E$35*(datos_base!$G$3+datos_base!$G$19+IF(parametros_manuales!$H$35="Todos",datos_base!$G$10+datos_base!$G$24,0))*parametros_manuales!$H$100+parametros_manuales!$F$35*(datos_base!$G$4+datos_base!$G$20+IF(parametros_manuales!$H$35="Todos",datos_base!$G$11+datos_base!$G$25,0))*parametros_manuales!$H$105+parametros_manuales!$G$35*(datos_base!$G$5+datos_base!$G$21+IF(parametros_manuales!$H$35="Todos",datos_base!$G$12+datos_base!$G$26,0))*parametros_manuales!$H$110)*parametros_manuales!$I$35*parametros_manuales!$J$35</f>
        <v>9475.60430257</v>
      </c>
      <c r="I153" s="9" t="n">
        <f aca="false">(parametros_manuales!$D$35*(datos_base!$G$2+datos_base!$G$18+IF(parametros_manuales!$H$35="Todos",datos_base!$G$9+datos_base!$G$23,0))*parametros_manuales!$I$95+parametros_manuales!$E$35*(datos_base!$G$3+datos_base!$G$19+IF(parametros_manuales!$H$35="Todos",datos_base!$G$10+datos_base!$G$24,0))*parametros_manuales!$I$100+parametros_manuales!$F$35*(datos_base!$G$4+datos_base!$G$20+IF(parametros_manuales!$H$35="Todos",datos_base!$G$11+datos_base!$G$25,0))*parametros_manuales!$I$105+parametros_manuales!$G$35*(datos_base!$G$5+datos_base!$G$21+IF(parametros_manuales!$H$35="Todos",datos_base!$G$12+datos_base!$G$26,0))*parametros_manuales!$I$110)*parametros_manuales!$I$35*parametros_manuales!$J$35</f>
        <v>10785.11109862</v>
      </c>
      <c r="J153" s="9" t="n">
        <f aca="false">(parametros_manuales!$D$35*(datos_base!$G$2+datos_base!$G$18+IF(parametros_manuales!$H$35="Todos",datos_base!$G$9+datos_base!$G$23,0))*parametros_manuales!$J$95+parametros_manuales!$E$35*(datos_base!$G$3+datos_base!$G$19+IF(parametros_manuales!$H$35="Todos",datos_base!$G$10+datos_base!$G$24,0))*parametros_manuales!$J$100+parametros_manuales!$F$35*(datos_base!$G$4+datos_base!$G$20+IF(parametros_manuales!$H$35="Todos",datos_base!$G$11+datos_base!$G$25,0))*parametros_manuales!$J$105+parametros_manuales!$G$35*(datos_base!$G$5+datos_base!$G$21+IF(parametros_manuales!$H$35="Todos",datos_base!$G$12+datos_base!$G$26,0))*parametros_manuales!$J$110)*parametros_manuales!$I$35*parametros_manuales!$J$35</f>
        <v>10785.11109862</v>
      </c>
      <c r="K153" s="9" t="n">
        <f aca="false">(parametros_manuales!$D$35*(datos_base!$G$2+datos_base!$G$18+IF(parametros_manuales!$H$35="Todos",datos_base!$G$9+datos_base!$G$23,0))*parametros_manuales!$K$95+parametros_manuales!$E$35*(datos_base!$G$3+datos_base!$G$19+IF(parametros_manuales!$H$35="Todos",datos_base!$G$10+datos_base!$G$24,0))*parametros_manuales!$K$100+parametros_manuales!$F$35*(datos_base!$G$4+datos_base!$G$20+IF(parametros_manuales!$H$35="Todos",datos_base!$G$11+datos_base!$G$25,0))*parametros_manuales!$K$105+parametros_manuales!$G$35*(datos_base!$G$5+datos_base!$G$21+IF(parametros_manuales!$H$35="Todos",datos_base!$G$12+datos_base!$G$26,0))*parametros_manuales!$K$110)*parametros_manuales!$I$35*parametros_manuales!$J$35</f>
        <v>10968.115493765</v>
      </c>
      <c r="L153" s="9" t="n">
        <f aca="false">(parametros_manuales!$D$35*(datos_base!$G$2+datos_base!$G$18+IF(parametros_manuales!$H$35="Todos",datos_base!$G$9+datos_base!$G$23,0))*parametros_manuales!$L$95+parametros_manuales!$E$35*(datos_base!$G$3+datos_base!$G$19+IF(parametros_manuales!$H$35="Todos",datos_base!$G$10+datos_base!$G$24,0))*parametros_manuales!$L$100+parametros_manuales!$F$35*(datos_base!$G$4+datos_base!$G$20+IF(parametros_manuales!$H$35="Todos",datos_base!$G$11+datos_base!$G$25,0))*parametros_manuales!$L$105+parametros_manuales!$G$35*(datos_base!$G$5+datos_base!$G$21+IF(parametros_manuales!$H$35="Todos",datos_base!$G$12+datos_base!$G$26,0))*parametros_manuales!$L$110)*parametros_manuales!$I$35*parametros_manuales!$J$35</f>
        <v>11151.11988891</v>
      </c>
      <c r="M153" s="9" t="n">
        <f aca="false">(parametros_manuales!$D$35*(datos_base!$G$2+datos_base!$G$18+IF(parametros_manuales!$H$35="Todos",datos_base!$G$9+datos_base!$G$23,0))*parametros_manuales!$M$95+parametros_manuales!$E$35*(datos_base!$G$3+datos_base!$G$19+IF(parametros_manuales!$H$35="Todos",datos_base!$G$10+datos_base!$G$24,0))*parametros_manuales!$M$100+parametros_manuales!$F$35*(datos_base!$G$4+datos_base!$G$20+IF(parametros_manuales!$H$35="Todos",datos_base!$G$11+datos_base!$G$25,0))*parametros_manuales!$M$105+parametros_manuales!$G$35*(datos_base!$G$5+datos_base!$G$21+IF(parametros_manuales!$H$35="Todos",datos_base!$G$12+datos_base!$G$26,0))*parametros_manuales!$M$110)*parametros_manuales!$I$35*parametros_manuales!$J$35</f>
        <v>11151.11988891</v>
      </c>
      <c r="N153" s="9" t="n">
        <f aca="false">SUM(B153:M153)</f>
        <v>123901.332099</v>
      </c>
      <c r="O153" s="9" t="n">
        <f aca="false">MAX(B153:M153)</f>
        <v>11151.11988891</v>
      </c>
      <c r="P153" s="43" t="n">
        <f aca="false">O153/(parametros_manuales!$B$7)</f>
        <v>74.3407992594</v>
      </c>
      <c r="Q153" s="8" t="str">
        <f aca="false">IF(O153=0,"-",INDEX($B$136:$M$136,MATCH(O153,B153:M153,0)))</f>
        <v>Ene</v>
      </c>
    </row>
    <row r="154" customFormat="false" ht="14.25" hidden="false" customHeight="true" outlineLevel="0" collapsed="false">
      <c r="A154" s="8" t="str">
        <f aca="false">parametros_manuales!$B$36</f>
        <v>Corrección de defectos</v>
      </c>
      <c r="B154" s="9" t="n">
        <f aca="false">(parametros_manuales!$D$36*(datos_base!$G$2+datos_base!$G$18+IF(parametros_manuales!$H$36="Todos",datos_base!$G$9+datos_base!$G$23,0))*parametros_manuales!$B$95+parametros_manuales!$E$36*(datos_base!$G$3+datos_base!$G$19+IF(parametros_manuales!$H$36="Todos",datos_base!$G$10+datos_base!$G$24,0))*parametros_manuales!$B$100+parametros_manuales!$F$36*(datos_base!$G$4+datos_base!$G$20+IF(parametros_manuales!$H$36="Todos",datos_base!$G$11+datos_base!$G$25,0))*parametros_manuales!$B$105+parametros_manuales!$G$36*(datos_base!$G$5+datos_base!$G$21+IF(parametros_manuales!$H$36="Todos",datos_base!$G$12+datos_base!$G$26,0))*parametros_manuales!$B$110)*parametros_manuales!$I$36*parametros_manuales!$J$36</f>
        <v>557.5559944455</v>
      </c>
      <c r="C154" s="9" t="n">
        <f aca="false">(parametros_manuales!$D$36*(datos_base!$G$2+datos_base!$G$18+IF(parametros_manuales!$H$36="Todos",datos_base!$G$9+datos_base!$G$23,0))*parametros_manuales!$C$95+parametros_manuales!$E$36*(datos_base!$G$3+datos_base!$G$19+IF(parametros_manuales!$H$36="Todos",datos_base!$G$10+datos_base!$G$24,0))*parametros_manuales!$C$100+parametros_manuales!$F$36*(datos_base!$G$4+datos_base!$G$20+IF(parametros_manuales!$H$36="Todos",datos_base!$G$11+datos_base!$G$25,0))*parametros_manuales!$C$105+parametros_manuales!$G$36*(datos_base!$G$5+datos_base!$G$21+IF(parametros_manuales!$H$36="Todos",datos_base!$G$12+datos_base!$G$26,0))*parametros_manuales!$C$110)*parametros_manuales!$I$36*parametros_manuales!$J$36</f>
        <v>539.255554931</v>
      </c>
      <c r="D154" s="9" t="n">
        <f aca="false">(parametros_manuales!$D$36*(datos_base!$G$2+datos_base!$G$18+IF(parametros_manuales!$H$36="Todos",datos_base!$G$9+datos_base!$G$23,0))*parametros_manuales!$D$95+parametros_manuales!$E$36*(datos_base!$G$3+datos_base!$G$19+IF(parametros_manuales!$H$36="Todos",datos_base!$G$10+datos_base!$G$24,0))*parametros_manuales!$D$100+parametros_manuales!$F$36*(datos_base!$G$4+datos_base!$G$20+IF(parametros_manuales!$H$36="Todos",datos_base!$G$11+datos_base!$G$25,0))*parametros_manuales!$D$105+parametros_manuales!$G$36*(datos_base!$G$5+datos_base!$G$21+IF(parametros_manuales!$H$36="Todos",datos_base!$G$12+datos_base!$G$26,0))*parametros_manuales!$D$110)*parametros_manuales!$I$36*parametros_manuales!$J$36</f>
        <v>504.75554815325</v>
      </c>
      <c r="E154" s="9" t="n">
        <f aca="false">(parametros_manuales!$D$36*(datos_base!$G$2+datos_base!$G$18+IF(parametros_manuales!$H$36="Todos",datos_base!$G$9+datos_base!$G$23,0))*parametros_manuales!$E$95+parametros_manuales!$E$36*(datos_base!$G$3+datos_base!$G$19+IF(parametros_manuales!$H$36="Todos",datos_base!$G$10+datos_base!$G$24,0))*parametros_manuales!$E$100+parametros_manuales!$F$36*(datos_base!$G$4+datos_base!$G$20+IF(parametros_manuales!$H$36="Todos",datos_base!$G$11+datos_base!$G$25,0))*parametros_manuales!$E$105+parametros_manuales!$G$36*(datos_base!$G$5+datos_base!$G$21+IF(parametros_manuales!$H$36="Todos",datos_base!$G$12+datos_base!$G$26,0))*parametros_manuales!$E$110)*parametros_manuales!$I$36*parametros_manuales!$J$36</f>
        <v>482.93043488575</v>
      </c>
      <c r="F154" s="9" t="n">
        <f aca="false">(parametros_manuales!$D$36*(datos_base!$G$2+datos_base!$G$18+IF(parametros_manuales!$H$36="Todos",datos_base!$G$9+datos_base!$G$23,0))*parametros_manuales!$F$95+parametros_manuales!$E$36*(datos_base!$G$3+datos_base!$G$19+IF(parametros_manuales!$H$36="Todos",datos_base!$G$10+datos_base!$G$24,0))*parametros_manuales!$F$100+parametros_manuales!$F$36*(datos_base!$G$4+datos_base!$G$20+IF(parametros_manuales!$H$36="Todos",datos_base!$G$11+datos_base!$G$25,0))*parametros_manuales!$F$105+parametros_manuales!$G$36*(datos_base!$G$5+datos_base!$G$21+IF(parametros_manuales!$H$36="Todos",datos_base!$G$12+datos_base!$G$26,0))*parametros_manuales!$F$110)*parametros_manuales!$I$36*parametros_manuales!$J$36</f>
        <v>451.955101861</v>
      </c>
      <c r="G154" s="9" t="n">
        <f aca="false">(parametros_manuales!$D$36*(datos_base!$G$2+datos_base!$G$18+IF(parametros_manuales!$H$36="Todos",datos_base!$G$9+datos_base!$G$23,0))*parametros_manuales!$G$95+parametros_manuales!$E$36*(datos_base!$G$3+datos_base!$G$19+IF(parametros_manuales!$H$36="Todos",datos_base!$G$10+datos_base!$G$24,0))*parametros_manuales!$G$100+parametros_manuales!$F$36*(datos_base!$G$4+datos_base!$G$20+IF(parametros_manuales!$H$36="Todos",datos_base!$G$11+datos_base!$G$25,0))*parametros_manuales!$G$105+parametros_manuales!$G$36*(datos_base!$G$5+datos_base!$G$21+IF(parametros_manuales!$H$36="Todos",datos_base!$G$12+datos_base!$G$26,0))*parametros_manuales!$G$110)*parametros_manuales!$I$36*parametros_manuales!$J$36</f>
        <v>442.80488210375</v>
      </c>
      <c r="H154" s="9" t="n">
        <f aca="false">(parametros_manuales!$D$36*(datos_base!$G$2+datos_base!$G$18+IF(parametros_manuales!$H$36="Todos",datos_base!$G$9+datos_base!$G$23,0))*parametros_manuales!$H$95+parametros_manuales!$E$36*(datos_base!$G$3+datos_base!$G$19+IF(parametros_manuales!$H$36="Todos",datos_base!$G$10+datos_base!$G$24,0))*parametros_manuales!$H$100+parametros_manuales!$F$36*(datos_base!$G$4+datos_base!$G$20+IF(parametros_manuales!$H$36="Todos",datos_base!$G$11+datos_base!$G$25,0))*parametros_manuales!$H$105+parametros_manuales!$G$36*(datos_base!$G$5+datos_base!$G$21+IF(parametros_manuales!$H$36="Todos",datos_base!$G$12+datos_base!$G$26,0))*parametros_manuales!$H$110)*parametros_manuales!$I$36*parametros_manuales!$J$36</f>
        <v>473.7802151285</v>
      </c>
      <c r="I154" s="9" t="n">
        <f aca="false">(parametros_manuales!$D$36*(datos_base!$G$2+datos_base!$G$18+IF(parametros_manuales!$H$36="Todos",datos_base!$G$9+datos_base!$G$23,0))*parametros_manuales!$I$95+parametros_manuales!$E$36*(datos_base!$G$3+datos_base!$G$19+IF(parametros_manuales!$H$36="Todos",datos_base!$G$10+datos_base!$G$24,0))*parametros_manuales!$I$100+parametros_manuales!$F$36*(datos_base!$G$4+datos_base!$G$20+IF(parametros_manuales!$H$36="Todos",datos_base!$G$11+datos_base!$G$25,0))*parametros_manuales!$I$105+parametros_manuales!$G$36*(datos_base!$G$5+datos_base!$G$21+IF(parametros_manuales!$H$36="Todos",datos_base!$G$12+datos_base!$G$26,0))*parametros_manuales!$I$110)*parametros_manuales!$I$36*parametros_manuales!$J$36</f>
        <v>539.255554931</v>
      </c>
      <c r="J154" s="9" t="n">
        <f aca="false">(parametros_manuales!$D$36*(datos_base!$G$2+datos_base!$G$18+IF(parametros_manuales!$H$36="Todos",datos_base!$G$9+datos_base!$G$23,0))*parametros_manuales!$J$95+parametros_manuales!$E$36*(datos_base!$G$3+datos_base!$G$19+IF(parametros_manuales!$H$36="Todos",datos_base!$G$10+datos_base!$G$24,0))*parametros_manuales!$J$100+parametros_manuales!$F$36*(datos_base!$G$4+datos_base!$G$20+IF(parametros_manuales!$H$36="Todos",datos_base!$G$11+datos_base!$G$25,0))*parametros_manuales!$J$105+parametros_manuales!$G$36*(datos_base!$G$5+datos_base!$G$21+IF(parametros_manuales!$H$36="Todos",datos_base!$G$12+datos_base!$G$26,0))*parametros_manuales!$J$110)*parametros_manuales!$I$36*parametros_manuales!$J$36</f>
        <v>539.255554931</v>
      </c>
      <c r="K154" s="9" t="n">
        <f aca="false">(parametros_manuales!$D$36*(datos_base!$G$2+datos_base!$G$18+IF(parametros_manuales!$H$36="Todos",datos_base!$G$9+datos_base!$G$23,0))*parametros_manuales!$K$95+parametros_manuales!$E$36*(datos_base!$G$3+datos_base!$G$19+IF(parametros_manuales!$H$36="Todos",datos_base!$G$10+datos_base!$G$24,0))*parametros_manuales!$K$100+parametros_manuales!$F$36*(datos_base!$G$4+datos_base!$G$20+IF(parametros_manuales!$H$36="Todos",datos_base!$G$11+datos_base!$G$25,0))*parametros_manuales!$K$105+parametros_manuales!$G$36*(datos_base!$G$5+datos_base!$G$21+IF(parametros_manuales!$H$36="Todos",datos_base!$G$12+datos_base!$G$26,0))*parametros_manuales!$K$110)*parametros_manuales!$I$36*parametros_manuales!$J$36</f>
        <v>548.40577468825</v>
      </c>
      <c r="L154" s="9" t="n">
        <f aca="false">(parametros_manuales!$D$36*(datos_base!$G$2+datos_base!$G$18+IF(parametros_manuales!$H$36="Todos",datos_base!$G$9+datos_base!$G$23,0))*parametros_manuales!$L$95+parametros_manuales!$E$36*(datos_base!$G$3+datos_base!$G$19+IF(parametros_manuales!$H$36="Todos",datos_base!$G$10+datos_base!$G$24,0))*parametros_manuales!$L$100+parametros_manuales!$F$36*(datos_base!$G$4+datos_base!$G$20+IF(parametros_manuales!$H$36="Todos",datos_base!$G$11+datos_base!$G$25,0))*parametros_manuales!$L$105+parametros_manuales!$G$36*(datos_base!$G$5+datos_base!$G$21+IF(parametros_manuales!$H$36="Todos",datos_base!$G$12+datos_base!$G$26,0))*parametros_manuales!$L$110)*parametros_manuales!$I$36*parametros_manuales!$J$36</f>
        <v>557.5559944455</v>
      </c>
      <c r="M154" s="9" t="n">
        <f aca="false">(parametros_manuales!$D$36*(datos_base!$G$2+datos_base!$G$18+IF(parametros_manuales!$H$36="Todos",datos_base!$G$9+datos_base!$G$23,0))*parametros_manuales!$M$95+parametros_manuales!$E$36*(datos_base!$G$3+datos_base!$G$19+IF(parametros_manuales!$H$36="Todos",datos_base!$G$10+datos_base!$G$24,0))*parametros_manuales!$M$100+parametros_manuales!$F$36*(datos_base!$G$4+datos_base!$G$20+IF(parametros_manuales!$H$36="Todos",datos_base!$G$11+datos_base!$G$25,0))*parametros_manuales!$M$105+parametros_manuales!$G$36*(datos_base!$G$5+datos_base!$G$21+IF(parametros_manuales!$H$36="Todos",datos_base!$G$12+datos_base!$G$26,0))*parametros_manuales!$M$110)*parametros_manuales!$I$36*parametros_manuales!$J$36</f>
        <v>557.5559944455</v>
      </c>
      <c r="N154" s="9" t="n">
        <f aca="false">SUM(B154:M154)</f>
        <v>6195.06660495</v>
      </c>
      <c r="O154" s="9" t="n">
        <f aca="false">MAX(B154:M154)</f>
        <v>557.5559944455</v>
      </c>
      <c r="P154" s="43" t="n">
        <f aca="false">O154/(parametros_manuales!$B$7)</f>
        <v>3.71703996297</v>
      </c>
      <c r="Q154" s="8" t="str">
        <f aca="false">IF(O154=0,"-",INDEX($B$136:$M$136,MATCH(O154,B154:M154,0)))</f>
        <v>Ene</v>
      </c>
    </row>
    <row r="155" customFormat="false" ht="14.25" hidden="false" customHeight="true" outlineLevel="0" collapsed="false">
      <c r="A155" s="8" t="str">
        <f aca="false">parametros_manuales!$B$37</f>
        <v>Pintura en polvo + horno</v>
      </c>
      <c r="B155" s="9" t="n">
        <f aca="false">(parametros_manuales!$D$37*(datos_base!$G$2+datos_base!$G$18+IF(parametros_manuales!$H$37="Todos",datos_base!$G$9+datos_base!$G$23,0))*parametros_manuales!$B$95+parametros_manuales!$E$37*(datos_base!$G$3+datos_base!$G$19+IF(parametros_manuales!$H$37="Todos",datos_base!$G$10+datos_base!$G$24,0))*parametros_manuales!$B$100+parametros_manuales!$F$37*(datos_base!$G$4+datos_base!$G$20+IF(parametros_manuales!$H$37="Todos",datos_base!$G$11+datos_base!$G$25,0))*parametros_manuales!$B$105+parametros_manuales!$G$37*(datos_base!$G$5+datos_base!$G$21+IF(parametros_manuales!$H$37="Todos",datos_base!$G$12+datos_base!$G$26,0))*parametros_manuales!$B$110)*parametros_manuales!$I$37*parametros_manuales!$J$37</f>
        <v>11151.11988891</v>
      </c>
      <c r="C155" s="9" t="n">
        <f aca="false">(parametros_manuales!$D$37*(datos_base!$G$2+datos_base!$G$18+IF(parametros_manuales!$H$37="Todos",datos_base!$G$9+datos_base!$G$23,0))*parametros_manuales!$C$95+parametros_manuales!$E$37*(datos_base!$G$3+datos_base!$G$19+IF(parametros_manuales!$H$37="Todos",datos_base!$G$10+datos_base!$G$24,0))*parametros_manuales!$C$100+parametros_manuales!$F$37*(datos_base!$G$4+datos_base!$G$20+IF(parametros_manuales!$H$37="Todos",datos_base!$G$11+datos_base!$G$25,0))*parametros_manuales!$C$105+parametros_manuales!$G$37*(datos_base!$G$5+datos_base!$G$21+IF(parametros_manuales!$H$37="Todos",datos_base!$G$12+datos_base!$G$26,0))*parametros_manuales!$C$110)*parametros_manuales!$I$37*parametros_manuales!$J$37</f>
        <v>10785.11109862</v>
      </c>
      <c r="D155" s="9" t="n">
        <f aca="false">(parametros_manuales!$D$37*(datos_base!$G$2+datos_base!$G$18+IF(parametros_manuales!$H$37="Todos",datos_base!$G$9+datos_base!$G$23,0))*parametros_manuales!$D$95+parametros_manuales!$E$37*(datos_base!$G$3+datos_base!$G$19+IF(parametros_manuales!$H$37="Todos",datos_base!$G$10+datos_base!$G$24,0))*parametros_manuales!$D$100+parametros_manuales!$F$37*(datos_base!$G$4+datos_base!$G$20+IF(parametros_manuales!$H$37="Todos",datos_base!$G$11+datos_base!$G$25,0))*parametros_manuales!$D$105+parametros_manuales!$G$37*(datos_base!$G$5+datos_base!$G$21+IF(parametros_manuales!$H$37="Todos",datos_base!$G$12+datos_base!$G$26,0))*parametros_manuales!$D$110)*parametros_manuales!$I$37*parametros_manuales!$J$37</f>
        <v>10095.110963065</v>
      </c>
      <c r="E155" s="9" t="n">
        <f aca="false">(parametros_manuales!$D$37*(datos_base!$G$2+datos_base!$G$18+IF(parametros_manuales!$H$37="Todos",datos_base!$G$9+datos_base!$G$23,0))*parametros_manuales!$E$95+parametros_manuales!$E$37*(datos_base!$G$3+datos_base!$G$19+IF(parametros_manuales!$H$37="Todos",datos_base!$G$10+datos_base!$G$24,0))*parametros_manuales!$E$100+parametros_manuales!$F$37*(datos_base!$G$4+datos_base!$G$20+IF(parametros_manuales!$H$37="Todos",datos_base!$G$11+datos_base!$G$25,0))*parametros_manuales!$E$105+parametros_manuales!$G$37*(datos_base!$G$5+datos_base!$G$21+IF(parametros_manuales!$H$37="Todos",datos_base!$G$12+datos_base!$G$26,0))*parametros_manuales!$E$110)*parametros_manuales!$I$37*parametros_manuales!$J$37</f>
        <v>9658.608697715</v>
      </c>
      <c r="F155" s="9" t="n">
        <f aca="false">(parametros_manuales!$D$37*(datos_base!$G$2+datos_base!$G$18+IF(parametros_manuales!$H$37="Todos",datos_base!$G$9+datos_base!$G$23,0))*parametros_manuales!$F$95+parametros_manuales!$E$37*(datos_base!$G$3+datos_base!$G$19+IF(parametros_manuales!$H$37="Todos",datos_base!$G$10+datos_base!$G$24,0))*parametros_manuales!$F$100+parametros_manuales!$F$37*(datos_base!$G$4+datos_base!$G$20+IF(parametros_manuales!$H$37="Todos",datos_base!$G$11+datos_base!$G$25,0))*parametros_manuales!$F$105+parametros_manuales!$G$37*(datos_base!$G$5+datos_base!$G$21+IF(parametros_manuales!$H$37="Todos",datos_base!$G$12+datos_base!$G$26,0))*parametros_manuales!$F$110)*parametros_manuales!$I$37*parametros_manuales!$J$37</f>
        <v>9039.10203722</v>
      </c>
      <c r="G155" s="9" t="n">
        <f aca="false">(parametros_manuales!$D$37*(datos_base!$G$2+datos_base!$G$18+IF(parametros_manuales!$H$37="Todos",datos_base!$G$9+datos_base!$G$23,0))*parametros_manuales!$G$95+parametros_manuales!$E$37*(datos_base!$G$3+datos_base!$G$19+IF(parametros_manuales!$H$37="Todos",datos_base!$G$10+datos_base!$G$24,0))*parametros_manuales!$G$100+parametros_manuales!$F$37*(datos_base!$G$4+datos_base!$G$20+IF(parametros_manuales!$H$37="Todos",datos_base!$G$11+datos_base!$G$25,0))*parametros_manuales!$G$105+parametros_manuales!$G$37*(datos_base!$G$5+datos_base!$G$21+IF(parametros_manuales!$H$37="Todos",datos_base!$G$12+datos_base!$G$26,0))*parametros_manuales!$G$110)*parametros_manuales!$I$37*parametros_manuales!$J$37</f>
        <v>8856.097642075</v>
      </c>
      <c r="H155" s="9" t="n">
        <f aca="false">(parametros_manuales!$D$37*(datos_base!$G$2+datos_base!$G$18+IF(parametros_manuales!$H$37="Todos",datos_base!$G$9+datos_base!$G$23,0))*parametros_manuales!$H$95+parametros_manuales!$E$37*(datos_base!$G$3+datos_base!$G$19+IF(parametros_manuales!$H$37="Todos",datos_base!$G$10+datos_base!$G$24,0))*parametros_manuales!$H$100+parametros_manuales!$F$37*(datos_base!$G$4+datos_base!$G$20+IF(parametros_manuales!$H$37="Todos",datos_base!$G$11+datos_base!$G$25,0))*parametros_manuales!$H$105+parametros_manuales!$G$37*(datos_base!$G$5+datos_base!$G$21+IF(parametros_manuales!$H$37="Todos",datos_base!$G$12+datos_base!$G$26,0))*parametros_manuales!$H$110)*parametros_manuales!$I$37*parametros_manuales!$J$37</f>
        <v>9475.60430257</v>
      </c>
      <c r="I155" s="9" t="n">
        <f aca="false">(parametros_manuales!$D$37*(datos_base!$G$2+datos_base!$G$18+IF(parametros_manuales!$H$37="Todos",datos_base!$G$9+datos_base!$G$23,0))*parametros_manuales!$I$95+parametros_manuales!$E$37*(datos_base!$G$3+datos_base!$G$19+IF(parametros_manuales!$H$37="Todos",datos_base!$G$10+datos_base!$G$24,0))*parametros_manuales!$I$100+parametros_manuales!$F$37*(datos_base!$G$4+datos_base!$G$20+IF(parametros_manuales!$H$37="Todos",datos_base!$G$11+datos_base!$G$25,0))*parametros_manuales!$I$105+parametros_manuales!$G$37*(datos_base!$G$5+datos_base!$G$21+IF(parametros_manuales!$H$37="Todos",datos_base!$G$12+datos_base!$G$26,0))*parametros_manuales!$I$110)*parametros_manuales!$I$37*parametros_manuales!$J$37</f>
        <v>10785.11109862</v>
      </c>
      <c r="J155" s="9" t="n">
        <f aca="false">(parametros_manuales!$D$37*(datos_base!$G$2+datos_base!$G$18+IF(parametros_manuales!$H$37="Todos",datos_base!$G$9+datos_base!$G$23,0))*parametros_manuales!$J$95+parametros_manuales!$E$37*(datos_base!$G$3+datos_base!$G$19+IF(parametros_manuales!$H$37="Todos",datos_base!$G$10+datos_base!$G$24,0))*parametros_manuales!$J$100+parametros_manuales!$F$37*(datos_base!$G$4+datos_base!$G$20+IF(parametros_manuales!$H$37="Todos",datos_base!$G$11+datos_base!$G$25,0))*parametros_manuales!$J$105+parametros_manuales!$G$37*(datos_base!$G$5+datos_base!$G$21+IF(parametros_manuales!$H$37="Todos",datos_base!$G$12+datos_base!$G$26,0))*parametros_manuales!$J$110)*parametros_manuales!$I$37*parametros_manuales!$J$37</f>
        <v>10785.11109862</v>
      </c>
      <c r="K155" s="9" t="n">
        <f aca="false">(parametros_manuales!$D$37*(datos_base!$G$2+datos_base!$G$18+IF(parametros_manuales!$H$37="Todos",datos_base!$G$9+datos_base!$G$23,0))*parametros_manuales!$K$95+parametros_manuales!$E$37*(datos_base!$G$3+datos_base!$G$19+IF(parametros_manuales!$H$37="Todos",datos_base!$G$10+datos_base!$G$24,0))*parametros_manuales!$K$100+parametros_manuales!$F$37*(datos_base!$G$4+datos_base!$G$20+IF(parametros_manuales!$H$37="Todos",datos_base!$G$11+datos_base!$G$25,0))*parametros_manuales!$K$105+parametros_manuales!$G$37*(datos_base!$G$5+datos_base!$G$21+IF(parametros_manuales!$H$37="Todos",datos_base!$G$12+datos_base!$G$26,0))*parametros_manuales!$K$110)*parametros_manuales!$I$37*parametros_manuales!$J$37</f>
        <v>10968.115493765</v>
      </c>
      <c r="L155" s="9" t="n">
        <f aca="false">(parametros_manuales!$D$37*(datos_base!$G$2+datos_base!$G$18+IF(parametros_manuales!$H$37="Todos",datos_base!$G$9+datos_base!$G$23,0))*parametros_manuales!$L$95+parametros_manuales!$E$37*(datos_base!$G$3+datos_base!$G$19+IF(parametros_manuales!$H$37="Todos",datos_base!$G$10+datos_base!$G$24,0))*parametros_manuales!$L$100+parametros_manuales!$F$37*(datos_base!$G$4+datos_base!$G$20+IF(parametros_manuales!$H$37="Todos",datos_base!$G$11+datos_base!$G$25,0))*parametros_manuales!$L$105+parametros_manuales!$G$37*(datos_base!$G$5+datos_base!$G$21+IF(parametros_manuales!$H$37="Todos",datos_base!$G$12+datos_base!$G$26,0))*parametros_manuales!$L$110)*parametros_manuales!$I$37*parametros_manuales!$J$37</f>
        <v>11151.11988891</v>
      </c>
      <c r="M155" s="9" t="n">
        <f aca="false">(parametros_manuales!$D$37*(datos_base!$G$2+datos_base!$G$18+IF(parametros_manuales!$H$37="Todos",datos_base!$G$9+datos_base!$G$23,0))*parametros_manuales!$M$95+parametros_manuales!$E$37*(datos_base!$G$3+datos_base!$G$19+IF(parametros_manuales!$H$37="Todos",datos_base!$G$10+datos_base!$G$24,0))*parametros_manuales!$M$100+parametros_manuales!$F$37*(datos_base!$G$4+datos_base!$G$20+IF(parametros_manuales!$H$37="Todos",datos_base!$G$11+datos_base!$G$25,0))*parametros_manuales!$M$105+parametros_manuales!$G$37*(datos_base!$G$5+datos_base!$G$21+IF(parametros_manuales!$H$37="Todos",datos_base!$G$12+datos_base!$G$26,0))*parametros_manuales!$M$110)*parametros_manuales!$I$37*parametros_manuales!$J$37</f>
        <v>11151.11988891</v>
      </c>
      <c r="N155" s="9" t="n">
        <f aca="false">SUM(B155:M155)</f>
        <v>123901.332099</v>
      </c>
      <c r="O155" s="9" t="n">
        <f aca="false">MAX(B155:M155)</f>
        <v>11151.11988891</v>
      </c>
      <c r="P155" s="43" t="n">
        <f aca="false">O155/(parametros_manuales!$B$7)</f>
        <v>74.3407992594</v>
      </c>
      <c r="Q155" s="8" t="str">
        <f aca="false">IF(O155=0,"-",INDEX($B$136:$M$136,MATCH(O155,B155:M155,0)))</f>
        <v>Ene</v>
      </c>
    </row>
    <row r="156" customFormat="false" ht="14.25" hidden="false" customHeight="true" outlineLevel="0" collapsed="false">
      <c r="A156" s="8" t="str">
        <f aca="false">parametros_manuales!$B$38</f>
        <v>Carga de polvo</v>
      </c>
      <c r="B156" s="9" t="n">
        <f aca="false">(parametros_manuales!$D$38*(datos_base!$G$2+datos_base!$G$18+IF(parametros_manuales!$H$38="Todos",datos_base!$G$9+datos_base!$G$23,0))*parametros_manuales!$B$95+parametros_manuales!$E$38*(datos_base!$G$3+datos_base!$G$19+IF(parametros_manuales!$H$38="Todos",datos_base!$G$10+datos_base!$G$24,0))*parametros_manuales!$B$100+parametros_manuales!$F$38*(datos_base!$G$4+datos_base!$G$20+IF(parametros_manuales!$H$38="Todos",datos_base!$G$11+datos_base!$G$25,0))*parametros_manuales!$B$105+parametros_manuales!$G$38*(datos_base!$G$5+datos_base!$G$21+IF(parametros_manuales!$H$38="Todos",datos_base!$G$12+datos_base!$G$26,0))*parametros_manuales!$B$110)*parametros_manuales!$I$38*parametros_manuales!$J$38</f>
        <v>3104.17308891</v>
      </c>
      <c r="C156" s="9" t="n">
        <f aca="false">(parametros_manuales!$D$38*(datos_base!$G$2+datos_base!$G$18+IF(parametros_manuales!$H$38="Todos",datos_base!$G$9+datos_base!$G$23,0))*parametros_manuales!$C$95+parametros_manuales!$E$38*(datos_base!$G$3+datos_base!$G$19+IF(parametros_manuales!$H$38="Todos",datos_base!$G$10+datos_base!$G$24,0))*parametros_manuales!$C$100+parametros_manuales!$F$38*(datos_base!$G$4+datos_base!$G$20+IF(parametros_manuales!$H$38="Todos",datos_base!$G$11+datos_base!$G$25,0))*parametros_manuales!$C$105+parametros_manuales!$G$38*(datos_base!$G$5+datos_base!$G$21+IF(parametros_manuales!$H$38="Todos",datos_base!$G$12+datos_base!$G$26,0))*parametros_manuales!$C$110)*parametros_manuales!$I$38*parametros_manuales!$J$38</f>
        <v>2915.46749862</v>
      </c>
      <c r="D156" s="9" t="n">
        <f aca="false">(parametros_manuales!$D$38*(datos_base!$G$2+datos_base!$G$18+IF(parametros_manuales!$H$38="Todos",datos_base!$G$9+datos_base!$G$23,0))*parametros_manuales!$D$95+parametros_manuales!$E$38*(datos_base!$G$3+datos_base!$G$19+IF(parametros_manuales!$H$38="Todos",datos_base!$G$10+datos_base!$G$24,0))*parametros_manuales!$D$100+parametros_manuales!$F$38*(datos_base!$G$4+datos_base!$G$20+IF(parametros_manuales!$H$38="Todos",datos_base!$G$11+datos_base!$G$25,0))*parametros_manuales!$D$105+parametros_manuales!$G$38*(datos_base!$G$5+datos_base!$G$21+IF(parametros_manuales!$H$38="Todos",datos_base!$G$12+datos_base!$G$26,0))*parametros_manuales!$D$110)*parametros_manuales!$I$38*parametros_manuales!$J$38</f>
        <v>2853.617763065</v>
      </c>
      <c r="E156" s="9" t="n">
        <f aca="false">(parametros_manuales!$D$38*(datos_base!$G$2+datos_base!$G$18+IF(parametros_manuales!$H$38="Todos",datos_base!$G$9+datos_base!$G$23,0))*parametros_manuales!$E$95+parametros_manuales!$E$38*(datos_base!$G$3+datos_base!$G$19+IF(parametros_manuales!$H$38="Todos",datos_base!$G$10+datos_base!$G$24,0))*parametros_manuales!$E$100+parametros_manuales!$F$38*(datos_base!$G$4+datos_base!$G$20+IF(parametros_manuales!$H$38="Todos",datos_base!$G$11+datos_base!$G$25,0))*parametros_manuales!$E$105+parametros_manuales!$G$38*(datos_base!$G$5+datos_base!$G$21+IF(parametros_manuales!$H$38="Todos",datos_base!$G$12+datos_base!$G$26,0))*parametros_manuales!$E$110)*parametros_manuales!$I$38*parametros_manuales!$J$38</f>
        <v>2775.516497715</v>
      </c>
      <c r="F156" s="9" t="n">
        <f aca="false">(parametros_manuales!$D$38*(datos_base!$G$2+datos_base!$G$18+IF(parametros_manuales!$H$38="Todos",datos_base!$G$9+datos_base!$G$23,0))*parametros_manuales!$F$95+parametros_manuales!$E$38*(datos_base!$G$3+datos_base!$G$19+IF(parametros_manuales!$H$38="Todos",datos_base!$G$10+datos_base!$G$24,0))*parametros_manuales!$F$100+parametros_manuales!$F$38*(datos_base!$G$4+datos_base!$G$20+IF(parametros_manuales!$H$38="Todos",datos_base!$G$11+datos_base!$G$25,0))*parametros_manuales!$F$105+parametros_manuales!$G$38*(datos_base!$G$5+datos_base!$G$21+IF(parametros_manuales!$H$38="Todos",datos_base!$G$12+datos_base!$G$26,0))*parametros_manuales!$F$110)*parametros_manuales!$I$38*parametros_manuales!$J$38</f>
        <v>2603.06243722</v>
      </c>
      <c r="G156" s="9" t="n">
        <f aca="false">(parametros_manuales!$D$38*(datos_base!$G$2+datos_base!$G$18+IF(parametros_manuales!$H$38="Todos",datos_base!$G$9+datos_base!$G$23,0))*parametros_manuales!$G$95+parametros_manuales!$E$38*(datos_base!$G$3+datos_base!$G$19+IF(parametros_manuales!$H$38="Todos",datos_base!$G$10+datos_base!$G$24,0))*parametros_manuales!$G$100+parametros_manuales!$F$38*(datos_base!$G$4+datos_base!$G$20+IF(parametros_manuales!$H$38="Todos",datos_base!$G$11+datos_base!$G$25,0))*parametros_manuales!$G$105+parametros_manuales!$G$38*(datos_base!$G$5+datos_base!$G$21+IF(parametros_manuales!$H$38="Todos",datos_base!$G$12+datos_base!$G$26,0))*parametros_manuales!$G$110)*parametros_manuales!$I$38*parametros_manuales!$J$38</f>
        <v>2508.709642075</v>
      </c>
      <c r="H156" s="9" t="n">
        <f aca="false">(parametros_manuales!$D$38*(datos_base!$G$2+datos_base!$G$18+IF(parametros_manuales!$H$38="Todos",datos_base!$G$9+datos_base!$G$23,0))*parametros_manuales!$H$95+parametros_manuales!$E$38*(datos_base!$G$3+datos_base!$G$19+IF(parametros_manuales!$H$38="Todos",datos_base!$G$10+datos_base!$G$24,0))*parametros_manuales!$H$100+parametros_manuales!$F$38*(datos_base!$G$4+datos_base!$G$20+IF(parametros_manuales!$H$38="Todos",datos_base!$G$11+datos_base!$G$25,0))*parametros_manuales!$H$105+parametros_manuales!$G$38*(datos_base!$G$5+datos_base!$G$21+IF(parametros_manuales!$H$38="Todos",datos_base!$G$12+datos_base!$G$26,0))*parametros_manuales!$H$110)*parametros_manuales!$I$38*parametros_manuales!$J$38</f>
        <v>2681.16370257</v>
      </c>
      <c r="I156" s="9" t="n">
        <f aca="false">(parametros_manuales!$D$38*(datos_base!$G$2+datos_base!$G$18+IF(parametros_manuales!$H$38="Todos",datos_base!$G$9+datos_base!$G$23,0))*parametros_manuales!$I$95+parametros_manuales!$E$38*(datos_base!$G$3+datos_base!$G$19+IF(parametros_manuales!$H$38="Todos",datos_base!$G$10+datos_base!$G$24,0))*parametros_manuales!$I$100+parametros_manuales!$F$38*(datos_base!$G$4+datos_base!$G$20+IF(parametros_manuales!$H$38="Todos",datos_base!$G$11+datos_base!$G$25,0))*parametros_manuales!$I$105+parametros_manuales!$G$38*(datos_base!$G$5+datos_base!$G$21+IF(parametros_manuales!$H$38="Todos",datos_base!$G$12+datos_base!$G$26,0))*parametros_manuales!$I$110)*parametros_manuales!$I$38*parametros_manuales!$J$38</f>
        <v>2915.46749862</v>
      </c>
      <c r="J156" s="9" t="n">
        <f aca="false">(parametros_manuales!$D$38*(datos_base!$G$2+datos_base!$G$18+IF(parametros_manuales!$H$38="Todos",datos_base!$G$9+datos_base!$G$23,0))*parametros_manuales!$J$95+parametros_manuales!$E$38*(datos_base!$G$3+datos_base!$G$19+IF(parametros_manuales!$H$38="Todos",datos_base!$G$10+datos_base!$G$24,0))*parametros_manuales!$J$100+parametros_manuales!$F$38*(datos_base!$G$4+datos_base!$G$20+IF(parametros_manuales!$H$38="Todos",datos_base!$G$11+datos_base!$G$25,0))*parametros_manuales!$J$105+parametros_manuales!$G$38*(datos_base!$G$5+datos_base!$G$21+IF(parametros_manuales!$H$38="Todos",datos_base!$G$12+datos_base!$G$26,0))*parametros_manuales!$J$110)*parametros_manuales!$I$38*parametros_manuales!$J$38</f>
        <v>2915.46749862</v>
      </c>
      <c r="K156" s="9" t="n">
        <f aca="false">(parametros_manuales!$D$38*(datos_base!$G$2+datos_base!$G$18+IF(parametros_manuales!$H$38="Todos",datos_base!$G$9+datos_base!$G$23,0))*parametros_manuales!$K$95+parametros_manuales!$E$38*(datos_base!$G$3+datos_base!$G$19+IF(parametros_manuales!$H$38="Todos",datos_base!$G$10+datos_base!$G$24,0))*parametros_manuales!$K$100+parametros_manuales!$F$38*(datos_base!$G$4+datos_base!$G$20+IF(parametros_manuales!$H$38="Todos",datos_base!$G$11+datos_base!$G$25,0))*parametros_manuales!$K$105+parametros_manuales!$G$38*(datos_base!$G$5+datos_base!$G$21+IF(parametros_manuales!$H$38="Todos",datos_base!$G$12+datos_base!$G$26,0))*parametros_manuales!$K$110)*parametros_manuales!$I$38*parametros_manuales!$J$38</f>
        <v>3009.820293765</v>
      </c>
      <c r="L156" s="9" t="n">
        <f aca="false">(parametros_manuales!$D$38*(datos_base!$G$2+datos_base!$G$18+IF(parametros_manuales!$H$38="Todos",datos_base!$G$9+datos_base!$G$23,0))*parametros_manuales!$L$95+parametros_manuales!$E$38*(datos_base!$G$3+datos_base!$G$19+IF(parametros_manuales!$H$38="Todos",datos_base!$G$10+datos_base!$G$24,0))*parametros_manuales!$L$100+parametros_manuales!$F$38*(datos_base!$G$4+datos_base!$G$20+IF(parametros_manuales!$H$38="Todos",datos_base!$G$11+datos_base!$G$25,0))*parametros_manuales!$L$105+parametros_manuales!$G$38*(datos_base!$G$5+datos_base!$G$21+IF(parametros_manuales!$H$38="Todos",datos_base!$G$12+datos_base!$G$26,0))*parametros_manuales!$L$110)*parametros_manuales!$I$38*parametros_manuales!$J$38</f>
        <v>3104.17308891</v>
      </c>
      <c r="M156" s="9" t="n">
        <f aca="false">(parametros_manuales!$D$38*(datos_base!$G$2+datos_base!$G$18+IF(parametros_manuales!$H$38="Todos",datos_base!$G$9+datos_base!$G$23,0))*parametros_manuales!$M$95+parametros_manuales!$E$38*(datos_base!$G$3+datos_base!$G$19+IF(parametros_manuales!$H$38="Todos",datos_base!$G$10+datos_base!$G$24,0))*parametros_manuales!$M$100+parametros_manuales!$F$38*(datos_base!$G$4+datos_base!$G$20+IF(parametros_manuales!$H$38="Todos",datos_base!$G$11+datos_base!$G$25,0))*parametros_manuales!$M$105+parametros_manuales!$G$38*(datos_base!$G$5+datos_base!$G$21+IF(parametros_manuales!$H$38="Todos",datos_base!$G$12+datos_base!$G$26,0))*parametros_manuales!$M$110)*parametros_manuales!$I$38*parametros_manuales!$J$38</f>
        <v>3104.17308891</v>
      </c>
      <c r="N156" s="9" t="n">
        <f aca="false">SUM(B156:M156)</f>
        <v>34490.812099</v>
      </c>
      <c r="O156" s="9" t="n">
        <f aca="false">MAX(B156:M156)</f>
        <v>3104.17308891</v>
      </c>
      <c r="P156" s="43" t="n">
        <f aca="false">O156/(parametros_manuales!$B$7)</f>
        <v>20.6944872594</v>
      </c>
      <c r="Q156" s="8" t="str">
        <f aca="false">IF(O156=0,"-",INDEX($B$136:$M$136,MATCH(O156,B156:M156,0)))</f>
        <v>Ene</v>
      </c>
    </row>
    <row r="157" customFormat="false" ht="14.25" hidden="false" customHeight="true" outlineLevel="0" collapsed="false">
      <c r="A157" s="8" t="str">
        <f aca="false">parametros_manuales!$B$39</f>
        <v>Ensamblaje</v>
      </c>
      <c r="B157" s="9" t="n">
        <f aca="false">(parametros_manuales!$D$39*(datos_base!$G$2+datos_base!$G$18+IF(parametros_manuales!$H$39="Todos",datos_base!$G$9+datos_base!$G$23,0))*parametros_manuales!$B$95+parametros_manuales!$E$39*(datos_base!$G$3+datos_base!$G$19+IF(parametros_manuales!$H$39="Todos",datos_base!$G$10+datos_base!$G$24,0))*parametros_manuales!$B$100+parametros_manuales!$F$39*(datos_base!$G$4+datos_base!$G$20+IF(parametros_manuales!$H$39="Todos",datos_base!$G$11+datos_base!$G$25,0))*parametros_manuales!$B$105+parametros_manuales!$G$39*(datos_base!$G$5+datos_base!$G$21+IF(parametros_manuales!$H$39="Todos",datos_base!$G$12+datos_base!$G$26,0))*parametros_manuales!$B$110)*parametros_manuales!$I$39*parametros_manuales!$J$39</f>
        <v>3104.17308891</v>
      </c>
      <c r="C157" s="9" t="n">
        <f aca="false">(parametros_manuales!$D$39*(datos_base!$G$2+datos_base!$G$18+IF(parametros_manuales!$H$39="Todos",datos_base!$G$9+datos_base!$G$23,0))*parametros_manuales!$C$95+parametros_manuales!$E$39*(datos_base!$G$3+datos_base!$G$19+IF(parametros_manuales!$H$39="Todos",datos_base!$G$10+datos_base!$G$24,0))*parametros_manuales!$C$100+parametros_manuales!$F$39*(datos_base!$G$4+datos_base!$G$20+IF(parametros_manuales!$H$39="Todos",datos_base!$G$11+datos_base!$G$25,0))*parametros_manuales!$C$105+parametros_manuales!$G$39*(datos_base!$G$5+datos_base!$G$21+IF(parametros_manuales!$H$39="Todos",datos_base!$G$12+datos_base!$G$26,0))*parametros_manuales!$C$110)*parametros_manuales!$I$39*parametros_manuales!$J$39</f>
        <v>2915.46749862</v>
      </c>
      <c r="D157" s="9" t="n">
        <f aca="false">(parametros_manuales!$D$39*(datos_base!$G$2+datos_base!$G$18+IF(parametros_manuales!$H$39="Todos",datos_base!$G$9+datos_base!$G$23,0))*parametros_manuales!$D$95+parametros_manuales!$E$39*(datos_base!$G$3+datos_base!$G$19+IF(parametros_manuales!$H$39="Todos",datos_base!$G$10+datos_base!$G$24,0))*parametros_manuales!$D$100+parametros_manuales!$F$39*(datos_base!$G$4+datos_base!$G$20+IF(parametros_manuales!$H$39="Todos",datos_base!$G$11+datos_base!$G$25,0))*parametros_manuales!$D$105+parametros_manuales!$G$39*(datos_base!$G$5+datos_base!$G$21+IF(parametros_manuales!$H$39="Todos",datos_base!$G$12+datos_base!$G$26,0))*parametros_manuales!$D$110)*parametros_manuales!$I$39*parametros_manuales!$J$39</f>
        <v>2853.617763065</v>
      </c>
      <c r="E157" s="9" t="n">
        <f aca="false">(parametros_manuales!$D$39*(datos_base!$G$2+datos_base!$G$18+IF(parametros_manuales!$H$39="Todos",datos_base!$G$9+datos_base!$G$23,0))*parametros_manuales!$E$95+parametros_manuales!$E$39*(datos_base!$G$3+datos_base!$G$19+IF(parametros_manuales!$H$39="Todos",datos_base!$G$10+datos_base!$G$24,0))*parametros_manuales!$E$100+parametros_manuales!$F$39*(datos_base!$G$4+datos_base!$G$20+IF(parametros_manuales!$H$39="Todos",datos_base!$G$11+datos_base!$G$25,0))*parametros_manuales!$E$105+parametros_manuales!$G$39*(datos_base!$G$5+datos_base!$G$21+IF(parametros_manuales!$H$39="Todos",datos_base!$G$12+datos_base!$G$26,0))*parametros_manuales!$E$110)*parametros_manuales!$I$39*parametros_manuales!$J$39</f>
        <v>2775.516497715</v>
      </c>
      <c r="F157" s="9" t="n">
        <f aca="false">(parametros_manuales!$D$39*(datos_base!$G$2+datos_base!$G$18+IF(parametros_manuales!$H$39="Todos",datos_base!$G$9+datos_base!$G$23,0))*parametros_manuales!$F$95+parametros_manuales!$E$39*(datos_base!$G$3+datos_base!$G$19+IF(parametros_manuales!$H$39="Todos",datos_base!$G$10+datos_base!$G$24,0))*parametros_manuales!$F$100+parametros_manuales!$F$39*(datos_base!$G$4+datos_base!$G$20+IF(parametros_manuales!$H$39="Todos",datos_base!$G$11+datos_base!$G$25,0))*parametros_manuales!$F$105+parametros_manuales!$G$39*(datos_base!$G$5+datos_base!$G$21+IF(parametros_manuales!$H$39="Todos",datos_base!$G$12+datos_base!$G$26,0))*parametros_manuales!$F$110)*parametros_manuales!$I$39*parametros_manuales!$J$39</f>
        <v>2603.06243722</v>
      </c>
      <c r="G157" s="9" t="n">
        <f aca="false">(parametros_manuales!$D$39*(datos_base!$G$2+datos_base!$G$18+IF(parametros_manuales!$H$39="Todos",datos_base!$G$9+datos_base!$G$23,0))*parametros_manuales!$G$95+parametros_manuales!$E$39*(datos_base!$G$3+datos_base!$G$19+IF(parametros_manuales!$H$39="Todos",datos_base!$G$10+datos_base!$G$24,0))*parametros_manuales!$G$100+parametros_manuales!$F$39*(datos_base!$G$4+datos_base!$G$20+IF(parametros_manuales!$H$39="Todos",datos_base!$G$11+datos_base!$G$25,0))*parametros_manuales!$G$105+parametros_manuales!$G$39*(datos_base!$G$5+datos_base!$G$21+IF(parametros_manuales!$H$39="Todos",datos_base!$G$12+datos_base!$G$26,0))*parametros_manuales!$G$110)*parametros_manuales!$I$39*parametros_manuales!$J$39</f>
        <v>2508.709642075</v>
      </c>
      <c r="H157" s="9" t="n">
        <f aca="false">(parametros_manuales!$D$39*(datos_base!$G$2+datos_base!$G$18+IF(parametros_manuales!$H$39="Todos",datos_base!$G$9+datos_base!$G$23,0))*parametros_manuales!$H$95+parametros_manuales!$E$39*(datos_base!$G$3+datos_base!$G$19+IF(parametros_manuales!$H$39="Todos",datos_base!$G$10+datos_base!$G$24,0))*parametros_manuales!$H$100+parametros_manuales!$F$39*(datos_base!$G$4+datos_base!$G$20+IF(parametros_manuales!$H$39="Todos",datos_base!$G$11+datos_base!$G$25,0))*parametros_manuales!$H$105+parametros_manuales!$G$39*(datos_base!$G$5+datos_base!$G$21+IF(parametros_manuales!$H$39="Todos",datos_base!$G$12+datos_base!$G$26,0))*parametros_manuales!$H$110)*parametros_manuales!$I$39*parametros_manuales!$J$39</f>
        <v>2681.16370257</v>
      </c>
      <c r="I157" s="9" t="n">
        <f aca="false">(parametros_manuales!$D$39*(datos_base!$G$2+datos_base!$G$18+IF(parametros_manuales!$H$39="Todos",datos_base!$G$9+datos_base!$G$23,0))*parametros_manuales!$I$95+parametros_manuales!$E$39*(datos_base!$G$3+datos_base!$G$19+IF(parametros_manuales!$H$39="Todos",datos_base!$G$10+datos_base!$G$24,0))*parametros_manuales!$I$100+parametros_manuales!$F$39*(datos_base!$G$4+datos_base!$G$20+IF(parametros_manuales!$H$39="Todos",datos_base!$G$11+datos_base!$G$25,0))*parametros_manuales!$I$105+parametros_manuales!$G$39*(datos_base!$G$5+datos_base!$G$21+IF(parametros_manuales!$H$39="Todos",datos_base!$G$12+datos_base!$G$26,0))*parametros_manuales!$I$110)*parametros_manuales!$I$39*parametros_manuales!$J$39</f>
        <v>2915.46749862</v>
      </c>
      <c r="J157" s="9" t="n">
        <f aca="false">(parametros_manuales!$D$39*(datos_base!$G$2+datos_base!$G$18+IF(parametros_manuales!$H$39="Todos",datos_base!$G$9+datos_base!$G$23,0))*parametros_manuales!$J$95+parametros_manuales!$E$39*(datos_base!$G$3+datos_base!$G$19+IF(parametros_manuales!$H$39="Todos",datos_base!$G$10+datos_base!$G$24,0))*parametros_manuales!$J$100+parametros_manuales!$F$39*(datos_base!$G$4+datos_base!$G$20+IF(parametros_manuales!$H$39="Todos",datos_base!$G$11+datos_base!$G$25,0))*parametros_manuales!$J$105+parametros_manuales!$G$39*(datos_base!$G$5+datos_base!$G$21+IF(parametros_manuales!$H$39="Todos",datos_base!$G$12+datos_base!$G$26,0))*parametros_manuales!$J$110)*parametros_manuales!$I$39*parametros_manuales!$J$39</f>
        <v>2915.46749862</v>
      </c>
      <c r="K157" s="9" t="n">
        <f aca="false">(parametros_manuales!$D$39*(datos_base!$G$2+datos_base!$G$18+IF(parametros_manuales!$H$39="Todos",datos_base!$G$9+datos_base!$G$23,0))*parametros_manuales!$K$95+parametros_manuales!$E$39*(datos_base!$G$3+datos_base!$G$19+IF(parametros_manuales!$H$39="Todos",datos_base!$G$10+datos_base!$G$24,0))*parametros_manuales!$K$100+parametros_manuales!$F$39*(datos_base!$G$4+datos_base!$G$20+IF(parametros_manuales!$H$39="Todos",datos_base!$G$11+datos_base!$G$25,0))*parametros_manuales!$K$105+parametros_manuales!$G$39*(datos_base!$G$5+datos_base!$G$21+IF(parametros_manuales!$H$39="Todos",datos_base!$G$12+datos_base!$G$26,0))*parametros_manuales!$K$110)*parametros_manuales!$I$39*parametros_manuales!$J$39</f>
        <v>3009.820293765</v>
      </c>
      <c r="L157" s="9" t="n">
        <f aca="false">(parametros_manuales!$D$39*(datos_base!$G$2+datos_base!$G$18+IF(parametros_manuales!$H$39="Todos",datos_base!$G$9+datos_base!$G$23,0))*parametros_manuales!$L$95+parametros_manuales!$E$39*(datos_base!$G$3+datos_base!$G$19+IF(parametros_manuales!$H$39="Todos",datos_base!$G$10+datos_base!$G$24,0))*parametros_manuales!$L$100+parametros_manuales!$F$39*(datos_base!$G$4+datos_base!$G$20+IF(parametros_manuales!$H$39="Todos",datos_base!$G$11+datos_base!$G$25,0))*parametros_manuales!$L$105+parametros_manuales!$G$39*(datos_base!$G$5+datos_base!$G$21+IF(parametros_manuales!$H$39="Todos",datos_base!$G$12+datos_base!$G$26,0))*parametros_manuales!$L$110)*parametros_manuales!$I$39*parametros_manuales!$J$39</f>
        <v>3104.17308891</v>
      </c>
      <c r="M157" s="9" t="n">
        <f aca="false">(parametros_manuales!$D$39*(datos_base!$G$2+datos_base!$G$18+IF(parametros_manuales!$H$39="Todos",datos_base!$G$9+datos_base!$G$23,0))*parametros_manuales!$M$95+parametros_manuales!$E$39*(datos_base!$G$3+datos_base!$G$19+IF(parametros_manuales!$H$39="Todos",datos_base!$G$10+datos_base!$G$24,0))*parametros_manuales!$M$100+parametros_manuales!$F$39*(datos_base!$G$4+datos_base!$G$20+IF(parametros_manuales!$H$39="Todos",datos_base!$G$11+datos_base!$G$25,0))*parametros_manuales!$M$105+parametros_manuales!$G$39*(datos_base!$G$5+datos_base!$G$21+IF(parametros_manuales!$H$39="Todos",datos_base!$G$12+datos_base!$G$26,0))*parametros_manuales!$M$110)*parametros_manuales!$I$39*parametros_manuales!$J$39</f>
        <v>3104.17308891</v>
      </c>
      <c r="N157" s="9" t="n">
        <f aca="false">SUM(B157:M157)</f>
        <v>34490.812099</v>
      </c>
      <c r="O157" s="9" t="n">
        <f aca="false">MAX(B157:M157)</f>
        <v>3104.17308891</v>
      </c>
      <c r="P157" s="43" t="n">
        <f aca="false">O157/(parametros_manuales!$B$7)</f>
        <v>20.6944872594</v>
      </c>
      <c r="Q157" s="8" t="str">
        <f aca="false">IF(O157=0,"-",INDEX($B$136:$M$136,MATCH(O157,B157:M157,0)))</f>
        <v>Ene</v>
      </c>
    </row>
    <row r="158" customFormat="false" ht="14.25" hidden="false" customHeight="true" outlineLevel="0" collapsed="false">
      <c r="A158" s="8" t="str">
        <f aca="false">parametros_manuales!$B$40</f>
        <v>Presurización</v>
      </c>
      <c r="B158" s="9" t="n">
        <f aca="false">(parametros_manuales!$D$40*(datos_base!$G$2+datos_base!$G$18+IF(parametros_manuales!$H$40="Todos",datos_base!$G$9+datos_base!$G$23,0))*parametros_manuales!$B$95+parametros_manuales!$E$40*(datos_base!$G$3+datos_base!$G$19+IF(parametros_manuales!$H$40="Todos",datos_base!$G$10+datos_base!$G$24,0))*parametros_manuales!$B$100+parametros_manuales!$F$40*(datos_base!$G$4+datos_base!$G$20+IF(parametros_manuales!$H$40="Todos",datos_base!$G$11+datos_base!$G$25,0))*parametros_manuales!$B$105+parametros_manuales!$G$40*(datos_base!$G$5+datos_base!$G$21+IF(parametros_manuales!$H$40="Todos",datos_base!$G$12+datos_base!$G$26,0))*parametros_manuales!$B$110)*parametros_manuales!$I$40*parametros_manuales!$J$40</f>
        <v>3104.17308891</v>
      </c>
      <c r="C158" s="9" t="n">
        <f aca="false">(parametros_manuales!$D$40*(datos_base!$G$2+datos_base!$G$18+IF(parametros_manuales!$H$40="Todos",datos_base!$G$9+datos_base!$G$23,0))*parametros_manuales!$C$95+parametros_manuales!$E$40*(datos_base!$G$3+datos_base!$G$19+IF(parametros_manuales!$H$40="Todos",datos_base!$G$10+datos_base!$G$24,0))*parametros_manuales!$C$100+parametros_manuales!$F$40*(datos_base!$G$4+datos_base!$G$20+IF(parametros_manuales!$H$40="Todos",datos_base!$G$11+datos_base!$G$25,0))*parametros_manuales!$C$105+parametros_manuales!$G$40*(datos_base!$G$5+datos_base!$G$21+IF(parametros_manuales!$H$40="Todos",datos_base!$G$12+datos_base!$G$26,0))*parametros_manuales!$C$110)*parametros_manuales!$I$40*parametros_manuales!$J$40</f>
        <v>2915.46749862</v>
      </c>
      <c r="D158" s="9" t="n">
        <f aca="false">(parametros_manuales!$D$40*(datos_base!$G$2+datos_base!$G$18+IF(parametros_manuales!$H$40="Todos",datos_base!$G$9+datos_base!$G$23,0))*parametros_manuales!$D$95+parametros_manuales!$E$40*(datos_base!$G$3+datos_base!$G$19+IF(parametros_manuales!$H$40="Todos",datos_base!$G$10+datos_base!$G$24,0))*parametros_manuales!$D$100+parametros_manuales!$F$40*(datos_base!$G$4+datos_base!$G$20+IF(parametros_manuales!$H$40="Todos",datos_base!$G$11+datos_base!$G$25,0))*parametros_manuales!$D$105+parametros_manuales!$G$40*(datos_base!$G$5+datos_base!$G$21+IF(parametros_manuales!$H$40="Todos",datos_base!$G$12+datos_base!$G$26,0))*parametros_manuales!$D$110)*parametros_manuales!$I$40*parametros_manuales!$J$40</f>
        <v>2853.617763065</v>
      </c>
      <c r="E158" s="9" t="n">
        <f aca="false">(parametros_manuales!$D$40*(datos_base!$G$2+datos_base!$G$18+IF(parametros_manuales!$H$40="Todos",datos_base!$G$9+datos_base!$G$23,0))*parametros_manuales!$E$95+parametros_manuales!$E$40*(datos_base!$G$3+datos_base!$G$19+IF(parametros_manuales!$H$40="Todos",datos_base!$G$10+datos_base!$G$24,0))*parametros_manuales!$E$100+parametros_manuales!$F$40*(datos_base!$G$4+datos_base!$G$20+IF(parametros_manuales!$H$40="Todos",datos_base!$G$11+datos_base!$G$25,0))*parametros_manuales!$E$105+parametros_manuales!$G$40*(datos_base!$G$5+datos_base!$G$21+IF(parametros_manuales!$H$40="Todos",datos_base!$G$12+datos_base!$G$26,0))*parametros_manuales!$E$110)*parametros_manuales!$I$40*parametros_manuales!$J$40</f>
        <v>2775.516497715</v>
      </c>
      <c r="F158" s="9" t="n">
        <f aca="false">(parametros_manuales!$D$40*(datos_base!$G$2+datos_base!$G$18+IF(parametros_manuales!$H$40="Todos",datos_base!$G$9+datos_base!$G$23,0))*parametros_manuales!$F$95+parametros_manuales!$E$40*(datos_base!$G$3+datos_base!$G$19+IF(parametros_manuales!$H$40="Todos",datos_base!$G$10+datos_base!$G$24,0))*parametros_manuales!$F$100+parametros_manuales!$F$40*(datos_base!$G$4+datos_base!$G$20+IF(parametros_manuales!$H$40="Todos",datos_base!$G$11+datos_base!$G$25,0))*parametros_manuales!$F$105+parametros_manuales!$G$40*(datos_base!$G$5+datos_base!$G$21+IF(parametros_manuales!$H$40="Todos",datos_base!$G$12+datos_base!$G$26,0))*parametros_manuales!$F$110)*parametros_manuales!$I$40*parametros_manuales!$J$40</f>
        <v>2603.06243722</v>
      </c>
      <c r="G158" s="9" t="n">
        <f aca="false">(parametros_manuales!$D$40*(datos_base!$G$2+datos_base!$G$18+IF(parametros_manuales!$H$40="Todos",datos_base!$G$9+datos_base!$G$23,0))*parametros_manuales!$G$95+parametros_manuales!$E$40*(datos_base!$G$3+datos_base!$G$19+IF(parametros_manuales!$H$40="Todos",datos_base!$G$10+datos_base!$G$24,0))*parametros_manuales!$G$100+parametros_manuales!$F$40*(datos_base!$G$4+datos_base!$G$20+IF(parametros_manuales!$H$40="Todos",datos_base!$G$11+datos_base!$G$25,0))*parametros_manuales!$G$105+parametros_manuales!$G$40*(datos_base!$G$5+datos_base!$G$21+IF(parametros_manuales!$H$40="Todos",datos_base!$G$12+datos_base!$G$26,0))*parametros_manuales!$G$110)*parametros_manuales!$I$40*parametros_manuales!$J$40</f>
        <v>2508.709642075</v>
      </c>
      <c r="H158" s="9" t="n">
        <f aca="false">(parametros_manuales!$D$40*(datos_base!$G$2+datos_base!$G$18+IF(parametros_manuales!$H$40="Todos",datos_base!$G$9+datos_base!$G$23,0))*parametros_manuales!$H$95+parametros_manuales!$E$40*(datos_base!$G$3+datos_base!$G$19+IF(parametros_manuales!$H$40="Todos",datos_base!$G$10+datos_base!$G$24,0))*parametros_manuales!$H$100+parametros_manuales!$F$40*(datos_base!$G$4+datos_base!$G$20+IF(parametros_manuales!$H$40="Todos",datos_base!$G$11+datos_base!$G$25,0))*parametros_manuales!$H$105+parametros_manuales!$G$40*(datos_base!$G$5+datos_base!$G$21+IF(parametros_manuales!$H$40="Todos",datos_base!$G$12+datos_base!$G$26,0))*parametros_manuales!$H$110)*parametros_manuales!$I$40*parametros_manuales!$J$40</f>
        <v>2681.16370257</v>
      </c>
      <c r="I158" s="9" t="n">
        <f aca="false">(parametros_manuales!$D$40*(datos_base!$G$2+datos_base!$G$18+IF(parametros_manuales!$H$40="Todos",datos_base!$G$9+datos_base!$G$23,0))*parametros_manuales!$I$95+parametros_manuales!$E$40*(datos_base!$G$3+datos_base!$G$19+IF(parametros_manuales!$H$40="Todos",datos_base!$G$10+datos_base!$G$24,0))*parametros_manuales!$I$100+parametros_manuales!$F$40*(datos_base!$G$4+datos_base!$G$20+IF(parametros_manuales!$H$40="Todos",datos_base!$G$11+datos_base!$G$25,0))*parametros_manuales!$I$105+parametros_manuales!$G$40*(datos_base!$G$5+datos_base!$G$21+IF(parametros_manuales!$H$40="Todos",datos_base!$G$12+datos_base!$G$26,0))*parametros_manuales!$I$110)*parametros_manuales!$I$40*parametros_manuales!$J$40</f>
        <v>2915.46749862</v>
      </c>
      <c r="J158" s="9" t="n">
        <f aca="false">(parametros_manuales!$D$40*(datos_base!$G$2+datos_base!$G$18+IF(parametros_manuales!$H$40="Todos",datos_base!$G$9+datos_base!$G$23,0))*parametros_manuales!$J$95+parametros_manuales!$E$40*(datos_base!$G$3+datos_base!$G$19+IF(parametros_manuales!$H$40="Todos",datos_base!$G$10+datos_base!$G$24,0))*parametros_manuales!$J$100+parametros_manuales!$F$40*(datos_base!$G$4+datos_base!$G$20+IF(parametros_manuales!$H$40="Todos",datos_base!$G$11+datos_base!$G$25,0))*parametros_manuales!$J$105+parametros_manuales!$G$40*(datos_base!$G$5+datos_base!$G$21+IF(parametros_manuales!$H$40="Todos",datos_base!$G$12+datos_base!$G$26,0))*parametros_manuales!$J$110)*parametros_manuales!$I$40*parametros_manuales!$J$40</f>
        <v>2915.46749862</v>
      </c>
      <c r="K158" s="9" t="n">
        <f aca="false">(parametros_manuales!$D$40*(datos_base!$G$2+datos_base!$G$18+IF(parametros_manuales!$H$40="Todos",datos_base!$G$9+datos_base!$G$23,0))*parametros_manuales!$K$95+parametros_manuales!$E$40*(datos_base!$G$3+datos_base!$G$19+IF(parametros_manuales!$H$40="Todos",datos_base!$G$10+datos_base!$G$24,0))*parametros_manuales!$K$100+parametros_manuales!$F$40*(datos_base!$G$4+datos_base!$G$20+IF(parametros_manuales!$H$40="Todos",datos_base!$G$11+datos_base!$G$25,0))*parametros_manuales!$K$105+parametros_manuales!$G$40*(datos_base!$G$5+datos_base!$G$21+IF(parametros_manuales!$H$40="Todos",datos_base!$G$12+datos_base!$G$26,0))*parametros_manuales!$K$110)*parametros_manuales!$I$40*parametros_manuales!$J$40</f>
        <v>3009.820293765</v>
      </c>
      <c r="L158" s="9" t="n">
        <f aca="false">(parametros_manuales!$D$40*(datos_base!$G$2+datos_base!$G$18+IF(parametros_manuales!$H$40="Todos",datos_base!$G$9+datos_base!$G$23,0))*parametros_manuales!$L$95+parametros_manuales!$E$40*(datos_base!$G$3+datos_base!$G$19+IF(parametros_manuales!$H$40="Todos",datos_base!$G$10+datos_base!$G$24,0))*parametros_manuales!$L$100+parametros_manuales!$F$40*(datos_base!$G$4+datos_base!$G$20+IF(parametros_manuales!$H$40="Todos",datos_base!$G$11+datos_base!$G$25,0))*parametros_manuales!$L$105+parametros_manuales!$G$40*(datos_base!$G$5+datos_base!$G$21+IF(parametros_manuales!$H$40="Todos",datos_base!$G$12+datos_base!$G$26,0))*parametros_manuales!$L$110)*parametros_manuales!$I$40*parametros_manuales!$J$40</f>
        <v>3104.17308891</v>
      </c>
      <c r="M158" s="9" t="n">
        <f aca="false">(parametros_manuales!$D$40*(datos_base!$G$2+datos_base!$G$18+IF(parametros_manuales!$H$40="Todos",datos_base!$G$9+datos_base!$G$23,0))*parametros_manuales!$M$95+parametros_manuales!$E$40*(datos_base!$G$3+datos_base!$G$19+IF(parametros_manuales!$H$40="Todos",datos_base!$G$10+datos_base!$G$24,0))*parametros_manuales!$M$100+parametros_manuales!$F$40*(datos_base!$G$4+datos_base!$G$20+IF(parametros_manuales!$H$40="Todos",datos_base!$G$11+datos_base!$G$25,0))*parametros_manuales!$M$105+parametros_manuales!$G$40*(datos_base!$G$5+datos_base!$G$21+IF(parametros_manuales!$H$40="Todos",datos_base!$G$12+datos_base!$G$26,0))*parametros_manuales!$M$110)*parametros_manuales!$I$40*parametros_manuales!$J$40</f>
        <v>3104.17308891</v>
      </c>
      <c r="N158" s="9" t="n">
        <f aca="false">SUM(B158:M158)</f>
        <v>34490.812099</v>
      </c>
      <c r="O158" s="9" t="n">
        <f aca="false">MAX(B158:M158)</f>
        <v>3104.17308891</v>
      </c>
      <c r="P158" s="43" t="n">
        <f aca="false">O158/(parametros_manuales!$B$7)</f>
        <v>20.6944872594</v>
      </c>
      <c r="Q158" s="8" t="str">
        <f aca="false">IF(O158=0,"-",INDEX($B$136:$M$136,MATCH(O158,B158:M158,0)))</f>
        <v>Ene</v>
      </c>
    </row>
    <row r="159" customFormat="false" ht="14.25" hidden="false" customHeight="true" outlineLevel="0" collapsed="false">
      <c r="A159" s="8" t="str">
        <f aca="false">parametros_manuales!$B$41</f>
        <v>Control de calidad — Ensayo de pérdidas</v>
      </c>
      <c r="B159" s="9" t="n">
        <f aca="false">(parametros_manuales!$D$41*(datos_base!$G$2+datos_base!$G$18+IF(parametros_manuales!$H$41="Todos",datos_base!$G$9+datos_base!$G$23,0))*parametros_manuales!$B$95+parametros_manuales!$E$41*(datos_base!$G$3+datos_base!$G$19+IF(parametros_manuales!$H$41="Todos",datos_base!$G$10+datos_base!$G$24,0))*parametros_manuales!$B$100+parametros_manuales!$F$41*(datos_base!$G$4+datos_base!$G$20+IF(parametros_manuales!$H$41="Todos",datos_base!$G$11+datos_base!$G$25,0))*parametros_manuales!$B$105+parametros_manuales!$G$41*(datos_base!$G$5+datos_base!$G$21+IF(parametros_manuales!$H$41="Todos",datos_base!$G$12+datos_base!$G$26,0))*parametros_manuales!$B$110)*parametros_manuales!$I$41*parametros_manuales!$J$41</f>
        <v>3104.17308891</v>
      </c>
      <c r="C159" s="9" t="n">
        <f aca="false">(parametros_manuales!$D$41*(datos_base!$G$2+datos_base!$G$18+IF(parametros_manuales!$H$41="Todos",datos_base!$G$9+datos_base!$G$23,0))*parametros_manuales!$C$95+parametros_manuales!$E$41*(datos_base!$G$3+datos_base!$G$19+IF(parametros_manuales!$H$41="Todos",datos_base!$G$10+datos_base!$G$24,0))*parametros_manuales!$C$100+parametros_manuales!$F$41*(datos_base!$G$4+datos_base!$G$20+IF(parametros_manuales!$H$41="Todos",datos_base!$G$11+datos_base!$G$25,0))*parametros_manuales!$C$105+parametros_manuales!$G$41*(datos_base!$G$5+datos_base!$G$21+IF(parametros_manuales!$H$41="Todos",datos_base!$G$12+datos_base!$G$26,0))*parametros_manuales!$C$110)*parametros_manuales!$I$41*parametros_manuales!$J$41</f>
        <v>2915.46749862</v>
      </c>
      <c r="D159" s="9" t="n">
        <f aca="false">(parametros_manuales!$D$41*(datos_base!$G$2+datos_base!$G$18+IF(parametros_manuales!$H$41="Todos",datos_base!$G$9+datos_base!$G$23,0))*parametros_manuales!$D$95+parametros_manuales!$E$41*(datos_base!$G$3+datos_base!$G$19+IF(parametros_manuales!$H$41="Todos",datos_base!$G$10+datos_base!$G$24,0))*parametros_manuales!$D$100+parametros_manuales!$F$41*(datos_base!$G$4+datos_base!$G$20+IF(parametros_manuales!$H$41="Todos",datos_base!$G$11+datos_base!$G$25,0))*parametros_manuales!$D$105+parametros_manuales!$G$41*(datos_base!$G$5+datos_base!$G$21+IF(parametros_manuales!$H$41="Todos",datos_base!$G$12+datos_base!$G$26,0))*parametros_manuales!$D$110)*parametros_manuales!$I$41*parametros_manuales!$J$41</f>
        <v>2853.617763065</v>
      </c>
      <c r="E159" s="9" t="n">
        <f aca="false">(parametros_manuales!$D$41*(datos_base!$G$2+datos_base!$G$18+IF(parametros_manuales!$H$41="Todos",datos_base!$G$9+datos_base!$G$23,0))*parametros_manuales!$E$95+parametros_manuales!$E$41*(datos_base!$G$3+datos_base!$G$19+IF(parametros_manuales!$H$41="Todos",datos_base!$G$10+datos_base!$G$24,0))*parametros_manuales!$E$100+parametros_manuales!$F$41*(datos_base!$G$4+datos_base!$G$20+IF(parametros_manuales!$H$41="Todos",datos_base!$G$11+datos_base!$G$25,0))*parametros_manuales!$E$105+parametros_manuales!$G$41*(datos_base!$G$5+datos_base!$G$21+IF(parametros_manuales!$H$41="Todos",datos_base!$G$12+datos_base!$G$26,0))*parametros_manuales!$E$110)*parametros_manuales!$I$41*parametros_manuales!$J$41</f>
        <v>2775.516497715</v>
      </c>
      <c r="F159" s="9" t="n">
        <f aca="false">(parametros_manuales!$D$41*(datos_base!$G$2+datos_base!$G$18+IF(parametros_manuales!$H$41="Todos",datos_base!$G$9+datos_base!$G$23,0))*parametros_manuales!$F$95+parametros_manuales!$E$41*(datos_base!$G$3+datos_base!$G$19+IF(parametros_manuales!$H$41="Todos",datos_base!$G$10+datos_base!$G$24,0))*parametros_manuales!$F$100+parametros_manuales!$F$41*(datos_base!$G$4+datos_base!$G$20+IF(parametros_manuales!$H$41="Todos",datos_base!$G$11+datos_base!$G$25,0))*parametros_manuales!$F$105+parametros_manuales!$G$41*(datos_base!$G$5+datos_base!$G$21+IF(parametros_manuales!$H$41="Todos",datos_base!$G$12+datos_base!$G$26,0))*parametros_manuales!$F$110)*parametros_manuales!$I$41*parametros_manuales!$J$41</f>
        <v>2603.06243722</v>
      </c>
      <c r="G159" s="9" t="n">
        <f aca="false">(parametros_manuales!$D$41*(datos_base!$G$2+datos_base!$G$18+IF(parametros_manuales!$H$41="Todos",datos_base!$G$9+datos_base!$G$23,0))*parametros_manuales!$G$95+parametros_manuales!$E$41*(datos_base!$G$3+datos_base!$G$19+IF(parametros_manuales!$H$41="Todos",datos_base!$G$10+datos_base!$G$24,0))*parametros_manuales!$G$100+parametros_manuales!$F$41*(datos_base!$G$4+datos_base!$G$20+IF(parametros_manuales!$H$41="Todos",datos_base!$G$11+datos_base!$G$25,0))*parametros_manuales!$G$105+parametros_manuales!$G$41*(datos_base!$G$5+datos_base!$G$21+IF(parametros_manuales!$H$41="Todos",datos_base!$G$12+datos_base!$G$26,0))*parametros_manuales!$G$110)*parametros_manuales!$I$41*parametros_manuales!$J$41</f>
        <v>2508.709642075</v>
      </c>
      <c r="H159" s="9" t="n">
        <f aca="false">(parametros_manuales!$D$41*(datos_base!$G$2+datos_base!$G$18+IF(parametros_manuales!$H$41="Todos",datos_base!$G$9+datos_base!$G$23,0))*parametros_manuales!$H$95+parametros_manuales!$E$41*(datos_base!$G$3+datos_base!$G$19+IF(parametros_manuales!$H$41="Todos",datos_base!$G$10+datos_base!$G$24,0))*parametros_manuales!$H$100+parametros_manuales!$F$41*(datos_base!$G$4+datos_base!$G$20+IF(parametros_manuales!$H$41="Todos",datos_base!$G$11+datos_base!$G$25,0))*parametros_manuales!$H$105+parametros_manuales!$G$41*(datos_base!$G$5+datos_base!$G$21+IF(parametros_manuales!$H$41="Todos",datos_base!$G$12+datos_base!$G$26,0))*parametros_manuales!$H$110)*parametros_manuales!$I$41*parametros_manuales!$J$41</f>
        <v>2681.16370257</v>
      </c>
      <c r="I159" s="9" t="n">
        <f aca="false">(parametros_manuales!$D$41*(datos_base!$G$2+datos_base!$G$18+IF(parametros_manuales!$H$41="Todos",datos_base!$G$9+datos_base!$G$23,0))*parametros_manuales!$I$95+parametros_manuales!$E$41*(datos_base!$G$3+datos_base!$G$19+IF(parametros_manuales!$H$41="Todos",datos_base!$G$10+datos_base!$G$24,0))*parametros_manuales!$I$100+parametros_manuales!$F$41*(datos_base!$G$4+datos_base!$G$20+IF(parametros_manuales!$H$41="Todos",datos_base!$G$11+datos_base!$G$25,0))*parametros_manuales!$I$105+parametros_manuales!$G$41*(datos_base!$G$5+datos_base!$G$21+IF(parametros_manuales!$H$41="Todos",datos_base!$G$12+datos_base!$G$26,0))*parametros_manuales!$I$110)*parametros_manuales!$I$41*parametros_manuales!$J$41</f>
        <v>2915.46749862</v>
      </c>
      <c r="J159" s="9" t="n">
        <f aca="false">(parametros_manuales!$D$41*(datos_base!$G$2+datos_base!$G$18+IF(parametros_manuales!$H$41="Todos",datos_base!$G$9+datos_base!$G$23,0))*parametros_manuales!$J$95+parametros_manuales!$E$41*(datos_base!$G$3+datos_base!$G$19+IF(parametros_manuales!$H$41="Todos",datos_base!$G$10+datos_base!$G$24,0))*parametros_manuales!$J$100+parametros_manuales!$F$41*(datos_base!$G$4+datos_base!$G$20+IF(parametros_manuales!$H$41="Todos",datos_base!$G$11+datos_base!$G$25,0))*parametros_manuales!$J$105+parametros_manuales!$G$41*(datos_base!$G$5+datos_base!$G$21+IF(parametros_manuales!$H$41="Todos",datos_base!$G$12+datos_base!$G$26,0))*parametros_manuales!$J$110)*parametros_manuales!$I$41*parametros_manuales!$J$41</f>
        <v>2915.46749862</v>
      </c>
      <c r="K159" s="9" t="n">
        <f aca="false">(parametros_manuales!$D$41*(datos_base!$G$2+datos_base!$G$18+IF(parametros_manuales!$H$41="Todos",datos_base!$G$9+datos_base!$G$23,0))*parametros_manuales!$K$95+parametros_manuales!$E$41*(datos_base!$G$3+datos_base!$G$19+IF(parametros_manuales!$H$41="Todos",datos_base!$G$10+datos_base!$G$24,0))*parametros_manuales!$K$100+parametros_manuales!$F$41*(datos_base!$G$4+datos_base!$G$20+IF(parametros_manuales!$H$41="Todos",datos_base!$G$11+datos_base!$G$25,0))*parametros_manuales!$K$105+parametros_manuales!$G$41*(datos_base!$G$5+datos_base!$G$21+IF(parametros_manuales!$H$41="Todos",datos_base!$G$12+datos_base!$G$26,0))*parametros_manuales!$K$110)*parametros_manuales!$I$41*parametros_manuales!$J$41</f>
        <v>3009.820293765</v>
      </c>
      <c r="L159" s="9" t="n">
        <f aca="false">(parametros_manuales!$D$41*(datos_base!$G$2+datos_base!$G$18+IF(parametros_manuales!$H$41="Todos",datos_base!$G$9+datos_base!$G$23,0))*parametros_manuales!$L$95+parametros_manuales!$E$41*(datos_base!$G$3+datos_base!$G$19+IF(parametros_manuales!$H$41="Todos",datos_base!$G$10+datos_base!$G$24,0))*parametros_manuales!$L$100+parametros_manuales!$F$41*(datos_base!$G$4+datos_base!$G$20+IF(parametros_manuales!$H$41="Todos",datos_base!$G$11+datos_base!$G$25,0))*parametros_manuales!$L$105+parametros_manuales!$G$41*(datos_base!$G$5+datos_base!$G$21+IF(parametros_manuales!$H$41="Todos",datos_base!$G$12+datos_base!$G$26,0))*parametros_manuales!$L$110)*parametros_manuales!$I$41*parametros_manuales!$J$41</f>
        <v>3104.17308891</v>
      </c>
      <c r="M159" s="9" t="n">
        <f aca="false">(parametros_manuales!$D$41*(datos_base!$G$2+datos_base!$G$18+IF(parametros_manuales!$H$41="Todos",datos_base!$G$9+datos_base!$G$23,0))*parametros_manuales!$M$95+parametros_manuales!$E$41*(datos_base!$G$3+datos_base!$G$19+IF(parametros_manuales!$H$41="Todos",datos_base!$G$10+datos_base!$G$24,0))*parametros_manuales!$M$100+parametros_manuales!$F$41*(datos_base!$G$4+datos_base!$G$20+IF(parametros_manuales!$H$41="Todos",datos_base!$G$11+datos_base!$G$25,0))*parametros_manuales!$M$105+parametros_manuales!$G$41*(datos_base!$G$5+datos_base!$G$21+IF(parametros_manuales!$H$41="Todos",datos_base!$G$12+datos_base!$G$26,0))*parametros_manuales!$M$110)*parametros_manuales!$I$41*parametros_manuales!$J$41</f>
        <v>3104.17308891</v>
      </c>
      <c r="N159" s="9" t="n">
        <f aca="false">SUM(B159:M159)</f>
        <v>34490.812099</v>
      </c>
      <c r="O159" s="9" t="n">
        <f aca="false">MAX(B159:M159)</f>
        <v>3104.17308891</v>
      </c>
      <c r="P159" s="43" t="n">
        <f aca="false">O159/(parametros_manuales!$B$7)</f>
        <v>20.6944872594</v>
      </c>
      <c r="Q159" s="8" t="str">
        <f aca="false">IF(O159=0,"-",INDEX($B$136:$M$136,MATCH(O159,B159:M159,0)))</f>
        <v>Ene</v>
      </c>
    </row>
    <row r="160" customFormat="false" ht="14.25" hidden="false" customHeight="true" outlineLevel="0" collapsed="false">
      <c r="A160" s="8" t="str">
        <f aca="false">parametros_manuales!$B$42</f>
        <v>Etiquetado</v>
      </c>
      <c r="B160" s="9" t="n">
        <f aca="false">(parametros_manuales!$D$42*(datos_base!$G$2+datos_base!$G$18+IF(parametros_manuales!$H$42="Todos",datos_base!$G$9+datos_base!$G$23,0))*parametros_manuales!$B$95+parametros_manuales!$E$42*(datos_base!$G$3+datos_base!$G$19+IF(parametros_manuales!$H$42="Todos",datos_base!$G$10+datos_base!$G$24,0))*parametros_manuales!$B$100+parametros_manuales!$F$42*(datos_base!$G$4+datos_base!$G$20+IF(parametros_manuales!$H$42="Todos",datos_base!$G$11+datos_base!$G$25,0))*parametros_manuales!$B$105+parametros_manuales!$G$42*(datos_base!$G$5+datos_base!$G$21+IF(parametros_manuales!$H$42="Todos",datos_base!$G$12+datos_base!$G$26,0))*parametros_manuales!$B$110)*parametros_manuales!$I$42*parametros_manuales!$J$42</f>
        <v>3104.17308891</v>
      </c>
      <c r="C160" s="9" t="n">
        <f aca="false">(parametros_manuales!$D$42*(datos_base!$G$2+datos_base!$G$18+IF(parametros_manuales!$H$42="Todos",datos_base!$G$9+datos_base!$G$23,0))*parametros_manuales!$C$95+parametros_manuales!$E$42*(datos_base!$G$3+datos_base!$G$19+IF(parametros_manuales!$H$42="Todos",datos_base!$G$10+datos_base!$G$24,0))*parametros_manuales!$C$100+parametros_manuales!$F$42*(datos_base!$G$4+datos_base!$G$20+IF(parametros_manuales!$H$42="Todos",datos_base!$G$11+datos_base!$G$25,0))*parametros_manuales!$C$105+parametros_manuales!$G$42*(datos_base!$G$5+datos_base!$G$21+IF(parametros_manuales!$H$42="Todos",datos_base!$G$12+datos_base!$G$26,0))*parametros_manuales!$C$110)*parametros_manuales!$I$42*parametros_manuales!$J$42</f>
        <v>2915.46749862</v>
      </c>
      <c r="D160" s="9" t="n">
        <f aca="false">(parametros_manuales!$D$42*(datos_base!$G$2+datos_base!$G$18+IF(parametros_manuales!$H$42="Todos",datos_base!$G$9+datos_base!$G$23,0))*parametros_manuales!$D$95+parametros_manuales!$E$42*(datos_base!$G$3+datos_base!$G$19+IF(parametros_manuales!$H$42="Todos",datos_base!$G$10+datos_base!$G$24,0))*parametros_manuales!$D$100+parametros_manuales!$F$42*(datos_base!$G$4+datos_base!$G$20+IF(parametros_manuales!$H$42="Todos",datos_base!$G$11+datos_base!$G$25,0))*parametros_manuales!$D$105+parametros_manuales!$G$42*(datos_base!$G$5+datos_base!$G$21+IF(parametros_manuales!$H$42="Todos",datos_base!$G$12+datos_base!$G$26,0))*parametros_manuales!$D$110)*parametros_manuales!$I$42*parametros_manuales!$J$42</f>
        <v>2853.617763065</v>
      </c>
      <c r="E160" s="9" t="n">
        <f aca="false">(parametros_manuales!$D$42*(datos_base!$G$2+datos_base!$G$18+IF(parametros_manuales!$H$42="Todos",datos_base!$G$9+datos_base!$G$23,0))*parametros_manuales!$E$95+parametros_manuales!$E$42*(datos_base!$G$3+datos_base!$G$19+IF(parametros_manuales!$H$42="Todos",datos_base!$G$10+datos_base!$G$24,0))*parametros_manuales!$E$100+parametros_manuales!$F$42*(datos_base!$G$4+datos_base!$G$20+IF(parametros_manuales!$H$42="Todos",datos_base!$G$11+datos_base!$G$25,0))*parametros_manuales!$E$105+parametros_manuales!$G$42*(datos_base!$G$5+datos_base!$G$21+IF(parametros_manuales!$H$42="Todos",datos_base!$G$12+datos_base!$G$26,0))*parametros_manuales!$E$110)*parametros_manuales!$I$42*parametros_manuales!$J$42</f>
        <v>2775.516497715</v>
      </c>
      <c r="F160" s="9" t="n">
        <f aca="false">(parametros_manuales!$D$42*(datos_base!$G$2+datos_base!$G$18+IF(parametros_manuales!$H$42="Todos",datos_base!$G$9+datos_base!$G$23,0))*parametros_manuales!$F$95+parametros_manuales!$E$42*(datos_base!$G$3+datos_base!$G$19+IF(parametros_manuales!$H$42="Todos",datos_base!$G$10+datos_base!$G$24,0))*parametros_manuales!$F$100+parametros_manuales!$F$42*(datos_base!$G$4+datos_base!$G$20+IF(parametros_manuales!$H$42="Todos",datos_base!$G$11+datos_base!$G$25,0))*parametros_manuales!$F$105+parametros_manuales!$G$42*(datos_base!$G$5+datos_base!$G$21+IF(parametros_manuales!$H$42="Todos",datos_base!$G$12+datos_base!$G$26,0))*parametros_manuales!$F$110)*parametros_manuales!$I$42*parametros_manuales!$J$42</f>
        <v>2603.06243722</v>
      </c>
      <c r="G160" s="9" t="n">
        <f aca="false">(parametros_manuales!$D$42*(datos_base!$G$2+datos_base!$G$18+IF(parametros_manuales!$H$42="Todos",datos_base!$G$9+datos_base!$G$23,0))*parametros_manuales!$G$95+parametros_manuales!$E$42*(datos_base!$G$3+datos_base!$G$19+IF(parametros_manuales!$H$42="Todos",datos_base!$G$10+datos_base!$G$24,0))*parametros_manuales!$G$100+parametros_manuales!$F$42*(datos_base!$G$4+datos_base!$G$20+IF(parametros_manuales!$H$42="Todos",datos_base!$G$11+datos_base!$G$25,0))*parametros_manuales!$G$105+parametros_manuales!$G$42*(datos_base!$G$5+datos_base!$G$21+IF(parametros_manuales!$H$42="Todos",datos_base!$G$12+datos_base!$G$26,0))*parametros_manuales!$G$110)*parametros_manuales!$I$42*parametros_manuales!$J$42</f>
        <v>2508.709642075</v>
      </c>
      <c r="H160" s="9" t="n">
        <f aca="false">(parametros_manuales!$D$42*(datos_base!$G$2+datos_base!$G$18+IF(parametros_manuales!$H$42="Todos",datos_base!$G$9+datos_base!$G$23,0))*parametros_manuales!$H$95+parametros_manuales!$E$42*(datos_base!$G$3+datos_base!$G$19+IF(parametros_manuales!$H$42="Todos",datos_base!$G$10+datos_base!$G$24,0))*parametros_manuales!$H$100+parametros_manuales!$F$42*(datos_base!$G$4+datos_base!$G$20+IF(parametros_manuales!$H$42="Todos",datos_base!$G$11+datos_base!$G$25,0))*parametros_manuales!$H$105+parametros_manuales!$G$42*(datos_base!$G$5+datos_base!$G$21+IF(parametros_manuales!$H$42="Todos",datos_base!$G$12+datos_base!$G$26,0))*parametros_manuales!$H$110)*parametros_manuales!$I$42*parametros_manuales!$J$42</f>
        <v>2681.16370257</v>
      </c>
      <c r="I160" s="9" t="n">
        <f aca="false">(parametros_manuales!$D$42*(datos_base!$G$2+datos_base!$G$18+IF(parametros_manuales!$H$42="Todos",datos_base!$G$9+datos_base!$G$23,0))*parametros_manuales!$I$95+parametros_manuales!$E$42*(datos_base!$G$3+datos_base!$G$19+IF(parametros_manuales!$H$42="Todos",datos_base!$G$10+datos_base!$G$24,0))*parametros_manuales!$I$100+parametros_manuales!$F$42*(datos_base!$G$4+datos_base!$G$20+IF(parametros_manuales!$H$42="Todos",datos_base!$G$11+datos_base!$G$25,0))*parametros_manuales!$I$105+parametros_manuales!$G$42*(datos_base!$G$5+datos_base!$G$21+IF(parametros_manuales!$H$42="Todos",datos_base!$G$12+datos_base!$G$26,0))*parametros_manuales!$I$110)*parametros_manuales!$I$42*parametros_manuales!$J$42</f>
        <v>2915.46749862</v>
      </c>
      <c r="J160" s="9" t="n">
        <f aca="false">(parametros_manuales!$D$42*(datos_base!$G$2+datos_base!$G$18+IF(parametros_manuales!$H$42="Todos",datos_base!$G$9+datos_base!$G$23,0))*parametros_manuales!$J$95+parametros_manuales!$E$42*(datos_base!$G$3+datos_base!$G$19+IF(parametros_manuales!$H$42="Todos",datos_base!$G$10+datos_base!$G$24,0))*parametros_manuales!$J$100+parametros_manuales!$F$42*(datos_base!$G$4+datos_base!$G$20+IF(parametros_manuales!$H$42="Todos",datos_base!$G$11+datos_base!$G$25,0))*parametros_manuales!$J$105+parametros_manuales!$G$42*(datos_base!$G$5+datos_base!$G$21+IF(parametros_manuales!$H$42="Todos",datos_base!$G$12+datos_base!$G$26,0))*parametros_manuales!$J$110)*parametros_manuales!$I$42*parametros_manuales!$J$42</f>
        <v>2915.46749862</v>
      </c>
      <c r="K160" s="9" t="n">
        <f aca="false">(parametros_manuales!$D$42*(datos_base!$G$2+datos_base!$G$18+IF(parametros_manuales!$H$42="Todos",datos_base!$G$9+datos_base!$G$23,0))*parametros_manuales!$K$95+parametros_manuales!$E$42*(datos_base!$G$3+datos_base!$G$19+IF(parametros_manuales!$H$42="Todos",datos_base!$G$10+datos_base!$G$24,0))*parametros_manuales!$K$100+parametros_manuales!$F$42*(datos_base!$G$4+datos_base!$G$20+IF(parametros_manuales!$H$42="Todos",datos_base!$G$11+datos_base!$G$25,0))*parametros_manuales!$K$105+parametros_manuales!$G$42*(datos_base!$G$5+datos_base!$G$21+IF(parametros_manuales!$H$42="Todos",datos_base!$G$12+datos_base!$G$26,0))*parametros_manuales!$K$110)*parametros_manuales!$I$42*parametros_manuales!$J$42</f>
        <v>3009.820293765</v>
      </c>
      <c r="L160" s="9" t="n">
        <f aca="false">(parametros_manuales!$D$42*(datos_base!$G$2+datos_base!$G$18+IF(parametros_manuales!$H$42="Todos",datos_base!$G$9+datos_base!$G$23,0))*parametros_manuales!$L$95+parametros_manuales!$E$42*(datos_base!$G$3+datos_base!$G$19+IF(parametros_manuales!$H$42="Todos",datos_base!$G$10+datos_base!$G$24,0))*parametros_manuales!$L$100+parametros_manuales!$F$42*(datos_base!$G$4+datos_base!$G$20+IF(parametros_manuales!$H$42="Todos",datos_base!$G$11+datos_base!$G$25,0))*parametros_manuales!$L$105+parametros_manuales!$G$42*(datos_base!$G$5+datos_base!$G$21+IF(parametros_manuales!$H$42="Todos",datos_base!$G$12+datos_base!$G$26,0))*parametros_manuales!$L$110)*parametros_manuales!$I$42*parametros_manuales!$J$42</f>
        <v>3104.17308891</v>
      </c>
      <c r="M160" s="9" t="n">
        <f aca="false">(parametros_manuales!$D$42*(datos_base!$G$2+datos_base!$G$18+IF(parametros_manuales!$H$42="Todos",datos_base!$G$9+datos_base!$G$23,0))*parametros_manuales!$M$95+parametros_manuales!$E$42*(datos_base!$G$3+datos_base!$G$19+IF(parametros_manuales!$H$42="Todos",datos_base!$G$10+datos_base!$G$24,0))*parametros_manuales!$M$100+parametros_manuales!$F$42*(datos_base!$G$4+datos_base!$G$20+IF(parametros_manuales!$H$42="Todos",datos_base!$G$11+datos_base!$G$25,0))*parametros_manuales!$M$105+parametros_manuales!$G$42*(datos_base!$G$5+datos_base!$G$21+IF(parametros_manuales!$H$42="Todos",datos_base!$G$12+datos_base!$G$26,0))*parametros_manuales!$M$110)*parametros_manuales!$I$42*parametros_manuales!$J$42</f>
        <v>3104.17308891</v>
      </c>
      <c r="N160" s="9" t="n">
        <f aca="false">SUM(B160:M160)</f>
        <v>34490.812099</v>
      </c>
      <c r="O160" s="9" t="n">
        <f aca="false">MAX(B160:M160)</f>
        <v>3104.17308891</v>
      </c>
      <c r="P160" s="43" t="n">
        <f aca="false">O160/(parametros_manuales!$B$7)</f>
        <v>20.6944872594</v>
      </c>
      <c r="Q160" s="8" t="str">
        <f aca="false">IF(O160=0,"-",INDEX($B$136:$M$136,MATCH(O160,B160:M160,0)))</f>
        <v>Ene</v>
      </c>
    </row>
    <row r="161" customFormat="false" ht="14.25" hidden="false" customHeight="true" outlineLevel="0" collapsed="false">
      <c r="A161" s="8" t="str">
        <f aca="false">parametros_manuales!$B$43</f>
        <v>Embalaje y paletizado</v>
      </c>
      <c r="B161" s="9" t="n">
        <f aca="false">(parametros_manuales!$D$43*(datos_base!$G$2+datos_base!$G$18+IF(parametros_manuales!$H$43="Todos",datos_base!$G$9+datos_base!$G$23,0))*parametros_manuales!$B$95+parametros_manuales!$E$43*(datos_base!$G$3+datos_base!$G$19+IF(parametros_manuales!$H$43="Todos",datos_base!$G$10+datos_base!$G$24,0))*parametros_manuales!$B$100+parametros_manuales!$F$43*(datos_base!$G$4+datos_base!$G$20+IF(parametros_manuales!$H$43="Todos",datos_base!$G$11+datos_base!$G$25,0))*parametros_manuales!$B$105+parametros_manuales!$G$43*(datos_base!$G$5+datos_base!$G$21+IF(parametros_manuales!$H$43="Todos",datos_base!$G$12+datos_base!$G$26,0))*parametros_manuales!$B$110)*parametros_manuales!$I$43*parametros_manuales!$J$43</f>
        <v>11151.11988891</v>
      </c>
      <c r="C161" s="9" t="n">
        <f aca="false">(parametros_manuales!$D$43*(datos_base!$G$2+datos_base!$G$18+IF(parametros_manuales!$H$43="Todos",datos_base!$G$9+datos_base!$G$23,0))*parametros_manuales!$C$95+parametros_manuales!$E$43*(datos_base!$G$3+datos_base!$G$19+IF(parametros_manuales!$H$43="Todos",datos_base!$G$10+datos_base!$G$24,0))*parametros_manuales!$C$100+parametros_manuales!$F$43*(datos_base!$G$4+datos_base!$G$20+IF(parametros_manuales!$H$43="Todos",datos_base!$G$11+datos_base!$G$25,0))*parametros_manuales!$C$105+parametros_manuales!$G$43*(datos_base!$G$5+datos_base!$G$21+IF(parametros_manuales!$H$43="Todos",datos_base!$G$12+datos_base!$G$26,0))*parametros_manuales!$C$110)*parametros_manuales!$I$43*parametros_manuales!$J$43</f>
        <v>10785.11109862</v>
      </c>
      <c r="D161" s="9" t="n">
        <f aca="false">(parametros_manuales!$D$43*(datos_base!$G$2+datos_base!$G$18+IF(parametros_manuales!$H$43="Todos",datos_base!$G$9+datos_base!$G$23,0))*parametros_manuales!$D$95+parametros_manuales!$E$43*(datos_base!$G$3+datos_base!$G$19+IF(parametros_manuales!$H$43="Todos",datos_base!$G$10+datos_base!$G$24,0))*parametros_manuales!$D$100+parametros_manuales!$F$43*(datos_base!$G$4+datos_base!$G$20+IF(parametros_manuales!$H$43="Todos",datos_base!$G$11+datos_base!$G$25,0))*parametros_manuales!$D$105+parametros_manuales!$G$43*(datos_base!$G$5+datos_base!$G$21+IF(parametros_manuales!$H$43="Todos",datos_base!$G$12+datos_base!$G$26,0))*parametros_manuales!$D$110)*parametros_manuales!$I$43*parametros_manuales!$J$43</f>
        <v>10095.110963065</v>
      </c>
      <c r="E161" s="9" t="n">
        <f aca="false">(parametros_manuales!$D$43*(datos_base!$G$2+datos_base!$G$18+IF(parametros_manuales!$H$43="Todos",datos_base!$G$9+datos_base!$G$23,0))*parametros_manuales!$E$95+parametros_manuales!$E$43*(datos_base!$G$3+datos_base!$G$19+IF(parametros_manuales!$H$43="Todos",datos_base!$G$10+datos_base!$G$24,0))*parametros_manuales!$E$100+parametros_manuales!$F$43*(datos_base!$G$4+datos_base!$G$20+IF(parametros_manuales!$H$43="Todos",datos_base!$G$11+datos_base!$G$25,0))*parametros_manuales!$E$105+parametros_manuales!$G$43*(datos_base!$G$5+datos_base!$G$21+IF(parametros_manuales!$H$43="Todos",datos_base!$G$12+datos_base!$G$26,0))*parametros_manuales!$E$110)*parametros_manuales!$I$43*parametros_manuales!$J$43</f>
        <v>9658.608697715</v>
      </c>
      <c r="F161" s="9" t="n">
        <f aca="false">(parametros_manuales!$D$43*(datos_base!$G$2+datos_base!$G$18+IF(parametros_manuales!$H$43="Todos",datos_base!$G$9+datos_base!$G$23,0))*parametros_manuales!$F$95+parametros_manuales!$E$43*(datos_base!$G$3+datos_base!$G$19+IF(parametros_manuales!$H$43="Todos",datos_base!$G$10+datos_base!$G$24,0))*parametros_manuales!$F$100+parametros_manuales!$F$43*(datos_base!$G$4+datos_base!$G$20+IF(parametros_manuales!$H$43="Todos",datos_base!$G$11+datos_base!$G$25,0))*parametros_manuales!$F$105+parametros_manuales!$G$43*(datos_base!$G$5+datos_base!$G$21+IF(parametros_manuales!$H$43="Todos",datos_base!$G$12+datos_base!$G$26,0))*parametros_manuales!$F$110)*parametros_manuales!$I$43*parametros_manuales!$J$43</f>
        <v>9039.10203722</v>
      </c>
      <c r="G161" s="9" t="n">
        <f aca="false">(parametros_manuales!$D$43*(datos_base!$G$2+datos_base!$G$18+IF(parametros_manuales!$H$43="Todos",datos_base!$G$9+datos_base!$G$23,0))*parametros_manuales!$G$95+parametros_manuales!$E$43*(datos_base!$G$3+datos_base!$G$19+IF(parametros_manuales!$H$43="Todos",datos_base!$G$10+datos_base!$G$24,0))*parametros_manuales!$G$100+parametros_manuales!$F$43*(datos_base!$G$4+datos_base!$G$20+IF(parametros_manuales!$H$43="Todos",datos_base!$G$11+datos_base!$G$25,0))*parametros_manuales!$G$105+parametros_manuales!$G$43*(datos_base!$G$5+datos_base!$G$21+IF(parametros_manuales!$H$43="Todos",datos_base!$G$12+datos_base!$G$26,0))*parametros_manuales!$G$110)*parametros_manuales!$I$43*parametros_manuales!$J$43</f>
        <v>8856.097642075</v>
      </c>
      <c r="H161" s="9" t="n">
        <f aca="false">(parametros_manuales!$D$43*(datos_base!$G$2+datos_base!$G$18+IF(parametros_manuales!$H$43="Todos",datos_base!$G$9+datos_base!$G$23,0))*parametros_manuales!$H$95+parametros_manuales!$E$43*(datos_base!$G$3+datos_base!$G$19+IF(parametros_manuales!$H$43="Todos",datos_base!$G$10+datos_base!$G$24,0))*parametros_manuales!$H$100+parametros_manuales!$F$43*(datos_base!$G$4+datos_base!$G$20+IF(parametros_manuales!$H$43="Todos",datos_base!$G$11+datos_base!$G$25,0))*parametros_manuales!$H$105+parametros_manuales!$G$43*(datos_base!$G$5+datos_base!$G$21+IF(parametros_manuales!$H$43="Todos",datos_base!$G$12+datos_base!$G$26,0))*parametros_manuales!$H$110)*parametros_manuales!$I$43*parametros_manuales!$J$43</f>
        <v>9475.60430257</v>
      </c>
      <c r="I161" s="9" t="n">
        <f aca="false">(parametros_manuales!$D$43*(datos_base!$G$2+datos_base!$G$18+IF(parametros_manuales!$H$43="Todos",datos_base!$G$9+datos_base!$G$23,0))*parametros_manuales!$I$95+parametros_manuales!$E$43*(datos_base!$G$3+datos_base!$G$19+IF(parametros_manuales!$H$43="Todos",datos_base!$G$10+datos_base!$G$24,0))*parametros_manuales!$I$100+parametros_manuales!$F$43*(datos_base!$G$4+datos_base!$G$20+IF(parametros_manuales!$H$43="Todos",datos_base!$G$11+datos_base!$G$25,0))*parametros_manuales!$I$105+parametros_manuales!$G$43*(datos_base!$G$5+datos_base!$G$21+IF(parametros_manuales!$H$43="Todos",datos_base!$G$12+datos_base!$G$26,0))*parametros_manuales!$I$110)*parametros_manuales!$I$43*parametros_manuales!$J$43</f>
        <v>10785.11109862</v>
      </c>
      <c r="J161" s="9" t="n">
        <f aca="false">(parametros_manuales!$D$43*(datos_base!$G$2+datos_base!$G$18+IF(parametros_manuales!$H$43="Todos",datos_base!$G$9+datos_base!$G$23,0))*parametros_manuales!$J$95+parametros_manuales!$E$43*(datos_base!$G$3+datos_base!$G$19+IF(parametros_manuales!$H$43="Todos",datos_base!$G$10+datos_base!$G$24,0))*parametros_manuales!$J$100+parametros_manuales!$F$43*(datos_base!$G$4+datos_base!$G$20+IF(parametros_manuales!$H$43="Todos",datos_base!$G$11+datos_base!$G$25,0))*parametros_manuales!$J$105+parametros_manuales!$G$43*(datos_base!$G$5+datos_base!$G$21+IF(parametros_manuales!$H$43="Todos",datos_base!$G$12+datos_base!$G$26,0))*parametros_manuales!$J$110)*parametros_manuales!$I$43*parametros_manuales!$J$43</f>
        <v>10785.11109862</v>
      </c>
      <c r="K161" s="9" t="n">
        <f aca="false">(parametros_manuales!$D$43*(datos_base!$G$2+datos_base!$G$18+IF(parametros_manuales!$H$43="Todos",datos_base!$G$9+datos_base!$G$23,0))*parametros_manuales!$K$95+parametros_manuales!$E$43*(datos_base!$G$3+datos_base!$G$19+IF(parametros_manuales!$H$43="Todos",datos_base!$G$10+datos_base!$G$24,0))*parametros_manuales!$K$100+parametros_manuales!$F$43*(datos_base!$G$4+datos_base!$G$20+IF(parametros_manuales!$H$43="Todos",datos_base!$G$11+datos_base!$G$25,0))*parametros_manuales!$K$105+parametros_manuales!$G$43*(datos_base!$G$5+datos_base!$G$21+IF(parametros_manuales!$H$43="Todos",datos_base!$G$12+datos_base!$G$26,0))*parametros_manuales!$K$110)*parametros_manuales!$I$43*parametros_manuales!$J$43</f>
        <v>10968.115493765</v>
      </c>
      <c r="L161" s="9" t="n">
        <f aca="false">(parametros_manuales!$D$43*(datos_base!$G$2+datos_base!$G$18+IF(parametros_manuales!$H$43="Todos",datos_base!$G$9+datos_base!$G$23,0))*parametros_manuales!$L$95+parametros_manuales!$E$43*(datos_base!$G$3+datos_base!$G$19+IF(parametros_manuales!$H$43="Todos",datos_base!$G$10+datos_base!$G$24,0))*parametros_manuales!$L$100+parametros_manuales!$F$43*(datos_base!$G$4+datos_base!$G$20+IF(parametros_manuales!$H$43="Todos",datos_base!$G$11+datos_base!$G$25,0))*parametros_manuales!$L$105+parametros_manuales!$G$43*(datos_base!$G$5+datos_base!$G$21+IF(parametros_manuales!$H$43="Todos",datos_base!$G$12+datos_base!$G$26,0))*parametros_manuales!$L$110)*parametros_manuales!$I$43*parametros_manuales!$J$43</f>
        <v>11151.11988891</v>
      </c>
      <c r="M161" s="9" t="n">
        <f aca="false">(parametros_manuales!$D$43*(datos_base!$G$2+datos_base!$G$18+IF(parametros_manuales!$H$43="Todos",datos_base!$G$9+datos_base!$G$23,0))*parametros_manuales!$M$95+parametros_manuales!$E$43*(datos_base!$G$3+datos_base!$G$19+IF(parametros_manuales!$H$43="Todos",datos_base!$G$10+datos_base!$G$24,0))*parametros_manuales!$M$100+parametros_manuales!$F$43*(datos_base!$G$4+datos_base!$G$20+IF(parametros_manuales!$H$43="Todos",datos_base!$G$11+datos_base!$G$25,0))*parametros_manuales!$M$105+parametros_manuales!$G$43*(datos_base!$G$5+datos_base!$G$21+IF(parametros_manuales!$H$43="Todos",datos_base!$G$12+datos_base!$G$26,0))*parametros_manuales!$M$110)*parametros_manuales!$I$43*parametros_manuales!$J$43</f>
        <v>11151.11988891</v>
      </c>
      <c r="N161" s="9" t="n">
        <f aca="false">SUM(B161:M161)</f>
        <v>123901.332099</v>
      </c>
      <c r="O161" s="9" t="n">
        <f aca="false">MAX(B161:M161)</f>
        <v>11151.11988891</v>
      </c>
      <c r="P161" s="43" t="n">
        <f aca="false">O161/(parametros_manuales!$B$7)</f>
        <v>74.3407992594</v>
      </c>
      <c r="Q161" s="8" t="str">
        <f aca="false">IF(O161=0,"-",INDEX($B$136:$M$136,MATCH(O161,B161:M161,0)))</f>
        <v>Ene</v>
      </c>
    </row>
    <row r="162" customFormat="false" ht="14.25" hidden="false" customHeight="true" outlineLevel="0" collapsed="false"/>
    <row r="163" customFormat="false" ht="14.25" hidden="false" customHeight="true" outlineLevel="0" collapsed="false">
      <c r="A163" s="7" t="s">
        <v>196</v>
      </c>
      <c r="B163" s="7" t="s">
        <v>61</v>
      </c>
      <c r="C163" s="7" t="s">
        <v>62</v>
      </c>
      <c r="D163" s="7" t="s">
        <v>63</v>
      </c>
      <c r="E163" s="7" t="s">
        <v>64</v>
      </c>
      <c r="F163" s="7" t="s">
        <v>65</v>
      </c>
      <c r="G163" s="7" t="s">
        <v>66</v>
      </c>
      <c r="H163" s="7" t="s">
        <v>67</v>
      </c>
      <c r="I163" s="7" t="s">
        <v>68</v>
      </c>
      <c r="J163" s="7" t="s">
        <v>69</v>
      </c>
      <c r="K163" s="7" t="s">
        <v>70</v>
      </c>
      <c r="L163" s="7" t="s">
        <v>71</v>
      </c>
      <c r="M163" s="7" t="s">
        <v>72</v>
      </c>
      <c r="N163" s="7" t="s">
        <v>183</v>
      </c>
      <c r="O163" s="7" t="s">
        <v>188</v>
      </c>
      <c r="P163" s="7" t="s">
        <v>189</v>
      </c>
      <c r="Q163" s="7" t="s">
        <v>190</v>
      </c>
    </row>
    <row r="164" customFormat="false" ht="14.25" hidden="false" customHeight="true" outlineLevel="0" collapsed="false">
      <c r="A164" s="8" t="str">
        <f aca="false">parametros_manuales!$B$19</f>
        <v>Recepción de materia prima</v>
      </c>
      <c r="B164" s="9" t="n">
        <f aca="false">(parametros_manuales!$D$19*(datos_base!$H$2+datos_base!$H$18+IF(parametros_manuales!$H$19="Todos",datos_base!$H$9+datos_base!$H$23,0))*parametros_manuales!$B$95+parametros_manuales!$E$19*(datos_base!$H$3+datos_base!$H$19+IF(parametros_manuales!$H$19="Todos",datos_base!$H$10+datos_base!$H$24,0))*parametros_manuales!$B$100+parametros_manuales!$F$19*(datos_base!$H$4+datos_base!$H$20+IF(parametros_manuales!$H$19="Todos",datos_base!$H$11+datos_base!$H$25,0))*parametros_manuales!$B$105+parametros_manuales!$G$19*(datos_base!$H$5+datos_base!$H$21+IF(parametros_manuales!$H$19="Todos",datos_base!$H$12+datos_base!$H$26,0))*parametros_manuales!$B$110)*parametros_manuales!$I$19*parametros_manuales!$J$19</f>
        <v>15374.67382521</v>
      </c>
      <c r="C164" s="9" t="n">
        <f aca="false">(parametros_manuales!$D$19*(datos_base!$H$2+datos_base!$H$18+IF(parametros_manuales!$H$19="Todos",datos_base!$H$9+datos_base!$H$23,0))*parametros_manuales!$C$95+parametros_manuales!$E$19*(datos_base!$H$3+datos_base!$H$19+IF(parametros_manuales!$H$19="Todos",datos_base!$H$10+datos_base!$H$24,0))*parametros_manuales!$C$100+parametros_manuales!$F$19*(datos_base!$H$4+datos_base!$H$20+IF(parametros_manuales!$H$19="Todos",datos_base!$H$11+datos_base!$H$25,0))*parametros_manuales!$C$105+parametros_manuales!$G$19*(datos_base!$H$5+datos_base!$H$21+IF(parametros_manuales!$H$19="Todos",datos_base!$H$12+datos_base!$H$26,0))*parametros_manuales!$C$110)*parametros_manuales!$I$19*parametros_manuales!$J$19</f>
        <v>14883.10826612</v>
      </c>
      <c r="D164" s="9" t="n">
        <f aca="false">(parametros_manuales!$D$19*(datos_base!$H$2+datos_base!$H$18+IF(parametros_manuales!$H$19="Todos",datos_base!$H$9+datos_base!$H$23,0))*parametros_manuales!$D$95+parametros_manuales!$E$19*(datos_base!$H$3+datos_base!$H$19+IF(parametros_manuales!$H$19="Todos",datos_base!$H$10+datos_base!$H$24,0))*parametros_manuales!$D$100+parametros_manuales!$F$19*(datos_base!$H$4+datos_base!$H$20+IF(parametros_manuales!$H$19="Todos",datos_base!$H$11+datos_base!$H$25,0))*parametros_manuales!$D$105+parametros_manuales!$G$19*(datos_base!$H$5+datos_base!$H$21+IF(parametros_manuales!$H$19="Todos",datos_base!$H$12+datos_base!$H$26,0))*parametros_manuales!$D$110)*parametros_manuales!$I$19*parametros_manuales!$J$19</f>
        <v>13912.159513065</v>
      </c>
      <c r="E164" s="9" t="n">
        <f aca="false">(parametros_manuales!$D$19*(datos_base!$H$2+datos_base!$H$18+IF(parametros_manuales!$H$19="Todos",datos_base!$H$9+datos_base!$H$23,0))*parametros_manuales!$E$95+parametros_manuales!$E$19*(datos_base!$H$3+datos_base!$H$19+IF(parametros_manuales!$H$19="Todos",datos_base!$H$10+datos_base!$H$24,0))*parametros_manuales!$E$100+parametros_manuales!$F$19*(datos_base!$H$4+datos_base!$H$20+IF(parametros_manuales!$H$19="Todos",datos_base!$H$11+datos_base!$H$25,0))*parametros_manuales!$E$105+parametros_manuales!$G$19*(datos_base!$H$5+datos_base!$H$21+IF(parametros_manuales!$H$19="Todos",datos_base!$H$12+datos_base!$H$26,0))*parametros_manuales!$E$110)*parametros_manuales!$I$19*parametros_manuales!$J$19</f>
        <v>13303.793746765</v>
      </c>
      <c r="F164" s="9" t="n">
        <f aca="false">(parametros_manuales!$D$19*(datos_base!$H$2+datos_base!$H$18+IF(parametros_manuales!$H$19="Todos",datos_base!$H$9+datos_base!$H$23,0))*parametros_manuales!$F$95+parametros_manuales!$E$19*(datos_base!$H$3+datos_base!$H$19+IF(parametros_manuales!$H$19="Todos",datos_base!$H$10+datos_base!$H$24,0))*parametros_manuales!$F$100+parametros_manuales!$F$19*(datos_base!$H$4+datos_base!$H$20+IF(parametros_manuales!$H$19="Todos",datos_base!$H$11+datos_base!$H$25,0))*parametros_manuales!$F$105+parametros_manuales!$G$19*(datos_base!$H$5+datos_base!$H$21+IF(parametros_manuales!$H$19="Todos",datos_base!$H$12+datos_base!$H$26,0))*parametros_manuales!$F$110)*parametros_manuales!$I$19*parametros_manuales!$J$19</f>
        <v>12449.64520092</v>
      </c>
      <c r="G164" s="9" t="n">
        <f aca="false">(parametros_manuales!$D$19*(datos_base!$H$2+datos_base!$H$18+IF(parametros_manuales!$H$19="Todos",datos_base!$H$9+datos_base!$H$23,0))*parametros_manuales!$G$95+parametros_manuales!$E$19*(datos_base!$H$3+datos_base!$H$19+IF(parametros_manuales!$H$19="Todos",datos_base!$H$10+datos_base!$H$24,0))*parametros_manuales!$G$100+parametros_manuales!$F$19*(datos_base!$H$4+datos_base!$H$20+IF(parametros_manuales!$H$19="Todos",datos_base!$H$11+datos_base!$H$25,0))*parametros_manuales!$G$105+parametros_manuales!$G$19*(datos_base!$H$5+datos_base!$H$21+IF(parametros_manuales!$H$19="Todos",datos_base!$H$12+datos_base!$H$26,0))*parametros_manuales!$G$110)*parametros_manuales!$I$19*parametros_manuales!$J$19</f>
        <v>12203.862421375</v>
      </c>
      <c r="H164" s="9" t="n">
        <f aca="false">(parametros_manuales!$D$19*(datos_base!$H$2+datos_base!$H$18+IF(parametros_manuales!$H$19="Todos",datos_base!$H$9+datos_base!$H$23,0))*parametros_manuales!$H$95+parametros_manuales!$E$19*(datos_base!$H$3+datos_base!$H$19+IF(parametros_manuales!$H$19="Todos",datos_base!$H$10+datos_base!$H$24,0))*parametros_manuales!$H$100+parametros_manuales!$F$19*(datos_base!$H$4+datos_base!$H$20+IF(parametros_manuales!$H$19="Todos",datos_base!$H$11+datos_base!$H$25,0))*parametros_manuales!$H$105+parametros_manuales!$G$19*(datos_base!$H$5+datos_base!$H$21+IF(parametros_manuales!$H$19="Todos",datos_base!$H$12+datos_base!$H$26,0))*parametros_manuales!$H$110)*parametros_manuales!$I$19*parametros_manuales!$J$19</f>
        <v>13058.01096722</v>
      </c>
      <c r="I164" s="9" t="n">
        <f aca="false">(parametros_manuales!$D$19*(datos_base!$H$2+datos_base!$H$18+IF(parametros_manuales!$H$19="Todos",datos_base!$H$9+datos_base!$H$23,0))*parametros_manuales!$I$95+parametros_manuales!$E$19*(datos_base!$H$3+datos_base!$H$19+IF(parametros_manuales!$H$19="Todos",datos_base!$H$10+datos_base!$H$24,0))*parametros_manuales!$I$100+parametros_manuales!$F$19*(datos_base!$H$4+datos_base!$H$20+IF(parametros_manuales!$H$19="Todos",datos_base!$H$11+datos_base!$H$25,0))*parametros_manuales!$I$105+parametros_manuales!$G$19*(datos_base!$H$5+datos_base!$H$21+IF(parametros_manuales!$H$19="Todos",datos_base!$H$12+datos_base!$H$26,0))*parametros_manuales!$I$110)*parametros_manuales!$I$19*parametros_manuales!$J$19</f>
        <v>14883.10826612</v>
      </c>
      <c r="J164" s="9" t="n">
        <f aca="false">(parametros_manuales!$D$19*(datos_base!$H$2+datos_base!$H$18+IF(parametros_manuales!$H$19="Todos",datos_base!$H$9+datos_base!$H$23,0))*parametros_manuales!$J$95+parametros_manuales!$E$19*(datos_base!$H$3+datos_base!$H$19+IF(parametros_manuales!$H$19="Todos",datos_base!$H$10+datos_base!$H$24,0))*parametros_manuales!$J$100+parametros_manuales!$F$19*(datos_base!$H$4+datos_base!$H$20+IF(parametros_manuales!$H$19="Todos",datos_base!$H$11+datos_base!$H$25,0))*parametros_manuales!$J$105+parametros_manuales!$G$19*(datos_base!$H$5+datos_base!$H$21+IF(parametros_manuales!$H$19="Todos",datos_base!$H$12+datos_base!$H$26,0))*parametros_manuales!$J$110)*parametros_manuales!$I$19*parametros_manuales!$J$19</f>
        <v>14883.10826612</v>
      </c>
      <c r="K164" s="9" t="n">
        <f aca="false">(parametros_manuales!$D$19*(datos_base!$H$2+datos_base!$H$18+IF(parametros_manuales!$H$19="Todos",datos_base!$H$9+datos_base!$H$23,0))*parametros_manuales!$K$95+parametros_manuales!$E$19*(datos_base!$H$3+datos_base!$H$19+IF(parametros_manuales!$H$19="Todos",datos_base!$H$10+datos_base!$H$24,0))*parametros_manuales!$K$100+parametros_manuales!$F$19*(datos_base!$H$4+datos_base!$H$20+IF(parametros_manuales!$H$19="Todos",datos_base!$H$11+datos_base!$H$25,0))*parametros_manuales!$K$105+parametros_manuales!$G$19*(datos_base!$H$5+datos_base!$H$21+IF(parametros_manuales!$H$19="Todos",datos_base!$H$12+datos_base!$H$26,0))*parametros_manuales!$K$110)*parametros_manuales!$I$19*parametros_manuales!$J$19</f>
        <v>15128.891045665</v>
      </c>
      <c r="L164" s="9" t="n">
        <f aca="false">(parametros_manuales!$D$19*(datos_base!$H$2+datos_base!$H$18+IF(parametros_manuales!$H$19="Todos",datos_base!$H$9+datos_base!$H$23,0))*parametros_manuales!$L$95+parametros_manuales!$E$19*(datos_base!$H$3+datos_base!$H$19+IF(parametros_manuales!$H$19="Todos",datos_base!$H$10+datos_base!$H$24,0))*parametros_manuales!$L$100+parametros_manuales!$F$19*(datos_base!$H$4+datos_base!$H$20+IF(parametros_manuales!$H$19="Todos",datos_base!$H$11+datos_base!$H$25,0))*parametros_manuales!$L$105+parametros_manuales!$G$19*(datos_base!$H$5+datos_base!$H$21+IF(parametros_manuales!$H$19="Todos",datos_base!$H$12+datos_base!$H$26,0))*parametros_manuales!$L$110)*parametros_manuales!$I$19*parametros_manuales!$J$19</f>
        <v>15374.67382521</v>
      </c>
      <c r="M164" s="9" t="n">
        <f aca="false">(parametros_manuales!$D$19*(datos_base!$H$2+datos_base!$H$18+IF(parametros_manuales!$H$19="Todos",datos_base!$H$9+datos_base!$H$23,0))*parametros_manuales!$M$95+parametros_manuales!$E$19*(datos_base!$H$3+datos_base!$H$19+IF(parametros_manuales!$H$19="Todos",datos_base!$H$10+datos_base!$H$24,0))*parametros_manuales!$M$100+parametros_manuales!$F$19*(datos_base!$H$4+datos_base!$H$20+IF(parametros_manuales!$H$19="Todos",datos_base!$H$11+datos_base!$H$25,0))*parametros_manuales!$M$105+parametros_manuales!$G$19*(datos_base!$H$5+datos_base!$H$21+IF(parametros_manuales!$H$19="Todos",datos_base!$H$12+datos_base!$H$26,0))*parametros_manuales!$M$110)*parametros_manuales!$I$19*parametros_manuales!$J$19</f>
        <v>15374.67382521</v>
      </c>
      <c r="N164" s="9" t="n">
        <f aca="false">SUM(B164:M164)</f>
        <v>170829.709169</v>
      </c>
      <c r="O164" s="9" t="n">
        <f aca="false">MAX(B164:M164)</f>
        <v>15374.67382521</v>
      </c>
      <c r="P164" s="43" t="n">
        <f aca="false">O164/(parametros_manuales!$B$7)</f>
        <v>102.4978255014</v>
      </c>
      <c r="Q164" s="8" t="str">
        <f aca="false">IF(O164=0,"-",INDEX($B$163:$M$163,MATCH(O164,B164:M164,0)))</f>
        <v>Ene</v>
      </c>
    </row>
    <row r="165" customFormat="false" ht="14.25" hidden="false" customHeight="true" outlineLevel="0" collapsed="false">
      <c r="A165" s="8" t="str">
        <f aca="false">parametros_manuales!$B$20</f>
        <v>Corte de chapa (guillotina) — 2,5 a 10 kg</v>
      </c>
      <c r="B165" s="9" t="n">
        <f aca="false">(parametros_manuales!$D$20*(datos_base!$H$2+datos_base!$H$18+IF(parametros_manuales!$H$20="Todos",datos_base!$H$9+datos_base!$H$23,0))*parametros_manuales!$B$95+parametros_manuales!$E$20*(datos_base!$H$3+datos_base!$H$19+IF(parametros_manuales!$H$20="Todos",datos_base!$H$10+datos_base!$H$24,0))*parametros_manuales!$B$100+parametros_manuales!$F$20*(datos_base!$H$4+datos_base!$H$20+IF(parametros_manuales!$H$20="Todos",datos_base!$H$11+datos_base!$H$25,0))*parametros_manuales!$B$105+parametros_manuales!$G$20*(datos_base!$H$5+datos_base!$H$21+IF(parametros_manuales!$H$20="Todos",datos_base!$H$12+datos_base!$H$26,0))*parametros_manuales!$B$110)*parametros_manuales!$I$20*parametros_manuales!$J$20</f>
        <v>4424.09003181</v>
      </c>
      <c r="C165" s="9" t="n">
        <f aca="false">(parametros_manuales!$D$20*(datos_base!$H$2+datos_base!$H$18+IF(parametros_manuales!$H$20="Todos",datos_base!$H$9+datos_base!$H$23,0))*parametros_manuales!$C$95+parametros_manuales!$E$20*(datos_base!$H$3+datos_base!$H$19+IF(parametros_manuales!$H$20="Todos",datos_base!$H$10+datos_base!$H$24,0))*parametros_manuales!$C$100+parametros_manuales!$F$20*(datos_base!$H$4+datos_base!$H$20+IF(parametros_manuales!$H$20="Todos",datos_base!$H$11+datos_base!$H$25,0))*parametros_manuales!$C$105+parametros_manuales!$G$20*(datos_base!$H$5+datos_base!$H$21+IF(parametros_manuales!$H$20="Todos",datos_base!$H$12+datos_base!$H$26,0))*parametros_manuales!$C$110)*parametros_manuales!$I$20*parametros_manuales!$J$20</f>
        <v>3932.52447272</v>
      </c>
      <c r="D165" s="9" t="n">
        <f aca="false">(parametros_manuales!$D$20*(datos_base!$H$2+datos_base!$H$18+IF(parametros_manuales!$H$20="Todos",datos_base!$H$9+datos_base!$H$23,0))*parametros_manuales!$D$95+parametros_manuales!$E$20*(datos_base!$H$3+datos_base!$H$19+IF(parametros_manuales!$H$20="Todos",datos_base!$H$10+datos_base!$H$24,0))*parametros_manuales!$D$100+parametros_manuales!$F$20*(datos_base!$H$4+datos_base!$H$20+IF(parametros_manuales!$H$20="Todos",datos_base!$H$11+datos_base!$H$25,0))*parametros_manuales!$D$105+parametros_manuales!$G$20*(datos_base!$H$5+datos_base!$H$21+IF(parametros_manuales!$H$20="Todos",datos_base!$H$12+datos_base!$H$26,0))*parametros_manuales!$D$110)*parametros_manuales!$I$20*parametros_manuales!$J$20</f>
        <v>4178.307252265</v>
      </c>
      <c r="E165" s="9" t="n">
        <f aca="false">(parametros_manuales!$D$20*(datos_base!$H$2+datos_base!$H$18+IF(parametros_manuales!$H$20="Todos",datos_base!$H$9+datos_base!$H$23,0))*parametros_manuales!$E$95+parametros_manuales!$E$20*(datos_base!$H$3+datos_base!$H$19+IF(parametros_manuales!$H$20="Todos",datos_base!$H$10+datos_base!$H$24,0))*parametros_manuales!$E$100+parametros_manuales!$F$20*(datos_base!$H$4+datos_base!$H$20+IF(parametros_manuales!$H$20="Todos",datos_base!$H$11+datos_base!$H$25,0))*parametros_manuales!$E$105+parametros_manuales!$G$20*(datos_base!$H$5+datos_base!$H$21+IF(parametros_manuales!$H$20="Todos",datos_base!$H$12+datos_base!$H$26,0))*parametros_manuales!$E$110)*parametros_manuales!$I$20*parametros_manuales!$J$20</f>
        <v>4178.307252265</v>
      </c>
      <c r="F165" s="9" t="n">
        <f aca="false">(parametros_manuales!$D$20*(datos_base!$H$2+datos_base!$H$18+IF(parametros_manuales!$H$20="Todos",datos_base!$H$9+datos_base!$H$23,0))*parametros_manuales!$F$95+parametros_manuales!$E$20*(datos_base!$H$3+datos_base!$H$19+IF(parametros_manuales!$H$20="Todos",datos_base!$H$10+datos_base!$H$24,0))*parametros_manuales!$F$100+parametros_manuales!$F$20*(datos_base!$H$4+datos_base!$H$20+IF(parametros_manuales!$H$20="Todos",datos_base!$H$11+datos_base!$H$25,0))*parametros_manuales!$F$105+parametros_manuales!$G$20*(datos_base!$H$5+datos_base!$H$21+IF(parametros_manuales!$H$20="Todos",datos_base!$H$12+datos_base!$H$26,0))*parametros_manuales!$F$110)*parametros_manuales!$I$20*parametros_manuales!$J$20</f>
        <v>3932.52447272</v>
      </c>
      <c r="G165" s="9" t="n">
        <f aca="false">(parametros_manuales!$D$20*(datos_base!$H$2+datos_base!$H$18+IF(parametros_manuales!$H$20="Todos",datos_base!$H$9+datos_base!$H$23,0))*parametros_manuales!$G$95+parametros_manuales!$E$20*(datos_base!$H$3+datos_base!$H$19+IF(parametros_manuales!$H$20="Todos",datos_base!$H$10+datos_base!$H$24,0))*parametros_manuales!$G$100+parametros_manuales!$F$20*(datos_base!$H$4+datos_base!$H$20+IF(parametros_manuales!$H$20="Todos",datos_base!$H$11+datos_base!$H$25,0))*parametros_manuales!$G$105+parametros_manuales!$G$20*(datos_base!$H$5+datos_base!$H$21+IF(parametros_manuales!$H$20="Todos",datos_base!$H$12+datos_base!$H$26,0))*parametros_manuales!$G$110)*parametros_manuales!$I$20*parametros_manuales!$J$20</f>
        <v>3686.741693175</v>
      </c>
      <c r="H165" s="9" t="n">
        <f aca="false">(parametros_manuales!$D$20*(datos_base!$H$2+datos_base!$H$18+IF(parametros_manuales!$H$20="Todos",datos_base!$H$9+datos_base!$H$23,0))*parametros_manuales!$H$95+parametros_manuales!$E$20*(datos_base!$H$3+datos_base!$H$19+IF(parametros_manuales!$H$20="Todos",datos_base!$H$10+datos_base!$H$24,0))*parametros_manuales!$H$100+parametros_manuales!$F$20*(datos_base!$H$4+datos_base!$H$20+IF(parametros_manuales!$H$20="Todos",datos_base!$H$11+datos_base!$H$25,0))*parametros_manuales!$H$105+parametros_manuales!$G$20*(datos_base!$H$5+datos_base!$H$21+IF(parametros_manuales!$H$20="Todos",datos_base!$H$12+datos_base!$H$26,0))*parametros_manuales!$H$110)*parametros_manuales!$I$20*parametros_manuales!$J$20</f>
        <v>3932.52447272</v>
      </c>
      <c r="I165" s="9" t="n">
        <f aca="false">(parametros_manuales!$D$20*(datos_base!$H$2+datos_base!$H$18+IF(parametros_manuales!$H$20="Todos",datos_base!$H$9+datos_base!$H$23,0))*parametros_manuales!$I$95+parametros_manuales!$E$20*(datos_base!$H$3+datos_base!$H$19+IF(parametros_manuales!$H$20="Todos",datos_base!$H$10+datos_base!$H$24,0))*parametros_manuales!$I$100+parametros_manuales!$F$20*(datos_base!$H$4+datos_base!$H$20+IF(parametros_manuales!$H$20="Todos",datos_base!$H$11+datos_base!$H$25,0))*parametros_manuales!$I$105+parametros_manuales!$G$20*(datos_base!$H$5+datos_base!$H$21+IF(parametros_manuales!$H$20="Todos",datos_base!$H$12+datos_base!$H$26,0))*parametros_manuales!$I$110)*parametros_manuales!$I$20*parametros_manuales!$J$20</f>
        <v>3932.52447272</v>
      </c>
      <c r="J165" s="9" t="n">
        <f aca="false">(parametros_manuales!$D$20*(datos_base!$H$2+datos_base!$H$18+IF(parametros_manuales!$H$20="Todos",datos_base!$H$9+datos_base!$H$23,0))*parametros_manuales!$J$95+parametros_manuales!$E$20*(datos_base!$H$3+datos_base!$H$19+IF(parametros_manuales!$H$20="Todos",datos_base!$H$10+datos_base!$H$24,0))*parametros_manuales!$J$100+parametros_manuales!$F$20*(datos_base!$H$4+datos_base!$H$20+IF(parametros_manuales!$H$20="Todos",datos_base!$H$11+datos_base!$H$25,0))*parametros_manuales!$J$105+parametros_manuales!$G$20*(datos_base!$H$5+datos_base!$H$21+IF(parametros_manuales!$H$20="Todos",datos_base!$H$12+datos_base!$H$26,0))*parametros_manuales!$J$110)*parametros_manuales!$I$20*parametros_manuales!$J$20</f>
        <v>3932.52447272</v>
      </c>
      <c r="K165" s="9" t="n">
        <f aca="false">(parametros_manuales!$D$20*(datos_base!$H$2+datos_base!$H$18+IF(parametros_manuales!$H$20="Todos",datos_base!$H$9+datos_base!$H$23,0))*parametros_manuales!$K$95+parametros_manuales!$E$20*(datos_base!$H$3+datos_base!$H$19+IF(parametros_manuales!$H$20="Todos",datos_base!$H$10+datos_base!$H$24,0))*parametros_manuales!$K$100+parametros_manuales!$F$20*(datos_base!$H$4+datos_base!$H$20+IF(parametros_manuales!$H$20="Todos",datos_base!$H$11+datos_base!$H$25,0))*parametros_manuales!$K$105+parametros_manuales!$G$20*(datos_base!$H$5+datos_base!$H$21+IF(parametros_manuales!$H$20="Todos",datos_base!$H$12+datos_base!$H$26,0))*parametros_manuales!$K$110)*parametros_manuales!$I$20*parametros_manuales!$J$20</f>
        <v>4178.307252265</v>
      </c>
      <c r="L165" s="9" t="n">
        <f aca="false">(parametros_manuales!$D$20*(datos_base!$H$2+datos_base!$H$18+IF(parametros_manuales!$H$20="Todos",datos_base!$H$9+datos_base!$H$23,0))*parametros_manuales!$L$95+parametros_manuales!$E$20*(datos_base!$H$3+datos_base!$H$19+IF(parametros_manuales!$H$20="Todos",datos_base!$H$10+datos_base!$H$24,0))*parametros_manuales!$L$100+parametros_manuales!$F$20*(datos_base!$H$4+datos_base!$H$20+IF(parametros_manuales!$H$20="Todos",datos_base!$H$11+datos_base!$H$25,0))*parametros_manuales!$L$105+parametros_manuales!$G$20*(datos_base!$H$5+datos_base!$H$21+IF(parametros_manuales!$H$20="Todos",datos_base!$H$12+datos_base!$H$26,0))*parametros_manuales!$L$110)*parametros_manuales!$I$20*parametros_manuales!$J$20</f>
        <v>4424.09003181</v>
      </c>
      <c r="M165" s="9" t="n">
        <f aca="false">(parametros_manuales!$D$20*(datos_base!$H$2+datos_base!$H$18+IF(parametros_manuales!$H$20="Todos",datos_base!$H$9+datos_base!$H$23,0))*parametros_manuales!$M$95+parametros_manuales!$E$20*(datos_base!$H$3+datos_base!$H$19+IF(parametros_manuales!$H$20="Todos",datos_base!$H$10+datos_base!$H$24,0))*parametros_manuales!$M$100+parametros_manuales!$F$20*(datos_base!$H$4+datos_base!$H$20+IF(parametros_manuales!$H$20="Todos",datos_base!$H$11+datos_base!$H$25,0))*parametros_manuales!$M$105+parametros_manuales!$G$20*(datos_base!$H$5+datos_base!$H$21+IF(parametros_manuales!$H$20="Todos",datos_base!$H$12+datos_base!$H$26,0))*parametros_manuales!$M$110)*parametros_manuales!$I$20*parametros_manuales!$J$20</f>
        <v>4424.09003181</v>
      </c>
      <c r="N165" s="9" t="n">
        <f aca="false">SUM(B165:M165)</f>
        <v>49156.555909</v>
      </c>
      <c r="O165" s="9" t="n">
        <f aca="false">MAX(B165:M165)</f>
        <v>4424.09003181</v>
      </c>
      <c r="P165" s="43" t="n">
        <f aca="false">O165/(parametros_manuales!$B$7)</f>
        <v>29.4939335454</v>
      </c>
      <c r="Q165" s="8" t="str">
        <f aca="false">IF(O165=0,"-",INDEX($B$163:$M$163,MATCH(O165,B165:M165,0)))</f>
        <v>Ene</v>
      </c>
    </row>
    <row r="166" customFormat="false" ht="14.25" hidden="false" customHeight="true" outlineLevel="0" collapsed="false">
      <c r="A166" s="8" t="str">
        <f aca="false">parametros_manuales!$B$21</f>
        <v>Corte de tubo — 1 kg</v>
      </c>
      <c r="B166" s="9" t="n">
        <f aca="false">(parametros_manuales!$D$21*(datos_base!$H$2+datos_base!$H$18+IF(parametros_manuales!$H$21="Todos",datos_base!$H$9+datos_base!$H$23,0))*parametros_manuales!$B$95+parametros_manuales!$E$21*(datos_base!$H$3+datos_base!$H$19+IF(parametros_manuales!$H$21="Todos",datos_base!$H$10+datos_base!$H$24,0))*parametros_manuales!$B$100+parametros_manuales!$F$21*(datos_base!$H$4+datos_base!$H$20+IF(parametros_manuales!$H$21="Todos",datos_base!$H$11+datos_base!$H$25,0))*parametros_manuales!$B$105+parametros_manuales!$G$21*(datos_base!$H$5+datos_base!$H$21+IF(parametros_manuales!$H$21="Todos",datos_base!$H$12+datos_base!$H$26,0))*parametros_manuales!$B$110)*parametros_manuales!$I$21*parametros_manuales!$J$21</f>
        <v>10950.5837934</v>
      </c>
      <c r="C166" s="9" t="n">
        <f aca="false">(parametros_manuales!$D$21*(datos_base!$H$2+datos_base!$H$18+IF(parametros_manuales!$H$21="Todos",datos_base!$H$9+datos_base!$H$23,0))*parametros_manuales!$C$95+parametros_manuales!$E$21*(datos_base!$H$3+datos_base!$H$19+IF(parametros_manuales!$H$21="Todos",datos_base!$H$10+datos_base!$H$24,0))*parametros_manuales!$C$100+parametros_manuales!$F$21*(datos_base!$H$4+datos_base!$H$20+IF(parametros_manuales!$H$21="Todos",datos_base!$H$11+datos_base!$H$25,0))*parametros_manuales!$C$105+parametros_manuales!$G$21*(datos_base!$H$5+datos_base!$H$21+IF(parametros_manuales!$H$21="Todos",datos_base!$H$12+datos_base!$H$26,0))*parametros_manuales!$C$110)*parametros_manuales!$I$21*parametros_manuales!$J$21</f>
        <v>10950.5837934</v>
      </c>
      <c r="D166" s="9" t="n">
        <f aca="false">(parametros_manuales!$D$21*(datos_base!$H$2+datos_base!$H$18+IF(parametros_manuales!$H$21="Todos",datos_base!$H$9+datos_base!$H$23,0))*parametros_manuales!$D$95+parametros_manuales!$E$21*(datos_base!$H$3+datos_base!$H$19+IF(parametros_manuales!$H$21="Todos",datos_base!$H$10+datos_base!$H$24,0))*parametros_manuales!$D$100+parametros_manuales!$F$21*(datos_base!$H$4+datos_base!$H$20+IF(parametros_manuales!$H$21="Todos",datos_base!$H$11+datos_base!$H$25,0))*parametros_manuales!$D$105+parametros_manuales!$G$21*(datos_base!$H$5+datos_base!$H$21+IF(parametros_manuales!$H$21="Todos",datos_base!$H$12+datos_base!$H$26,0))*parametros_manuales!$D$110)*parametros_manuales!$I$21*parametros_manuales!$J$21</f>
        <v>9733.8522608</v>
      </c>
      <c r="E166" s="9" t="n">
        <f aca="false">(parametros_manuales!$D$21*(datos_base!$H$2+datos_base!$H$18+IF(parametros_manuales!$H$21="Todos",datos_base!$H$9+datos_base!$H$23,0))*parametros_manuales!$E$95+parametros_manuales!$E$21*(datos_base!$H$3+datos_base!$H$19+IF(parametros_manuales!$H$21="Todos",datos_base!$H$10+datos_base!$H$24,0))*parametros_manuales!$E$100+parametros_manuales!$F$21*(datos_base!$H$4+datos_base!$H$20+IF(parametros_manuales!$H$21="Todos",datos_base!$H$11+datos_base!$H$25,0))*parametros_manuales!$E$105+parametros_manuales!$G$21*(datos_base!$H$5+datos_base!$H$21+IF(parametros_manuales!$H$21="Todos",datos_base!$H$12+datos_base!$H$26,0))*parametros_manuales!$E$110)*parametros_manuales!$I$21*parametros_manuales!$J$21</f>
        <v>9125.4864945</v>
      </c>
      <c r="F166" s="9" t="n">
        <f aca="false">(parametros_manuales!$D$21*(datos_base!$H$2+datos_base!$H$18+IF(parametros_manuales!$H$21="Todos",datos_base!$H$9+datos_base!$H$23,0))*parametros_manuales!$F$95+parametros_manuales!$E$21*(datos_base!$H$3+datos_base!$H$19+IF(parametros_manuales!$H$21="Todos",datos_base!$H$10+datos_base!$H$24,0))*parametros_manuales!$F$100+parametros_manuales!$F$21*(datos_base!$H$4+datos_base!$H$20+IF(parametros_manuales!$H$21="Todos",datos_base!$H$11+datos_base!$H$25,0))*parametros_manuales!$F$105+parametros_manuales!$G$21*(datos_base!$H$5+datos_base!$H$21+IF(parametros_manuales!$H$21="Todos",datos_base!$H$12+datos_base!$H$26,0))*parametros_manuales!$F$110)*parametros_manuales!$I$21*parametros_manuales!$J$21</f>
        <v>8517.1207282</v>
      </c>
      <c r="G166" s="9" t="n">
        <f aca="false">(parametros_manuales!$D$21*(datos_base!$H$2+datos_base!$H$18+IF(parametros_manuales!$H$21="Todos",datos_base!$H$9+datos_base!$H$23,0))*parametros_manuales!$G$95+parametros_manuales!$E$21*(datos_base!$H$3+datos_base!$H$19+IF(parametros_manuales!$H$21="Todos",datos_base!$H$10+datos_base!$H$24,0))*parametros_manuales!$G$100+parametros_manuales!$F$21*(datos_base!$H$4+datos_base!$H$20+IF(parametros_manuales!$H$21="Todos",datos_base!$H$11+datos_base!$H$25,0))*parametros_manuales!$G$105+parametros_manuales!$G$21*(datos_base!$H$5+datos_base!$H$21+IF(parametros_manuales!$H$21="Todos",datos_base!$H$12+datos_base!$H$26,0))*parametros_manuales!$G$110)*parametros_manuales!$I$21*parametros_manuales!$J$21</f>
        <v>8517.1207282</v>
      </c>
      <c r="H166" s="9" t="n">
        <f aca="false">(parametros_manuales!$D$21*(datos_base!$H$2+datos_base!$H$18+IF(parametros_manuales!$H$21="Todos",datos_base!$H$9+datos_base!$H$23,0))*parametros_manuales!$H$95+parametros_manuales!$E$21*(datos_base!$H$3+datos_base!$H$19+IF(parametros_manuales!$H$21="Todos",datos_base!$H$10+datos_base!$H$24,0))*parametros_manuales!$H$100+parametros_manuales!$F$21*(datos_base!$H$4+datos_base!$H$20+IF(parametros_manuales!$H$21="Todos",datos_base!$H$11+datos_base!$H$25,0))*parametros_manuales!$H$105+parametros_manuales!$G$21*(datos_base!$H$5+datos_base!$H$21+IF(parametros_manuales!$H$21="Todos",datos_base!$H$12+datos_base!$H$26,0))*parametros_manuales!$H$110)*parametros_manuales!$I$21*parametros_manuales!$J$21</f>
        <v>9125.4864945</v>
      </c>
      <c r="I166" s="9" t="n">
        <f aca="false">(parametros_manuales!$D$21*(datos_base!$H$2+datos_base!$H$18+IF(parametros_manuales!$H$21="Todos",datos_base!$H$9+datos_base!$H$23,0))*parametros_manuales!$I$95+parametros_manuales!$E$21*(datos_base!$H$3+datos_base!$H$19+IF(parametros_manuales!$H$21="Todos",datos_base!$H$10+datos_base!$H$24,0))*parametros_manuales!$I$100+parametros_manuales!$F$21*(datos_base!$H$4+datos_base!$H$20+IF(parametros_manuales!$H$21="Todos",datos_base!$H$11+datos_base!$H$25,0))*parametros_manuales!$I$105+parametros_manuales!$G$21*(datos_base!$H$5+datos_base!$H$21+IF(parametros_manuales!$H$21="Todos",datos_base!$H$12+datos_base!$H$26,0))*parametros_manuales!$I$110)*parametros_manuales!$I$21*parametros_manuales!$J$21</f>
        <v>10950.5837934</v>
      </c>
      <c r="J166" s="9" t="n">
        <f aca="false">(parametros_manuales!$D$21*(datos_base!$H$2+datos_base!$H$18+IF(parametros_manuales!$H$21="Todos",datos_base!$H$9+datos_base!$H$23,0))*parametros_manuales!$J$95+parametros_manuales!$E$21*(datos_base!$H$3+datos_base!$H$19+IF(parametros_manuales!$H$21="Todos",datos_base!$H$10+datos_base!$H$24,0))*parametros_manuales!$J$100+parametros_manuales!$F$21*(datos_base!$H$4+datos_base!$H$20+IF(parametros_manuales!$H$21="Todos",datos_base!$H$11+datos_base!$H$25,0))*parametros_manuales!$J$105+parametros_manuales!$G$21*(datos_base!$H$5+datos_base!$H$21+IF(parametros_manuales!$H$21="Todos",datos_base!$H$12+datos_base!$H$26,0))*parametros_manuales!$J$110)*parametros_manuales!$I$21*parametros_manuales!$J$21</f>
        <v>10950.5837934</v>
      </c>
      <c r="K166" s="9" t="n">
        <f aca="false">(parametros_manuales!$D$21*(datos_base!$H$2+datos_base!$H$18+IF(parametros_manuales!$H$21="Todos",datos_base!$H$9+datos_base!$H$23,0))*parametros_manuales!$K$95+parametros_manuales!$E$21*(datos_base!$H$3+datos_base!$H$19+IF(parametros_manuales!$H$21="Todos",datos_base!$H$10+datos_base!$H$24,0))*parametros_manuales!$K$100+parametros_manuales!$F$21*(datos_base!$H$4+datos_base!$H$20+IF(parametros_manuales!$H$21="Todos",datos_base!$H$11+datos_base!$H$25,0))*parametros_manuales!$K$105+parametros_manuales!$G$21*(datos_base!$H$5+datos_base!$H$21+IF(parametros_manuales!$H$21="Todos",datos_base!$H$12+datos_base!$H$26,0))*parametros_manuales!$K$110)*parametros_manuales!$I$21*parametros_manuales!$J$21</f>
        <v>10950.5837934</v>
      </c>
      <c r="L166" s="9" t="n">
        <f aca="false">(parametros_manuales!$D$21*(datos_base!$H$2+datos_base!$H$18+IF(parametros_manuales!$H$21="Todos",datos_base!$H$9+datos_base!$H$23,0))*parametros_manuales!$L$95+parametros_manuales!$E$21*(datos_base!$H$3+datos_base!$H$19+IF(parametros_manuales!$H$21="Todos",datos_base!$H$10+datos_base!$H$24,0))*parametros_manuales!$L$100+parametros_manuales!$F$21*(datos_base!$H$4+datos_base!$H$20+IF(parametros_manuales!$H$21="Todos",datos_base!$H$11+datos_base!$H$25,0))*parametros_manuales!$L$105+parametros_manuales!$G$21*(datos_base!$H$5+datos_base!$H$21+IF(parametros_manuales!$H$21="Todos",datos_base!$H$12+datos_base!$H$26,0))*parametros_manuales!$L$110)*parametros_manuales!$I$21*parametros_manuales!$J$21</f>
        <v>10950.5837934</v>
      </c>
      <c r="M166" s="9" t="n">
        <f aca="false">(parametros_manuales!$D$21*(datos_base!$H$2+datos_base!$H$18+IF(parametros_manuales!$H$21="Todos",datos_base!$H$9+datos_base!$H$23,0))*parametros_manuales!$M$95+parametros_manuales!$E$21*(datos_base!$H$3+datos_base!$H$19+IF(parametros_manuales!$H$21="Todos",datos_base!$H$10+datos_base!$H$24,0))*parametros_manuales!$M$100+parametros_manuales!$F$21*(datos_base!$H$4+datos_base!$H$20+IF(parametros_manuales!$H$21="Todos",datos_base!$H$11+datos_base!$H$25,0))*parametros_manuales!$M$105+parametros_manuales!$G$21*(datos_base!$H$5+datos_base!$H$21+IF(parametros_manuales!$H$21="Todos",datos_base!$H$12+datos_base!$H$26,0))*parametros_manuales!$M$110)*parametros_manuales!$I$21*parametros_manuales!$J$21</f>
        <v>10950.5837934</v>
      </c>
      <c r="N166" s="9" t="n">
        <f aca="false">SUM(B166:M166)</f>
        <v>121673.15326</v>
      </c>
      <c r="O166" s="9" t="n">
        <f aca="false">MAX(B166:M166)</f>
        <v>10950.5837934</v>
      </c>
      <c r="P166" s="43" t="n">
        <f aca="false">O166/(parametros_manuales!$B$7)</f>
        <v>73.003891956</v>
      </c>
      <c r="Q166" s="8" t="str">
        <f aca="false">IF(O166=0,"-",INDEX($B$163:$M$163,MATCH(O166,B166:M166,0)))</f>
        <v>Ene</v>
      </c>
    </row>
    <row r="167" customFormat="false" ht="14.25" hidden="false" customHeight="true" outlineLevel="0" collapsed="false">
      <c r="A167" s="8" t="str">
        <f aca="false">parametros_manuales!$B$22</f>
        <v>Corte de disco y embutido (cúpula y fondo)</v>
      </c>
      <c r="B167" s="9" t="n">
        <f aca="false">(parametros_manuales!$D$22*(datos_base!$H$2+datos_base!$H$18+IF(parametros_manuales!$H$22="Todos",datos_base!$H$9+datos_base!$H$23,0))*parametros_manuales!$B$95+parametros_manuales!$E$22*(datos_base!$H$3+datos_base!$H$19+IF(parametros_manuales!$H$22="Todos",datos_base!$H$10+datos_base!$H$24,0))*parametros_manuales!$B$100+parametros_manuales!$F$22*(datos_base!$H$4+datos_base!$H$20+IF(parametros_manuales!$H$22="Todos",datos_base!$H$11+datos_base!$H$25,0))*parametros_manuales!$B$105+parametros_manuales!$G$22*(datos_base!$H$5+datos_base!$H$21+IF(parametros_manuales!$H$22="Todos",datos_base!$H$12+datos_base!$H$26,0))*parametros_manuales!$B$110)*parametros_manuales!$I$22*parametros_manuales!$J$22</f>
        <v>30749.34765042</v>
      </c>
      <c r="C167" s="9" t="n">
        <f aca="false">(parametros_manuales!$D$22*(datos_base!$H$2+datos_base!$H$18+IF(parametros_manuales!$H$22="Todos",datos_base!$H$9+datos_base!$H$23,0))*parametros_manuales!$C$95+parametros_manuales!$E$22*(datos_base!$H$3+datos_base!$H$19+IF(parametros_manuales!$H$22="Todos",datos_base!$H$10+datos_base!$H$24,0))*parametros_manuales!$C$100+parametros_manuales!$F$22*(datos_base!$H$4+datos_base!$H$20+IF(parametros_manuales!$H$22="Todos",datos_base!$H$11+datos_base!$H$25,0))*parametros_manuales!$C$105+parametros_manuales!$G$22*(datos_base!$H$5+datos_base!$H$21+IF(parametros_manuales!$H$22="Todos",datos_base!$H$12+datos_base!$H$26,0))*parametros_manuales!$C$110)*parametros_manuales!$I$22*parametros_manuales!$J$22</f>
        <v>29766.21653224</v>
      </c>
      <c r="D167" s="9" t="n">
        <f aca="false">(parametros_manuales!$D$22*(datos_base!$H$2+datos_base!$H$18+IF(parametros_manuales!$H$22="Todos",datos_base!$H$9+datos_base!$H$23,0))*parametros_manuales!$D$95+parametros_manuales!$E$22*(datos_base!$H$3+datos_base!$H$19+IF(parametros_manuales!$H$22="Todos",datos_base!$H$10+datos_base!$H$24,0))*parametros_manuales!$D$100+parametros_manuales!$F$22*(datos_base!$H$4+datos_base!$H$20+IF(parametros_manuales!$H$22="Todos",datos_base!$H$11+datos_base!$H$25,0))*parametros_manuales!$D$105+parametros_manuales!$G$22*(datos_base!$H$5+datos_base!$H$21+IF(parametros_manuales!$H$22="Todos",datos_base!$H$12+datos_base!$H$26,0))*parametros_manuales!$D$110)*parametros_manuales!$I$22*parametros_manuales!$J$22</f>
        <v>27824.31902613</v>
      </c>
      <c r="E167" s="9" t="n">
        <f aca="false">(parametros_manuales!$D$22*(datos_base!$H$2+datos_base!$H$18+IF(parametros_manuales!$H$22="Todos",datos_base!$H$9+datos_base!$H$23,0))*parametros_manuales!$E$95+parametros_manuales!$E$22*(datos_base!$H$3+datos_base!$H$19+IF(parametros_manuales!$H$22="Todos",datos_base!$H$10+datos_base!$H$24,0))*parametros_manuales!$E$100+parametros_manuales!$F$22*(datos_base!$H$4+datos_base!$H$20+IF(parametros_manuales!$H$22="Todos",datos_base!$H$11+datos_base!$H$25,0))*parametros_manuales!$E$105+parametros_manuales!$G$22*(datos_base!$H$5+datos_base!$H$21+IF(parametros_manuales!$H$22="Todos",datos_base!$H$12+datos_base!$H$26,0))*parametros_manuales!$E$110)*parametros_manuales!$I$22*parametros_manuales!$J$22</f>
        <v>26607.58749353</v>
      </c>
      <c r="F167" s="9" t="n">
        <f aca="false">(parametros_manuales!$D$22*(datos_base!$H$2+datos_base!$H$18+IF(parametros_manuales!$H$22="Todos",datos_base!$H$9+datos_base!$H$23,0))*parametros_manuales!$F$95+parametros_manuales!$E$22*(datos_base!$H$3+datos_base!$H$19+IF(parametros_manuales!$H$22="Todos",datos_base!$H$10+datos_base!$H$24,0))*parametros_manuales!$F$100+parametros_manuales!$F$22*(datos_base!$H$4+datos_base!$H$20+IF(parametros_manuales!$H$22="Todos",datos_base!$H$11+datos_base!$H$25,0))*parametros_manuales!$F$105+parametros_manuales!$G$22*(datos_base!$H$5+datos_base!$H$21+IF(parametros_manuales!$H$22="Todos",datos_base!$H$12+datos_base!$H$26,0))*parametros_manuales!$F$110)*parametros_manuales!$I$22*parametros_manuales!$J$22</f>
        <v>24899.29040184</v>
      </c>
      <c r="G167" s="9" t="n">
        <f aca="false">(parametros_manuales!$D$22*(datos_base!$H$2+datos_base!$H$18+IF(parametros_manuales!$H$22="Todos",datos_base!$H$9+datos_base!$H$23,0))*parametros_manuales!$G$95+parametros_manuales!$E$22*(datos_base!$H$3+datos_base!$H$19+IF(parametros_manuales!$H$22="Todos",datos_base!$H$10+datos_base!$H$24,0))*parametros_manuales!$G$100+parametros_manuales!$F$22*(datos_base!$H$4+datos_base!$H$20+IF(parametros_manuales!$H$22="Todos",datos_base!$H$11+datos_base!$H$25,0))*parametros_manuales!$G$105+parametros_manuales!$G$22*(datos_base!$H$5+datos_base!$H$21+IF(parametros_manuales!$H$22="Todos",datos_base!$H$12+datos_base!$H$26,0))*parametros_manuales!$G$110)*parametros_manuales!$I$22*parametros_manuales!$J$22</f>
        <v>24407.72484275</v>
      </c>
      <c r="H167" s="9" t="n">
        <f aca="false">(parametros_manuales!$D$22*(datos_base!$H$2+datos_base!$H$18+IF(parametros_manuales!$H$22="Todos",datos_base!$H$9+datos_base!$H$23,0))*parametros_manuales!$H$95+parametros_manuales!$E$22*(datos_base!$H$3+datos_base!$H$19+IF(parametros_manuales!$H$22="Todos",datos_base!$H$10+datos_base!$H$24,0))*parametros_manuales!$H$100+parametros_manuales!$F$22*(datos_base!$H$4+datos_base!$H$20+IF(parametros_manuales!$H$22="Todos",datos_base!$H$11+datos_base!$H$25,0))*parametros_manuales!$H$105+parametros_manuales!$G$22*(datos_base!$H$5+datos_base!$H$21+IF(parametros_manuales!$H$22="Todos",datos_base!$H$12+datos_base!$H$26,0))*parametros_manuales!$H$110)*parametros_manuales!$I$22*parametros_manuales!$J$22</f>
        <v>26116.02193444</v>
      </c>
      <c r="I167" s="9" t="n">
        <f aca="false">(parametros_manuales!$D$22*(datos_base!$H$2+datos_base!$H$18+IF(parametros_manuales!$H$22="Todos",datos_base!$H$9+datos_base!$H$23,0))*parametros_manuales!$I$95+parametros_manuales!$E$22*(datos_base!$H$3+datos_base!$H$19+IF(parametros_manuales!$H$22="Todos",datos_base!$H$10+datos_base!$H$24,0))*parametros_manuales!$I$100+parametros_manuales!$F$22*(datos_base!$H$4+datos_base!$H$20+IF(parametros_manuales!$H$22="Todos",datos_base!$H$11+datos_base!$H$25,0))*parametros_manuales!$I$105+parametros_manuales!$G$22*(datos_base!$H$5+datos_base!$H$21+IF(parametros_manuales!$H$22="Todos",datos_base!$H$12+datos_base!$H$26,0))*parametros_manuales!$I$110)*parametros_manuales!$I$22*parametros_manuales!$J$22</f>
        <v>29766.21653224</v>
      </c>
      <c r="J167" s="9" t="n">
        <f aca="false">(parametros_manuales!$D$22*(datos_base!$H$2+datos_base!$H$18+IF(parametros_manuales!$H$22="Todos",datos_base!$H$9+datos_base!$H$23,0))*parametros_manuales!$J$95+parametros_manuales!$E$22*(datos_base!$H$3+datos_base!$H$19+IF(parametros_manuales!$H$22="Todos",datos_base!$H$10+datos_base!$H$24,0))*parametros_manuales!$J$100+parametros_manuales!$F$22*(datos_base!$H$4+datos_base!$H$20+IF(parametros_manuales!$H$22="Todos",datos_base!$H$11+datos_base!$H$25,0))*parametros_manuales!$J$105+parametros_manuales!$G$22*(datos_base!$H$5+datos_base!$H$21+IF(parametros_manuales!$H$22="Todos",datos_base!$H$12+datos_base!$H$26,0))*parametros_manuales!$J$110)*parametros_manuales!$I$22*parametros_manuales!$J$22</f>
        <v>29766.21653224</v>
      </c>
      <c r="K167" s="9" t="n">
        <f aca="false">(parametros_manuales!$D$22*(datos_base!$H$2+datos_base!$H$18+IF(parametros_manuales!$H$22="Todos",datos_base!$H$9+datos_base!$H$23,0))*parametros_manuales!$K$95+parametros_manuales!$E$22*(datos_base!$H$3+datos_base!$H$19+IF(parametros_manuales!$H$22="Todos",datos_base!$H$10+datos_base!$H$24,0))*parametros_manuales!$K$100+parametros_manuales!$F$22*(datos_base!$H$4+datos_base!$H$20+IF(parametros_manuales!$H$22="Todos",datos_base!$H$11+datos_base!$H$25,0))*parametros_manuales!$K$105+parametros_manuales!$G$22*(datos_base!$H$5+datos_base!$H$21+IF(parametros_manuales!$H$22="Todos",datos_base!$H$12+datos_base!$H$26,0))*parametros_manuales!$K$110)*parametros_manuales!$I$22*parametros_manuales!$J$22</f>
        <v>30257.78209133</v>
      </c>
      <c r="L167" s="9" t="n">
        <f aca="false">(parametros_manuales!$D$22*(datos_base!$H$2+datos_base!$H$18+IF(parametros_manuales!$H$22="Todos",datos_base!$H$9+datos_base!$H$23,0))*parametros_manuales!$L$95+parametros_manuales!$E$22*(datos_base!$H$3+datos_base!$H$19+IF(parametros_manuales!$H$22="Todos",datos_base!$H$10+datos_base!$H$24,0))*parametros_manuales!$L$100+parametros_manuales!$F$22*(datos_base!$H$4+datos_base!$H$20+IF(parametros_manuales!$H$22="Todos",datos_base!$H$11+datos_base!$H$25,0))*parametros_manuales!$L$105+parametros_manuales!$G$22*(datos_base!$H$5+datos_base!$H$21+IF(parametros_manuales!$H$22="Todos",datos_base!$H$12+datos_base!$H$26,0))*parametros_manuales!$L$110)*parametros_manuales!$I$22*parametros_manuales!$J$22</f>
        <v>30749.34765042</v>
      </c>
      <c r="M167" s="9" t="n">
        <f aca="false">(parametros_manuales!$D$22*(datos_base!$H$2+datos_base!$H$18+IF(parametros_manuales!$H$22="Todos",datos_base!$H$9+datos_base!$H$23,0))*parametros_manuales!$M$95+parametros_manuales!$E$22*(datos_base!$H$3+datos_base!$H$19+IF(parametros_manuales!$H$22="Todos",datos_base!$H$10+datos_base!$H$24,0))*parametros_manuales!$M$100+parametros_manuales!$F$22*(datos_base!$H$4+datos_base!$H$20+IF(parametros_manuales!$H$22="Todos",datos_base!$H$11+datos_base!$H$25,0))*parametros_manuales!$M$105+parametros_manuales!$G$22*(datos_base!$H$5+datos_base!$H$21+IF(parametros_manuales!$H$22="Todos",datos_base!$H$12+datos_base!$H$26,0))*parametros_manuales!$M$110)*parametros_manuales!$I$22*parametros_manuales!$J$22</f>
        <v>30749.34765042</v>
      </c>
      <c r="N167" s="9" t="n">
        <f aca="false">SUM(B167:M167)</f>
        <v>341659.418338</v>
      </c>
      <c r="O167" s="9" t="n">
        <f aca="false">MAX(B167:M167)</f>
        <v>30749.34765042</v>
      </c>
      <c r="P167" s="43" t="n">
        <f aca="false">O167/(parametros_manuales!$B$7)</f>
        <v>204.9956510028</v>
      </c>
      <c r="Q167" s="8" t="str">
        <f aca="false">IF(O167=0,"-",INDEX($B$163:$M$163,MATCH(O167,B167:M167,0)))</f>
        <v>Ene</v>
      </c>
    </row>
    <row r="168" customFormat="false" ht="14.25" hidden="false" customHeight="true" outlineLevel="0" collapsed="false">
      <c r="A168" s="8" t="str">
        <f aca="false">parametros_manuales!$B$23</f>
        <v>Preparación de cuello</v>
      </c>
      <c r="B168" s="9" t="n">
        <f aca="false">(parametros_manuales!$D$23*(datos_base!$H$2+datos_base!$H$18+IF(parametros_manuales!$H$23="Todos",datos_base!$H$9+datos_base!$H$23,0))*parametros_manuales!$B$95+parametros_manuales!$E$23*(datos_base!$H$3+datos_base!$H$19+IF(parametros_manuales!$H$23="Todos",datos_base!$H$10+datos_base!$H$24,0))*parametros_manuales!$B$100+parametros_manuales!$F$23*(datos_base!$H$4+datos_base!$H$20+IF(parametros_manuales!$H$23="Todos",datos_base!$H$11+datos_base!$H$25,0))*parametros_manuales!$B$105+parametros_manuales!$G$23*(datos_base!$H$5+datos_base!$H$21+IF(parametros_manuales!$H$23="Todos",datos_base!$H$12+datos_base!$H$26,0))*parametros_manuales!$B$110)*parametros_manuales!$I$23*parametros_manuales!$J$23</f>
        <v>15374.67382521</v>
      </c>
      <c r="C168" s="9" t="n">
        <f aca="false">(parametros_manuales!$D$23*(datos_base!$H$2+datos_base!$H$18+IF(parametros_manuales!$H$23="Todos",datos_base!$H$9+datos_base!$H$23,0))*parametros_manuales!$C$95+parametros_manuales!$E$23*(datos_base!$H$3+datos_base!$H$19+IF(parametros_manuales!$H$23="Todos",datos_base!$H$10+datos_base!$H$24,0))*parametros_manuales!$C$100+parametros_manuales!$F$23*(datos_base!$H$4+datos_base!$H$20+IF(parametros_manuales!$H$23="Todos",datos_base!$H$11+datos_base!$H$25,0))*parametros_manuales!$C$105+parametros_manuales!$G$23*(datos_base!$H$5+datos_base!$H$21+IF(parametros_manuales!$H$23="Todos",datos_base!$H$12+datos_base!$H$26,0))*parametros_manuales!$C$110)*parametros_manuales!$I$23*parametros_manuales!$J$23</f>
        <v>14883.10826612</v>
      </c>
      <c r="D168" s="9" t="n">
        <f aca="false">(parametros_manuales!$D$23*(datos_base!$H$2+datos_base!$H$18+IF(parametros_manuales!$H$23="Todos",datos_base!$H$9+datos_base!$H$23,0))*parametros_manuales!$D$95+parametros_manuales!$E$23*(datos_base!$H$3+datos_base!$H$19+IF(parametros_manuales!$H$23="Todos",datos_base!$H$10+datos_base!$H$24,0))*parametros_manuales!$D$100+parametros_manuales!$F$23*(datos_base!$H$4+datos_base!$H$20+IF(parametros_manuales!$H$23="Todos",datos_base!$H$11+datos_base!$H$25,0))*parametros_manuales!$D$105+parametros_manuales!$G$23*(datos_base!$H$5+datos_base!$H$21+IF(parametros_manuales!$H$23="Todos",datos_base!$H$12+datos_base!$H$26,0))*parametros_manuales!$D$110)*parametros_manuales!$I$23*parametros_manuales!$J$23</f>
        <v>13912.159513065</v>
      </c>
      <c r="E168" s="9" t="n">
        <f aca="false">(parametros_manuales!$D$23*(datos_base!$H$2+datos_base!$H$18+IF(parametros_manuales!$H$23="Todos",datos_base!$H$9+datos_base!$H$23,0))*parametros_manuales!$E$95+parametros_manuales!$E$23*(datos_base!$H$3+datos_base!$H$19+IF(parametros_manuales!$H$23="Todos",datos_base!$H$10+datos_base!$H$24,0))*parametros_manuales!$E$100+parametros_manuales!$F$23*(datos_base!$H$4+datos_base!$H$20+IF(parametros_manuales!$H$23="Todos",datos_base!$H$11+datos_base!$H$25,0))*parametros_manuales!$E$105+parametros_manuales!$G$23*(datos_base!$H$5+datos_base!$H$21+IF(parametros_manuales!$H$23="Todos",datos_base!$H$12+datos_base!$H$26,0))*parametros_manuales!$E$110)*parametros_manuales!$I$23*parametros_manuales!$J$23</f>
        <v>13303.793746765</v>
      </c>
      <c r="F168" s="9" t="n">
        <f aca="false">(parametros_manuales!$D$23*(datos_base!$H$2+datos_base!$H$18+IF(parametros_manuales!$H$23="Todos",datos_base!$H$9+datos_base!$H$23,0))*parametros_manuales!$F$95+parametros_manuales!$E$23*(datos_base!$H$3+datos_base!$H$19+IF(parametros_manuales!$H$23="Todos",datos_base!$H$10+datos_base!$H$24,0))*parametros_manuales!$F$100+parametros_manuales!$F$23*(datos_base!$H$4+datos_base!$H$20+IF(parametros_manuales!$H$23="Todos",datos_base!$H$11+datos_base!$H$25,0))*parametros_manuales!$F$105+parametros_manuales!$G$23*(datos_base!$H$5+datos_base!$H$21+IF(parametros_manuales!$H$23="Todos",datos_base!$H$12+datos_base!$H$26,0))*parametros_manuales!$F$110)*parametros_manuales!$I$23*parametros_manuales!$J$23</f>
        <v>12449.64520092</v>
      </c>
      <c r="G168" s="9" t="n">
        <f aca="false">(parametros_manuales!$D$23*(datos_base!$H$2+datos_base!$H$18+IF(parametros_manuales!$H$23="Todos",datos_base!$H$9+datos_base!$H$23,0))*parametros_manuales!$G$95+parametros_manuales!$E$23*(datos_base!$H$3+datos_base!$H$19+IF(parametros_manuales!$H$23="Todos",datos_base!$H$10+datos_base!$H$24,0))*parametros_manuales!$G$100+parametros_manuales!$F$23*(datos_base!$H$4+datos_base!$H$20+IF(parametros_manuales!$H$23="Todos",datos_base!$H$11+datos_base!$H$25,0))*parametros_manuales!$G$105+parametros_manuales!$G$23*(datos_base!$H$5+datos_base!$H$21+IF(parametros_manuales!$H$23="Todos",datos_base!$H$12+datos_base!$H$26,0))*parametros_manuales!$G$110)*parametros_manuales!$I$23*parametros_manuales!$J$23</f>
        <v>12203.862421375</v>
      </c>
      <c r="H168" s="9" t="n">
        <f aca="false">(parametros_manuales!$D$23*(datos_base!$H$2+datos_base!$H$18+IF(parametros_manuales!$H$23="Todos",datos_base!$H$9+datos_base!$H$23,0))*parametros_manuales!$H$95+parametros_manuales!$E$23*(datos_base!$H$3+datos_base!$H$19+IF(parametros_manuales!$H$23="Todos",datos_base!$H$10+datos_base!$H$24,0))*parametros_manuales!$H$100+parametros_manuales!$F$23*(datos_base!$H$4+datos_base!$H$20+IF(parametros_manuales!$H$23="Todos",datos_base!$H$11+datos_base!$H$25,0))*parametros_manuales!$H$105+parametros_manuales!$G$23*(datos_base!$H$5+datos_base!$H$21+IF(parametros_manuales!$H$23="Todos",datos_base!$H$12+datos_base!$H$26,0))*parametros_manuales!$H$110)*parametros_manuales!$I$23*parametros_manuales!$J$23</f>
        <v>13058.01096722</v>
      </c>
      <c r="I168" s="9" t="n">
        <f aca="false">(parametros_manuales!$D$23*(datos_base!$H$2+datos_base!$H$18+IF(parametros_manuales!$H$23="Todos",datos_base!$H$9+datos_base!$H$23,0))*parametros_manuales!$I$95+parametros_manuales!$E$23*(datos_base!$H$3+datos_base!$H$19+IF(parametros_manuales!$H$23="Todos",datos_base!$H$10+datos_base!$H$24,0))*parametros_manuales!$I$100+parametros_manuales!$F$23*(datos_base!$H$4+datos_base!$H$20+IF(parametros_manuales!$H$23="Todos",datos_base!$H$11+datos_base!$H$25,0))*parametros_manuales!$I$105+parametros_manuales!$G$23*(datos_base!$H$5+datos_base!$H$21+IF(parametros_manuales!$H$23="Todos",datos_base!$H$12+datos_base!$H$26,0))*parametros_manuales!$I$110)*parametros_manuales!$I$23*parametros_manuales!$J$23</f>
        <v>14883.10826612</v>
      </c>
      <c r="J168" s="9" t="n">
        <f aca="false">(parametros_manuales!$D$23*(datos_base!$H$2+datos_base!$H$18+IF(parametros_manuales!$H$23="Todos",datos_base!$H$9+datos_base!$H$23,0))*parametros_manuales!$J$95+parametros_manuales!$E$23*(datos_base!$H$3+datos_base!$H$19+IF(parametros_manuales!$H$23="Todos",datos_base!$H$10+datos_base!$H$24,0))*parametros_manuales!$J$100+parametros_manuales!$F$23*(datos_base!$H$4+datos_base!$H$20+IF(parametros_manuales!$H$23="Todos",datos_base!$H$11+datos_base!$H$25,0))*parametros_manuales!$J$105+parametros_manuales!$G$23*(datos_base!$H$5+datos_base!$H$21+IF(parametros_manuales!$H$23="Todos",datos_base!$H$12+datos_base!$H$26,0))*parametros_manuales!$J$110)*parametros_manuales!$I$23*parametros_manuales!$J$23</f>
        <v>14883.10826612</v>
      </c>
      <c r="K168" s="9" t="n">
        <f aca="false">(parametros_manuales!$D$23*(datos_base!$H$2+datos_base!$H$18+IF(parametros_manuales!$H$23="Todos",datos_base!$H$9+datos_base!$H$23,0))*parametros_manuales!$K$95+parametros_manuales!$E$23*(datos_base!$H$3+datos_base!$H$19+IF(parametros_manuales!$H$23="Todos",datos_base!$H$10+datos_base!$H$24,0))*parametros_manuales!$K$100+parametros_manuales!$F$23*(datos_base!$H$4+datos_base!$H$20+IF(parametros_manuales!$H$23="Todos",datos_base!$H$11+datos_base!$H$25,0))*parametros_manuales!$K$105+parametros_manuales!$G$23*(datos_base!$H$5+datos_base!$H$21+IF(parametros_manuales!$H$23="Todos",datos_base!$H$12+datos_base!$H$26,0))*parametros_manuales!$K$110)*parametros_manuales!$I$23*parametros_manuales!$J$23</f>
        <v>15128.891045665</v>
      </c>
      <c r="L168" s="9" t="n">
        <f aca="false">(parametros_manuales!$D$23*(datos_base!$H$2+datos_base!$H$18+IF(parametros_manuales!$H$23="Todos",datos_base!$H$9+datos_base!$H$23,0))*parametros_manuales!$L$95+parametros_manuales!$E$23*(datos_base!$H$3+datos_base!$H$19+IF(parametros_manuales!$H$23="Todos",datos_base!$H$10+datos_base!$H$24,0))*parametros_manuales!$L$100+parametros_manuales!$F$23*(datos_base!$H$4+datos_base!$H$20+IF(parametros_manuales!$H$23="Todos",datos_base!$H$11+datos_base!$H$25,0))*parametros_manuales!$L$105+parametros_manuales!$G$23*(datos_base!$H$5+datos_base!$H$21+IF(parametros_manuales!$H$23="Todos",datos_base!$H$12+datos_base!$H$26,0))*parametros_manuales!$L$110)*parametros_manuales!$I$23*parametros_manuales!$J$23</f>
        <v>15374.67382521</v>
      </c>
      <c r="M168" s="9" t="n">
        <f aca="false">(parametros_manuales!$D$23*(datos_base!$H$2+datos_base!$H$18+IF(parametros_manuales!$H$23="Todos",datos_base!$H$9+datos_base!$H$23,0))*parametros_manuales!$M$95+parametros_manuales!$E$23*(datos_base!$H$3+datos_base!$H$19+IF(parametros_manuales!$H$23="Todos",datos_base!$H$10+datos_base!$H$24,0))*parametros_manuales!$M$100+parametros_manuales!$F$23*(datos_base!$H$4+datos_base!$H$20+IF(parametros_manuales!$H$23="Todos",datos_base!$H$11+datos_base!$H$25,0))*parametros_manuales!$M$105+parametros_manuales!$G$23*(datos_base!$H$5+datos_base!$H$21+IF(parametros_manuales!$H$23="Todos",datos_base!$H$12+datos_base!$H$26,0))*parametros_manuales!$M$110)*parametros_manuales!$I$23*parametros_manuales!$J$23</f>
        <v>15374.67382521</v>
      </c>
      <c r="N168" s="9" t="n">
        <f aca="false">SUM(B168:M168)</f>
        <v>170829.709169</v>
      </c>
      <c r="O168" s="9" t="n">
        <f aca="false">MAX(B168:M168)</f>
        <v>15374.67382521</v>
      </c>
      <c r="P168" s="43" t="n">
        <f aca="false">O168/(parametros_manuales!$B$7)</f>
        <v>102.4978255014</v>
      </c>
      <c r="Q168" s="8" t="str">
        <f aca="false">IF(O168=0,"-",INDEX($B$163:$M$163,MATCH(O168,B168:M168,0)))</f>
        <v>Ene</v>
      </c>
    </row>
    <row r="169" customFormat="false" ht="14.25" hidden="false" customHeight="true" outlineLevel="0" collapsed="false">
      <c r="A169" s="8" t="str">
        <f aca="false">parametros_manuales!$B$24</f>
        <v>Numerado de cúpula</v>
      </c>
      <c r="B169" s="9" t="n">
        <f aca="false">(parametros_manuales!$D$24*(datos_base!$H$2+datos_base!$H$18+IF(parametros_manuales!$H$24="Todos",datos_base!$H$9+datos_base!$H$23,0))*parametros_manuales!$B$95+parametros_manuales!$E$24*(datos_base!$H$3+datos_base!$H$19+IF(parametros_manuales!$H$24="Todos",datos_base!$H$10+datos_base!$H$24,0))*parametros_manuales!$B$100+parametros_manuales!$F$24*(datos_base!$H$4+datos_base!$H$20+IF(parametros_manuales!$H$24="Todos",datos_base!$H$11+datos_base!$H$25,0))*parametros_manuales!$B$105+parametros_manuales!$G$24*(datos_base!$H$5+datos_base!$H$21+IF(parametros_manuales!$H$24="Todos",datos_base!$H$12+datos_base!$H$26,0))*parametros_manuales!$B$110)*parametros_manuales!$I$24*parametros_manuales!$J$24</f>
        <v>15374.67382521</v>
      </c>
      <c r="C169" s="9" t="n">
        <f aca="false">(parametros_manuales!$D$24*(datos_base!$H$2+datos_base!$H$18+IF(parametros_manuales!$H$24="Todos",datos_base!$H$9+datos_base!$H$23,0))*parametros_manuales!$C$95+parametros_manuales!$E$24*(datos_base!$H$3+datos_base!$H$19+IF(parametros_manuales!$H$24="Todos",datos_base!$H$10+datos_base!$H$24,0))*parametros_manuales!$C$100+parametros_manuales!$F$24*(datos_base!$H$4+datos_base!$H$20+IF(parametros_manuales!$H$24="Todos",datos_base!$H$11+datos_base!$H$25,0))*parametros_manuales!$C$105+parametros_manuales!$G$24*(datos_base!$H$5+datos_base!$H$21+IF(parametros_manuales!$H$24="Todos",datos_base!$H$12+datos_base!$H$26,0))*parametros_manuales!$C$110)*parametros_manuales!$I$24*parametros_manuales!$J$24</f>
        <v>14883.10826612</v>
      </c>
      <c r="D169" s="9" t="n">
        <f aca="false">(parametros_manuales!$D$24*(datos_base!$H$2+datos_base!$H$18+IF(parametros_manuales!$H$24="Todos",datos_base!$H$9+datos_base!$H$23,0))*parametros_manuales!$D$95+parametros_manuales!$E$24*(datos_base!$H$3+datos_base!$H$19+IF(parametros_manuales!$H$24="Todos",datos_base!$H$10+datos_base!$H$24,0))*parametros_manuales!$D$100+parametros_manuales!$F$24*(datos_base!$H$4+datos_base!$H$20+IF(parametros_manuales!$H$24="Todos",datos_base!$H$11+datos_base!$H$25,0))*parametros_manuales!$D$105+parametros_manuales!$G$24*(datos_base!$H$5+datos_base!$H$21+IF(parametros_manuales!$H$24="Todos",datos_base!$H$12+datos_base!$H$26,0))*parametros_manuales!$D$110)*parametros_manuales!$I$24*parametros_manuales!$J$24</f>
        <v>13912.159513065</v>
      </c>
      <c r="E169" s="9" t="n">
        <f aca="false">(parametros_manuales!$D$24*(datos_base!$H$2+datos_base!$H$18+IF(parametros_manuales!$H$24="Todos",datos_base!$H$9+datos_base!$H$23,0))*parametros_manuales!$E$95+parametros_manuales!$E$24*(datos_base!$H$3+datos_base!$H$19+IF(parametros_manuales!$H$24="Todos",datos_base!$H$10+datos_base!$H$24,0))*parametros_manuales!$E$100+parametros_manuales!$F$24*(datos_base!$H$4+datos_base!$H$20+IF(parametros_manuales!$H$24="Todos",datos_base!$H$11+datos_base!$H$25,0))*parametros_manuales!$E$105+parametros_manuales!$G$24*(datos_base!$H$5+datos_base!$H$21+IF(parametros_manuales!$H$24="Todos",datos_base!$H$12+datos_base!$H$26,0))*parametros_manuales!$E$110)*parametros_manuales!$I$24*parametros_manuales!$J$24</f>
        <v>13303.793746765</v>
      </c>
      <c r="F169" s="9" t="n">
        <f aca="false">(parametros_manuales!$D$24*(datos_base!$H$2+datos_base!$H$18+IF(parametros_manuales!$H$24="Todos",datos_base!$H$9+datos_base!$H$23,0))*parametros_manuales!$F$95+parametros_manuales!$E$24*(datos_base!$H$3+datos_base!$H$19+IF(parametros_manuales!$H$24="Todos",datos_base!$H$10+datos_base!$H$24,0))*parametros_manuales!$F$100+parametros_manuales!$F$24*(datos_base!$H$4+datos_base!$H$20+IF(parametros_manuales!$H$24="Todos",datos_base!$H$11+datos_base!$H$25,0))*parametros_manuales!$F$105+parametros_manuales!$G$24*(datos_base!$H$5+datos_base!$H$21+IF(parametros_manuales!$H$24="Todos",datos_base!$H$12+datos_base!$H$26,0))*parametros_manuales!$F$110)*parametros_manuales!$I$24*parametros_manuales!$J$24</f>
        <v>12449.64520092</v>
      </c>
      <c r="G169" s="9" t="n">
        <f aca="false">(parametros_manuales!$D$24*(datos_base!$H$2+datos_base!$H$18+IF(parametros_manuales!$H$24="Todos",datos_base!$H$9+datos_base!$H$23,0))*parametros_manuales!$G$95+parametros_manuales!$E$24*(datos_base!$H$3+datos_base!$H$19+IF(parametros_manuales!$H$24="Todos",datos_base!$H$10+datos_base!$H$24,0))*parametros_manuales!$G$100+parametros_manuales!$F$24*(datos_base!$H$4+datos_base!$H$20+IF(parametros_manuales!$H$24="Todos",datos_base!$H$11+datos_base!$H$25,0))*parametros_manuales!$G$105+parametros_manuales!$G$24*(datos_base!$H$5+datos_base!$H$21+IF(parametros_manuales!$H$24="Todos",datos_base!$H$12+datos_base!$H$26,0))*parametros_manuales!$G$110)*parametros_manuales!$I$24*parametros_manuales!$J$24</f>
        <v>12203.862421375</v>
      </c>
      <c r="H169" s="9" t="n">
        <f aca="false">(parametros_manuales!$D$24*(datos_base!$H$2+datos_base!$H$18+IF(parametros_manuales!$H$24="Todos",datos_base!$H$9+datos_base!$H$23,0))*parametros_manuales!$H$95+parametros_manuales!$E$24*(datos_base!$H$3+datos_base!$H$19+IF(parametros_manuales!$H$24="Todos",datos_base!$H$10+datos_base!$H$24,0))*parametros_manuales!$H$100+parametros_manuales!$F$24*(datos_base!$H$4+datos_base!$H$20+IF(parametros_manuales!$H$24="Todos",datos_base!$H$11+datos_base!$H$25,0))*parametros_manuales!$H$105+parametros_manuales!$G$24*(datos_base!$H$5+datos_base!$H$21+IF(parametros_manuales!$H$24="Todos",datos_base!$H$12+datos_base!$H$26,0))*parametros_manuales!$H$110)*parametros_manuales!$I$24*parametros_manuales!$J$24</f>
        <v>13058.01096722</v>
      </c>
      <c r="I169" s="9" t="n">
        <f aca="false">(parametros_manuales!$D$24*(datos_base!$H$2+datos_base!$H$18+IF(parametros_manuales!$H$24="Todos",datos_base!$H$9+datos_base!$H$23,0))*parametros_manuales!$I$95+parametros_manuales!$E$24*(datos_base!$H$3+datos_base!$H$19+IF(parametros_manuales!$H$24="Todos",datos_base!$H$10+datos_base!$H$24,0))*parametros_manuales!$I$100+parametros_manuales!$F$24*(datos_base!$H$4+datos_base!$H$20+IF(parametros_manuales!$H$24="Todos",datos_base!$H$11+datos_base!$H$25,0))*parametros_manuales!$I$105+parametros_manuales!$G$24*(datos_base!$H$5+datos_base!$H$21+IF(parametros_manuales!$H$24="Todos",datos_base!$H$12+datos_base!$H$26,0))*parametros_manuales!$I$110)*parametros_manuales!$I$24*parametros_manuales!$J$24</f>
        <v>14883.10826612</v>
      </c>
      <c r="J169" s="9" t="n">
        <f aca="false">(parametros_manuales!$D$24*(datos_base!$H$2+datos_base!$H$18+IF(parametros_manuales!$H$24="Todos",datos_base!$H$9+datos_base!$H$23,0))*parametros_manuales!$J$95+parametros_manuales!$E$24*(datos_base!$H$3+datos_base!$H$19+IF(parametros_manuales!$H$24="Todos",datos_base!$H$10+datos_base!$H$24,0))*parametros_manuales!$J$100+parametros_manuales!$F$24*(datos_base!$H$4+datos_base!$H$20+IF(parametros_manuales!$H$24="Todos",datos_base!$H$11+datos_base!$H$25,0))*parametros_manuales!$J$105+parametros_manuales!$G$24*(datos_base!$H$5+datos_base!$H$21+IF(parametros_manuales!$H$24="Todos",datos_base!$H$12+datos_base!$H$26,0))*parametros_manuales!$J$110)*parametros_manuales!$I$24*parametros_manuales!$J$24</f>
        <v>14883.10826612</v>
      </c>
      <c r="K169" s="9" t="n">
        <f aca="false">(parametros_manuales!$D$24*(datos_base!$H$2+datos_base!$H$18+IF(parametros_manuales!$H$24="Todos",datos_base!$H$9+datos_base!$H$23,0))*parametros_manuales!$K$95+parametros_manuales!$E$24*(datos_base!$H$3+datos_base!$H$19+IF(parametros_manuales!$H$24="Todos",datos_base!$H$10+datos_base!$H$24,0))*parametros_manuales!$K$100+parametros_manuales!$F$24*(datos_base!$H$4+datos_base!$H$20+IF(parametros_manuales!$H$24="Todos",datos_base!$H$11+datos_base!$H$25,0))*parametros_manuales!$K$105+parametros_manuales!$G$24*(datos_base!$H$5+datos_base!$H$21+IF(parametros_manuales!$H$24="Todos",datos_base!$H$12+datos_base!$H$26,0))*parametros_manuales!$K$110)*parametros_manuales!$I$24*parametros_manuales!$J$24</f>
        <v>15128.891045665</v>
      </c>
      <c r="L169" s="9" t="n">
        <f aca="false">(parametros_manuales!$D$24*(datos_base!$H$2+datos_base!$H$18+IF(parametros_manuales!$H$24="Todos",datos_base!$H$9+datos_base!$H$23,0))*parametros_manuales!$L$95+parametros_manuales!$E$24*(datos_base!$H$3+datos_base!$H$19+IF(parametros_manuales!$H$24="Todos",datos_base!$H$10+datos_base!$H$24,0))*parametros_manuales!$L$100+parametros_manuales!$F$24*(datos_base!$H$4+datos_base!$H$20+IF(parametros_manuales!$H$24="Todos",datos_base!$H$11+datos_base!$H$25,0))*parametros_manuales!$L$105+parametros_manuales!$G$24*(datos_base!$H$5+datos_base!$H$21+IF(parametros_manuales!$H$24="Todos",datos_base!$H$12+datos_base!$H$26,0))*parametros_manuales!$L$110)*parametros_manuales!$I$24*parametros_manuales!$J$24</f>
        <v>15374.67382521</v>
      </c>
      <c r="M169" s="9" t="n">
        <f aca="false">(parametros_manuales!$D$24*(datos_base!$H$2+datos_base!$H$18+IF(parametros_manuales!$H$24="Todos",datos_base!$H$9+datos_base!$H$23,0))*parametros_manuales!$M$95+parametros_manuales!$E$24*(datos_base!$H$3+datos_base!$H$19+IF(parametros_manuales!$H$24="Todos",datos_base!$H$10+datos_base!$H$24,0))*parametros_manuales!$M$100+parametros_manuales!$F$24*(datos_base!$H$4+datos_base!$H$20+IF(parametros_manuales!$H$24="Todos",datos_base!$H$11+datos_base!$H$25,0))*parametros_manuales!$M$105+parametros_manuales!$G$24*(datos_base!$H$5+datos_base!$H$21+IF(parametros_manuales!$H$24="Todos",datos_base!$H$12+datos_base!$H$26,0))*parametros_manuales!$M$110)*parametros_manuales!$I$24*parametros_manuales!$J$24</f>
        <v>15374.67382521</v>
      </c>
      <c r="N169" s="9" t="n">
        <f aca="false">SUM(B169:M169)</f>
        <v>170829.709169</v>
      </c>
      <c r="O169" s="9" t="n">
        <f aca="false">MAX(B169:M169)</f>
        <v>15374.67382521</v>
      </c>
      <c r="P169" s="43" t="n">
        <f aca="false">O169/(parametros_manuales!$B$7)</f>
        <v>102.4978255014</v>
      </c>
      <c r="Q169" s="8" t="str">
        <f aca="false">IF(O169=0,"-",INDEX($B$163:$M$163,MATCH(O169,B169:M169,0)))</f>
        <v>Ene</v>
      </c>
    </row>
    <row r="170" customFormat="false" ht="14.25" hidden="false" customHeight="true" outlineLevel="0" collapsed="false">
      <c r="A170" s="8" t="str">
        <f aca="false">parametros_manuales!$B$25</f>
        <v>Soldadura del cuello a la cúpula</v>
      </c>
      <c r="B170" s="9" t="n">
        <f aca="false">(parametros_manuales!$D$25*(datos_base!$H$2+datos_base!$H$18+IF(parametros_manuales!$H$25="Todos",datos_base!$H$9+datos_base!$H$23,0))*parametros_manuales!$B$95+parametros_manuales!$E$25*(datos_base!$H$3+datos_base!$H$19+IF(parametros_manuales!$H$25="Todos",datos_base!$H$10+datos_base!$H$24,0))*parametros_manuales!$B$100+parametros_manuales!$F$25*(datos_base!$H$4+datos_base!$H$20+IF(parametros_manuales!$H$25="Todos",datos_base!$H$11+datos_base!$H$25,0))*parametros_manuales!$B$105+parametros_manuales!$G$25*(datos_base!$H$5+datos_base!$H$21+IF(parametros_manuales!$H$25="Todos",datos_base!$H$12+datos_base!$H$26,0))*parametros_manuales!$B$110)*parametros_manuales!$I$25*parametros_manuales!$J$25</f>
        <v>15374.67382521</v>
      </c>
      <c r="C170" s="9" t="n">
        <f aca="false">(parametros_manuales!$D$25*(datos_base!$H$2+datos_base!$H$18+IF(parametros_manuales!$H$25="Todos",datos_base!$H$9+datos_base!$H$23,0))*parametros_manuales!$C$95+parametros_manuales!$E$25*(datos_base!$H$3+datos_base!$H$19+IF(parametros_manuales!$H$25="Todos",datos_base!$H$10+datos_base!$H$24,0))*parametros_manuales!$C$100+parametros_manuales!$F$25*(datos_base!$H$4+datos_base!$H$20+IF(parametros_manuales!$H$25="Todos",datos_base!$H$11+datos_base!$H$25,0))*parametros_manuales!$C$105+parametros_manuales!$G$25*(datos_base!$H$5+datos_base!$H$21+IF(parametros_manuales!$H$25="Todos",datos_base!$H$12+datos_base!$H$26,0))*parametros_manuales!$C$110)*parametros_manuales!$I$25*parametros_manuales!$J$25</f>
        <v>14883.10826612</v>
      </c>
      <c r="D170" s="9" t="n">
        <f aca="false">(parametros_manuales!$D$25*(datos_base!$H$2+datos_base!$H$18+IF(parametros_manuales!$H$25="Todos",datos_base!$H$9+datos_base!$H$23,0))*parametros_manuales!$D$95+parametros_manuales!$E$25*(datos_base!$H$3+datos_base!$H$19+IF(parametros_manuales!$H$25="Todos",datos_base!$H$10+datos_base!$H$24,0))*parametros_manuales!$D$100+parametros_manuales!$F$25*(datos_base!$H$4+datos_base!$H$20+IF(parametros_manuales!$H$25="Todos",datos_base!$H$11+datos_base!$H$25,0))*parametros_manuales!$D$105+parametros_manuales!$G$25*(datos_base!$H$5+datos_base!$H$21+IF(parametros_manuales!$H$25="Todos",datos_base!$H$12+datos_base!$H$26,0))*parametros_manuales!$D$110)*parametros_manuales!$I$25*parametros_manuales!$J$25</f>
        <v>13912.159513065</v>
      </c>
      <c r="E170" s="9" t="n">
        <f aca="false">(parametros_manuales!$D$25*(datos_base!$H$2+datos_base!$H$18+IF(parametros_manuales!$H$25="Todos",datos_base!$H$9+datos_base!$H$23,0))*parametros_manuales!$E$95+parametros_manuales!$E$25*(datos_base!$H$3+datos_base!$H$19+IF(parametros_manuales!$H$25="Todos",datos_base!$H$10+datos_base!$H$24,0))*parametros_manuales!$E$100+parametros_manuales!$F$25*(datos_base!$H$4+datos_base!$H$20+IF(parametros_manuales!$H$25="Todos",datos_base!$H$11+datos_base!$H$25,0))*parametros_manuales!$E$105+parametros_manuales!$G$25*(datos_base!$H$5+datos_base!$H$21+IF(parametros_manuales!$H$25="Todos",datos_base!$H$12+datos_base!$H$26,0))*parametros_manuales!$E$110)*parametros_manuales!$I$25*parametros_manuales!$J$25</f>
        <v>13303.793746765</v>
      </c>
      <c r="F170" s="9" t="n">
        <f aca="false">(parametros_manuales!$D$25*(datos_base!$H$2+datos_base!$H$18+IF(parametros_manuales!$H$25="Todos",datos_base!$H$9+datos_base!$H$23,0))*parametros_manuales!$F$95+parametros_manuales!$E$25*(datos_base!$H$3+datos_base!$H$19+IF(parametros_manuales!$H$25="Todos",datos_base!$H$10+datos_base!$H$24,0))*parametros_manuales!$F$100+parametros_manuales!$F$25*(datos_base!$H$4+datos_base!$H$20+IF(parametros_manuales!$H$25="Todos",datos_base!$H$11+datos_base!$H$25,0))*parametros_manuales!$F$105+parametros_manuales!$G$25*(datos_base!$H$5+datos_base!$H$21+IF(parametros_manuales!$H$25="Todos",datos_base!$H$12+datos_base!$H$26,0))*parametros_manuales!$F$110)*parametros_manuales!$I$25*parametros_manuales!$J$25</f>
        <v>12449.64520092</v>
      </c>
      <c r="G170" s="9" t="n">
        <f aca="false">(parametros_manuales!$D$25*(datos_base!$H$2+datos_base!$H$18+IF(parametros_manuales!$H$25="Todos",datos_base!$H$9+datos_base!$H$23,0))*parametros_manuales!$G$95+parametros_manuales!$E$25*(datos_base!$H$3+datos_base!$H$19+IF(parametros_manuales!$H$25="Todos",datos_base!$H$10+datos_base!$H$24,0))*parametros_manuales!$G$100+parametros_manuales!$F$25*(datos_base!$H$4+datos_base!$H$20+IF(parametros_manuales!$H$25="Todos",datos_base!$H$11+datos_base!$H$25,0))*parametros_manuales!$G$105+parametros_manuales!$G$25*(datos_base!$H$5+datos_base!$H$21+IF(parametros_manuales!$H$25="Todos",datos_base!$H$12+datos_base!$H$26,0))*parametros_manuales!$G$110)*parametros_manuales!$I$25*parametros_manuales!$J$25</f>
        <v>12203.862421375</v>
      </c>
      <c r="H170" s="9" t="n">
        <f aca="false">(parametros_manuales!$D$25*(datos_base!$H$2+datos_base!$H$18+IF(parametros_manuales!$H$25="Todos",datos_base!$H$9+datos_base!$H$23,0))*parametros_manuales!$H$95+parametros_manuales!$E$25*(datos_base!$H$3+datos_base!$H$19+IF(parametros_manuales!$H$25="Todos",datos_base!$H$10+datos_base!$H$24,0))*parametros_manuales!$H$100+parametros_manuales!$F$25*(datos_base!$H$4+datos_base!$H$20+IF(parametros_manuales!$H$25="Todos",datos_base!$H$11+datos_base!$H$25,0))*parametros_manuales!$H$105+parametros_manuales!$G$25*(datos_base!$H$5+datos_base!$H$21+IF(parametros_manuales!$H$25="Todos",datos_base!$H$12+datos_base!$H$26,0))*parametros_manuales!$H$110)*parametros_manuales!$I$25*parametros_manuales!$J$25</f>
        <v>13058.01096722</v>
      </c>
      <c r="I170" s="9" t="n">
        <f aca="false">(parametros_manuales!$D$25*(datos_base!$H$2+datos_base!$H$18+IF(parametros_manuales!$H$25="Todos",datos_base!$H$9+datos_base!$H$23,0))*parametros_manuales!$I$95+parametros_manuales!$E$25*(datos_base!$H$3+datos_base!$H$19+IF(parametros_manuales!$H$25="Todos",datos_base!$H$10+datos_base!$H$24,0))*parametros_manuales!$I$100+parametros_manuales!$F$25*(datos_base!$H$4+datos_base!$H$20+IF(parametros_manuales!$H$25="Todos",datos_base!$H$11+datos_base!$H$25,0))*parametros_manuales!$I$105+parametros_manuales!$G$25*(datos_base!$H$5+datos_base!$H$21+IF(parametros_manuales!$H$25="Todos",datos_base!$H$12+datos_base!$H$26,0))*parametros_manuales!$I$110)*parametros_manuales!$I$25*parametros_manuales!$J$25</f>
        <v>14883.10826612</v>
      </c>
      <c r="J170" s="9" t="n">
        <f aca="false">(parametros_manuales!$D$25*(datos_base!$H$2+datos_base!$H$18+IF(parametros_manuales!$H$25="Todos",datos_base!$H$9+datos_base!$H$23,0))*parametros_manuales!$J$95+parametros_manuales!$E$25*(datos_base!$H$3+datos_base!$H$19+IF(parametros_manuales!$H$25="Todos",datos_base!$H$10+datos_base!$H$24,0))*parametros_manuales!$J$100+parametros_manuales!$F$25*(datos_base!$H$4+datos_base!$H$20+IF(parametros_manuales!$H$25="Todos",datos_base!$H$11+datos_base!$H$25,0))*parametros_manuales!$J$105+parametros_manuales!$G$25*(datos_base!$H$5+datos_base!$H$21+IF(parametros_manuales!$H$25="Todos",datos_base!$H$12+datos_base!$H$26,0))*parametros_manuales!$J$110)*parametros_manuales!$I$25*parametros_manuales!$J$25</f>
        <v>14883.10826612</v>
      </c>
      <c r="K170" s="9" t="n">
        <f aca="false">(parametros_manuales!$D$25*(datos_base!$H$2+datos_base!$H$18+IF(parametros_manuales!$H$25="Todos",datos_base!$H$9+datos_base!$H$23,0))*parametros_manuales!$K$95+parametros_manuales!$E$25*(datos_base!$H$3+datos_base!$H$19+IF(parametros_manuales!$H$25="Todos",datos_base!$H$10+datos_base!$H$24,0))*parametros_manuales!$K$100+parametros_manuales!$F$25*(datos_base!$H$4+datos_base!$H$20+IF(parametros_manuales!$H$25="Todos",datos_base!$H$11+datos_base!$H$25,0))*parametros_manuales!$K$105+parametros_manuales!$G$25*(datos_base!$H$5+datos_base!$H$21+IF(parametros_manuales!$H$25="Todos",datos_base!$H$12+datos_base!$H$26,0))*parametros_manuales!$K$110)*parametros_manuales!$I$25*parametros_manuales!$J$25</f>
        <v>15128.891045665</v>
      </c>
      <c r="L170" s="9" t="n">
        <f aca="false">(parametros_manuales!$D$25*(datos_base!$H$2+datos_base!$H$18+IF(parametros_manuales!$H$25="Todos",datos_base!$H$9+datos_base!$H$23,0))*parametros_manuales!$L$95+parametros_manuales!$E$25*(datos_base!$H$3+datos_base!$H$19+IF(parametros_manuales!$H$25="Todos",datos_base!$H$10+datos_base!$H$24,0))*parametros_manuales!$L$100+parametros_manuales!$F$25*(datos_base!$H$4+datos_base!$H$20+IF(parametros_manuales!$H$25="Todos",datos_base!$H$11+datos_base!$H$25,0))*parametros_manuales!$L$105+parametros_manuales!$G$25*(datos_base!$H$5+datos_base!$H$21+IF(parametros_manuales!$H$25="Todos",datos_base!$H$12+datos_base!$H$26,0))*parametros_manuales!$L$110)*parametros_manuales!$I$25*parametros_manuales!$J$25</f>
        <v>15374.67382521</v>
      </c>
      <c r="M170" s="9" t="n">
        <f aca="false">(parametros_manuales!$D$25*(datos_base!$H$2+datos_base!$H$18+IF(parametros_manuales!$H$25="Todos",datos_base!$H$9+datos_base!$H$23,0))*parametros_manuales!$M$95+parametros_manuales!$E$25*(datos_base!$H$3+datos_base!$H$19+IF(parametros_manuales!$H$25="Todos",datos_base!$H$10+datos_base!$H$24,0))*parametros_manuales!$M$100+parametros_manuales!$F$25*(datos_base!$H$4+datos_base!$H$20+IF(parametros_manuales!$H$25="Todos",datos_base!$H$11+datos_base!$H$25,0))*parametros_manuales!$M$105+parametros_manuales!$G$25*(datos_base!$H$5+datos_base!$H$21+IF(parametros_manuales!$H$25="Todos",datos_base!$H$12+datos_base!$H$26,0))*parametros_manuales!$M$110)*parametros_manuales!$I$25*parametros_manuales!$J$25</f>
        <v>15374.67382521</v>
      </c>
      <c r="N170" s="9" t="n">
        <f aca="false">SUM(B170:M170)</f>
        <v>170829.709169</v>
      </c>
      <c r="O170" s="9" t="n">
        <f aca="false">MAX(B170:M170)</f>
        <v>15374.67382521</v>
      </c>
      <c r="P170" s="43" t="n">
        <f aca="false">O170/(parametros_manuales!$B$7)</f>
        <v>102.4978255014</v>
      </c>
      <c r="Q170" s="8" t="str">
        <f aca="false">IF(O170=0,"-",INDEX($B$163:$M$163,MATCH(O170,B170:M170,0)))</f>
        <v>Ene</v>
      </c>
    </row>
    <row r="171" customFormat="false" ht="14.25" hidden="false" customHeight="true" outlineLevel="0" collapsed="false">
      <c r="A171" s="8" t="str">
        <f aca="false">parametros_manuales!$B$26</f>
        <v>Cilindrado</v>
      </c>
      <c r="B171" s="9" t="n">
        <f aca="false">(parametros_manuales!$D$26*(datos_base!$H$2+datos_base!$H$18+IF(parametros_manuales!$H$26="Todos",datos_base!$H$9+datos_base!$H$23,0))*parametros_manuales!$B$95+parametros_manuales!$E$26*(datos_base!$H$3+datos_base!$H$19+IF(parametros_manuales!$H$26="Todos",datos_base!$H$10+datos_base!$H$24,0))*parametros_manuales!$B$100+parametros_manuales!$F$26*(datos_base!$H$4+datos_base!$H$20+IF(parametros_manuales!$H$26="Todos",datos_base!$H$11+datos_base!$H$25,0))*parametros_manuales!$B$105+parametros_manuales!$G$26*(datos_base!$H$5+datos_base!$H$21+IF(parametros_manuales!$H$26="Todos",datos_base!$H$12+datos_base!$H$26,0))*parametros_manuales!$B$110)*parametros_manuales!$I$26*parametros_manuales!$J$26</f>
        <v>4424.09003181</v>
      </c>
      <c r="C171" s="9" t="n">
        <f aca="false">(parametros_manuales!$D$26*(datos_base!$H$2+datos_base!$H$18+IF(parametros_manuales!$H$26="Todos",datos_base!$H$9+datos_base!$H$23,0))*parametros_manuales!$C$95+parametros_manuales!$E$26*(datos_base!$H$3+datos_base!$H$19+IF(parametros_manuales!$H$26="Todos",datos_base!$H$10+datos_base!$H$24,0))*parametros_manuales!$C$100+parametros_manuales!$F$26*(datos_base!$H$4+datos_base!$H$20+IF(parametros_manuales!$H$26="Todos",datos_base!$H$11+datos_base!$H$25,0))*parametros_manuales!$C$105+parametros_manuales!$G$26*(datos_base!$H$5+datos_base!$H$21+IF(parametros_manuales!$H$26="Todos",datos_base!$H$12+datos_base!$H$26,0))*parametros_manuales!$C$110)*parametros_manuales!$I$26*parametros_manuales!$J$26</f>
        <v>3932.52447272</v>
      </c>
      <c r="D171" s="9" t="n">
        <f aca="false">(parametros_manuales!$D$26*(datos_base!$H$2+datos_base!$H$18+IF(parametros_manuales!$H$26="Todos",datos_base!$H$9+datos_base!$H$23,0))*parametros_manuales!$D$95+parametros_manuales!$E$26*(datos_base!$H$3+datos_base!$H$19+IF(parametros_manuales!$H$26="Todos",datos_base!$H$10+datos_base!$H$24,0))*parametros_manuales!$D$100+parametros_manuales!$F$26*(datos_base!$H$4+datos_base!$H$20+IF(parametros_manuales!$H$26="Todos",datos_base!$H$11+datos_base!$H$25,0))*parametros_manuales!$D$105+parametros_manuales!$G$26*(datos_base!$H$5+datos_base!$H$21+IF(parametros_manuales!$H$26="Todos",datos_base!$H$12+datos_base!$H$26,0))*parametros_manuales!$D$110)*parametros_manuales!$I$26*parametros_manuales!$J$26</f>
        <v>4178.307252265</v>
      </c>
      <c r="E171" s="9" t="n">
        <f aca="false">(parametros_manuales!$D$26*(datos_base!$H$2+datos_base!$H$18+IF(parametros_manuales!$H$26="Todos",datos_base!$H$9+datos_base!$H$23,0))*parametros_manuales!$E$95+parametros_manuales!$E$26*(datos_base!$H$3+datos_base!$H$19+IF(parametros_manuales!$H$26="Todos",datos_base!$H$10+datos_base!$H$24,0))*parametros_manuales!$E$100+parametros_manuales!$F$26*(datos_base!$H$4+datos_base!$H$20+IF(parametros_manuales!$H$26="Todos",datos_base!$H$11+datos_base!$H$25,0))*parametros_manuales!$E$105+parametros_manuales!$G$26*(datos_base!$H$5+datos_base!$H$21+IF(parametros_manuales!$H$26="Todos",datos_base!$H$12+datos_base!$H$26,0))*parametros_manuales!$E$110)*parametros_manuales!$I$26*parametros_manuales!$J$26</f>
        <v>4178.307252265</v>
      </c>
      <c r="F171" s="9" t="n">
        <f aca="false">(parametros_manuales!$D$26*(datos_base!$H$2+datos_base!$H$18+IF(parametros_manuales!$H$26="Todos",datos_base!$H$9+datos_base!$H$23,0))*parametros_manuales!$F$95+parametros_manuales!$E$26*(datos_base!$H$3+datos_base!$H$19+IF(parametros_manuales!$H$26="Todos",datos_base!$H$10+datos_base!$H$24,0))*parametros_manuales!$F$100+parametros_manuales!$F$26*(datos_base!$H$4+datos_base!$H$20+IF(parametros_manuales!$H$26="Todos",datos_base!$H$11+datos_base!$H$25,0))*parametros_manuales!$F$105+parametros_manuales!$G$26*(datos_base!$H$5+datos_base!$H$21+IF(parametros_manuales!$H$26="Todos",datos_base!$H$12+datos_base!$H$26,0))*parametros_manuales!$F$110)*parametros_manuales!$I$26*parametros_manuales!$J$26</f>
        <v>3932.52447272</v>
      </c>
      <c r="G171" s="9" t="n">
        <f aca="false">(parametros_manuales!$D$26*(datos_base!$H$2+datos_base!$H$18+IF(parametros_manuales!$H$26="Todos",datos_base!$H$9+datos_base!$H$23,0))*parametros_manuales!$G$95+parametros_manuales!$E$26*(datos_base!$H$3+datos_base!$H$19+IF(parametros_manuales!$H$26="Todos",datos_base!$H$10+datos_base!$H$24,0))*parametros_manuales!$G$100+parametros_manuales!$F$26*(datos_base!$H$4+datos_base!$H$20+IF(parametros_manuales!$H$26="Todos",datos_base!$H$11+datos_base!$H$25,0))*parametros_manuales!$G$105+parametros_manuales!$G$26*(datos_base!$H$5+datos_base!$H$21+IF(parametros_manuales!$H$26="Todos",datos_base!$H$12+datos_base!$H$26,0))*parametros_manuales!$G$110)*parametros_manuales!$I$26*parametros_manuales!$J$26</f>
        <v>3686.741693175</v>
      </c>
      <c r="H171" s="9" t="n">
        <f aca="false">(parametros_manuales!$D$26*(datos_base!$H$2+datos_base!$H$18+IF(parametros_manuales!$H$26="Todos",datos_base!$H$9+datos_base!$H$23,0))*parametros_manuales!$H$95+parametros_manuales!$E$26*(datos_base!$H$3+datos_base!$H$19+IF(parametros_manuales!$H$26="Todos",datos_base!$H$10+datos_base!$H$24,0))*parametros_manuales!$H$100+parametros_manuales!$F$26*(datos_base!$H$4+datos_base!$H$20+IF(parametros_manuales!$H$26="Todos",datos_base!$H$11+datos_base!$H$25,0))*parametros_manuales!$H$105+parametros_manuales!$G$26*(datos_base!$H$5+datos_base!$H$21+IF(parametros_manuales!$H$26="Todos",datos_base!$H$12+datos_base!$H$26,0))*parametros_manuales!$H$110)*parametros_manuales!$I$26*parametros_manuales!$J$26</f>
        <v>3932.52447272</v>
      </c>
      <c r="I171" s="9" t="n">
        <f aca="false">(parametros_manuales!$D$26*(datos_base!$H$2+datos_base!$H$18+IF(parametros_manuales!$H$26="Todos",datos_base!$H$9+datos_base!$H$23,0))*parametros_manuales!$I$95+parametros_manuales!$E$26*(datos_base!$H$3+datos_base!$H$19+IF(parametros_manuales!$H$26="Todos",datos_base!$H$10+datos_base!$H$24,0))*parametros_manuales!$I$100+parametros_manuales!$F$26*(datos_base!$H$4+datos_base!$H$20+IF(parametros_manuales!$H$26="Todos",datos_base!$H$11+datos_base!$H$25,0))*parametros_manuales!$I$105+parametros_manuales!$G$26*(datos_base!$H$5+datos_base!$H$21+IF(parametros_manuales!$H$26="Todos",datos_base!$H$12+datos_base!$H$26,0))*parametros_manuales!$I$110)*parametros_manuales!$I$26*parametros_manuales!$J$26</f>
        <v>3932.52447272</v>
      </c>
      <c r="J171" s="9" t="n">
        <f aca="false">(parametros_manuales!$D$26*(datos_base!$H$2+datos_base!$H$18+IF(parametros_manuales!$H$26="Todos",datos_base!$H$9+datos_base!$H$23,0))*parametros_manuales!$J$95+parametros_manuales!$E$26*(datos_base!$H$3+datos_base!$H$19+IF(parametros_manuales!$H$26="Todos",datos_base!$H$10+datos_base!$H$24,0))*parametros_manuales!$J$100+parametros_manuales!$F$26*(datos_base!$H$4+datos_base!$H$20+IF(parametros_manuales!$H$26="Todos",datos_base!$H$11+datos_base!$H$25,0))*parametros_manuales!$J$105+parametros_manuales!$G$26*(datos_base!$H$5+datos_base!$H$21+IF(parametros_manuales!$H$26="Todos",datos_base!$H$12+datos_base!$H$26,0))*parametros_manuales!$J$110)*parametros_manuales!$I$26*parametros_manuales!$J$26</f>
        <v>3932.52447272</v>
      </c>
      <c r="K171" s="9" t="n">
        <f aca="false">(parametros_manuales!$D$26*(datos_base!$H$2+datos_base!$H$18+IF(parametros_manuales!$H$26="Todos",datos_base!$H$9+datos_base!$H$23,0))*parametros_manuales!$K$95+parametros_manuales!$E$26*(datos_base!$H$3+datos_base!$H$19+IF(parametros_manuales!$H$26="Todos",datos_base!$H$10+datos_base!$H$24,0))*parametros_manuales!$K$100+parametros_manuales!$F$26*(datos_base!$H$4+datos_base!$H$20+IF(parametros_manuales!$H$26="Todos",datos_base!$H$11+datos_base!$H$25,0))*parametros_manuales!$K$105+parametros_manuales!$G$26*(datos_base!$H$5+datos_base!$H$21+IF(parametros_manuales!$H$26="Todos",datos_base!$H$12+datos_base!$H$26,0))*parametros_manuales!$K$110)*parametros_manuales!$I$26*parametros_manuales!$J$26</f>
        <v>4178.307252265</v>
      </c>
      <c r="L171" s="9" t="n">
        <f aca="false">(parametros_manuales!$D$26*(datos_base!$H$2+datos_base!$H$18+IF(parametros_manuales!$H$26="Todos",datos_base!$H$9+datos_base!$H$23,0))*parametros_manuales!$L$95+parametros_manuales!$E$26*(datos_base!$H$3+datos_base!$H$19+IF(parametros_manuales!$H$26="Todos",datos_base!$H$10+datos_base!$H$24,0))*parametros_manuales!$L$100+parametros_manuales!$F$26*(datos_base!$H$4+datos_base!$H$20+IF(parametros_manuales!$H$26="Todos",datos_base!$H$11+datos_base!$H$25,0))*parametros_manuales!$L$105+parametros_manuales!$G$26*(datos_base!$H$5+datos_base!$H$21+IF(parametros_manuales!$H$26="Todos",datos_base!$H$12+datos_base!$H$26,0))*parametros_manuales!$L$110)*parametros_manuales!$I$26*parametros_manuales!$J$26</f>
        <v>4424.09003181</v>
      </c>
      <c r="M171" s="9" t="n">
        <f aca="false">(parametros_manuales!$D$26*(datos_base!$H$2+datos_base!$H$18+IF(parametros_manuales!$H$26="Todos",datos_base!$H$9+datos_base!$H$23,0))*parametros_manuales!$M$95+parametros_manuales!$E$26*(datos_base!$H$3+datos_base!$H$19+IF(parametros_manuales!$H$26="Todos",datos_base!$H$10+datos_base!$H$24,0))*parametros_manuales!$M$100+parametros_manuales!$F$26*(datos_base!$H$4+datos_base!$H$20+IF(parametros_manuales!$H$26="Todos",datos_base!$H$11+datos_base!$H$25,0))*parametros_manuales!$M$105+parametros_manuales!$G$26*(datos_base!$H$5+datos_base!$H$21+IF(parametros_manuales!$H$26="Todos",datos_base!$H$12+datos_base!$H$26,0))*parametros_manuales!$M$110)*parametros_manuales!$I$26*parametros_manuales!$J$26</f>
        <v>4424.09003181</v>
      </c>
      <c r="N171" s="9" t="n">
        <f aca="false">SUM(B171:M171)</f>
        <v>49156.555909</v>
      </c>
      <c r="O171" s="9" t="n">
        <f aca="false">MAX(B171:M171)</f>
        <v>4424.09003181</v>
      </c>
      <c r="P171" s="43" t="n">
        <f aca="false">O171/(parametros_manuales!$B$7)</f>
        <v>29.4939335454</v>
      </c>
      <c r="Q171" s="8" t="str">
        <f aca="false">IF(O171=0,"-",INDEX($B$163:$M$163,MATCH(O171,B171:M171,0)))</f>
        <v>Ene</v>
      </c>
    </row>
    <row r="172" customFormat="false" ht="14.25" hidden="false" customHeight="true" outlineLevel="0" collapsed="false">
      <c r="A172" s="8" t="str">
        <f aca="false">parametros_manuales!$B$27</f>
        <v>Soldadura longitudinal</v>
      </c>
      <c r="B172" s="9" t="n">
        <f aca="false">(parametros_manuales!$D$27*(datos_base!$H$2+datos_base!$H$18+IF(parametros_manuales!$H$27="Todos",datos_base!$H$9+datos_base!$H$23,0))*parametros_manuales!$B$95+parametros_manuales!$E$27*(datos_base!$H$3+datos_base!$H$19+IF(parametros_manuales!$H$27="Todos",datos_base!$H$10+datos_base!$H$24,0))*parametros_manuales!$B$100+parametros_manuales!$F$27*(datos_base!$H$4+datos_base!$H$20+IF(parametros_manuales!$H$27="Todos",datos_base!$H$11+datos_base!$H$25,0))*parametros_manuales!$B$105+parametros_manuales!$G$27*(datos_base!$H$5+datos_base!$H$21+IF(parametros_manuales!$H$27="Todos",datos_base!$H$12+datos_base!$H$26,0))*parametros_manuales!$B$110)*parametros_manuales!$I$27*parametros_manuales!$J$27</f>
        <v>4424.09003181</v>
      </c>
      <c r="C172" s="9" t="n">
        <f aca="false">(parametros_manuales!$D$27*(datos_base!$H$2+datos_base!$H$18+IF(parametros_manuales!$H$27="Todos",datos_base!$H$9+datos_base!$H$23,0))*parametros_manuales!$C$95+parametros_manuales!$E$27*(datos_base!$H$3+datos_base!$H$19+IF(parametros_manuales!$H$27="Todos",datos_base!$H$10+datos_base!$H$24,0))*parametros_manuales!$C$100+parametros_manuales!$F$27*(datos_base!$H$4+datos_base!$H$20+IF(parametros_manuales!$H$27="Todos",datos_base!$H$11+datos_base!$H$25,0))*parametros_manuales!$C$105+parametros_manuales!$G$27*(datos_base!$H$5+datos_base!$H$21+IF(parametros_manuales!$H$27="Todos",datos_base!$H$12+datos_base!$H$26,0))*parametros_manuales!$C$110)*parametros_manuales!$I$27*parametros_manuales!$J$27</f>
        <v>3932.52447272</v>
      </c>
      <c r="D172" s="9" t="n">
        <f aca="false">(parametros_manuales!$D$27*(datos_base!$H$2+datos_base!$H$18+IF(parametros_manuales!$H$27="Todos",datos_base!$H$9+datos_base!$H$23,0))*parametros_manuales!$D$95+parametros_manuales!$E$27*(datos_base!$H$3+datos_base!$H$19+IF(parametros_manuales!$H$27="Todos",datos_base!$H$10+datos_base!$H$24,0))*parametros_manuales!$D$100+parametros_manuales!$F$27*(datos_base!$H$4+datos_base!$H$20+IF(parametros_manuales!$H$27="Todos",datos_base!$H$11+datos_base!$H$25,0))*parametros_manuales!$D$105+parametros_manuales!$G$27*(datos_base!$H$5+datos_base!$H$21+IF(parametros_manuales!$H$27="Todos",datos_base!$H$12+datos_base!$H$26,0))*parametros_manuales!$D$110)*parametros_manuales!$I$27*parametros_manuales!$J$27</f>
        <v>4178.307252265</v>
      </c>
      <c r="E172" s="9" t="n">
        <f aca="false">(parametros_manuales!$D$27*(datos_base!$H$2+datos_base!$H$18+IF(parametros_manuales!$H$27="Todos",datos_base!$H$9+datos_base!$H$23,0))*parametros_manuales!$E$95+parametros_manuales!$E$27*(datos_base!$H$3+datos_base!$H$19+IF(parametros_manuales!$H$27="Todos",datos_base!$H$10+datos_base!$H$24,0))*parametros_manuales!$E$100+parametros_manuales!$F$27*(datos_base!$H$4+datos_base!$H$20+IF(parametros_manuales!$H$27="Todos",datos_base!$H$11+datos_base!$H$25,0))*parametros_manuales!$E$105+parametros_manuales!$G$27*(datos_base!$H$5+datos_base!$H$21+IF(parametros_manuales!$H$27="Todos",datos_base!$H$12+datos_base!$H$26,0))*parametros_manuales!$E$110)*parametros_manuales!$I$27*parametros_manuales!$J$27</f>
        <v>4178.307252265</v>
      </c>
      <c r="F172" s="9" t="n">
        <f aca="false">(parametros_manuales!$D$27*(datos_base!$H$2+datos_base!$H$18+IF(parametros_manuales!$H$27="Todos",datos_base!$H$9+datos_base!$H$23,0))*parametros_manuales!$F$95+parametros_manuales!$E$27*(datos_base!$H$3+datos_base!$H$19+IF(parametros_manuales!$H$27="Todos",datos_base!$H$10+datos_base!$H$24,0))*parametros_manuales!$F$100+parametros_manuales!$F$27*(datos_base!$H$4+datos_base!$H$20+IF(parametros_manuales!$H$27="Todos",datos_base!$H$11+datos_base!$H$25,0))*parametros_manuales!$F$105+parametros_manuales!$G$27*(datos_base!$H$5+datos_base!$H$21+IF(parametros_manuales!$H$27="Todos",datos_base!$H$12+datos_base!$H$26,0))*parametros_manuales!$F$110)*parametros_manuales!$I$27*parametros_manuales!$J$27</f>
        <v>3932.52447272</v>
      </c>
      <c r="G172" s="9" t="n">
        <f aca="false">(parametros_manuales!$D$27*(datos_base!$H$2+datos_base!$H$18+IF(parametros_manuales!$H$27="Todos",datos_base!$H$9+datos_base!$H$23,0))*parametros_manuales!$G$95+parametros_manuales!$E$27*(datos_base!$H$3+datos_base!$H$19+IF(parametros_manuales!$H$27="Todos",datos_base!$H$10+datos_base!$H$24,0))*parametros_manuales!$G$100+parametros_manuales!$F$27*(datos_base!$H$4+datos_base!$H$20+IF(parametros_manuales!$H$27="Todos",datos_base!$H$11+datos_base!$H$25,0))*parametros_manuales!$G$105+parametros_manuales!$G$27*(datos_base!$H$5+datos_base!$H$21+IF(parametros_manuales!$H$27="Todos",datos_base!$H$12+datos_base!$H$26,0))*parametros_manuales!$G$110)*parametros_manuales!$I$27*parametros_manuales!$J$27</f>
        <v>3686.741693175</v>
      </c>
      <c r="H172" s="9" t="n">
        <f aca="false">(parametros_manuales!$D$27*(datos_base!$H$2+datos_base!$H$18+IF(parametros_manuales!$H$27="Todos",datos_base!$H$9+datos_base!$H$23,0))*parametros_manuales!$H$95+parametros_manuales!$E$27*(datos_base!$H$3+datos_base!$H$19+IF(parametros_manuales!$H$27="Todos",datos_base!$H$10+datos_base!$H$24,0))*parametros_manuales!$H$100+parametros_manuales!$F$27*(datos_base!$H$4+datos_base!$H$20+IF(parametros_manuales!$H$27="Todos",datos_base!$H$11+datos_base!$H$25,0))*parametros_manuales!$H$105+parametros_manuales!$G$27*(datos_base!$H$5+datos_base!$H$21+IF(parametros_manuales!$H$27="Todos",datos_base!$H$12+datos_base!$H$26,0))*parametros_manuales!$H$110)*parametros_manuales!$I$27*parametros_manuales!$J$27</f>
        <v>3932.52447272</v>
      </c>
      <c r="I172" s="9" t="n">
        <f aca="false">(parametros_manuales!$D$27*(datos_base!$H$2+datos_base!$H$18+IF(parametros_manuales!$H$27="Todos",datos_base!$H$9+datos_base!$H$23,0))*parametros_manuales!$I$95+parametros_manuales!$E$27*(datos_base!$H$3+datos_base!$H$19+IF(parametros_manuales!$H$27="Todos",datos_base!$H$10+datos_base!$H$24,0))*parametros_manuales!$I$100+parametros_manuales!$F$27*(datos_base!$H$4+datos_base!$H$20+IF(parametros_manuales!$H$27="Todos",datos_base!$H$11+datos_base!$H$25,0))*parametros_manuales!$I$105+parametros_manuales!$G$27*(datos_base!$H$5+datos_base!$H$21+IF(parametros_manuales!$H$27="Todos",datos_base!$H$12+datos_base!$H$26,0))*parametros_manuales!$I$110)*parametros_manuales!$I$27*parametros_manuales!$J$27</f>
        <v>3932.52447272</v>
      </c>
      <c r="J172" s="9" t="n">
        <f aca="false">(parametros_manuales!$D$27*(datos_base!$H$2+datos_base!$H$18+IF(parametros_manuales!$H$27="Todos",datos_base!$H$9+datos_base!$H$23,0))*parametros_manuales!$J$95+parametros_manuales!$E$27*(datos_base!$H$3+datos_base!$H$19+IF(parametros_manuales!$H$27="Todos",datos_base!$H$10+datos_base!$H$24,0))*parametros_manuales!$J$100+parametros_manuales!$F$27*(datos_base!$H$4+datos_base!$H$20+IF(parametros_manuales!$H$27="Todos",datos_base!$H$11+datos_base!$H$25,0))*parametros_manuales!$J$105+parametros_manuales!$G$27*(datos_base!$H$5+datos_base!$H$21+IF(parametros_manuales!$H$27="Todos",datos_base!$H$12+datos_base!$H$26,0))*parametros_manuales!$J$110)*parametros_manuales!$I$27*parametros_manuales!$J$27</f>
        <v>3932.52447272</v>
      </c>
      <c r="K172" s="9" t="n">
        <f aca="false">(parametros_manuales!$D$27*(datos_base!$H$2+datos_base!$H$18+IF(parametros_manuales!$H$27="Todos",datos_base!$H$9+datos_base!$H$23,0))*parametros_manuales!$K$95+parametros_manuales!$E$27*(datos_base!$H$3+datos_base!$H$19+IF(parametros_manuales!$H$27="Todos",datos_base!$H$10+datos_base!$H$24,0))*parametros_manuales!$K$100+parametros_manuales!$F$27*(datos_base!$H$4+datos_base!$H$20+IF(parametros_manuales!$H$27="Todos",datos_base!$H$11+datos_base!$H$25,0))*parametros_manuales!$K$105+parametros_manuales!$G$27*(datos_base!$H$5+datos_base!$H$21+IF(parametros_manuales!$H$27="Todos",datos_base!$H$12+datos_base!$H$26,0))*parametros_manuales!$K$110)*parametros_manuales!$I$27*parametros_manuales!$J$27</f>
        <v>4178.307252265</v>
      </c>
      <c r="L172" s="9" t="n">
        <f aca="false">(parametros_manuales!$D$27*(datos_base!$H$2+datos_base!$H$18+IF(parametros_manuales!$H$27="Todos",datos_base!$H$9+datos_base!$H$23,0))*parametros_manuales!$L$95+parametros_manuales!$E$27*(datos_base!$H$3+datos_base!$H$19+IF(parametros_manuales!$H$27="Todos",datos_base!$H$10+datos_base!$H$24,0))*parametros_manuales!$L$100+parametros_manuales!$F$27*(datos_base!$H$4+datos_base!$H$20+IF(parametros_manuales!$H$27="Todos",datos_base!$H$11+datos_base!$H$25,0))*parametros_manuales!$L$105+parametros_manuales!$G$27*(datos_base!$H$5+datos_base!$H$21+IF(parametros_manuales!$H$27="Todos",datos_base!$H$12+datos_base!$H$26,0))*parametros_manuales!$L$110)*parametros_manuales!$I$27*parametros_manuales!$J$27</f>
        <v>4424.09003181</v>
      </c>
      <c r="M172" s="9" t="n">
        <f aca="false">(parametros_manuales!$D$27*(datos_base!$H$2+datos_base!$H$18+IF(parametros_manuales!$H$27="Todos",datos_base!$H$9+datos_base!$H$23,0))*parametros_manuales!$M$95+parametros_manuales!$E$27*(datos_base!$H$3+datos_base!$H$19+IF(parametros_manuales!$H$27="Todos",datos_base!$H$10+datos_base!$H$24,0))*parametros_manuales!$M$100+parametros_manuales!$F$27*(datos_base!$H$4+datos_base!$H$20+IF(parametros_manuales!$H$27="Todos",datos_base!$H$11+datos_base!$H$25,0))*parametros_manuales!$M$105+parametros_manuales!$G$27*(datos_base!$H$5+datos_base!$H$21+IF(parametros_manuales!$H$27="Todos",datos_base!$H$12+datos_base!$H$26,0))*parametros_manuales!$M$110)*parametros_manuales!$I$27*parametros_manuales!$J$27</f>
        <v>4424.09003181</v>
      </c>
      <c r="N172" s="9" t="n">
        <f aca="false">SUM(B172:M172)</f>
        <v>49156.555909</v>
      </c>
      <c r="O172" s="9" t="n">
        <f aca="false">MAX(B172:M172)</f>
        <v>4424.09003181</v>
      </c>
      <c r="P172" s="43" t="n">
        <f aca="false">O172/(parametros_manuales!$B$7)</f>
        <v>29.4939335454</v>
      </c>
      <c r="Q172" s="8" t="str">
        <f aca="false">IF(O172=0,"-",INDEX($B$163:$M$163,MATCH(O172,B172:M172,0)))</f>
        <v>Ene</v>
      </c>
    </row>
    <row r="173" customFormat="false" ht="14.25" hidden="false" customHeight="true" outlineLevel="0" collapsed="false">
      <c r="A173" s="8" t="str">
        <f aca="false">parametros_manuales!$B$28</f>
        <v>Encastre de fondo</v>
      </c>
      <c r="B173" s="9" t="n">
        <f aca="false">(parametros_manuales!$D$28*(datos_base!$H$2+datos_base!$H$18+IF(parametros_manuales!$H$28="Todos",datos_base!$H$9+datos_base!$H$23,0))*parametros_manuales!$B$95+parametros_manuales!$E$28*(datos_base!$H$3+datos_base!$H$19+IF(parametros_manuales!$H$28="Todos",datos_base!$H$10+datos_base!$H$24,0))*parametros_manuales!$B$100+parametros_manuales!$F$28*(datos_base!$H$4+datos_base!$H$20+IF(parametros_manuales!$H$28="Todos",datos_base!$H$11+datos_base!$H$25,0))*parametros_manuales!$B$105+parametros_manuales!$G$28*(datos_base!$H$5+datos_base!$H$21+IF(parametros_manuales!$H$28="Todos",datos_base!$H$12+datos_base!$H$26,0))*parametros_manuales!$B$110)*parametros_manuales!$I$28*parametros_manuales!$J$28</f>
        <v>15374.67382521</v>
      </c>
      <c r="C173" s="9" t="n">
        <f aca="false">(parametros_manuales!$D$28*(datos_base!$H$2+datos_base!$H$18+IF(parametros_manuales!$H$28="Todos",datos_base!$H$9+datos_base!$H$23,0))*parametros_manuales!$C$95+parametros_manuales!$E$28*(datos_base!$H$3+datos_base!$H$19+IF(parametros_manuales!$H$28="Todos",datos_base!$H$10+datos_base!$H$24,0))*parametros_manuales!$C$100+parametros_manuales!$F$28*(datos_base!$H$4+datos_base!$H$20+IF(parametros_manuales!$H$28="Todos",datos_base!$H$11+datos_base!$H$25,0))*parametros_manuales!$C$105+parametros_manuales!$G$28*(datos_base!$H$5+datos_base!$H$21+IF(parametros_manuales!$H$28="Todos",datos_base!$H$12+datos_base!$H$26,0))*parametros_manuales!$C$110)*parametros_manuales!$I$28*parametros_manuales!$J$28</f>
        <v>14883.10826612</v>
      </c>
      <c r="D173" s="9" t="n">
        <f aca="false">(parametros_manuales!$D$28*(datos_base!$H$2+datos_base!$H$18+IF(parametros_manuales!$H$28="Todos",datos_base!$H$9+datos_base!$H$23,0))*parametros_manuales!$D$95+parametros_manuales!$E$28*(datos_base!$H$3+datos_base!$H$19+IF(parametros_manuales!$H$28="Todos",datos_base!$H$10+datos_base!$H$24,0))*parametros_manuales!$D$100+parametros_manuales!$F$28*(datos_base!$H$4+datos_base!$H$20+IF(parametros_manuales!$H$28="Todos",datos_base!$H$11+datos_base!$H$25,0))*parametros_manuales!$D$105+parametros_manuales!$G$28*(datos_base!$H$5+datos_base!$H$21+IF(parametros_manuales!$H$28="Todos",datos_base!$H$12+datos_base!$H$26,0))*parametros_manuales!$D$110)*parametros_manuales!$I$28*parametros_manuales!$J$28</f>
        <v>13912.159513065</v>
      </c>
      <c r="E173" s="9" t="n">
        <f aca="false">(parametros_manuales!$D$28*(datos_base!$H$2+datos_base!$H$18+IF(parametros_manuales!$H$28="Todos",datos_base!$H$9+datos_base!$H$23,0))*parametros_manuales!$E$95+parametros_manuales!$E$28*(datos_base!$H$3+datos_base!$H$19+IF(parametros_manuales!$H$28="Todos",datos_base!$H$10+datos_base!$H$24,0))*parametros_manuales!$E$100+parametros_manuales!$F$28*(datos_base!$H$4+datos_base!$H$20+IF(parametros_manuales!$H$28="Todos",datos_base!$H$11+datos_base!$H$25,0))*parametros_manuales!$E$105+parametros_manuales!$G$28*(datos_base!$H$5+datos_base!$H$21+IF(parametros_manuales!$H$28="Todos",datos_base!$H$12+datos_base!$H$26,0))*parametros_manuales!$E$110)*parametros_manuales!$I$28*parametros_manuales!$J$28</f>
        <v>13303.793746765</v>
      </c>
      <c r="F173" s="9" t="n">
        <f aca="false">(parametros_manuales!$D$28*(datos_base!$H$2+datos_base!$H$18+IF(parametros_manuales!$H$28="Todos",datos_base!$H$9+datos_base!$H$23,0))*parametros_manuales!$F$95+parametros_manuales!$E$28*(datos_base!$H$3+datos_base!$H$19+IF(parametros_manuales!$H$28="Todos",datos_base!$H$10+datos_base!$H$24,0))*parametros_manuales!$F$100+parametros_manuales!$F$28*(datos_base!$H$4+datos_base!$H$20+IF(parametros_manuales!$H$28="Todos",datos_base!$H$11+datos_base!$H$25,0))*parametros_manuales!$F$105+parametros_manuales!$G$28*(datos_base!$H$5+datos_base!$H$21+IF(parametros_manuales!$H$28="Todos",datos_base!$H$12+datos_base!$H$26,0))*parametros_manuales!$F$110)*parametros_manuales!$I$28*parametros_manuales!$J$28</f>
        <v>12449.64520092</v>
      </c>
      <c r="G173" s="9" t="n">
        <f aca="false">(parametros_manuales!$D$28*(datos_base!$H$2+datos_base!$H$18+IF(parametros_manuales!$H$28="Todos",datos_base!$H$9+datos_base!$H$23,0))*parametros_manuales!$G$95+parametros_manuales!$E$28*(datos_base!$H$3+datos_base!$H$19+IF(parametros_manuales!$H$28="Todos",datos_base!$H$10+datos_base!$H$24,0))*parametros_manuales!$G$100+parametros_manuales!$F$28*(datos_base!$H$4+datos_base!$H$20+IF(parametros_manuales!$H$28="Todos",datos_base!$H$11+datos_base!$H$25,0))*parametros_manuales!$G$105+parametros_manuales!$G$28*(datos_base!$H$5+datos_base!$H$21+IF(parametros_manuales!$H$28="Todos",datos_base!$H$12+datos_base!$H$26,0))*parametros_manuales!$G$110)*parametros_manuales!$I$28*parametros_manuales!$J$28</f>
        <v>12203.862421375</v>
      </c>
      <c r="H173" s="9" t="n">
        <f aca="false">(parametros_manuales!$D$28*(datos_base!$H$2+datos_base!$H$18+IF(parametros_manuales!$H$28="Todos",datos_base!$H$9+datos_base!$H$23,0))*parametros_manuales!$H$95+parametros_manuales!$E$28*(datos_base!$H$3+datos_base!$H$19+IF(parametros_manuales!$H$28="Todos",datos_base!$H$10+datos_base!$H$24,0))*parametros_manuales!$H$100+parametros_manuales!$F$28*(datos_base!$H$4+datos_base!$H$20+IF(parametros_manuales!$H$28="Todos",datos_base!$H$11+datos_base!$H$25,0))*parametros_manuales!$H$105+parametros_manuales!$G$28*(datos_base!$H$5+datos_base!$H$21+IF(parametros_manuales!$H$28="Todos",datos_base!$H$12+datos_base!$H$26,0))*parametros_manuales!$H$110)*parametros_manuales!$I$28*parametros_manuales!$J$28</f>
        <v>13058.01096722</v>
      </c>
      <c r="I173" s="9" t="n">
        <f aca="false">(parametros_manuales!$D$28*(datos_base!$H$2+datos_base!$H$18+IF(parametros_manuales!$H$28="Todos",datos_base!$H$9+datos_base!$H$23,0))*parametros_manuales!$I$95+parametros_manuales!$E$28*(datos_base!$H$3+datos_base!$H$19+IF(parametros_manuales!$H$28="Todos",datos_base!$H$10+datos_base!$H$24,0))*parametros_manuales!$I$100+parametros_manuales!$F$28*(datos_base!$H$4+datos_base!$H$20+IF(parametros_manuales!$H$28="Todos",datos_base!$H$11+datos_base!$H$25,0))*parametros_manuales!$I$105+parametros_manuales!$G$28*(datos_base!$H$5+datos_base!$H$21+IF(parametros_manuales!$H$28="Todos",datos_base!$H$12+datos_base!$H$26,0))*parametros_manuales!$I$110)*parametros_manuales!$I$28*parametros_manuales!$J$28</f>
        <v>14883.10826612</v>
      </c>
      <c r="J173" s="9" t="n">
        <f aca="false">(parametros_manuales!$D$28*(datos_base!$H$2+datos_base!$H$18+IF(parametros_manuales!$H$28="Todos",datos_base!$H$9+datos_base!$H$23,0))*parametros_manuales!$J$95+parametros_manuales!$E$28*(datos_base!$H$3+datos_base!$H$19+IF(parametros_manuales!$H$28="Todos",datos_base!$H$10+datos_base!$H$24,0))*parametros_manuales!$J$100+parametros_manuales!$F$28*(datos_base!$H$4+datos_base!$H$20+IF(parametros_manuales!$H$28="Todos",datos_base!$H$11+datos_base!$H$25,0))*parametros_manuales!$J$105+parametros_manuales!$G$28*(datos_base!$H$5+datos_base!$H$21+IF(parametros_manuales!$H$28="Todos",datos_base!$H$12+datos_base!$H$26,0))*parametros_manuales!$J$110)*parametros_manuales!$I$28*parametros_manuales!$J$28</f>
        <v>14883.10826612</v>
      </c>
      <c r="K173" s="9" t="n">
        <f aca="false">(parametros_manuales!$D$28*(datos_base!$H$2+datos_base!$H$18+IF(parametros_manuales!$H$28="Todos",datos_base!$H$9+datos_base!$H$23,0))*parametros_manuales!$K$95+parametros_manuales!$E$28*(datos_base!$H$3+datos_base!$H$19+IF(parametros_manuales!$H$28="Todos",datos_base!$H$10+datos_base!$H$24,0))*parametros_manuales!$K$100+parametros_manuales!$F$28*(datos_base!$H$4+datos_base!$H$20+IF(parametros_manuales!$H$28="Todos",datos_base!$H$11+datos_base!$H$25,0))*parametros_manuales!$K$105+parametros_manuales!$G$28*(datos_base!$H$5+datos_base!$H$21+IF(parametros_manuales!$H$28="Todos",datos_base!$H$12+datos_base!$H$26,0))*parametros_manuales!$K$110)*parametros_manuales!$I$28*parametros_manuales!$J$28</f>
        <v>15128.891045665</v>
      </c>
      <c r="L173" s="9" t="n">
        <f aca="false">(parametros_manuales!$D$28*(datos_base!$H$2+datos_base!$H$18+IF(parametros_manuales!$H$28="Todos",datos_base!$H$9+datos_base!$H$23,0))*parametros_manuales!$L$95+parametros_manuales!$E$28*(datos_base!$H$3+datos_base!$H$19+IF(parametros_manuales!$H$28="Todos",datos_base!$H$10+datos_base!$H$24,0))*parametros_manuales!$L$100+parametros_manuales!$F$28*(datos_base!$H$4+datos_base!$H$20+IF(parametros_manuales!$H$28="Todos",datos_base!$H$11+datos_base!$H$25,0))*parametros_manuales!$L$105+parametros_manuales!$G$28*(datos_base!$H$5+datos_base!$H$21+IF(parametros_manuales!$H$28="Todos",datos_base!$H$12+datos_base!$H$26,0))*parametros_manuales!$L$110)*parametros_manuales!$I$28*parametros_manuales!$J$28</f>
        <v>15374.67382521</v>
      </c>
      <c r="M173" s="9" t="n">
        <f aca="false">(parametros_manuales!$D$28*(datos_base!$H$2+datos_base!$H$18+IF(parametros_manuales!$H$28="Todos",datos_base!$H$9+datos_base!$H$23,0))*parametros_manuales!$M$95+parametros_manuales!$E$28*(datos_base!$H$3+datos_base!$H$19+IF(parametros_manuales!$H$28="Todos",datos_base!$H$10+datos_base!$H$24,0))*parametros_manuales!$M$100+parametros_manuales!$F$28*(datos_base!$H$4+datos_base!$H$20+IF(parametros_manuales!$H$28="Todos",datos_base!$H$11+datos_base!$H$25,0))*parametros_manuales!$M$105+parametros_manuales!$G$28*(datos_base!$H$5+datos_base!$H$21+IF(parametros_manuales!$H$28="Todos",datos_base!$H$12+datos_base!$H$26,0))*parametros_manuales!$M$110)*parametros_manuales!$I$28*parametros_manuales!$J$28</f>
        <v>15374.67382521</v>
      </c>
      <c r="N173" s="9" t="n">
        <f aca="false">SUM(B173:M173)</f>
        <v>170829.709169</v>
      </c>
      <c r="O173" s="9" t="n">
        <f aca="false">MAX(B173:M173)</f>
        <v>15374.67382521</v>
      </c>
      <c r="P173" s="43" t="n">
        <f aca="false">O173/(parametros_manuales!$B$7)</f>
        <v>102.4978255014</v>
      </c>
      <c r="Q173" s="8" t="str">
        <f aca="false">IF(O173=0,"-",INDEX($B$163:$M$163,MATCH(O173,B173:M173,0)))</f>
        <v>Ene</v>
      </c>
    </row>
    <row r="174" customFormat="false" ht="14.25" hidden="false" customHeight="true" outlineLevel="0" collapsed="false">
      <c r="A174" s="8" t="str">
        <f aca="false">parametros_manuales!$B$29</f>
        <v>Bordoneado</v>
      </c>
      <c r="B174" s="9" t="n">
        <f aca="false">(parametros_manuales!$D$29*(datos_base!$H$2+datos_base!$H$18+IF(parametros_manuales!$H$29="Todos",datos_base!$H$9+datos_base!$H$23,0))*parametros_manuales!$B$95+parametros_manuales!$E$29*(datos_base!$H$3+datos_base!$H$19+IF(parametros_manuales!$H$29="Todos",datos_base!$H$10+datos_base!$H$24,0))*parametros_manuales!$B$100+parametros_manuales!$F$29*(datos_base!$H$4+datos_base!$H$20+IF(parametros_manuales!$H$29="Todos",datos_base!$H$11+datos_base!$H$25,0))*parametros_manuales!$B$105+parametros_manuales!$G$29*(datos_base!$H$5+datos_base!$H$21+IF(parametros_manuales!$H$29="Todos",datos_base!$H$12+datos_base!$H$26,0))*parametros_manuales!$B$110)*parametros_manuales!$I$29*parametros_manuales!$J$29</f>
        <v>15374.67382521</v>
      </c>
      <c r="C174" s="9" t="n">
        <f aca="false">(parametros_manuales!$D$29*(datos_base!$H$2+datos_base!$H$18+IF(parametros_manuales!$H$29="Todos",datos_base!$H$9+datos_base!$H$23,0))*parametros_manuales!$C$95+parametros_manuales!$E$29*(datos_base!$H$3+datos_base!$H$19+IF(parametros_manuales!$H$29="Todos",datos_base!$H$10+datos_base!$H$24,0))*parametros_manuales!$C$100+parametros_manuales!$F$29*(datos_base!$H$4+datos_base!$H$20+IF(parametros_manuales!$H$29="Todos",datos_base!$H$11+datos_base!$H$25,0))*parametros_manuales!$C$105+parametros_manuales!$G$29*(datos_base!$H$5+datos_base!$H$21+IF(parametros_manuales!$H$29="Todos",datos_base!$H$12+datos_base!$H$26,0))*parametros_manuales!$C$110)*parametros_manuales!$I$29*parametros_manuales!$J$29</f>
        <v>14883.10826612</v>
      </c>
      <c r="D174" s="9" t="n">
        <f aca="false">(parametros_manuales!$D$29*(datos_base!$H$2+datos_base!$H$18+IF(parametros_manuales!$H$29="Todos",datos_base!$H$9+datos_base!$H$23,0))*parametros_manuales!$D$95+parametros_manuales!$E$29*(datos_base!$H$3+datos_base!$H$19+IF(parametros_manuales!$H$29="Todos",datos_base!$H$10+datos_base!$H$24,0))*parametros_manuales!$D$100+parametros_manuales!$F$29*(datos_base!$H$4+datos_base!$H$20+IF(parametros_manuales!$H$29="Todos",datos_base!$H$11+datos_base!$H$25,0))*parametros_manuales!$D$105+parametros_manuales!$G$29*(datos_base!$H$5+datos_base!$H$21+IF(parametros_manuales!$H$29="Todos",datos_base!$H$12+datos_base!$H$26,0))*parametros_manuales!$D$110)*parametros_manuales!$I$29*parametros_manuales!$J$29</f>
        <v>13912.159513065</v>
      </c>
      <c r="E174" s="9" t="n">
        <f aca="false">(parametros_manuales!$D$29*(datos_base!$H$2+datos_base!$H$18+IF(parametros_manuales!$H$29="Todos",datos_base!$H$9+datos_base!$H$23,0))*parametros_manuales!$E$95+parametros_manuales!$E$29*(datos_base!$H$3+datos_base!$H$19+IF(parametros_manuales!$H$29="Todos",datos_base!$H$10+datos_base!$H$24,0))*parametros_manuales!$E$100+parametros_manuales!$F$29*(datos_base!$H$4+datos_base!$H$20+IF(parametros_manuales!$H$29="Todos",datos_base!$H$11+datos_base!$H$25,0))*parametros_manuales!$E$105+parametros_manuales!$G$29*(datos_base!$H$5+datos_base!$H$21+IF(parametros_manuales!$H$29="Todos",datos_base!$H$12+datos_base!$H$26,0))*parametros_manuales!$E$110)*parametros_manuales!$I$29*parametros_manuales!$J$29</f>
        <v>13303.793746765</v>
      </c>
      <c r="F174" s="9" t="n">
        <f aca="false">(parametros_manuales!$D$29*(datos_base!$H$2+datos_base!$H$18+IF(parametros_manuales!$H$29="Todos",datos_base!$H$9+datos_base!$H$23,0))*parametros_manuales!$F$95+parametros_manuales!$E$29*(datos_base!$H$3+datos_base!$H$19+IF(parametros_manuales!$H$29="Todos",datos_base!$H$10+datos_base!$H$24,0))*parametros_manuales!$F$100+parametros_manuales!$F$29*(datos_base!$H$4+datos_base!$H$20+IF(parametros_manuales!$H$29="Todos",datos_base!$H$11+datos_base!$H$25,0))*parametros_manuales!$F$105+parametros_manuales!$G$29*(datos_base!$H$5+datos_base!$H$21+IF(parametros_manuales!$H$29="Todos",datos_base!$H$12+datos_base!$H$26,0))*parametros_manuales!$F$110)*parametros_manuales!$I$29*parametros_manuales!$J$29</f>
        <v>12449.64520092</v>
      </c>
      <c r="G174" s="9" t="n">
        <f aca="false">(parametros_manuales!$D$29*(datos_base!$H$2+datos_base!$H$18+IF(parametros_manuales!$H$29="Todos",datos_base!$H$9+datos_base!$H$23,0))*parametros_manuales!$G$95+parametros_manuales!$E$29*(datos_base!$H$3+datos_base!$H$19+IF(parametros_manuales!$H$29="Todos",datos_base!$H$10+datos_base!$H$24,0))*parametros_manuales!$G$100+parametros_manuales!$F$29*(datos_base!$H$4+datos_base!$H$20+IF(parametros_manuales!$H$29="Todos",datos_base!$H$11+datos_base!$H$25,0))*parametros_manuales!$G$105+parametros_manuales!$G$29*(datos_base!$H$5+datos_base!$H$21+IF(parametros_manuales!$H$29="Todos",datos_base!$H$12+datos_base!$H$26,0))*parametros_manuales!$G$110)*parametros_manuales!$I$29*parametros_manuales!$J$29</f>
        <v>12203.862421375</v>
      </c>
      <c r="H174" s="9" t="n">
        <f aca="false">(parametros_manuales!$D$29*(datos_base!$H$2+datos_base!$H$18+IF(parametros_manuales!$H$29="Todos",datos_base!$H$9+datos_base!$H$23,0))*parametros_manuales!$H$95+parametros_manuales!$E$29*(datos_base!$H$3+datos_base!$H$19+IF(parametros_manuales!$H$29="Todos",datos_base!$H$10+datos_base!$H$24,0))*parametros_manuales!$H$100+parametros_manuales!$F$29*(datos_base!$H$4+datos_base!$H$20+IF(parametros_manuales!$H$29="Todos",datos_base!$H$11+datos_base!$H$25,0))*parametros_manuales!$H$105+parametros_manuales!$G$29*(datos_base!$H$5+datos_base!$H$21+IF(parametros_manuales!$H$29="Todos",datos_base!$H$12+datos_base!$H$26,0))*parametros_manuales!$H$110)*parametros_manuales!$I$29*parametros_manuales!$J$29</f>
        <v>13058.01096722</v>
      </c>
      <c r="I174" s="9" t="n">
        <f aca="false">(parametros_manuales!$D$29*(datos_base!$H$2+datos_base!$H$18+IF(parametros_manuales!$H$29="Todos",datos_base!$H$9+datos_base!$H$23,0))*parametros_manuales!$I$95+parametros_manuales!$E$29*(datos_base!$H$3+datos_base!$H$19+IF(parametros_manuales!$H$29="Todos",datos_base!$H$10+datos_base!$H$24,0))*parametros_manuales!$I$100+parametros_manuales!$F$29*(datos_base!$H$4+datos_base!$H$20+IF(parametros_manuales!$H$29="Todos",datos_base!$H$11+datos_base!$H$25,0))*parametros_manuales!$I$105+parametros_manuales!$G$29*(datos_base!$H$5+datos_base!$H$21+IF(parametros_manuales!$H$29="Todos",datos_base!$H$12+datos_base!$H$26,0))*parametros_manuales!$I$110)*parametros_manuales!$I$29*parametros_manuales!$J$29</f>
        <v>14883.10826612</v>
      </c>
      <c r="J174" s="9" t="n">
        <f aca="false">(parametros_manuales!$D$29*(datos_base!$H$2+datos_base!$H$18+IF(parametros_manuales!$H$29="Todos",datos_base!$H$9+datos_base!$H$23,0))*parametros_manuales!$J$95+parametros_manuales!$E$29*(datos_base!$H$3+datos_base!$H$19+IF(parametros_manuales!$H$29="Todos",datos_base!$H$10+datos_base!$H$24,0))*parametros_manuales!$J$100+parametros_manuales!$F$29*(datos_base!$H$4+datos_base!$H$20+IF(parametros_manuales!$H$29="Todos",datos_base!$H$11+datos_base!$H$25,0))*parametros_manuales!$J$105+parametros_manuales!$G$29*(datos_base!$H$5+datos_base!$H$21+IF(parametros_manuales!$H$29="Todos",datos_base!$H$12+datos_base!$H$26,0))*parametros_manuales!$J$110)*parametros_manuales!$I$29*parametros_manuales!$J$29</f>
        <v>14883.10826612</v>
      </c>
      <c r="K174" s="9" t="n">
        <f aca="false">(parametros_manuales!$D$29*(datos_base!$H$2+datos_base!$H$18+IF(parametros_manuales!$H$29="Todos",datos_base!$H$9+datos_base!$H$23,0))*parametros_manuales!$K$95+parametros_manuales!$E$29*(datos_base!$H$3+datos_base!$H$19+IF(parametros_manuales!$H$29="Todos",datos_base!$H$10+datos_base!$H$24,0))*parametros_manuales!$K$100+parametros_manuales!$F$29*(datos_base!$H$4+datos_base!$H$20+IF(parametros_manuales!$H$29="Todos",datos_base!$H$11+datos_base!$H$25,0))*parametros_manuales!$K$105+parametros_manuales!$G$29*(datos_base!$H$5+datos_base!$H$21+IF(parametros_manuales!$H$29="Todos",datos_base!$H$12+datos_base!$H$26,0))*parametros_manuales!$K$110)*parametros_manuales!$I$29*parametros_manuales!$J$29</f>
        <v>15128.891045665</v>
      </c>
      <c r="L174" s="9" t="n">
        <f aca="false">(parametros_manuales!$D$29*(datos_base!$H$2+datos_base!$H$18+IF(parametros_manuales!$H$29="Todos",datos_base!$H$9+datos_base!$H$23,0))*parametros_manuales!$L$95+parametros_manuales!$E$29*(datos_base!$H$3+datos_base!$H$19+IF(parametros_manuales!$H$29="Todos",datos_base!$H$10+datos_base!$H$24,0))*parametros_manuales!$L$100+parametros_manuales!$F$29*(datos_base!$H$4+datos_base!$H$20+IF(parametros_manuales!$H$29="Todos",datos_base!$H$11+datos_base!$H$25,0))*parametros_manuales!$L$105+parametros_manuales!$G$29*(datos_base!$H$5+datos_base!$H$21+IF(parametros_manuales!$H$29="Todos",datos_base!$H$12+datos_base!$H$26,0))*parametros_manuales!$L$110)*parametros_manuales!$I$29*parametros_manuales!$J$29</f>
        <v>15374.67382521</v>
      </c>
      <c r="M174" s="9" t="n">
        <f aca="false">(parametros_manuales!$D$29*(datos_base!$H$2+datos_base!$H$18+IF(parametros_manuales!$H$29="Todos",datos_base!$H$9+datos_base!$H$23,0))*parametros_manuales!$M$95+parametros_manuales!$E$29*(datos_base!$H$3+datos_base!$H$19+IF(parametros_manuales!$H$29="Todos",datos_base!$H$10+datos_base!$H$24,0))*parametros_manuales!$M$100+parametros_manuales!$F$29*(datos_base!$H$4+datos_base!$H$20+IF(parametros_manuales!$H$29="Todos",datos_base!$H$11+datos_base!$H$25,0))*parametros_manuales!$M$105+parametros_manuales!$G$29*(datos_base!$H$5+datos_base!$H$21+IF(parametros_manuales!$H$29="Todos",datos_base!$H$12+datos_base!$H$26,0))*parametros_manuales!$M$110)*parametros_manuales!$I$29*parametros_manuales!$J$29</f>
        <v>15374.67382521</v>
      </c>
      <c r="N174" s="9" t="n">
        <f aca="false">SUM(B174:M174)</f>
        <v>170829.709169</v>
      </c>
      <c r="O174" s="9" t="n">
        <f aca="false">MAX(B174:M174)</f>
        <v>15374.67382521</v>
      </c>
      <c r="P174" s="43" t="n">
        <f aca="false">O174/(parametros_manuales!$B$7)</f>
        <v>102.4978255014</v>
      </c>
      <c r="Q174" s="8" t="str">
        <f aca="false">IF(O174=0,"-",INDEX($B$163:$M$163,MATCH(O174,B174:M174,0)))</f>
        <v>Ene</v>
      </c>
    </row>
    <row r="175" customFormat="false" ht="14.25" hidden="false" customHeight="true" outlineLevel="0" collapsed="false">
      <c r="A175" s="8" t="str">
        <f aca="false">parametros_manuales!$B$30</f>
        <v>Soldadura circunferencial de cúpula y fondo</v>
      </c>
      <c r="B175" s="9" t="n">
        <f aca="false">(parametros_manuales!$D$30*(datos_base!$H$2+datos_base!$H$18+IF(parametros_manuales!$H$30="Todos",datos_base!$H$9+datos_base!$H$23,0))*parametros_manuales!$B$95+parametros_manuales!$E$30*(datos_base!$H$3+datos_base!$H$19+IF(parametros_manuales!$H$30="Todos",datos_base!$H$10+datos_base!$H$24,0))*parametros_manuales!$B$100+parametros_manuales!$F$30*(datos_base!$H$4+datos_base!$H$20+IF(parametros_manuales!$H$30="Todos",datos_base!$H$11+datos_base!$H$25,0))*parametros_manuales!$B$105+parametros_manuales!$G$30*(datos_base!$H$5+datos_base!$H$21+IF(parametros_manuales!$H$30="Todos",datos_base!$H$12+datos_base!$H$26,0))*parametros_manuales!$B$110)*parametros_manuales!$I$30*parametros_manuales!$J$30</f>
        <v>15374.67382521</v>
      </c>
      <c r="C175" s="9" t="n">
        <f aca="false">(parametros_manuales!$D$30*(datos_base!$H$2+datos_base!$H$18+IF(parametros_manuales!$H$30="Todos",datos_base!$H$9+datos_base!$H$23,0))*parametros_manuales!$C$95+parametros_manuales!$E$30*(datos_base!$H$3+datos_base!$H$19+IF(parametros_manuales!$H$30="Todos",datos_base!$H$10+datos_base!$H$24,0))*parametros_manuales!$C$100+parametros_manuales!$F$30*(datos_base!$H$4+datos_base!$H$20+IF(parametros_manuales!$H$30="Todos",datos_base!$H$11+datos_base!$H$25,0))*parametros_manuales!$C$105+parametros_manuales!$G$30*(datos_base!$H$5+datos_base!$H$21+IF(parametros_manuales!$H$30="Todos",datos_base!$H$12+datos_base!$H$26,0))*parametros_manuales!$C$110)*parametros_manuales!$I$30*parametros_manuales!$J$30</f>
        <v>14883.10826612</v>
      </c>
      <c r="D175" s="9" t="n">
        <f aca="false">(parametros_manuales!$D$30*(datos_base!$H$2+datos_base!$H$18+IF(parametros_manuales!$H$30="Todos",datos_base!$H$9+datos_base!$H$23,0))*parametros_manuales!$D$95+parametros_manuales!$E$30*(datos_base!$H$3+datos_base!$H$19+IF(parametros_manuales!$H$30="Todos",datos_base!$H$10+datos_base!$H$24,0))*parametros_manuales!$D$100+parametros_manuales!$F$30*(datos_base!$H$4+datos_base!$H$20+IF(parametros_manuales!$H$30="Todos",datos_base!$H$11+datos_base!$H$25,0))*parametros_manuales!$D$105+parametros_manuales!$G$30*(datos_base!$H$5+datos_base!$H$21+IF(parametros_manuales!$H$30="Todos",datos_base!$H$12+datos_base!$H$26,0))*parametros_manuales!$D$110)*parametros_manuales!$I$30*parametros_manuales!$J$30</f>
        <v>13912.159513065</v>
      </c>
      <c r="E175" s="9" t="n">
        <f aca="false">(parametros_manuales!$D$30*(datos_base!$H$2+datos_base!$H$18+IF(parametros_manuales!$H$30="Todos",datos_base!$H$9+datos_base!$H$23,0))*parametros_manuales!$E$95+parametros_manuales!$E$30*(datos_base!$H$3+datos_base!$H$19+IF(parametros_manuales!$H$30="Todos",datos_base!$H$10+datos_base!$H$24,0))*parametros_manuales!$E$100+parametros_manuales!$F$30*(datos_base!$H$4+datos_base!$H$20+IF(parametros_manuales!$H$30="Todos",datos_base!$H$11+datos_base!$H$25,0))*parametros_manuales!$E$105+parametros_manuales!$G$30*(datos_base!$H$5+datos_base!$H$21+IF(parametros_manuales!$H$30="Todos",datos_base!$H$12+datos_base!$H$26,0))*parametros_manuales!$E$110)*parametros_manuales!$I$30*parametros_manuales!$J$30</f>
        <v>13303.793746765</v>
      </c>
      <c r="F175" s="9" t="n">
        <f aca="false">(parametros_manuales!$D$30*(datos_base!$H$2+datos_base!$H$18+IF(parametros_manuales!$H$30="Todos",datos_base!$H$9+datos_base!$H$23,0))*parametros_manuales!$F$95+parametros_manuales!$E$30*(datos_base!$H$3+datos_base!$H$19+IF(parametros_manuales!$H$30="Todos",datos_base!$H$10+datos_base!$H$24,0))*parametros_manuales!$F$100+parametros_manuales!$F$30*(datos_base!$H$4+datos_base!$H$20+IF(parametros_manuales!$H$30="Todos",datos_base!$H$11+datos_base!$H$25,0))*parametros_manuales!$F$105+parametros_manuales!$G$30*(datos_base!$H$5+datos_base!$H$21+IF(parametros_manuales!$H$30="Todos",datos_base!$H$12+datos_base!$H$26,0))*parametros_manuales!$F$110)*parametros_manuales!$I$30*parametros_manuales!$J$30</f>
        <v>12449.64520092</v>
      </c>
      <c r="G175" s="9" t="n">
        <f aca="false">(parametros_manuales!$D$30*(datos_base!$H$2+datos_base!$H$18+IF(parametros_manuales!$H$30="Todos",datos_base!$H$9+datos_base!$H$23,0))*parametros_manuales!$G$95+parametros_manuales!$E$30*(datos_base!$H$3+datos_base!$H$19+IF(parametros_manuales!$H$30="Todos",datos_base!$H$10+datos_base!$H$24,0))*parametros_manuales!$G$100+parametros_manuales!$F$30*(datos_base!$H$4+datos_base!$H$20+IF(parametros_manuales!$H$30="Todos",datos_base!$H$11+datos_base!$H$25,0))*parametros_manuales!$G$105+parametros_manuales!$G$30*(datos_base!$H$5+datos_base!$H$21+IF(parametros_manuales!$H$30="Todos",datos_base!$H$12+datos_base!$H$26,0))*parametros_manuales!$G$110)*parametros_manuales!$I$30*parametros_manuales!$J$30</f>
        <v>12203.862421375</v>
      </c>
      <c r="H175" s="9" t="n">
        <f aca="false">(parametros_manuales!$D$30*(datos_base!$H$2+datos_base!$H$18+IF(parametros_manuales!$H$30="Todos",datos_base!$H$9+datos_base!$H$23,0))*parametros_manuales!$H$95+parametros_manuales!$E$30*(datos_base!$H$3+datos_base!$H$19+IF(parametros_manuales!$H$30="Todos",datos_base!$H$10+datos_base!$H$24,0))*parametros_manuales!$H$100+parametros_manuales!$F$30*(datos_base!$H$4+datos_base!$H$20+IF(parametros_manuales!$H$30="Todos",datos_base!$H$11+datos_base!$H$25,0))*parametros_manuales!$H$105+parametros_manuales!$G$30*(datos_base!$H$5+datos_base!$H$21+IF(parametros_manuales!$H$30="Todos",datos_base!$H$12+datos_base!$H$26,0))*parametros_manuales!$H$110)*parametros_manuales!$I$30*parametros_manuales!$J$30</f>
        <v>13058.01096722</v>
      </c>
      <c r="I175" s="9" t="n">
        <f aca="false">(parametros_manuales!$D$30*(datos_base!$H$2+datos_base!$H$18+IF(parametros_manuales!$H$30="Todos",datos_base!$H$9+datos_base!$H$23,0))*parametros_manuales!$I$95+parametros_manuales!$E$30*(datos_base!$H$3+datos_base!$H$19+IF(parametros_manuales!$H$30="Todos",datos_base!$H$10+datos_base!$H$24,0))*parametros_manuales!$I$100+parametros_manuales!$F$30*(datos_base!$H$4+datos_base!$H$20+IF(parametros_manuales!$H$30="Todos",datos_base!$H$11+datos_base!$H$25,0))*parametros_manuales!$I$105+parametros_manuales!$G$30*(datos_base!$H$5+datos_base!$H$21+IF(parametros_manuales!$H$30="Todos",datos_base!$H$12+datos_base!$H$26,0))*parametros_manuales!$I$110)*parametros_manuales!$I$30*parametros_manuales!$J$30</f>
        <v>14883.10826612</v>
      </c>
      <c r="J175" s="9" t="n">
        <f aca="false">(parametros_manuales!$D$30*(datos_base!$H$2+datos_base!$H$18+IF(parametros_manuales!$H$30="Todos",datos_base!$H$9+datos_base!$H$23,0))*parametros_manuales!$J$95+parametros_manuales!$E$30*(datos_base!$H$3+datos_base!$H$19+IF(parametros_manuales!$H$30="Todos",datos_base!$H$10+datos_base!$H$24,0))*parametros_manuales!$J$100+parametros_manuales!$F$30*(datos_base!$H$4+datos_base!$H$20+IF(parametros_manuales!$H$30="Todos",datos_base!$H$11+datos_base!$H$25,0))*parametros_manuales!$J$105+parametros_manuales!$G$30*(datos_base!$H$5+datos_base!$H$21+IF(parametros_manuales!$H$30="Todos",datos_base!$H$12+datos_base!$H$26,0))*parametros_manuales!$J$110)*parametros_manuales!$I$30*parametros_manuales!$J$30</f>
        <v>14883.10826612</v>
      </c>
      <c r="K175" s="9" t="n">
        <f aca="false">(parametros_manuales!$D$30*(datos_base!$H$2+datos_base!$H$18+IF(parametros_manuales!$H$30="Todos",datos_base!$H$9+datos_base!$H$23,0))*parametros_manuales!$K$95+parametros_manuales!$E$30*(datos_base!$H$3+datos_base!$H$19+IF(parametros_manuales!$H$30="Todos",datos_base!$H$10+datos_base!$H$24,0))*parametros_manuales!$K$100+parametros_manuales!$F$30*(datos_base!$H$4+datos_base!$H$20+IF(parametros_manuales!$H$30="Todos",datos_base!$H$11+datos_base!$H$25,0))*parametros_manuales!$K$105+parametros_manuales!$G$30*(datos_base!$H$5+datos_base!$H$21+IF(parametros_manuales!$H$30="Todos",datos_base!$H$12+datos_base!$H$26,0))*parametros_manuales!$K$110)*parametros_manuales!$I$30*parametros_manuales!$J$30</f>
        <v>15128.891045665</v>
      </c>
      <c r="L175" s="9" t="n">
        <f aca="false">(parametros_manuales!$D$30*(datos_base!$H$2+datos_base!$H$18+IF(parametros_manuales!$H$30="Todos",datos_base!$H$9+datos_base!$H$23,0))*parametros_manuales!$L$95+parametros_manuales!$E$30*(datos_base!$H$3+datos_base!$H$19+IF(parametros_manuales!$H$30="Todos",datos_base!$H$10+datos_base!$H$24,0))*parametros_manuales!$L$100+parametros_manuales!$F$30*(datos_base!$H$4+datos_base!$H$20+IF(parametros_manuales!$H$30="Todos",datos_base!$H$11+datos_base!$H$25,0))*parametros_manuales!$L$105+parametros_manuales!$G$30*(datos_base!$H$5+datos_base!$H$21+IF(parametros_manuales!$H$30="Todos",datos_base!$H$12+datos_base!$H$26,0))*parametros_manuales!$L$110)*parametros_manuales!$I$30*parametros_manuales!$J$30</f>
        <v>15374.67382521</v>
      </c>
      <c r="M175" s="9" t="n">
        <f aca="false">(parametros_manuales!$D$30*(datos_base!$H$2+datos_base!$H$18+IF(parametros_manuales!$H$30="Todos",datos_base!$H$9+datos_base!$H$23,0))*parametros_manuales!$M$95+parametros_manuales!$E$30*(datos_base!$H$3+datos_base!$H$19+IF(parametros_manuales!$H$30="Todos",datos_base!$H$10+datos_base!$H$24,0))*parametros_manuales!$M$100+parametros_manuales!$F$30*(datos_base!$H$4+datos_base!$H$20+IF(parametros_manuales!$H$30="Todos",datos_base!$H$11+datos_base!$H$25,0))*parametros_manuales!$M$105+parametros_manuales!$G$30*(datos_base!$H$5+datos_base!$H$21+IF(parametros_manuales!$H$30="Todos",datos_base!$H$12+datos_base!$H$26,0))*parametros_manuales!$M$110)*parametros_manuales!$I$30*parametros_manuales!$J$30</f>
        <v>15374.67382521</v>
      </c>
      <c r="N175" s="9" t="n">
        <f aca="false">SUM(B175:M175)</f>
        <v>170829.709169</v>
      </c>
      <c r="O175" s="9" t="n">
        <f aca="false">MAX(B175:M175)</f>
        <v>15374.67382521</v>
      </c>
      <c r="P175" s="43" t="n">
        <f aca="false">O175/(parametros_manuales!$B$7)</f>
        <v>102.4978255014</v>
      </c>
      <c r="Q175" s="8" t="str">
        <f aca="false">IF(O175=0,"-",INDEX($B$163:$M$163,MATCH(O175,B175:M175,0)))</f>
        <v>Ene</v>
      </c>
    </row>
    <row r="176" customFormat="false" ht="14.25" hidden="false" customHeight="true" outlineLevel="0" collapsed="false">
      <c r="A176" s="8" t="str">
        <f aca="false">parametros_manuales!$B$31</f>
        <v>Control de calidad — Espesor</v>
      </c>
      <c r="B176" s="9" t="n">
        <f aca="false">(parametros_manuales!$D$31*(datos_base!$H$2+datos_base!$H$18+IF(parametros_manuales!$H$31="Todos",datos_base!$H$9+datos_base!$H$23,0))*parametros_manuales!$B$95+parametros_manuales!$E$31*(datos_base!$H$3+datos_base!$H$19+IF(parametros_manuales!$H$31="Todos",datos_base!$H$10+datos_base!$H$24,0))*parametros_manuales!$B$100+parametros_manuales!$F$31*(datos_base!$H$4+datos_base!$H$20+IF(parametros_manuales!$H$31="Todos",datos_base!$H$11+datos_base!$H$25,0))*parametros_manuales!$B$105+parametros_manuales!$G$31*(datos_base!$H$5+datos_base!$H$21+IF(parametros_manuales!$H$31="Todos",datos_base!$H$12+datos_base!$H$26,0))*parametros_manuales!$B$110)*parametros_manuales!$I$31*parametros_manuales!$J$31</f>
        <v>307.4934765042</v>
      </c>
      <c r="C176" s="9" t="n">
        <f aca="false">(parametros_manuales!$D$31*(datos_base!$H$2+datos_base!$H$18+IF(parametros_manuales!$H$31="Todos",datos_base!$H$9+datos_base!$H$23,0))*parametros_manuales!$C$95+parametros_manuales!$E$31*(datos_base!$H$3+datos_base!$H$19+IF(parametros_manuales!$H$31="Todos",datos_base!$H$10+datos_base!$H$24,0))*parametros_manuales!$C$100+parametros_manuales!$F$31*(datos_base!$H$4+datos_base!$H$20+IF(parametros_manuales!$H$31="Todos",datos_base!$H$11+datos_base!$H$25,0))*parametros_manuales!$C$105+parametros_manuales!$G$31*(datos_base!$H$5+datos_base!$H$21+IF(parametros_manuales!$H$31="Todos",datos_base!$H$12+datos_base!$H$26,0))*parametros_manuales!$C$110)*parametros_manuales!$I$31*parametros_manuales!$J$31</f>
        <v>297.6621653224</v>
      </c>
      <c r="D176" s="9" t="n">
        <f aca="false">(parametros_manuales!$D$31*(datos_base!$H$2+datos_base!$H$18+IF(parametros_manuales!$H$31="Todos",datos_base!$H$9+datos_base!$H$23,0))*parametros_manuales!$D$95+parametros_manuales!$E$31*(datos_base!$H$3+datos_base!$H$19+IF(parametros_manuales!$H$31="Todos",datos_base!$H$10+datos_base!$H$24,0))*parametros_manuales!$D$100+parametros_manuales!$F$31*(datos_base!$H$4+datos_base!$H$20+IF(parametros_manuales!$H$31="Todos",datos_base!$H$11+datos_base!$H$25,0))*parametros_manuales!$D$105+parametros_manuales!$G$31*(datos_base!$H$5+datos_base!$H$21+IF(parametros_manuales!$H$31="Todos",datos_base!$H$12+datos_base!$H$26,0))*parametros_manuales!$D$110)*parametros_manuales!$I$31*parametros_manuales!$J$31</f>
        <v>278.2431902613</v>
      </c>
      <c r="E176" s="9" t="n">
        <f aca="false">(parametros_manuales!$D$31*(datos_base!$H$2+datos_base!$H$18+IF(parametros_manuales!$H$31="Todos",datos_base!$H$9+datos_base!$H$23,0))*parametros_manuales!$E$95+parametros_manuales!$E$31*(datos_base!$H$3+datos_base!$H$19+IF(parametros_manuales!$H$31="Todos",datos_base!$H$10+datos_base!$H$24,0))*parametros_manuales!$E$100+parametros_manuales!$F$31*(datos_base!$H$4+datos_base!$H$20+IF(parametros_manuales!$H$31="Todos",datos_base!$H$11+datos_base!$H$25,0))*parametros_manuales!$E$105+parametros_manuales!$G$31*(datos_base!$H$5+datos_base!$H$21+IF(parametros_manuales!$H$31="Todos",datos_base!$H$12+datos_base!$H$26,0))*parametros_manuales!$E$110)*parametros_manuales!$I$31*parametros_manuales!$J$31</f>
        <v>266.0758749353</v>
      </c>
      <c r="F176" s="9" t="n">
        <f aca="false">(parametros_manuales!$D$31*(datos_base!$H$2+datos_base!$H$18+IF(parametros_manuales!$H$31="Todos",datos_base!$H$9+datos_base!$H$23,0))*parametros_manuales!$F$95+parametros_manuales!$E$31*(datos_base!$H$3+datos_base!$H$19+IF(parametros_manuales!$H$31="Todos",datos_base!$H$10+datos_base!$H$24,0))*parametros_manuales!$F$100+parametros_manuales!$F$31*(datos_base!$H$4+datos_base!$H$20+IF(parametros_manuales!$H$31="Todos",datos_base!$H$11+datos_base!$H$25,0))*parametros_manuales!$F$105+parametros_manuales!$G$31*(datos_base!$H$5+datos_base!$H$21+IF(parametros_manuales!$H$31="Todos",datos_base!$H$12+datos_base!$H$26,0))*parametros_manuales!$F$110)*parametros_manuales!$I$31*parametros_manuales!$J$31</f>
        <v>248.9929040184</v>
      </c>
      <c r="G176" s="9" t="n">
        <f aca="false">(parametros_manuales!$D$31*(datos_base!$H$2+datos_base!$H$18+IF(parametros_manuales!$H$31="Todos",datos_base!$H$9+datos_base!$H$23,0))*parametros_manuales!$G$95+parametros_manuales!$E$31*(datos_base!$H$3+datos_base!$H$19+IF(parametros_manuales!$H$31="Todos",datos_base!$H$10+datos_base!$H$24,0))*parametros_manuales!$G$100+parametros_manuales!$F$31*(datos_base!$H$4+datos_base!$H$20+IF(parametros_manuales!$H$31="Todos",datos_base!$H$11+datos_base!$H$25,0))*parametros_manuales!$G$105+parametros_manuales!$G$31*(datos_base!$H$5+datos_base!$H$21+IF(parametros_manuales!$H$31="Todos",datos_base!$H$12+datos_base!$H$26,0))*parametros_manuales!$G$110)*parametros_manuales!$I$31*parametros_manuales!$J$31</f>
        <v>244.0772484275</v>
      </c>
      <c r="H176" s="9" t="n">
        <f aca="false">(parametros_manuales!$D$31*(datos_base!$H$2+datos_base!$H$18+IF(parametros_manuales!$H$31="Todos",datos_base!$H$9+datos_base!$H$23,0))*parametros_manuales!$H$95+parametros_manuales!$E$31*(datos_base!$H$3+datos_base!$H$19+IF(parametros_manuales!$H$31="Todos",datos_base!$H$10+datos_base!$H$24,0))*parametros_manuales!$H$100+parametros_manuales!$F$31*(datos_base!$H$4+datos_base!$H$20+IF(parametros_manuales!$H$31="Todos",datos_base!$H$11+datos_base!$H$25,0))*parametros_manuales!$H$105+parametros_manuales!$G$31*(datos_base!$H$5+datos_base!$H$21+IF(parametros_manuales!$H$31="Todos",datos_base!$H$12+datos_base!$H$26,0))*parametros_manuales!$H$110)*parametros_manuales!$I$31*parametros_manuales!$J$31</f>
        <v>261.1602193444</v>
      </c>
      <c r="I176" s="9" t="n">
        <f aca="false">(parametros_manuales!$D$31*(datos_base!$H$2+datos_base!$H$18+IF(parametros_manuales!$H$31="Todos",datos_base!$H$9+datos_base!$H$23,0))*parametros_manuales!$I$95+parametros_manuales!$E$31*(datos_base!$H$3+datos_base!$H$19+IF(parametros_manuales!$H$31="Todos",datos_base!$H$10+datos_base!$H$24,0))*parametros_manuales!$I$100+parametros_manuales!$F$31*(datos_base!$H$4+datos_base!$H$20+IF(parametros_manuales!$H$31="Todos",datos_base!$H$11+datos_base!$H$25,0))*parametros_manuales!$I$105+parametros_manuales!$G$31*(datos_base!$H$5+datos_base!$H$21+IF(parametros_manuales!$H$31="Todos",datos_base!$H$12+datos_base!$H$26,0))*parametros_manuales!$I$110)*parametros_manuales!$I$31*parametros_manuales!$J$31</f>
        <v>297.6621653224</v>
      </c>
      <c r="J176" s="9" t="n">
        <f aca="false">(parametros_manuales!$D$31*(datos_base!$H$2+datos_base!$H$18+IF(parametros_manuales!$H$31="Todos",datos_base!$H$9+datos_base!$H$23,0))*parametros_manuales!$J$95+parametros_manuales!$E$31*(datos_base!$H$3+datos_base!$H$19+IF(parametros_manuales!$H$31="Todos",datos_base!$H$10+datos_base!$H$24,0))*parametros_manuales!$J$100+parametros_manuales!$F$31*(datos_base!$H$4+datos_base!$H$20+IF(parametros_manuales!$H$31="Todos",datos_base!$H$11+datos_base!$H$25,0))*parametros_manuales!$J$105+parametros_manuales!$G$31*(datos_base!$H$5+datos_base!$H$21+IF(parametros_manuales!$H$31="Todos",datos_base!$H$12+datos_base!$H$26,0))*parametros_manuales!$J$110)*parametros_manuales!$I$31*parametros_manuales!$J$31</f>
        <v>297.6621653224</v>
      </c>
      <c r="K176" s="9" t="n">
        <f aca="false">(parametros_manuales!$D$31*(datos_base!$H$2+datos_base!$H$18+IF(parametros_manuales!$H$31="Todos",datos_base!$H$9+datos_base!$H$23,0))*parametros_manuales!$K$95+parametros_manuales!$E$31*(datos_base!$H$3+datos_base!$H$19+IF(parametros_manuales!$H$31="Todos",datos_base!$H$10+datos_base!$H$24,0))*parametros_manuales!$K$100+parametros_manuales!$F$31*(datos_base!$H$4+datos_base!$H$20+IF(parametros_manuales!$H$31="Todos",datos_base!$H$11+datos_base!$H$25,0))*parametros_manuales!$K$105+parametros_manuales!$G$31*(datos_base!$H$5+datos_base!$H$21+IF(parametros_manuales!$H$31="Todos",datos_base!$H$12+datos_base!$H$26,0))*parametros_manuales!$K$110)*parametros_manuales!$I$31*parametros_manuales!$J$31</f>
        <v>302.5778209133</v>
      </c>
      <c r="L176" s="9" t="n">
        <f aca="false">(parametros_manuales!$D$31*(datos_base!$H$2+datos_base!$H$18+IF(parametros_manuales!$H$31="Todos",datos_base!$H$9+datos_base!$H$23,0))*parametros_manuales!$L$95+parametros_manuales!$E$31*(datos_base!$H$3+datos_base!$H$19+IF(parametros_manuales!$H$31="Todos",datos_base!$H$10+datos_base!$H$24,0))*parametros_manuales!$L$100+parametros_manuales!$F$31*(datos_base!$H$4+datos_base!$H$20+IF(parametros_manuales!$H$31="Todos",datos_base!$H$11+datos_base!$H$25,0))*parametros_manuales!$L$105+parametros_manuales!$G$31*(datos_base!$H$5+datos_base!$H$21+IF(parametros_manuales!$H$31="Todos",datos_base!$H$12+datos_base!$H$26,0))*parametros_manuales!$L$110)*parametros_manuales!$I$31*parametros_manuales!$J$31</f>
        <v>307.4934765042</v>
      </c>
      <c r="M176" s="9" t="n">
        <f aca="false">(parametros_manuales!$D$31*(datos_base!$H$2+datos_base!$H$18+IF(parametros_manuales!$H$31="Todos",datos_base!$H$9+datos_base!$H$23,0))*parametros_manuales!$M$95+parametros_manuales!$E$31*(datos_base!$H$3+datos_base!$H$19+IF(parametros_manuales!$H$31="Todos",datos_base!$H$10+datos_base!$H$24,0))*parametros_manuales!$M$100+parametros_manuales!$F$31*(datos_base!$H$4+datos_base!$H$20+IF(parametros_manuales!$H$31="Todos",datos_base!$H$11+datos_base!$H$25,0))*parametros_manuales!$M$105+parametros_manuales!$G$31*(datos_base!$H$5+datos_base!$H$21+IF(parametros_manuales!$H$31="Todos",datos_base!$H$12+datos_base!$H$26,0))*parametros_manuales!$M$110)*parametros_manuales!$I$31*parametros_manuales!$J$31</f>
        <v>307.4934765042</v>
      </c>
      <c r="N176" s="9" t="n">
        <f aca="false">SUM(B176:M176)</f>
        <v>3416.59418338</v>
      </c>
      <c r="O176" s="9" t="n">
        <f aca="false">MAX(B176:M176)</f>
        <v>307.4934765042</v>
      </c>
      <c r="P176" s="43" t="n">
        <f aca="false">O176/(parametros_manuales!$B$7)</f>
        <v>2.049956510028</v>
      </c>
      <c r="Q176" s="8" t="str">
        <f aca="false">IF(O176=0,"-",INDEX($B$163:$M$163,MATCH(O176,B176:M176,0)))</f>
        <v>Ene</v>
      </c>
    </row>
    <row r="177" customFormat="false" ht="14.25" hidden="false" customHeight="true" outlineLevel="0" collapsed="false">
      <c r="A177" s="8" t="str">
        <f aca="false">parametros_manuales!$B$32</f>
        <v>Prueba hidráulica</v>
      </c>
      <c r="B177" s="9" t="n">
        <f aca="false">(parametros_manuales!$D$32*(datos_base!$H$2+datos_base!$H$18+IF(parametros_manuales!$H$32="Todos",datos_base!$H$9+datos_base!$H$23,0))*parametros_manuales!$B$95+parametros_manuales!$E$32*(datos_base!$H$3+datos_base!$H$19+IF(parametros_manuales!$H$32="Todos",datos_base!$H$10+datos_base!$H$24,0))*parametros_manuales!$B$100+parametros_manuales!$F$32*(datos_base!$H$4+datos_base!$H$20+IF(parametros_manuales!$H$32="Todos",datos_base!$H$11+datos_base!$H$25,0))*parametros_manuales!$B$105+parametros_manuales!$G$32*(datos_base!$H$5+datos_base!$H$21+IF(parametros_manuales!$H$32="Todos",datos_base!$H$12+datos_base!$H$26,0))*parametros_manuales!$B$110)*parametros_manuales!$I$32*parametros_manuales!$J$32</f>
        <v>15374.67382521</v>
      </c>
      <c r="C177" s="9" t="n">
        <f aca="false">(parametros_manuales!$D$32*(datos_base!$H$2+datos_base!$H$18+IF(parametros_manuales!$H$32="Todos",datos_base!$H$9+datos_base!$H$23,0))*parametros_manuales!$C$95+parametros_manuales!$E$32*(datos_base!$H$3+datos_base!$H$19+IF(parametros_manuales!$H$32="Todos",datos_base!$H$10+datos_base!$H$24,0))*parametros_manuales!$C$100+parametros_manuales!$F$32*(datos_base!$H$4+datos_base!$H$20+IF(parametros_manuales!$H$32="Todos",datos_base!$H$11+datos_base!$H$25,0))*parametros_manuales!$C$105+parametros_manuales!$G$32*(datos_base!$H$5+datos_base!$H$21+IF(parametros_manuales!$H$32="Todos",datos_base!$H$12+datos_base!$H$26,0))*parametros_manuales!$C$110)*parametros_manuales!$I$32*parametros_manuales!$J$32</f>
        <v>14883.10826612</v>
      </c>
      <c r="D177" s="9" t="n">
        <f aca="false">(parametros_manuales!$D$32*(datos_base!$H$2+datos_base!$H$18+IF(parametros_manuales!$H$32="Todos",datos_base!$H$9+datos_base!$H$23,0))*parametros_manuales!$D$95+parametros_manuales!$E$32*(datos_base!$H$3+datos_base!$H$19+IF(parametros_manuales!$H$32="Todos",datos_base!$H$10+datos_base!$H$24,0))*parametros_manuales!$D$100+parametros_manuales!$F$32*(datos_base!$H$4+datos_base!$H$20+IF(parametros_manuales!$H$32="Todos",datos_base!$H$11+datos_base!$H$25,0))*parametros_manuales!$D$105+parametros_manuales!$G$32*(datos_base!$H$5+datos_base!$H$21+IF(parametros_manuales!$H$32="Todos",datos_base!$H$12+datos_base!$H$26,0))*parametros_manuales!$D$110)*parametros_manuales!$I$32*parametros_manuales!$J$32</f>
        <v>13912.159513065</v>
      </c>
      <c r="E177" s="9" t="n">
        <f aca="false">(parametros_manuales!$D$32*(datos_base!$H$2+datos_base!$H$18+IF(parametros_manuales!$H$32="Todos",datos_base!$H$9+datos_base!$H$23,0))*parametros_manuales!$E$95+parametros_manuales!$E$32*(datos_base!$H$3+datos_base!$H$19+IF(parametros_manuales!$H$32="Todos",datos_base!$H$10+datos_base!$H$24,0))*parametros_manuales!$E$100+parametros_manuales!$F$32*(datos_base!$H$4+datos_base!$H$20+IF(parametros_manuales!$H$32="Todos",datos_base!$H$11+datos_base!$H$25,0))*parametros_manuales!$E$105+parametros_manuales!$G$32*(datos_base!$H$5+datos_base!$H$21+IF(parametros_manuales!$H$32="Todos",datos_base!$H$12+datos_base!$H$26,0))*parametros_manuales!$E$110)*parametros_manuales!$I$32*parametros_manuales!$J$32</f>
        <v>13303.793746765</v>
      </c>
      <c r="F177" s="9" t="n">
        <f aca="false">(parametros_manuales!$D$32*(datos_base!$H$2+datos_base!$H$18+IF(parametros_manuales!$H$32="Todos",datos_base!$H$9+datos_base!$H$23,0))*parametros_manuales!$F$95+parametros_manuales!$E$32*(datos_base!$H$3+datos_base!$H$19+IF(parametros_manuales!$H$32="Todos",datos_base!$H$10+datos_base!$H$24,0))*parametros_manuales!$F$100+parametros_manuales!$F$32*(datos_base!$H$4+datos_base!$H$20+IF(parametros_manuales!$H$32="Todos",datos_base!$H$11+datos_base!$H$25,0))*parametros_manuales!$F$105+parametros_manuales!$G$32*(datos_base!$H$5+datos_base!$H$21+IF(parametros_manuales!$H$32="Todos",datos_base!$H$12+datos_base!$H$26,0))*parametros_manuales!$F$110)*parametros_manuales!$I$32*parametros_manuales!$J$32</f>
        <v>12449.64520092</v>
      </c>
      <c r="G177" s="9" t="n">
        <f aca="false">(parametros_manuales!$D$32*(datos_base!$H$2+datos_base!$H$18+IF(parametros_manuales!$H$32="Todos",datos_base!$H$9+datos_base!$H$23,0))*parametros_manuales!$G$95+parametros_manuales!$E$32*(datos_base!$H$3+datos_base!$H$19+IF(parametros_manuales!$H$32="Todos",datos_base!$H$10+datos_base!$H$24,0))*parametros_manuales!$G$100+parametros_manuales!$F$32*(datos_base!$H$4+datos_base!$H$20+IF(parametros_manuales!$H$32="Todos",datos_base!$H$11+datos_base!$H$25,0))*parametros_manuales!$G$105+parametros_manuales!$G$32*(datos_base!$H$5+datos_base!$H$21+IF(parametros_manuales!$H$32="Todos",datos_base!$H$12+datos_base!$H$26,0))*parametros_manuales!$G$110)*parametros_manuales!$I$32*parametros_manuales!$J$32</f>
        <v>12203.862421375</v>
      </c>
      <c r="H177" s="9" t="n">
        <f aca="false">(parametros_manuales!$D$32*(datos_base!$H$2+datos_base!$H$18+IF(parametros_manuales!$H$32="Todos",datos_base!$H$9+datos_base!$H$23,0))*parametros_manuales!$H$95+parametros_manuales!$E$32*(datos_base!$H$3+datos_base!$H$19+IF(parametros_manuales!$H$32="Todos",datos_base!$H$10+datos_base!$H$24,0))*parametros_manuales!$H$100+parametros_manuales!$F$32*(datos_base!$H$4+datos_base!$H$20+IF(parametros_manuales!$H$32="Todos",datos_base!$H$11+datos_base!$H$25,0))*parametros_manuales!$H$105+parametros_manuales!$G$32*(datos_base!$H$5+datos_base!$H$21+IF(parametros_manuales!$H$32="Todos",datos_base!$H$12+datos_base!$H$26,0))*parametros_manuales!$H$110)*parametros_manuales!$I$32*parametros_manuales!$J$32</f>
        <v>13058.01096722</v>
      </c>
      <c r="I177" s="9" t="n">
        <f aca="false">(parametros_manuales!$D$32*(datos_base!$H$2+datos_base!$H$18+IF(parametros_manuales!$H$32="Todos",datos_base!$H$9+datos_base!$H$23,0))*parametros_manuales!$I$95+parametros_manuales!$E$32*(datos_base!$H$3+datos_base!$H$19+IF(parametros_manuales!$H$32="Todos",datos_base!$H$10+datos_base!$H$24,0))*parametros_manuales!$I$100+parametros_manuales!$F$32*(datos_base!$H$4+datos_base!$H$20+IF(parametros_manuales!$H$32="Todos",datos_base!$H$11+datos_base!$H$25,0))*parametros_manuales!$I$105+parametros_manuales!$G$32*(datos_base!$H$5+datos_base!$H$21+IF(parametros_manuales!$H$32="Todos",datos_base!$H$12+datos_base!$H$26,0))*parametros_manuales!$I$110)*parametros_manuales!$I$32*parametros_manuales!$J$32</f>
        <v>14883.10826612</v>
      </c>
      <c r="J177" s="9" t="n">
        <f aca="false">(parametros_manuales!$D$32*(datos_base!$H$2+datos_base!$H$18+IF(parametros_manuales!$H$32="Todos",datos_base!$H$9+datos_base!$H$23,0))*parametros_manuales!$J$95+parametros_manuales!$E$32*(datos_base!$H$3+datos_base!$H$19+IF(parametros_manuales!$H$32="Todos",datos_base!$H$10+datos_base!$H$24,0))*parametros_manuales!$J$100+parametros_manuales!$F$32*(datos_base!$H$4+datos_base!$H$20+IF(parametros_manuales!$H$32="Todos",datos_base!$H$11+datos_base!$H$25,0))*parametros_manuales!$J$105+parametros_manuales!$G$32*(datos_base!$H$5+datos_base!$H$21+IF(parametros_manuales!$H$32="Todos",datos_base!$H$12+datos_base!$H$26,0))*parametros_manuales!$J$110)*parametros_manuales!$I$32*parametros_manuales!$J$32</f>
        <v>14883.10826612</v>
      </c>
      <c r="K177" s="9" t="n">
        <f aca="false">(parametros_manuales!$D$32*(datos_base!$H$2+datos_base!$H$18+IF(parametros_manuales!$H$32="Todos",datos_base!$H$9+datos_base!$H$23,0))*parametros_manuales!$K$95+parametros_manuales!$E$32*(datos_base!$H$3+datos_base!$H$19+IF(parametros_manuales!$H$32="Todos",datos_base!$H$10+datos_base!$H$24,0))*parametros_manuales!$K$100+parametros_manuales!$F$32*(datos_base!$H$4+datos_base!$H$20+IF(parametros_manuales!$H$32="Todos",datos_base!$H$11+datos_base!$H$25,0))*parametros_manuales!$K$105+parametros_manuales!$G$32*(datos_base!$H$5+datos_base!$H$21+IF(parametros_manuales!$H$32="Todos",datos_base!$H$12+datos_base!$H$26,0))*parametros_manuales!$K$110)*parametros_manuales!$I$32*parametros_manuales!$J$32</f>
        <v>15128.891045665</v>
      </c>
      <c r="L177" s="9" t="n">
        <f aca="false">(parametros_manuales!$D$32*(datos_base!$H$2+datos_base!$H$18+IF(parametros_manuales!$H$32="Todos",datos_base!$H$9+datos_base!$H$23,0))*parametros_manuales!$L$95+parametros_manuales!$E$32*(datos_base!$H$3+datos_base!$H$19+IF(parametros_manuales!$H$32="Todos",datos_base!$H$10+datos_base!$H$24,0))*parametros_manuales!$L$100+parametros_manuales!$F$32*(datos_base!$H$4+datos_base!$H$20+IF(parametros_manuales!$H$32="Todos",datos_base!$H$11+datos_base!$H$25,0))*parametros_manuales!$L$105+parametros_manuales!$G$32*(datos_base!$H$5+datos_base!$H$21+IF(parametros_manuales!$H$32="Todos",datos_base!$H$12+datos_base!$H$26,0))*parametros_manuales!$L$110)*parametros_manuales!$I$32*parametros_manuales!$J$32</f>
        <v>15374.67382521</v>
      </c>
      <c r="M177" s="9" t="n">
        <f aca="false">(parametros_manuales!$D$32*(datos_base!$H$2+datos_base!$H$18+IF(parametros_manuales!$H$32="Todos",datos_base!$H$9+datos_base!$H$23,0))*parametros_manuales!$M$95+parametros_manuales!$E$32*(datos_base!$H$3+datos_base!$H$19+IF(parametros_manuales!$H$32="Todos",datos_base!$H$10+datos_base!$H$24,0))*parametros_manuales!$M$100+parametros_manuales!$F$32*(datos_base!$H$4+datos_base!$H$20+IF(parametros_manuales!$H$32="Todos",datos_base!$H$11+datos_base!$H$25,0))*parametros_manuales!$M$105+parametros_manuales!$G$32*(datos_base!$H$5+datos_base!$H$21+IF(parametros_manuales!$H$32="Todos",datos_base!$H$12+datos_base!$H$26,0))*parametros_manuales!$M$110)*parametros_manuales!$I$32*parametros_manuales!$J$32</f>
        <v>15374.67382521</v>
      </c>
      <c r="N177" s="9" t="n">
        <f aca="false">SUM(B177:M177)</f>
        <v>170829.709169</v>
      </c>
      <c r="O177" s="9" t="n">
        <f aca="false">MAX(B177:M177)</f>
        <v>15374.67382521</v>
      </c>
      <c r="P177" s="43" t="n">
        <f aca="false">O177/(parametros_manuales!$B$7)</f>
        <v>102.4978255014</v>
      </c>
      <c r="Q177" s="8" t="str">
        <f aca="false">IF(O177=0,"-",INDEX($B$163:$M$163,MATCH(O177,B177:M177,0)))</f>
        <v>Ene</v>
      </c>
    </row>
    <row r="178" customFormat="false" ht="14.25" hidden="false" customHeight="true" outlineLevel="0" collapsed="false">
      <c r="A178" s="8" t="str">
        <f aca="false">parametros_manuales!$B$33</f>
        <v>Secado</v>
      </c>
      <c r="B178" s="9" t="n">
        <f aca="false">(parametros_manuales!$D$33*(datos_base!$H$2+datos_base!$H$18+IF(parametros_manuales!$H$33="Todos",datos_base!$H$9+datos_base!$H$23,0))*parametros_manuales!$B$95+parametros_manuales!$E$33*(datos_base!$H$3+datos_base!$H$19+IF(parametros_manuales!$H$33="Todos",datos_base!$H$10+datos_base!$H$24,0))*parametros_manuales!$B$100+parametros_manuales!$F$33*(datos_base!$H$4+datos_base!$H$20+IF(parametros_manuales!$H$33="Todos",datos_base!$H$11+datos_base!$H$25,0))*parametros_manuales!$B$105+parametros_manuales!$G$33*(datos_base!$H$5+datos_base!$H$21+IF(parametros_manuales!$H$33="Todos",datos_base!$H$12+datos_base!$H$26,0))*parametros_manuales!$B$110)*parametros_manuales!$I$33*parametros_manuales!$J$33</f>
        <v>15374.67382521</v>
      </c>
      <c r="C178" s="9" t="n">
        <f aca="false">(parametros_manuales!$D$33*(datos_base!$H$2+datos_base!$H$18+IF(parametros_manuales!$H$33="Todos",datos_base!$H$9+datos_base!$H$23,0))*parametros_manuales!$C$95+parametros_manuales!$E$33*(datos_base!$H$3+datos_base!$H$19+IF(parametros_manuales!$H$33="Todos",datos_base!$H$10+datos_base!$H$24,0))*parametros_manuales!$C$100+parametros_manuales!$F$33*(datos_base!$H$4+datos_base!$H$20+IF(parametros_manuales!$H$33="Todos",datos_base!$H$11+datos_base!$H$25,0))*parametros_manuales!$C$105+parametros_manuales!$G$33*(datos_base!$H$5+datos_base!$H$21+IF(parametros_manuales!$H$33="Todos",datos_base!$H$12+datos_base!$H$26,0))*parametros_manuales!$C$110)*parametros_manuales!$I$33*parametros_manuales!$J$33</f>
        <v>14883.10826612</v>
      </c>
      <c r="D178" s="9" t="n">
        <f aca="false">(parametros_manuales!$D$33*(datos_base!$H$2+datos_base!$H$18+IF(parametros_manuales!$H$33="Todos",datos_base!$H$9+datos_base!$H$23,0))*parametros_manuales!$D$95+parametros_manuales!$E$33*(datos_base!$H$3+datos_base!$H$19+IF(parametros_manuales!$H$33="Todos",datos_base!$H$10+datos_base!$H$24,0))*parametros_manuales!$D$100+parametros_manuales!$F$33*(datos_base!$H$4+datos_base!$H$20+IF(parametros_manuales!$H$33="Todos",datos_base!$H$11+datos_base!$H$25,0))*parametros_manuales!$D$105+parametros_manuales!$G$33*(datos_base!$H$5+datos_base!$H$21+IF(parametros_manuales!$H$33="Todos",datos_base!$H$12+datos_base!$H$26,0))*parametros_manuales!$D$110)*parametros_manuales!$I$33*parametros_manuales!$J$33</f>
        <v>13912.159513065</v>
      </c>
      <c r="E178" s="9" t="n">
        <f aca="false">(parametros_manuales!$D$33*(datos_base!$H$2+datos_base!$H$18+IF(parametros_manuales!$H$33="Todos",datos_base!$H$9+datos_base!$H$23,0))*parametros_manuales!$E$95+parametros_manuales!$E$33*(datos_base!$H$3+datos_base!$H$19+IF(parametros_manuales!$H$33="Todos",datos_base!$H$10+datos_base!$H$24,0))*parametros_manuales!$E$100+parametros_manuales!$F$33*(datos_base!$H$4+datos_base!$H$20+IF(parametros_manuales!$H$33="Todos",datos_base!$H$11+datos_base!$H$25,0))*parametros_manuales!$E$105+parametros_manuales!$G$33*(datos_base!$H$5+datos_base!$H$21+IF(parametros_manuales!$H$33="Todos",datos_base!$H$12+datos_base!$H$26,0))*parametros_manuales!$E$110)*parametros_manuales!$I$33*parametros_manuales!$J$33</f>
        <v>13303.793746765</v>
      </c>
      <c r="F178" s="9" t="n">
        <f aca="false">(parametros_manuales!$D$33*(datos_base!$H$2+datos_base!$H$18+IF(parametros_manuales!$H$33="Todos",datos_base!$H$9+datos_base!$H$23,0))*parametros_manuales!$F$95+parametros_manuales!$E$33*(datos_base!$H$3+datos_base!$H$19+IF(parametros_manuales!$H$33="Todos",datos_base!$H$10+datos_base!$H$24,0))*parametros_manuales!$F$100+parametros_manuales!$F$33*(datos_base!$H$4+datos_base!$H$20+IF(parametros_manuales!$H$33="Todos",datos_base!$H$11+datos_base!$H$25,0))*parametros_manuales!$F$105+parametros_manuales!$G$33*(datos_base!$H$5+datos_base!$H$21+IF(parametros_manuales!$H$33="Todos",datos_base!$H$12+datos_base!$H$26,0))*parametros_manuales!$F$110)*parametros_manuales!$I$33*parametros_manuales!$J$33</f>
        <v>12449.64520092</v>
      </c>
      <c r="G178" s="9" t="n">
        <f aca="false">(parametros_manuales!$D$33*(datos_base!$H$2+datos_base!$H$18+IF(parametros_manuales!$H$33="Todos",datos_base!$H$9+datos_base!$H$23,0))*parametros_manuales!$G$95+parametros_manuales!$E$33*(datos_base!$H$3+datos_base!$H$19+IF(parametros_manuales!$H$33="Todos",datos_base!$H$10+datos_base!$H$24,0))*parametros_manuales!$G$100+parametros_manuales!$F$33*(datos_base!$H$4+datos_base!$H$20+IF(parametros_manuales!$H$33="Todos",datos_base!$H$11+datos_base!$H$25,0))*parametros_manuales!$G$105+parametros_manuales!$G$33*(datos_base!$H$5+datos_base!$H$21+IF(parametros_manuales!$H$33="Todos",datos_base!$H$12+datos_base!$H$26,0))*parametros_manuales!$G$110)*parametros_manuales!$I$33*parametros_manuales!$J$33</f>
        <v>12203.862421375</v>
      </c>
      <c r="H178" s="9" t="n">
        <f aca="false">(parametros_manuales!$D$33*(datos_base!$H$2+datos_base!$H$18+IF(parametros_manuales!$H$33="Todos",datos_base!$H$9+datos_base!$H$23,0))*parametros_manuales!$H$95+parametros_manuales!$E$33*(datos_base!$H$3+datos_base!$H$19+IF(parametros_manuales!$H$33="Todos",datos_base!$H$10+datos_base!$H$24,0))*parametros_manuales!$H$100+parametros_manuales!$F$33*(datos_base!$H$4+datos_base!$H$20+IF(parametros_manuales!$H$33="Todos",datos_base!$H$11+datos_base!$H$25,0))*parametros_manuales!$H$105+parametros_manuales!$G$33*(datos_base!$H$5+datos_base!$H$21+IF(parametros_manuales!$H$33="Todos",datos_base!$H$12+datos_base!$H$26,0))*parametros_manuales!$H$110)*parametros_manuales!$I$33*parametros_manuales!$J$33</f>
        <v>13058.01096722</v>
      </c>
      <c r="I178" s="9" t="n">
        <f aca="false">(parametros_manuales!$D$33*(datos_base!$H$2+datos_base!$H$18+IF(parametros_manuales!$H$33="Todos",datos_base!$H$9+datos_base!$H$23,0))*parametros_manuales!$I$95+parametros_manuales!$E$33*(datos_base!$H$3+datos_base!$H$19+IF(parametros_manuales!$H$33="Todos",datos_base!$H$10+datos_base!$H$24,0))*parametros_manuales!$I$100+parametros_manuales!$F$33*(datos_base!$H$4+datos_base!$H$20+IF(parametros_manuales!$H$33="Todos",datos_base!$H$11+datos_base!$H$25,0))*parametros_manuales!$I$105+parametros_manuales!$G$33*(datos_base!$H$5+datos_base!$H$21+IF(parametros_manuales!$H$33="Todos",datos_base!$H$12+datos_base!$H$26,0))*parametros_manuales!$I$110)*parametros_manuales!$I$33*parametros_manuales!$J$33</f>
        <v>14883.10826612</v>
      </c>
      <c r="J178" s="9" t="n">
        <f aca="false">(parametros_manuales!$D$33*(datos_base!$H$2+datos_base!$H$18+IF(parametros_manuales!$H$33="Todos",datos_base!$H$9+datos_base!$H$23,0))*parametros_manuales!$J$95+parametros_manuales!$E$33*(datos_base!$H$3+datos_base!$H$19+IF(parametros_manuales!$H$33="Todos",datos_base!$H$10+datos_base!$H$24,0))*parametros_manuales!$J$100+parametros_manuales!$F$33*(datos_base!$H$4+datos_base!$H$20+IF(parametros_manuales!$H$33="Todos",datos_base!$H$11+datos_base!$H$25,0))*parametros_manuales!$J$105+parametros_manuales!$G$33*(datos_base!$H$5+datos_base!$H$21+IF(parametros_manuales!$H$33="Todos",datos_base!$H$12+datos_base!$H$26,0))*parametros_manuales!$J$110)*parametros_manuales!$I$33*parametros_manuales!$J$33</f>
        <v>14883.10826612</v>
      </c>
      <c r="K178" s="9" t="n">
        <f aca="false">(parametros_manuales!$D$33*(datos_base!$H$2+datos_base!$H$18+IF(parametros_manuales!$H$33="Todos",datos_base!$H$9+datos_base!$H$23,0))*parametros_manuales!$K$95+parametros_manuales!$E$33*(datos_base!$H$3+datos_base!$H$19+IF(parametros_manuales!$H$33="Todos",datos_base!$H$10+datos_base!$H$24,0))*parametros_manuales!$K$100+parametros_manuales!$F$33*(datos_base!$H$4+datos_base!$H$20+IF(parametros_manuales!$H$33="Todos",datos_base!$H$11+datos_base!$H$25,0))*parametros_manuales!$K$105+parametros_manuales!$G$33*(datos_base!$H$5+datos_base!$H$21+IF(parametros_manuales!$H$33="Todos",datos_base!$H$12+datos_base!$H$26,0))*parametros_manuales!$K$110)*parametros_manuales!$I$33*parametros_manuales!$J$33</f>
        <v>15128.891045665</v>
      </c>
      <c r="L178" s="9" t="n">
        <f aca="false">(parametros_manuales!$D$33*(datos_base!$H$2+datos_base!$H$18+IF(parametros_manuales!$H$33="Todos",datos_base!$H$9+datos_base!$H$23,0))*parametros_manuales!$L$95+parametros_manuales!$E$33*(datos_base!$H$3+datos_base!$H$19+IF(parametros_manuales!$H$33="Todos",datos_base!$H$10+datos_base!$H$24,0))*parametros_manuales!$L$100+parametros_manuales!$F$33*(datos_base!$H$4+datos_base!$H$20+IF(parametros_manuales!$H$33="Todos",datos_base!$H$11+datos_base!$H$25,0))*parametros_manuales!$L$105+parametros_manuales!$G$33*(datos_base!$H$5+datos_base!$H$21+IF(parametros_manuales!$H$33="Todos",datos_base!$H$12+datos_base!$H$26,0))*parametros_manuales!$L$110)*parametros_manuales!$I$33*parametros_manuales!$J$33</f>
        <v>15374.67382521</v>
      </c>
      <c r="M178" s="9" t="n">
        <f aca="false">(parametros_manuales!$D$33*(datos_base!$H$2+datos_base!$H$18+IF(parametros_manuales!$H$33="Todos",datos_base!$H$9+datos_base!$H$23,0))*parametros_manuales!$M$95+parametros_manuales!$E$33*(datos_base!$H$3+datos_base!$H$19+IF(parametros_manuales!$H$33="Todos",datos_base!$H$10+datos_base!$H$24,0))*parametros_manuales!$M$100+parametros_manuales!$F$33*(datos_base!$H$4+datos_base!$H$20+IF(parametros_manuales!$H$33="Todos",datos_base!$H$11+datos_base!$H$25,0))*parametros_manuales!$M$105+parametros_manuales!$G$33*(datos_base!$H$5+datos_base!$H$21+IF(parametros_manuales!$H$33="Todos",datos_base!$H$12+datos_base!$H$26,0))*parametros_manuales!$M$110)*parametros_manuales!$I$33*parametros_manuales!$J$33</f>
        <v>15374.67382521</v>
      </c>
      <c r="N178" s="9" t="n">
        <f aca="false">SUM(B178:M178)</f>
        <v>170829.709169</v>
      </c>
      <c r="O178" s="9" t="n">
        <f aca="false">MAX(B178:M178)</f>
        <v>15374.67382521</v>
      </c>
      <c r="P178" s="43" t="n">
        <f aca="false">O178/(parametros_manuales!$B$7)</f>
        <v>102.4978255014</v>
      </c>
      <c r="Q178" s="8" t="str">
        <f aca="false">IF(O178=0,"-",INDEX($B$163:$M$163,MATCH(O178,B178:M178,0)))</f>
        <v>Ene</v>
      </c>
    </row>
    <row r="179" customFormat="false" ht="14.25" hidden="false" customHeight="true" outlineLevel="0" collapsed="false">
      <c r="A179" s="8" t="str">
        <f aca="false">parametros_manuales!$B$34</f>
        <v>Granallado</v>
      </c>
      <c r="B179" s="9" t="n">
        <f aca="false">(parametros_manuales!$D$34*(datos_base!$H$2+datos_base!$H$18+IF(parametros_manuales!$H$34="Todos",datos_base!$H$9+datos_base!$H$23,0))*parametros_manuales!$B$95+parametros_manuales!$E$34*(datos_base!$H$3+datos_base!$H$19+IF(parametros_manuales!$H$34="Todos",datos_base!$H$10+datos_base!$H$24,0))*parametros_manuales!$B$100+parametros_manuales!$F$34*(datos_base!$H$4+datos_base!$H$20+IF(parametros_manuales!$H$34="Todos",datos_base!$H$11+datos_base!$H$25,0))*parametros_manuales!$B$105+parametros_manuales!$G$34*(datos_base!$H$5+datos_base!$H$21+IF(parametros_manuales!$H$34="Todos",datos_base!$H$12+datos_base!$H$26,0))*parametros_manuales!$B$110)*parametros_manuales!$I$34*parametros_manuales!$J$34</f>
        <v>15374.67382521</v>
      </c>
      <c r="C179" s="9" t="n">
        <f aca="false">(parametros_manuales!$D$34*(datos_base!$H$2+datos_base!$H$18+IF(parametros_manuales!$H$34="Todos",datos_base!$H$9+datos_base!$H$23,0))*parametros_manuales!$C$95+parametros_manuales!$E$34*(datos_base!$H$3+datos_base!$H$19+IF(parametros_manuales!$H$34="Todos",datos_base!$H$10+datos_base!$H$24,0))*parametros_manuales!$C$100+parametros_manuales!$F$34*(datos_base!$H$4+datos_base!$H$20+IF(parametros_manuales!$H$34="Todos",datos_base!$H$11+datos_base!$H$25,0))*parametros_manuales!$C$105+parametros_manuales!$G$34*(datos_base!$H$5+datos_base!$H$21+IF(parametros_manuales!$H$34="Todos",datos_base!$H$12+datos_base!$H$26,0))*parametros_manuales!$C$110)*parametros_manuales!$I$34*parametros_manuales!$J$34</f>
        <v>14883.10826612</v>
      </c>
      <c r="D179" s="9" t="n">
        <f aca="false">(parametros_manuales!$D$34*(datos_base!$H$2+datos_base!$H$18+IF(parametros_manuales!$H$34="Todos",datos_base!$H$9+datos_base!$H$23,0))*parametros_manuales!$D$95+parametros_manuales!$E$34*(datos_base!$H$3+datos_base!$H$19+IF(parametros_manuales!$H$34="Todos",datos_base!$H$10+datos_base!$H$24,0))*parametros_manuales!$D$100+parametros_manuales!$F$34*(datos_base!$H$4+datos_base!$H$20+IF(parametros_manuales!$H$34="Todos",datos_base!$H$11+datos_base!$H$25,0))*parametros_manuales!$D$105+parametros_manuales!$G$34*(datos_base!$H$5+datos_base!$H$21+IF(parametros_manuales!$H$34="Todos",datos_base!$H$12+datos_base!$H$26,0))*parametros_manuales!$D$110)*parametros_manuales!$I$34*parametros_manuales!$J$34</f>
        <v>13912.159513065</v>
      </c>
      <c r="E179" s="9" t="n">
        <f aca="false">(parametros_manuales!$D$34*(datos_base!$H$2+datos_base!$H$18+IF(parametros_manuales!$H$34="Todos",datos_base!$H$9+datos_base!$H$23,0))*parametros_manuales!$E$95+parametros_manuales!$E$34*(datos_base!$H$3+datos_base!$H$19+IF(parametros_manuales!$H$34="Todos",datos_base!$H$10+datos_base!$H$24,0))*parametros_manuales!$E$100+parametros_manuales!$F$34*(datos_base!$H$4+datos_base!$H$20+IF(parametros_manuales!$H$34="Todos",datos_base!$H$11+datos_base!$H$25,0))*parametros_manuales!$E$105+parametros_manuales!$G$34*(datos_base!$H$5+datos_base!$H$21+IF(parametros_manuales!$H$34="Todos",datos_base!$H$12+datos_base!$H$26,0))*parametros_manuales!$E$110)*parametros_manuales!$I$34*parametros_manuales!$J$34</f>
        <v>13303.793746765</v>
      </c>
      <c r="F179" s="9" t="n">
        <f aca="false">(parametros_manuales!$D$34*(datos_base!$H$2+datos_base!$H$18+IF(parametros_manuales!$H$34="Todos",datos_base!$H$9+datos_base!$H$23,0))*parametros_manuales!$F$95+parametros_manuales!$E$34*(datos_base!$H$3+datos_base!$H$19+IF(parametros_manuales!$H$34="Todos",datos_base!$H$10+datos_base!$H$24,0))*parametros_manuales!$F$100+parametros_manuales!$F$34*(datos_base!$H$4+datos_base!$H$20+IF(parametros_manuales!$H$34="Todos",datos_base!$H$11+datos_base!$H$25,0))*parametros_manuales!$F$105+parametros_manuales!$G$34*(datos_base!$H$5+datos_base!$H$21+IF(parametros_manuales!$H$34="Todos",datos_base!$H$12+datos_base!$H$26,0))*parametros_manuales!$F$110)*parametros_manuales!$I$34*parametros_manuales!$J$34</f>
        <v>12449.64520092</v>
      </c>
      <c r="G179" s="9" t="n">
        <f aca="false">(parametros_manuales!$D$34*(datos_base!$H$2+datos_base!$H$18+IF(parametros_manuales!$H$34="Todos",datos_base!$H$9+datos_base!$H$23,0))*parametros_manuales!$G$95+parametros_manuales!$E$34*(datos_base!$H$3+datos_base!$H$19+IF(parametros_manuales!$H$34="Todos",datos_base!$H$10+datos_base!$H$24,0))*parametros_manuales!$G$100+parametros_manuales!$F$34*(datos_base!$H$4+datos_base!$H$20+IF(parametros_manuales!$H$34="Todos",datos_base!$H$11+datos_base!$H$25,0))*parametros_manuales!$G$105+parametros_manuales!$G$34*(datos_base!$H$5+datos_base!$H$21+IF(parametros_manuales!$H$34="Todos",datos_base!$H$12+datos_base!$H$26,0))*parametros_manuales!$G$110)*parametros_manuales!$I$34*parametros_manuales!$J$34</f>
        <v>12203.862421375</v>
      </c>
      <c r="H179" s="9" t="n">
        <f aca="false">(parametros_manuales!$D$34*(datos_base!$H$2+datos_base!$H$18+IF(parametros_manuales!$H$34="Todos",datos_base!$H$9+datos_base!$H$23,0))*parametros_manuales!$H$95+parametros_manuales!$E$34*(datos_base!$H$3+datos_base!$H$19+IF(parametros_manuales!$H$34="Todos",datos_base!$H$10+datos_base!$H$24,0))*parametros_manuales!$H$100+parametros_manuales!$F$34*(datos_base!$H$4+datos_base!$H$20+IF(parametros_manuales!$H$34="Todos",datos_base!$H$11+datos_base!$H$25,0))*parametros_manuales!$H$105+parametros_manuales!$G$34*(datos_base!$H$5+datos_base!$H$21+IF(parametros_manuales!$H$34="Todos",datos_base!$H$12+datos_base!$H$26,0))*parametros_manuales!$H$110)*parametros_manuales!$I$34*parametros_manuales!$J$34</f>
        <v>13058.01096722</v>
      </c>
      <c r="I179" s="9" t="n">
        <f aca="false">(parametros_manuales!$D$34*(datos_base!$H$2+datos_base!$H$18+IF(parametros_manuales!$H$34="Todos",datos_base!$H$9+datos_base!$H$23,0))*parametros_manuales!$I$95+parametros_manuales!$E$34*(datos_base!$H$3+datos_base!$H$19+IF(parametros_manuales!$H$34="Todos",datos_base!$H$10+datos_base!$H$24,0))*parametros_manuales!$I$100+parametros_manuales!$F$34*(datos_base!$H$4+datos_base!$H$20+IF(parametros_manuales!$H$34="Todos",datos_base!$H$11+datos_base!$H$25,0))*parametros_manuales!$I$105+parametros_manuales!$G$34*(datos_base!$H$5+datos_base!$H$21+IF(parametros_manuales!$H$34="Todos",datos_base!$H$12+datos_base!$H$26,0))*parametros_manuales!$I$110)*parametros_manuales!$I$34*parametros_manuales!$J$34</f>
        <v>14883.10826612</v>
      </c>
      <c r="J179" s="9" t="n">
        <f aca="false">(parametros_manuales!$D$34*(datos_base!$H$2+datos_base!$H$18+IF(parametros_manuales!$H$34="Todos",datos_base!$H$9+datos_base!$H$23,0))*parametros_manuales!$J$95+parametros_manuales!$E$34*(datos_base!$H$3+datos_base!$H$19+IF(parametros_manuales!$H$34="Todos",datos_base!$H$10+datos_base!$H$24,0))*parametros_manuales!$J$100+parametros_manuales!$F$34*(datos_base!$H$4+datos_base!$H$20+IF(parametros_manuales!$H$34="Todos",datos_base!$H$11+datos_base!$H$25,0))*parametros_manuales!$J$105+parametros_manuales!$G$34*(datos_base!$H$5+datos_base!$H$21+IF(parametros_manuales!$H$34="Todos",datos_base!$H$12+datos_base!$H$26,0))*parametros_manuales!$J$110)*parametros_manuales!$I$34*parametros_manuales!$J$34</f>
        <v>14883.10826612</v>
      </c>
      <c r="K179" s="9" t="n">
        <f aca="false">(parametros_manuales!$D$34*(datos_base!$H$2+datos_base!$H$18+IF(parametros_manuales!$H$34="Todos",datos_base!$H$9+datos_base!$H$23,0))*parametros_manuales!$K$95+parametros_manuales!$E$34*(datos_base!$H$3+datos_base!$H$19+IF(parametros_manuales!$H$34="Todos",datos_base!$H$10+datos_base!$H$24,0))*parametros_manuales!$K$100+parametros_manuales!$F$34*(datos_base!$H$4+datos_base!$H$20+IF(parametros_manuales!$H$34="Todos",datos_base!$H$11+datos_base!$H$25,0))*parametros_manuales!$K$105+parametros_manuales!$G$34*(datos_base!$H$5+datos_base!$H$21+IF(parametros_manuales!$H$34="Todos",datos_base!$H$12+datos_base!$H$26,0))*parametros_manuales!$K$110)*parametros_manuales!$I$34*parametros_manuales!$J$34</f>
        <v>15128.891045665</v>
      </c>
      <c r="L179" s="9" t="n">
        <f aca="false">(parametros_manuales!$D$34*(datos_base!$H$2+datos_base!$H$18+IF(parametros_manuales!$H$34="Todos",datos_base!$H$9+datos_base!$H$23,0))*parametros_manuales!$L$95+parametros_manuales!$E$34*(datos_base!$H$3+datos_base!$H$19+IF(parametros_manuales!$H$34="Todos",datos_base!$H$10+datos_base!$H$24,0))*parametros_manuales!$L$100+parametros_manuales!$F$34*(datos_base!$H$4+datos_base!$H$20+IF(parametros_manuales!$H$34="Todos",datos_base!$H$11+datos_base!$H$25,0))*parametros_manuales!$L$105+parametros_manuales!$G$34*(datos_base!$H$5+datos_base!$H$21+IF(parametros_manuales!$H$34="Todos",datos_base!$H$12+datos_base!$H$26,0))*parametros_manuales!$L$110)*parametros_manuales!$I$34*parametros_manuales!$J$34</f>
        <v>15374.67382521</v>
      </c>
      <c r="M179" s="9" t="n">
        <f aca="false">(parametros_manuales!$D$34*(datos_base!$H$2+datos_base!$H$18+IF(parametros_manuales!$H$34="Todos",datos_base!$H$9+datos_base!$H$23,0))*parametros_manuales!$M$95+parametros_manuales!$E$34*(datos_base!$H$3+datos_base!$H$19+IF(parametros_manuales!$H$34="Todos",datos_base!$H$10+datos_base!$H$24,0))*parametros_manuales!$M$100+parametros_manuales!$F$34*(datos_base!$H$4+datos_base!$H$20+IF(parametros_manuales!$H$34="Todos",datos_base!$H$11+datos_base!$H$25,0))*parametros_manuales!$M$105+parametros_manuales!$G$34*(datos_base!$H$5+datos_base!$H$21+IF(parametros_manuales!$H$34="Todos",datos_base!$H$12+datos_base!$H$26,0))*parametros_manuales!$M$110)*parametros_manuales!$I$34*parametros_manuales!$J$34</f>
        <v>15374.67382521</v>
      </c>
      <c r="N179" s="9" t="n">
        <f aca="false">SUM(B179:M179)</f>
        <v>170829.709169</v>
      </c>
      <c r="O179" s="9" t="n">
        <f aca="false">MAX(B179:M179)</f>
        <v>15374.67382521</v>
      </c>
      <c r="P179" s="43" t="n">
        <f aca="false">O179/(parametros_manuales!$B$7)</f>
        <v>102.4978255014</v>
      </c>
      <c r="Q179" s="8" t="str">
        <f aca="false">IF(O179=0,"-",INDEX($B$163:$M$163,MATCH(O179,B179:M179,0)))</f>
        <v>Ene</v>
      </c>
    </row>
    <row r="180" customFormat="false" ht="14.25" hidden="false" customHeight="true" outlineLevel="0" collapsed="false">
      <c r="A180" s="8" t="str">
        <f aca="false">parametros_manuales!$B$35</f>
        <v>Detección de defectos</v>
      </c>
      <c r="B180" s="9" t="n">
        <f aca="false">(parametros_manuales!$D$35*(datos_base!$H$2+datos_base!$H$18+IF(parametros_manuales!$H$35="Todos",datos_base!$H$9+datos_base!$H$23,0))*parametros_manuales!$B$95+parametros_manuales!$E$35*(datos_base!$H$3+datos_base!$H$19+IF(parametros_manuales!$H$35="Todos",datos_base!$H$10+datos_base!$H$24,0))*parametros_manuales!$B$100+parametros_manuales!$F$35*(datos_base!$H$4+datos_base!$H$20+IF(parametros_manuales!$H$35="Todos",datos_base!$H$11+datos_base!$H$25,0))*parametros_manuales!$B$105+parametros_manuales!$G$35*(datos_base!$H$5+datos_base!$H$21+IF(parametros_manuales!$H$35="Todos",datos_base!$H$12+datos_base!$H$26,0))*parametros_manuales!$B$110)*parametros_manuales!$I$35*parametros_manuales!$J$35</f>
        <v>15374.67382521</v>
      </c>
      <c r="C180" s="9" t="n">
        <f aca="false">(parametros_manuales!$D$35*(datos_base!$H$2+datos_base!$H$18+IF(parametros_manuales!$H$35="Todos",datos_base!$H$9+datos_base!$H$23,0))*parametros_manuales!$C$95+parametros_manuales!$E$35*(datos_base!$H$3+datos_base!$H$19+IF(parametros_manuales!$H$35="Todos",datos_base!$H$10+datos_base!$H$24,0))*parametros_manuales!$C$100+parametros_manuales!$F$35*(datos_base!$H$4+datos_base!$H$20+IF(parametros_manuales!$H$35="Todos",datos_base!$H$11+datos_base!$H$25,0))*parametros_manuales!$C$105+parametros_manuales!$G$35*(datos_base!$H$5+datos_base!$H$21+IF(parametros_manuales!$H$35="Todos",datos_base!$H$12+datos_base!$H$26,0))*parametros_manuales!$C$110)*parametros_manuales!$I$35*parametros_manuales!$J$35</f>
        <v>14883.10826612</v>
      </c>
      <c r="D180" s="9" t="n">
        <f aca="false">(parametros_manuales!$D$35*(datos_base!$H$2+datos_base!$H$18+IF(parametros_manuales!$H$35="Todos",datos_base!$H$9+datos_base!$H$23,0))*parametros_manuales!$D$95+parametros_manuales!$E$35*(datos_base!$H$3+datos_base!$H$19+IF(parametros_manuales!$H$35="Todos",datos_base!$H$10+datos_base!$H$24,0))*parametros_manuales!$D$100+parametros_manuales!$F$35*(datos_base!$H$4+datos_base!$H$20+IF(parametros_manuales!$H$35="Todos",datos_base!$H$11+datos_base!$H$25,0))*parametros_manuales!$D$105+parametros_manuales!$G$35*(datos_base!$H$5+datos_base!$H$21+IF(parametros_manuales!$H$35="Todos",datos_base!$H$12+datos_base!$H$26,0))*parametros_manuales!$D$110)*parametros_manuales!$I$35*parametros_manuales!$J$35</f>
        <v>13912.159513065</v>
      </c>
      <c r="E180" s="9" t="n">
        <f aca="false">(parametros_manuales!$D$35*(datos_base!$H$2+datos_base!$H$18+IF(parametros_manuales!$H$35="Todos",datos_base!$H$9+datos_base!$H$23,0))*parametros_manuales!$E$95+parametros_manuales!$E$35*(datos_base!$H$3+datos_base!$H$19+IF(parametros_manuales!$H$35="Todos",datos_base!$H$10+datos_base!$H$24,0))*parametros_manuales!$E$100+parametros_manuales!$F$35*(datos_base!$H$4+datos_base!$H$20+IF(parametros_manuales!$H$35="Todos",datos_base!$H$11+datos_base!$H$25,0))*parametros_manuales!$E$105+parametros_manuales!$G$35*(datos_base!$H$5+datos_base!$H$21+IF(parametros_manuales!$H$35="Todos",datos_base!$H$12+datos_base!$H$26,0))*parametros_manuales!$E$110)*parametros_manuales!$I$35*parametros_manuales!$J$35</f>
        <v>13303.793746765</v>
      </c>
      <c r="F180" s="9" t="n">
        <f aca="false">(parametros_manuales!$D$35*(datos_base!$H$2+datos_base!$H$18+IF(parametros_manuales!$H$35="Todos",datos_base!$H$9+datos_base!$H$23,0))*parametros_manuales!$F$95+parametros_manuales!$E$35*(datos_base!$H$3+datos_base!$H$19+IF(parametros_manuales!$H$35="Todos",datos_base!$H$10+datos_base!$H$24,0))*parametros_manuales!$F$100+parametros_manuales!$F$35*(datos_base!$H$4+datos_base!$H$20+IF(parametros_manuales!$H$35="Todos",datos_base!$H$11+datos_base!$H$25,0))*parametros_manuales!$F$105+parametros_manuales!$G$35*(datos_base!$H$5+datos_base!$H$21+IF(parametros_manuales!$H$35="Todos",datos_base!$H$12+datos_base!$H$26,0))*parametros_manuales!$F$110)*parametros_manuales!$I$35*parametros_manuales!$J$35</f>
        <v>12449.64520092</v>
      </c>
      <c r="G180" s="9" t="n">
        <f aca="false">(parametros_manuales!$D$35*(datos_base!$H$2+datos_base!$H$18+IF(parametros_manuales!$H$35="Todos",datos_base!$H$9+datos_base!$H$23,0))*parametros_manuales!$G$95+parametros_manuales!$E$35*(datos_base!$H$3+datos_base!$H$19+IF(parametros_manuales!$H$35="Todos",datos_base!$H$10+datos_base!$H$24,0))*parametros_manuales!$G$100+parametros_manuales!$F$35*(datos_base!$H$4+datos_base!$H$20+IF(parametros_manuales!$H$35="Todos",datos_base!$H$11+datos_base!$H$25,0))*parametros_manuales!$G$105+parametros_manuales!$G$35*(datos_base!$H$5+datos_base!$H$21+IF(parametros_manuales!$H$35="Todos",datos_base!$H$12+datos_base!$H$26,0))*parametros_manuales!$G$110)*parametros_manuales!$I$35*parametros_manuales!$J$35</f>
        <v>12203.862421375</v>
      </c>
      <c r="H180" s="9" t="n">
        <f aca="false">(parametros_manuales!$D$35*(datos_base!$H$2+datos_base!$H$18+IF(parametros_manuales!$H$35="Todos",datos_base!$H$9+datos_base!$H$23,0))*parametros_manuales!$H$95+parametros_manuales!$E$35*(datos_base!$H$3+datos_base!$H$19+IF(parametros_manuales!$H$35="Todos",datos_base!$H$10+datos_base!$H$24,0))*parametros_manuales!$H$100+parametros_manuales!$F$35*(datos_base!$H$4+datos_base!$H$20+IF(parametros_manuales!$H$35="Todos",datos_base!$H$11+datos_base!$H$25,0))*parametros_manuales!$H$105+parametros_manuales!$G$35*(datos_base!$H$5+datos_base!$H$21+IF(parametros_manuales!$H$35="Todos",datos_base!$H$12+datos_base!$H$26,0))*parametros_manuales!$H$110)*parametros_manuales!$I$35*parametros_manuales!$J$35</f>
        <v>13058.01096722</v>
      </c>
      <c r="I180" s="9" t="n">
        <f aca="false">(parametros_manuales!$D$35*(datos_base!$H$2+datos_base!$H$18+IF(parametros_manuales!$H$35="Todos",datos_base!$H$9+datos_base!$H$23,0))*parametros_manuales!$I$95+parametros_manuales!$E$35*(datos_base!$H$3+datos_base!$H$19+IF(parametros_manuales!$H$35="Todos",datos_base!$H$10+datos_base!$H$24,0))*parametros_manuales!$I$100+parametros_manuales!$F$35*(datos_base!$H$4+datos_base!$H$20+IF(parametros_manuales!$H$35="Todos",datos_base!$H$11+datos_base!$H$25,0))*parametros_manuales!$I$105+parametros_manuales!$G$35*(datos_base!$H$5+datos_base!$H$21+IF(parametros_manuales!$H$35="Todos",datos_base!$H$12+datos_base!$H$26,0))*parametros_manuales!$I$110)*parametros_manuales!$I$35*parametros_manuales!$J$35</f>
        <v>14883.10826612</v>
      </c>
      <c r="J180" s="9" t="n">
        <f aca="false">(parametros_manuales!$D$35*(datos_base!$H$2+datos_base!$H$18+IF(parametros_manuales!$H$35="Todos",datos_base!$H$9+datos_base!$H$23,0))*parametros_manuales!$J$95+parametros_manuales!$E$35*(datos_base!$H$3+datos_base!$H$19+IF(parametros_manuales!$H$35="Todos",datos_base!$H$10+datos_base!$H$24,0))*parametros_manuales!$J$100+parametros_manuales!$F$35*(datos_base!$H$4+datos_base!$H$20+IF(parametros_manuales!$H$35="Todos",datos_base!$H$11+datos_base!$H$25,0))*parametros_manuales!$J$105+parametros_manuales!$G$35*(datos_base!$H$5+datos_base!$H$21+IF(parametros_manuales!$H$35="Todos",datos_base!$H$12+datos_base!$H$26,0))*parametros_manuales!$J$110)*parametros_manuales!$I$35*parametros_manuales!$J$35</f>
        <v>14883.10826612</v>
      </c>
      <c r="K180" s="9" t="n">
        <f aca="false">(parametros_manuales!$D$35*(datos_base!$H$2+datos_base!$H$18+IF(parametros_manuales!$H$35="Todos",datos_base!$H$9+datos_base!$H$23,0))*parametros_manuales!$K$95+parametros_manuales!$E$35*(datos_base!$H$3+datos_base!$H$19+IF(parametros_manuales!$H$35="Todos",datos_base!$H$10+datos_base!$H$24,0))*parametros_manuales!$K$100+parametros_manuales!$F$35*(datos_base!$H$4+datos_base!$H$20+IF(parametros_manuales!$H$35="Todos",datos_base!$H$11+datos_base!$H$25,0))*parametros_manuales!$K$105+parametros_manuales!$G$35*(datos_base!$H$5+datos_base!$H$21+IF(parametros_manuales!$H$35="Todos",datos_base!$H$12+datos_base!$H$26,0))*parametros_manuales!$K$110)*parametros_manuales!$I$35*parametros_manuales!$J$35</f>
        <v>15128.891045665</v>
      </c>
      <c r="L180" s="9" t="n">
        <f aca="false">(parametros_manuales!$D$35*(datos_base!$H$2+datos_base!$H$18+IF(parametros_manuales!$H$35="Todos",datos_base!$H$9+datos_base!$H$23,0))*parametros_manuales!$L$95+parametros_manuales!$E$35*(datos_base!$H$3+datos_base!$H$19+IF(parametros_manuales!$H$35="Todos",datos_base!$H$10+datos_base!$H$24,0))*parametros_manuales!$L$100+parametros_manuales!$F$35*(datos_base!$H$4+datos_base!$H$20+IF(parametros_manuales!$H$35="Todos",datos_base!$H$11+datos_base!$H$25,0))*parametros_manuales!$L$105+parametros_manuales!$G$35*(datos_base!$H$5+datos_base!$H$21+IF(parametros_manuales!$H$35="Todos",datos_base!$H$12+datos_base!$H$26,0))*parametros_manuales!$L$110)*parametros_manuales!$I$35*parametros_manuales!$J$35</f>
        <v>15374.67382521</v>
      </c>
      <c r="M180" s="9" t="n">
        <f aca="false">(parametros_manuales!$D$35*(datos_base!$H$2+datos_base!$H$18+IF(parametros_manuales!$H$35="Todos",datos_base!$H$9+datos_base!$H$23,0))*parametros_manuales!$M$95+parametros_manuales!$E$35*(datos_base!$H$3+datos_base!$H$19+IF(parametros_manuales!$H$35="Todos",datos_base!$H$10+datos_base!$H$24,0))*parametros_manuales!$M$100+parametros_manuales!$F$35*(datos_base!$H$4+datos_base!$H$20+IF(parametros_manuales!$H$35="Todos",datos_base!$H$11+datos_base!$H$25,0))*parametros_manuales!$M$105+parametros_manuales!$G$35*(datos_base!$H$5+datos_base!$H$21+IF(parametros_manuales!$H$35="Todos",datos_base!$H$12+datos_base!$H$26,0))*parametros_manuales!$M$110)*parametros_manuales!$I$35*parametros_manuales!$J$35</f>
        <v>15374.67382521</v>
      </c>
      <c r="N180" s="9" t="n">
        <f aca="false">SUM(B180:M180)</f>
        <v>170829.709169</v>
      </c>
      <c r="O180" s="9" t="n">
        <f aca="false">MAX(B180:M180)</f>
        <v>15374.67382521</v>
      </c>
      <c r="P180" s="43" t="n">
        <f aca="false">O180/(parametros_manuales!$B$7)</f>
        <v>102.4978255014</v>
      </c>
      <c r="Q180" s="8" t="str">
        <f aca="false">IF(O180=0,"-",INDEX($B$163:$M$163,MATCH(O180,B180:M180,0)))</f>
        <v>Ene</v>
      </c>
    </row>
    <row r="181" customFormat="false" ht="14.25" hidden="false" customHeight="true" outlineLevel="0" collapsed="false">
      <c r="A181" s="8" t="str">
        <f aca="false">parametros_manuales!$B$36</f>
        <v>Corrección de defectos</v>
      </c>
      <c r="B181" s="9" t="n">
        <f aca="false">(parametros_manuales!$D$36*(datos_base!$H$2+datos_base!$H$18+IF(parametros_manuales!$H$36="Todos",datos_base!$H$9+datos_base!$H$23,0))*parametros_manuales!$B$95+parametros_manuales!$E$36*(datos_base!$H$3+datos_base!$H$19+IF(parametros_manuales!$H$36="Todos",datos_base!$H$10+datos_base!$H$24,0))*parametros_manuales!$B$100+parametros_manuales!$F$36*(datos_base!$H$4+datos_base!$H$20+IF(parametros_manuales!$H$36="Todos",datos_base!$H$11+datos_base!$H$25,0))*parametros_manuales!$B$105+parametros_manuales!$G$36*(datos_base!$H$5+datos_base!$H$21+IF(parametros_manuales!$H$36="Todos",datos_base!$H$12+datos_base!$H$26,0))*parametros_manuales!$B$110)*parametros_manuales!$I$36*parametros_manuales!$J$36</f>
        <v>768.7336912605</v>
      </c>
      <c r="C181" s="9" t="n">
        <f aca="false">(parametros_manuales!$D$36*(datos_base!$H$2+datos_base!$H$18+IF(parametros_manuales!$H$36="Todos",datos_base!$H$9+datos_base!$H$23,0))*parametros_manuales!$C$95+parametros_manuales!$E$36*(datos_base!$H$3+datos_base!$H$19+IF(parametros_manuales!$H$36="Todos",datos_base!$H$10+datos_base!$H$24,0))*parametros_manuales!$C$100+parametros_manuales!$F$36*(datos_base!$H$4+datos_base!$H$20+IF(parametros_manuales!$H$36="Todos",datos_base!$H$11+datos_base!$H$25,0))*parametros_manuales!$C$105+parametros_manuales!$G$36*(datos_base!$H$5+datos_base!$H$21+IF(parametros_manuales!$H$36="Todos",datos_base!$H$12+datos_base!$H$26,0))*parametros_manuales!$C$110)*parametros_manuales!$I$36*parametros_manuales!$J$36</f>
        <v>744.155413306</v>
      </c>
      <c r="D181" s="9" t="n">
        <f aca="false">(parametros_manuales!$D$36*(datos_base!$H$2+datos_base!$H$18+IF(parametros_manuales!$H$36="Todos",datos_base!$H$9+datos_base!$H$23,0))*parametros_manuales!$D$95+parametros_manuales!$E$36*(datos_base!$H$3+datos_base!$H$19+IF(parametros_manuales!$H$36="Todos",datos_base!$H$10+datos_base!$H$24,0))*parametros_manuales!$D$100+parametros_manuales!$F$36*(datos_base!$H$4+datos_base!$H$20+IF(parametros_manuales!$H$36="Todos",datos_base!$H$11+datos_base!$H$25,0))*parametros_manuales!$D$105+parametros_manuales!$G$36*(datos_base!$H$5+datos_base!$H$21+IF(parametros_manuales!$H$36="Todos",datos_base!$H$12+datos_base!$H$26,0))*parametros_manuales!$D$110)*parametros_manuales!$I$36*parametros_manuales!$J$36</f>
        <v>695.60797565325</v>
      </c>
      <c r="E181" s="9" t="n">
        <f aca="false">(parametros_manuales!$D$36*(datos_base!$H$2+datos_base!$H$18+IF(parametros_manuales!$H$36="Todos",datos_base!$H$9+datos_base!$H$23,0))*parametros_manuales!$E$95+parametros_manuales!$E$36*(datos_base!$H$3+datos_base!$H$19+IF(parametros_manuales!$H$36="Todos",datos_base!$H$10+datos_base!$H$24,0))*parametros_manuales!$E$100+parametros_manuales!$F$36*(datos_base!$H$4+datos_base!$H$20+IF(parametros_manuales!$H$36="Todos",datos_base!$H$11+datos_base!$H$25,0))*parametros_manuales!$E$105+parametros_manuales!$G$36*(datos_base!$H$5+datos_base!$H$21+IF(parametros_manuales!$H$36="Todos",datos_base!$H$12+datos_base!$H$26,0))*parametros_manuales!$E$110)*parametros_manuales!$I$36*parametros_manuales!$J$36</f>
        <v>665.18968733825</v>
      </c>
      <c r="F181" s="9" t="n">
        <f aca="false">(parametros_manuales!$D$36*(datos_base!$H$2+datos_base!$H$18+IF(parametros_manuales!$H$36="Todos",datos_base!$H$9+datos_base!$H$23,0))*parametros_manuales!$F$95+parametros_manuales!$E$36*(datos_base!$H$3+datos_base!$H$19+IF(parametros_manuales!$H$36="Todos",datos_base!$H$10+datos_base!$H$24,0))*parametros_manuales!$F$100+parametros_manuales!$F$36*(datos_base!$H$4+datos_base!$H$20+IF(parametros_manuales!$H$36="Todos",datos_base!$H$11+datos_base!$H$25,0))*parametros_manuales!$F$105+parametros_manuales!$G$36*(datos_base!$H$5+datos_base!$H$21+IF(parametros_manuales!$H$36="Todos",datos_base!$H$12+datos_base!$H$26,0))*parametros_manuales!$F$110)*parametros_manuales!$I$36*parametros_manuales!$J$36</f>
        <v>622.482260046</v>
      </c>
      <c r="G181" s="9" t="n">
        <f aca="false">(parametros_manuales!$D$36*(datos_base!$H$2+datos_base!$H$18+IF(parametros_manuales!$H$36="Todos",datos_base!$H$9+datos_base!$H$23,0))*parametros_manuales!$G$95+parametros_manuales!$E$36*(datos_base!$H$3+datos_base!$H$19+IF(parametros_manuales!$H$36="Todos",datos_base!$H$10+datos_base!$H$24,0))*parametros_manuales!$G$100+parametros_manuales!$F$36*(datos_base!$H$4+datos_base!$H$20+IF(parametros_manuales!$H$36="Todos",datos_base!$H$11+datos_base!$H$25,0))*parametros_manuales!$G$105+parametros_manuales!$G$36*(datos_base!$H$5+datos_base!$H$21+IF(parametros_manuales!$H$36="Todos",datos_base!$H$12+datos_base!$H$26,0))*parametros_manuales!$G$110)*parametros_manuales!$I$36*parametros_manuales!$J$36</f>
        <v>610.19312106875</v>
      </c>
      <c r="H181" s="9" t="n">
        <f aca="false">(parametros_manuales!$D$36*(datos_base!$H$2+datos_base!$H$18+IF(parametros_manuales!$H$36="Todos",datos_base!$H$9+datos_base!$H$23,0))*parametros_manuales!$H$95+parametros_manuales!$E$36*(datos_base!$H$3+datos_base!$H$19+IF(parametros_manuales!$H$36="Todos",datos_base!$H$10+datos_base!$H$24,0))*parametros_manuales!$H$100+parametros_manuales!$F$36*(datos_base!$H$4+datos_base!$H$20+IF(parametros_manuales!$H$36="Todos",datos_base!$H$11+datos_base!$H$25,0))*parametros_manuales!$H$105+parametros_manuales!$G$36*(datos_base!$H$5+datos_base!$H$21+IF(parametros_manuales!$H$36="Todos",datos_base!$H$12+datos_base!$H$26,0))*parametros_manuales!$H$110)*parametros_manuales!$I$36*parametros_manuales!$J$36</f>
        <v>652.900548361</v>
      </c>
      <c r="I181" s="9" t="n">
        <f aca="false">(parametros_manuales!$D$36*(datos_base!$H$2+datos_base!$H$18+IF(parametros_manuales!$H$36="Todos",datos_base!$H$9+datos_base!$H$23,0))*parametros_manuales!$I$95+parametros_manuales!$E$36*(datos_base!$H$3+datos_base!$H$19+IF(parametros_manuales!$H$36="Todos",datos_base!$H$10+datos_base!$H$24,0))*parametros_manuales!$I$100+parametros_manuales!$F$36*(datos_base!$H$4+datos_base!$H$20+IF(parametros_manuales!$H$36="Todos",datos_base!$H$11+datos_base!$H$25,0))*parametros_manuales!$I$105+parametros_manuales!$G$36*(datos_base!$H$5+datos_base!$H$21+IF(parametros_manuales!$H$36="Todos",datos_base!$H$12+datos_base!$H$26,0))*parametros_manuales!$I$110)*parametros_manuales!$I$36*parametros_manuales!$J$36</f>
        <v>744.155413306</v>
      </c>
      <c r="J181" s="9" t="n">
        <f aca="false">(parametros_manuales!$D$36*(datos_base!$H$2+datos_base!$H$18+IF(parametros_manuales!$H$36="Todos",datos_base!$H$9+datos_base!$H$23,0))*parametros_manuales!$J$95+parametros_manuales!$E$36*(datos_base!$H$3+datos_base!$H$19+IF(parametros_manuales!$H$36="Todos",datos_base!$H$10+datos_base!$H$24,0))*parametros_manuales!$J$100+parametros_manuales!$F$36*(datos_base!$H$4+datos_base!$H$20+IF(parametros_manuales!$H$36="Todos",datos_base!$H$11+datos_base!$H$25,0))*parametros_manuales!$J$105+parametros_manuales!$G$36*(datos_base!$H$5+datos_base!$H$21+IF(parametros_manuales!$H$36="Todos",datos_base!$H$12+datos_base!$H$26,0))*parametros_manuales!$J$110)*parametros_manuales!$I$36*parametros_manuales!$J$36</f>
        <v>744.155413306</v>
      </c>
      <c r="K181" s="9" t="n">
        <f aca="false">(parametros_manuales!$D$36*(datos_base!$H$2+datos_base!$H$18+IF(parametros_manuales!$H$36="Todos",datos_base!$H$9+datos_base!$H$23,0))*parametros_manuales!$K$95+parametros_manuales!$E$36*(datos_base!$H$3+datos_base!$H$19+IF(parametros_manuales!$H$36="Todos",datos_base!$H$10+datos_base!$H$24,0))*parametros_manuales!$K$100+parametros_manuales!$F$36*(datos_base!$H$4+datos_base!$H$20+IF(parametros_manuales!$H$36="Todos",datos_base!$H$11+datos_base!$H$25,0))*parametros_manuales!$K$105+parametros_manuales!$G$36*(datos_base!$H$5+datos_base!$H$21+IF(parametros_manuales!$H$36="Todos",datos_base!$H$12+datos_base!$H$26,0))*parametros_manuales!$K$110)*parametros_manuales!$I$36*parametros_manuales!$J$36</f>
        <v>756.44455228325</v>
      </c>
      <c r="L181" s="9" t="n">
        <f aca="false">(parametros_manuales!$D$36*(datos_base!$H$2+datos_base!$H$18+IF(parametros_manuales!$H$36="Todos",datos_base!$H$9+datos_base!$H$23,0))*parametros_manuales!$L$95+parametros_manuales!$E$36*(datos_base!$H$3+datos_base!$H$19+IF(parametros_manuales!$H$36="Todos",datos_base!$H$10+datos_base!$H$24,0))*parametros_manuales!$L$100+parametros_manuales!$F$36*(datos_base!$H$4+datos_base!$H$20+IF(parametros_manuales!$H$36="Todos",datos_base!$H$11+datos_base!$H$25,0))*parametros_manuales!$L$105+parametros_manuales!$G$36*(datos_base!$H$5+datos_base!$H$21+IF(parametros_manuales!$H$36="Todos",datos_base!$H$12+datos_base!$H$26,0))*parametros_manuales!$L$110)*parametros_manuales!$I$36*parametros_manuales!$J$36</f>
        <v>768.7336912605</v>
      </c>
      <c r="M181" s="9" t="n">
        <f aca="false">(parametros_manuales!$D$36*(datos_base!$H$2+datos_base!$H$18+IF(parametros_manuales!$H$36="Todos",datos_base!$H$9+datos_base!$H$23,0))*parametros_manuales!$M$95+parametros_manuales!$E$36*(datos_base!$H$3+datos_base!$H$19+IF(parametros_manuales!$H$36="Todos",datos_base!$H$10+datos_base!$H$24,0))*parametros_manuales!$M$100+parametros_manuales!$F$36*(datos_base!$H$4+datos_base!$H$20+IF(parametros_manuales!$H$36="Todos",datos_base!$H$11+datos_base!$H$25,0))*parametros_manuales!$M$105+parametros_manuales!$G$36*(datos_base!$H$5+datos_base!$H$21+IF(parametros_manuales!$H$36="Todos",datos_base!$H$12+datos_base!$H$26,0))*parametros_manuales!$M$110)*parametros_manuales!$I$36*parametros_manuales!$J$36</f>
        <v>768.7336912605</v>
      </c>
      <c r="N181" s="9" t="n">
        <f aca="false">SUM(B181:M181)</f>
        <v>8541.48545845</v>
      </c>
      <c r="O181" s="9" t="n">
        <f aca="false">MAX(B181:M181)</f>
        <v>768.7336912605</v>
      </c>
      <c r="P181" s="43" t="n">
        <f aca="false">O181/(parametros_manuales!$B$7)</f>
        <v>5.12489127507</v>
      </c>
      <c r="Q181" s="8" t="str">
        <f aca="false">IF(O181=0,"-",INDEX($B$163:$M$163,MATCH(O181,B181:M181,0)))</f>
        <v>Ene</v>
      </c>
    </row>
    <row r="182" customFormat="false" ht="14.25" hidden="false" customHeight="true" outlineLevel="0" collapsed="false">
      <c r="A182" s="8" t="str">
        <f aca="false">parametros_manuales!$B$37</f>
        <v>Pintura en polvo + horno</v>
      </c>
      <c r="B182" s="9" t="n">
        <f aca="false">(parametros_manuales!$D$37*(datos_base!$H$2+datos_base!$H$18+IF(parametros_manuales!$H$37="Todos",datos_base!$H$9+datos_base!$H$23,0))*parametros_manuales!$B$95+parametros_manuales!$E$37*(datos_base!$H$3+datos_base!$H$19+IF(parametros_manuales!$H$37="Todos",datos_base!$H$10+datos_base!$H$24,0))*parametros_manuales!$B$100+parametros_manuales!$F$37*(datos_base!$H$4+datos_base!$H$20+IF(parametros_manuales!$H$37="Todos",datos_base!$H$11+datos_base!$H$25,0))*parametros_manuales!$B$105+parametros_manuales!$G$37*(datos_base!$H$5+datos_base!$H$21+IF(parametros_manuales!$H$37="Todos",datos_base!$H$12+datos_base!$H$26,0))*parametros_manuales!$B$110)*parametros_manuales!$I$37*parametros_manuales!$J$37</f>
        <v>15374.67382521</v>
      </c>
      <c r="C182" s="9" t="n">
        <f aca="false">(parametros_manuales!$D$37*(datos_base!$H$2+datos_base!$H$18+IF(parametros_manuales!$H$37="Todos",datos_base!$H$9+datos_base!$H$23,0))*parametros_manuales!$C$95+parametros_manuales!$E$37*(datos_base!$H$3+datos_base!$H$19+IF(parametros_manuales!$H$37="Todos",datos_base!$H$10+datos_base!$H$24,0))*parametros_manuales!$C$100+parametros_manuales!$F$37*(datos_base!$H$4+datos_base!$H$20+IF(parametros_manuales!$H$37="Todos",datos_base!$H$11+datos_base!$H$25,0))*parametros_manuales!$C$105+parametros_manuales!$G$37*(datos_base!$H$5+datos_base!$H$21+IF(parametros_manuales!$H$37="Todos",datos_base!$H$12+datos_base!$H$26,0))*parametros_manuales!$C$110)*parametros_manuales!$I$37*parametros_manuales!$J$37</f>
        <v>14883.10826612</v>
      </c>
      <c r="D182" s="9" t="n">
        <f aca="false">(parametros_manuales!$D$37*(datos_base!$H$2+datos_base!$H$18+IF(parametros_manuales!$H$37="Todos",datos_base!$H$9+datos_base!$H$23,0))*parametros_manuales!$D$95+parametros_manuales!$E$37*(datos_base!$H$3+datos_base!$H$19+IF(parametros_manuales!$H$37="Todos",datos_base!$H$10+datos_base!$H$24,0))*parametros_manuales!$D$100+parametros_manuales!$F$37*(datos_base!$H$4+datos_base!$H$20+IF(parametros_manuales!$H$37="Todos",datos_base!$H$11+datos_base!$H$25,0))*parametros_manuales!$D$105+parametros_manuales!$G$37*(datos_base!$H$5+datos_base!$H$21+IF(parametros_manuales!$H$37="Todos",datos_base!$H$12+datos_base!$H$26,0))*parametros_manuales!$D$110)*parametros_manuales!$I$37*parametros_manuales!$J$37</f>
        <v>13912.159513065</v>
      </c>
      <c r="E182" s="9" t="n">
        <f aca="false">(parametros_manuales!$D$37*(datos_base!$H$2+datos_base!$H$18+IF(parametros_manuales!$H$37="Todos",datos_base!$H$9+datos_base!$H$23,0))*parametros_manuales!$E$95+parametros_manuales!$E$37*(datos_base!$H$3+datos_base!$H$19+IF(parametros_manuales!$H$37="Todos",datos_base!$H$10+datos_base!$H$24,0))*parametros_manuales!$E$100+parametros_manuales!$F$37*(datos_base!$H$4+datos_base!$H$20+IF(parametros_manuales!$H$37="Todos",datos_base!$H$11+datos_base!$H$25,0))*parametros_manuales!$E$105+parametros_manuales!$G$37*(datos_base!$H$5+datos_base!$H$21+IF(parametros_manuales!$H$37="Todos",datos_base!$H$12+datos_base!$H$26,0))*parametros_manuales!$E$110)*parametros_manuales!$I$37*parametros_manuales!$J$37</f>
        <v>13303.793746765</v>
      </c>
      <c r="F182" s="9" t="n">
        <f aca="false">(parametros_manuales!$D$37*(datos_base!$H$2+datos_base!$H$18+IF(parametros_manuales!$H$37="Todos",datos_base!$H$9+datos_base!$H$23,0))*parametros_manuales!$F$95+parametros_manuales!$E$37*(datos_base!$H$3+datos_base!$H$19+IF(parametros_manuales!$H$37="Todos",datos_base!$H$10+datos_base!$H$24,0))*parametros_manuales!$F$100+parametros_manuales!$F$37*(datos_base!$H$4+datos_base!$H$20+IF(parametros_manuales!$H$37="Todos",datos_base!$H$11+datos_base!$H$25,0))*parametros_manuales!$F$105+parametros_manuales!$G$37*(datos_base!$H$5+datos_base!$H$21+IF(parametros_manuales!$H$37="Todos",datos_base!$H$12+datos_base!$H$26,0))*parametros_manuales!$F$110)*parametros_manuales!$I$37*parametros_manuales!$J$37</f>
        <v>12449.64520092</v>
      </c>
      <c r="G182" s="9" t="n">
        <f aca="false">(parametros_manuales!$D$37*(datos_base!$H$2+datos_base!$H$18+IF(parametros_manuales!$H$37="Todos",datos_base!$H$9+datos_base!$H$23,0))*parametros_manuales!$G$95+parametros_manuales!$E$37*(datos_base!$H$3+datos_base!$H$19+IF(parametros_manuales!$H$37="Todos",datos_base!$H$10+datos_base!$H$24,0))*parametros_manuales!$G$100+parametros_manuales!$F$37*(datos_base!$H$4+datos_base!$H$20+IF(parametros_manuales!$H$37="Todos",datos_base!$H$11+datos_base!$H$25,0))*parametros_manuales!$G$105+parametros_manuales!$G$37*(datos_base!$H$5+datos_base!$H$21+IF(parametros_manuales!$H$37="Todos",datos_base!$H$12+datos_base!$H$26,0))*parametros_manuales!$G$110)*parametros_manuales!$I$37*parametros_manuales!$J$37</f>
        <v>12203.862421375</v>
      </c>
      <c r="H182" s="9" t="n">
        <f aca="false">(parametros_manuales!$D$37*(datos_base!$H$2+datos_base!$H$18+IF(parametros_manuales!$H$37="Todos",datos_base!$H$9+datos_base!$H$23,0))*parametros_manuales!$H$95+parametros_manuales!$E$37*(datos_base!$H$3+datos_base!$H$19+IF(parametros_manuales!$H$37="Todos",datos_base!$H$10+datos_base!$H$24,0))*parametros_manuales!$H$100+parametros_manuales!$F$37*(datos_base!$H$4+datos_base!$H$20+IF(parametros_manuales!$H$37="Todos",datos_base!$H$11+datos_base!$H$25,0))*parametros_manuales!$H$105+parametros_manuales!$G$37*(datos_base!$H$5+datos_base!$H$21+IF(parametros_manuales!$H$37="Todos",datos_base!$H$12+datos_base!$H$26,0))*parametros_manuales!$H$110)*parametros_manuales!$I$37*parametros_manuales!$J$37</f>
        <v>13058.01096722</v>
      </c>
      <c r="I182" s="9" t="n">
        <f aca="false">(parametros_manuales!$D$37*(datos_base!$H$2+datos_base!$H$18+IF(parametros_manuales!$H$37="Todos",datos_base!$H$9+datos_base!$H$23,0))*parametros_manuales!$I$95+parametros_manuales!$E$37*(datos_base!$H$3+datos_base!$H$19+IF(parametros_manuales!$H$37="Todos",datos_base!$H$10+datos_base!$H$24,0))*parametros_manuales!$I$100+parametros_manuales!$F$37*(datos_base!$H$4+datos_base!$H$20+IF(parametros_manuales!$H$37="Todos",datos_base!$H$11+datos_base!$H$25,0))*parametros_manuales!$I$105+parametros_manuales!$G$37*(datos_base!$H$5+datos_base!$H$21+IF(parametros_manuales!$H$37="Todos",datos_base!$H$12+datos_base!$H$26,0))*parametros_manuales!$I$110)*parametros_manuales!$I$37*parametros_manuales!$J$37</f>
        <v>14883.10826612</v>
      </c>
      <c r="J182" s="9" t="n">
        <f aca="false">(parametros_manuales!$D$37*(datos_base!$H$2+datos_base!$H$18+IF(parametros_manuales!$H$37="Todos",datos_base!$H$9+datos_base!$H$23,0))*parametros_manuales!$J$95+parametros_manuales!$E$37*(datos_base!$H$3+datos_base!$H$19+IF(parametros_manuales!$H$37="Todos",datos_base!$H$10+datos_base!$H$24,0))*parametros_manuales!$J$100+parametros_manuales!$F$37*(datos_base!$H$4+datos_base!$H$20+IF(parametros_manuales!$H$37="Todos",datos_base!$H$11+datos_base!$H$25,0))*parametros_manuales!$J$105+parametros_manuales!$G$37*(datos_base!$H$5+datos_base!$H$21+IF(parametros_manuales!$H$37="Todos",datos_base!$H$12+datos_base!$H$26,0))*parametros_manuales!$J$110)*parametros_manuales!$I$37*parametros_manuales!$J$37</f>
        <v>14883.10826612</v>
      </c>
      <c r="K182" s="9" t="n">
        <f aca="false">(parametros_manuales!$D$37*(datos_base!$H$2+datos_base!$H$18+IF(parametros_manuales!$H$37="Todos",datos_base!$H$9+datos_base!$H$23,0))*parametros_manuales!$K$95+parametros_manuales!$E$37*(datos_base!$H$3+datos_base!$H$19+IF(parametros_manuales!$H$37="Todos",datos_base!$H$10+datos_base!$H$24,0))*parametros_manuales!$K$100+parametros_manuales!$F$37*(datos_base!$H$4+datos_base!$H$20+IF(parametros_manuales!$H$37="Todos",datos_base!$H$11+datos_base!$H$25,0))*parametros_manuales!$K$105+parametros_manuales!$G$37*(datos_base!$H$5+datos_base!$H$21+IF(parametros_manuales!$H$37="Todos",datos_base!$H$12+datos_base!$H$26,0))*parametros_manuales!$K$110)*parametros_manuales!$I$37*parametros_manuales!$J$37</f>
        <v>15128.891045665</v>
      </c>
      <c r="L182" s="9" t="n">
        <f aca="false">(parametros_manuales!$D$37*(datos_base!$H$2+datos_base!$H$18+IF(parametros_manuales!$H$37="Todos",datos_base!$H$9+datos_base!$H$23,0))*parametros_manuales!$L$95+parametros_manuales!$E$37*(datos_base!$H$3+datos_base!$H$19+IF(parametros_manuales!$H$37="Todos",datos_base!$H$10+datos_base!$H$24,0))*parametros_manuales!$L$100+parametros_manuales!$F$37*(datos_base!$H$4+datos_base!$H$20+IF(parametros_manuales!$H$37="Todos",datos_base!$H$11+datos_base!$H$25,0))*parametros_manuales!$L$105+parametros_manuales!$G$37*(datos_base!$H$5+datos_base!$H$21+IF(parametros_manuales!$H$37="Todos",datos_base!$H$12+datos_base!$H$26,0))*parametros_manuales!$L$110)*parametros_manuales!$I$37*parametros_manuales!$J$37</f>
        <v>15374.67382521</v>
      </c>
      <c r="M182" s="9" t="n">
        <f aca="false">(parametros_manuales!$D$37*(datos_base!$H$2+datos_base!$H$18+IF(parametros_manuales!$H$37="Todos",datos_base!$H$9+datos_base!$H$23,0))*parametros_manuales!$M$95+parametros_manuales!$E$37*(datos_base!$H$3+datos_base!$H$19+IF(parametros_manuales!$H$37="Todos",datos_base!$H$10+datos_base!$H$24,0))*parametros_manuales!$M$100+parametros_manuales!$F$37*(datos_base!$H$4+datos_base!$H$20+IF(parametros_manuales!$H$37="Todos",datos_base!$H$11+datos_base!$H$25,0))*parametros_manuales!$M$105+parametros_manuales!$G$37*(datos_base!$H$5+datos_base!$H$21+IF(parametros_manuales!$H$37="Todos",datos_base!$H$12+datos_base!$H$26,0))*parametros_manuales!$M$110)*parametros_manuales!$I$37*parametros_manuales!$J$37</f>
        <v>15374.67382521</v>
      </c>
      <c r="N182" s="9" t="n">
        <f aca="false">SUM(B182:M182)</f>
        <v>170829.709169</v>
      </c>
      <c r="O182" s="9" t="n">
        <f aca="false">MAX(B182:M182)</f>
        <v>15374.67382521</v>
      </c>
      <c r="P182" s="43" t="n">
        <f aca="false">O182/(parametros_manuales!$B$7)</f>
        <v>102.4978255014</v>
      </c>
      <c r="Q182" s="8" t="str">
        <f aca="false">IF(O182=0,"-",INDEX($B$163:$M$163,MATCH(O182,B182:M182,0)))</f>
        <v>Ene</v>
      </c>
    </row>
    <row r="183" customFormat="false" ht="14.25" hidden="false" customHeight="true" outlineLevel="0" collapsed="false">
      <c r="A183" s="8" t="str">
        <f aca="false">parametros_manuales!$B$38</f>
        <v>Carga de polvo</v>
      </c>
      <c r="B183" s="9" t="n">
        <f aca="false">(parametros_manuales!$D$38*(datos_base!$H$2+datos_base!$H$18+IF(parametros_manuales!$H$38="Todos",datos_base!$H$9+datos_base!$H$23,0))*parametros_manuales!$B$95+parametros_manuales!$E$38*(datos_base!$H$3+datos_base!$H$19+IF(parametros_manuales!$H$38="Todos",datos_base!$H$10+datos_base!$H$24,0))*parametros_manuales!$B$100+parametros_manuales!$F$38*(datos_base!$H$4+datos_base!$H$20+IF(parametros_manuales!$H$38="Todos",datos_base!$H$11+datos_base!$H$25,0))*parametros_manuales!$B$105+parametros_manuales!$G$38*(datos_base!$H$5+datos_base!$H$21+IF(parametros_manuales!$H$38="Todos",datos_base!$H$12+datos_base!$H$26,0))*parametros_manuales!$B$110)*parametros_manuales!$I$38*parametros_manuales!$J$38</f>
        <v>4010.20822521</v>
      </c>
      <c r="C183" s="9" t="n">
        <f aca="false">(parametros_manuales!$D$38*(datos_base!$H$2+datos_base!$H$18+IF(parametros_manuales!$H$38="Todos",datos_base!$H$9+datos_base!$H$23,0))*parametros_manuales!$C$95+parametros_manuales!$E$38*(datos_base!$H$3+datos_base!$H$19+IF(parametros_manuales!$H$38="Todos",datos_base!$H$10+datos_base!$H$24,0))*parametros_manuales!$C$100+parametros_manuales!$F$38*(datos_base!$H$4+datos_base!$H$20+IF(parametros_manuales!$H$38="Todos",datos_base!$H$11+datos_base!$H$25,0))*parametros_manuales!$C$105+parametros_manuales!$G$38*(datos_base!$H$5+datos_base!$H$21+IF(parametros_manuales!$H$38="Todos",datos_base!$H$12+datos_base!$H$26,0))*parametros_manuales!$C$110)*parametros_manuales!$I$38*parametros_manuales!$J$38</f>
        <v>3767.95506612</v>
      </c>
      <c r="D183" s="9" t="n">
        <f aca="false">(parametros_manuales!$D$38*(datos_base!$H$2+datos_base!$H$18+IF(parametros_manuales!$H$38="Todos",datos_base!$H$9+datos_base!$H$23,0))*parametros_manuales!$D$95+parametros_manuales!$E$38*(datos_base!$H$3+datos_base!$H$19+IF(parametros_manuales!$H$38="Todos",datos_base!$H$10+datos_base!$H$24,0))*parametros_manuales!$D$100+parametros_manuales!$F$38*(datos_base!$H$4+datos_base!$H$20+IF(parametros_manuales!$H$38="Todos",datos_base!$H$11+datos_base!$H$25,0))*parametros_manuales!$D$105+parametros_manuales!$G$38*(datos_base!$H$5+datos_base!$H$21+IF(parametros_manuales!$H$38="Todos",datos_base!$H$12+datos_base!$H$26,0))*parametros_manuales!$D$110)*parametros_manuales!$I$38*parametros_manuales!$J$38</f>
        <v>3685.756113065</v>
      </c>
      <c r="E183" s="9" t="n">
        <f aca="false">(parametros_manuales!$D$38*(datos_base!$H$2+datos_base!$H$18+IF(parametros_manuales!$H$38="Todos",datos_base!$H$9+datos_base!$H$23,0))*parametros_manuales!$E$95+parametros_manuales!$E$38*(datos_base!$H$3+datos_base!$H$19+IF(parametros_manuales!$H$38="Todos",datos_base!$H$10+datos_base!$H$24,0))*parametros_manuales!$E$100+parametros_manuales!$F$38*(datos_base!$H$4+datos_base!$H$20+IF(parametros_manuales!$H$38="Todos",datos_base!$H$11+datos_base!$H$25,0))*parametros_manuales!$E$105+parametros_manuales!$G$38*(datos_base!$H$5+datos_base!$H$21+IF(parametros_manuales!$H$38="Todos",datos_base!$H$12+datos_base!$H$26,0))*parametros_manuales!$E$110)*parametros_manuales!$I$38*parametros_manuales!$J$38</f>
        <v>3584.093346765</v>
      </c>
      <c r="F183" s="9" t="n">
        <f aca="false">(parametros_manuales!$D$38*(datos_base!$H$2+datos_base!$H$18+IF(parametros_manuales!$H$38="Todos",datos_base!$H$9+datos_base!$H$23,0))*parametros_manuales!$F$95+parametros_manuales!$E$38*(datos_base!$H$3+datos_base!$H$19+IF(parametros_manuales!$H$38="Todos",datos_base!$H$10+datos_base!$H$24,0))*parametros_manuales!$F$100+parametros_manuales!$F$38*(datos_base!$H$4+datos_base!$H$20+IF(parametros_manuales!$H$38="Todos",datos_base!$H$11+datos_base!$H$25,0))*parametros_manuales!$F$105+parametros_manuales!$G$38*(datos_base!$H$5+datos_base!$H$21+IF(parametros_manuales!$H$38="Todos",datos_base!$H$12+datos_base!$H$26,0))*parametros_manuales!$F$110)*parametros_manuales!$I$38*parametros_manuales!$J$38</f>
        <v>3361.30400092</v>
      </c>
      <c r="G183" s="9" t="n">
        <f aca="false">(parametros_manuales!$D$38*(datos_base!$H$2+datos_base!$H$18+IF(parametros_manuales!$H$38="Todos",datos_base!$H$9+datos_base!$H$23,0))*parametros_manuales!$G$95+parametros_manuales!$E$38*(datos_base!$H$3+datos_base!$H$19+IF(parametros_manuales!$H$38="Todos",datos_base!$H$10+datos_base!$H$24,0))*parametros_manuales!$G$100+parametros_manuales!$F$38*(datos_base!$H$4+datos_base!$H$20+IF(parametros_manuales!$H$38="Todos",datos_base!$H$11+datos_base!$H$25,0))*parametros_manuales!$G$105+parametros_manuales!$G$38*(datos_base!$H$5+datos_base!$H$21+IF(parametros_manuales!$H$38="Todos",datos_base!$H$12+datos_base!$H$26,0))*parametros_manuales!$G$110)*parametros_manuales!$I$38*parametros_manuales!$J$38</f>
        <v>3240.177421375</v>
      </c>
      <c r="H183" s="9" t="n">
        <f aca="false">(parametros_manuales!$D$38*(datos_base!$H$2+datos_base!$H$18+IF(parametros_manuales!$H$38="Todos",datos_base!$H$9+datos_base!$H$23,0))*parametros_manuales!$H$95+parametros_manuales!$E$38*(datos_base!$H$3+datos_base!$H$19+IF(parametros_manuales!$H$38="Todos",datos_base!$H$10+datos_base!$H$24,0))*parametros_manuales!$H$100+parametros_manuales!$F$38*(datos_base!$H$4+datos_base!$H$20+IF(parametros_manuales!$H$38="Todos",datos_base!$H$11+datos_base!$H$25,0))*parametros_manuales!$H$105+parametros_manuales!$G$38*(datos_base!$H$5+datos_base!$H$21+IF(parametros_manuales!$H$38="Todos",datos_base!$H$12+datos_base!$H$26,0))*parametros_manuales!$H$110)*parametros_manuales!$I$38*parametros_manuales!$J$38</f>
        <v>3462.96676722</v>
      </c>
      <c r="I183" s="9" t="n">
        <f aca="false">(parametros_manuales!$D$38*(datos_base!$H$2+datos_base!$H$18+IF(parametros_manuales!$H$38="Todos",datos_base!$H$9+datos_base!$H$23,0))*parametros_manuales!$I$95+parametros_manuales!$E$38*(datos_base!$H$3+datos_base!$H$19+IF(parametros_manuales!$H$38="Todos",datos_base!$H$10+datos_base!$H$24,0))*parametros_manuales!$I$100+parametros_manuales!$F$38*(datos_base!$H$4+datos_base!$H$20+IF(parametros_manuales!$H$38="Todos",datos_base!$H$11+datos_base!$H$25,0))*parametros_manuales!$I$105+parametros_manuales!$G$38*(datos_base!$H$5+datos_base!$H$21+IF(parametros_manuales!$H$38="Todos",datos_base!$H$12+datos_base!$H$26,0))*parametros_manuales!$I$110)*parametros_manuales!$I$38*parametros_manuales!$J$38</f>
        <v>3767.95506612</v>
      </c>
      <c r="J183" s="9" t="n">
        <f aca="false">(parametros_manuales!$D$38*(datos_base!$H$2+datos_base!$H$18+IF(parametros_manuales!$H$38="Todos",datos_base!$H$9+datos_base!$H$23,0))*parametros_manuales!$J$95+parametros_manuales!$E$38*(datos_base!$H$3+datos_base!$H$19+IF(parametros_manuales!$H$38="Todos",datos_base!$H$10+datos_base!$H$24,0))*parametros_manuales!$J$100+parametros_manuales!$F$38*(datos_base!$H$4+datos_base!$H$20+IF(parametros_manuales!$H$38="Todos",datos_base!$H$11+datos_base!$H$25,0))*parametros_manuales!$J$105+parametros_manuales!$G$38*(datos_base!$H$5+datos_base!$H$21+IF(parametros_manuales!$H$38="Todos",datos_base!$H$12+datos_base!$H$26,0))*parametros_manuales!$J$110)*parametros_manuales!$I$38*parametros_manuales!$J$38</f>
        <v>3767.95506612</v>
      </c>
      <c r="K183" s="9" t="n">
        <f aca="false">(parametros_manuales!$D$38*(datos_base!$H$2+datos_base!$H$18+IF(parametros_manuales!$H$38="Todos",datos_base!$H$9+datos_base!$H$23,0))*parametros_manuales!$K$95+parametros_manuales!$E$38*(datos_base!$H$3+datos_base!$H$19+IF(parametros_manuales!$H$38="Todos",datos_base!$H$10+datos_base!$H$24,0))*parametros_manuales!$K$100+parametros_manuales!$F$38*(datos_base!$H$4+datos_base!$H$20+IF(parametros_manuales!$H$38="Todos",datos_base!$H$11+datos_base!$H$25,0))*parametros_manuales!$K$105+parametros_manuales!$G$38*(datos_base!$H$5+datos_base!$H$21+IF(parametros_manuales!$H$38="Todos",datos_base!$H$12+datos_base!$H$26,0))*parametros_manuales!$K$110)*parametros_manuales!$I$38*parametros_manuales!$J$38</f>
        <v>3889.081645665</v>
      </c>
      <c r="L183" s="9" t="n">
        <f aca="false">(parametros_manuales!$D$38*(datos_base!$H$2+datos_base!$H$18+IF(parametros_manuales!$H$38="Todos",datos_base!$H$9+datos_base!$H$23,0))*parametros_manuales!$L$95+parametros_manuales!$E$38*(datos_base!$H$3+datos_base!$H$19+IF(parametros_manuales!$H$38="Todos",datos_base!$H$10+datos_base!$H$24,0))*parametros_manuales!$L$100+parametros_manuales!$F$38*(datos_base!$H$4+datos_base!$H$20+IF(parametros_manuales!$H$38="Todos",datos_base!$H$11+datos_base!$H$25,0))*parametros_manuales!$L$105+parametros_manuales!$G$38*(datos_base!$H$5+datos_base!$H$21+IF(parametros_manuales!$H$38="Todos",datos_base!$H$12+datos_base!$H$26,0))*parametros_manuales!$L$110)*parametros_manuales!$I$38*parametros_manuales!$J$38</f>
        <v>4010.20822521</v>
      </c>
      <c r="M183" s="9" t="n">
        <f aca="false">(parametros_manuales!$D$38*(datos_base!$H$2+datos_base!$H$18+IF(parametros_manuales!$H$38="Todos",datos_base!$H$9+datos_base!$H$23,0))*parametros_manuales!$M$95+parametros_manuales!$E$38*(datos_base!$H$3+datos_base!$H$19+IF(parametros_manuales!$H$38="Todos",datos_base!$H$10+datos_base!$H$24,0))*parametros_manuales!$M$100+parametros_manuales!$F$38*(datos_base!$H$4+datos_base!$H$20+IF(parametros_manuales!$H$38="Todos",datos_base!$H$11+datos_base!$H$25,0))*parametros_manuales!$M$105+parametros_manuales!$G$38*(datos_base!$H$5+datos_base!$H$21+IF(parametros_manuales!$H$38="Todos",datos_base!$H$12+datos_base!$H$26,0))*parametros_manuales!$M$110)*parametros_manuales!$I$38*parametros_manuales!$J$38</f>
        <v>4010.20822521</v>
      </c>
      <c r="N183" s="9" t="n">
        <f aca="false">SUM(B183:M183)</f>
        <v>44557.869169</v>
      </c>
      <c r="O183" s="9" t="n">
        <f aca="false">MAX(B183:M183)</f>
        <v>4010.20822521</v>
      </c>
      <c r="P183" s="43" t="n">
        <f aca="false">O183/(parametros_manuales!$B$7)</f>
        <v>26.7347215014</v>
      </c>
      <c r="Q183" s="8" t="str">
        <f aca="false">IF(O183=0,"-",INDEX($B$163:$M$163,MATCH(O183,B183:M183,0)))</f>
        <v>Ene</v>
      </c>
    </row>
    <row r="184" customFormat="false" ht="14.25" hidden="false" customHeight="true" outlineLevel="0" collapsed="false">
      <c r="A184" s="8" t="str">
        <f aca="false">parametros_manuales!$B$39</f>
        <v>Ensamblaje</v>
      </c>
      <c r="B184" s="9" t="n">
        <f aca="false">(parametros_manuales!$D$39*(datos_base!$H$2+datos_base!$H$18+IF(parametros_manuales!$H$39="Todos",datos_base!$H$9+datos_base!$H$23,0))*parametros_manuales!$B$95+parametros_manuales!$E$39*(datos_base!$H$3+datos_base!$H$19+IF(parametros_manuales!$H$39="Todos",datos_base!$H$10+datos_base!$H$24,0))*parametros_manuales!$B$100+parametros_manuales!$F$39*(datos_base!$H$4+datos_base!$H$20+IF(parametros_manuales!$H$39="Todos",datos_base!$H$11+datos_base!$H$25,0))*parametros_manuales!$B$105+parametros_manuales!$G$39*(datos_base!$H$5+datos_base!$H$21+IF(parametros_manuales!$H$39="Todos",datos_base!$H$12+datos_base!$H$26,0))*parametros_manuales!$B$110)*parametros_manuales!$I$39*parametros_manuales!$J$39</f>
        <v>4010.20822521</v>
      </c>
      <c r="C184" s="9" t="n">
        <f aca="false">(parametros_manuales!$D$39*(datos_base!$H$2+datos_base!$H$18+IF(parametros_manuales!$H$39="Todos",datos_base!$H$9+datos_base!$H$23,0))*parametros_manuales!$C$95+parametros_manuales!$E$39*(datos_base!$H$3+datos_base!$H$19+IF(parametros_manuales!$H$39="Todos",datos_base!$H$10+datos_base!$H$24,0))*parametros_manuales!$C$100+parametros_manuales!$F$39*(datos_base!$H$4+datos_base!$H$20+IF(parametros_manuales!$H$39="Todos",datos_base!$H$11+datos_base!$H$25,0))*parametros_manuales!$C$105+parametros_manuales!$G$39*(datos_base!$H$5+datos_base!$H$21+IF(parametros_manuales!$H$39="Todos",datos_base!$H$12+datos_base!$H$26,0))*parametros_manuales!$C$110)*parametros_manuales!$I$39*parametros_manuales!$J$39</f>
        <v>3767.95506612</v>
      </c>
      <c r="D184" s="9" t="n">
        <f aca="false">(parametros_manuales!$D$39*(datos_base!$H$2+datos_base!$H$18+IF(parametros_manuales!$H$39="Todos",datos_base!$H$9+datos_base!$H$23,0))*parametros_manuales!$D$95+parametros_manuales!$E$39*(datos_base!$H$3+datos_base!$H$19+IF(parametros_manuales!$H$39="Todos",datos_base!$H$10+datos_base!$H$24,0))*parametros_manuales!$D$100+parametros_manuales!$F$39*(datos_base!$H$4+datos_base!$H$20+IF(parametros_manuales!$H$39="Todos",datos_base!$H$11+datos_base!$H$25,0))*parametros_manuales!$D$105+parametros_manuales!$G$39*(datos_base!$H$5+datos_base!$H$21+IF(parametros_manuales!$H$39="Todos",datos_base!$H$12+datos_base!$H$26,0))*parametros_manuales!$D$110)*parametros_manuales!$I$39*parametros_manuales!$J$39</f>
        <v>3685.756113065</v>
      </c>
      <c r="E184" s="9" t="n">
        <f aca="false">(parametros_manuales!$D$39*(datos_base!$H$2+datos_base!$H$18+IF(parametros_manuales!$H$39="Todos",datos_base!$H$9+datos_base!$H$23,0))*parametros_manuales!$E$95+parametros_manuales!$E$39*(datos_base!$H$3+datos_base!$H$19+IF(parametros_manuales!$H$39="Todos",datos_base!$H$10+datos_base!$H$24,0))*parametros_manuales!$E$100+parametros_manuales!$F$39*(datos_base!$H$4+datos_base!$H$20+IF(parametros_manuales!$H$39="Todos",datos_base!$H$11+datos_base!$H$25,0))*parametros_manuales!$E$105+parametros_manuales!$G$39*(datos_base!$H$5+datos_base!$H$21+IF(parametros_manuales!$H$39="Todos",datos_base!$H$12+datos_base!$H$26,0))*parametros_manuales!$E$110)*parametros_manuales!$I$39*parametros_manuales!$J$39</f>
        <v>3584.093346765</v>
      </c>
      <c r="F184" s="9" t="n">
        <f aca="false">(parametros_manuales!$D$39*(datos_base!$H$2+datos_base!$H$18+IF(parametros_manuales!$H$39="Todos",datos_base!$H$9+datos_base!$H$23,0))*parametros_manuales!$F$95+parametros_manuales!$E$39*(datos_base!$H$3+datos_base!$H$19+IF(parametros_manuales!$H$39="Todos",datos_base!$H$10+datos_base!$H$24,0))*parametros_manuales!$F$100+parametros_manuales!$F$39*(datos_base!$H$4+datos_base!$H$20+IF(parametros_manuales!$H$39="Todos",datos_base!$H$11+datos_base!$H$25,0))*parametros_manuales!$F$105+parametros_manuales!$G$39*(datos_base!$H$5+datos_base!$H$21+IF(parametros_manuales!$H$39="Todos",datos_base!$H$12+datos_base!$H$26,0))*parametros_manuales!$F$110)*parametros_manuales!$I$39*parametros_manuales!$J$39</f>
        <v>3361.30400092</v>
      </c>
      <c r="G184" s="9" t="n">
        <f aca="false">(parametros_manuales!$D$39*(datos_base!$H$2+datos_base!$H$18+IF(parametros_manuales!$H$39="Todos",datos_base!$H$9+datos_base!$H$23,0))*parametros_manuales!$G$95+parametros_manuales!$E$39*(datos_base!$H$3+datos_base!$H$19+IF(parametros_manuales!$H$39="Todos",datos_base!$H$10+datos_base!$H$24,0))*parametros_manuales!$G$100+parametros_manuales!$F$39*(datos_base!$H$4+datos_base!$H$20+IF(parametros_manuales!$H$39="Todos",datos_base!$H$11+datos_base!$H$25,0))*parametros_manuales!$G$105+parametros_manuales!$G$39*(datos_base!$H$5+datos_base!$H$21+IF(parametros_manuales!$H$39="Todos",datos_base!$H$12+datos_base!$H$26,0))*parametros_manuales!$G$110)*parametros_manuales!$I$39*parametros_manuales!$J$39</f>
        <v>3240.177421375</v>
      </c>
      <c r="H184" s="9" t="n">
        <f aca="false">(parametros_manuales!$D$39*(datos_base!$H$2+datos_base!$H$18+IF(parametros_manuales!$H$39="Todos",datos_base!$H$9+datos_base!$H$23,0))*parametros_manuales!$H$95+parametros_manuales!$E$39*(datos_base!$H$3+datos_base!$H$19+IF(parametros_manuales!$H$39="Todos",datos_base!$H$10+datos_base!$H$24,0))*parametros_manuales!$H$100+parametros_manuales!$F$39*(datos_base!$H$4+datos_base!$H$20+IF(parametros_manuales!$H$39="Todos",datos_base!$H$11+datos_base!$H$25,0))*parametros_manuales!$H$105+parametros_manuales!$G$39*(datos_base!$H$5+datos_base!$H$21+IF(parametros_manuales!$H$39="Todos",datos_base!$H$12+datos_base!$H$26,0))*parametros_manuales!$H$110)*parametros_manuales!$I$39*parametros_manuales!$J$39</f>
        <v>3462.96676722</v>
      </c>
      <c r="I184" s="9" t="n">
        <f aca="false">(parametros_manuales!$D$39*(datos_base!$H$2+datos_base!$H$18+IF(parametros_manuales!$H$39="Todos",datos_base!$H$9+datos_base!$H$23,0))*parametros_manuales!$I$95+parametros_manuales!$E$39*(datos_base!$H$3+datos_base!$H$19+IF(parametros_manuales!$H$39="Todos",datos_base!$H$10+datos_base!$H$24,0))*parametros_manuales!$I$100+parametros_manuales!$F$39*(datos_base!$H$4+datos_base!$H$20+IF(parametros_manuales!$H$39="Todos",datos_base!$H$11+datos_base!$H$25,0))*parametros_manuales!$I$105+parametros_manuales!$G$39*(datos_base!$H$5+datos_base!$H$21+IF(parametros_manuales!$H$39="Todos",datos_base!$H$12+datos_base!$H$26,0))*parametros_manuales!$I$110)*parametros_manuales!$I$39*parametros_manuales!$J$39</f>
        <v>3767.95506612</v>
      </c>
      <c r="J184" s="9" t="n">
        <f aca="false">(parametros_manuales!$D$39*(datos_base!$H$2+datos_base!$H$18+IF(parametros_manuales!$H$39="Todos",datos_base!$H$9+datos_base!$H$23,0))*parametros_manuales!$J$95+parametros_manuales!$E$39*(datos_base!$H$3+datos_base!$H$19+IF(parametros_manuales!$H$39="Todos",datos_base!$H$10+datos_base!$H$24,0))*parametros_manuales!$J$100+parametros_manuales!$F$39*(datos_base!$H$4+datos_base!$H$20+IF(parametros_manuales!$H$39="Todos",datos_base!$H$11+datos_base!$H$25,0))*parametros_manuales!$J$105+parametros_manuales!$G$39*(datos_base!$H$5+datos_base!$H$21+IF(parametros_manuales!$H$39="Todos",datos_base!$H$12+datos_base!$H$26,0))*parametros_manuales!$J$110)*parametros_manuales!$I$39*parametros_manuales!$J$39</f>
        <v>3767.95506612</v>
      </c>
      <c r="K184" s="9" t="n">
        <f aca="false">(parametros_manuales!$D$39*(datos_base!$H$2+datos_base!$H$18+IF(parametros_manuales!$H$39="Todos",datos_base!$H$9+datos_base!$H$23,0))*parametros_manuales!$K$95+parametros_manuales!$E$39*(datos_base!$H$3+datos_base!$H$19+IF(parametros_manuales!$H$39="Todos",datos_base!$H$10+datos_base!$H$24,0))*parametros_manuales!$K$100+parametros_manuales!$F$39*(datos_base!$H$4+datos_base!$H$20+IF(parametros_manuales!$H$39="Todos",datos_base!$H$11+datos_base!$H$25,0))*parametros_manuales!$K$105+parametros_manuales!$G$39*(datos_base!$H$5+datos_base!$H$21+IF(parametros_manuales!$H$39="Todos",datos_base!$H$12+datos_base!$H$26,0))*parametros_manuales!$K$110)*parametros_manuales!$I$39*parametros_manuales!$J$39</f>
        <v>3889.081645665</v>
      </c>
      <c r="L184" s="9" t="n">
        <f aca="false">(parametros_manuales!$D$39*(datos_base!$H$2+datos_base!$H$18+IF(parametros_manuales!$H$39="Todos",datos_base!$H$9+datos_base!$H$23,0))*parametros_manuales!$L$95+parametros_manuales!$E$39*(datos_base!$H$3+datos_base!$H$19+IF(parametros_manuales!$H$39="Todos",datos_base!$H$10+datos_base!$H$24,0))*parametros_manuales!$L$100+parametros_manuales!$F$39*(datos_base!$H$4+datos_base!$H$20+IF(parametros_manuales!$H$39="Todos",datos_base!$H$11+datos_base!$H$25,0))*parametros_manuales!$L$105+parametros_manuales!$G$39*(datos_base!$H$5+datos_base!$H$21+IF(parametros_manuales!$H$39="Todos",datos_base!$H$12+datos_base!$H$26,0))*parametros_manuales!$L$110)*parametros_manuales!$I$39*parametros_manuales!$J$39</f>
        <v>4010.20822521</v>
      </c>
      <c r="M184" s="9" t="n">
        <f aca="false">(parametros_manuales!$D$39*(datos_base!$H$2+datos_base!$H$18+IF(parametros_manuales!$H$39="Todos",datos_base!$H$9+datos_base!$H$23,0))*parametros_manuales!$M$95+parametros_manuales!$E$39*(datos_base!$H$3+datos_base!$H$19+IF(parametros_manuales!$H$39="Todos",datos_base!$H$10+datos_base!$H$24,0))*parametros_manuales!$M$100+parametros_manuales!$F$39*(datos_base!$H$4+datos_base!$H$20+IF(parametros_manuales!$H$39="Todos",datos_base!$H$11+datos_base!$H$25,0))*parametros_manuales!$M$105+parametros_manuales!$G$39*(datos_base!$H$5+datos_base!$H$21+IF(parametros_manuales!$H$39="Todos",datos_base!$H$12+datos_base!$H$26,0))*parametros_manuales!$M$110)*parametros_manuales!$I$39*parametros_manuales!$J$39</f>
        <v>4010.20822521</v>
      </c>
      <c r="N184" s="9" t="n">
        <f aca="false">SUM(B184:M184)</f>
        <v>44557.869169</v>
      </c>
      <c r="O184" s="9" t="n">
        <f aca="false">MAX(B184:M184)</f>
        <v>4010.20822521</v>
      </c>
      <c r="P184" s="43" t="n">
        <f aca="false">O184/(parametros_manuales!$B$7)</f>
        <v>26.7347215014</v>
      </c>
      <c r="Q184" s="8" t="str">
        <f aca="false">IF(O184=0,"-",INDEX($B$163:$M$163,MATCH(O184,B184:M184,0)))</f>
        <v>Ene</v>
      </c>
    </row>
    <row r="185" customFormat="false" ht="14.25" hidden="false" customHeight="true" outlineLevel="0" collapsed="false">
      <c r="A185" s="8" t="str">
        <f aca="false">parametros_manuales!$B$40</f>
        <v>Presurización</v>
      </c>
      <c r="B185" s="9" t="n">
        <f aca="false">(parametros_manuales!$D$40*(datos_base!$H$2+datos_base!$H$18+IF(parametros_manuales!$H$40="Todos",datos_base!$H$9+datos_base!$H$23,0))*parametros_manuales!$B$95+parametros_manuales!$E$40*(datos_base!$H$3+datos_base!$H$19+IF(parametros_manuales!$H$40="Todos",datos_base!$H$10+datos_base!$H$24,0))*parametros_manuales!$B$100+parametros_manuales!$F$40*(datos_base!$H$4+datos_base!$H$20+IF(parametros_manuales!$H$40="Todos",datos_base!$H$11+datos_base!$H$25,0))*parametros_manuales!$B$105+parametros_manuales!$G$40*(datos_base!$H$5+datos_base!$H$21+IF(parametros_manuales!$H$40="Todos",datos_base!$H$12+datos_base!$H$26,0))*parametros_manuales!$B$110)*parametros_manuales!$I$40*parametros_manuales!$J$40</f>
        <v>4010.20822521</v>
      </c>
      <c r="C185" s="9" t="n">
        <f aca="false">(parametros_manuales!$D$40*(datos_base!$H$2+datos_base!$H$18+IF(parametros_manuales!$H$40="Todos",datos_base!$H$9+datos_base!$H$23,0))*parametros_manuales!$C$95+parametros_manuales!$E$40*(datos_base!$H$3+datos_base!$H$19+IF(parametros_manuales!$H$40="Todos",datos_base!$H$10+datos_base!$H$24,0))*parametros_manuales!$C$100+parametros_manuales!$F$40*(datos_base!$H$4+datos_base!$H$20+IF(parametros_manuales!$H$40="Todos",datos_base!$H$11+datos_base!$H$25,0))*parametros_manuales!$C$105+parametros_manuales!$G$40*(datos_base!$H$5+datos_base!$H$21+IF(parametros_manuales!$H$40="Todos",datos_base!$H$12+datos_base!$H$26,0))*parametros_manuales!$C$110)*parametros_manuales!$I$40*parametros_manuales!$J$40</f>
        <v>3767.95506612</v>
      </c>
      <c r="D185" s="9" t="n">
        <f aca="false">(parametros_manuales!$D$40*(datos_base!$H$2+datos_base!$H$18+IF(parametros_manuales!$H$40="Todos",datos_base!$H$9+datos_base!$H$23,0))*parametros_manuales!$D$95+parametros_manuales!$E$40*(datos_base!$H$3+datos_base!$H$19+IF(parametros_manuales!$H$40="Todos",datos_base!$H$10+datos_base!$H$24,0))*parametros_manuales!$D$100+parametros_manuales!$F$40*(datos_base!$H$4+datos_base!$H$20+IF(parametros_manuales!$H$40="Todos",datos_base!$H$11+datos_base!$H$25,0))*parametros_manuales!$D$105+parametros_manuales!$G$40*(datos_base!$H$5+datos_base!$H$21+IF(parametros_manuales!$H$40="Todos",datos_base!$H$12+datos_base!$H$26,0))*parametros_manuales!$D$110)*parametros_manuales!$I$40*parametros_manuales!$J$40</f>
        <v>3685.756113065</v>
      </c>
      <c r="E185" s="9" t="n">
        <f aca="false">(parametros_manuales!$D$40*(datos_base!$H$2+datos_base!$H$18+IF(parametros_manuales!$H$40="Todos",datos_base!$H$9+datos_base!$H$23,0))*parametros_manuales!$E$95+parametros_manuales!$E$40*(datos_base!$H$3+datos_base!$H$19+IF(parametros_manuales!$H$40="Todos",datos_base!$H$10+datos_base!$H$24,0))*parametros_manuales!$E$100+parametros_manuales!$F$40*(datos_base!$H$4+datos_base!$H$20+IF(parametros_manuales!$H$40="Todos",datos_base!$H$11+datos_base!$H$25,0))*parametros_manuales!$E$105+parametros_manuales!$G$40*(datos_base!$H$5+datos_base!$H$21+IF(parametros_manuales!$H$40="Todos",datos_base!$H$12+datos_base!$H$26,0))*parametros_manuales!$E$110)*parametros_manuales!$I$40*parametros_manuales!$J$40</f>
        <v>3584.093346765</v>
      </c>
      <c r="F185" s="9" t="n">
        <f aca="false">(parametros_manuales!$D$40*(datos_base!$H$2+datos_base!$H$18+IF(parametros_manuales!$H$40="Todos",datos_base!$H$9+datos_base!$H$23,0))*parametros_manuales!$F$95+parametros_manuales!$E$40*(datos_base!$H$3+datos_base!$H$19+IF(parametros_manuales!$H$40="Todos",datos_base!$H$10+datos_base!$H$24,0))*parametros_manuales!$F$100+parametros_manuales!$F$40*(datos_base!$H$4+datos_base!$H$20+IF(parametros_manuales!$H$40="Todos",datos_base!$H$11+datos_base!$H$25,0))*parametros_manuales!$F$105+parametros_manuales!$G$40*(datos_base!$H$5+datos_base!$H$21+IF(parametros_manuales!$H$40="Todos",datos_base!$H$12+datos_base!$H$26,0))*parametros_manuales!$F$110)*parametros_manuales!$I$40*parametros_manuales!$J$40</f>
        <v>3361.30400092</v>
      </c>
      <c r="G185" s="9" t="n">
        <f aca="false">(parametros_manuales!$D$40*(datos_base!$H$2+datos_base!$H$18+IF(parametros_manuales!$H$40="Todos",datos_base!$H$9+datos_base!$H$23,0))*parametros_manuales!$G$95+parametros_manuales!$E$40*(datos_base!$H$3+datos_base!$H$19+IF(parametros_manuales!$H$40="Todos",datos_base!$H$10+datos_base!$H$24,0))*parametros_manuales!$G$100+parametros_manuales!$F$40*(datos_base!$H$4+datos_base!$H$20+IF(parametros_manuales!$H$40="Todos",datos_base!$H$11+datos_base!$H$25,0))*parametros_manuales!$G$105+parametros_manuales!$G$40*(datos_base!$H$5+datos_base!$H$21+IF(parametros_manuales!$H$40="Todos",datos_base!$H$12+datos_base!$H$26,0))*parametros_manuales!$G$110)*parametros_manuales!$I$40*parametros_manuales!$J$40</f>
        <v>3240.177421375</v>
      </c>
      <c r="H185" s="9" t="n">
        <f aca="false">(parametros_manuales!$D$40*(datos_base!$H$2+datos_base!$H$18+IF(parametros_manuales!$H$40="Todos",datos_base!$H$9+datos_base!$H$23,0))*parametros_manuales!$H$95+parametros_manuales!$E$40*(datos_base!$H$3+datos_base!$H$19+IF(parametros_manuales!$H$40="Todos",datos_base!$H$10+datos_base!$H$24,0))*parametros_manuales!$H$100+parametros_manuales!$F$40*(datos_base!$H$4+datos_base!$H$20+IF(parametros_manuales!$H$40="Todos",datos_base!$H$11+datos_base!$H$25,0))*parametros_manuales!$H$105+parametros_manuales!$G$40*(datos_base!$H$5+datos_base!$H$21+IF(parametros_manuales!$H$40="Todos",datos_base!$H$12+datos_base!$H$26,0))*parametros_manuales!$H$110)*parametros_manuales!$I$40*parametros_manuales!$J$40</f>
        <v>3462.96676722</v>
      </c>
      <c r="I185" s="9" t="n">
        <f aca="false">(parametros_manuales!$D$40*(datos_base!$H$2+datos_base!$H$18+IF(parametros_manuales!$H$40="Todos",datos_base!$H$9+datos_base!$H$23,0))*parametros_manuales!$I$95+parametros_manuales!$E$40*(datos_base!$H$3+datos_base!$H$19+IF(parametros_manuales!$H$40="Todos",datos_base!$H$10+datos_base!$H$24,0))*parametros_manuales!$I$100+parametros_manuales!$F$40*(datos_base!$H$4+datos_base!$H$20+IF(parametros_manuales!$H$40="Todos",datos_base!$H$11+datos_base!$H$25,0))*parametros_manuales!$I$105+parametros_manuales!$G$40*(datos_base!$H$5+datos_base!$H$21+IF(parametros_manuales!$H$40="Todos",datos_base!$H$12+datos_base!$H$26,0))*parametros_manuales!$I$110)*parametros_manuales!$I$40*parametros_manuales!$J$40</f>
        <v>3767.95506612</v>
      </c>
      <c r="J185" s="9" t="n">
        <f aca="false">(parametros_manuales!$D$40*(datos_base!$H$2+datos_base!$H$18+IF(parametros_manuales!$H$40="Todos",datos_base!$H$9+datos_base!$H$23,0))*parametros_manuales!$J$95+parametros_manuales!$E$40*(datos_base!$H$3+datos_base!$H$19+IF(parametros_manuales!$H$40="Todos",datos_base!$H$10+datos_base!$H$24,0))*parametros_manuales!$J$100+parametros_manuales!$F$40*(datos_base!$H$4+datos_base!$H$20+IF(parametros_manuales!$H$40="Todos",datos_base!$H$11+datos_base!$H$25,0))*parametros_manuales!$J$105+parametros_manuales!$G$40*(datos_base!$H$5+datos_base!$H$21+IF(parametros_manuales!$H$40="Todos",datos_base!$H$12+datos_base!$H$26,0))*parametros_manuales!$J$110)*parametros_manuales!$I$40*parametros_manuales!$J$40</f>
        <v>3767.95506612</v>
      </c>
      <c r="K185" s="9" t="n">
        <f aca="false">(parametros_manuales!$D$40*(datos_base!$H$2+datos_base!$H$18+IF(parametros_manuales!$H$40="Todos",datos_base!$H$9+datos_base!$H$23,0))*parametros_manuales!$K$95+parametros_manuales!$E$40*(datos_base!$H$3+datos_base!$H$19+IF(parametros_manuales!$H$40="Todos",datos_base!$H$10+datos_base!$H$24,0))*parametros_manuales!$K$100+parametros_manuales!$F$40*(datos_base!$H$4+datos_base!$H$20+IF(parametros_manuales!$H$40="Todos",datos_base!$H$11+datos_base!$H$25,0))*parametros_manuales!$K$105+parametros_manuales!$G$40*(datos_base!$H$5+datos_base!$H$21+IF(parametros_manuales!$H$40="Todos",datos_base!$H$12+datos_base!$H$26,0))*parametros_manuales!$K$110)*parametros_manuales!$I$40*parametros_manuales!$J$40</f>
        <v>3889.081645665</v>
      </c>
      <c r="L185" s="9" t="n">
        <f aca="false">(parametros_manuales!$D$40*(datos_base!$H$2+datos_base!$H$18+IF(parametros_manuales!$H$40="Todos",datos_base!$H$9+datos_base!$H$23,0))*parametros_manuales!$L$95+parametros_manuales!$E$40*(datos_base!$H$3+datos_base!$H$19+IF(parametros_manuales!$H$40="Todos",datos_base!$H$10+datos_base!$H$24,0))*parametros_manuales!$L$100+parametros_manuales!$F$40*(datos_base!$H$4+datos_base!$H$20+IF(parametros_manuales!$H$40="Todos",datos_base!$H$11+datos_base!$H$25,0))*parametros_manuales!$L$105+parametros_manuales!$G$40*(datos_base!$H$5+datos_base!$H$21+IF(parametros_manuales!$H$40="Todos",datos_base!$H$12+datos_base!$H$26,0))*parametros_manuales!$L$110)*parametros_manuales!$I$40*parametros_manuales!$J$40</f>
        <v>4010.20822521</v>
      </c>
      <c r="M185" s="9" t="n">
        <f aca="false">(parametros_manuales!$D$40*(datos_base!$H$2+datos_base!$H$18+IF(parametros_manuales!$H$40="Todos",datos_base!$H$9+datos_base!$H$23,0))*parametros_manuales!$M$95+parametros_manuales!$E$40*(datos_base!$H$3+datos_base!$H$19+IF(parametros_manuales!$H$40="Todos",datos_base!$H$10+datos_base!$H$24,0))*parametros_manuales!$M$100+parametros_manuales!$F$40*(datos_base!$H$4+datos_base!$H$20+IF(parametros_manuales!$H$40="Todos",datos_base!$H$11+datos_base!$H$25,0))*parametros_manuales!$M$105+parametros_manuales!$G$40*(datos_base!$H$5+datos_base!$H$21+IF(parametros_manuales!$H$40="Todos",datos_base!$H$12+datos_base!$H$26,0))*parametros_manuales!$M$110)*parametros_manuales!$I$40*parametros_manuales!$J$40</f>
        <v>4010.20822521</v>
      </c>
      <c r="N185" s="9" t="n">
        <f aca="false">SUM(B185:M185)</f>
        <v>44557.869169</v>
      </c>
      <c r="O185" s="9" t="n">
        <f aca="false">MAX(B185:M185)</f>
        <v>4010.20822521</v>
      </c>
      <c r="P185" s="43" t="n">
        <f aca="false">O185/(parametros_manuales!$B$7)</f>
        <v>26.7347215014</v>
      </c>
      <c r="Q185" s="8" t="str">
        <f aca="false">IF(O185=0,"-",INDEX($B$163:$M$163,MATCH(O185,B185:M185,0)))</f>
        <v>Ene</v>
      </c>
    </row>
    <row r="186" customFormat="false" ht="14.25" hidden="false" customHeight="true" outlineLevel="0" collapsed="false">
      <c r="A186" s="8" t="str">
        <f aca="false">parametros_manuales!$B$41</f>
        <v>Control de calidad — Ensayo de pérdidas</v>
      </c>
      <c r="B186" s="9" t="n">
        <f aca="false">(parametros_manuales!$D$41*(datos_base!$H$2+datos_base!$H$18+IF(parametros_manuales!$H$41="Todos",datos_base!$H$9+datos_base!$H$23,0))*parametros_manuales!$B$95+parametros_manuales!$E$41*(datos_base!$H$3+datos_base!$H$19+IF(parametros_manuales!$H$41="Todos",datos_base!$H$10+datos_base!$H$24,0))*parametros_manuales!$B$100+parametros_manuales!$F$41*(datos_base!$H$4+datos_base!$H$20+IF(parametros_manuales!$H$41="Todos",datos_base!$H$11+datos_base!$H$25,0))*parametros_manuales!$B$105+parametros_manuales!$G$41*(datos_base!$H$5+datos_base!$H$21+IF(parametros_manuales!$H$41="Todos",datos_base!$H$12+datos_base!$H$26,0))*parametros_manuales!$B$110)*parametros_manuales!$I$41*parametros_manuales!$J$41</f>
        <v>4010.20822521</v>
      </c>
      <c r="C186" s="9" t="n">
        <f aca="false">(parametros_manuales!$D$41*(datos_base!$H$2+datos_base!$H$18+IF(parametros_manuales!$H$41="Todos",datos_base!$H$9+datos_base!$H$23,0))*parametros_manuales!$C$95+parametros_manuales!$E$41*(datos_base!$H$3+datos_base!$H$19+IF(parametros_manuales!$H$41="Todos",datos_base!$H$10+datos_base!$H$24,0))*parametros_manuales!$C$100+parametros_manuales!$F$41*(datos_base!$H$4+datos_base!$H$20+IF(parametros_manuales!$H$41="Todos",datos_base!$H$11+datos_base!$H$25,0))*parametros_manuales!$C$105+parametros_manuales!$G$41*(datos_base!$H$5+datos_base!$H$21+IF(parametros_manuales!$H$41="Todos",datos_base!$H$12+datos_base!$H$26,0))*parametros_manuales!$C$110)*parametros_manuales!$I$41*parametros_manuales!$J$41</f>
        <v>3767.95506612</v>
      </c>
      <c r="D186" s="9" t="n">
        <f aca="false">(parametros_manuales!$D$41*(datos_base!$H$2+datos_base!$H$18+IF(parametros_manuales!$H$41="Todos",datos_base!$H$9+datos_base!$H$23,0))*parametros_manuales!$D$95+parametros_manuales!$E$41*(datos_base!$H$3+datos_base!$H$19+IF(parametros_manuales!$H$41="Todos",datos_base!$H$10+datos_base!$H$24,0))*parametros_manuales!$D$100+parametros_manuales!$F$41*(datos_base!$H$4+datos_base!$H$20+IF(parametros_manuales!$H$41="Todos",datos_base!$H$11+datos_base!$H$25,0))*parametros_manuales!$D$105+parametros_manuales!$G$41*(datos_base!$H$5+datos_base!$H$21+IF(parametros_manuales!$H$41="Todos",datos_base!$H$12+datos_base!$H$26,0))*parametros_manuales!$D$110)*parametros_manuales!$I$41*parametros_manuales!$J$41</f>
        <v>3685.756113065</v>
      </c>
      <c r="E186" s="9" t="n">
        <f aca="false">(parametros_manuales!$D$41*(datos_base!$H$2+datos_base!$H$18+IF(parametros_manuales!$H$41="Todos",datos_base!$H$9+datos_base!$H$23,0))*parametros_manuales!$E$95+parametros_manuales!$E$41*(datos_base!$H$3+datos_base!$H$19+IF(parametros_manuales!$H$41="Todos",datos_base!$H$10+datos_base!$H$24,0))*parametros_manuales!$E$100+parametros_manuales!$F$41*(datos_base!$H$4+datos_base!$H$20+IF(parametros_manuales!$H$41="Todos",datos_base!$H$11+datos_base!$H$25,0))*parametros_manuales!$E$105+parametros_manuales!$G$41*(datos_base!$H$5+datos_base!$H$21+IF(parametros_manuales!$H$41="Todos",datos_base!$H$12+datos_base!$H$26,0))*parametros_manuales!$E$110)*parametros_manuales!$I$41*parametros_manuales!$J$41</f>
        <v>3584.093346765</v>
      </c>
      <c r="F186" s="9" t="n">
        <f aca="false">(parametros_manuales!$D$41*(datos_base!$H$2+datos_base!$H$18+IF(parametros_manuales!$H$41="Todos",datos_base!$H$9+datos_base!$H$23,0))*parametros_manuales!$F$95+parametros_manuales!$E$41*(datos_base!$H$3+datos_base!$H$19+IF(parametros_manuales!$H$41="Todos",datos_base!$H$10+datos_base!$H$24,0))*parametros_manuales!$F$100+parametros_manuales!$F$41*(datos_base!$H$4+datos_base!$H$20+IF(parametros_manuales!$H$41="Todos",datos_base!$H$11+datos_base!$H$25,0))*parametros_manuales!$F$105+parametros_manuales!$G$41*(datos_base!$H$5+datos_base!$H$21+IF(parametros_manuales!$H$41="Todos",datos_base!$H$12+datos_base!$H$26,0))*parametros_manuales!$F$110)*parametros_manuales!$I$41*parametros_manuales!$J$41</f>
        <v>3361.30400092</v>
      </c>
      <c r="G186" s="9" t="n">
        <f aca="false">(parametros_manuales!$D$41*(datos_base!$H$2+datos_base!$H$18+IF(parametros_manuales!$H$41="Todos",datos_base!$H$9+datos_base!$H$23,0))*parametros_manuales!$G$95+parametros_manuales!$E$41*(datos_base!$H$3+datos_base!$H$19+IF(parametros_manuales!$H$41="Todos",datos_base!$H$10+datos_base!$H$24,0))*parametros_manuales!$G$100+parametros_manuales!$F$41*(datos_base!$H$4+datos_base!$H$20+IF(parametros_manuales!$H$41="Todos",datos_base!$H$11+datos_base!$H$25,0))*parametros_manuales!$G$105+parametros_manuales!$G$41*(datos_base!$H$5+datos_base!$H$21+IF(parametros_manuales!$H$41="Todos",datos_base!$H$12+datos_base!$H$26,0))*parametros_manuales!$G$110)*parametros_manuales!$I$41*parametros_manuales!$J$41</f>
        <v>3240.177421375</v>
      </c>
      <c r="H186" s="9" t="n">
        <f aca="false">(parametros_manuales!$D$41*(datos_base!$H$2+datos_base!$H$18+IF(parametros_manuales!$H$41="Todos",datos_base!$H$9+datos_base!$H$23,0))*parametros_manuales!$H$95+parametros_manuales!$E$41*(datos_base!$H$3+datos_base!$H$19+IF(parametros_manuales!$H$41="Todos",datos_base!$H$10+datos_base!$H$24,0))*parametros_manuales!$H$100+parametros_manuales!$F$41*(datos_base!$H$4+datos_base!$H$20+IF(parametros_manuales!$H$41="Todos",datos_base!$H$11+datos_base!$H$25,0))*parametros_manuales!$H$105+parametros_manuales!$G$41*(datos_base!$H$5+datos_base!$H$21+IF(parametros_manuales!$H$41="Todos",datos_base!$H$12+datos_base!$H$26,0))*parametros_manuales!$H$110)*parametros_manuales!$I$41*parametros_manuales!$J$41</f>
        <v>3462.96676722</v>
      </c>
      <c r="I186" s="9" t="n">
        <f aca="false">(parametros_manuales!$D$41*(datos_base!$H$2+datos_base!$H$18+IF(parametros_manuales!$H$41="Todos",datos_base!$H$9+datos_base!$H$23,0))*parametros_manuales!$I$95+parametros_manuales!$E$41*(datos_base!$H$3+datos_base!$H$19+IF(parametros_manuales!$H$41="Todos",datos_base!$H$10+datos_base!$H$24,0))*parametros_manuales!$I$100+parametros_manuales!$F$41*(datos_base!$H$4+datos_base!$H$20+IF(parametros_manuales!$H$41="Todos",datos_base!$H$11+datos_base!$H$25,0))*parametros_manuales!$I$105+parametros_manuales!$G$41*(datos_base!$H$5+datos_base!$H$21+IF(parametros_manuales!$H$41="Todos",datos_base!$H$12+datos_base!$H$26,0))*parametros_manuales!$I$110)*parametros_manuales!$I$41*parametros_manuales!$J$41</f>
        <v>3767.95506612</v>
      </c>
      <c r="J186" s="9" t="n">
        <f aca="false">(parametros_manuales!$D$41*(datos_base!$H$2+datos_base!$H$18+IF(parametros_manuales!$H$41="Todos",datos_base!$H$9+datos_base!$H$23,0))*parametros_manuales!$J$95+parametros_manuales!$E$41*(datos_base!$H$3+datos_base!$H$19+IF(parametros_manuales!$H$41="Todos",datos_base!$H$10+datos_base!$H$24,0))*parametros_manuales!$J$100+parametros_manuales!$F$41*(datos_base!$H$4+datos_base!$H$20+IF(parametros_manuales!$H$41="Todos",datos_base!$H$11+datos_base!$H$25,0))*parametros_manuales!$J$105+parametros_manuales!$G$41*(datos_base!$H$5+datos_base!$H$21+IF(parametros_manuales!$H$41="Todos",datos_base!$H$12+datos_base!$H$26,0))*parametros_manuales!$J$110)*parametros_manuales!$I$41*parametros_manuales!$J$41</f>
        <v>3767.95506612</v>
      </c>
      <c r="K186" s="9" t="n">
        <f aca="false">(parametros_manuales!$D$41*(datos_base!$H$2+datos_base!$H$18+IF(parametros_manuales!$H$41="Todos",datos_base!$H$9+datos_base!$H$23,0))*parametros_manuales!$K$95+parametros_manuales!$E$41*(datos_base!$H$3+datos_base!$H$19+IF(parametros_manuales!$H$41="Todos",datos_base!$H$10+datos_base!$H$24,0))*parametros_manuales!$K$100+parametros_manuales!$F$41*(datos_base!$H$4+datos_base!$H$20+IF(parametros_manuales!$H$41="Todos",datos_base!$H$11+datos_base!$H$25,0))*parametros_manuales!$K$105+parametros_manuales!$G$41*(datos_base!$H$5+datos_base!$H$21+IF(parametros_manuales!$H$41="Todos",datos_base!$H$12+datos_base!$H$26,0))*parametros_manuales!$K$110)*parametros_manuales!$I$41*parametros_manuales!$J$41</f>
        <v>3889.081645665</v>
      </c>
      <c r="L186" s="9" t="n">
        <f aca="false">(parametros_manuales!$D$41*(datos_base!$H$2+datos_base!$H$18+IF(parametros_manuales!$H$41="Todos",datos_base!$H$9+datos_base!$H$23,0))*parametros_manuales!$L$95+parametros_manuales!$E$41*(datos_base!$H$3+datos_base!$H$19+IF(parametros_manuales!$H$41="Todos",datos_base!$H$10+datos_base!$H$24,0))*parametros_manuales!$L$100+parametros_manuales!$F$41*(datos_base!$H$4+datos_base!$H$20+IF(parametros_manuales!$H$41="Todos",datos_base!$H$11+datos_base!$H$25,0))*parametros_manuales!$L$105+parametros_manuales!$G$41*(datos_base!$H$5+datos_base!$H$21+IF(parametros_manuales!$H$41="Todos",datos_base!$H$12+datos_base!$H$26,0))*parametros_manuales!$L$110)*parametros_manuales!$I$41*parametros_manuales!$J$41</f>
        <v>4010.20822521</v>
      </c>
      <c r="M186" s="9" t="n">
        <f aca="false">(parametros_manuales!$D$41*(datos_base!$H$2+datos_base!$H$18+IF(parametros_manuales!$H$41="Todos",datos_base!$H$9+datos_base!$H$23,0))*parametros_manuales!$M$95+parametros_manuales!$E$41*(datos_base!$H$3+datos_base!$H$19+IF(parametros_manuales!$H$41="Todos",datos_base!$H$10+datos_base!$H$24,0))*parametros_manuales!$M$100+parametros_manuales!$F$41*(datos_base!$H$4+datos_base!$H$20+IF(parametros_manuales!$H$41="Todos",datos_base!$H$11+datos_base!$H$25,0))*parametros_manuales!$M$105+parametros_manuales!$G$41*(datos_base!$H$5+datos_base!$H$21+IF(parametros_manuales!$H$41="Todos",datos_base!$H$12+datos_base!$H$26,0))*parametros_manuales!$M$110)*parametros_manuales!$I$41*parametros_manuales!$J$41</f>
        <v>4010.20822521</v>
      </c>
      <c r="N186" s="9" t="n">
        <f aca="false">SUM(B186:M186)</f>
        <v>44557.869169</v>
      </c>
      <c r="O186" s="9" t="n">
        <f aca="false">MAX(B186:M186)</f>
        <v>4010.20822521</v>
      </c>
      <c r="P186" s="43" t="n">
        <f aca="false">O186/(parametros_manuales!$B$7)</f>
        <v>26.7347215014</v>
      </c>
      <c r="Q186" s="8" t="str">
        <f aca="false">IF(O186=0,"-",INDEX($B$163:$M$163,MATCH(O186,B186:M186,0)))</f>
        <v>Ene</v>
      </c>
    </row>
    <row r="187" customFormat="false" ht="14.25" hidden="false" customHeight="true" outlineLevel="0" collapsed="false">
      <c r="A187" s="8" t="str">
        <f aca="false">parametros_manuales!$B$42</f>
        <v>Etiquetado</v>
      </c>
      <c r="B187" s="9" t="n">
        <f aca="false">(parametros_manuales!$D$42*(datos_base!$H$2+datos_base!$H$18+IF(parametros_manuales!$H$42="Todos",datos_base!$H$9+datos_base!$H$23,0))*parametros_manuales!$B$95+parametros_manuales!$E$42*(datos_base!$H$3+datos_base!$H$19+IF(parametros_manuales!$H$42="Todos",datos_base!$H$10+datos_base!$H$24,0))*parametros_manuales!$B$100+parametros_manuales!$F$42*(datos_base!$H$4+datos_base!$H$20+IF(parametros_manuales!$H$42="Todos",datos_base!$H$11+datos_base!$H$25,0))*parametros_manuales!$B$105+parametros_manuales!$G$42*(datos_base!$H$5+datos_base!$H$21+IF(parametros_manuales!$H$42="Todos",datos_base!$H$12+datos_base!$H$26,0))*parametros_manuales!$B$110)*parametros_manuales!$I$42*parametros_manuales!$J$42</f>
        <v>4010.20822521</v>
      </c>
      <c r="C187" s="9" t="n">
        <f aca="false">(parametros_manuales!$D$42*(datos_base!$H$2+datos_base!$H$18+IF(parametros_manuales!$H$42="Todos",datos_base!$H$9+datos_base!$H$23,0))*parametros_manuales!$C$95+parametros_manuales!$E$42*(datos_base!$H$3+datos_base!$H$19+IF(parametros_manuales!$H$42="Todos",datos_base!$H$10+datos_base!$H$24,0))*parametros_manuales!$C$100+parametros_manuales!$F$42*(datos_base!$H$4+datos_base!$H$20+IF(parametros_manuales!$H$42="Todos",datos_base!$H$11+datos_base!$H$25,0))*parametros_manuales!$C$105+parametros_manuales!$G$42*(datos_base!$H$5+datos_base!$H$21+IF(parametros_manuales!$H$42="Todos",datos_base!$H$12+datos_base!$H$26,0))*parametros_manuales!$C$110)*parametros_manuales!$I$42*parametros_manuales!$J$42</f>
        <v>3767.95506612</v>
      </c>
      <c r="D187" s="9" t="n">
        <f aca="false">(parametros_manuales!$D$42*(datos_base!$H$2+datos_base!$H$18+IF(parametros_manuales!$H$42="Todos",datos_base!$H$9+datos_base!$H$23,0))*parametros_manuales!$D$95+parametros_manuales!$E$42*(datos_base!$H$3+datos_base!$H$19+IF(parametros_manuales!$H$42="Todos",datos_base!$H$10+datos_base!$H$24,0))*parametros_manuales!$D$100+parametros_manuales!$F$42*(datos_base!$H$4+datos_base!$H$20+IF(parametros_manuales!$H$42="Todos",datos_base!$H$11+datos_base!$H$25,0))*parametros_manuales!$D$105+parametros_manuales!$G$42*(datos_base!$H$5+datos_base!$H$21+IF(parametros_manuales!$H$42="Todos",datos_base!$H$12+datos_base!$H$26,0))*parametros_manuales!$D$110)*parametros_manuales!$I$42*parametros_manuales!$J$42</f>
        <v>3685.756113065</v>
      </c>
      <c r="E187" s="9" t="n">
        <f aca="false">(parametros_manuales!$D$42*(datos_base!$H$2+datos_base!$H$18+IF(parametros_manuales!$H$42="Todos",datos_base!$H$9+datos_base!$H$23,0))*parametros_manuales!$E$95+parametros_manuales!$E$42*(datos_base!$H$3+datos_base!$H$19+IF(parametros_manuales!$H$42="Todos",datos_base!$H$10+datos_base!$H$24,0))*parametros_manuales!$E$100+parametros_manuales!$F$42*(datos_base!$H$4+datos_base!$H$20+IF(parametros_manuales!$H$42="Todos",datos_base!$H$11+datos_base!$H$25,0))*parametros_manuales!$E$105+parametros_manuales!$G$42*(datos_base!$H$5+datos_base!$H$21+IF(parametros_manuales!$H$42="Todos",datos_base!$H$12+datos_base!$H$26,0))*parametros_manuales!$E$110)*parametros_manuales!$I$42*parametros_manuales!$J$42</f>
        <v>3584.093346765</v>
      </c>
      <c r="F187" s="9" t="n">
        <f aca="false">(parametros_manuales!$D$42*(datos_base!$H$2+datos_base!$H$18+IF(parametros_manuales!$H$42="Todos",datos_base!$H$9+datos_base!$H$23,0))*parametros_manuales!$F$95+parametros_manuales!$E$42*(datos_base!$H$3+datos_base!$H$19+IF(parametros_manuales!$H$42="Todos",datos_base!$H$10+datos_base!$H$24,0))*parametros_manuales!$F$100+parametros_manuales!$F$42*(datos_base!$H$4+datos_base!$H$20+IF(parametros_manuales!$H$42="Todos",datos_base!$H$11+datos_base!$H$25,0))*parametros_manuales!$F$105+parametros_manuales!$G$42*(datos_base!$H$5+datos_base!$H$21+IF(parametros_manuales!$H$42="Todos",datos_base!$H$12+datos_base!$H$26,0))*parametros_manuales!$F$110)*parametros_manuales!$I$42*parametros_manuales!$J$42</f>
        <v>3361.30400092</v>
      </c>
      <c r="G187" s="9" t="n">
        <f aca="false">(parametros_manuales!$D$42*(datos_base!$H$2+datos_base!$H$18+IF(parametros_manuales!$H$42="Todos",datos_base!$H$9+datos_base!$H$23,0))*parametros_manuales!$G$95+parametros_manuales!$E$42*(datos_base!$H$3+datos_base!$H$19+IF(parametros_manuales!$H$42="Todos",datos_base!$H$10+datos_base!$H$24,0))*parametros_manuales!$G$100+parametros_manuales!$F$42*(datos_base!$H$4+datos_base!$H$20+IF(parametros_manuales!$H$42="Todos",datos_base!$H$11+datos_base!$H$25,0))*parametros_manuales!$G$105+parametros_manuales!$G$42*(datos_base!$H$5+datos_base!$H$21+IF(parametros_manuales!$H$42="Todos",datos_base!$H$12+datos_base!$H$26,0))*parametros_manuales!$G$110)*parametros_manuales!$I$42*parametros_manuales!$J$42</f>
        <v>3240.177421375</v>
      </c>
      <c r="H187" s="9" t="n">
        <f aca="false">(parametros_manuales!$D$42*(datos_base!$H$2+datos_base!$H$18+IF(parametros_manuales!$H$42="Todos",datos_base!$H$9+datos_base!$H$23,0))*parametros_manuales!$H$95+parametros_manuales!$E$42*(datos_base!$H$3+datos_base!$H$19+IF(parametros_manuales!$H$42="Todos",datos_base!$H$10+datos_base!$H$24,0))*parametros_manuales!$H$100+parametros_manuales!$F$42*(datos_base!$H$4+datos_base!$H$20+IF(parametros_manuales!$H$42="Todos",datos_base!$H$11+datos_base!$H$25,0))*parametros_manuales!$H$105+parametros_manuales!$G$42*(datos_base!$H$5+datos_base!$H$21+IF(parametros_manuales!$H$42="Todos",datos_base!$H$12+datos_base!$H$26,0))*parametros_manuales!$H$110)*parametros_manuales!$I$42*parametros_manuales!$J$42</f>
        <v>3462.96676722</v>
      </c>
      <c r="I187" s="9" t="n">
        <f aca="false">(parametros_manuales!$D$42*(datos_base!$H$2+datos_base!$H$18+IF(parametros_manuales!$H$42="Todos",datos_base!$H$9+datos_base!$H$23,0))*parametros_manuales!$I$95+parametros_manuales!$E$42*(datos_base!$H$3+datos_base!$H$19+IF(parametros_manuales!$H$42="Todos",datos_base!$H$10+datos_base!$H$24,0))*parametros_manuales!$I$100+parametros_manuales!$F$42*(datos_base!$H$4+datos_base!$H$20+IF(parametros_manuales!$H$42="Todos",datos_base!$H$11+datos_base!$H$25,0))*parametros_manuales!$I$105+parametros_manuales!$G$42*(datos_base!$H$5+datos_base!$H$21+IF(parametros_manuales!$H$42="Todos",datos_base!$H$12+datos_base!$H$26,0))*parametros_manuales!$I$110)*parametros_manuales!$I$42*parametros_manuales!$J$42</f>
        <v>3767.95506612</v>
      </c>
      <c r="J187" s="9" t="n">
        <f aca="false">(parametros_manuales!$D$42*(datos_base!$H$2+datos_base!$H$18+IF(parametros_manuales!$H$42="Todos",datos_base!$H$9+datos_base!$H$23,0))*parametros_manuales!$J$95+parametros_manuales!$E$42*(datos_base!$H$3+datos_base!$H$19+IF(parametros_manuales!$H$42="Todos",datos_base!$H$10+datos_base!$H$24,0))*parametros_manuales!$J$100+parametros_manuales!$F$42*(datos_base!$H$4+datos_base!$H$20+IF(parametros_manuales!$H$42="Todos",datos_base!$H$11+datos_base!$H$25,0))*parametros_manuales!$J$105+parametros_manuales!$G$42*(datos_base!$H$5+datos_base!$H$21+IF(parametros_manuales!$H$42="Todos",datos_base!$H$12+datos_base!$H$26,0))*parametros_manuales!$J$110)*parametros_manuales!$I$42*parametros_manuales!$J$42</f>
        <v>3767.95506612</v>
      </c>
      <c r="K187" s="9" t="n">
        <f aca="false">(parametros_manuales!$D$42*(datos_base!$H$2+datos_base!$H$18+IF(parametros_manuales!$H$42="Todos",datos_base!$H$9+datos_base!$H$23,0))*parametros_manuales!$K$95+parametros_manuales!$E$42*(datos_base!$H$3+datos_base!$H$19+IF(parametros_manuales!$H$42="Todos",datos_base!$H$10+datos_base!$H$24,0))*parametros_manuales!$K$100+parametros_manuales!$F$42*(datos_base!$H$4+datos_base!$H$20+IF(parametros_manuales!$H$42="Todos",datos_base!$H$11+datos_base!$H$25,0))*parametros_manuales!$K$105+parametros_manuales!$G$42*(datos_base!$H$5+datos_base!$H$21+IF(parametros_manuales!$H$42="Todos",datos_base!$H$12+datos_base!$H$26,0))*parametros_manuales!$K$110)*parametros_manuales!$I$42*parametros_manuales!$J$42</f>
        <v>3889.081645665</v>
      </c>
      <c r="L187" s="9" t="n">
        <f aca="false">(parametros_manuales!$D$42*(datos_base!$H$2+datos_base!$H$18+IF(parametros_manuales!$H$42="Todos",datos_base!$H$9+datos_base!$H$23,0))*parametros_manuales!$L$95+parametros_manuales!$E$42*(datos_base!$H$3+datos_base!$H$19+IF(parametros_manuales!$H$42="Todos",datos_base!$H$10+datos_base!$H$24,0))*parametros_manuales!$L$100+parametros_manuales!$F$42*(datos_base!$H$4+datos_base!$H$20+IF(parametros_manuales!$H$42="Todos",datos_base!$H$11+datos_base!$H$25,0))*parametros_manuales!$L$105+parametros_manuales!$G$42*(datos_base!$H$5+datos_base!$H$21+IF(parametros_manuales!$H$42="Todos",datos_base!$H$12+datos_base!$H$26,0))*parametros_manuales!$L$110)*parametros_manuales!$I$42*parametros_manuales!$J$42</f>
        <v>4010.20822521</v>
      </c>
      <c r="M187" s="9" t="n">
        <f aca="false">(parametros_manuales!$D$42*(datos_base!$H$2+datos_base!$H$18+IF(parametros_manuales!$H$42="Todos",datos_base!$H$9+datos_base!$H$23,0))*parametros_manuales!$M$95+parametros_manuales!$E$42*(datos_base!$H$3+datos_base!$H$19+IF(parametros_manuales!$H$42="Todos",datos_base!$H$10+datos_base!$H$24,0))*parametros_manuales!$M$100+parametros_manuales!$F$42*(datos_base!$H$4+datos_base!$H$20+IF(parametros_manuales!$H$42="Todos",datos_base!$H$11+datos_base!$H$25,0))*parametros_manuales!$M$105+parametros_manuales!$G$42*(datos_base!$H$5+datos_base!$H$21+IF(parametros_manuales!$H$42="Todos",datos_base!$H$12+datos_base!$H$26,0))*parametros_manuales!$M$110)*parametros_manuales!$I$42*parametros_manuales!$J$42</f>
        <v>4010.20822521</v>
      </c>
      <c r="N187" s="9" t="n">
        <f aca="false">SUM(B187:M187)</f>
        <v>44557.869169</v>
      </c>
      <c r="O187" s="9" t="n">
        <f aca="false">MAX(B187:M187)</f>
        <v>4010.20822521</v>
      </c>
      <c r="P187" s="43" t="n">
        <f aca="false">O187/(parametros_manuales!$B$7)</f>
        <v>26.7347215014</v>
      </c>
      <c r="Q187" s="8" t="str">
        <f aca="false">IF(O187=0,"-",INDEX($B$163:$M$163,MATCH(O187,B187:M187,0)))</f>
        <v>Ene</v>
      </c>
    </row>
    <row r="188" customFormat="false" ht="14.25" hidden="false" customHeight="true" outlineLevel="0" collapsed="false">
      <c r="A188" s="8" t="str">
        <f aca="false">parametros_manuales!$B$43</f>
        <v>Embalaje y paletizado</v>
      </c>
      <c r="B188" s="9" t="n">
        <f aca="false">(parametros_manuales!$D$43*(datos_base!$H$2+datos_base!$H$18+IF(parametros_manuales!$H$43="Todos",datos_base!$H$9+datos_base!$H$23,0))*parametros_manuales!$B$95+parametros_manuales!$E$43*(datos_base!$H$3+datos_base!$H$19+IF(parametros_manuales!$H$43="Todos",datos_base!$H$10+datos_base!$H$24,0))*parametros_manuales!$B$100+parametros_manuales!$F$43*(datos_base!$H$4+datos_base!$H$20+IF(parametros_manuales!$H$43="Todos",datos_base!$H$11+datos_base!$H$25,0))*parametros_manuales!$B$105+parametros_manuales!$G$43*(datos_base!$H$5+datos_base!$H$21+IF(parametros_manuales!$H$43="Todos",datos_base!$H$12+datos_base!$H$26,0))*parametros_manuales!$B$110)*parametros_manuales!$I$43*parametros_manuales!$J$43</f>
        <v>15374.67382521</v>
      </c>
      <c r="C188" s="9" t="n">
        <f aca="false">(parametros_manuales!$D$43*(datos_base!$H$2+datos_base!$H$18+IF(parametros_manuales!$H$43="Todos",datos_base!$H$9+datos_base!$H$23,0))*parametros_manuales!$C$95+parametros_manuales!$E$43*(datos_base!$H$3+datos_base!$H$19+IF(parametros_manuales!$H$43="Todos",datos_base!$H$10+datos_base!$H$24,0))*parametros_manuales!$C$100+parametros_manuales!$F$43*(datos_base!$H$4+datos_base!$H$20+IF(parametros_manuales!$H$43="Todos",datos_base!$H$11+datos_base!$H$25,0))*parametros_manuales!$C$105+parametros_manuales!$G$43*(datos_base!$H$5+datos_base!$H$21+IF(parametros_manuales!$H$43="Todos",datos_base!$H$12+datos_base!$H$26,0))*parametros_manuales!$C$110)*parametros_manuales!$I$43*parametros_manuales!$J$43</f>
        <v>14883.10826612</v>
      </c>
      <c r="D188" s="9" t="n">
        <f aca="false">(parametros_manuales!$D$43*(datos_base!$H$2+datos_base!$H$18+IF(parametros_manuales!$H$43="Todos",datos_base!$H$9+datos_base!$H$23,0))*parametros_manuales!$D$95+parametros_manuales!$E$43*(datos_base!$H$3+datos_base!$H$19+IF(parametros_manuales!$H$43="Todos",datos_base!$H$10+datos_base!$H$24,0))*parametros_manuales!$D$100+parametros_manuales!$F$43*(datos_base!$H$4+datos_base!$H$20+IF(parametros_manuales!$H$43="Todos",datos_base!$H$11+datos_base!$H$25,0))*parametros_manuales!$D$105+parametros_manuales!$G$43*(datos_base!$H$5+datos_base!$H$21+IF(parametros_manuales!$H$43="Todos",datos_base!$H$12+datos_base!$H$26,0))*parametros_manuales!$D$110)*parametros_manuales!$I$43*parametros_manuales!$J$43</f>
        <v>13912.159513065</v>
      </c>
      <c r="E188" s="9" t="n">
        <f aca="false">(parametros_manuales!$D$43*(datos_base!$H$2+datos_base!$H$18+IF(parametros_manuales!$H$43="Todos",datos_base!$H$9+datos_base!$H$23,0))*parametros_manuales!$E$95+parametros_manuales!$E$43*(datos_base!$H$3+datos_base!$H$19+IF(parametros_manuales!$H$43="Todos",datos_base!$H$10+datos_base!$H$24,0))*parametros_manuales!$E$100+parametros_manuales!$F$43*(datos_base!$H$4+datos_base!$H$20+IF(parametros_manuales!$H$43="Todos",datos_base!$H$11+datos_base!$H$25,0))*parametros_manuales!$E$105+parametros_manuales!$G$43*(datos_base!$H$5+datos_base!$H$21+IF(parametros_manuales!$H$43="Todos",datos_base!$H$12+datos_base!$H$26,0))*parametros_manuales!$E$110)*parametros_manuales!$I$43*parametros_manuales!$J$43</f>
        <v>13303.793746765</v>
      </c>
      <c r="F188" s="9" t="n">
        <f aca="false">(parametros_manuales!$D$43*(datos_base!$H$2+datos_base!$H$18+IF(parametros_manuales!$H$43="Todos",datos_base!$H$9+datos_base!$H$23,0))*parametros_manuales!$F$95+parametros_manuales!$E$43*(datos_base!$H$3+datos_base!$H$19+IF(parametros_manuales!$H$43="Todos",datos_base!$H$10+datos_base!$H$24,0))*parametros_manuales!$F$100+parametros_manuales!$F$43*(datos_base!$H$4+datos_base!$H$20+IF(parametros_manuales!$H$43="Todos",datos_base!$H$11+datos_base!$H$25,0))*parametros_manuales!$F$105+parametros_manuales!$G$43*(datos_base!$H$5+datos_base!$H$21+IF(parametros_manuales!$H$43="Todos",datos_base!$H$12+datos_base!$H$26,0))*parametros_manuales!$F$110)*parametros_manuales!$I$43*parametros_manuales!$J$43</f>
        <v>12449.64520092</v>
      </c>
      <c r="G188" s="9" t="n">
        <f aca="false">(parametros_manuales!$D$43*(datos_base!$H$2+datos_base!$H$18+IF(parametros_manuales!$H$43="Todos",datos_base!$H$9+datos_base!$H$23,0))*parametros_manuales!$G$95+parametros_manuales!$E$43*(datos_base!$H$3+datos_base!$H$19+IF(parametros_manuales!$H$43="Todos",datos_base!$H$10+datos_base!$H$24,0))*parametros_manuales!$G$100+parametros_manuales!$F$43*(datos_base!$H$4+datos_base!$H$20+IF(parametros_manuales!$H$43="Todos",datos_base!$H$11+datos_base!$H$25,0))*parametros_manuales!$G$105+parametros_manuales!$G$43*(datos_base!$H$5+datos_base!$H$21+IF(parametros_manuales!$H$43="Todos",datos_base!$H$12+datos_base!$H$26,0))*parametros_manuales!$G$110)*parametros_manuales!$I$43*parametros_manuales!$J$43</f>
        <v>12203.862421375</v>
      </c>
      <c r="H188" s="9" t="n">
        <f aca="false">(parametros_manuales!$D$43*(datos_base!$H$2+datos_base!$H$18+IF(parametros_manuales!$H$43="Todos",datos_base!$H$9+datos_base!$H$23,0))*parametros_manuales!$H$95+parametros_manuales!$E$43*(datos_base!$H$3+datos_base!$H$19+IF(parametros_manuales!$H$43="Todos",datos_base!$H$10+datos_base!$H$24,0))*parametros_manuales!$H$100+parametros_manuales!$F$43*(datos_base!$H$4+datos_base!$H$20+IF(parametros_manuales!$H$43="Todos",datos_base!$H$11+datos_base!$H$25,0))*parametros_manuales!$H$105+parametros_manuales!$G$43*(datos_base!$H$5+datos_base!$H$21+IF(parametros_manuales!$H$43="Todos",datos_base!$H$12+datos_base!$H$26,0))*parametros_manuales!$H$110)*parametros_manuales!$I$43*parametros_manuales!$J$43</f>
        <v>13058.01096722</v>
      </c>
      <c r="I188" s="9" t="n">
        <f aca="false">(parametros_manuales!$D$43*(datos_base!$H$2+datos_base!$H$18+IF(parametros_manuales!$H$43="Todos",datos_base!$H$9+datos_base!$H$23,0))*parametros_manuales!$I$95+parametros_manuales!$E$43*(datos_base!$H$3+datos_base!$H$19+IF(parametros_manuales!$H$43="Todos",datos_base!$H$10+datos_base!$H$24,0))*parametros_manuales!$I$100+parametros_manuales!$F$43*(datos_base!$H$4+datos_base!$H$20+IF(parametros_manuales!$H$43="Todos",datos_base!$H$11+datos_base!$H$25,0))*parametros_manuales!$I$105+parametros_manuales!$G$43*(datos_base!$H$5+datos_base!$H$21+IF(parametros_manuales!$H$43="Todos",datos_base!$H$12+datos_base!$H$26,0))*parametros_manuales!$I$110)*parametros_manuales!$I$43*parametros_manuales!$J$43</f>
        <v>14883.10826612</v>
      </c>
      <c r="J188" s="9" t="n">
        <f aca="false">(parametros_manuales!$D$43*(datos_base!$H$2+datos_base!$H$18+IF(parametros_manuales!$H$43="Todos",datos_base!$H$9+datos_base!$H$23,0))*parametros_manuales!$J$95+parametros_manuales!$E$43*(datos_base!$H$3+datos_base!$H$19+IF(parametros_manuales!$H$43="Todos",datos_base!$H$10+datos_base!$H$24,0))*parametros_manuales!$J$100+parametros_manuales!$F$43*(datos_base!$H$4+datos_base!$H$20+IF(parametros_manuales!$H$43="Todos",datos_base!$H$11+datos_base!$H$25,0))*parametros_manuales!$J$105+parametros_manuales!$G$43*(datos_base!$H$5+datos_base!$H$21+IF(parametros_manuales!$H$43="Todos",datos_base!$H$12+datos_base!$H$26,0))*parametros_manuales!$J$110)*parametros_manuales!$I$43*parametros_manuales!$J$43</f>
        <v>14883.10826612</v>
      </c>
      <c r="K188" s="9" t="n">
        <f aca="false">(parametros_manuales!$D$43*(datos_base!$H$2+datos_base!$H$18+IF(parametros_manuales!$H$43="Todos",datos_base!$H$9+datos_base!$H$23,0))*parametros_manuales!$K$95+parametros_manuales!$E$43*(datos_base!$H$3+datos_base!$H$19+IF(parametros_manuales!$H$43="Todos",datos_base!$H$10+datos_base!$H$24,0))*parametros_manuales!$K$100+parametros_manuales!$F$43*(datos_base!$H$4+datos_base!$H$20+IF(parametros_manuales!$H$43="Todos",datos_base!$H$11+datos_base!$H$25,0))*parametros_manuales!$K$105+parametros_manuales!$G$43*(datos_base!$H$5+datos_base!$H$21+IF(parametros_manuales!$H$43="Todos",datos_base!$H$12+datos_base!$H$26,0))*parametros_manuales!$K$110)*parametros_manuales!$I$43*parametros_manuales!$J$43</f>
        <v>15128.891045665</v>
      </c>
      <c r="L188" s="9" t="n">
        <f aca="false">(parametros_manuales!$D$43*(datos_base!$H$2+datos_base!$H$18+IF(parametros_manuales!$H$43="Todos",datos_base!$H$9+datos_base!$H$23,0))*parametros_manuales!$L$95+parametros_manuales!$E$43*(datos_base!$H$3+datos_base!$H$19+IF(parametros_manuales!$H$43="Todos",datos_base!$H$10+datos_base!$H$24,0))*parametros_manuales!$L$100+parametros_manuales!$F$43*(datos_base!$H$4+datos_base!$H$20+IF(parametros_manuales!$H$43="Todos",datos_base!$H$11+datos_base!$H$25,0))*parametros_manuales!$L$105+parametros_manuales!$G$43*(datos_base!$H$5+datos_base!$H$21+IF(parametros_manuales!$H$43="Todos",datos_base!$H$12+datos_base!$H$26,0))*parametros_manuales!$L$110)*parametros_manuales!$I$43*parametros_manuales!$J$43</f>
        <v>15374.67382521</v>
      </c>
      <c r="M188" s="9" t="n">
        <f aca="false">(parametros_manuales!$D$43*(datos_base!$H$2+datos_base!$H$18+IF(parametros_manuales!$H$43="Todos",datos_base!$H$9+datos_base!$H$23,0))*parametros_manuales!$M$95+parametros_manuales!$E$43*(datos_base!$H$3+datos_base!$H$19+IF(parametros_manuales!$H$43="Todos",datos_base!$H$10+datos_base!$H$24,0))*parametros_manuales!$M$100+parametros_manuales!$F$43*(datos_base!$H$4+datos_base!$H$20+IF(parametros_manuales!$H$43="Todos",datos_base!$H$11+datos_base!$H$25,0))*parametros_manuales!$M$105+parametros_manuales!$G$43*(datos_base!$H$5+datos_base!$H$21+IF(parametros_manuales!$H$43="Todos",datos_base!$H$12+datos_base!$H$26,0))*parametros_manuales!$M$110)*parametros_manuales!$I$43*parametros_manuales!$J$43</f>
        <v>15374.67382521</v>
      </c>
      <c r="N188" s="9" t="n">
        <f aca="false">SUM(B188:M188)</f>
        <v>170829.709169</v>
      </c>
      <c r="O188" s="9" t="n">
        <f aca="false">MAX(B188:M188)</f>
        <v>15374.67382521</v>
      </c>
      <c r="P188" s="43" t="n">
        <f aca="false">O188/(parametros_manuales!$B$7)</f>
        <v>102.4978255014</v>
      </c>
      <c r="Q188" s="8" t="str">
        <f aca="false">IF(O188=0,"-",INDEX($B$163:$M$163,MATCH(O188,B188:M188,0)))</f>
        <v>Ene</v>
      </c>
    </row>
    <row r="189" customFormat="false" ht="14.25" hidden="false" customHeight="true" outlineLevel="0" collapsed="false"/>
    <row r="190" customFormat="false" ht="14.25" hidden="false" customHeight="true" outlineLevel="0" collapsed="false">
      <c r="A190" s="7" t="s">
        <v>197</v>
      </c>
      <c r="B190" s="7" t="s">
        <v>61</v>
      </c>
      <c r="C190" s="7" t="s">
        <v>62</v>
      </c>
      <c r="D190" s="7" t="s">
        <v>63</v>
      </c>
      <c r="E190" s="7" t="s">
        <v>64</v>
      </c>
      <c r="F190" s="7" t="s">
        <v>65</v>
      </c>
      <c r="G190" s="7" t="s">
        <v>66</v>
      </c>
      <c r="H190" s="7" t="s">
        <v>67</v>
      </c>
      <c r="I190" s="7" t="s">
        <v>68</v>
      </c>
      <c r="J190" s="7" t="s">
        <v>69</v>
      </c>
      <c r="K190" s="7" t="s">
        <v>70</v>
      </c>
      <c r="L190" s="7" t="s">
        <v>71</v>
      </c>
      <c r="M190" s="7" t="s">
        <v>72</v>
      </c>
      <c r="N190" s="7" t="s">
        <v>183</v>
      </c>
      <c r="O190" s="7" t="s">
        <v>188</v>
      </c>
      <c r="P190" s="7" t="s">
        <v>189</v>
      </c>
      <c r="Q190" s="7" t="s">
        <v>190</v>
      </c>
    </row>
    <row r="191" customFormat="false" ht="14.25" hidden="false" customHeight="true" outlineLevel="0" collapsed="false">
      <c r="A191" s="8" t="str">
        <f aca="false">parametros_manuales!$B$19</f>
        <v>Recepción de materia prima</v>
      </c>
      <c r="B191" s="9" t="n">
        <f aca="false">(parametros_manuales!$D$19*(datos_base!$I$2+datos_base!$I$18+IF(parametros_manuales!$H$19="Todos",datos_base!$I$9+datos_base!$I$23,0))*parametros_manuales!$B$95+parametros_manuales!$E$19*(datos_base!$I$3+datos_base!$I$19+IF(parametros_manuales!$H$19="Todos",datos_base!$I$10+datos_base!$I$24,0))*parametros_manuales!$B$100+parametros_manuales!$F$19*(datos_base!$I$4+datos_base!$I$20+IF(parametros_manuales!$H$19="Todos",datos_base!$I$11+datos_base!$I$25,0))*parametros_manuales!$B$105+parametros_manuales!$G$19*(datos_base!$I$5+datos_base!$I$21+IF(parametros_manuales!$H$19="Todos",datos_base!$I$12+datos_base!$I$26,0))*parametros_manuales!$B$110)*parametros_manuales!$I$19*parametros_manuales!$J$19</f>
        <v>19640.96066241</v>
      </c>
      <c r="C191" s="9" t="n">
        <f aca="false">(parametros_manuales!$D$19*(datos_base!$I$2+datos_base!$I$18+IF(parametros_manuales!$H$19="Todos",datos_base!$I$9+datos_base!$I$23,0))*parametros_manuales!$C$95+parametros_manuales!$E$19*(datos_base!$I$3+datos_base!$I$19+IF(parametros_manuales!$H$19="Todos",datos_base!$I$10+datos_base!$I$24,0))*parametros_manuales!$C$100+parametros_manuales!$F$19*(datos_base!$I$4+datos_base!$I$20+IF(parametros_manuales!$H$19="Todos",datos_base!$I$11+datos_base!$I$25,0))*parametros_manuales!$C$105+parametros_manuales!$G$19*(datos_base!$I$5+datos_base!$I$21+IF(parametros_manuales!$H$19="Todos",datos_base!$I$12+datos_base!$I$26,0))*parametros_manuales!$C$110)*parametros_manuales!$I$19*parametros_manuales!$J$19</f>
        <v>19019.96248472</v>
      </c>
      <c r="D191" s="9" t="n">
        <f aca="false">(parametros_manuales!$D$19*(datos_base!$I$2+datos_base!$I$18+IF(parametros_manuales!$H$19="Todos",datos_base!$I$9+datos_base!$I$23,0))*parametros_manuales!$D$95+parametros_manuales!$E$19*(datos_base!$I$3+datos_base!$I$19+IF(parametros_manuales!$H$19="Todos",datos_base!$I$10+datos_base!$I$24,0))*parametros_manuales!$D$100+parametros_manuales!$F$19*(datos_base!$I$4+datos_base!$I$20+IF(parametros_manuales!$H$19="Todos",datos_base!$I$11+datos_base!$I$25,0))*parametros_manuales!$D$105+parametros_manuales!$G$19*(datos_base!$I$5+datos_base!$I$21+IF(parametros_manuales!$H$19="Todos",datos_base!$I$12+datos_base!$I$26,0))*parametros_manuales!$D$110)*parametros_manuales!$I$19*parametros_manuales!$J$19</f>
        <v>17769.130788765</v>
      </c>
      <c r="E191" s="9" t="n">
        <f aca="false">(parametros_manuales!$D$19*(datos_base!$I$2+datos_base!$I$18+IF(parametros_manuales!$H$19="Todos",datos_base!$I$9+datos_base!$I$23,0))*parametros_manuales!$E$95+parametros_manuales!$E$19*(datos_base!$I$3+datos_base!$I$19+IF(parametros_manuales!$H$19="Todos",datos_base!$I$10+datos_base!$I$24,0))*parametros_manuales!$E$100+parametros_manuales!$F$19*(datos_base!$I$4+datos_base!$I$20+IF(parametros_manuales!$H$19="Todos",datos_base!$I$11+datos_base!$I$25,0))*parametros_manuales!$E$105+parametros_manuales!$G$19*(datos_base!$I$5+datos_base!$I$21+IF(parametros_manuales!$H$19="Todos",datos_base!$I$12+datos_base!$I$26,0))*parametros_manuales!$E$110)*parametros_manuales!$I$19*parametros_manuales!$J$19</f>
        <v>16988.465396365</v>
      </c>
      <c r="F191" s="9" t="n">
        <f aca="false">(parametros_manuales!$D$19*(datos_base!$I$2+datos_base!$I$18+IF(parametros_manuales!$H$19="Todos",datos_base!$I$9+datos_base!$I$23,0))*parametros_manuales!$F$95+parametros_manuales!$E$19*(datos_base!$I$3+datos_base!$I$19+IF(parametros_manuales!$H$19="Todos",datos_base!$I$10+datos_base!$I$24,0))*parametros_manuales!$F$100+parametros_manuales!$F$19*(datos_base!$I$4+datos_base!$I$20+IF(parametros_manuales!$H$19="Todos",datos_base!$I$11+datos_base!$I$25,0))*parametros_manuales!$F$105+parametros_manuales!$G$19*(datos_base!$I$5+datos_base!$I$21+IF(parametros_manuales!$H$19="Todos",datos_base!$I$12+datos_base!$I$26,0))*parametros_manuales!$F$110)*parametros_manuales!$I$19*parametros_manuales!$J$19</f>
        <v>15897.30091512</v>
      </c>
      <c r="G191" s="9" t="n">
        <f aca="false">(parametros_manuales!$D$19*(datos_base!$I$2+datos_base!$I$18+IF(parametros_manuales!$H$19="Todos",datos_base!$I$9+datos_base!$I$23,0))*parametros_manuales!$G$95+parametros_manuales!$E$19*(datos_base!$I$3+datos_base!$I$19+IF(parametros_manuales!$H$19="Todos",datos_base!$I$10+datos_base!$I$24,0))*parametros_manuales!$G$100+parametros_manuales!$F$19*(datos_base!$I$4+datos_base!$I$20+IF(parametros_manuales!$H$19="Todos",datos_base!$I$11+datos_base!$I$25,0))*parametros_manuales!$G$105+parametros_manuales!$G$19*(datos_base!$I$5+datos_base!$I$21+IF(parametros_manuales!$H$19="Todos",datos_base!$I$12+datos_base!$I$26,0))*parametros_manuales!$G$110)*parametros_manuales!$I$19*parametros_manuales!$J$19</f>
        <v>15586.801826275</v>
      </c>
      <c r="H191" s="9" t="n">
        <f aca="false">(parametros_manuales!$D$19*(datos_base!$I$2+datos_base!$I$18+IF(parametros_manuales!$H$19="Todos",datos_base!$I$9+datos_base!$I$23,0))*parametros_manuales!$H$95+parametros_manuales!$E$19*(datos_base!$I$3+datos_base!$I$19+IF(parametros_manuales!$H$19="Todos",datos_base!$I$10+datos_base!$I$24,0))*parametros_manuales!$H$100+parametros_manuales!$F$19*(datos_base!$I$4+datos_base!$I$20+IF(parametros_manuales!$H$19="Todos",datos_base!$I$11+datos_base!$I$25,0))*parametros_manuales!$H$105+parametros_manuales!$G$19*(datos_base!$I$5+datos_base!$I$21+IF(parametros_manuales!$H$19="Todos",datos_base!$I$12+datos_base!$I$26,0))*parametros_manuales!$H$110)*parametros_manuales!$I$19*parametros_manuales!$J$19</f>
        <v>16677.96630752</v>
      </c>
      <c r="I191" s="9" t="n">
        <f aca="false">(parametros_manuales!$D$19*(datos_base!$I$2+datos_base!$I$18+IF(parametros_manuales!$H$19="Todos",datos_base!$I$9+datos_base!$I$23,0))*parametros_manuales!$I$95+parametros_manuales!$E$19*(datos_base!$I$3+datos_base!$I$19+IF(parametros_manuales!$H$19="Todos",datos_base!$I$10+datos_base!$I$24,0))*parametros_manuales!$I$100+parametros_manuales!$F$19*(datos_base!$I$4+datos_base!$I$20+IF(parametros_manuales!$H$19="Todos",datos_base!$I$11+datos_base!$I$25,0))*parametros_manuales!$I$105+parametros_manuales!$G$19*(datos_base!$I$5+datos_base!$I$21+IF(parametros_manuales!$H$19="Todos",datos_base!$I$12+datos_base!$I$26,0))*parametros_manuales!$I$110)*parametros_manuales!$I$19*parametros_manuales!$J$19</f>
        <v>19019.96248472</v>
      </c>
      <c r="J191" s="9" t="n">
        <f aca="false">(parametros_manuales!$D$19*(datos_base!$I$2+datos_base!$I$18+IF(parametros_manuales!$H$19="Todos",datos_base!$I$9+datos_base!$I$23,0))*parametros_manuales!$J$95+parametros_manuales!$E$19*(datos_base!$I$3+datos_base!$I$19+IF(parametros_manuales!$H$19="Todos",datos_base!$I$10+datos_base!$I$24,0))*parametros_manuales!$J$100+parametros_manuales!$F$19*(datos_base!$I$4+datos_base!$I$20+IF(parametros_manuales!$H$19="Todos",datos_base!$I$11+datos_base!$I$25,0))*parametros_manuales!$J$105+parametros_manuales!$G$19*(datos_base!$I$5+datos_base!$I$21+IF(parametros_manuales!$H$19="Todos",datos_base!$I$12+datos_base!$I$26,0))*parametros_manuales!$J$110)*parametros_manuales!$I$19*parametros_manuales!$J$19</f>
        <v>19019.96248472</v>
      </c>
      <c r="K191" s="9" t="n">
        <f aca="false">(parametros_manuales!$D$19*(datos_base!$I$2+datos_base!$I$18+IF(parametros_manuales!$H$19="Todos",datos_base!$I$9+datos_base!$I$23,0))*parametros_manuales!$K$95+parametros_manuales!$E$19*(datos_base!$I$3+datos_base!$I$19+IF(parametros_manuales!$H$19="Todos",datos_base!$I$10+datos_base!$I$24,0))*parametros_manuales!$K$100+parametros_manuales!$F$19*(datos_base!$I$4+datos_base!$I$20+IF(parametros_manuales!$H$19="Todos",datos_base!$I$11+datos_base!$I$25,0))*parametros_manuales!$K$105+parametros_manuales!$G$19*(datos_base!$I$5+datos_base!$I$21+IF(parametros_manuales!$H$19="Todos",datos_base!$I$12+datos_base!$I$26,0))*parametros_manuales!$K$110)*parametros_manuales!$I$19*parametros_manuales!$J$19</f>
        <v>19330.461573565</v>
      </c>
      <c r="L191" s="9" t="n">
        <f aca="false">(parametros_manuales!$D$19*(datos_base!$I$2+datos_base!$I$18+IF(parametros_manuales!$H$19="Todos",datos_base!$I$9+datos_base!$I$23,0))*parametros_manuales!$L$95+parametros_manuales!$E$19*(datos_base!$I$3+datos_base!$I$19+IF(parametros_manuales!$H$19="Todos",datos_base!$I$10+datos_base!$I$24,0))*parametros_manuales!$L$100+parametros_manuales!$F$19*(datos_base!$I$4+datos_base!$I$20+IF(parametros_manuales!$H$19="Todos",datos_base!$I$11+datos_base!$I$25,0))*parametros_manuales!$L$105+parametros_manuales!$G$19*(datos_base!$I$5+datos_base!$I$21+IF(parametros_manuales!$H$19="Todos",datos_base!$I$12+datos_base!$I$26,0))*parametros_manuales!$L$110)*parametros_manuales!$I$19*parametros_manuales!$J$19</f>
        <v>19640.96066241</v>
      </c>
      <c r="M191" s="9" t="n">
        <f aca="false">(parametros_manuales!$D$19*(datos_base!$I$2+datos_base!$I$18+IF(parametros_manuales!$H$19="Todos",datos_base!$I$9+datos_base!$I$23,0))*parametros_manuales!$M$95+parametros_manuales!$E$19*(datos_base!$I$3+datos_base!$I$19+IF(parametros_manuales!$H$19="Todos",datos_base!$I$10+datos_base!$I$24,0))*parametros_manuales!$M$100+parametros_manuales!$F$19*(datos_base!$I$4+datos_base!$I$20+IF(parametros_manuales!$H$19="Todos",datos_base!$I$11+datos_base!$I$25,0))*parametros_manuales!$M$105+parametros_manuales!$G$19*(datos_base!$I$5+datos_base!$I$21+IF(parametros_manuales!$H$19="Todos",datos_base!$I$12+datos_base!$I$26,0))*parametros_manuales!$M$110)*parametros_manuales!$I$19*parametros_manuales!$J$19</f>
        <v>19640.96066241</v>
      </c>
      <c r="N191" s="9" t="n">
        <f aca="false">SUM(B191:M191)</f>
        <v>218232.896249</v>
      </c>
      <c r="O191" s="9" t="n">
        <f aca="false">MAX(B191:M191)</f>
        <v>19640.96066241</v>
      </c>
      <c r="P191" s="43" t="n">
        <f aca="false">O191/(parametros_manuales!$B$7)</f>
        <v>130.9397377494</v>
      </c>
      <c r="Q191" s="8" t="str">
        <f aca="false">IF(O191=0,"-",INDEX($B$190:$M$190,MATCH(O191,B191:M191,0)))</f>
        <v>Ene</v>
      </c>
    </row>
    <row r="192" customFormat="false" ht="14.25" hidden="false" customHeight="true" outlineLevel="0" collapsed="false">
      <c r="A192" s="8" t="str">
        <f aca="false">parametros_manuales!$B$20</f>
        <v>Corte de chapa (guillotina) — 2,5 a 10 kg</v>
      </c>
      <c r="B192" s="9" t="n">
        <f aca="false">(parametros_manuales!$D$20*(datos_base!$I$2+datos_base!$I$18+IF(parametros_manuales!$H$20="Todos",datos_base!$I$9+datos_base!$I$23,0))*parametros_manuales!$B$95+parametros_manuales!$E$20*(datos_base!$I$3+datos_base!$I$19+IF(parametros_manuales!$H$20="Todos",datos_base!$I$10+datos_base!$I$24,0))*parametros_manuales!$B$100+parametros_manuales!$F$20*(datos_base!$I$4+datos_base!$I$20+IF(parametros_manuales!$H$20="Todos",datos_base!$I$11+datos_base!$I$25,0))*parametros_manuales!$B$105+parametros_manuales!$G$20*(datos_base!$I$5+datos_base!$I$21+IF(parametros_manuales!$H$20="Todos",datos_base!$I$12+datos_base!$I$26,0))*parametros_manuales!$B$110)*parametros_manuales!$I$20*parametros_manuales!$J$20</f>
        <v>5588.98359921</v>
      </c>
      <c r="C192" s="9" t="n">
        <f aca="false">(parametros_manuales!$D$20*(datos_base!$I$2+datos_base!$I$18+IF(parametros_manuales!$H$20="Todos",datos_base!$I$9+datos_base!$I$23,0))*parametros_manuales!$C$95+parametros_manuales!$E$20*(datos_base!$I$3+datos_base!$I$19+IF(parametros_manuales!$H$20="Todos",datos_base!$I$10+datos_base!$I$24,0))*parametros_manuales!$C$100+parametros_manuales!$F$20*(datos_base!$I$4+datos_base!$I$20+IF(parametros_manuales!$H$20="Todos",datos_base!$I$11+datos_base!$I$25,0))*parametros_manuales!$C$105+parametros_manuales!$G$20*(datos_base!$I$5+datos_base!$I$21+IF(parametros_manuales!$H$20="Todos",datos_base!$I$12+datos_base!$I$26,0))*parametros_manuales!$C$110)*parametros_manuales!$I$20*parametros_manuales!$J$20</f>
        <v>4967.98542152</v>
      </c>
      <c r="D192" s="9" t="n">
        <f aca="false">(parametros_manuales!$D$20*(datos_base!$I$2+datos_base!$I$18+IF(parametros_manuales!$H$20="Todos",datos_base!$I$9+datos_base!$I$23,0))*parametros_manuales!$D$95+parametros_manuales!$E$20*(datos_base!$I$3+datos_base!$I$19+IF(parametros_manuales!$H$20="Todos",datos_base!$I$10+datos_base!$I$24,0))*parametros_manuales!$D$100+parametros_manuales!$F$20*(datos_base!$I$4+datos_base!$I$20+IF(parametros_manuales!$H$20="Todos",datos_base!$I$11+datos_base!$I$25,0))*parametros_manuales!$D$105+parametros_manuales!$G$20*(datos_base!$I$5+datos_base!$I$21+IF(parametros_manuales!$H$20="Todos",datos_base!$I$12+datos_base!$I$26,0))*parametros_manuales!$D$110)*parametros_manuales!$I$20*parametros_manuales!$J$20</f>
        <v>5278.484510365</v>
      </c>
      <c r="E192" s="9" t="n">
        <f aca="false">(parametros_manuales!$D$20*(datos_base!$I$2+datos_base!$I$18+IF(parametros_manuales!$H$20="Todos",datos_base!$I$9+datos_base!$I$23,0))*parametros_manuales!$E$95+parametros_manuales!$E$20*(datos_base!$I$3+datos_base!$I$19+IF(parametros_manuales!$H$20="Todos",datos_base!$I$10+datos_base!$I$24,0))*parametros_manuales!$E$100+parametros_manuales!$F$20*(datos_base!$I$4+datos_base!$I$20+IF(parametros_manuales!$H$20="Todos",datos_base!$I$11+datos_base!$I$25,0))*parametros_manuales!$E$105+parametros_manuales!$G$20*(datos_base!$I$5+datos_base!$I$21+IF(parametros_manuales!$H$20="Todos",datos_base!$I$12+datos_base!$I$26,0))*parametros_manuales!$E$110)*parametros_manuales!$I$20*parametros_manuales!$J$20</f>
        <v>5278.484510365</v>
      </c>
      <c r="F192" s="9" t="n">
        <f aca="false">(parametros_manuales!$D$20*(datos_base!$I$2+datos_base!$I$18+IF(parametros_manuales!$H$20="Todos",datos_base!$I$9+datos_base!$I$23,0))*parametros_manuales!$F$95+parametros_manuales!$E$20*(datos_base!$I$3+datos_base!$I$19+IF(parametros_manuales!$H$20="Todos",datos_base!$I$10+datos_base!$I$24,0))*parametros_manuales!$F$100+parametros_manuales!$F$20*(datos_base!$I$4+datos_base!$I$20+IF(parametros_manuales!$H$20="Todos",datos_base!$I$11+datos_base!$I$25,0))*parametros_manuales!$F$105+parametros_manuales!$G$20*(datos_base!$I$5+datos_base!$I$21+IF(parametros_manuales!$H$20="Todos",datos_base!$I$12+datos_base!$I$26,0))*parametros_manuales!$F$110)*parametros_manuales!$I$20*parametros_manuales!$J$20</f>
        <v>4967.98542152</v>
      </c>
      <c r="G192" s="9" t="n">
        <f aca="false">(parametros_manuales!$D$20*(datos_base!$I$2+datos_base!$I$18+IF(parametros_manuales!$H$20="Todos",datos_base!$I$9+datos_base!$I$23,0))*parametros_manuales!$G$95+parametros_manuales!$E$20*(datos_base!$I$3+datos_base!$I$19+IF(parametros_manuales!$H$20="Todos",datos_base!$I$10+datos_base!$I$24,0))*parametros_manuales!$G$100+parametros_manuales!$F$20*(datos_base!$I$4+datos_base!$I$20+IF(parametros_manuales!$H$20="Todos",datos_base!$I$11+datos_base!$I$25,0))*parametros_manuales!$G$105+parametros_manuales!$G$20*(datos_base!$I$5+datos_base!$I$21+IF(parametros_manuales!$H$20="Todos",datos_base!$I$12+datos_base!$I$26,0))*parametros_manuales!$G$110)*parametros_manuales!$I$20*parametros_manuales!$J$20</f>
        <v>4657.486332675</v>
      </c>
      <c r="H192" s="9" t="n">
        <f aca="false">(parametros_manuales!$D$20*(datos_base!$I$2+datos_base!$I$18+IF(parametros_manuales!$H$20="Todos",datos_base!$I$9+datos_base!$I$23,0))*parametros_manuales!$H$95+parametros_manuales!$E$20*(datos_base!$I$3+datos_base!$I$19+IF(parametros_manuales!$H$20="Todos",datos_base!$I$10+datos_base!$I$24,0))*parametros_manuales!$H$100+parametros_manuales!$F$20*(datos_base!$I$4+datos_base!$I$20+IF(parametros_manuales!$H$20="Todos",datos_base!$I$11+datos_base!$I$25,0))*parametros_manuales!$H$105+parametros_manuales!$G$20*(datos_base!$I$5+datos_base!$I$21+IF(parametros_manuales!$H$20="Todos",datos_base!$I$12+datos_base!$I$26,0))*parametros_manuales!$H$110)*parametros_manuales!$I$20*parametros_manuales!$J$20</f>
        <v>4967.98542152</v>
      </c>
      <c r="I192" s="9" t="n">
        <f aca="false">(parametros_manuales!$D$20*(datos_base!$I$2+datos_base!$I$18+IF(parametros_manuales!$H$20="Todos",datos_base!$I$9+datos_base!$I$23,0))*parametros_manuales!$I$95+parametros_manuales!$E$20*(datos_base!$I$3+datos_base!$I$19+IF(parametros_manuales!$H$20="Todos",datos_base!$I$10+datos_base!$I$24,0))*parametros_manuales!$I$100+parametros_manuales!$F$20*(datos_base!$I$4+datos_base!$I$20+IF(parametros_manuales!$H$20="Todos",datos_base!$I$11+datos_base!$I$25,0))*parametros_manuales!$I$105+parametros_manuales!$G$20*(datos_base!$I$5+datos_base!$I$21+IF(parametros_manuales!$H$20="Todos",datos_base!$I$12+datos_base!$I$26,0))*parametros_manuales!$I$110)*parametros_manuales!$I$20*parametros_manuales!$J$20</f>
        <v>4967.98542152</v>
      </c>
      <c r="J192" s="9" t="n">
        <f aca="false">(parametros_manuales!$D$20*(datos_base!$I$2+datos_base!$I$18+IF(parametros_manuales!$H$20="Todos",datos_base!$I$9+datos_base!$I$23,0))*parametros_manuales!$J$95+parametros_manuales!$E$20*(datos_base!$I$3+datos_base!$I$19+IF(parametros_manuales!$H$20="Todos",datos_base!$I$10+datos_base!$I$24,0))*parametros_manuales!$J$100+parametros_manuales!$F$20*(datos_base!$I$4+datos_base!$I$20+IF(parametros_manuales!$H$20="Todos",datos_base!$I$11+datos_base!$I$25,0))*parametros_manuales!$J$105+parametros_manuales!$G$20*(datos_base!$I$5+datos_base!$I$21+IF(parametros_manuales!$H$20="Todos",datos_base!$I$12+datos_base!$I$26,0))*parametros_manuales!$J$110)*parametros_manuales!$I$20*parametros_manuales!$J$20</f>
        <v>4967.98542152</v>
      </c>
      <c r="K192" s="9" t="n">
        <f aca="false">(parametros_manuales!$D$20*(datos_base!$I$2+datos_base!$I$18+IF(parametros_manuales!$H$20="Todos",datos_base!$I$9+datos_base!$I$23,0))*parametros_manuales!$K$95+parametros_manuales!$E$20*(datos_base!$I$3+datos_base!$I$19+IF(parametros_manuales!$H$20="Todos",datos_base!$I$10+datos_base!$I$24,0))*parametros_manuales!$K$100+parametros_manuales!$F$20*(datos_base!$I$4+datos_base!$I$20+IF(parametros_manuales!$H$20="Todos",datos_base!$I$11+datos_base!$I$25,0))*parametros_manuales!$K$105+parametros_manuales!$G$20*(datos_base!$I$5+datos_base!$I$21+IF(parametros_manuales!$H$20="Todos",datos_base!$I$12+datos_base!$I$26,0))*parametros_manuales!$K$110)*parametros_manuales!$I$20*parametros_manuales!$J$20</f>
        <v>5278.484510365</v>
      </c>
      <c r="L192" s="9" t="n">
        <f aca="false">(parametros_manuales!$D$20*(datos_base!$I$2+datos_base!$I$18+IF(parametros_manuales!$H$20="Todos",datos_base!$I$9+datos_base!$I$23,0))*parametros_manuales!$L$95+parametros_manuales!$E$20*(datos_base!$I$3+datos_base!$I$19+IF(parametros_manuales!$H$20="Todos",datos_base!$I$10+datos_base!$I$24,0))*parametros_manuales!$L$100+parametros_manuales!$F$20*(datos_base!$I$4+datos_base!$I$20+IF(parametros_manuales!$H$20="Todos",datos_base!$I$11+datos_base!$I$25,0))*parametros_manuales!$L$105+parametros_manuales!$G$20*(datos_base!$I$5+datos_base!$I$21+IF(parametros_manuales!$H$20="Todos",datos_base!$I$12+datos_base!$I$26,0))*parametros_manuales!$L$110)*parametros_manuales!$I$20*parametros_manuales!$J$20</f>
        <v>5588.98359921</v>
      </c>
      <c r="M192" s="9" t="n">
        <f aca="false">(parametros_manuales!$D$20*(datos_base!$I$2+datos_base!$I$18+IF(parametros_manuales!$H$20="Todos",datos_base!$I$9+datos_base!$I$23,0))*parametros_manuales!$M$95+parametros_manuales!$E$20*(datos_base!$I$3+datos_base!$I$19+IF(parametros_manuales!$H$20="Todos",datos_base!$I$10+datos_base!$I$24,0))*parametros_manuales!$M$100+parametros_manuales!$F$20*(datos_base!$I$4+datos_base!$I$20+IF(parametros_manuales!$H$20="Todos",datos_base!$I$11+datos_base!$I$25,0))*parametros_manuales!$M$105+parametros_manuales!$G$20*(datos_base!$I$5+datos_base!$I$21+IF(parametros_manuales!$H$20="Todos",datos_base!$I$12+datos_base!$I$26,0))*parametros_manuales!$M$110)*parametros_manuales!$I$20*parametros_manuales!$J$20</f>
        <v>5588.98359921</v>
      </c>
      <c r="N192" s="9" t="n">
        <f aca="false">SUM(B192:M192)</f>
        <v>62099.817769</v>
      </c>
      <c r="O192" s="9" t="n">
        <f aca="false">MAX(B192:M192)</f>
        <v>5588.98359921</v>
      </c>
      <c r="P192" s="43" t="n">
        <f aca="false">O192/(parametros_manuales!$B$7)</f>
        <v>37.2598906614</v>
      </c>
      <c r="Q192" s="8" t="str">
        <f aca="false">IF(O192=0,"-",INDEX($B$190:$M$190,MATCH(O192,B192:M192,0)))</f>
        <v>Ene</v>
      </c>
    </row>
    <row r="193" customFormat="false" ht="14.25" hidden="false" customHeight="true" outlineLevel="0" collapsed="false">
      <c r="A193" s="8" t="str">
        <f aca="false">parametros_manuales!$B$21</f>
        <v>Corte de tubo — 1 kg</v>
      </c>
      <c r="B193" s="9" t="n">
        <f aca="false">(parametros_manuales!$D$21*(datos_base!$I$2+datos_base!$I$18+IF(parametros_manuales!$H$21="Todos",datos_base!$I$9+datos_base!$I$23,0))*parametros_manuales!$B$95+parametros_manuales!$E$21*(datos_base!$I$3+datos_base!$I$19+IF(parametros_manuales!$H$21="Todos",datos_base!$I$10+datos_base!$I$24,0))*parametros_manuales!$B$100+parametros_manuales!$F$21*(datos_base!$I$4+datos_base!$I$20+IF(parametros_manuales!$H$21="Todos",datos_base!$I$11+datos_base!$I$25,0))*parametros_manuales!$B$105+parametros_manuales!$G$21*(datos_base!$I$5+datos_base!$I$21+IF(parametros_manuales!$H$21="Todos",datos_base!$I$12+datos_base!$I$26,0))*parametros_manuales!$B$110)*parametros_manuales!$I$21*parametros_manuales!$J$21</f>
        <v>14051.9770632</v>
      </c>
      <c r="C193" s="9" t="n">
        <f aca="false">(parametros_manuales!$D$21*(datos_base!$I$2+datos_base!$I$18+IF(parametros_manuales!$H$21="Todos",datos_base!$I$9+datos_base!$I$23,0))*parametros_manuales!$C$95+parametros_manuales!$E$21*(datos_base!$I$3+datos_base!$I$19+IF(parametros_manuales!$H$21="Todos",datos_base!$I$10+datos_base!$I$24,0))*parametros_manuales!$C$100+parametros_manuales!$F$21*(datos_base!$I$4+datos_base!$I$20+IF(parametros_manuales!$H$21="Todos",datos_base!$I$11+datos_base!$I$25,0))*parametros_manuales!$C$105+parametros_manuales!$G$21*(datos_base!$I$5+datos_base!$I$21+IF(parametros_manuales!$H$21="Todos",datos_base!$I$12+datos_base!$I$26,0))*parametros_manuales!$C$110)*parametros_manuales!$I$21*parametros_manuales!$J$21</f>
        <v>14051.9770632</v>
      </c>
      <c r="D193" s="9" t="n">
        <f aca="false">(parametros_manuales!$D$21*(datos_base!$I$2+datos_base!$I$18+IF(parametros_manuales!$H$21="Todos",datos_base!$I$9+datos_base!$I$23,0))*parametros_manuales!$D$95+parametros_manuales!$E$21*(datos_base!$I$3+datos_base!$I$19+IF(parametros_manuales!$H$21="Todos",datos_base!$I$10+datos_base!$I$24,0))*parametros_manuales!$D$100+parametros_manuales!$F$21*(datos_base!$I$4+datos_base!$I$20+IF(parametros_manuales!$H$21="Todos",datos_base!$I$11+datos_base!$I$25,0))*parametros_manuales!$D$105+parametros_manuales!$G$21*(datos_base!$I$5+datos_base!$I$21+IF(parametros_manuales!$H$21="Todos",datos_base!$I$12+datos_base!$I$26,0))*parametros_manuales!$D$110)*parametros_manuales!$I$21*parametros_manuales!$J$21</f>
        <v>12490.6462784</v>
      </c>
      <c r="E193" s="9" t="n">
        <f aca="false">(parametros_manuales!$D$21*(datos_base!$I$2+datos_base!$I$18+IF(parametros_manuales!$H$21="Todos",datos_base!$I$9+datos_base!$I$23,0))*parametros_manuales!$E$95+parametros_manuales!$E$21*(datos_base!$I$3+datos_base!$I$19+IF(parametros_manuales!$H$21="Todos",datos_base!$I$10+datos_base!$I$24,0))*parametros_manuales!$E$100+parametros_manuales!$F$21*(datos_base!$I$4+datos_base!$I$20+IF(parametros_manuales!$H$21="Todos",datos_base!$I$11+datos_base!$I$25,0))*parametros_manuales!$E$105+parametros_manuales!$G$21*(datos_base!$I$5+datos_base!$I$21+IF(parametros_manuales!$H$21="Todos",datos_base!$I$12+datos_base!$I$26,0))*parametros_manuales!$E$110)*parametros_manuales!$I$21*parametros_manuales!$J$21</f>
        <v>11709.980886</v>
      </c>
      <c r="F193" s="9" t="n">
        <f aca="false">(parametros_manuales!$D$21*(datos_base!$I$2+datos_base!$I$18+IF(parametros_manuales!$H$21="Todos",datos_base!$I$9+datos_base!$I$23,0))*parametros_manuales!$F$95+parametros_manuales!$E$21*(datos_base!$I$3+datos_base!$I$19+IF(parametros_manuales!$H$21="Todos",datos_base!$I$10+datos_base!$I$24,0))*parametros_manuales!$F$100+parametros_manuales!$F$21*(datos_base!$I$4+datos_base!$I$20+IF(parametros_manuales!$H$21="Todos",datos_base!$I$11+datos_base!$I$25,0))*parametros_manuales!$F$105+parametros_manuales!$G$21*(datos_base!$I$5+datos_base!$I$21+IF(parametros_manuales!$H$21="Todos",datos_base!$I$12+datos_base!$I$26,0))*parametros_manuales!$F$110)*parametros_manuales!$I$21*parametros_manuales!$J$21</f>
        <v>10929.3154936</v>
      </c>
      <c r="G193" s="9" t="n">
        <f aca="false">(parametros_manuales!$D$21*(datos_base!$I$2+datos_base!$I$18+IF(parametros_manuales!$H$21="Todos",datos_base!$I$9+datos_base!$I$23,0))*parametros_manuales!$G$95+parametros_manuales!$E$21*(datos_base!$I$3+datos_base!$I$19+IF(parametros_manuales!$H$21="Todos",datos_base!$I$10+datos_base!$I$24,0))*parametros_manuales!$G$100+parametros_manuales!$F$21*(datos_base!$I$4+datos_base!$I$20+IF(parametros_manuales!$H$21="Todos",datos_base!$I$11+datos_base!$I$25,0))*parametros_manuales!$G$105+parametros_manuales!$G$21*(datos_base!$I$5+datos_base!$I$21+IF(parametros_manuales!$H$21="Todos",datos_base!$I$12+datos_base!$I$26,0))*parametros_manuales!$G$110)*parametros_manuales!$I$21*parametros_manuales!$J$21</f>
        <v>10929.3154936</v>
      </c>
      <c r="H193" s="9" t="n">
        <f aca="false">(parametros_manuales!$D$21*(datos_base!$I$2+datos_base!$I$18+IF(parametros_manuales!$H$21="Todos",datos_base!$I$9+datos_base!$I$23,0))*parametros_manuales!$H$95+parametros_manuales!$E$21*(datos_base!$I$3+datos_base!$I$19+IF(parametros_manuales!$H$21="Todos",datos_base!$I$10+datos_base!$I$24,0))*parametros_manuales!$H$100+parametros_manuales!$F$21*(datos_base!$I$4+datos_base!$I$20+IF(parametros_manuales!$H$21="Todos",datos_base!$I$11+datos_base!$I$25,0))*parametros_manuales!$H$105+parametros_manuales!$G$21*(datos_base!$I$5+datos_base!$I$21+IF(parametros_manuales!$H$21="Todos",datos_base!$I$12+datos_base!$I$26,0))*parametros_manuales!$H$110)*parametros_manuales!$I$21*parametros_manuales!$J$21</f>
        <v>11709.980886</v>
      </c>
      <c r="I193" s="9" t="n">
        <f aca="false">(parametros_manuales!$D$21*(datos_base!$I$2+datos_base!$I$18+IF(parametros_manuales!$H$21="Todos",datos_base!$I$9+datos_base!$I$23,0))*parametros_manuales!$I$95+parametros_manuales!$E$21*(datos_base!$I$3+datos_base!$I$19+IF(parametros_manuales!$H$21="Todos",datos_base!$I$10+datos_base!$I$24,0))*parametros_manuales!$I$100+parametros_manuales!$F$21*(datos_base!$I$4+datos_base!$I$20+IF(parametros_manuales!$H$21="Todos",datos_base!$I$11+datos_base!$I$25,0))*parametros_manuales!$I$105+parametros_manuales!$G$21*(datos_base!$I$5+datos_base!$I$21+IF(parametros_manuales!$H$21="Todos",datos_base!$I$12+datos_base!$I$26,0))*parametros_manuales!$I$110)*parametros_manuales!$I$21*parametros_manuales!$J$21</f>
        <v>14051.9770632</v>
      </c>
      <c r="J193" s="9" t="n">
        <f aca="false">(parametros_manuales!$D$21*(datos_base!$I$2+datos_base!$I$18+IF(parametros_manuales!$H$21="Todos",datos_base!$I$9+datos_base!$I$23,0))*parametros_manuales!$J$95+parametros_manuales!$E$21*(datos_base!$I$3+datos_base!$I$19+IF(parametros_manuales!$H$21="Todos",datos_base!$I$10+datos_base!$I$24,0))*parametros_manuales!$J$100+parametros_manuales!$F$21*(datos_base!$I$4+datos_base!$I$20+IF(parametros_manuales!$H$21="Todos",datos_base!$I$11+datos_base!$I$25,0))*parametros_manuales!$J$105+parametros_manuales!$G$21*(datos_base!$I$5+datos_base!$I$21+IF(parametros_manuales!$H$21="Todos",datos_base!$I$12+datos_base!$I$26,0))*parametros_manuales!$J$110)*parametros_manuales!$I$21*parametros_manuales!$J$21</f>
        <v>14051.9770632</v>
      </c>
      <c r="K193" s="9" t="n">
        <f aca="false">(parametros_manuales!$D$21*(datos_base!$I$2+datos_base!$I$18+IF(parametros_manuales!$H$21="Todos",datos_base!$I$9+datos_base!$I$23,0))*parametros_manuales!$K$95+parametros_manuales!$E$21*(datos_base!$I$3+datos_base!$I$19+IF(parametros_manuales!$H$21="Todos",datos_base!$I$10+datos_base!$I$24,0))*parametros_manuales!$K$100+parametros_manuales!$F$21*(datos_base!$I$4+datos_base!$I$20+IF(parametros_manuales!$H$21="Todos",datos_base!$I$11+datos_base!$I$25,0))*parametros_manuales!$K$105+parametros_manuales!$G$21*(datos_base!$I$5+datos_base!$I$21+IF(parametros_manuales!$H$21="Todos",datos_base!$I$12+datos_base!$I$26,0))*parametros_manuales!$K$110)*parametros_manuales!$I$21*parametros_manuales!$J$21</f>
        <v>14051.9770632</v>
      </c>
      <c r="L193" s="9" t="n">
        <f aca="false">(parametros_manuales!$D$21*(datos_base!$I$2+datos_base!$I$18+IF(parametros_manuales!$H$21="Todos",datos_base!$I$9+datos_base!$I$23,0))*parametros_manuales!$L$95+parametros_manuales!$E$21*(datos_base!$I$3+datos_base!$I$19+IF(parametros_manuales!$H$21="Todos",datos_base!$I$10+datos_base!$I$24,0))*parametros_manuales!$L$100+parametros_manuales!$F$21*(datos_base!$I$4+datos_base!$I$20+IF(parametros_manuales!$H$21="Todos",datos_base!$I$11+datos_base!$I$25,0))*parametros_manuales!$L$105+parametros_manuales!$G$21*(datos_base!$I$5+datos_base!$I$21+IF(parametros_manuales!$H$21="Todos",datos_base!$I$12+datos_base!$I$26,0))*parametros_manuales!$L$110)*parametros_manuales!$I$21*parametros_manuales!$J$21</f>
        <v>14051.9770632</v>
      </c>
      <c r="M193" s="9" t="n">
        <f aca="false">(parametros_manuales!$D$21*(datos_base!$I$2+datos_base!$I$18+IF(parametros_manuales!$H$21="Todos",datos_base!$I$9+datos_base!$I$23,0))*parametros_manuales!$M$95+parametros_manuales!$E$21*(datos_base!$I$3+datos_base!$I$19+IF(parametros_manuales!$H$21="Todos",datos_base!$I$10+datos_base!$I$24,0))*parametros_manuales!$M$100+parametros_manuales!$F$21*(datos_base!$I$4+datos_base!$I$20+IF(parametros_manuales!$H$21="Todos",datos_base!$I$11+datos_base!$I$25,0))*parametros_manuales!$M$105+parametros_manuales!$G$21*(datos_base!$I$5+datos_base!$I$21+IF(parametros_manuales!$H$21="Todos",datos_base!$I$12+datos_base!$I$26,0))*parametros_manuales!$M$110)*parametros_manuales!$I$21*parametros_manuales!$J$21</f>
        <v>14051.9770632</v>
      </c>
      <c r="N193" s="9" t="n">
        <f aca="false">SUM(B193:M193)</f>
        <v>156133.07848</v>
      </c>
      <c r="O193" s="9" t="n">
        <f aca="false">MAX(B193:M193)</f>
        <v>14051.9770632</v>
      </c>
      <c r="P193" s="43" t="n">
        <f aca="false">O193/(parametros_manuales!$B$7)</f>
        <v>93.679847088</v>
      </c>
      <c r="Q193" s="8" t="str">
        <f aca="false">IF(O193=0,"-",INDEX($B$190:$M$190,MATCH(O193,B193:M193,0)))</f>
        <v>Ene</v>
      </c>
    </row>
    <row r="194" customFormat="false" ht="14.25" hidden="false" customHeight="true" outlineLevel="0" collapsed="false">
      <c r="A194" s="8" t="str">
        <f aca="false">parametros_manuales!$B$22</f>
        <v>Corte de disco y embutido (cúpula y fondo)</v>
      </c>
      <c r="B194" s="9" t="n">
        <f aca="false">(parametros_manuales!$D$22*(datos_base!$I$2+datos_base!$I$18+IF(parametros_manuales!$H$22="Todos",datos_base!$I$9+datos_base!$I$23,0))*parametros_manuales!$B$95+parametros_manuales!$E$22*(datos_base!$I$3+datos_base!$I$19+IF(parametros_manuales!$H$22="Todos",datos_base!$I$10+datos_base!$I$24,0))*parametros_manuales!$B$100+parametros_manuales!$F$22*(datos_base!$I$4+datos_base!$I$20+IF(parametros_manuales!$H$22="Todos",datos_base!$I$11+datos_base!$I$25,0))*parametros_manuales!$B$105+parametros_manuales!$G$22*(datos_base!$I$5+datos_base!$I$21+IF(parametros_manuales!$H$22="Todos",datos_base!$I$12+datos_base!$I$26,0))*parametros_manuales!$B$110)*parametros_manuales!$I$22*parametros_manuales!$J$22</f>
        <v>39281.92132482</v>
      </c>
      <c r="C194" s="9" t="n">
        <f aca="false">(parametros_manuales!$D$22*(datos_base!$I$2+datos_base!$I$18+IF(parametros_manuales!$H$22="Todos",datos_base!$I$9+datos_base!$I$23,0))*parametros_manuales!$C$95+parametros_manuales!$E$22*(datos_base!$I$3+datos_base!$I$19+IF(parametros_manuales!$H$22="Todos",datos_base!$I$10+datos_base!$I$24,0))*parametros_manuales!$C$100+parametros_manuales!$F$22*(datos_base!$I$4+datos_base!$I$20+IF(parametros_manuales!$H$22="Todos",datos_base!$I$11+datos_base!$I$25,0))*parametros_manuales!$C$105+parametros_manuales!$G$22*(datos_base!$I$5+datos_base!$I$21+IF(parametros_manuales!$H$22="Todos",datos_base!$I$12+datos_base!$I$26,0))*parametros_manuales!$C$110)*parametros_manuales!$I$22*parametros_manuales!$J$22</f>
        <v>38039.92496944</v>
      </c>
      <c r="D194" s="9" t="n">
        <f aca="false">(parametros_manuales!$D$22*(datos_base!$I$2+datos_base!$I$18+IF(parametros_manuales!$H$22="Todos",datos_base!$I$9+datos_base!$I$23,0))*parametros_manuales!$D$95+parametros_manuales!$E$22*(datos_base!$I$3+datos_base!$I$19+IF(parametros_manuales!$H$22="Todos",datos_base!$I$10+datos_base!$I$24,0))*parametros_manuales!$D$100+parametros_manuales!$F$22*(datos_base!$I$4+datos_base!$I$20+IF(parametros_manuales!$H$22="Todos",datos_base!$I$11+datos_base!$I$25,0))*parametros_manuales!$D$105+parametros_manuales!$G$22*(datos_base!$I$5+datos_base!$I$21+IF(parametros_manuales!$H$22="Todos",datos_base!$I$12+datos_base!$I$26,0))*parametros_manuales!$D$110)*parametros_manuales!$I$22*parametros_manuales!$J$22</f>
        <v>35538.26157753</v>
      </c>
      <c r="E194" s="9" t="n">
        <f aca="false">(parametros_manuales!$D$22*(datos_base!$I$2+datos_base!$I$18+IF(parametros_manuales!$H$22="Todos",datos_base!$I$9+datos_base!$I$23,0))*parametros_manuales!$E$95+parametros_manuales!$E$22*(datos_base!$I$3+datos_base!$I$19+IF(parametros_manuales!$H$22="Todos",datos_base!$I$10+datos_base!$I$24,0))*parametros_manuales!$E$100+parametros_manuales!$F$22*(datos_base!$I$4+datos_base!$I$20+IF(parametros_manuales!$H$22="Todos",datos_base!$I$11+datos_base!$I$25,0))*parametros_manuales!$E$105+parametros_manuales!$G$22*(datos_base!$I$5+datos_base!$I$21+IF(parametros_manuales!$H$22="Todos",datos_base!$I$12+datos_base!$I$26,0))*parametros_manuales!$E$110)*parametros_manuales!$I$22*parametros_manuales!$J$22</f>
        <v>33976.93079273</v>
      </c>
      <c r="F194" s="9" t="n">
        <f aca="false">(parametros_manuales!$D$22*(datos_base!$I$2+datos_base!$I$18+IF(parametros_manuales!$H$22="Todos",datos_base!$I$9+datos_base!$I$23,0))*parametros_manuales!$F$95+parametros_manuales!$E$22*(datos_base!$I$3+datos_base!$I$19+IF(parametros_manuales!$H$22="Todos",datos_base!$I$10+datos_base!$I$24,0))*parametros_manuales!$F$100+parametros_manuales!$F$22*(datos_base!$I$4+datos_base!$I$20+IF(parametros_manuales!$H$22="Todos",datos_base!$I$11+datos_base!$I$25,0))*parametros_manuales!$F$105+parametros_manuales!$G$22*(datos_base!$I$5+datos_base!$I$21+IF(parametros_manuales!$H$22="Todos",datos_base!$I$12+datos_base!$I$26,0))*parametros_manuales!$F$110)*parametros_manuales!$I$22*parametros_manuales!$J$22</f>
        <v>31794.60183024</v>
      </c>
      <c r="G194" s="9" t="n">
        <f aca="false">(parametros_manuales!$D$22*(datos_base!$I$2+datos_base!$I$18+IF(parametros_manuales!$H$22="Todos",datos_base!$I$9+datos_base!$I$23,0))*parametros_manuales!$G$95+parametros_manuales!$E$22*(datos_base!$I$3+datos_base!$I$19+IF(parametros_manuales!$H$22="Todos",datos_base!$I$10+datos_base!$I$24,0))*parametros_manuales!$G$100+parametros_manuales!$F$22*(datos_base!$I$4+datos_base!$I$20+IF(parametros_manuales!$H$22="Todos",datos_base!$I$11+datos_base!$I$25,0))*parametros_manuales!$G$105+parametros_manuales!$G$22*(datos_base!$I$5+datos_base!$I$21+IF(parametros_manuales!$H$22="Todos",datos_base!$I$12+datos_base!$I$26,0))*parametros_manuales!$G$110)*parametros_manuales!$I$22*parametros_manuales!$J$22</f>
        <v>31173.60365255</v>
      </c>
      <c r="H194" s="9" t="n">
        <f aca="false">(parametros_manuales!$D$22*(datos_base!$I$2+datos_base!$I$18+IF(parametros_manuales!$H$22="Todos",datos_base!$I$9+datos_base!$I$23,0))*parametros_manuales!$H$95+parametros_manuales!$E$22*(datos_base!$I$3+datos_base!$I$19+IF(parametros_manuales!$H$22="Todos",datos_base!$I$10+datos_base!$I$24,0))*parametros_manuales!$H$100+parametros_manuales!$F$22*(datos_base!$I$4+datos_base!$I$20+IF(parametros_manuales!$H$22="Todos",datos_base!$I$11+datos_base!$I$25,0))*parametros_manuales!$H$105+parametros_manuales!$G$22*(datos_base!$I$5+datos_base!$I$21+IF(parametros_manuales!$H$22="Todos",datos_base!$I$12+datos_base!$I$26,0))*parametros_manuales!$H$110)*parametros_manuales!$I$22*parametros_manuales!$J$22</f>
        <v>33355.93261504</v>
      </c>
      <c r="I194" s="9" t="n">
        <f aca="false">(parametros_manuales!$D$22*(datos_base!$I$2+datos_base!$I$18+IF(parametros_manuales!$H$22="Todos",datos_base!$I$9+datos_base!$I$23,0))*parametros_manuales!$I$95+parametros_manuales!$E$22*(datos_base!$I$3+datos_base!$I$19+IF(parametros_manuales!$H$22="Todos",datos_base!$I$10+datos_base!$I$24,0))*parametros_manuales!$I$100+parametros_manuales!$F$22*(datos_base!$I$4+datos_base!$I$20+IF(parametros_manuales!$H$22="Todos",datos_base!$I$11+datos_base!$I$25,0))*parametros_manuales!$I$105+parametros_manuales!$G$22*(datos_base!$I$5+datos_base!$I$21+IF(parametros_manuales!$H$22="Todos",datos_base!$I$12+datos_base!$I$26,0))*parametros_manuales!$I$110)*parametros_manuales!$I$22*parametros_manuales!$J$22</f>
        <v>38039.92496944</v>
      </c>
      <c r="J194" s="9" t="n">
        <f aca="false">(parametros_manuales!$D$22*(datos_base!$I$2+datos_base!$I$18+IF(parametros_manuales!$H$22="Todos",datos_base!$I$9+datos_base!$I$23,0))*parametros_manuales!$J$95+parametros_manuales!$E$22*(datos_base!$I$3+datos_base!$I$19+IF(parametros_manuales!$H$22="Todos",datos_base!$I$10+datos_base!$I$24,0))*parametros_manuales!$J$100+parametros_manuales!$F$22*(datos_base!$I$4+datos_base!$I$20+IF(parametros_manuales!$H$22="Todos",datos_base!$I$11+datos_base!$I$25,0))*parametros_manuales!$J$105+parametros_manuales!$G$22*(datos_base!$I$5+datos_base!$I$21+IF(parametros_manuales!$H$22="Todos",datos_base!$I$12+datos_base!$I$26,0))*parametros_manuales!$J$110)*parametros_manuales!$I$22*parametros_manuales!$J$22</f>
        <v>38039.92496944</v>
      </c>
      <c r="K194" s="9" t="n">
        <f aca="false">(parametros_manuales!$D$22*(datos_base!$I$2+datos_base!$I$18+IF(parametros_manuales!$H$22="Todos",datos_base!$I$9+datos_base!$I$23,0))*parametros_manuales!$K$95+parametros_manuales!$E$22*(datos_base!$I$3+datos_base!$I$19+IF(parametros_manuales!$H$22="Todos",datos_base!$I$10+datos_base!$I$24,0))*parametros_manuales!$K$100+parametros_manuales!$F$22*(datos_base!$I$4+datos_base!$I$20+IF(parametros_manuales!$H$22="Todos",datos_base!$I$11+datos_base!$I$25,0))*parametros_manuales!$K$105+parametros_manuales!$G$22*(datos_base!$I$5+datos_base!$I$21+IF(parametros_manuales!$H$22="Todos",datos_base!$I$12+datos_base!$I$26,0))*parametros_manuales!$K$110)*parametros_manuales!$I$22*parametros_manuales!$J$22</f>
        <v>38660.92314713</v>
      </c>
      <c r="L194" s="9" t="n">
        <f aca="false">(parametros_manuales!$D$22*(datos_base!$I$2+datos_base!$I$18+IF(parametros_manuales!$H$22="Todos",datos_base!$I$9+datos_base!$I$23,0))*parametros_manuales!$L$95+parametros_manuales!$E$22*(datos_base!$I$3+datos_base!$I$19+IF(parametros_manuales!$H$22="Todos",datos_base!$I$10+datos_base!$I$24,0))*parametros_manuales!$L$100+parametros_manuales!$F$22*(datos_base!$I$4+datos_base!$I$20+IF(parametros_manuales!$H$22="Todos",datos_base!$I$11+datos_base!$I$25,0))*parametros_manuales!$L$105+parametros_manuales!$G$22*(datos_base!$I$5+datos_base!$I$21+IF(parametros_manuales!$H$22="Todos",datos_base!$I$12+datos_base!$I$26,0))*parametros_manuales!$L$110)*parametros_manuales!$I$22*parametros_manuales!$J$22</f>
        <v>39281.92132482</v>
      </c>
      <c r="M194" s="9" t="n">
        <f aca="false">(parametros_manuales!$D$22*(datos_base!$I$2+datos_base!$I$18+IF(parametros_manuales!$H$22="Todos",datos_base!$I$9+datos_base!$I$23,0))*parametros_manuales!$M$95+parametros_manuales!$E$22*(datos_base!$I$3+datos_base!$I$19+IF(parametros_manuales!$H$22="Todos",datos_base!$I$10+datos_base!$I$24,0))*parametros_manuales!$M$100+parametros_manuales!$F$22*(datos_base!$I$4+datos_base!$I$20+IF(parametros_manuales!$H$22="Todos",datos_base!$I$11+datos_base!$I$25,0))*parametros_manuales!$M$105+parametros_manuales!$G$22*(datos_base!$I$5+datos_base!$I$21+IF(parametros_manuales!$H$22="Todos",datos_base!$I$12+datos_base!$I$26,0))*parametros_manuales!$M$110)*parametros_manuales!$I$22*parametros_manuales!$J$22</f>
        <v>39281.92132482</v>
      </c>
      <c r="N194" s="9" t="n">
        <f aca="false">SUM(B194:M194)</f>
        <v>436465.792498</v>
      </c>
      <c r="O194" s="9" t="n">
        <f aca="false">MAX(B194:M194)</f>
        <v>39281.92132482</v>
      </c>
      <c r="P194" s="43" t="n">
        <f aca="false">O194/(parametros_manuales!$B$7)</f>
        <v>261.8794754988</v>
      </c>
      <c r="Q194" s="8" t="str">
        <f aca="false">IF(O194=0,"-",INDEX($B$190:$M$190,MATCH(O194,B194:M194,0)))</f>
        <v>Ene</v>
      </c>
    </row>
    <row r="195" customFormat="false" ht="14.25" hidden="false" customHeight="true" outlineLevel="0" collapsed="false">
      <c r="A195" s="8" t="str">
        <f aca="false">parametros_manuales!$B$23</f>
        <v>Preparación de cuello</v>
      </c>
      <c r="B195" s="9" t="n">
        <f aca="false">(parametros_manuales!$D$23*(datos_base!$I$2+datos_base!$I$18+IF(parametros_manuales!$H$23="Todos",datos_base!$I$9+datos_base!$I$23,0))*parametros_manuales!$B$95+parametros_manuales!$E$23*(datos_base!$I$3+datos_base!$I$19+IF(parametros_manuales!$H$23="Todos",datos_base!$I$10+datos_base!$I$24,0))*parametros_manuales!$B$100+parametros_manuales!$F$23*(datos_base!$I$4+datos_base!$I$20+IF(parametros_manuales!$H$23="Todos",datos_base!$I$11+datos_base!$I$25,0))*parametros_manuales!$B$105+parametros_manuales!$G$23*(datos_base!$I$5+datos_base!$I$21+IF(parametros_manuales!$H$23="Todos",datos_base!$I$12+datos_base!$I$26,0))*parametros_manuales!$B$110)*parametros_manuales!$I$23*parametros_manuales!$J$23</f>
        <v>19640.96066241</v>
      </c>
      <c r="C195" s="9" t="n">
        <f aca="false">(parametros_manuales!$D$23*(datos_base!$I$2+datos_base!$I$18+IF(parametros_manuales!$H$23="Todos",datos_base!$I$9+datos_base!$I$23,0))*parametros_manuales!$C$95+parametros_manuales!$E$23*(datos_base!$I$3+datos_base!$I$19+IF(parametros_manuales!$H$23="Todos",datos_base!$I$10+datos_base!$I$24,0))*parametros_manuales!$C$100+parametros_manuales!$F$23*(datos_base!$I$4+datos_base!$I$20+IF(parametros_manuales!$H$23="Todos",datos_base!$I$11+datos_base!$I$25,0))*parametros_manuales!$C$105+parametros_manuales!$G$23*(datos_base!$I$5+datos_base!$I$21+IF(parametros_manuales!$H$23="Todos",datos_base!$I$12+datos_base!$I$26,0))*parametros_manuales!$C$110)*parametros_manuales!$I$23*parametros_manuales!$J$23</f>
        <v>19019.96248472</v>
      </c>
      <c r="D195" s="9" t="n">
        <f aca="false">(parametros_manuales!$D$23*(datos_base!$I$2+datos_base!$I$18+IF(parametros_manuales!$H$23="Todos",datos_base!$I$9+datos_base!$I$23,0))*parametros_manuales!$D$95+parametros_manuales!$E$23*(datos_base!$I$3+datos_base!$I$19+IF(parametros_manuales!$H$23="Todos",datos_base!$I$10+datos_base!$I$24,0))*parametros_manuales!$D$100+parametros_manuales!$F$23*(datos_base!$I$4+datos_base!$I$20+IF(parametros_manuales!$H$23="Todos",datos_base!$I$11+datos_base!$I$25,0))*parametros_manuales!$D$105+parametros_manuales!$G$23*(datos_base!$I$5+datos_base!$I$21+IF(parametros_manuales!$H$23="Todos",datos_base!$I$12+datos_base!$I$26,0))*parametros_manuales!$D$110)*parametros_manuales!$I$23*parametros_manuales!$J$23</f>
        <v>17769.130788765</v>
      </c>
      <c r="E195" s="9" t="n">
        <f aca="false">(parametros_manuales!$D$23*(datos_base!$I$2+datos_base!$I$18+IF(parametros_manuales!$H$23="Todos",datos_base!$I$9+datos_base!$I$23,0))*parametros_manuales!$E$95+parametros_manuales!$E$23*(datos_base!$I$3+datos_base!$I$19+IF(parametros_manuales!$H$23="Todos",datos_base!$I$10+datos_base!$I$24,0))*parametros_manuales!$E$100+parametros_manuales!$F$23*(datos_base!$I$4+datos_base!$I$20+IF(parametros_manuales!$H$23="Todos",datos_base!$I$11+datos_base!$I$25,0))*parametros_manuales!$E$105+parametros_manuales!$G$23*(datos_base!$I$5+datos_base!$I$21+IF(parametros_manuales!$H$23="Todos",datos_base!$I$12+datos_base!$I$26,0))*parametros_manuales!$E$110)*parametros_manuales!$I$23*parametros_manuales!$J$23</f>
        <v>16988.465396365</v>
      </c>
      <c r="F195" s="9" t="n">
        <f aca="false">(parametros_manuales!$D$23*(datos_base!$I$2+datos_base!$I$18+IF(parametros_manuales!$H$23="Todos",datos_base!$I$9+datos_base!$I$23,0))*parametros_manuales!$F$95+parametros_manuales!$E$23*(datos_base!$I$3+datos_base!$I$19+IF(parametros_manuales!$H$23="Todos",datos_base!$I$10+datos_base!$I$24,0))*parametros_manuales!$F$100+parametros_manuales!$F$23*(datos_base!$I$4+datos_base!$I$20+IF(parametros_manuales!$H$23="Todos",datos_base!$I$11+datos_base!$I$25,0))*parametros_manuales!$F$105+parametros_manuales!$G$23*(datos_base!$I$5+datos_base!$I$21+IF(parametros_manuales!$H$23="Todos",datos_base!$I$12+datos_base!$I$26,0))*parametros_manuales!$F$110)*parametros_manuales!$I$23*parametros_manuales!$J$23</f>
        <v>15897.30091512</v>
      </c>
      <c r="G195" s="9" t="n">
        <f aca="false">(parametros_manuales!$D$23*(datos_base!$I$2+datos_base!$I$18+IF(parametros_manuales!$H$23="Todos",datos_base!$I$9+datos_base!$I$23,0))*parametros_manuales!$G$95+parametros_manuales!$E$23*(datos_base!$I$3+datos_base!$I$19+IF(parametros_manuales!$H$23="Todos",datos_base!$I$10+datos_base!$I$24,0))*parametros_manuales!$G$100+parametros_manuales!$F$23*(datos_base!$I$4+datos_base!$I$20+IF(parametros_manuales!$H$23="Todos",datos_base!$I$11+datos_base!$I$25,0))*parametros_manuales!$G$105+parametros_manuales!$G$23*(datos_base!$I$5+datos_base!$I$21+IF(parametros_manuales!$H$23="Todos",datos_base!$I$12+datos_base!$I$26,0))*parametros_manuales!$G$110)*parametros_manuales!$I$23*parametros_manuales!$J$23</f>
        <v>15586.801826275</v>
      </c>
      <c r="H195" s="9" t="n">
        <f aca="false">(parametros_manuales!$D$23*(datos_base!$I$2+datos_base!$I$18+IF(parametros_manuales!$H$23="Todos",datos_base!$I$9+datos_base!$I$23,0))*parametros_manuales!$H$95+parametros_manuales!$E$23*(datos_base!$I$3+datos_base!$I$19+IF(parametros_manuales!$H$23="Todos",datos_base!$I$10+datos_base!$I$24,0))*parametros_manuales!$H$100+parametros_manuales!$F$23*(datos_base!$I$4+datos_base!$I$20+IF(parametros_manuales!$H$23="Todos",datos_base!$I$11+datos_base!$I$25,0))*parametros_manuales!$H$105+parametros_manuales!$G$23*(datos_base!$I$5+datos_base!$I$21+IF(parametros_manuales!$H$23="Todos",datos_base!$I$12+datos_base!$I$26,0))*parametros_manuales!$H$110)*parametros_manuales!$I$23*parametros_manuales!$J$23</f>
        <v>16677.96630752</v>
      </c>
      <c r="I195" s="9" t="n">
        <f aca="false">(parametros_manuales!$D$23*(datos_base!$I$2+datos_base!$I$18+IF(parametros_manuales!$H$23="Todos",datos_base!$I$9+datos_base!$I$23,0))*parametros_manuales!$I$95+parametros_manuales!$E$23*(datos_base!$I$3+datos_base!$I$19+IF(parametros_manuales!$H$23="Todos",datos_base!$I$10+datos_base!$I$24,0))*parametros_manuales!$I$100+parametros_manuales!$F$23*(datos_base!$I$4+datos_base!$I$20+IF(parametros_manuales!$H$23="Todos",datos_base!$I$11+datos_base!$I$25,0))*parametros_manuales!$I$105+parametros_manuales!$G$23*(datos_base!$I$5+datos_base!$I$21+IF(parametros_manuales!$H$23="Todos",datos_base!$I$12+datos_base!$I$26,0))*parametros_manuales!$I$110)*parametros_manuales!$I$23*parametros_manuales!$J$23</f>
        <v>19019.96248472</v>
      </c>
      <c r="J195" s="9" t="n">
        <f aca="false">(parametros_manuales!$D$23*(datos_base!$I$2+datos_base!$I$18+IF(parametros_manuales!$H$23="Todos",datos_base!$I$9+datos_base!$I$23,0))*parametros_manuales!$J$95+parametros_manuales!$E$23*(datos_base!$I$3+datos_base!$I$19+IF(parametros_manuales!$H$23="Todos",datos_base!$I$10+datos_base!$I$24,0))*parametros_manuales!$J$100+parametros_manuales!$F$23*(datos_base!$I$4+datos_base!$I$20+IF(parametros_manuales!$H$23="Todos",datos_base!$I$11+datos_base!$I$25,0))*parametros_manuales!$J$105+parametros_manuales!$G$23*(datos_base!$I$5+datos_base!$I$21+IF(parametros_manuales!$H$23="Todos",datos_base!$I$12+datos_base!$I$26,0))*parametros_manuales!$J$110)*parametros_manuales!$I$23*parametros_manuales!$J$23</f>
        <v>19019.96248472</v>
      </c>
      <c r="K195" s="9" t="n">
        <f aca="false">(parametros_manuales!$D$23*(datos_base!$I$2+datos_base!$I$18+IF(parametros_manuales!$H$23="Todos",datos_base!$I$9+datos_base!$I$23,0))*parametros_manuales!$K$95+parametros_manuales!$E$23*(datos_base!$I$3+datos_base!$I$19+IF(parametros_manuales!$H$23="Todos",datos_base!$I$10+datos_base!$I$24,0))*parametros_manuales!$K$100+parametros_manuales!$F$23*(datos_base!$I$4+datos_base!$I$20+IF(parametros_manuales!$H$23="Todos",datos_base!$I$11+datos_base!$I$25,0))*parametros_manuales!$K$105+parametros_manuales!$G$23*(datos_base!$I$5+datos_base!$I$21+IF(parametros_manuales!$H$23="Todos",datos_base!$I$12+datos_base!$I$26,0))*parametros_manuales!$K$110)*parametros_manuales!$I$23*parametros_manuales!$J$23</f>
        <v>19330.461573565</v>
      </c>
      <c r="L195" s="9" t="n">
        <f aca="false">(parametros_manuales!$D$23*(datos_base!$I$2+datos_base!$I$18+IF(parametros_manuales!$H$23="Todos",datos_base!$I$9+datos_base!$I$23,0))*parametros_manuales!$L$95+parametros_manuales!$E$23*(datos_base!$I$3+datos_base!$I$19+IF(parametros_manuales!$H$23="Todos",datos_base!$I$10+datos_base!$I$24,0))*parametros_manuales!$L$100+parametros_manuales!$F$23*(datos_base!$I$4+datos_base!$I$20+IF(parametros_manuales!$H$23="Todos",datos_base!$I$11+datos_base!$I$25,0))*parametros_manuales!$L$105+parametros_manuales!$G$23*(datos_base!$I$5+datos_base!$I$21+IF(parametros_manuales!$H$23="Todos",datos_base!$I$12+datos_base!$I$26,0))*parametros_manuales!$L$110)*parametros_manuales!$I$23*parametros_manuales!$J$23</f>
        <v>19640.96066241</v>
      </c>
      <c r="M195" s="9" t="n">
        <f aca="false">(parametros_manuales!$D$23*(datos_base!$I$2+datos_base!$I$18+IF(parametros_manuales!$H$23="Todos",datos_base!$I$9+datos_base!$I$23,0))*parametros_manuales!$M$95+parametros_manuales!$E$23*(datos_base!$I$3+datos_base!$I$19+IF(parametros_manuales!$H$23="Todos",datos_base!$I$10+datos_base!$I$24,0))*parametros_manuales!$M$100+parametros_manuales!$F$23*(datos_base!$I$4+datos_base!$I$20+IF(parametros_manuales!$H$23="Todos",datos_base!$I$11+datos_base!$I$25,0))*parametros_manuales!$M$105+parametros_manuales!$G$23*(datos_base!$I$5+datos_base!$I$21+IF(parametros_manuales!$H$23="Todos",datos_base!$I$12+datos_base!$I$26,0))*parametros_manuales!$M$110)*parametros_manuales!$I$23*parametros_manuales!$J$23</f>
        <v>19640.96066241</v>
      </c>
      <c r="N195" s="9" t="n">
        <f aca="false">SUM(B195:M195)</f>
        <v>218232.896249</v>
      </c>
      <c r="O195" s="9" t="n">
        <f aca="false">MAX(B195:M195)</f>
        <v>19640.96066241</v>
      </c>
      <c r="P195" s="43" t="n">
        <f aca="false">O195/(parametros_manuales!$B$7)</f>
        <v>130.9397377494</v>
      </c>
      <c r="Q195" s="8" t="str">
        <f aca="false">IF(O195=0,"-",INDEX($B$190:$M$190,MATCH(O195,B195:M195,0)))</f>
        <v>Ene</v>
      </c>
    </row>
    <row r="196" customFormat="false" ht="14.25" hidden="false" customHeight="true" outlineLevel="0" collapsed="false">
      <c r="A196" s="8" t="str">
        <f aca="false">parametros_manuales!$B$24</f>
        <v>Numerado de cúpula</v>
      </c>
      <c r="B196" s="9" t="n">
        <f aca="false">(parametros_manuales!$D$24*(datos_base!$I$2+datos_base!$I$18+IF(parametros_manuales!$H$24="Todos",datos_base!$I$9+datos_base!$I$23,0))*parametros_manuales!$B$95+parametros_manuales!$E$24*(datos_base!$I$3+datos_base!$I$19+IF(parametros_manuales!$H$24="Todos",datos_base!$I$10+datos_base!$I$24,0))*parametros_manuales!$B$100+parametros_manuales!$F$24*(datos_base!$I$4+datos_base!$I$20+IF(parametros_manuales!$H$24="Todos",datos_base!$I$11+datos_base!$I$25,0))*parametros_manuales!$B$105+parametros_manuales!$G$24*(datos_base!$I$5+datos_base!$I$21+IF(parametros_manuales!$H$24="Todos",datos_base!$I$12+datos_base!$I$26,0))*parametros_manuales!$B$110)*parametros_manuales!$I$24*parametros_manuales!$J$24</f>
        <v>19640.96066241</v>
      </c>
      <c r="C196" s="9" t="n">
        <f aca="false">(parametros_manuales!$D$24*(datos_base!$I$2+datos_base!$I$18+IF(parametros_manuales!$H$24="Todos",datos_base!$I$9+datos_base!$I$23,0))*parametros_manuales!$C$95+parametros_manuales!$E$24*(datos_base!$I$3+datos_base!$I$19+IF(parametros_manuales!$H$24="Todos",datos_base!$I$10+datos_base!$I$24,0))*parametros_manuales!$C$100+parametros_manuales!$F$24*(datos_base!$I$4+datos_base!$I$20+IF(parametros_manuales!$H$24="Todos",datos_base!$I$11+datos_base!$I$25,0))*parametros_manuales!$C$105+parametros_manuales!$G$24*(datos_base!$I$5+datos_base!$I$21+IF(parametros_manuales!$H$24="Todos",datos_base!$I$12+datos_base!$I$26,0))*parametros_manuales!$C$110)*parametros_manuales!$I$24*parametros_manuales!$J$24</f>
        <v>19019.96248472</v>
      </c>
      <c r="D196" s="9" t="n">
        <f aca="false">(parametros_manuales!$D$24*(datos_base!$I$2+datos_base!$I$18+IF(parametros_manuales!$H$24="Todos",datos_base!$I$9+datos_base!$I$23,0))*parametros_manuales!$D$95+parametros_manuales!$E$24*(datos_base!$I$3+datos_base!$I$19+IF(parametros_manuales!$H$24="Todos",datos_base!$I$10+datos_base!$I$24,0))*parametros_manuales!$D$100+parametros_manuales!$F$24*(datos_base!$I$4+datos_base!$I$20+IF(parametros_manuales!$H$24="Todos",datos_base!$I$11+datos_base!$I$25,0))*parametros_manuales!$D$105+parametros_manuales!$G$24*(datos_base!$I$5+datos_base!$I$21+IF(parametros_manuales!$H$24="Todos",datos_base!$I$12+datos_base!$I$26,0))*parametros_manuales!$D$110)*parametros_manuales!$I$24*parametros_manuales!$J$24</f>
        <v>17769.130788765</v>
      </c>
      <c r="E196" s="9" t="n">
        <f aca="false">(parametros_manuales!$D$24*(datos_base!$I$2+datos_base!$I$18+IF(parametros_manuales!$H$24="Todos",datos_base!$I$9+datos_base!$I$23,0))*parametros_manuales!$E$95+parametros_manuales!$E$24*(datos_base!$I$3+datos_base!$I$19+IF(parametros_manuales!$H$24="Todos",datos_base!$I$10+datos_base!$I$24,0))*parametros_manuales!$E$100+parametros_manuales!$F$24*(datos_base!$I$4+datos_base!$I$20+IF(parametros_manuales!$H$24="Todos",datos_base!$I$11+datos_base!$I$25,0))*parametros_manuales!$E$105+parametros_manuales!$G$24*(datos_base!$I$5+datos_base!$I$21+IF(parametros_manuales!$H$24="Todos",datos_base!$I$12+datos_base!$I$26,0))*parametros_manuales!$E$110)*parametros_manuales!$I$24*parametros_manuales!$J$24</f>
        <v>16988.465396365</v>
      </c>
      <c r="F196" s="9" t="n">
        <f aca="false">(parametros_manuales!$D$24*(datos_base!$I$2+datos_base!$I$18+IF(parametros_manuales!$H$24="Todos",datos_base!$I$9+datos_base!$I$23,0))*parametros_manuales!$F$95+parametros_manuales!$E$24*(datos_base!$I$3+datos_base!$I$19+IF(parametros_manuales!$H$24="Todos",datos_base!$I$10+datos_base!$I$24,0))*parametros_manuales!$F$100+parametros_manuales!$F$24*(datos_base!$I$4+datos_base!$I$20+IF(parametros_manuales!$H$24="Todos",datos_base!$I$11+datos_base!$I$25,0))*parametros_manuales!$F$105+parametros_manuales!$G$24*(datos_base!$I$5+datos_base!$I$21+IF(parametros_manuales!$H$24="Todos",datos_base!$I$12+datos_base!$I$26,0))*parametros_manuales!$F$110)*parametros_manuales!$I$24*parametros_manuales!$J$24</f>
        <v>15897.30091512</v>
      </c>
      <c r="G196" s="9" t="n">
        <f aca="false">(parametros_manuales!$D$24*(datos_base!$I$2+datos_base!$I$18+IF(parametros_manuales!$H$24="Todos",datos_base!$I$9+datos_base!$I$23,0))*parametros_manuales!$G$95+parametros_manuales!$E$24*(datos_base!$I$3+datos_base!$I$19+IF(parametros_manuales!$H$24="Todos",datos_base!$I$10+datos_base!$I$24,0))*parametros_manuales!$G$100+parametros_manuales!$F$24*(datos_base!$I$4+datos_base!$I$20+IF(parametros_manuales!$H$24="Todos",datos_base!$I$11+datos_base!$I$25,0))*parametros_manuales!$G$105+parametros_manuales!$G$24*(datos_base!$I$5+datos_base!$I$21+IF(parametros_manuales!$H$24="Todos",datos_base!$I$12+datos_base!$I$26,0))*parametros_manuales!$G$110)*parametros_manuales!$I$24*parametros_manuales!$J$24</f>
        <v>15586.801826275</v>
      </c>
      <c r="H196" s="9" t="n">
        <f aca="false">(parametros_manuales!$D$24*(datos_base!$I$2+datos_base!$I$18+IF(parametros_manuales!$H$24="Todos",datos_base!$I$9+datos_base!$I$23,0))*parametros_manuales!$H$95+parametros_manuales!$E$24*(datos_base!$I$3+datos_base!$I$19+IF(parametros_manuales!$H$24="Todos",datos_base!$I$10+datos_base!$I$24,0))*parametros_manuales!$H$100+parametros_manuales!$F$24*(datos_base!$I$4+datos_base!$I$20+IF(parametros_manuales!$H$24="Todos",datos_base!$I$11+datos_base!$I$25,0))*parametros_manuales!$H$105+parametros_manuales!$G$24*(datos_base!$I$5+datos_base!$I$21+IF(parametros_manuales!$H$24="Todos",datos_base!$I$12+datos_base!$I$26,0))*parametros_manuales!$H$110)*parametros_manuales!$I$24*parametros_manuales!$J$24</f>
        <v>16677.96630752</v>
      </c>
      <c r="I196" s="9" t="n">
        <f aca="false">(parametros_manuales!$D$24*(datos_base!$I$2+datos_base!$I$18+IF(parametros_manuales!$H$24="Todos",datos_base!$I$9+datos_base!$I$23,0))*parametros_manuales!$I$95+parametros_manuales!$E$24*(datos_base!$I$3+datos_base!$I$19+IF(parametros_manuales!$H$24="Todos",datos_base!$I$10+datos_base!$I$24,0))*parametros_manuales!$I$100+parametros_manuales!$F$24*(datos_base!$I$4+datos_base!$I$20+IF(parametros_manuales!$H$24="Todos",datos_base!$I$11+datos_base!$I$25,0))*parametros_manuales!$I$105+parametros_manuales!$G$24*(datos_base!$I$5+datos_base!$I$21+IF(parametros_manuales!$H$24="Todos",datos_base!$I$12+datos_base!$I$26,0))*parametros_manuales!$I$110)*parametros_manuales!$I$24*parametros_manuales!$J$24</f>
        <v>19019.96248472</v>
      </c>
      <c r="J196" s="9" t="n">
        <f aca="false">(parametros_manuales!$D$24*(datos_base!$I$2+datos_base!$I$18+IF(parametros_manuales!$H$24="Todos",datos_base!$I$9+datos_base!$I$23,0))*parametros_manuales!$J$95+parametros_manuales!$E$24*(datos_base!$I$3+datos_base!$I$19+IF(parametros_manuales!$H$24="Todos",datos_base!$I$10+datos_base!$I$24,0))*parametros_manuales!$J$100+parametros_manuales!$F$24*(datos_base!$I$4+datos_base!$I$20+IF(parametros_manuales!$H$24="Todos",datos_base!$I$11+datos_base!$I$25,0))*parametros_manuales!$J$105+parametros_manuales!$G$24*(datos_base!$I$5+datos_base!$I$21+IF(parametros_manuales!$H$24="Todos",datos_base!$I$12+datos_base!$I$26,0))*parametros_manuales!$J$110)*parametros_manuales!$I$24*parametros_manuales!$J$24</f>
        <v>19019.96248472</v>
      </c>
      <c r="K196" s="9" t="n">
        <f aca="false">(parametros_manuales!$D$24*(datos_base!$I$2+datos_base!$I$18+IF(parametros_manuales!$H$24="Todos",datos_base!$I$9+datos_base!$I$23,0))*parametros_manuales!$K$95+parametros_manuales!$E$24*(datos_base!$I$3+datos_base!$I$19+IF(parametros_manuales!$H$24="Todos",datos_base!$I$10+datos_base!$I$24,0))*parametros_manuales!$K$100+parametros_manuales!$F$24*(datos_base!$I$4+datos_base!$I$20+IF(parametros_manuales!$H$24="Todos",datos_base!$I$11+datos_base!$I$25,0))*parametros_manuales!$K$105+parametros_manuales!$G$24*(datos_base!$I$5+datos_base!$I$21+IF(parametros_manuales!$H$24="Todos",datos_base!$I$12+datos_base!$I$26,0))*parametros_manuales!$K$110)*parametros_manuales!$I$24*parametros_manuales!$J$24</f>
        <v>19330.461573565</v>
      </c>
      <c r="L196" s="9" t="n">
        <f aca="false">(parametros_manuales!$D$24*(datos_base!$I$2+datos_base!$I$18+IF(parametros_manuales!$H$24="Todos",datos_base!$I$9+datos_base!$I$23,0))*parametros_manuales!$L$95+parametros_manuales!$E$24*(datos_base!$I$3+datos_base!$I$19+IF(parametros_manuales!$H$24="Todos",datos_base!$I$10+datos_base!$I$24,0))*parametros_manuales!$L$100+parametros_manuales!$F$24*(datos_base!$I$4+datos_base!$I$20+IF(parametros_manuales!$H$24="Todos",datos_base!$I$11+datos_base!$I$25,0))*parametros_manuales!$L$105+parametros_manuales!$G$24*(datos_base!$I$5+datos_base!$I$21+IF(parametros_manuales!$H$24="Todos",datos_base!$I$12+datos_base!$I$26,0))*parametros_manuales!$L$110)*parametros_manuales!$I$24*parametros_manuales!$J$24</f>
        <v>19640.96066241</v>
      </c>
      <c r="M196" s="9" t="n">
        <f aca="false">(parametros_manuales!$D$24*(datos_base!$I$2+datos_base!$I$18+IF(parametros_manuales!$H$24="Todos",datos_base!$I$9+datos_base!$I$23,0))*parametros_manuales!$M$95+parametros_manuales!$E$24*(datos_base!$I$3+datos_base!$I$19+IF(parametros_manuales!$H$24="Todos",datos_base!$I$10+datos_base!$I$24,0))*parametros_manuales!$M$100+parametros_manuales!$F$24*(datos_base!$I$4+datos_base!$I$20+IF(parametros_manuales!$H$24="Todos",datos_base!$I$11+datos_base!$I$25,0))*parametros_manuales!$M$105+parametros_manuales!$G$24*(datos_base!$I$5+datos_base!$I$21+IF(parametros_manuales!$H$24="Todos",datos_base!$I$12+datos_base!$I$26,0))*parametros_manuales!$M$110)*parametros_manuales!$I$24*parametros_manuales!$J$24</f>
        <v>19640.96066241</v>
      </c>
      <c r="N196" s="9" t="n">
        <f aca="false">SUM(B196:M196)</f>
        <v>218232.896249</v>
      </c>
      <c r="O196" s="9" t="n">
        <f aca="false">MAX(B196:M196)</f>
        <v>19640.96066241</v>
      </c>
      <c r="P196" s="43" t="n">
        <f aca="false">O196/(parametros_manuales!$B$7)</f>
        <v>130.9397377494</v>
      </c>
      <c r="Q196" s="8" t="str">
        <f aca="false">IF(O196=0,"-",INDEX($B$190:$M$190,MATCH(O196,B196:M196,0)))</f>
        <v>Ene</v>
      </c>
    </row>
    <row r="197" customFormat="false" ht="14.25" hidden="false" customHeight="true" outlineLevel="0" collapsed="false">
      <c r="A197" s="8" t="str">
        <f aca="false">parametros_manuales!$B$25</f>
        <v>Soldadura del cuello a la cúpula</v>
      </c>
      <c r="B197" s="9" t="n">
        <f aca="false">(parametros_manuales!$D$25*(datos_base!$I$2+datos_base!$I$18+IF(parametros_manuales!$H$25="Todos",datos_base!$I$9+datos_base!$I$23,0))*parametros_manuales!$B$95+parametros_manuales!$E$25*(datos_base!$I$3+datos_base!$I$19+IF(parametros_manuales!$H$25="Todos",datos_base!$I$10+datos_base!$I$24,0))*parametros_manuales!$B$100+parametros_manuales!$F$25*(datos_base!$I$4+datos_base!$I$20+IF(parametros_manuales!$H$25="Todos",datos_base!$I$11+datos_base!$I$25,0))*parametros_manuales!$B$105+parametros_manuales!$G$25*(datos_base!$I$5+datos_base!$I$21+IF(parametros_manuales!$H$25="Todos",datos_base!$I$12+datos_base!$I$26,0))*parametros_manuales!$B$110)*parametros_manuales!$I$25*parametros_manuales!$J$25</f>
        <v>19640.96066241</v>
      </c>
      <c r="C197" s="9" t="n">
        <f aca="false">(parametros_manuales!$D$25*(datos_base!$I$2+datos_base!$I$18+IF(parametros_manuales!$H$25="Todos",datos_base!$I$9+datos_base!$I$23,0))*parametros_manuales!$C$95+parametros_manuales!$E$25*(datos_base!$I$3+datos_base!$I$19+IF(parametros_manuales!$H$25="Todos",datos_base!$I$10+datos_base!$I$24,0))*parametros_manuales!$C$100+parametros_manuales!$F$25*(datos_base!$I$4+datos_base!$I$20+IF(parametros_manuales!$H$25="Todos",datos_base!$I$11+datos_base!$I$25,0))*parametros_manuales!$C$105+parametros_manuales!$G$25*(datos_base!$I$5+datos_base!$I$21+IF(parametros_manuales!$H$25="Todos",datos_base!$I$12+datos_base!$I$26,0))*parametros_manuales!$C$110)*parametros_manuales!$I$25*parametros_manuales!$J$25</f>
        <v>19019.96248472</v>
      </c>
      <c r="D197" s="9" t="n">
        <f aca="false">(parametros_manuales!$D$25*(datos_base!$I$2+datos_base!$I$18+IF(parametros_manuales!$H$25="Todos",datos_base!$I$9+datos_base!$I$23,0))*parametros_manuales!$D$95+parametros_manuales!$E$25*(datos_base!$I$3+datos_base!$I$19+IF(parametros_manuales!$H$25="Todos",datos_base!$I$10+datos_base!$I$24,0))*parametros_manuales!$D$100+parametros_manuales!$F$25*(datos_base!$I$4+datos_base!$I$20+IF(parametros_manuales!$H$25="Todos",datos_base!$I$11+datos_base!$I$25,0))*parametros_manuales!$D$105+parametros_manuales!$G$25*(datos_base!$I$5+datos_base!$I$21+IF(parametros_manuales!$H$25="Todos",datos_base!$I$12+datos_base!$I$26,0))*parametros_manuales!$D$110)*parametros_manuales!$I$25*parametros_manuales!$J$25</f>
        <v>17769.130788765</v>
      </c>
      <c r="E197" s="9" t="n">
        <f aca="false">(parametros_manuales!$D$25*(datos_base!$I$2+datos_base!$I$18+IF(parametros_manuales!$H$25="Todos",datos_base!$I$9+datos_base!$I$23,0))*parametros_manuales!$E$95+parametros_manuales!$E$25*(datos_base!$I$3+datos_base!$I$19+IF(parametros_manuales!$H$25="Todos",datos_base!$I$10+datos_base!$I$24,0))*parametros_manuales!$E$100+parametros_manuales!$F$25*(datos_base!$I$4+datos_base!$I$20+IF(parametros_manuales!$H$25="Todos",datos_base!$I$11+datos_base!$I$25,0))*parametros_manuales!$E$105+parametros_manuales!$G$25*(datos_base!$I$5+datos_base!$I$21+IF(parametros_manuales!$H$25="Todos",datos_base!$I$12+datos_base!$I$26,0))*parametros_manuales!$E$110)*parametros_manuales!$I$25*parametros_manuales!$J$25</f>
        <v>16988.465396365</v>
      </c>
      <c r="F197" s="9" t="n">
        <f aca="false">(parametros_manuales!$D$25*(datos_base!$I$2+datos_base!$I$18+IF(parametros_manuales!$H$25="Todos",datos_base!$I$9+datos_base!$I$23,0))*parametros_manuales!$F$95+parametros_manuales!$E$25*(datos_base!$I$3+datos_base!$I$19+IF(parametros_manuales!$H$25="Todos",datos_base!$I$10+datos_base!$I$24,0))*parametros_manuales!$F$100+parametros_manuales!$F$25*(datos_base!$I$4+datos_base!$I$20+IF(parametros_manuales!$H$25="Todos",datos_base!$I$11+datos_base!$I$25,0))*parametros_manuales!$F$105+parametros_manuales!$G$25*(datos_base!$I$5+datos_base!$I$21+IF(parametros_manuales!$H$25="Todos",datos_base!$I$12+datos_base!$I$26,0))*parametros_manuales!$F$110)*parametros_manuales!$I$25*parametros_manuales!$J$25</f>
        <v>15897.30091512</v>
      </c>
      <c r="G197" s="9" t="n">
        <f aca="false">(parametros_manuales!$D$25*(datos_base!$I$2+datos_base!$I$18+IF(parametros_manuales!$H$25="Todos",datos_base!$I$9+datos_base!$I$23,0))*parametros_manuales!$G$95+parametros_manuales!$E$25*(datos_base!$I$3+datos_base!$I$19+IF(parametros_manuales!$H$25="Todos",datos_base!$I$10+datos_base!$I$24,0))*parametros_manuales!$G$100+parametros_manuales!$F$25*(datos_base!$I$4+datos_base!$I$20+IF(parametros_manuales!$H$25="Todos",datos_base!$I$11+datos_base!$I$25,0))*parametros_manuales!$G$105+parametros_manuales!$G$25*(datos_base!$I$5+datos_base!$I$21+IF(parametros_manuales!$H$25="Todos",datos_base!$I$12+datos_base!$I$26,0))*parametros_manuales!$G$110)*parametros_manuales!$I$25*parametros_manuales!$J$25</f>
        <v>15586.801826275</v>
      </c>
      <c r="H197" s="9" t="n">
        <f aca="false">(parametros_manuales!$D$25*(datos_base!$I$2+datos_base!$I$18+IF(parametros_manuales!$H$25="Todos",datos_base!$I$9+datos_base!$I$23,0))*parametros_manuales!$H$95+parametros_manuales!$E$25*(datos_base!$I$3+datos_base!$I$19+IF(parametros_manuales!$H$25="Todos",datos_base!$I$10+datos_base!$I$24,0))*parametros_manuales!$H$100+parametros_manuales!$F$25*(datos_base!$I$4+datos_base!$I$20+IF(parametros_manuales!$H$25="Todos",datos_base!$I$11+datos_base!$I$25,0))*parametros_manuales!$H$105+parametros_manuales!$G$25*(datos_base!$I$5+datos_base!$I$21+IF(parametros_manuales!$H$25="Todos",datos_base!$I$12+datos_base!$I$26,0))*parametros_manuales!$H$110)*parametros_manuales!$I$25*parametros_manuales!$J$25</f>
        <v>16677.96630752</v>
      </c>
      <c r="I197" s="9" t="n">
        <f aca="false">(parametros_manuales!$D$25*(datos_base!$I$2+datos_base!$I$18+IF(parametros_manuales!$H$25="Todos",datos_base!$I$9+datos_base!$I$23,0))*parametros_manuales!$I$95+parametros_manuales!$E$25*(datos_base!$I$3+datos_base!$I$19+IF(parametros_manuales!$H$25="Todos",datos_base!$I$10+datos_base!$I$24,0))*parametros_manuales!$I$100+parametros_manuales!$F$25*(datos_base!$I$4+datos_base!$I$20+IF(parametros_manuales!$H$25="Todos",datos_base!$I$11+datos_base!$I$25,0))*parametros_manuales!$I$105+parametros_manuales!$G$25*(datos_base!$I$5+datos_base!$I$21+IF(parametros_manuales!$H$25="Todos",datos_base!$I$12+datos_base!$I$26,0))*parametros_manuales!$I$110)*parametros_manuales!$I$25*parametros_manuales!$J$25</f>
        <v>19019.96248472</v>
      </c>
      <c r="J197" s="9" t="n">
        <f aca="false">(parametros_manuales!$D$25*(datos_base!$I$2+datos_base!$I$18+IF(parametros_manuales!$H$25="Todos",datos_base!$I$9+datos_base!$I$23,0))*parametros_manuales!$J$95+parametros_manuales!$E$25*(datos_base!$I$3+datos_base!$I$19+IF(parametros_manuales!$H$25="Todos",datos_base!$I$10+datos_base!$I$24,0))*parametros_manuales!$J$100+parametros_manuales!$F$25*(datos_base!$I$4+datos_base!$I$20+IF(parametros_manuales!$H$25="Todos",datos_base!$I$11+datos_base!$I$25,0))*parametros_manuales!$J$105+parametros_manuales!$G$25*(datos_base!$I$5+datos_base!$I$21+IF(parametros_manuales!$H$25="Todos",datos_base!$I$12+datos_base!$I$26,0))*parametros_manuales!$J$110)*parametros_manuales!$I$25*parametros_manuales!$J$25</f>
        <v>19019.96248472</v>
      </c>
      <c r="K197" s="9" t="n">
        <f aca="false">(parametros_manuales!$D$25*(datos_base!$I$2+datos_base!$I$18+IF(parametros_manuales!$H$25="Todos",datos_base!$I$9+datos_base!$I$23,0))*parametros_manuales!$K$95+parametros_manuales!$E$25*(datos_base!$I$3+datos_base!$I$19+IF(parametros_manuales!$H$25="Todos",datos_base!$I$10+datos_base!$I$24,0))*parametros_manuales!$K$100+parametros_manuales!$F$25*(datos_base!$I$4+datos_base!$I$20+IF(parametros_manuales!$H$25="Todos",datos_base!$I$11+datos_base!$I$25,0))*parametros_manuales!$K$105+parametros_manuales!$G$25*(datos_base!$I$5+datos_base!$I$21+IF(parametros_manuales!$H$25="Todos",datos_base!$I$12+datos_base!$I$26,0))*parametros_manuales!$K$110)*parametros_manuales!$I$25*parametros_manuales!$J$25</f>
        <v>19330.461573565</v>
      </c>
      <c r="L197" s="9" t="n">
        <f aca="false">(parametros_manuales!$D$25*(datos_base!$I$2+datos_base!$I$18+IF(parametros_manuales!$H$25="Todos",datos_base!$I$9+datos_base!$I$23,0))*parametros_manuales!$L$95+parametros_manuales!$E$25*(datos_base!$I$3+datos_base!$I$19+IF(parametros_manuales!$H$25="Todos",datos_base!$I$10+datos_base!$I$24,0))*parametros_manuales!$L$100+parametros_manuales!$F$25*(datos_base!$I$4+datos_base!$I$20+IF(parametros_manuales!$H$25="Todos",datos_base!$I$11+datos_base!$I$25,0))*parametros_manuales!$L$105+parametros_manuales!$G$25*(datos_base!$I$5+datos_base!$I$21+IF(parametros_manuales!$H$25="Todos",datos_base!$I$12+datos_base!$I$26,0))*parametros_manuales!$L$110)*parametros_manuales!$I$25*parametros_manuales!$J$25</f>
        <v>19640.96066241</v>
      </c>
      <c r="M197" s="9" t="n">
        <f aca="false">(parametros_manuales!$D$25*(datos_base!$I$2+datos_base!$I$18+IF(parametros_manuales!$H$25="Todos",datos_base!$I$9+datos_base!$I$23,0))*parametros_manuales!$M$95+parametros_manuales!$E$25*(datos_base!$I$3+datos_base!$I$19+IF(parametros_manuales!$H$25="Todos",datos_base!$I$10+datos_base!$I$24,0))*parametros_manuales!$M$100+parametros_manuales!$F$25*(datos_base!$I$4+datos_base!$I$20+IF(parametros_manuales!$H$25="Todos",datos_base!$I$11+datos_base!$I$25,0))*parametros_manuales!$M$105+parametros_manuales!$G$25*(datos_base!$I$5+datos_base!$I$21+IF(parametros_manuales!$H$25="Todos",datos_base!$I$12+datos_base!$I$26,0))*parametros_manuales!$M$110)*parametros_manuales!$I$25*parametros_manuales!$J$25</f>
        <v>19640.96066241</v>
      </c>
      <c r="N197" s="9" t="n">
        <f aca="false">SUM(B197:M197)</f>
        <v>218232.896249</v>
      </c>
      <c r="O197" s="9" t="n">
        <f aca="false">MAX(B197:M197)</f>
        <v>19640.96066241</v>
      </c>
      <c r="P197" s="43" t="n">
        <f aca="false">O197/(parametros_manuales!$B$7)</f>
        <v>130.9397377494</v>
      </c>
      <c r="Q197" s="8" t="str">
        <f aca="false">IF(O197=0,"-",INDEX($B$190:$M$190,MATCH(O197,B197:M197,0)))</f>
        <v>Ene</v>
      </c>
    </row>
    <row r="198" customFormat="false" ht="14.25" hidden="false" customHeight="true" outlineLevel="0" collapsed="false">
      <c r="A198" s="8" t="str">
        <f aca="false">parametros_manuales!$B$26</f>
        <v>Cilindrado</v>
      </c>
      <c r="B198" s="9" t="n">
        <f aca="false">(parametros_manuales!$D$26*(datos_base!$I$2+datos_base!$I$18+IF(parametros_manuales!$H$26="Todos",datos_base!$I$9+datos_base!$I$23,0))*parametros_manuales!$B$95+parametros_manuales!$E$26*(datos_base!$I$3+datos_base!$I$19+IF(parametros_manuales!$H$26="Todos",datos_base!$I$10+datos_base!$I$24,0))*parametros_manuales!$B$100+parametros_manuales!$F$26*(datos_base!$I$4+datos_base!$I$20+IF(parametros_manuales!$H$26="Todos",datos_base!$I$11+datos_base!$I$25,0))*parametros_manuales!$B$105+parametros_manuales!$G$26*(datos_base!$I$5+datos_base!$I$21+IF(parametros_manuales!$H$26="Todos",datos_base!$I$12+datos_base!$I$26,0))*parametros_manuales!$B$110)*parametros_manuales!$I$26*parametros_manuales!$J$26</f>
        <v>5588.98359921</v>
      </c>
      <c r="C198" s="9" t="n">
        <f aca="false">(parametros_manuales!$D$26*(datos_base!$I$2+datos_base!$I$18+IF(parametros_manuales!$H$26="Todos",datos_base!$I$9+datos_base!$I$23,0))*parametros_manuales!$C$95+parametros_manuales!$E$26*(datos_base!$I$3+datos_base!$I$19+IF(parametros_manuales!$H$26="Todos",datos_base!$I$10+datos_base!$I$24,0))*parametros_manuales!$C$100+parametros_manuales!$F$26*(datos_base!$I$4+datos_base!$I$20+IF(parametros_manuales!$H$26="Todos",datos_base!$I$11+datos_base!$I$25,0))*parametros_manuales!$C$105+parametros_manuales!$G$26*(datos_base!$I$5+datos_base!$I$21+IF(parametros_manuales!$H$26="Todos",datos_base!$I$12+datos_base!$I$26,0))*parametros_manuales!$C$110)*parametros_manuales!$I$26*parametros_manuales!$J$26</f>
        <v>4967.98542152</v>
      </c>
      <c r="D198" s="9" t="n">
        <f aca="false">(parametros_manuales!$D$26*(datos_base!$I$2+datos_base!$I$18+IF(parametros_manuales!$H$26="Todos",datos_base!$I$9+datos_base!$I$23,0))*parametros_manuales!$D$95+parametros_manuales!$E$26*(datos_base!$I$3+datos_base!$I$19+IF(parametros_manuales!$H$26="Todos",datos_base!$I$10+datos_base!$I$24,0))*parametros_manuales!$D$100+parametros_manuales!$F$26*(datos_base!$I$4+datos_base!$I$20+IF(parametros_manuales!$H$26="Todos",datos_base!$I$11+datos_base!$I$25,0))*parametros_manuales!$D$105+parametros_manuales!$G$26*(datos_base!$I$5+datos_base!$I$21+IF(parametros_manuales!$H$26="Todos",datos_base!$I$12+datos_base!$I$26,0))*parametros_manuales!$D$110)*parametros_manuales!$I$26*parametros_manuales!$J$26</f>
        <v>5278.484510365</v>
      </c>
      <c r="E198" s="9" t="n">
        <f aca="false">(parametros_manuales!$D$26*(datos_base!$I$2+datos_base!$I$18+IF(parametros_manuales!$H$26="Todos",datos_base!$I$9+datos_base!$I$23,0))*parametros_manuales!$E$95+parametros_manuales!$E$26*(datos_base!$I$3+datos_base!$I$19+IF(parametros_manuales!$H$26="Todos",datos_base!$I$10+datos_base!$I$24,0))*parametros_manuales!$E$100+parametros_manuales!$F$26*(datos_base!$I$4+datos_base!$I$20+IF(parametros_manuales!$H$26="Todos",datos_base!$I$11+datos_base!$I$25,0))*parametros_manuales!$E$105+parametros_manuales!$G$26*(datos_base!$I$5+datos_base!$I$21+IF(parametros_manuales!$H$26="Todos",datos_base!$I$12+datos_base!$I$26,0))*parametros_manuales!$E$110)*parametros_manuales!$I$26*parametros_manuales!$J$26</f>
        <v>5278.484510365</v>
      </c>
      <c r="F198" s="9" t="n">
        <f aca="false">(parametros_manuales!$D$26*(datos_base!$I$2+datos_base!$I$18+IF(parametros_manuales!$H$26="Todos",datos_base!$I$9+datos_base!$I$23,0))*parametros_manuales!$F$95+parametros_manuales!$E$26*(datos_base!$I$3+datos_base!$I$19+IF(parametros_manuales!$H$26="Todos",datos_base!$I$10+datos_base!$I$24,0))*parametros_manuales!$F$100+parametros_manuales!$F$26*(datos_base!$I$4+datos_base!$I$20+IF(parametros_manuales!$H$26="Todos",datos_base!$I$11+datos_base!$I$25,0))*parametros_manuales!$F$105+parametros_manuales!$G$26*(datos_base!$I$5+datos_base!$I$21+IF(parametros_manuales!$H$26="Todos",datos_base!$I$12+datos_base!$I$26,0))*parametros_manuales!$F$110)*parametros_manuales!$I$26*parametros_manuales!$J$26</f>
        <v>4967.98542152</v>
      </c>
      <c r="G198" s="9" t="n">
        <f aca="false">(parametros_manuales!$D$26*(datos_base!$I$2+datos_base!$I$18+IF(parametros_manuales!$H$26="Todos",datos_base!$I$9+datos_base!$I$23,0))*parametros_manuales!$G$95+parametros_manuales!$E$26*(datos_base!$I$3+datos_base!$I$19+IF(parametros_manuales!$H$26="Todos",datos_base!$I$10+datos_base!$I$24,0))*parametros_manuales!$G$100+parametros_manuales!$F$26*(datos_base!$I$4+datos_base!$I$20+IF(parametros_manuales!$H$26="Todos",datos_base!$I$11+datos_base!$I$25,0))*parametros_manuales!$G$105+parametros_manuales!$G$26*(datos_base!$I$5+datos_base!$I$21+IF(parametros_manuales!$H$26="Todos",datos_base!$I$12+datos_base!$I$26,0))*parametros_manuales!$G$110)*parametros_manuales!$I$26*parametros_manuales!$J$26</f>
        <v>4657.486332675</v>
      </c>
      <c r="H198" s="9" t="n">
        <f aca="false">(parametros_manuales!$D$26*(datos_base!$I$2+datos_base!$I$18+IF(parametros_manuales!$H$26="Todos",datos_base!$I$9+datos_base!$I$23,0))*parametros_manuales!$H$95+parametros_manuales!$E$26*(datos_base!$I$3+datos_base!$I$19+IF(parametros_manuales!$H$26="Todos",datos_base!$I$10+datos_base!$I$24,0))*parametros_manuales!$H$100+parametros_manuales!$F$26*(datos_base!$I$4+datos_base!$I$20+IF(parametros_manuales!$H$26="Todos",datos_base!$I$11+datos_base!$I$25,0))*parametros_manuales!$H$105+parametros_manuales!$G$26*(datos_base!$I$5+datos_base!$I$21+IF(parametros_manuales!$H$26="Todos",datos_base!$I$12+datos_base!$I$26,0))*parametros_manuales!$H$110)*parametros_manuales!$I$26*parametros_manuales!$J$26</f>
        <v>4967.98542152</v>
      </c>
      <c r="I198" s="9" t="n">
        <f aca="false">(parametros_manuales!$D$26*(datos_base!$I$2+datos_base!$I$18+IF(parametros_manuales!$H$26="Todos",datos_base!$I$9+datos_base!$I$23,0))*parametros_manuales!$I$95+parametros_manuales!$E$26*(datos_base!$I$3+datos_base!$I$19+IF(parametros_manuales!$H$26="Todos",datos_base!$I$10+datos_base!$I$24,0))*parametros_manuales!$I$100+parametros_manuales!$F$26*(datos_base!$I$4+datos_base!$I$20+IF(parametros_manuales!$H$26="Todos",datos_base!$I$11+datos_base!$I$25,0))*parametros_manuales!$I$105+parametros_manuales!$G$26*(datos_base!$I$5+datos_base!$I$21+IF(parametros_manuales!$H$26="Todos",datos_base!$I$12+datos_base!$I$26,0))*parametros_manuales!$I$110)*parametros_manuales!$I$26*parametros_manuales!$J$26</f>
        <v>4967.98542152</v>
      </c>
      <c r="J198" s="9" t="n">
        <f aca="false">(parametros_manuales!$D$26*(datos_base!$I$2+datos_base!$I$18+IF(parametros_manuales!$H$26="Todos",datos_base!$I$9+datos_base!$I$23,0))*parametros_manuales!$J$95+parametros_manuales!$E$26*(datos_base!$I$3+datos_base!$I$19+IF(parametros_manuales!$H$26="Todos",datos_base!$I$10+datos_base!$I$24,0))*parametros_manuales!$J$100+parametros_manuales!$F$26*(datos_base!$I$4+datos_base!$I$20+IF(parametros_manuales!$H$26="Todos",datos_base!$I$11+datos_base!$I$25,0))*parametros_manuales!$J$105+parametros_manuales!$G$26*(datos_base!$I$5+datos_base!$I$21+IF(parametros_manuales!$H$26="Todos",datos_base!$I$12+datos_base!$I$26,0))*parametros_manuales!$J$110)*parametros_manuales!$I$26*parametros_manuales!$J$26</f>
        <v>4967.98542152</v>
      </c>
      <c r="K198" s="9" t="n">
        <f aca="false">(parametros_manuales!$D$26*(datos_base!$I$2+datos_base!$I$18+IF(parametros_manuales!$H$26="Todos",datos_base!$I$9+datos_base!$I$23,0))*parametros_manuales!$K$95+parametros_manuales!$E$26*(datos_base!$I$3+datos_base!$I$19+IF(parametros_manuales!$H$26="Todos",datos_base!$I$10+datos_base!$I$24,0))*parametros_manuales!$K$100+parametros_manuales!$F$26*(datos_base!$I$4+datos_base!$I$20+IF(parametros_manuales!$H$26="Todos",datos_base!$I$11+datos_base!$I$25,0))*parametros_manuales!$K$105+parametros_manuales!$G$26*(datos_base!$I$5+datos_base!$I$21+IF(parametros_manuales!$H$26="Todos",datos_base!$I$12+datos_base!$I$26,0))*parametros_manuales!$K$110)*parametros_manuales!$I$26*parametros_manuales!$J$26</f>
        <v>5278.484510365</v>
      </c>
      <c r="L198" s="9" t="n">
        <f aca="false">(parametros_manuales!$D$26*(datos_base!$I$2+datos_base!$I$18+IF(parametros_manuales!$H$26="Todos",datos_base!$I$9+datos_base!$I$23,0))*parametros_manuales!$L$95+parametros_manuales!$E$26*(datos_base!$I$3+datos_base!$I$19+IF(parametros_manuales!$H$26="Todos",datos_base!$I$10+datos_base!$I$24,0))*parametros_manuales!$L$100+parametros_manuales!$F$26*(datos_base!$I$4+datos_base!$I$20+IF(parametros_manuales!$H$26="Todos",datos_base!$I$11+datos_base!$I$25,0))*parametros_manuales!$L$105+parametros_manuales!$G$26*(datos_base!$I$5+datos_base!$I$21+IF(parametros_manuales!$H$26="Todos",datos_base!$I$12+datos_base!$I$26,0))*parametros_manuales!$L$110)*parametros_manuales!$I$26*parametros_manuales!$J$26</f>
        <v>5588.98359921</v>
      </c>
      <c r="M198" s="9" t="n">
        <f aca="false">(parametros_manuales!$D$26*(datos_base!$I$2+datos_base!$I$18+IF(parametros_manuales!$H$26="Todos",datos_base!$I$9+datos_base!$I$23,0))*parametros_manuales!$M$95+parametros_manuales!$E$26*(datos_base!$I$3+datos_base!$I$19+IF(parametros_manuales!$H$26="Todos",datos_base!$I$10+datos_base!$I$24,0))*parametros_manuales!$M$100+parametros_manuales!$F$26*(datos_base!$I$4+datos_base!$I$20+IF(parametros_manuales!$H$26="Todos",datos_base!$I$11+datos_base!$I$25,0))*parametros_manuales!$M$105+parametros_manuales!$G$26*(datos_base!$I$5+datos_base!$I$21+IF(parametros_manuales!$H$26="Todos",datos_base!$I$12+datos_base!$I$26,0))*parametros_manuales!$M$110)*parametros_manuales!$I$26*parametros_manuales!$J$26</f>
        <v>5588.98359921</v>
      </c>
      <c r="N198" s="9" t="n">
        <f aca="false">SUM(B198:M198)</f>
        <v>62099.817769</v>
      </c>
      <c r="O198" s="9" t="n">
        <f aca="false">MAX(B198:M198)</f>
        <v>5588.98359921</v>
      </c>
      <c r="P198" s="43" t="n">
        <f aca="false">O198/(parametros_manuales!$B$7)</f>
        <v>37.2598906614</v>
      </c>
      <c r="Q198" s="8" t="str">
        <f aca="false">IF(O198=0,"-",INDEX($B$190:$M$190,MATCH(O198,B198:M198,0)))</f>
        <v>Ene</v>
      </c>
    </row>
    <row r="199" customFormat="false" ht="14.25" hidden="false" customHeight="true" outlineLevel="0" collapsed="false">
      <c r="A199" s="8" t="str">
        <f aca="false">parametros_manuales!$B$27</f>
        <v>Soldadura longitudinal</v>
      </c>
      <c r="B199" s="9" t="n">
        <f aca="false">(parametros_manuales!$D$27*(datos_base!$I$2+datos_base!$I$18+IF(parametros_manuales!$H$27="Todos",datos_base!$I$9+datos_base!$I$23,0))*parametros_manuales!$B$95+parametros_manuales!$E$27*(datos_base!$I$3+datos_base!$I$19+IF(parametros_manuales!$H$27="Todos",datos_base!$I$10+datos_base!$I$24,0))*parametros_manuales!$B$100+parametros_manuales!$F$27*(datos_base!$I$4+datos_base!$I$20+IF(parametros_manuales!$H$27="Todos",datos_base!$I$11+datos_base!$I$25,0))*parametros_manuales!$B$105+parametros_manuales!$G$27*(datos_base!$I$5+datos_base!$I$21+IF(parametros_manuales!$H$27="Todos",datos_base!$I$12+datos_base!$I$26,0))*parametros_manuales!$B$110)*parametros_manuales!$I$27*parametros_manuales!$J$27</f>
        <v>5588.98359921</v>
      </c>
      <c r="C199" s="9" t="n">
        <f aca="false">(parametros_manuales!$D$27*(datos_base!$I$2+datos_base!$I$18+IF(parametros_manuales!$H$27="Todos",datos_base!$I$9+datos_base!$I$23,0))*parametros_manuales!$C$95+parametros_manuales!$E$27*(datos_base!$I$3+datos_base!$I$19+IF(parametros_manuales!$H$27="Todos",datos_base!$I$10+datos_base!$I$24,0))*parametros_manuales!$C$100+parametros_manuales!$F$27*(datos_base!$I$4+datos_base!$I$20+IF(parametros_manuales!$H$27="Todos",datos_base!$I$11+datos_base!$I$25,0))*parametros_manuales!$C$105+parametros_manuales!$G$27*(datos_base!$I$5+datos_base!$I$21+IF(parametros_manuales!$H$27="Todos",datos_base!$I$12+datos_base!$I$26,0))*parametros_manuales!$C$110)*parametros_manuales!$I$27*parametros_manuales!$J$27</f>
        <v>4967.98542152</v>
      </c>
      <c r="D199" s="9" t="n">
        <f aca="false">(parametros_manuales!$D$27*(datos_base!$I$2+datos_base!$I$18+IF(parametros_manuales!$H$27="Todos",datos_base!$I$9+datos_base!$I$23,0))*parametros_manuales!$D$95+parametros_manuales!$E$27*(datos_base!$I$3+datos_base!$I$19+IF(parametros_manuales!$H$27="Todos",datos_base!$I$10+datos_base!$I$24,0))*parametros_manuales!$D$100+parametros_manuales!$F$27*(datos_base!$I$4+datos_base!$I$20+IF(parametros_manuales!$H$27="Todos",datos_base!$I$11+datos_base!$I$25,0))*parametros_manuales!$D$105+parametros_manuales!$G$27*(datos_base!$I$5+datos_base!$I$21+IF(parametros_manuales!$H$27="Todos",datos_base!$I$12+datos_base!$I$26,0))*parametros_manuales!$D$110)*parametros_manuales!$I$27*parametros_manuales!$J$27</f>
        <v>5278.484510365</v>
      </c>
      <c r="E199" s="9" t="n">
        <f aca="false">(parametros_manuales!$D$27*(datos_base!$I$2+datos_base!$I$18+IF(parametros_manuales!$H$27="Todos",datos_base!$I$9+datos_base!$I$23,0))*parametros_manuales!$E$95+parametros_manuales!$E$27*(datos_base!$I$3+datos_base!$I$19+IF(parametros_manuales!$H$27="Todos",datos_base!$I$10+datos_base!$I$24,0))*parametros_manuales!$E$100+parametros_manuales!$F$27*(datos_base!$I$4+datos_base!$I$20+IF(parametros_manuales!$H$27="Todos",datos_base!$I$11+datos_base!$I$25,0))*parametros_manuales!$E$105+parametros_manuales!$G$27*(datos_base!$I$5+datos_base!$I$21+IF(parametros_manuales!$H$27="Todos",datos_base!$I$12+datos_base!$I$26,0))*parametros_manuales!$E$110)*parametros_manuales!$I$27*parametros_manuales!$J$27</f>
        <v>5278.484510365</v>
      </c>
      <c r="F199" s="9" t="n">
        <f aca="false">(parametros_manuales!$D$27*(datos_base!$I$2+datos_base!$I$18+IF(parametros_manuales!$H$27="Todos",datos_base!$I$9+datos_base!$I$23,0))*parametros_manuales!$F$95+parametros_manuales!$E$27*(datos_base!$I$3+datos_base!$I$19+IF(parametros_manuales!$H$27="Todos",datos_base!$I$10+datos_base!$I$24,0))*parametros_manuales!$F$100+parametros_manuales!$F$27*(datos_base!$I$4+datos_base!$I$20+IF(parametros_manuales!$H$27="Todos",datos_base!$I$11+datos_base!$I$25,0))*parametros_manuales!$F$105+parametros_manuales!$G$27*(datos_base!$I$5+datos_base!$I$21+IF(parametros_manuales!$H$27="Todos",datos_base!$I$12+datos_base!$I$26,0))*parametros_manuales!$F$110)*parametros_manuales!$I$27*parametros_manuales!$J$27</f>
        <v>4967.98542152</v>
      </c>
      <c r="G199" s="9" t="n">
        <f aca="false">(parametros_manuales!$D$27*(datos_base!$I$2+datos_base!$I$18+IF(parametros_manuales!$H$27="Todos",datos_base!$I$9+datos_base!$I$23,0))*parametros_manuales!$G$95+parametros_manuales!$E$27*(datos_base!$I$3+datos_base!$I$19+IF(parametros_manuales!$H$27="Todos",datos_base!$I$10+datos_base!$I$24,0))*parametros_manuales!$G$100+parametros_manuales!$F$27*(datos_base!$I$4+datos_base!$I$20+IF(parametros_manuales!$H$27="Todos",datos_base!$I$11+datos_base!$I$25,0))*parametros_manuales!$G$105+parametros_manuales!$G$27*(datos_base!$I$5+datos_base!$I$21+IF(parametros_manuales!$H$27="Todos",datos_base!$I$12+datos_base!$I$26,0))*parametros_manuales!$G$110)*parametros_manuales!$I$27*parametros_manuales!$J$27</f>
        <v>4657.486332675</v>
      </c>
      <c r="H199" s="9" t="n">
        <f aca="false">(parametros_manuales!$D$27*(datos_base!$I$2+datos_base!$I$18+IF(parametros_manuales!$H$27="Todos",datos_base!$I$9+datos_base!$I$23,0))*parametros_manuales!$H$95+parametros_manuales!$E$27*(datos_base!$I$3+datos_base!$I$19+IF(parametros_manuales!$H$27="Todos",datos_base!$I$10+datos_base!$I$24,0))*parametros_manuales!$H$100+parametros_manuales!$F$27*(datos_base!$I$4+datos_base!$I$20+IF(parametros_manuales!$H$27="Todos",datos_base!$I$11+datos_base!$I$25,0))*parametros_manuales!$H$105+parametros_manuales!$G$27*(datos_base!$I$5+datos_base!$I$21+IF(parametros_manuales!$H$27="Todos",datos_base!$I$12+datos_base!$I$26,0))*parametros_manuales!$H$110)*parametros_manuales!$I$27*parametros_manuales!$J$27</f>
        <v>4967.98542152</v>
      </c>
      <c r="I199" s="9" t="n">
        <f aca="false">(parametros_manuales!$D$27*(datos_base!$I$2+datos_base!$I$18+IF(parametros_manuales!$H$27="Todos",datos_base!$I$9+datos_base!$I$23,0))*parametros_manuales!$I$95+parametros_manuales!$E$27*(datos_base!$I$3+datos_base!$I$19+IF(parametros_manuales!$H$27="Todos",datos_base!$I$10+datos_base!$I$24,0))*parametros_manuales!$I$100+parametros_manuales!$F$27*(datos_base!$I$4+datos_base!$I$20+IF(parametros_manuales!$H$27="Todos",datos_base!$I$11+datos_base!$I$25,0))*parametros_manuales!$I$105+parametros_manuales!$G$27*(datos_base!$I$5+datos_base!$I$21+IF(parametros_manuales!$H$27="Todos",datos_base!$I$12+datos_base!$I$26,0))*parametros_manuales!$I$110)*parametros_manuales!$I$27*parametros_manuales!$J$27</f>
        <v>4967.98542152</v>
      </c>
      <c r="J199" s="9" t="n">
        <f aca="false">(parametros_manuales!$D$27*(datos_base!$I$2+datos_base!$I$18+IF(parametros_manuales!$H$27="Todos",datos_base!$I$9+datos_base!$I$23,0))*parametros_manuales!$J$95+parametros_manuales!$E$27*(datos_base!$I$3+datos_base!$I$19+IF(parametros_manuales!$H$27="Todos",datos_base!$I$10+datos_base!$I$24,0))*parametros_manuales!$J$100+parametros_manuales!$F$27*(datos_base!$I$4+datos_base!$I$20+IF(parametros_manuales!$H$27="Todos",datos_base!$I$11+datos_base!$I$25,0))*parametros_manuales!$J$105+parametros_manuales!$G$27*(datos_base!$I$5+datos_base!$I$21+IF(parametros_manuales!$H$27="Todos",datos_base!$I$12+datos_base!$I$26,0))*parametros_manuales!$J$110)*parametros_manuales!$I$27*parametros_manuales!$J$27</f>
        <v>4967.98542152</v>
      </c>
      <c r="K199" s="9" t="n">
        <f aca="false">(parametros_manuales!$D$27*(datos_base!$I$2+datos_base!$I$18+IF(parametros_manuales!$H$27="Todos",datos_base!$I$9+datos_base!$I$23,0))*parametros_manuales!$K$95+parametros_manuales!$E$27*(datos_base!$I$3+datos_base!$I$19+IF(parametros_manuales!$H$27="Todos",datos_base!$I$10+datos_base!$I$24,0))*parametros_manuales!$K$100+parametros_manuales!$F$27*(datos_base!$I$4+datos_base!$I$20+IF(parametros_manuales!$H$27="Todos",datos_base!$I$11+datos_base!$I$25,0))*parametros_manuales!$K$105+parametros_manuales!$G$27*(datos_base!$I$5+datos_base!$I$21+IF(parametros_manuales!$H$27="Todos",datos_base!$I$12+datos_base!$I$26,0))*parametros_manuales!$K$110)*parametros_manuales!$I$27*parametros_manuales!$J$27</f>
        <v>5278.484510365</v>
      </c>
      <c r="L199" s="9" t="n">
        <f aca="false">(parametros_manuales!$D$27*(datos_base!$I$2+datos_base!$I$18+IF(parametros_manuales!$H$27="Todos",datos_base!$I$9+datos_base!$I$23,0))*parametros_manuales!$L$95+parametros_manuales!$E$27*(datos_base!$I$3+datos_base!$I$19+IF(parametros_manuales!$H$27="Todos",datos_base!$I$10+datos_base!$I$24,0))*parametros_manuales!$L$100+parametros_manuales!$F$27*(datos_base!$I$4+datos_base!$I$20+IF(parametros_manuales!$H$27="Todos",datos_base!$I$11+datos_base!$I$25,0))*parametros_manuales!$L$105+parametros_manuales!$G$27*(datos_base!$I$5+datos_base!$I$21+IF(parametros_manuales!$H$27="Todos",datos_base!$I$12+datos_base!$I$26,0))*parametros_manuales!$L$110)*parametros_manuales!$I$27*parametros_manuales!$J$27</f>
        <v>5588.98359921</v>
      </c>
      <c r="M199" s="9" t="n">
        <f aca="false">(parametros_manuales!$D$27*(datos_base!$I$2+datos_base!$I$18+IF(parametros_manuales!$H$27="Todos",datos_base!$I$9+datos_base!$I$23,0))*parametros_manuales!$M$95+parametros_manuales!$E$27*(datos_base!$I$3+datos_base!$I$19+IF(parametros_manuales!$H$27="Todos",datos_base!$I$10+datos_base!$I$24,0))*parametros_manuales!$M$100+parametros_manuales!$F$27*(datos_base!$I$4+datos_base!$I$20+IF(parametros_manuales!$H$27="Todos",datos_base!$I$11+datos_base!$I$25,0))*parametros_manuales!$M$105+parametros_manuales!$G$27*(datos_base!$I$5+datos_base!$I$21+IF(parametros_manuales!$H$27="Todos",datos_base!$I$12+datos_base!$I$26,0))*parametros_manuales!$M$110)*parametros_manuales!$I$27*parametros_manuales!$J$27</f>
        <v>5588.98359921</v>
      </c>
      <c r="N199" s="9" t="n">
        <f aca="false">SUM(B199:M199)</f>
        <v>62099.817769</v>
      </c>
      <c r="O199" s="9" t="n">
        <f aca="false">MAX(B199:M199)</f>
        <v>5588.98359921</v>
      </c>
      <c r="P199" s="43" t="n">
        <f aca="false">O199/(parametros_manuales!$B$7)</f>
        <v>37.2598906614</v>
      </c>
      <c r="Q199" s="8" t="str">
        <f aca="false">IF(O199=0,"-",INDEX($B$190:$M$190,MATCH(O199,B199:M199,0)))</f>
        <v>Ene</v>
      </c>
    </row>
    <row r="200" customFormat="false" ht="14.25" hidden="false" customHeight="true" outlineLevel="0" collapsed="false">
      <c r="A200" s="8" t="str">
        <f aca="false">parametros_manuales!$B$28</f>
        <v>Encastre de fondo</v>
      </c>
      <c r="B200" s="9" t="n">
        <f aca="false">(parametros_manuales!$D$28*(datos_base!$I$2+datos_base!$I$18+IF(parametros_manuales!$H$28="Todos",datos_base!$I$9+datos_base!$I$23,0))*parametros_manuales!$B$95+parametros_manuales!$E$28*(datos_base!$I$3+datos_base!$I$19+IF(parametros_manuales!$H$28="Todos",datos_base!$I$10+datos_base!$I$24,0))*parametros_manuales!$B$100+parametros_manuales!$F$28*(datos_base!$I$4+datos_base!$I$20+IF(parametros_manuales!$H$28="Todos",datos_base!$I$11+datos_base!$I$25,0))*parametros_manuales!$B$105+parametros_manuales!$G$28*(datos_base!$I$5+datos_base!$I$21+IF(parametros_manuales!$H$28="Todos",datos_base!$I$12+datos_base!$I$26,0))*parametros_manuales!$B$110)*parametros_manuales!$I$28*parametros_manuales!$J$28</f>
        <v>19640.96066241</v>
      </c>
      <c r="C200" s="9" t="n">
        <f aca="false">(parametros_manuales!$D$28*(datos_base!$I$2+datos_base!$I$18+IF(parametros_manuales!$H$28="Todos",datos_base!$I$9+datos_base!$I$23,0))*parametros_manuales!$C$95+parametros_manuales!$E$28*(datos_base!$I$3+datos_base!$I$19+IF(parametros_manuales!$H$28="Todos",datos_base!$I$10+datos_base!$I$24,0))*parametros_manuales!$C$100+parametros_manuales!$F$28*(datos_base!$I$4+datos_base!$I$20+IF(parametros_manuales!$H$28="Todos",datos_base!$I$11+datos_base!$I$25,0))*parametros_manuales!$C$105+parametros_manuales!$G$28*(datos_base!$I$5+datos_base!$I$21+IF(parametros_manuales!$H$28="Todos",datos_base!$I$12+datos_base!$I$26,0))*parametros_manuales!$C$110)*parametros_manuales!$I$28*parametros_manuales!$J$28</f>
        <v>19019.96248472</v>
      </c>
      <c r="D200" s="9" t="n">
        <f aca="false">(parametros_manuales!$D$28*(datos_base!$I$2+datos_base!$I$18+IF(parametros_manuales!$H$28="Todos",datos_base!$I$9+datos_base!$I$23,0))*parametros_manuales!$D$95+parametros_manuales!$E$28*(datos_base!$I$3+datos_base!$I$19+IF(parametros_manuales!$H$28="Todos",datos_base!$I$10+datos_base!$I$24,0))*parametros_manuales!$D$100+parametros_manuales!$F$28*(datos_base!$I$4+datos_base!$I$20+IF(parametros_manuales!$H$28="Todos",datos_base!$I$11+datos_base!$I$25,0))*parametros_manuales!$D$105+parametros_manuales!$G$28*(datos_base!$I$5+datos_base!$I$21+IF(parametros_manuales!$H$28="Todos",datos_base!$I$12+datos_base!$I$26,0))*parametros_manuales!$D$110)*parametros_manuales!$I$28*parametros_manuales!$J$28</f>
        <v>17769.130788765</v>
      </c>
      <c r="E200" s="9" t="n">
        <f aca="false">(parametros_manuales!$D$28*(datos_base!$I$2+datos_base!$I$18+IF(parametros_manuales!$H$28="Todos",datos_base!$I$9+datos_base!$I$23,0))*parametros_manuales!$E$95+parametros_manuales!$E$28*(datos_base!$I$3+datos_base!$I$19+IF(parametros_manuales!$H$28="Todos",datos_base!$I$10+datos_base!$I$24,0))*parametros_manuales!$E$100+parametros_manuales!$F$28*(datos_base!$I$4+datos_base!$I$20+IF(parametros_manuales!$H$28="Todos",datos_base!$I$11+datos_base!$I$25,0))*parametros_manuales!$E$105+parametros_manuales!$G$28*(datos_base!$I$5+datos_base!$I$21+IF(parametros_manuales!$H$28="Todos",datos_base!$I$12+datos_base!$I$26,0))*parametros_manuales!$E$110)*parametros_manuales!$I$28*parametros_manuales!$J$28</f>
        <v>16988.465396365</v>
      </c>
      <c r="F200" s="9" t="n">
        <f aca="false">(parametros_manuales!$D$28*(datos_base!$I$2+datos_base!$I$18+IF(parametros_manuales!$H$28="Todos",datos_base!$I$9+datos_base!$I$23,0))*parametros_manuales!$F$95+parametros_manuales!$E$28*(datos_base!$I$3+datos_base!$I$19+IF(parametros_manuales!$H$28="Todos",datos_base!$I$10+datos_base!$I$24,0))*parametros_manuales!$F$100+parametros_manuales!$F$28*(datos_base!$I$4+datos_base!$I$20+IF(parametros_manuales!$H$28="Todos",datos_base!$I$11+datos_base!$I$25,0))*parametros_manuales!$F$105+parametros_manuales!$G$28*(datos_base!$I$5+datos_base!$I$21+IF(parametros_manuales!$H$28="Todos",datos_base!$I$12+datos_base!$I$26,0))*parametros_manuales!$F$110)*parametros_manuales!$I$28*parametros_manuales!$J$28</f>
        <v>15897.30091512</v>
      </c>
      <c r="G200" s="9" t="n">
        <f aca="false">(parametros_manuales!$D$28*(datos_base!$I$2+datos_base!$I$18+IF(parametros_manuales!$H$28="Todos",datos_base!$I$9+datos_base!$I$23,0))*parametros_manuales!$G$95+parametros_manuales!$E$28*(datos_base!$I$3+datos_base!$I$19+IF(parametros_manuales!$H$28="Todos",datos_base!$I$10+datos_base!$I$24,0))*parametros_manuales!$G$100+parametros_manuales!$F$28*(datos_base!$I$4+datos_base!$I$20+IF(parametros_manuales!$H$28="Todos",datos_base!$I$11+datos_base!$I$25,0))*parametros_manuales!$G$105+parametros_manuales!$G$28*(datos_base!$I$5+datos_base!$I$21+IF(parametros_manuales!$H$28="Todos",datos_base!$I$12+datos_base!$I$26,0))*parametros_manuales!$G$110)*parametros_manuales!$I$28*parametros_manuales!$J$28</f>
        <v>15586.801826275</v>
      </c>
      <c r="H200" s="9" t="n">
        <f aca="false">(parametros_manuales!$D$28*(datos_base!$I$2+datos_base!$I$18+IF(parametros_manuales!$H$28="Todos",datos_base!$I$9+datos_base!$I$23,0))*parametros_manuales!$H$95+parametros_manuales!$E$28*(datos_base!$I$3+datos_base!$I$19+IF(parametros_manuales!$H$28="Todos",datos_base!$I$10+datos_base!$I$24,0))*parametros_manuales!$H$100+parametros_manuales!$F$28*(datos_base!$I$4+datos_base!$I$20+IF(parametros_manuales!$H$28="Todos",datos_base!$I$11+datos_base!$I$25,0))*parametros_manuales!$H$105+parametros_manuales!$G$28*(datos_base!$I$5+datos_base!$I$21+IF(parametros_manuales!$H$28="Todos",datos_base!$I$12+datos_base!$I$26,0))*parametros_manuales!$H$110)*parametros_manuales!$I$28*parametros_manuales!$J$28</f>
        <v>16677.96630752</v>
      </c>
      <c r="I200" s="9" t="n">
        <f aca="false">(parametros_manuales!$D$28*(datos_base!$I$2+datos_base!$I$18+IF(parametros_manuales!$H$28="Todos",datos_base!$I$9+datos_base!$I$23,0))*parametros_manuales!$I$95+parametros_manuales!$E$28*(datos_base!$I$3+datos_base!$I$19+IF(parametros_manuales!$H$28="Todos",datos_base!$I$10+datos_base!$I$24,0))*parametros_manuales!$I$100+parametros_manuales!$F$28*(datos_base!$I$4+datos_base!$I$20+IF(parametros_manuales!$H$28="Todos",datos_base!$I$11+datos_base!$I$25,0))*parametros_manuales!$I$105+parametros_manuales!$G$28*(datos_base!$I$5+datos_base!$I$21+IF(parametros_manuales!$H$28="Todos",datos_base!$I$12+datos_base!$I$26,0))*parametros_manuales!$I$110)*parametros_manuales!$I$28*parametros_manuales!$J$28</f>
        <v>19019.96248472</v>
      </c>
      <c r="J200" s="9" t="n">
        <f aca="false">(parametros_manuales!$D$28*(datos_base!$I$2+datos_base!$I$18+IF(parametros_manuales!$H$28="Todos",datos_base!$I$9+datos_base!$I$23,0))*parametros_manuales!$J$95+parametros_manuales!$E$28*(datos_base!$I$3+datos_base!$I$19+IF(parametros_manuales!$H$28="Todos",datos_base!$I$10+datos_base!$I$24,0))*parametros_manuales!$J$100+parametros_manuales!$F$28*(datos_base!$I$4+datos_base!$I$20+IF(parametros_manuales!$H$28="Todos",datos_base!$I$11+datos_base!$I$25,0))*parametros_manuales!$J$105+parametros_manuales!$G$28*(datos_base!$I$5+datos_base!$I$21+IF(parametros_manuales!$H$28="Todos",datos_base!$I$12+datos_base!$I$26,0))*parametros_manuales!$J$110)*parametros_manuales!$I$28*parametros_manuales!$J$28</f>
        <v>19019.96248472</v>
      </c>
      <c r="K200" s="9" t="n">
        <f aca="false">(parametros_manuales!$D$28*(datos_base!$I$2+datos_base!$I$18+IF(parametros_manuales!$H$28="Todos",datos_base!$I$9+datos_base!$I$23,0))*parametros_manuales!$K$95+parametros_manuales!$E$28*(datos_base!$I$3+datos_base!$I$19+IF(parametros_manuales!$H$28="Todos",datos_base!$I$10+datos_base!$I$24,0))*parametros_manuales!$K$100+parametros_manuales!$F$28*(datos_base!$I$4+datos_base!$I$20+IF(parametros_manuales!$H$28="Todos",datos_base!$I$11+datos_base!$I$25,0))*parametros_manuales!$K$105+parametros_manuales!$G$28*(datos_base!$I$5+datos_base!$I$21+IF(parametros_manuales!$H$28="Todos",datos_base!$I$12+datos_base!$I$26,0))*parametros_manuales!$K$110)*parametros_manuales!$I$28*parametros_manuales!$J$28</f>
        <v>19330.461573565</v>
      </c>
      <c r="L200" s="9" t="n">
        <f aca="false">(parametros_manuales!$D$28*(datos_base!$I$2+datos_base!$I$18+IF(parametros_manuales!$H$28="Todos",datos_base!$I$9+datos_base!$I$23,0))*parametros_manuales!$L$95+parametros_manuales!$E$28*(datos_base!$I$3+datos_base!$I$19+IF(parametros_manuales!$H$28="Todos",datos_base!$I$10+datos_base!$I$24,0))*parametros_manuales!$L$100+parametros_manuales!$F$28*(datos_base!$I$4+datos_base!$I$20+IF(parametros_manuales!$H$28="Todos",datos_base!$I$11+datos_base!$I$25,0))*parametros_manuales!$L$105+parametros_manuales!$G$28*(datos_base!$I$5+datos_base!$I$21+IF(parametros_manuales!$H$28="Todos",datos_base!$I$12+datos_base!$I$26,0))*parametros_manuales!$L$110)*parametros_manuales!$I$28*parametros_manuales!$J$28</f>
        <v>19640.96066241</v>
      </c>
      <c r="M200" s="9" t="n">
        <f aca="false">(parametros_manuales!$D$28*(datos_base!$I$2+datos_base!$I$18+IF(parametros_manuales!$H$28="Todos",datos_base!$I$9+datos_base!$I$23,0))*parametros_manuales!$M$95+parametros_manuales!$E$28*(datos_base!$I$3+datos_base!$I$19+IF(parametros_manuales!$H$28="Todos",datos_base!$I$10+datos_base!$I$24,0))*parametros_manuales!$M$100+parametros_manuales!$F$28*(datos_base!$I$4+datos_base!$I$20+IF(parametros_manuales!$H$28="Todos",datos_base!$I$11+datos_base!$I$25,0))*parametros_manuales!$M$105+parametros_manuales!$G$28*(datos_base!$I$5+datos_base!$I$21+IF(parametros_manuales!$H$28="Todos",datos_base!$I$12+datos_base!$I$26,0))*parametros_manuales!$M$110)*parametros_manuales!$I$28*parametros_manuales!$J$28</f>
        <v>19640.96066241</v>
      </c>
      <c r="N200" s="9" t="n">
        <f aca="false">SUM(B200:M200)</f>
        <v>218232.896249</v>
      </c>
      <c r="O200" s="9" t="n">
        <f aca="false">MAX(B200:M200)</f>
        <v>19640.96066241</v>
      </c>
      <c r="P200" s="43" t="n">
        <f aca="false">O200/(parametros_manuales!$B$7)</f>
        <v>130.9397377494</v>
      </c>
      <c r="Q200" s="8" t="str">
        <f aca="false">IF(O200=0,"-",INDEX($B$190:$M$190,MATCH(O200,B200:M200,0)))</f>
        <v>Ene</v>
      </c>
    </row>
    <row r="201" customFormat="false" ht="14.25" hidden="false" customHeight="true" outlineLevel="0" collapsed="false">
      <c r="A201" s="8" t="str">
        <f aca="false">parametros_manuales!$B$29</f>
        <v>Bordoneado</v>
      </c>
      <c r="B201" s="9" t="n">
        <f aca="false">(parametros_manuales!$D$29*(datos_base!$I$2+datos_base!$I$18+IF(parametros_manuales!$H$29="Todos",datos_base!$I$9+datos_base!$I$23,0))*parametros_manuales!$B$95+parametros_manuales!$E$29*(datos_base!$I$3+datos_base!$I$19+IF(parametros_manuales!$H$29="Todos",datos_base!$I$10+datos_base!$I$24,0))*parametros_manuales!$B$100+parametros_manuales!$F$29*(datos_base!$I$4+datos_base!$I$20+IF(parametros_manuales!$H$29="Todos",datos_base!$I$11+datos_base!$I$25,0))*parametros_manuales!$B$105+parametros_manuales!$G$29*(datos_base!$I$5+datos_base!$I$21+IF(parametros_manuales!$H$29="Todos",datos_base!$I$12+datos_base!$I$26,0))*parametros_manuales!$B$110)*parametros_manuales!$I$29*parametros_manuales!$J$29</f>
        <v>19640.96066241</v>
      </c>
      <c r="C201" s="9" t="n">
        <f aca="false">(parametros_manuales!$D$29*(datos_base!$I$2+datos_base!$I$18+IF(parametros_manuales!$H$29="Todos",datos_base!$I$9+datos_base!$I$23,0))*parametros_manuales!$C$95+parametros_manuales!$E$29*(datos_base!$I$3+datos_base!$I$19+IF(parametros_manuales!$H$29="Todos",datos_base!$I$10+datos_base!$I$24,0))*parametros_manuales!$C$100+parametros_manuales!$F$29*(datos_base!$I$4+datos_base!$I$20+IF(parametros_manuales!$H$29="Todos",datos_base!$I$11+datos_base!$I$25,0))*parametros_manuales!$C$105+parametros_manuales!$G$29*(datos_base!$I$5+datos_base!$I$21+IF(parametros_manuales!$H$29="Todos",datos_base!$I$12+datos_base!$I$26,0))*parametros_manuales!$C$110)*parametros_manuales!$I$29*parametros_manuales!$J$29</f>
        <v>19019.96248472</v>
      </c>
      <c r="D201" s="9" t="n">
        <f aca="false">(parametros_manuales!$D$29*(datos_base!$I$2+datos_base!$I$18+IF(parametros_manuales!$H$29="Todos",datos_base!$I$9+datos_base!$I$23,0))*parametros_manuales!$D$95+parametros_manuales!$E$29*(datos_base!$I$3+datos_base!$I$19+IF(parametros_manuales!$H$29="Todos",datos_base!$I$10+datos_base!$I$24,0))*parametros_manuales!$D$100+parametros_manuales!$F$29*(datos_base!$I$4+datos_base!$I$20+IF(parametros_manuales!$H$29="Todos",datos_base!$I$11+datos_base!$I$25,0))*parametros_manuales!$D$105+parametros_manuales!$G$29*(datos_base!$I$5+datos_base!$I$21+IF(parametros_manuales!$H$29="Todos",datos_base!$I$12+datos_base!$I$26,0))*parametros_manuales!$D$110)*parametros_manuales!$I$29*parametros_manuales!$J$29</f>
        <v>17769.130788765</v>
      </c>
      <c r="E201" s="9" t="n">
        <f aca="false">(parametros_manuales!$D$29*(datos_base!$I$2+datos_base!$I$18+IF(parametros_manuales!$H$29="Todos",datos_base!$I$9+datos_base!$I$23,0))*parametros_manuales!$E$95+parametros_manuales!$E$29*(datos_base!$I$3+datos_base!$I$19+IF(parametros_manuales!$H$29="Todos",datos_base!$I$10+datos_base!$I$24,0))*parametros_manuales!$E$100+parametros_manuales!$F$29*(datos_base!$I$4+datos_base!$I$20+IF(parametros_manuales!$H$29="Todos",datos_base!$I$11+datos_base!$I$25,0))*parametros_manuales!$E$105+parametros_manuales!$G$29*(datos_base!$I$5+datos_base!$I$21+IF(parametros_manuales!$H$29="Todos",datos_base!$I$12+datos_base!$I$26,0))*parametros_manuales!$E$110)*parametros_manuales!$I$29*parametros_manuales!$J$29</f>
        <v>16988.465396365</v>
      </c>
      <c r="F201" s="9" t="n">
        <f aca="false">(parametros_manuales!$D$29*(datos_base!$I$2+datos_base!$I$18+IF(parametros_manuales!$H$29="Todos",datos_base!$I$9+datos_base!$I$23,0))*parametros_manuales!$F$95+parametros_manuales!$E$29*(datos_base!$I$3+datos_base!$I$19+IF(parametros_manuales!$H$29="Todos",datos_base!$I$10+datos_base!$I$24,0))*parametros_manuales!$F$100+parametros_manuales!$F$29*(datos_base!$I$4+datos_base!$I$20+IF(parametros_manuales!$H$29="Todos",datos_base!$I$11+datos_base!$I$25,0))*parametros_manuales!$F$105+parametros_manuales!$G$29*(datos_base!$I$5+datos_base!$I$21+IF(parametros_manuales!$H$29="Todos",datos_base!$I$12+datos_base!$I$26,0))*parametros_manuales!$F$110)*parametros_manuales!$I$29*parametros_manuales!$J$29</f>
        <v>15897.30091512</v>
      </c>
      <c r="G201" s="9" t="n">
        <f aca="false">(parametros_manuales!$D$29*(datos_base!$I$2+datos_base!$I$18+IF(parametros_manuales!$H$29="Todos",datos_base!$I$9+datos_base!$I$23,0))*parametros_manuales!$G$95+parametros_manuales!$E$29*(datos_base!$I$3+datos_base!$I$19+IF(parametros_manuales!$H$29="Todos",datos_base!$I$10+datos_base!$I$24,0))*parametros_manuales!$G$100+parametros_manuales!$F$29*(datos_base!$I$4+datos_base!$I$20+IF(parametros_manuales!$H$29="Todos",datos_base!$I$11+datos_base!$I$25,0))*parametros_manuales!$G$105+parametros_manuales!$G$29*(datos_base!$I$5+datos_base!$I$21+IF(parametros_manuales!$H$29="Todos",datos_base!$I$12+datos_base!$I$26,0))*parametros_manuales!$G$110)*parametros_manuales!$I$29*parametros_manuales!$J$29</f>
        <v>15586.801826275</v>
      </c>
      <c r="H201" s="9" t="n">
        <f aca="false">(parametros_manuales!$D$29*(datos_base!$I$2+datos_base!$I$18+IF(parametros_manuales!$H$29="Todos",datos_base!$I$9+datos_base!$I$23,0))*parametros_manuales!$H$95+parametros_manuales!$E$29*(datos_base!$I$3+datos_base!$I$19+IF(parametros_manuales!$H$29="Todos",datos_base!$I$10+datos_base!$I$24,0))*parametros_manuales!$H$100+parametros_manuales!$F$29*(datos_base!$I$4+datos_base!$I$20+IF(parametros_manuales!$H$29="Todos",datos_base!$I$11+datos_base!$I$25,0))*parametros_manuales!$H$105+parametros_manuales!$G$29*(datos_base!$I$5+datos_base!$I$21+IF(parametros_manuales!$H$29="Todos",datos_base!$I$12+datos_base!$I$26,0))*parametros_manuales!$H$110)*parametros_manuales!$I$29*parametros_manuales!$J$29</f>
        <v>16677.96630752</v>
      </c>
      <c r="I201" s="9" t="n">
        <f aca="false">(parametros_manuales!$D$29*(datos_base!$I$2+datos_base!$I$18+IF(parametros_manuales!$H$29="Todos",datos_base!$I$9+datos_base!$I$23,0))*parametros_manuales!$I$95+parametros_manuales!$E$29*(datos_base!$I$3+datos_base!$I$19+IF(parametros_manuales!$H$29="Todos",datos_base!$I$10+datos_base!$I$24,0))*parametros_manuales!$I$100+parametros_manuales!$F$29*(datos_base!$I$4+datos_base!$I$20+IF(parametros_manuales!$H$29="Todos",datos_base!$I$11+datos_base!$I$25,0))*parametros_manuales!$I$105+parametros_manuales!$G$29*(datos_base!$I$5+datos_base!$I$21+IF(parametros_manuales!$H$29="Todos",datos_base!$I$12+datos_base!$I$26,0))*parametros_manuales!$I$110)*parametros_manuales!$I$29*parametros_manuales!$J$29</f>
        <v>19019.96248472</v>
      </c>
      <c r="J201" s="9" t="n">
        <f aca="false">(parametros_manuales!$D$29*(datos_base!$I$2+datos_base!$I$18+IF(parametros_manuales!$H$29="Todos",datos_base!$I$9+datos_base!$I$23,0))*parametros_manuales!$J$95+parametros_manuales!$E$29*(datos_base!$I$3+datos_base!$I$19+IF(parametros_manuales!$H$29="Todos",datos_base!$I$10+datos_base!$I$24,0))*parametros_manuales!$J$100+parametros_manuales!$F$29*(datos_base!$I$4+datos_base!$I$20+IF(parametros_manuales!$H$29="Todos",datos_base!$I$11+datos_base!$I$25,0))*parametros_manuales!$J$105+parametros_manuales!$G$29*(datos_base!$I$5+datos_base!$I$21+IF(parametros_manuales!$H$29="Todos",datos_base!$I$12+datos_base!$I$26,0))*parametros_manuales!$J$110)*parametros_manuales!$I$29*parametros_manuales!$J$29</f>
        <v>19019.96248472</v>
      </c>
      <c r="K201" s="9" t="n">
        <f aca="false">(parametros_manuales!$D$29*(datos_base!$I$2+datos_base!$I$18+IF(parametros_manuales!$H$29="Todos",datos_base!$I$9+datos_base!$I$23,0))*parametros_manuales!$K$95+parametros_manuales!$E$29*(datos_base!$I$3+datos_base!$I$19+IF(parametros_manuales!$H$29="Todos",datos_base!$I$10+datos_base!$I$24,0))*parametros_manuales!$K$100+parametros_manuales!$F$29*(datos_base!$I$4+datos_base!$I$20+IF(parametros_manuales!$H$29="Todos",datos_base!$I$11+datos_base!$I$25,0))*parametros_manuales!$K$105+parametros_manuales!$G$29*(datos_base!$I$5+datos_base!$I$21+IF(parametros_manuales!$H$29="Todos",datos_base!$I$12+datos_base!$I$26,0))*parametros_manuales!$K$110)*parametros_manuales!$I$29*parametros_manuales!$J$29</f>
        <v>19330.461573565</v>
      </c>
      <c r="L201" s="9" t="n">
        <f aca="false">(parametros_manuales!$D$29*(datos_base!$I$2+datos_base!$I$18+IF(parametros_manuales!$H$29="Todos",datos_base!$I$9+datos_base!$I$23,0))*parametros_manuales!$L$95+parametros_manuales!$E$29*(datos_base!$I$3+datos_base!$I$19+IF(parametros_manuales!$H$29="Todos",datos_base!$I$10+datos_base!$I$24,0))*parametros_manuales!$L$100+parametros_manuales!$F$29*(datos_base!$I$4+datos_base!$I$20+IF(parametros_manuales!$H$29="Todos",datos_base!$I$11+datos_base!$I$25,0))*parametros_manuales!$L$105+parametros_manuales!$G$29*(datos_base!$I$5+datos_base!$I$21+IF(parametros_manuales!$H$29="Todos",datos_base!$I$12+datos_base!$I$26,0))*parametros_manuales!$L$110)*parametros_manuales!$I$29*parametros_manuales!$J$29</f>
        <v>19640.96066241</v>
      </c>
      <c r="M201" s="9" t="n">
        <f aca="false">(parametros_manuales!$D$29*(datos_base!$I$2+datos_base!$I$18+IF(parametros_manuales!$H$29="Todos",datos_base!$I$9+datos_base!$I$23,0))*parametros_manuales!$M$95+parametros_manuales!$E$29*(datos_base!$I$3+datos_base!$I$19+IF(parametros_manuales!$H$29="Todos",datos_base!$I$10+datos_base!$I$24,0))*parametros_manuales!$M$100+parametros_manuales!$F$29*(datos_base!$I$4+datos_base!$I$20+IF(parametros_manuales!$H$29="Todos",datos_base!$I$11+datos_base!$I$25,0))*parametros_manuales!$M$105+parametros_manuales!$G$29*(datos_base!$I$5+datos_base!$I$21+IF(parametros_manuales!$H$29="Todos",datos_base!$I$12+datos_base!$I$26,0))*parametros_manuales!$M$110)*parametros_manuales!$I$29*parametros_manuales!$J$29</f>
        <v>19640.96066241</v>
      </c>
      <c r="N201" s="9" t="n">
        <f aca="false">SUM(B201:M201)</f>
        <v>218232.896249</v>
      </c>
      <c r="O201" s="9" t="n">
        <f aca="false">MAX(B201:M201)</f>
        <v>19640.96066241</v>
      </c>
      <c r="P201" s="43" t="n">
        <f aca="false">O201/(parametros_manuales!$B$7)</f>
        <v>130.9397377494</v>
      </c>
      <c r="Q201" s="8" t="str">
        <f aca="false">IF(O201=0,"-",INDEX($B$190:$M$190,MATCH(O201,B201:M201,0)))</f>
        <v>Ene</v>
      </c>
    </row>
    <row r="202" customFormat="false" ht="14.25" hidden="false" customHeight="true" outlineLevel="0" collapsed="false">
      <c r="A202" s="8" t="str">
        <f aca="false">parametros_manuales!$B$30</f>
        <v>Soldadura circunferencial de cúpula y fondo</v>
      </c>
      <c r="B202" s="9" t="n">
        <f aca="false">(parametros_manuales!$D$30*(datos_base!$I$2+datos_base!$I$18+IF(parametros_manuales!$H$30="Todos",datos_base!$I$9+datos_base!$I$23,0))*parametros_manuales!$B$95+parametros_manuales!$E$30*(datos_base!$I$3+datos_base!$I$19+IF(parametros_manuales!$H$30="Todos",datos_base!$I$10+datos_base!$I$24,0))*parametros_manuales!$B$100+parametros_manuales!$F$30*(datos_base!$I$4+datos_base!$I$20+IF(parametros_manuales!$H$30="Todos",datos_base!$I$11+datos_base!$I$25,0))*parametros_manuales!$B$105+parametros_manuales!$G$30*(datos_base!$I$5+datos_base!$I$21+IF(parametros_manuales!$H$30="Todos",datos_base!$I$12+datos_base!$I$26,0))*parametros_manuales!$B$110)*parametros_manuales!$I$30*parametros_manuales!$J$30</f>
        <v>19640.96066241</v>
      </c>
      <c r="C202" s="9" t="n">
        <f aca="false">(parametros_manuales!$D$30*(datos_base!$I$2+datos_base!$I$18+IF(parametros_manuales!$H$30="Todos",datos_base!$I$9+datos_base!$I$23,0))*parametros_manuales!$C$95+parametros_manuales!$E$30*(datos_base!$I$3+datos_base!$I$19+IF(parametros_manuales!$H$30="Todos",datos_base!$I$10+datos_base!$I$24,0))*parametros_manuales!$C$100+parametros_manuales!$F$30*(datos_base!$I$4+datos_base!$I$20+IF(parametros_manuales!$H$30="Todos",datos_base!$I$11+datos_base!$I$25,0))*parametros_manuales!$C$105+parametros_manuales!$G$30*(datos_base!$I$5+datos_base!$I$21+IF(parametros_manuales!$H$30="Todos",datos_base!$I$12+datos_base!$I$26,0))*parametros_manuales!$C$110)*parametros_manuales!$I$30*parametros_manuales!$J$30</f>
        <v>19019.96248472</v>
      </c>
      <c r="D202" s="9" t="n">
        <f aca="false">(parametros_manuales!$D$30*(datos_base!$I$2+datos_base!$I$18+IF(parametros_manuales!$H$30="Todos",datos_base!$I$9+datos_base!$I$23,0))*parametros_manuales!$D$95+parametros_manuales!$E$30*(datos_base!$I$3+datos_base!$I$19+IF(parametros_manuales!$H$30="Todos",datos_base!$I$10+datos_base!$I$24,0))*parametros_manuales!$D$100+parametros_manuales!$F$30*(datos_base!$I$4+datos_base!$I$20+IF(parametros_manuales!$H$30="Todos",datos_base!$I$11+datos_base!$I$25,0))*parametros_manuales!$D$105+parametros_manuales!$G$30*(datos_base!$I$5+datos_base!$I$21+IF(parametros_manuales!$H$30="Todos",datos_base!$I$12+datos_base!$I$26,0))*parametros_manuales!$D$110)*parametros_manuales!$I$30*parametros_manuales!$J$30</f>
        <v>17769.130788765</v>
      </c>
      <c r="E202" s="9" t="n">
        <f aca="false">(parametros_manuales!$D$30*(datos_base!$I$2+datos_base!$I$18+IF(parametros_manuales!$H$30="Todos",datos_base!$I$9+datos_base!$I$23,0))*parametros_manuales!$E$95+parametros_manuales!$E$30*(datos_base!$I$3+datos_base!$I$19+IF(parametros_manuales!$H$30="Todos",datos_base!$I$10+datos_base!$I$24,0))*parametros_manuales!$E$100+parametros_manuales!$F$30*(datos_base!$I$4+datos_base!$I$20+IF(parametros_manuales!$H$30="Todos",datos_base!$I$11+datos_base!$I$25,0))*parametros_manuales!$E$105+parametros_manuales!$G$30*(datos_base!$I$5+datos_base!$I$21+IF(parametros_manuales!$H$30="Todos",datos_base!$I$12+datos_base!$I$26,0))*parametros_manuales!$E$110)*parametros_manuales!$I$30*parametros_manuales!$J$30</f>
        <v>16988.465396365</v>
      </c>
      <c r="F202" s="9" t="n">
        <f aca="false">(parametros_manuales!$D$30*(datos_base!$I$2+datos_base!$I$18+IF(parametros_manuales!$H$30="Todos",datos_base!$I$9+datos_base!$I$23,0))*parametros_manuales!$F$95+parametros_manuales!$E$30*(datos_base!$I$3+datos_base!$I$19+IF(parametros_manuales!$H$30="Todos",datos_base!$I$10+datos_base!$I$24,0))*parametros_manuales!$F$100+parametros_manuales!$F$30*(datos_base!$I$4+datos_base!$I$20+IF(parametros_manuales!$H$30="Todos",datos_base!$I$11+datos_base!$I$25,0))*parametros_manuales!$F$105+parametros_manuales!$G$30*(datos_base!$I$5+datos_base!$I$21+IF(parametros_manuales!$H$30="Todos",datos_base!$I$12+datos_base!$I$26,0))*parametros_manuales!$F$110)*parametros_manuales!$I$30*parametros_manuales!$J$30</f>
        <v>15897.30091512</v>
      </c>
      <c r="G202" s="9" t="n">
        <f aca="false">(parametros_manuales!$D$30*(datos_base!$I$2+datos_base!$I$18+IF(parametros_manuales!$H$30="Todos",datos_base!$I$9+datos_base!$I$23,0))*parametros_manuales!$G$95+parametros_manuales!$E$30*(datos_base!$I$3+datos_base!$I$19+IF(parametros_manuales!$H$30="Todos",datos_base!$I$10+datos_base!$I$24,0))*parametros_manuales!$G$100+parametros_manuales!$F$30*(datos_base!$I$4+datos_base!$I$20+IF(parametros_manuales!$H$30="Todos",datos_base!$I$11+datos_base!$I$25,0))*parametros_manuales!$G$105+parametros_manuales!$G$30*(datos_base!$I$5+datos_base!$I$21+IF(parametros_manuales!$H$30="Todos",datos_base!$I$12+datos_base!$I$26,0))*parametros_manuales!$G$110)*parametros_manuales!$I$30*parametros_manuales!$J$30</f>
        <v>15586.801826275</v>
      </c>
      <c r="H202" s="9" t="n">
        <f aca="false">(parametros_manuales!$D$30*(datos_base!$I$2+datos_base!$I$18+IF(parametros_manuales!$H$30="Todos",datos_base!$I$9+datos_base!$I$23,0))*parametros_manuales!$H$95+parametros_manuales!$E$30*(datos_base!$I$3+datos_base!$I$19+IF(parametros_manuales!$H$30="Todos",datos_base!$I$10+datos_base!$I$24,0))*parametros_manuales!$H$100+parametros_manuales!$F$30*(datos_base!$I$4+datos_base!$I$20+IF(parametros_manuales!$H$30="Todos",datos_base!$I$11+datos_base!$I$25,0))*parametros_manuales!$H$105+parametros_manuales!$G$30*(datos_base!$I$5+datos_base!$I$21+IF(parametros_manuales!$H$30="Todos",datos_base!$I$12+datos_base!$I$26,0))*parametros_manuales!$H$110)*parametros_manuales!$I$30*parametros_manuales!$J$30</f>
        <v>16677.96630752</v>
      </c>
      <c r="I202" s="9" t="n">
        <f aca="false">(parametros_manuales!$D$30*(datos_base!$I$2+datos_base!$I$18+IF(parametros_manuales!$H$30="Todos",datos_base!$I$9+datos_base!$I$23,0))*parametros_manuales!$I$95+parametros_manuales!$E$30*(datos_base!$I$3+datos_base!$I$19+IF(parametros_manuales!$H$30="Todos",datos_base!$I$10+datos_base!$I$24,0))*parametros_manuales!$I$100+parametros_manuales!$F$30*(datos_base!$I$4+datos_base!$I$20+IF(parametros_manuales!$H$30="Todos",datos_base!$I$11+datos_base!$I$25,0))*parametros_manuales!$I$105+parametros_manuales!$G$30*(datos_base!$I$5+datos_base!$I$21+IF(parametros_manuales!$H$30="Todos",datos_base!$I$12+datos_base!$I$26,0))*parametros_manuales!$I$110)*parametros_manuales!$I$30*parametros_manuales!$J$30</f>
        <v>19019.96248472</v>
      </c>
      <c r="J202" s="9" t="n">
        <f aca="false">(parametros_manuales!$D$30*(datos_base!$I$2+datos_base!$I$18+IF(parametros_manuales!$H$30="Todos",datos_base!$I$9+datos_base!$I$23,0))*parametros_manuales!$J$95+parametros_manuales!$E$30*(datos_base!$I$3+datos_base!$I$19+IF(parametros_manuales!$H$30="Todos",datos_base!$I$10+datos_base!$I$24,0))*parametros_manuales!$J$100+parametros_manuales!$F$30*(datos_base!$I$4+datos_base!$I$20+IF(parametros_manuales!$H$30="Todos",datos_base!$I$11+datos_base!$I$25,0))*parametros_manuales!$J$105+parametros_manuales!$G$30*(datos_base!$I$5+datos_base!$I$21+IF(parametros_manuales!$H$30="Todos",datos_base!$I$12+datos_base!$I$26,0))*parametros_manuales!$J$110)*parametros_manuales!$I$30*parametros_manuales!$J$30</f>
        <v>19019.96248472</v>
      </c>
      <c r="K202" s="9" t="n">
        <f aca="false">(parametros_manuales!$D$30*(datos_base!$I$2+datos_base!$I$18+IF(parametros_manuales!$H$30="Todos",datos_base!$I$9+datos_base!$I$23,0))*parametros_manuales!$K$95+parametros_manuales!$E$30*(datos_base!$I$3+datos_base!$I$19+IF(parametros_manuales!$H$30="Todos",datos_base!$I$10+datos_base!$I$24,0))*parametros_manuales!$K$100+parametros_manuales!$F$30*(datos_base!$I$4+datos_base!$I$20+IF(parametros_manuales!$H$30="Todos",datos_base!$I$11+datos_base!$I$25,0))*parametros_manuales!$K$105+parametros_manuales!$G$30*(datos_base!$I$5+datos_base!$I$21+IF(parametros_manuales!$H$30="Todos",datos_base!$I$12+datos_base!$I$26,0))*parametros_manuales!$K$110)*parametros_manuales!$I$30*parametros_manuales!$J$30</f>
        <v>19330.461573565</v>
      </c>
      <c r="L202" s="9" t="n">
        <f aca="false">(parametros_manuales!$D$30*(datos_base!$I$2+datos_base!$I$18+IF(parametros_manuales!$H$30="Todos",datos_base!$I$9+datos_base!$I$23,0))*parametros_manuales!$L$95+parametros_manuales!$E$30*(datos_base!$I$3+datos_base!$I$19+IF(parametros_manuales!$H$30="Todos",datos_base!$I$10+datos_base!$I$24,0))*parametros_manuales!$L$100+parametros_manuales!$F$30*(datos_base!$I$4+datos_base!$I$20+IF(parametros_manuales!$H$30="Todos",datos_base!$I$11+datos_base!$I$25,0))*parametros_manuales!$L$105+parametros_manuales!$G$30*(datos_base!$I$5+datos_base!$I$21+IF(parametros_manuales!$H$30="Todos",datos_base!$I$12+datos_base!$I$26,0))*parametros_manuales!$L$110)*parametros_manuales!$I$30*parametros_manuales!$J$30</f>
        <v>19640.96066241</v>
      </c>
      <c r="M202" s="9" t="n">
        <f aca="false">(parametros_manuales!$D$30*(datos_base!$I$2+datos_base!$I$18+IF(parametros_manuales!$H$30="Todos",datos_base!$I$9+datos_base!$I$23,0))*parametros_manuales!$M$95+parametros_manuales!$E$30*(datos_base!$I$3+datos_base!$I$19+IF(parametros_manuales!$H$30="Todos",datos_base!$I$10+datos_base!$I$24,0))*parametros_manuales!$M$100+parametros_manuales!$F$30*(datos_base!$I$4+datos_base!$I$20+IF(parametros_manuales!$H$30="Todos",datos_base!$I$11+datos_base!$I$25,0))*parametros_manuales!$M$105+parametros_manuales!$G$30*(datos_base!$I$5+datos_base!$I$21+IF(parametros_manuales!$H$30="Todos",datos_base!$I$12+datos_base!$I$26,0))*parametros_manuales!$M$110)*parametros_manuales!$I$30*parametros_manuales!$J$30</f>
        <v>19640.96066241</v>
      </c>
      <c r="N202" s="9" t="n">
        <f aca="false">SUM(B202:M202)</f>
        <v>218232.896249</v>
      </c>
      <c r="O202" s="9" t="n">
        <f aca="false">MAX(B202:M202)</f>
        <v>19640.96066241</v>
      </c>
      <c r="P202" s="43" t="n">
        <f aca="false">O202/(parametros_manuales!$B$7)</f>
        <v>130.9397377494</v>
      </c>
      <c r="Q202" s="8" t="str">
        <f aca="false">IF(O202=0,"-",INDEX($B$190:$M$190,MATCH(O202,B202:M202,0)))</f>
        <v>Ene</v>
      </c>
    </row>
    <row r="203" customFormat="false" ht="14.25" hidden="false" customHeight="true" outlineLevel="0" collapsed="false">
      <c r="A203" s="8" t="str">
        <f aca="false">parametros_manuales!$B$31</f>
        <v>Control de calidad — Espesor</v>
      </c>
      <c r="B203" s="9" t="n">
        <f aca="false">(parametros_manuales!$D$31*(datos_base!$I$2+datos_base!$I$18+IF(parametros_manuales!$H$31="Todos",datos_base!$I$9+datos_base!$I$23,0))*parametros_manuales!$B$95+parametros_manuales!$E$31*(datos_base!$I$3+datos_base!$I$19+IF(parametros_manuales!$H$31="Todos",datos_base!$I$10+datos_base!$I$24,0))*parametros_manuales!$B$100+parametros_manuales!$F$31*(datos_base!$I$4+datos_base!$I$20+IF(parametros_manuales!$H$31="Todos",datos_base!$I$11+datos_base!$I$25,0))*parametros_manuales!$B$105+parametros_manuales!$G$31*(datos_base!$I$5+datos_base!$I$21+IF(parametros_manuales!$H$31="Todos",datos_base!$I$12+datos_base!$I$26,0))*parametros_manuales!$B$110)*parametros_manuales!$I$31*parametros_manuales!$J$31</f>
        <v>392.8192132482</v>
      </c>
      <c r="C203" s="9" t="n">
        <f aca="false">(parametros_manuales!$D$31*(datos_base!$I$2+datos_base!$I$18+IF(parametros_manuales!$H$31="Todos",datos_base!$I$9+datos_base!$I$23,0))*parametros_manuales!$C$95+parametros_manuales!$E$31*(datos_base!$I$3+datos_base!$I$19+IF(parametros_manuales!$H$31="Todos",datos_base!$I$10+datos_base!$I$24,0))*parametros_manuales!$C$100+parametros_manuales!$F$31*(datos_base!$I$4+datos_base!$I$20+IF(parametros_manuales!$H$31="Todos",datos_base!$I$11+datos_base!$I$25,0))*parametros_manuales!$C$105+parametros_manuales!$G$31*(datos_base!$I$5+datos_base!$I$21+IF(parametros_manuales!$H$31="Todos",datos_base!$I$12+datos_base!$I$26,0))*parametros_manuales!$C$110)*parametros_manuales!$I$31*parametros_manuales!$J$31</f>
        <v>380.3992496944</v>
      </c>
      <c r="D203" s="9" t="n">
        <f aca="false">(parametros_manuales!$D$31*(datos_base!$I$2+datos_base!$I$18+IF(parametros_manuales!$H$31="Todos",datos_base!$I$9+datos_base!$I$23,0))*parametros_manuales!$D$95+parametros_manuales!$E$31*(datos_base!$I$3+datos_base!$I$19+IF(parametros_manuales!$H$31="Todos",datos_base!$I$10+datos_base!$I$24,0))*parametros_manuales!$D$100+parametros_manuales!$F$31*(datos_base!$I$4+datos_base!$I$20+IF(parametros_manuales!$H$31="Todos",datos_base!$I$11+datos_base!$I$25,0))*parametros_manuales!$D$105+parametros_manuales!$G$31*(datos_base!$I$5+datos_base!$I$21+IF(parametros_manuales!$H$31="Todos",datos_base!$I$12+datos_base!$I$26,0))*parametros_manuales!$D$110)*parametros_manuales!$I$31*parametros_manuales!$J$31</f>
        <v>355.3826157753</v>
      </c>
      <c r="E203" s="9" t="n">
        <f aca="false">(parametros_manuales!$D$31*(datos_base!$I$2+datos_base!$I$18+IF(parametros_manuales!$H$31="Todos",datos_base!$I$9+datos_base!$I$23,0))*parametros_manuales!$E$95+parametros_manuales!$E$31*(datos_base!$I$3+datos_base!$I$19+IF(parametros_manuales!$H$31="Todos",datos_base!$I$10+datos_base!$I$24,0))*parametros_manuales!$E$100+parametros_manuales!$F$31*(datos_base!$I$4+datos_base!$I$20+IF(parametros_manuales!$H$31="Todos",datos_base!$I$11+datos_base!$I$25,0))*parametros_manuales!$E$105+parametros_manuales!$G$31*(datos_base!$I$5+datos_base!$I$21+IF(parametros_manuales!$H$31="Todos",datos_base!$I$12+datos_base!$I$26,0))*parametros_manuales!$E$110)*parametros_manuales!$I$31*parametros_manuales!$J$31</f>
        <v>339.7693079273</v>
      </c>
      <c r="F203" s="9" t="n">
        <f aca="false">(parametros_manuales!$D$31*(datos_base!$I$2+datos_base!$I$18+IF(parametros_manuales!$H$31="Todos",datos_base!$I$9+datos_base!$I$23,0))*parametros_manuales!$F$95+parametros_manuales!$E$31*(datos_base!$I$3+datos_base!$I$19+IF(parametros_manuales!$H$31="Todos",datos_base!$I$10+datos_base!$I$24,0))*parametros_manuales!$F$100+parametros_manuales!$F$31*(datos_base!$I$4+datos_base!$I$20+IF(parametros_manuales!$H$31="Todos",datos_base!$I$11+datos_base!$I$25,0))*parametros_manuales!$F$105+parametros_manuales!$G$31*(datos_base!$I$5+datos_base!$I$21+IF(parametros_manuales!$H$31="Todos",datos_base!$I$12+datos_base!$I$26,0))*parametros_manuales!$F$110)*parametros_manuales!$I$31*parametros_manuales!$J$31</f>
        <v>317.9460183024</v>
      </c>
      <c r="G203" s="9" t="n">
        <f aca="false">(parametros_manuales!$D$31*(datos_base!$I$2+datos_base!$I$18+IF(parametros_manuales!$H$31="Todos",datos_base!$I$9+datos_base!$I$23,0))*parametros_manuales!$G$95+parametros_manuales!$E$31*(datos_base!$I$3+datos_base!$I$19+IF(parametros_manuales!$H$31="Todos",datos_base!$I$10+datos_base!$I$24,0))*parametros_manuales!$G$100+parametros_manuales!$F$31*(datos_base!$I$4+datos_base!$I$20+IF(parametros_manuales!$H$31="Todos",datos_base!$I$11+datos_base!$I$25,0))*parametros_manuales!$G$105+parametros_manuales!$G$31*(datos_base!$I$5+datos_base!$I$21+IF(parametros_manuales!$H$31="Todos",datos_base!$I$12+datos_base!$I$26,0))*parametros_manuales!$G$110)*parametros_manuales!$I$31*parametros_manuales!$J$31</f>
        <v>311.7360365255</v>
      </c>
      <c r="H203" s="9" t="n">
        <f aca="false">(parametros_manuales!$D$31*(datos_base!$I$2+datos_base!$I$18+IF(parametros_manuales!$H$31="Todos",datos_base!$I$9+datos_base!$I$23,0))*parametros_manuales!$H$95+parametros_manuales!$E$31*(datos_base!$I$3+datos_base!$I$19+IF(parametros_manuales!$H$31="Todos",datos_base!$I$10+datos_base!$I$24,0))*parametros_manuales!$H$100+parametros_manuales!$F$31*(datos_base!$I$4+datos_base!$I$20+IF(parametros_manuales!$H$31="Todos",datos_base!$I$11+datos_base!$I$25,0))*parametros_manuales!$H$105+parametros_manuales!$G$31*(datos_base!$I$5+datos_base!$I$21+IF(parametros_manuales!$H$31="Todos",datos_base!$I$12+datos_base!$I$26,0))*parametros_manuales!$H$110)*parametros_manuales!$I$31*parametros_manuales!$J$31</f>
        <v>333.5593261504</v>
      </c>
      <c r="I203" s="9" t="n">
        <f aca="false">(parametros_manuales!$D$31*(datos_base!$I$2+datos_base!$I$18+IF(parametros_manuales!$H$31="Todos",datos_base!$I$9+datos_base!$I$23,0))*parametros_manuales!$I$95+parametros_manuales!$E$31*(datos_base!$I$3+datos_base!$I$19+IF(parametros_manuales!$H$31="Todos",datos_base!$I$10+datos_base!$I$24,0))*parametros_manuales!$I$100+parametros_manuales!$F$31*(datos_base!$I$4+datos_base!$I$20+IF(parametros_manuales!$H$31="Todos",datos_base!$I$11+datos_base!$I$25,0))*parametros_manuales!$I$105+parametros_manuales!$G$31*(datos_base!$I$5+datos_base!$I$21+IF(parametros_manuales!$H$31="Todos",datos_base!$I$12+datos_base!$I$26,0))*parametros_manuales!$I$110)*parametros_manuales!$I$31*parametros_manuales!$J$31</f>
        <v>380.3992496944</v>
      </c>
      <c r="J203" s="9" t="n">
        <f aca="false">(parametros_manuales!$D$31*(datos_base!$I$2+datos_base!$I$18+IF(parametros_manuales!$H$31="Todos",datos_base!$I$9+datos_base!$I$23,0))*parametros_manuales!$J$95+parametros_manuales!$E$31*(datos_base!$I$3+datos_base!$I$19+IF(parametros_manuales!$H$31="Todos",datos_base!$I$10+datos_base!$I$24,0))*parametros_manuales!$J$100+parametros_manuales!$F$31*(datos_base!$I$4+datos_base!$I$20+IF(parametros_manuales!$H$31="Todos",datos_base!$I$11+datos_base!$I$25,0))*parametros_manuales!$J$105+parametros_manuales!$G$31*(datos_base!$I$5+datos_base!$I$21+IF(parametros_manuales!$H$31="Todos",datos_base!$I$12+datos_base!$I$26,0))*parametros_manuales!$J$110)*parametros_manuales!$I$31*parametros_manuales!$J$31</f>
        <v>380.3992496944</v>
      </c>
      <c r="K203" s="9" t="n">
        <f aca="false">(parametros_manuales!$D$31*(datos_base!$I$2+datos_base!$I$18+IF(parametros_manuales!$H$31="Todos",datos_base!$I$9+datos_base!$I$23,0))*parametros_manuales!$K$95+parametros_manuales!$E$31*(datos_base!$I$3+datos_base!$I$19+IF(parametros_manuales!$H$31="Todos",datos_base!$I$10+datos_base!$I$24,0))*parametros_manuales!$K$100+parametros_manuales!$F$31*(datos_base!$I$4+datos_base!$I$20+IF(parametros_manuales!$H$31="Todos",datos_base!$I$11+datos_base!$I$25,0))*parametros_manuales!$K$105+parametros_manuales!$G$31*(datos_base!$I$5+datos_base!$I$21+IF(parametros_manuales!$H$31="Todos",datos_base!$I$12+datos_base!$I$26,0))*parametros_manuales!$K$110)*parametros_manuales!$I$31*parametros_manuales!$J$31</f>
        <v>386.6092314713</v>
      </c>
      <c r="L203" s="9" t="n">
        <f aca="false">(parametros_manuales!$D$31*(datos_base!$I$2+datos_base!$I$18+IF(parametros_manuales!$H$31="Todos",datos_base!$I$9+datos_base!$I$23,0))*parametros_manuales!$L$95+parametros_manuales!$E$31*(datos_base!$I$3+datos_base!$I$19+IF(parametros_manuales!$H$31="Todos",datos_base!$I$10+datos_base!$I$24,0))*parametros_manuales!$L$100+parametros_manuales!$F$31*(datos_base!$I$4+datos_base!$I$20+IF(parametros_manuales!$H$31="Todos",datos_base!$I$11+datos_base!$I$25,0))*parametros_manuales!$L$105+parametros_manuales!$G$31*(datos_base!$I$5+datos_base!$I$21+IF(parametros_manuales!$H$31="Todos",datos_base!$I$12+datos_base!$I$26,0))*parametros_manuales!$L$110)*parametros_manuales!$I$31*parametros_manuales!$J$31</f>
        <v>392.8192132482</v>
      </c>
      <c r="M203" s="9" t="n">
        <f aca="false">(parametros_manuales!$D$31*(datos_base!$I$2+datos_base!$I$18+IF(parametros_manuales!$H$31="Todos",datos_base!$I$9+datos_base!$I$23,0))*parametros_manuales!$M$95+parametros_manuales!$E$31*(datos_base!$I$3+datos_base!$I$19+IF(parametros_manuales!$H$31="Todos",datos_base!$I$10+datos_base!$I$24,0))*parametros_manuales!$M$100+parametros_manuales!$F$31*(datos_base!$I$4+datos_base!$I$20+IF(parametros_manuales!$H$31="Todos",datos_base!$I$11+datos_base!$I$25,0))*parametros_manuales!$M$105+parametros_manuales!$G$31*(datos_base!$I$5+datos_base!$I$21+IF(parametros_manuales!$H$31="Todos",datos_base!$I$12+datos_base!$I$26,0))*parametros_manuales!$M$110)*parametros_manuales!$I$31*parametros_manuales!$J$31</f>
        <v>392.8192132482</v>
      </c>
      <c r="N203" s="9" t="n">
        <f aca="false">SUM(B203:M203)</f>
        <v>4364.65792498</v>
      </c>
      <c r="O203" s="9" t="n">
        <f aca="false">MAX(B203:M203)</f>
        <v>392.8192132482</v>
      </c>
      <c r="P203" s="43" t="n">
        <f aca="false">O203/(parametros_manuales!$B$7)</f>
        <v>2.618794754988</v>
      </c>
      <c r="Q203" s="8" t="str">
        <f aca="false">IF(O203=0,"-",INDEX($B$190:$M$190,MATCH(O203,B203:M203,0)))</f>
        <v>Ene</v>
      </c>
    </row>
    <row r="204" customFormat="false" ht="14.25" hidden="false" customHeight="true" outlineLevel="0" collapsed="false">
      <c r="A204" s="8" t="str">
        <f aca="false">parametros_manuales!$B$32</f>
        <v>Prueba hidráulica</v>
      </c>
      <c r="B204" s="9" t="n">
        <f aca="false">(parametros_manuales!$D$32*(datos_base!$I$2+datos_base!$I$18+IF(parametros_manuales!$H$32="Todos",datos_base!$I$9+datos_base!$I$23,0))*parametros_manuales!$B$95+parametros_manuales!$E$32*(datos_base!$I$3+datos_base!$I$19+IF(parametros_manuales!$H$32="Todos",datos_base!$I$10+datos_base!$I$24,0))*parametros_manuales!$B$100+parametros_manuales!$F$32*(datos_base!$I$4+datos_base!$I$20+IF(parametros_manuales!$H$32="Todos",datos_base!$I$11+datos_base!$I$25,0))*parametros_manuales!$B$105+parametros_manuales!$G$32*(datos_base!$I$5+datos_base!$I$21+IF(parametros_manuales!$H$32="Todos",datos_base!$I$12+datos_base!$I$26,0))*parametros_manuales!$B$110)*parametros_manuales!$I$32*parametros_manuales!$J$32</f>
        <v>19640.96066241</v>
      </c>
      <c r="C204" s="9" t="n">
        <f aca="false">(parametros_manuales!$D$32*(datos_base!$I$2+datos_base!$I$18+IF(parametros_manuales!$H$32="Todos",datos_base!$I$9+datos_base!$I$23,0))*parametros_manuales!$C$95+parametros_manuales!$E$32*(datos_base!$I$3+datos_base!$I$19+IF(parametros_manuales!$H$32="Todos",datos_base!$I$10+datos_base!$I$24,0))*parametros_manuales!$C$100+parametros_manuales!$F$32*(datos_base!$I$4+datos_base!$I$20+IF(parametros_manuales!$H$32="Todos",datos_base!$I$11+datos_base!$I$25,0))*parametros_manuales!$C$105+parametros_manuales!$G$32*(datos_base!$I$5+datos_base!$I$21+IF(parametros_manuales!$H$32="Todos",datos_base!$I$12+datos_base!$I$26,0))*parametros_manuales!$C$110)*parametros_manuales!$I$32*parametros_manuales!$J$32</f>
        <v>19019.96248472</v>
      </c>
      <c r="D204" s="9" t="n">
        <f aca="false">(parametros_manuales!$D$32*(datos_base!$I$2+datos_base!$I$18+IF(parametros_manuales!$H$32="Todos",datos_base!$I$9+datos_base!$I$23,0))*parametros_manuales!$D$95+parametros_manuales!$E$32*(datos_base!$I$3+datos_base!$I$19+IF(parametros_manuales!$H$32="Todos",datos_base!$I$10+datos_base!$I$24,0))*parametros_manuales!$D$100+parametros_manuales!$F$32*(datos_base!$I$4+datos_base!$I$20+IF(parametros_manuales!$H$32="Todos",datos_base!$I$11+datos_base!$I$25,0))*parametros_manuales!$D$105+parametros_manuales!$G$32*(datos_base!$I$5+datos_base!$I$21+IF(parametros_manuales!$H$32="Todos",datos_base!$I$12+datos_base!$I$26,0))*parametros_manuales!$D$110)*parametros_manuales!$I$32*parametros_manuales!$J$32</f>
        <v>17769.130788765</v>
      </c>
      <c r="E204" s="9" t="n">
        <f aca="false">(parametros_manuales!$D$32*(datos_base!$I$2+datos_base!$I$18+IF(parametros_manuales!$H$32="Todos",datos_base!$I$9+datos_base!$I$23,0))*parametros_manuales!$E$95+parametros_manuales!$E$32*(datos_base!$I$3+datos_base!$I$19+IF(parametros_manuales!$H$32="Todos",datos_base!$I$10+datos_base!$I$24,0))*parametros_manuales!$E$100+parametros_manuales!$F$32*(datos_base!$I$4+datos_base!$I$20+IF(parametros_manuales!$H$32="Todos",datos_base!$I$11+datos_base!$I$25,0))*parametros_manuales!$E$105+parametros_manuales!$G$32*(datos_base!$I$5+datos_base!$I$21+IF(parametros_manuales!$H$32="Todos",datos_base!$I$12+datos_base!$I$26,0))*parametros_manuales!$E$110)*parametros_manuales!$I$32*parametros_manuales!$J$32</f>
        <v>16988.465396365</v>
      </c>
      <c r="F204" s="9" t="n">
        <f aca="false">(parametros_manuales!$D$32*(datos_base!$I$2+datos_base!$I$18+IF(parametros_manuales!$H$32="Todos",datos_base!$I$9+datos_base!$I$23,0))*parametros_manuales!$F$95+parametros_manuales!$E$32*(datos_base!$I$3+datos_base!$I$19+IF(parametros_manuales!$H$32="Todos",datos_base!$I$10+datos_base!$I$24,0))*parametros_manuales!$F$100+parametros_manuales!$F$32*(datos_base!$I$4+datos_base!$I$20+IF(parametros_manuales!$H$32="Todos",datos_base!$I$11+datos_base!$I$25,0))*parametros_manuales!$F$105+parametros_manuales!$G$32*(datos_base!$I$5+datos_base!$I$21+IF(parametros_manuales!$H$32="Todos",datos_base!$I$12+datos_base!$I$26,0))*parametros_manuales!$F$110)*parametros_manuales!$I$32*parametros_manuales!$J$32</f>
        <v>15897.30091512</v>
      </c>
      <c r="G204" s="9" t="n">
        <f aca="false">(parametros_manuales!$D$32*(datos_base!$I$2+datos_base!$I$18+IF(parametros_manuales!$H$32="Todos",datos_base!$I$9+datos_base!$I$23,0))*parametros_manuales!$G$95+parametros_manuales!$E$32*(datos_base!$I$3+datos_base!$I$19+IF(parametros_manuales!$H$32="Todos",datos_base!$I$10+datos_base!$I$24,0))*parametros_manuales!$G$100+parametros_manuales!$F$32*(datos_base!$I$4+datos_base!$I$20+IF(parametros_manuales!$H$32="Todos",datos_base!$I$11+datos_base!$I$25,0))*parametros_manuales!$G$105+parametros_manuales!$G$32*(datos_base!$I$5+datos_base!$I$21+IF(parametros_manuales!$H$32="Todos",datos_base!$I$12+datos_base!$I$26,0))*parametros_manuales!$G$110)*parametros_manuales!$I$32*parametros_manuales!$J$32</f>
        <v>15586.801826275</v>
      </c>
      <c r="H204" s="9" t="n">
        <f aca="false">(parametros_manuales!$D$32*(datos_base!$I$2+datos_base!$I$18+IF(parametros_manuales!$H$32="Todos",datos_base!$I$9+datos_base!$I$23,0))*parametros_manuales!$H$95+parametros_manuales!$E$32*(datos_base!$I$3+datos_base!$I$19+IF(parametros_manuales!$H$32="Todos",datos_base!$I$10+datos_base!$I$24,0))*parametros_manuales!$H$100+parametros_manuales!$F$32*(datos_base!$I$4+datos_base!$I$20+IF(parametros_manuales!$H$32="Todos",datos_base!$I$11+datos_base!$I$25,0))*parametros_manuales!$H$105+parametros_manuales!$G$32*(datos_base!$I$5+datos_base!$I$21+IF(parametros_manuales!$H$32="Todos",datos_base!$I$12+datos_base!$I$26,0))*parametros_manuales!$H$110)*parametros_manuales!$I$32*parametros_manuales!$J$32</f>
        <v>16677.96630752</v>
      </c>
      <c r="I204" s="9" t="n">
        <f aca="false">(parametros_manuales!$D$32*(datos_base!$I$2+datos_base!$I$18+IF(parametros_manuales!$H$32="Todos",datos_base!$I$9+datos_base!$I$23,0))*parametros_manuales!$I$95+parametros_manuales!$E$32*(datos_base!$I$3+datos_base!$I$19+IF(parametros_manuales!$H$32="Todos",datos_base!$I$10+datos_base!$I$24,0))*parametros_manuales!$I$100+parametros_manuales!$F$32*(datos_base!$I$4+datos_base!$I$20+IF(parametros_manuales!$H$32="Todos",datos_base!$I$11+datos_base!$I$25,0))*parametros_manuales!$I$105+parametros_manuales!$G$32*(datos_base!$I$5+datos_base!$I$21+IF(parametros_manuales!$H$32="Todos",datos_base!$I$12+datos_base!$I$26,0))*parametros_manuales!$I$110)*parametros_manuales!$I$32*parametros_manuales!$J$32</f>
        <v>19019.96248472</v>
      </c>
      <c r="J204" s="9" t="n">
        <f aca="false">(parametros_manuales!$D$32*(datos_base!$I$2+datos_base!$I$18+IF(parametros_manuales!$H$32="Todos",datos_base!$I$9+datos_base!$I$23,0))*parametros_manuales!$J$95+parametros_manuales!$E$32*(datos_base!$I$3+datos_base!$I$19+IF(parametros_manuales!$H$32="Todos",datos_base!$I$10+datos_base!$I$24,0))*parametros_manuales!$J$100+parametros_manuales!$F$32*(datos_base!$I$4+datos_base!$I$20+IF(parametros_manuales!$H$32="Todos",datos_base!$I$11+datos_base!$I$25,0))*parametros_manuales!$J$105+parametros_manuales!$G$32*(datos_base!$I$5+datos_base!$I$21+IF(parametros_manuales!$H$32="Todos",datos_base!$I$12+datos_base!$I$26,0))*parametros_manuales!$J$110)*parametros_manuales!$I$32*parametros_manuales!$J$32</f>
        <v>19019.96248472</v>
      </c>
      <c r="K204" s="9" t="n">
        <f aca="false">(parametros_manuales!$D$32*(datos_base!$I$2+datos_base!$I$18+IF(parametros_manuales!$H$32="Todos",datos_base!$I$9+datos_base!$I$23,0))*parametros_manuales!$K$95+parametros_manuales!$E$32*(datos_base!$I$3+datos_base!$I$19+IF(parametros_manuales!$H$32="Todos",datos_base!$I$10+datos_base!$I$24,0))*parametros_manuales!$K$100+parametros_manuales!$F$32*(datos_base!$I$4+datos_base!$I$20+IF(parametros_manuales!$H$32="Todos",datos_base!$I$11+datos_base!$I$25,0))*parametros_manuales!$K$105+parametros_manuales!$G$32*(datos_base!$I$5+datos_base!$I$21+IF(parametros_manuales!$H$32="Todos",datos_base!$I$12+datos_base!$I$26,0))*parametros_manuales!$K$110)*parametros_manuales!$I$32*parametros_manuales!$J$32</f>
        <v>19330.461573565</v>
      </c>
      <c r="L204" s="9" t="n">
        <f aca="false">(parametros_manuales!$D$32*(datos_base!$I$2+datos_base!$I$18+IF(parametros_manuales!$H$32="Todos",datos_base!$I$9+datos_base!$I$23,0))*parametros_manuales!$L$95+parametros_manuales!$E$32*(datos_base!$I$3+datos_base!$I$19+IF(parametros_manuales!$H$32="Todos",datos_base!$I$10+datos_base!$I$24,0))*parametros_manuales!$L$100+parametros_manuales!$F$32*(datos_base!$I$4+datos_base!$I$20+IF(parametros_manuales!$H$32="Todos",datos_base!$I$11+datos_base!$I$25,0))*parametros_manuales!$L$105+parametros_manuales!$G$32*(datos_base!$I$5+datos_base!$I$21+IF(parametros_manuales!$H$32="Todos",datos_base!$I$12+datos_base!$I$26,0))*parametros_manuales!$L$110)*parametros_manuales!$I$32*parametros_manuales!$J$32</f>
        <v>19640.96066241</v>
      </c>
      <c r="M204" s="9" t="n">
        <f aca="false">(parametros_manuales!$D$32*(datos_base!$I$2+datos_base!$I$18+IF(parametros_manuales!$H$32="Todos",datos_base!$I$9+datos_base!$I$23,0))*parametros_manuales!$M$95+parametros_manuales!$E$32*(datos_base!$I$3+datos_base!$I$19+IF(parametros_manuales!$H$32="Todos",datos_base!$I$10+datos_base!$I$24,0))*parametros_manuales!$M$100+parametros_manuales!$F$32*(datos_base!$I$4+datos_base!$I$20+IF(parametros_manuales!$H$32="Todos",datos_base!$I$11+datos_base!$I$25,0))*parametros_manuales!$M$105+parametros_manuales!$G$32*(datos_base!$I$5+datos_base!$I$21+IF(parametros_manuales!$H$32="Todos",datos_base!$I$12+datos_base!$I$26,0))*parametros_manuales!$M$110)*parametros_manuales!$I$32*parametros_manuales!$J$32</f>
        <v>19640.96066241</v>
      </c>
      <c r="N204" s="9" t="n">
        <f aca="false">SUM(B204:M204)</f>
        <v>218232.896249</v>
      </c>
      <c r="O204" s="9" t="n">
        <f aca="false">MAX(B204:M204)</f>
        <v>19640.96066241</v>
      </c>
      <c r="P204" s="43" t="n">
        <f aca="false">O204/(parametros_manuales!$B$7)</f>
        <v>130.9397377494</v>
      </c>
      <c r="Q204" s="8" t="str">
        <f aca="false">IF(O204=0,"-",INDEX($B$190:$M$190,MATCH(O204,B204:M204,0)))</f>
        <v>Ene</v>
      </c>
    </row>
    <row r="205" customFormat="false" ht="14.25" hidden="false" customHeight="true" outlineLevel="0" collapsed="false">
      <c r="A205" s="8" t="str">
        <f aca="false">parametros_manuales!$B$33</f>
        <v>Secado</v>
      </c>
      <c r="B205" s="9" t="n">
        <f aca="false">(parametros_manuales!$D$33*(datos_base!$I$2+datos_base!$I$18+IF(parametros_manuales!$H$33="Todos",datos_base!$I$9+datos_base!$I$23,0))*parametros_manuales!$B$95+parametros_manuales!$E$33*(datos_base!$I$3+datos_base!$I$19+IF(parametros_manuales!$H$33="Todos",datos_base!$I$10+datos_base!$I$24,0))*parametros_manuales!$B$100+parametros_manuales!$F$33*(datos_base!$I$4+datos_base!$I$20+IF(parametros_manuales!$H$33="Todos",datos_base!$I$11+datos_base!$I$25,0))*parametros_manuales!$B$105+parametros_manuales!$G$33*(datos_base!$I$5+datos_base!$I$21+IF(parametros_manuales!$H$33="Todos",datos_base!$I$12+datos_base!$I$26,0))*parametros_manuales!$B$110)*parametros_manuales!$I$33*parametros_manuales!$J$33</f>
        <v>19640.96066241</v>
      </c>
      <c r="C205" s="9" t="n">
        <f aca="false">(parametros_manuales!$D$33*(datos_base!$I$2+datos_base!$I$18+IF(parametros_manuales!$H$33="Todos",datos_base!$I$9+datos_base!$I$23,0))*parametros_manuales!$C$95+parametros_manuales!$E$33*(datos_base!$I$3+datos_base!$I$19+IF(parametros_manuales!$H$33="Todos",datos_base!$I$10+datos_base!$I$24,0))*parametros_manuales!$C$100+parametros_manuales!$F$33*(datos_base!$I$4+datos_base!$I$20+IF(parametros_manuales!$H$33="Todos",datos_base!$I$11+datos_base!$I$25,0))*parametros_manuales!$C$105+parametros_manuales!$G$33*(datos_base!$I$5+datos_base!$I$21+IF(parametros_manuales!$H$33="Todos",datos_base!$I$12+datos_base!$I$26,0))*parametros_manuales!$C$110)*parametros_manuales!$I$33*parametros_manuales!$J$33</f>
        <v>19019.96248472</v>
      </c>
      <c r="D205" s="9" t="n">
        <f aca="false">(parametros_manuales!$D$33*(datos_base!$I$2+datos_base!$I$18+IF(parametros_manuales!$H$33="Todos",datos_base!$I$9+datos_base!$I$23,0))*parametros_manuales!$D$95+parametros_manuales!$E$33*(datos_base!$I$3+datos_base!$I$19+IF(parametros_manuales!$H$33="Todos",datos_base!$I$10+datos_base!$I$24,0))*parametros_manuales!$D$100+parametros_manuales!$F$33*(datos_base!$I$4+datos_base!$I$20+IF(parametros_manuales!$H$33="Todos",datos_base!$I$11+datos_base!$I$25,0))*parametros_manuales!$D$105+parametros_manuales!$G$33*(datos_base!$I$5+datos_base!$I$21+IF(parametros_manuales!$H$33="Todos",datos_base!$I$12+datos_base!$I$26,0))*parametros_manuales!$D$110)*parametros_manuales!$I$33*parametros_manuales!$J$33</f>
        <v>17769.130788765</v>
      </c>
      <c r="E205" s="9" t="n">
        <f aca="false">(parametros_manuales!$D$33*(datos_base!$I$2+datos_base!$I$18+IF(parametros_manuales!$H$33="Todos",datos_base!$I$9+datos_base!$I$23,0))*parametros_manuales!$E$95+parametros_manuales!$E$33*(datos_base!$I$3+datos_base!$I$19+IF(parametros_manuales!$H$33="Todos",datos_base!$I$10+datos_base!$I$24,0))*parametros_manuales!$E$100+parametros_manuales!$F$33*(datos_base!$I$4+datos_base!$I$20+IF(parametros_manuales!$H$33="Todos",datos_base!$I$11+datos_base!$I$25,0))*parametros_manuales!$E$105+parametros_manuales!$G$33*(datos_base!$I$5+datos_base!$I$21+IF(parametros_manuales!$H$33="Todos",datos_base!$I$12+datos_base!$I$26,0))*parametros_manuales!$E$110)*parametros_manuales!$I$33*parametros_manuales!$J$33</f>
        <v>16988.465396365</v>
      </c>
      <c r="F205" s="9" t="n">
        <f aca="false">(parametros_manuales!$D$33*(datos_base!$I$2+datos_base!$I$18+IF(parametros_manuales!$H$33="Todos",datos_base!$I$9+datos_base!$I$23,0))*parametros_manuales!$F$95+parametros_manuales!$E$33*(datos_base!$I$3+datos_base!$I$19+IF(parametros_manuales!$H$33="Todos",datos_base!$I$10+datos_base!$I$24,0))*parametros_manuales!$F$100+parametros_manuales!$F$33*(datos_base!$I$4+datos_base!$I$20+IF(parametros_manuales!$H$33="Todos",datos_base!$I$11+datos_base!$I$25,0))*parametros_manuales!$F$105+parametros_manuales!$G$33*(datos_base!$I$5+datos_base!$I$21+IF(parametros_manuales!$H$33="Todos",datos_base!$I$12+datos_base!$I$26,0))*parametros_manuales!$F$110)*parametros_manuales!$I$33*parametros_manuales!$J$33</f>
        <v>15897.30091512</v>
      </c>
      <c r="G205" s="9" t="n">
        <f aca="false">(parametros_manuales!$D$33*(datos_base!$I$2+datos_base!$I$18+IF(parametros_manuales!$H$33="Todos",datos_base!$I$9+datos_base!$I$23,0))*parametros_manuales!$G$95+parametros_manuales!$E$33*(datos_base!$I$3+datos_base!$I$19+IF(parametros_manuales!$H$33="Todos",datos_base!$I$10+datos_base!$I$24,0))*parametros_manuales!$G$100+parametros_manuales!$F$33*(datos_base!$I$4+datos_base!$I$20+IF(parametros_manuales!$H$33="Todos",datos_base!$I$11+datos_base!$I$25,0))*parametros_manuales!$G$105+parametros_manuales!$G$33*(datos_base!$I$5+datos_base!$I$21+IF(parametros_manuales!$H$33="Todos",datos_base!$I$12+datos_base!$I$26,0))*parametros_manuales!$G$110)*parametros_manuales!$I$33*parametros_manuales!$J$33</f>
        <v>15586.801826275</v>
      </c>
      <c r="H205" s="9" t="n">
        <f aca="false">(parametros_manuales!$D$33*(datos_base!$I$2+datos_base!$I$18+IF(parametros_manuales!$H$33="Todos",datos_base!$I$9+datos_base!$I$23,0))*parametros_manuales!$H$95+parametros_manuales!$E$33*(datos_base!$I$3+datos_base!$I$19+IF(parametros_manuales!$H$33="Todos",datos_base!$I$10+datos_base!$I$24,0))*parametros_manuales!$H$100+parametros_manuales!$F$33*(datos_base!$I$4+datos_base!$I$20+IF(parametros_manuales!$H$33="Todos",datos_base!$I$11+datos_base!$I$25,0))*parametros_manuales!$H$105+parametros_manuales!$G$33*(datos_base!$I$5+datos_base!$I$21+IF(parametros_manuales!$H$33="Todos",datos_base!$I$12+datos_base!$I$26,0))*parametros_manuales!$H$110)*parametros_manuales!$I$33*parametros_manuales!$J$33</f>
        <v>16677.96630752</v>
      </c>
      <c r="I205" s="9" t="n">
        <f aca="false">(parametros_manuales!$D$33*(datos_base!$I$2+datos_base!$I$18+IF(parametros_manuales!$H$33="Todos",datos_base!$I$9+datos_base!$I$23,0))*parametros_manuales!$I$95+parametros_manuales!$E$33*(datos_base!$I$3+datos_base!$I$19+IF(parametros_manuales!$H$33="Todos",datos_base!$I$10+datos_base!$I$24,0))*parametros_manuales!$I$100+parametros_manuales!$F$33*(datos_base!$I$4+datos_base!$I$20+IF(parametros_manuales!$H$33="Todos",datos_base!$I$11+datos_base!$I$25,0))*parametros_manuales!$I$105+parametros_manuales!$G$33*(datos_base!$I$5+datos_base!$I$21+IF(parametros_manuales!$H$33="Todos",datos_base!$I$12+datos_base!$I$26,0))*parametros_manuales!$I$110)*parametros_manuales!$I$33*parametros_manuales!$J$33</f>
        <v>19019.96248472</v>
      </c>
      <c r="J205" s="9" t="n">
        <f aca="false">(parametros_manuales!$D$33*(datos_base!$I$2+datos_base!$I$18+IF(parametros_manuales!$H$33="Todos",datos_base!$I$9+datos_base!$I$23,0))*parametros_manuales!$J$95+parametros_manuales!$E$33*(datos_base!$I$3+datos_base!$I$19+IF(parametros_manuales!$H$33="Todos",datos_base!$I$10+datos_base!$I$24,0))*parametros_manuales!$J$100+parametros_manuales!$F$33*(datos_base!$I$4+datos_base!$I$20+IF(parametros_manuales!$H$33="Todos",datos_base!$I$11+datos_base!$I$25,0))*parametros_manuales!$J$105+parametros_manuales!$G$33*(datos_base!$I$5+datos_base!$I$21+IF(parametros_manuales!$H$33="Todos",datos_base!$I$12+datos_base!$I$26,0))*parametros_manuales!$J$110)*parametros_manuales!$I$33*parametros_manuales!$J$33</f>
        <v>19019.96248472</v>
      </c>
      <c r="K205" s="9" t="n">
        <f aca="false">(parametros_manuales!$D$33*(datos_base!$I$2+datos_base!$I$18+IF(parametros_manuales!$H$33="Todos",datos_base!$I$9+datos_base!$I$23,0))*parametros_manuales!$K$95+parametros_manuales!$E$33*(datos_base!$I$3+datos_base!$I$19+IF(parametros_manuales!$H$33="Todos",datos_base!$I$10+datos_base!$I$24,0))*parametros_manuales!$K$100+parametros_manuales!$F$33*(datos_base!$I$4+datos_base!$I$20+IF(parametros_manuales!$H$33="Todos",datos_base!$I$11+datos_base!$I$25,0))*parametros_manuales!$K$105+parametros_manuales!$G$33*(datos_base!$I$5+datos_base!$I$21+IF(parametros_manuales!$H$33="Todos",datos_base!$I$12+datos_base!$I$26,0))*parametros_manuales!$K$110)*parametros_manuales!$I$33*parametros_manuales!$J$33</f>
        <v>19330.461573565</v>
      </c>
      <c r="L205" s="9" t="n">
        <f aca="false">(parametros_manuales!$D$33*(datos_base!$I$2+datos_base!$I$18+IF(parametros_manuales!$H$33="Todos",datos_base!$I$9+datos_base!$I$23,0))*parametros_manuales!$L$95+parametros_manuales!$E$33*(datos_base!$I$3+datos_base!$I$19+IF(parametros_manuales!$H$33="Todos",datos_base!$I$10+datos_base!$I$24,0))*parametros_manuales!$L$100+parametros_manuales!$F$33*(datos_base!$I$4+datos_base!$I$20+IF(parametros_manuales!$H$33="Todos",datos_base!$I$11+datos_base!$I$25,0))*parametros_manuales!$L$105+parametros_manuales!$G$33*(datos_base!$I$5+datos_base!$I$21+IF(parametros_manuales!$H$33="Todos",datos_base!$I$12+datos_base!$I$26,0))*parametros_manuales!$L$110)*parametros_manuales!$I$33*parametros_manuales!$J$33</f>
        <v>19640.96066241</v>
      </c>
      <c r="M205" s="9" t="n">
        <f aca="false">(parametros_manuales!$D$33*(datos_base!$I$2+datos_base!$I$18+IF(parametros_manuales!$H$33="Todos",datos_base!$I$9+datos_base!$I$23,0))*parametros_manuales!$M$95+parametros_manuales!$E$33*(datos_base!$I$3+datos_base!$I$19+IF(parametros_manuales!$H$33="Todos",datos_base!$I$10+datos_base!$I$24,0))*parametros_manuales!$M$100+parametros_manuales!$F$33*(datos_base!$I$4+datos_base!$I$20+IF(parametros_manuales!$H$33="Todos",datos_base!$I$11+datos_base!$I$25,0))*parametros_manuales!$M$105+parametros_manuales!$G$33*(datos_base!$I$5+datos_base!$I$21+IF(parametros_manuales!$H$33="Todos",datos_base!$I$12+datos_base!$I$26,0))*parametros_manuales!$M$110)*parametros_manuales!$I$33*parametros_manuales!$J$33</f>
        <v>19640.96066241</v>
      </c>
      <c r="N205" s="9" t="n">
        <f aca="false">SUM(B205:M205)</f>
        <v>218232.896249</v>
      </c>
      <c r="O205" s="9" t="n">
        <f aca="false">MAX(B205:M205)</f>
        <v>19640.96066241</v>
      </c>
      <c r="P205" s="43" t="n">
        <f aca="false">O205/(parametros_manuales!$B$7)</f>
        <v>130.9397377494</v>
      </c>
      <c r="Q205" s="8" t="str">
        <f aca="false">IF(O205=0,"-",INDEX($B$190:$M$190,MATCH(O205,B205:M205,0)))</f>
        <v>Ene</v>
      </c>
    </row>
    <row r="206" customFormat="false" ht="14.25" hidden="false" customHeight="true" outlineLevel="0" collapsed="false">
      <c r="A206" s="8" t="str">
        <f aca="false">parametros_manuales!$B$34</f>
        <v>Granallado</v>
      </c>
      <c r="B206" s="9" t="n">
        <f aca="false">(parametros_manuales!$D$34*(datos_base!$I$2+datos_base!$I$18+IF(parametros_manuales!$H$34="Todos",datos_base!$I$9+datos_base!$I$23,0))*parametros_manuales!$B$95+parametros_manuales!$E$34*(datos_base!$I$3+datos_base!$I$19+IF(parametros_manuales!$H$34="Todos",datos_base!$I$10+datos_base!$I$24,0))*parametros_manuales!$B$100+parametros_manuales!$F$34*(datos_base!$I$4+datos_base!$I$20+IF(parametros_manuales!$H$34="Todos",datos_base!$I$11+datos_base!$I$25,0))*parametros_manuales!$B$105+parametros_manuales!$G$34*(datos_base!$I$5+datos_base!$I$21+IF(parametros_manuales!$H$34="Todos",datos_base!$I$12+datos_base!$I$26,0))*parametros_manuales!$B$110)*parametros_manuales!$I$34*parametros_manuales!$J$34</f>
        <v>19640.96066241</v>
      </c>
      <c r="C206" s="9" t="n">
        <f aca="false">(parametros_manuales!$D$34*(datos_base!$I$2+datos_base!$I$18+IF(parametros_manuales!$H$34="Todos",datos_base!$I$9+datos_base!$I$23,0))*parametros_manuales!$C$95+parametros_manuales!$E$34*(datos_base!$I$3+datos_base!$I$19+IF(parametros_manuales!$H$34="Todos",datos_base!$I$10+datos_base!$I$24,0))*parametros_manuales!$C$100+parametros_manuales!$F$34*(datos_base!$I$4+datos_base!$I$20+IF(parametros_manuales!$H$34="Todos",datos_base!$I$11+datos_base!$I$25,0))*parametros_manuales!$C$105+parametros_manuales!$G$34*(datos_base!$I$5+datos_base!$I$21+IF(parametros_manuales!$H$34="Todos",datos_base!$I$12+datos_base!$I$26,0))*parametros_manuales!$C$110)*parametros_manuales!$I$34*parametros_manuales!$J$34</f>
        <v>19019.96248472</v>
      </c>
      <c r="D206" s="9" t="n">
        <f aca="false">(parametros_manuales!$D$34*(datos_base!$I$2+datos_base!$I$18+IF(parametros_manuales!$H$34="Todos",datos_base!$I$9+datos_base!$I$23,0))*parametros_manuales!$D$95+parametros_manuales!$E$34*(datos_base!$I$3+datos_base!$I$19+IF(parametros_manuales!$H$34="Todos",datos_base!$I$10+datos_base!$I$24,0))*parametros_manuales!$D$100+parametros_manuales!$F$34*(datos_base!$I$4+datos_base!$I$20+IF(parametros_manuales!$H$34="Todos",datos_base!$I$11+datos_base!$I$25,0))*parametros_manuales!$D$105+parametros_manuales!$G$34*(datos_base!$I$5+datos_base!$I$21+IF(parametros_manuales!$H$34="Todos",datos_base!$I$12+datos_base!$I$26,0))*parametros_manuales!$D$110)*parametros_manuales!$I$34*parametros_manuales!$J$34</f>
        <v>17769.130788765</v>
      </c>
      <c r="E206" s="9" t="n">
        <f aca="false">(parametros_manuales!$D$34*(datos_base!$I$2+datos_base!$I$18+IF(parametros_manuales!$H$34="Todos",datos_base!$I$9+datos_base!$I$23,0))*parametros_manuales!$E$95+parametros_manuales!$E$34*(datos_base!$I$3+datos_base!$I$19+IF(parametros_manuales!$H$34="Todos",datos_base!$I$10+datos_base!$I$24,0))*parametros_manuales!$E$100+parametros_manuales!$F$34*(datos_base!$I$4+datos_base!$I$20+IF(parametros_manuales!$H$34="Todos",datos_base!$I$11+datos_base!$I$25,0))*parametros_manuales!$E$105+parametros_manuales!$G$34*(datos_base!$I$5+datos_base!$I$21+IF(parametros_manuales!$H$34="Todos",datos_base!$I$12+datos_base!$I$26,0))*parametros_manuales!$E$110)*parametros_manuales!$I$34*parametros_manuales!$J$34</f>
        <v>16988.465396365</v>
      </c>
      <c r="F206" s="9" t="n">
        <f aca="false">(parametros_manuales!$D$34*(datos_base!$I$2+datos_base!$I$18+IF(parametros_manuales!$H$34="Todos",datos_base!$I$9+datos_base!$I$23,0))*parametros_manuales!$F$95+parametros_manuales!$E$34*(datos_base!$I$3+datos_base!$I$19+IF(parametros_manuales!$H$34="Todos",datos_base!$I$10+datos_base!$I$24,0))*parametros_manuales!$F$100+parametros_manuales!$F$34*(datos_base!$I$4+datos_base!$I$20+IF(parametros_manuales!$H$34="Todos",datos_base!$I$11+datos_base!$I$25,0))*parametros_manuales!$F$105+parametros_manuales!$G$34*(datos_base!$I$5+datos_base!$I$21+IF(parametros_manuales!$H$34="Todos",datos_base!$I$12+datos_base!$I$26,0))*parametros_manuales!$F$110)*parametros_manuales!$I$34*parametros_manuales!$J$34</f>
        <v>15897.30091512</v>
      </c>
      <c r="G206" s="9" t="n">
        <f aca="false">(parametros_manuales!$D$34*(datos_base!$I$2+datos_base!$I$18+IF(parametros_manuales!$H$34="Todos",datos_base!$I$9+datos_base!$I$23,0))*parametros_manuales!$G$95+parametros_manuales!$E$34*(datos_base!$I$3+datos_base!$I$19+IF(parametros_manuales!$H$34="Todos",datos_base!$I$10+datos_base!$I$24,0))*parametros_manuales!$G$100+parametros_manuales!$F$34*(datos_base!$I$4+datos_base!$I$20+IF(parametros_manuales!$H$34="Todos",datos_base!$I$11+datos_base!$I$25,0))*parametros_manuales!$G$105+parametros_manuales!$G$34*(datos_base!$I$5+datos_base!$I$21+IF(parametros_manuales!$H$34="Todos",datos_base!$I$12+datos_base!$I$26,0))*parametros_manuales!$G$110)*parametros_manuales!$I$34*parametros_manuales!$J$34</f>
        <v>15586.801826275</v>
      </c>
      <c r="H206" s="9" t="n">
        <f aca="false">(parametros_manuales!$D$34*(datos_base!$I$2+datos_base!$I$18+IF(parametros_manuales!$H$34="Todos",datos_base!$I$9+datos_base!$I$23,0))*parametros_manuales!$H$95+parametros_manuales!$E$34*(datos_base!$I$3+datos_base!$I$19+IF(parametros_manuales!$H$34="Todos",datos_base!$I$10+datos_base!$I$24,0))*parametros_manuales!$H$100+parametros_manuales!$F$34*(datos_base!$I$4+datos_base!$I$20+IF(parametros_manuales!$H$34="Todos",datos_base!$I$11+datos_base!$I$25,0))*parametros_manuales!$H$105+parametros_manuales!$G$34*(datos_base!$I$5+datos_base!$I$21+IF(parametros_manuales!$H$34="Todos",datos_base!$I$12+datos_base!$I$26,0))*parametros_manuales!$H$110)*parametros_manuales!$I$34*parametros_manuales!$J$34</f>
        <v>16677.96630752</v>
      </c>
      <c r="I206" s="9" t="n">
        <f aca="false">(parametros_manuales!$D$34*(datos_base!$I$2+datos_base!$I$18+IF(parametros_manuales!$H$34="Todos",datos_base!$I$9+datos_base!$I$23,0))*parametros_manuales!$I$95+parametros_manuales!$E$34*(datos_base!$I$3+datos_base!$I$19+IF(parametros_manuales!$H$34="Todos",datos_base!$I$10+datos_base!$I$24,0))*parametros_manuales!$I$100+parametros_manuales!$F$34*(datos_base!$I$4+datos_base!$I$20+IF(parametros_manuales!$H$34="Todos",datos_base!$I$11+datos_base!$I$25,0))*parametros_manuales!$I$105+parametros_manuales!$G$34*(datos_base!$I$5+datos_base!$I$21+IF(parametros_manuales!$H$34="Todos",datos_base!$I$12+datos_base!$I$26,0))*parametros_manuales!$I$110)*parametros_manuales!$I$34*parametros_manuales!$J$34</f>
        <v>19019.96248472</v>
      </c>
      <c r="J206" s="9" t="n">
        <f aca="false">(parametros_manuales!$D$34*(datos_base!$I$2+datos_base!$I$18+IF(parametros_manuales!$H$34="Todos",datos_base!$I$9+datos_base!$I$23,0))*parametros_manuales!$J$95+parametros_manuales!$E$34*(datos_base!$I$3+datos_base!$I$19+IF(parametros_manuales!$H$34="Todos",datos_base!$I$10+datos_base!$I$24,0))*parametros_manuales!$J$100+parametros_manuales!$F$34*(datos_base!$I$4+datos_base!$I$20+IF(parametros_manuales!$H$34="Todos",datos_base!$I$11+datos_base!$I$25,0))*parametros_manuales!$J$105+parametros_manuales!$G$34*(datos_base!$I$5+datos_base!$I$21+IF(parametros_manuales!$H$34="Todos",datos_base!$I$12+datos_base!$I$26,0))*parametros_manuales!$J$110)*parametros_manuales!$I$34*parametros_manuales!$J$34</f>
        <v>19019.96248472</v>
      </c>
      <c r="K206" s="9" t="n">
        <f aca="false">(parametros_manuales!$D$34*(datos_base!$I$2+datos_base!$I$18+IF(parametros_manuales!$H$34="Todos",datos_base!$I$9+datos_base!$I$23,0))*parametros_manuales!$K$95+parametros_manuales!$E$34*(datos_base!$I$3+datos_base!$I$19+IF(parametros_manuales!$H$34="Todos",datos_base!$I$10+datos_base!$I$24,0))*parametros_manuales!$K$100+parametros_manuales!$F$34*(datos_base!$I$4+datos_base!$I$20+IF(parametros_manuales!$H$34="Todos",datos_base!$I$11+datos_base!$I$25,0))*parametros_manuales!$K$105+parametros_manuales!$G$34*(datos_base!$I$5+datos_base!$I$21+IF(parametros_manuales!$H$34="Todos",datos_base!$I$12+datos_base!$I$26,0))*parametros_manuales!$K$110)*parametros_manuales!$I$34*parametros_manuales!$J$34</f>
        <v>19330.461573565</v>
      </c>
      <c r="L206" s="9" t="n">
        <f aca="false">(parametros_manuales!$D$34*(datos_base!$I$2+datos_base!$I$18+IF(parametros_manuales!$H$34="Todos",datos_base!$I$9+datos_base!$I$23,0))*parametros_manuales!$L$95+parametros_manuales!$E$34*(datos_base!$I$3+datos_base!$I$19+IF(parametros_manuales!$H$34="Todos",datos_base!$I$10+datos_base!$I$24,0))*parametros_manuales!$L$100+parametros_manuales!$F$34*(datos_base!$I$4+datos_base!$I$20+IF(parametros_manuales!$H$34="Todos",datos_base!$I$11+datos_base!$I$25,0))*parametros_manuales!$L$105+parametros_manuales!$G$34*(datos_base!$I$5+datos_base!$I$21+IF(parametros_manuales!$H$34="Todos",datos_base!$I$12+datos_base!$I$26,0))*parametros_manuales!$L$110)*parametros_manuales!$I$34*parametros_manuales!$J$34</f>
        <v>19640.96066241</v>
      </c>
      <c r="M206" s="9" t="n">
        <f aca="false">(parametros_manuales!$D$34*(datos_base!$I$2+datos_base!$I$18+IF(parametros_manuales!$H$34="Todos",datos_base!$I$9+datos_base!$I$23,0))*parametros_manuales!$M$95+parametros_manuales!$E$34*(datos_base!$I$3+datos_base!$I$19+IF(parametros_manuales!$H$34="Todos",datos_base!$I$10+datos_base!$I$24,0))*parametros_manuales!$M$100+parametros_manuales!$F$34*(datos_base!$I$4+datos_base!$I$20+IF(parametros_manuales!$H$34="Todos",datos_base!$I$11+datos_base!$I$25,0))*parametros_manuales!$M$105+parametros_manuales!$G$34*(datos_base!$I$5+datos_base!$I$21+IF(parametros_manuales!$H$34="Todos",datos_base!$I$12+datos_base!$I$26,0))*parametros_manuales!$M$110)*parametros_manuales!$I$34*parametros_manuales!$J$34</f>
        <v>19640.96066241</v>
      </c>
      <c r="N206" s="9" t="n">
        <f aca="false">SUM(B206:M206)</f>
        <v>218232.896249</v>
      </c>
      <c r="O206" s="9" t="n">
        <f aca="false">MAX(B206:M206)</f>
        <v>19640.96066241</v>
      </c>
      <c r="P206" s="43" t="n">
        <f aca="false">O206/(parametros_manuales!$B$7)</f>
        <v>130.9397377494</v>
      </c>
      <c r="Q206" s="8" t="str">
        <f aca="false">IF(O206=0,"-",INDEX($B$190:$M$190,MATCH(O206,B206:M206,0)))</f>
        <v>Ene</v>
      </c>
    </row>
    <row r="207" customFormat="false" ht="14.25" hidden="false" customHeight="true" outlineLevel="0" collapsed="false">
      <c r="A207" s="8" t="str">
        <f aca="false">parametros_manuales!$B$35</f>
        <v>Detección de defectos</v>
      </c>
      <c r="B207" s="9" t="n">
        <f aca="false">(parametros_manuales!$D$35*(datos_base!$I$2+datos_base!$I$18+IF(parametros_manuales!$H$35="Todos",datos_base!$I$9+datos_base!$I$23,0))*parametros_manuales!$B$95+parametros_manuales!$E$35*(datos_base!$I$3+datos_base!$I$19+IF(parametros_manuales!$H$35="Todos",datos_base!$I$10+datos_base!$I$24,0))*parametros_manuales!$B$100+parametros_manuales!$F$35*(datos_base!$I$4+datos_base!$I$20+IF(parametros_manuales!$H$35="Todos",datos_base!$I$11+datos_base!$I$25,0))*parametros_manuales!$B$105+parametros_manuales!$G$35*(datos_base!$I$5+datos_base!$I$21+IF(parametros_manuales!$H$35="Todos",datos_base!$I$12+datos_base!$I$26,0))*parametros_manuales!$B$110)*parametros_manuales!$I$35*parametros_manuales!$J$35</f>
        <v>19640.96066241</v>
      </c>
      <c r="C207" s="9" t="n">
        <f aca="false">(parametros_manuales!$D$35*(datos_base!$I$2+datos_base!$I$18+IF(parametros_manuales!$H$35="Todos",datos_base!$I$9+datos_base!$I$23,0))*parametros_manuales!$C$95+parametros_manuales!$E$35*(datos_base!$I$3+datos_base!$I$19+IF(parametros_manuales!$H$35="Todos",datos_base!$I$10+datos_base!$I$24,0))*parametros_manuales!$C$100+parametros_manuales!$F$35*(datos_base!$I$4+datos_base!$I$20+IF(parametros_manuales!$H$35="Todos",datos_base!$I$11+datos_base!$I$25,0))*parametros_manuales!$C$105+parametros_manuales!$G$35*(datos_base!$I$5+datos_base!$I$21+IF(parametros_manuales!$H$35="Todos",datos_base!$I$12+datos_base!$I$26,0))*parametros_manuales!$C$110)*parametros_manuales!$I$35*parametros_manuales!$J$35</f>
        <v>19019.96248472</v>
      </c>
      <c r="D207" s="9" t="n">
        <f aca="false">(parametros_manuales!$D$35*(datos_base!$I$2+datos_base!$I$18+IF(parametros_manuales!$H$35="Todos",datos_base!$I$9+datos_base!$I$23,0))*parametros_manuales!$D$95+parametros_manuales!$E$35*(datos_base!$I$3+datos_base!$I$19+IF(parametros_manuales!$H$35="Todos",datos_base!$I$10+datos_base!$I$24,0))*parametros_manuales!$D$100+parametros_manuales!$F$35*(datos_base!$I$4+datos_base!$I$20+IF(parametros_manuales!$H$35="Todos",datos_base!$I$11+datos_base!$I$25,0))*parametros_manuales!$D$105+parametros_manuales!$G$35*(datos_base!$I$5+datos_base!$I$21+IF(parametros_manuales!$H$35="Todos",datos_base!$I$12+datos_base!$I$26,0))*parametros_manuales!$D$110)*parametros_manuales!$I$35*parametros_manuales!$J$35</f>
        <v>17769.130788765</v>
      </c>
      <c r="E207" s="9" t="n">
        <f aca="false">(parametros_manuales!$D$35*(datos_base!$I$2+datos_base!$I$18+IF(parametros_manuales!$H$35="Todos",datos_base!$I$9+datos_base!$I$23,0))*parametros_manuales!$E$95+parametros_manuales!$E$35*(datos_base!$I$3+datos_base!$I$19+IF(parametros_manuales!$H$35="Todos",datos_base!$I$10+datos_base!$I$24,0))*parametros_manuales!$E$100+parametros_manuales!$F$35*(datos_base!$I$4+datos_base!$I$20+IF(parametros_manuales!$H$35="Todos",datos_base!$I$11+datos_base!$I$25,0))*parametros_manuales!$E$105+parametros_manuales!$G$35*(datos_base!$I$5+datos_base!$I$21+IF(parametros_manuales!$H$35="Todos",datos_base!$I$12+datos_base!$I$26,0))*parametros_manuales!$E$110)*parametros_manuales!$I$35*parametros_manuales!$J$35</f>
        <v>16988.465396365</v>
      </c>
      <c r="F207" s="9" t="n">
        <f aca="false">(parametros_manuales!$D$35*(datos_base!$I$2+datos_base!$I$18+IF(parametros_manuales!$H$35="Todos",datos_base!$I$9+datos_base!$I$23,0))*parametros_manuales!$F$95+parametros_manuales!$E$35*(datos_base!$I$3+datos_base!$I$19+IF(parametros_manuales!$H$35="Todos",datos_base!$I$10+datos_base!$I$24,0))*parametros_manuales!$F$100+parametros_manuales!$F$35*(datos_base!$I$4+datos_base!$I$20+IF(parametros_manuales!$H$35="Todos",datos_base!$I$11+datos_base!$I$25,0))*parametros_manuales!$F$105+parametros_manuales!$G$35*(datos_base!$I$5+datos_base!$I$21+IF(parametros_manuales!$H$35="Todos",datos_base!$I$12+datos_base!$I$26,0))*parametros_manuales!$F$110)*parametros_manuales!$I$35*parametros_manuales!$J$35</f>
        <v>15897.30091512</v>
      </c>
      <c r="G207" s="9" t="n">
        <f aca="false">(parametros_manuales!$D$35*(datos_base!$I$2+datos_base!$I$18+IF(parametros_manuales!$H$35="Todos",datos_base!$I$9+datos_base!$I$23,0))*parametros_manuales!$G$95+parametros_manuales!$E$35*(datos_base!$I$3+datos_base!$I$19+IF(parametros_manuales!$H$35="Todos",datos_base!$I$10+datos_base!$I$24,0))*parametros_manuales!$G$100+parametros_manuales!$F$35*(datos_base!$I$4+datos_base!$I$20+IF(parametros_manuales!$H$35="Todos",datos_base!$I$11+datos_base!$I$25,0))*parametros_manuales!$G$105+parametros_manuales!$G$35*(datos_base!$I$5+datos_base!$I$21+IF(parametros_manuales!$H$35="Todos",datos_base!$I$12+datos_base!$I$26,0))*parametros_manuales!$G$110)*parametros_manuales!$I$35*parametros_manuales!$J$35</f>
        <v>15586.801826275</v>
      </c>
      <c r="H207" s="9" t="n">
        <f aca="false">(parametros_manuales!$D$35*(datos_base!$I$2+datos_base!$I$18+IF(parametros_manuales!$H$35="Todos",datos_base!$I$9+datos_base!$I$23,0))*parametros_manuales!$H$95+parametros_manuales!$E$35*(datos_base!$I$3+datos_base!$I$19+IF(parametros_manuales!$H$35="Todos",datos_base!$I$10+datos_base!$I$24,0))*parametros_manuales!$H$100+parametros_manuales!$F$35*(datos_base!$I$4+datos_base!$I$20+IF(parametros_manuales!$H$35="Todos",datos_base!$I$11+datos_base!$I$25,0))*parametros_manuales!$H$105+parametros_manuales!$G$35*(datos_base!$I$5+datos_base!$I$21+IF(parametros_manuales!$H$35="Todos",datos_base!$I$12+datos_base!$I$26,0))*parametros_manuales!$H$110)*parametros_manuales!$I$35*parametros_manuales!$J$35</f>
        <v>16677.96630752</v>
      </c>
      <c r="I207" s="9" t="n">
        <f aca="false">(parametros_manuales!$D$35*(datos_base!$I$2+datos_base!$I$18+IF(parametros_manuales!$H$35="Todos",datos_base!$I$9+datos_base!$I$23,0))*parametros_manuales!$I$95+parametros_manuales!$E$35*(datos_base!$I$3+datos_base!$I$19+IF(parametros_manuales!$H$35="Todos",datos_base!$I$10+datos_base!$I$24,0))*parametros_manuales!$I$100+parametros_manuales!$F$35*(datos_base!$I$4+datos_base!$I$20+IF(parametros_manuales!$H$35="Todos",datos_base!$I$11+datos_base!$I$25,0))*parametros_manuales!$I$105+parametros_manuales!$G$35*(datos_base!$I$5+datos_base!$I$21+IF(parametros_manuales!$H$35="Todos",datos_base!$I$12+datos_base!$I$26,0))*parametros_manuales!$I$110)*parametros_manuales!$I$35*parametros_manuales!$J$35</f>
        <v>19019.96248472</v>
      </c>
      <c r="J207" s="9" t="n">
        <f aca="false">(parametros_manuales!$D$35*(datos_base!$I$2+datos_base!$I$18+IF(parametros_manuales!$H$35="Todos",datos_base!$I$9+datos_base!$I$23,0))*parametros_manuales!$J$95+parametros_manuales!$E$35*(datos_base!$I$3+datos_base!$I$19+IF(parametros_manuales!$H$35="Todos",datos_base!$I$10+datos_base!$I$24,0))*parametros_manuales!$J$100+parametros_manuales!$F$35*(datos_base!$I$4+datos_base!$I$20+IF(parametros_manuales!$H$35="Todos",datos_base!$I$11+datos_base!$I$25,0))*parametros_manuales!$J$105+parametros_manuales!$G$35*(datos_base!$I$5+datos_base!$I$21+IF(parametros_manuales!$H$35="Todos",datos_base!$I$12+datos_base!$I$26,0))*parametros_manuales!$J$110)*parametros_manuales!$I$35*parametros_manuales!$J$35</f>
        <v>19019.96248472</v>
      </c>
      <c r="K207" s="9" t="n">
        <f aca="false">(parametros_manuales!$D$35*(datos_base!$I$2+datos_base!$I$18+IF(parametros_manuales!$H$35="Todos",datos_base!$I$9+datos_base!$I$23,0))*parametros_manuales!$K$95+parametros_manuales!$E$35*(datos_base!$I$3+datos_base!$I$19+IF(parametros_manuales!$H$35="Todos",datos_base!$I$10+datos_base!$I$24,0))*parametros_manuales!$K$100+parametros_manuales!$F$35*(datos_base!$I$4+datos_base!$I$20+IF(parametros_manuales!$H$35="Todos",datos_base!$I$11+datos_base!$I$25,0))*parametros_manuales!$K$105+parametros_manuales!$G$35*(datos_base!$I$5+datos_base!$I$21+IF(parametros_manuales!$H$35="Todos",datos_base!$I$12+datos_base!$I$26,0))*parametros_manuales!$K$110)*parametros_manuales!$I$35*parametros_manuales!$J$35</f>
        <v>19330.461573565</v>
      </c>
      <c r="L207" s="9" t="n">
        <f aca="false">(parametros_manuales!$D$35*(datos_base!$I$2+datos_base!$I$18+IF(parametros_manuales!$H$35="Todos",datos_base!$I$9+datos_base!$I$23,0))*parametros_manuales!$L$95+parametros_manuales!$E$35*(datos_base!$I$3+datos_base!$I$19+IF(parametros_manuales!$H$35="Todos",datos_base!$I$10+datos_base!$I$24,0))*parametros_manuales!$L$100+parametros_manuales!$F$35*(datos_base!$I$4+datos_base!$I$20+IF(parametros_manuales!$H$35="Todos",datos_base!$I$11+datos_base!$I$25,0))*parametros_manuales!$L$105+parametros_manuales!$G$35*(datos_base!$I$5+datos_base!$I$21+IF(parametros_manuales!$H$35="Todos",datos_base!$I$12+datos_base!$I$26,0))*parametros_manuales!$L$110)*parametros_manuales!$I$35*parametros_manuales!$J$35</f>
        <v>19640.96066241</v>
      </c>
      <c r="M207" s="9" t="n">
        <f aca="false">(parametros_manuales!$D$35*(datos_base!$I$2+datos_base!$I$18+IF(parametros_manuales!$H$35="Todos",datos_base!$I$9+datos_base!$I$23,0))*parametros_manuales!$M$95+parametros_manuales!$E$35*(datos_base!$I$3+datos_base!$I$19+IF(parametros_manuales!$H$35="Todos",datos_base!$I$10+datos_base!$I$24,0))*parametros_manuales!$M$100+parametros_manuales!$F$35*(datos_base!$I$4+datos_base!$I$20+IF(parametros_manuales!$H$35="Todos",datos_base!$I$11+datos_base!$I$25,0))*parametros_manuales!$M$105+parametros_manuales!$G$35*(datos_base!$I$5+datos_base!$I$21+IF(parametros_manuales!$H$35="Todos",datos_base!$I$12+datos_base!$I$26,0))*parametros_manuales!$M$110)*parametros_manuales!$I$35*parametros_manuales!$J$35</f>
        <v>19640.96066241</v>
      </c>
      <c r="N207" s="9" t="n">
        <f aca="false">SUM(B207:M207)</f>
        <v>218232.896249</v>
      </c>
      <c r="O207" s="9" t="n">
        <f aca="false">MAX(B207:M207)</f>
        <v>19640.96066241</v>
      </c>
      <c r="P207" s="43" t="n">
        <f aca="false">O207/(parametros_manuales!$B$7)</f>
        <v>130.9397377494</v>
      </c>
      <c r="Q207" s="8" t="str">
        <f aca="false">IF(O207=0,"-",INDEX($B$190:$M$190,MATCH(O207,B207:M207,0)))</f>
        <v>Ene</v>
      </c>
    </row>
    <row r="208" customFormat="false" ht="14.25" hidden="false" customHeight="true" outlineLevel="0" collapsed="false">
      <c r="A208" s="8" t="str">
        <f aca="false">parametros_manuales!$B$36</f>
        <v>Corrección de defectos</v>
      </c>
      <c r="B208" s="9" t="n">
        <f aca="false">(parametros_manuales!$D$36*(datos_base!$I$2+datos_base!$I$18+IF(parametros_manuales!$H$36="Todos",datos_base!$I$9+datos_base!$I$23,0))*parametros_manuales!$B$95+parametros_manuales!$E$36*(datos_base!$I$3+datos_base!$I$19+IF(parametros_manuales!$H$36="Todos",datos_base!$I$10+datos_base!$I$24,0))*parametros_manuales!$B$100+parametros_manuales!$F$36*(datos_base!$I$4+datos_base!$I$20+IF(parametros_manuales!$H$36="Todos",datos_base!$I$11+datos_base!$I$25,0))*parametros_manuales!$B$105+parametros_manuales!$G$36*(datos_base!$I$5+datos_base!$I$21+IF(parametros_manuales!$H$36="Todos",datos_base!$I$12+datos_base!$I$26,0))*parametros_manuales!$B$110)*parametros_manuales!$I$36*parametros_manuales!$J$36</f>
        <v>982.0480331205</v>
      </c>
      <c r="C208" s="9" t="n">
        <f aca="false">(parametros_manuales!$D$36*(datos_base!$I$2+datos_base!$I$18+IF(parametros_manuales!$H$36="Todos",datos_base!$I$9+datos_base!$I$23,0))*parametros_manuales!$C$95+parametros_manuales!$E$36*(datos_base!$I$3+datos_base!$I$19+IF(parametros_manuales!$H$36="Todos",datos_base!$I$10+datos_base!$I$24,0))*parametros_manuales!$C$100+parametros_manuales!$F$36*(datos_base!$I$4+datos_base!$I$20+IF(parametros_manuales!$H$36="Todos",datos_base!$I$11+datos_base!$I$25,0))*parametros_manuales!$C$105+parametros_manuales!$G$36*(datos_base!$I$5+datos_base!$I$21+IF(parametros_manuales!$H$36="Todos",datos_base!$I$12+datos_base!$I$26,0))*parametros_manuales!$C$110)*parametros_manuales!$I$36*parametros_manuales!$J$36</f>
        <v>950.998124236</v>
      </c>
      <c r="D208" s="9" t="n">
        <f aca="false">(parametros_manuales!$D$36*(datos_base!$I$2+datos_base!$I$18+IF(parametros_manuales!$H$36="Todos",datos_base!$I$9+datos_base!$I$23,0))*parametros_manuales!$D$95+parametros_manuales!$E$36*(datos_base!$I$3+datos_base!$I$19+IF(parametros_manuales!$H$36="Todos",datos_base!$I$10+datos_base!$I$24,0))*parametros_manuales!$D$100+parametros_manuales!$F$36*(datos_base!$I$4+datos_base!$I$20+IF(parametros_manuales!$H$36="Todos",datos_base!$I$11+datos_base!$I$25,0))*parametros_manuales!$D$105+parametros_manuales!$G$36*(datos_base!$I$5+datos_base!$I$21+IF(parametros_manuales!$H$36="Todos",datos_base!$I$12+datos_base!$I$26,0))*parametros_manuales!$D$110)*parametros_manuales!$I$36*parametros_manuales!$J$36</f>
        <v>888.45653943825</v>
      </c>
      <c r="E208" s="9" t="n">
        <f aca="false">(parametros_manuales!$D$36*(datos_base!$I$2+datos_base!$I$18+IF(parametros_manuales!$H$36="Todos",datos_base!$I$9+datos_base!$I$23,0))*parametros_manuales!$E$95+parametros_manuales!$E$36*(datos_base!$I$3+datos_base!$I$19+IF(parametros_manuales!$H$36="Todos",datos_base!$I$10+datos_base!$I$24,0))*parametros_manuales!$E$100+parametros_manuales!$F$36*(datos_base!$I$4+datos_base!$I$20+IF(parametros_manuales!$H$36="Todos",datos_base!$I$11+datos_base!$I$25,0))*parametros_manuales!$E$105+parametros_manuales!$G$36*(datos_base!$I$5+datos_base!$I$21+IF(parametros_manuales!$H$36="Todos",datos_base!$I$12+datos_base!$I$26,0))*parametros_manuales!$E$110)*parametros_manuales!$I$36*parametros_manuales!$J$36</f>
        <v>849.42326981825</v>
      </c>
      <c r="F208" s="9" t="n">
        <f aca="false">(parametros_manuales!$D$36*(datos_base!$I$2+datos_base!$I$18+IF(parametros_manuales!$H$36="Todos",datos_base!$I$9+datos_base!$I$23,0))*parametros_manuales!$F$95+parametros_manuales!$E$36*(datos_base!$I$3+datos_base!$I$19+IF(parametros_manuales!$H$36="Todos",datos_base!$I$10+datos_base!$I$24,0))*parametros_manuales!$F$100+parametros_manuales!$F$36*(datos_base!$I$4+datos_base!$I$20+IF(parametros_manuales!$H$36="Todos",datos_base!$I$11+datos_base!$I$25,0))*parametros_manuales!$F$105+parametros_manuales!$G$36*(datos_base!$I$5+datos_base!$I$21+IF(parametros_manuales!$H$36="Todos",datos_base!$I$12+datos_base!$I$26,0))*parametros_manuales!$F$110)*parametros_manuales!$I$36*parametros_manuales!$J$36</f>
        <v>794.865045756</v>
      </c>
      <c r="G208" s="9" t="n">
        <f aca="false">(parametros_manuales!$D$36*(datos_base!$I$2+datos_base!$I$18+IF(parametros_manuales!$H$36="Todos",datos_base!$I$9+datos_base!$I$23,0))*parametros_manuales!$G$95+parametros_manuales!$E$36*(datos_base!$I$3+datos_base!$I$19+IF(parametros_manuales!$H$36="Todos",datos_base!$I$10+datos_base!$I$24,0))*parametros_manuales!$G$100+parametros_manuales!$F$36*(datos_base!$I$4+datos_base!$I$20+IF(parametros_manuales!$H$36="Todos",datos_base!$I$11+datos_base!$I$25,0))*parametros_manuales!$G$105+parametros_manuales!$G$36*(datos_base!$I$5+datos_base!$I$21+IF(parametros_manuales!$H$36="Todos",datos_base!$I$12+datos_base!$I$26,0))*parametros_manuales!$G$110)*parametros_manuales!$I$36*parametros_manuales!$J$36</f>
        <v>779.34009131375</v>
      </c>
      <c r="H208" s="9" t="n">
        <f aca="false">(parametros_manuales!$D$36*(datos_base!$I$2+datos_base!$I$18+IF(parametros_manuales!$H$36="Todos",datos_base!$I$9+datos_base!$I$23,0))*parametros_manuales!$H$95+parametros_manuales!$E$36*(datos_base!$I$3+datos_base!$I$19+IF(parametros_manuales!$H$36="Todos",datos_base!$I$10+datos_base!$I$24,0))*parametros_manuales!$H$100+parametros_manuales!$F$36*(datos_base!$I$4+datos_base!$I$20+IF(parametros_manuales!$H$36="Todos",datos_base!$I$11+datos_base!$I$25,0))*parametros_manuales!$H$105+parametros_manuales!$G$36*(datos_base!$I$5+datos_base!$I$21+IF(parametros_manuales!$H$36="Todos",datos_base!$I$12+datos_base!$I$26,0))*parametros_manuales!$H$110)*parametros_manuales!$I$36*parametros_manuales!$J$36</f>
        <v>833.898315376</v>
      </c>
      <c r="I208" s="9" t="n">
        <f aca="false">(parametros_manuales!$D$36*(datos_base!$I$2+datos_base!$I$18+IF(parametros_manuales!$H$36="Todos",datos_base!$I$9+datos_base!$I$23,0))*parametros_manuales!$I$95+parametros_manuales!$E$36*(datos_base!$I$3+datos_base!$I$19+IF(parametros_manuales!$H$36="Todos",datos_base!$I$10+datos_base!$I$24,0))*parametros_manuales!$I$100+parametros_manuales!$F$36*(datos_base!$I$4+datos_base!$I$20+IF(parametros_manuales!$H$36="Todos",datos_base!$I$11+datos_base!$I$25,0))*parametros_manuales!$I$105+parametros_manuales!$G$36*(datos_base!$I$5+datos_base!$I$21+IF(parametros_manuales!$H$36="Todos",datos_base!$I$12+datos_base!$I$26,0))*parametros_manuales!$I$110)*parametros_manuales!$I$36*parametros_manuales!$J$36</f>
        <v>950.998124236</v>
      </c>
      <c r="J208" s="9" t="n">
        <f aca="false">(parametros_manuales!$D$36*(datos_base!$I$2+datos_base!$I$18+IF(parametros_manuales!$H$36="Todos",datos_base!$I$9+datos_base!$I$23,0))*parametros_manuales!$J$95+parametros_manuales!$E$36*(datos_base!$I$3+datos_base!$I$19+IF(parametros_manuales!$H$36="Todos",datos_base!$I$10+datos_base!$I$24,0))*parametros_manuales!$J$100+parametros_manuales!$F$36*(datos_base!$I$4+datos_base!$I$20+IF(parametros_manuales!$H$36="Todos",datos_base!$I$11+datos_base!$I$25,0))*parametros_manuales!$J$105+parametros_manuales!$G$36*(datos_base!$I$5+datos_base!$I$21+IF(parametros_manuales!$H$36="Todos",datos_base!$I$12+datos_base!$I$26,0))*parametros_manuales!$J$110)*parametros_manuales!$I$36*parametros_manuales!$J$36</f>
        <v>950.998124236</v>
      </c>
      <c r="K208" s="9" t="n">
        <f aca="false">(parametros_manuales!$D$36*(datos_base!$I$2+datos_base!$I$18+IF(parametros_manuales!$H$36="Todos",datos_base!$I$9+datos_base!$I$23,0))*parametros_manuales!$K$95+parametros_manuales!$E$36*(datos_base!$I$3+datos_base!$I$19+IF(parametros_manuales!$H$36="Todos",datos_base!$I$10+datos_base!$I$24,0))*parametros_manuales!$K$100+parametros_manuales!$F$36*(datos_base!$I$4+datos_base!$I$20+IF(parametros_manuales!$H$36="Todos",datos_base!$I$11+datos_base!$I$25,0))*parametros_manuales!$K$105+parametros_manuales!$G$36*(datos_base!$I$5+datos_base!$I$21+IF(parametros_manuales!$H$36="Todos",datos_base!$I$12+datos_base!$I$26,0))*parametros_manuales!$K$110)*parametros_manuales!$I$36*parametros_manuales!$J$36</f>
        <v>966.52307867825</v>
      </c>
      <c r="L208" s="9" t="n">
        <f aca="false">(parametros_manuales!$D$36*(datos_base!$I$2+datos_base!$I$18+IF(parametros_manuales!$H$36="Todos",datos_base!$I$9+datos_base!$I$23,0))*parametros_manuales!$L$95+parametros_manuales!$E$36*(datos_base!$I$3+datos_base!$I$19+IF(parametros_manuales!$H$36="Todos",datos_base!$I$10+datos_base!$I$24,0))*parametros_manuales!$L$100+parametros_manuales!$F$36*(datos_base!$I$4+datos_base!$I$20+IF(parametros_manuales!$H$36="Todos",datos_base!$I$11+datos_base!$I$25,0))*parametros_manuales!$L$105+parametros_manuales!$G$36*(datos_base!$I$5+datos_base!$I$21+IF(parametros_manuales!$H$36="Todos",datos_base!$I$12+datos_base!$I$26,0))*parametros_manuales!$L$110)*parametros_manuales!$I$36*parametros_manuales!$J$36</f>
        <v>982.0480331205</v>
      </c>
      <c r="M208" s="9" t="n">
        <f aca="false">(parametros_manuales!$D$36*(datos_base!$I$2+datos_base!$I$18+IF(parametros_manuales!$H$36="Todos",datos_base!$I$9+datos_base!$I$23,0))*parametros_manuales!$M$95+parametros_manuales!$E$36*(datos_base!$I$3+datos_base!$I$19+IF(parametros_manuales!$H$36="Todos",datos_base!$I$10+datos_base!$I$24,0))*parametros_manuales!$M$100+parametros_manuales!$F$36*(datos_base!$I$4+datos_base!$I$20+IF(parametros_manuales!$H$36="Todos",datos_base!$I$11+datos_base!$I$25,0))*parametros_manuales!$M$105+parametros_manuales!$G$36*(datos_base!$I$5+datos_base!$I$21+IF(parametros_manuales!$H$36="Todos",datos_base!$I$12+datos_base!$I$26,0))*parametros_manuales!$M$110)*parametros_manuales!$I$36*parametros_manuales!$J$36</f>
        <v>982.0480331205</v>
      </c>
      <c r="N208" s="9" t="n">
        <f aca="false">SUM(B208:M208)</f>
        <v>10911.64481245</v>
      </c>
      <c r="O208" s="9" t="n">
        <f aca="false">MAX(B208:M208)</f>
        <v>982.0480331205</v>
      </c>
      <c r="P208" s="43" t="n">
        <f aca="false">O208/(parametros_manuales!$B$7)</f>
        <v>6.54698688747</v>
      </c>
      <c r="Q208" s="8" t="str">
        <f aca="false">IF(O208=0,"-",INDEX($B$190:$M$190,MATCH(O208,B208:M208,0)))</f>
        <v>Ene</v>
      </c>
    </row>
    <row r="209" customFormat="false" ht="14.25" hidden="false" customHeight="true" outlineLevel="0" collapsed="false">
      <c r="A209" s="8" t="str">
        <f aca="false">parametros_manuales!$B$37</f>
        <v>Pintura en polvo + horno</v>
      </c>
      <c r="B209" s="9" t="n">
        <f aca="false">(parametros_manuales!$D$37*(datos_base!$I$2+datos_base!$I$18+IF(parametros_manuales!$H$37="Todos",datos_base!$I$9+datos_base!$I$23,0))*parametros_manuales!$B$95+parametros_manuales!$E$37*(datos_base!$I$3+datos_base!$I$19+IF(parametros_manuales!$H$37="Todos",datos_base!$I$10+datos_base!$I$24,0))*parametros_manuales!$B$100+parametros_manuales!$F$37*(datos_base!$I$4+datos_base!$I$20+IF(parametros_manuales!$H$37="Todos",datos_base!$I$11+datos_base!$I$25,0))*parametros_manuales!$B$105+parametros_manuales!$G$37*(datos_base!$I$5+datos_base!$I$21+IF(parametros_manuales!$H$37="Todos",datos_base!$I$12+datos_base!$I$26,0))*parametros_manuales!$B$110)*parametros_manuales!$I$37*parametros_manuales!$J$37</f>
        <v>19640.96066241</v>
      </c>
      <c r="C209" s="9" t="n">
        <f aca="false">(parametros_manuales!$D$37*(datos_base!$I$2+datos_base!$I$18+IF(parametros_manuales!$H$37="Todos",datos_base!$I$9+datos_base!$I$23,0))*parametros_manuales!$C$95+parametros_manuales!$E$37*(datos_base!$I$3+datos_base!$I$19+IF(parametros_manuales!$H$37="Todos",datos_base!$I$10+datos_base!$I$24,0))*parametros_manuales!$C$100+parametros_manuales!$F$37*(datos_base!$I$4+datos_base!$I$20+IF(parametros_manuales!$H$37="Todos",datos_base!$I$11+datos_base!$I$25,0))*parametros_manuales!$C$105+parametros_manuales!$G$37*(datos_base!$I$5+datos_base!$I$21+IF(parametros_manuales!$H$37="Todos",datos_base!$I$12+datos_base!$I$26,0))*parametros_manuales!$C$110)*parametros_manuales!$I$37*parametros_manuales!$J$37</f>
        <v>19019.96248472</v>
      </c>
      <c r="D209" s="9" t="n">
        <f aca="false">(parametros_manuales!$D$37*(datos_base!$I$2+datos_base!$I$18+IF(parametros_manuales!$H$37="Todos",datos_base!$I$9+datos_base!$I$23,0))*parametros_manuales!$D$95+parametros_manuales!$E$37*(datos_base!$I$3+datos_base!$I$19+IF(parametros_manuales!$H$37="Todos",datos_base!$I$10+datos_base!$I$24,0))*parametros_manuales!$D$100+parametros_manuales!$F$37*(datos_base!$I$4+datos_base!$I$20+IF(parametros_manuales!$H$37="Todos",datos_base!$I$11+datos_base!$I$25,0))*parametros_manuales!$D$105+parametros_manuales!$G$37*(datos_base!$I$5+datos_base!$I$21+IF(parametros_manuales!$H$37="Todos",datos_base!$I$12+datos_base!$I$26,0))*parametros_manuales!$D$110)*parametros_manuales!$I$37*parametros_manuales!$J$37</f>
        <v>17769.130788765</v>
      </c>
      <c r="E209" s="9" t="n">
        <f aca="false">(parametros_manuales!$D$37*(datos_base!$I$2+datos_base!$I$18+IF(parametros_manuales!$H$37="Todos",datos_base!$I$9+datos_base!$I$23,0))*parametros_manuales!$E$95+parametros_manuales!$E$37*(datos_base!$I$3+datos_base!$I$19+IF(parametros_manuales!$H$37="Todos",datos_base!$I$10+datos_base!$I$24,0))*parametros_manuales!$E$100+parametros_manuales!$F$37*(datos_base!$I$4+datos_base!$I$20+IF(parametros_manuales!$H$37="Todos",datos_base!$I$11+datos_base!$I$25,0))*parametros_manuales!$E$105+parametros_manuales!$G$37*(datos_base!$I$5+datos_base!$I$21+IF(parametros_manuales!$H$37="Todos",datos_base!$I$12+datos_base!$I$26,0))*parametros_manuales!$E$110)*parametros_manuales!$I$37*parametros_manuales!$J$37</f>
        <v>16988.465396365</v>
      </c>
      <c r="F209" s="9" t="n">
        <f aca="false">(parametros_manuales!$D$37*(datos_base!$I$2+datos_base!$I$18+IF(parametros_manuales!$H$37="Todos",datos_base!$I$9+datos_base!$I$23,0))*parametros_manuales!$F$95+parametros_manuales!$E$37*(datos_base!$I$3+datos_base!$I$19+IF(parametros_manuales!$H$37="Todos",datos_base!$I$10+datos_base!$I$24,0))*parametros_manuales!$F$100+parametros_manuales!$F$37*(datos_base!$I$4+datos_base!$I$20+IF(parametros_manuales!$H$37="Todos",datos_base!$I$11+datos_base!$I$25,0))*parametros_manuales!$F$105+parametros_manuales!$G$37*(datos_base!$I$5+datos_base!$I$21+IF(parametros_manuales!$H$37="Todos",datos_base!$I$12+datos_base!$I$26,0))*parametros_manuales!$F$110)*parametros_manuales!$I$37*parametros_manuales!$J$37</f>
        <v>15897.30091512</v>
      </c>
      <c r="G209" s="9" t="n">
        <f aca="false">(parametros_manuales!$D$37*(datos_base!$I$2+datos_base!$I$18+IF(parametros_manuales!$H$37="Todos",datos_base!$I$9+datos_base!$I$23,0))*parametros_manuales!$G$95+parametros_manuales!$E$37*(datos_base!$I$3+datos_base!$I$19+IF(parametros_manuales!$H$37="Todos",datos_base!$I$10+datos_base!$I$24,0))*parametros_manuales!$G$100+parametros_manuales!$F$37*(datos_base!$I$4+datos_base!$I$20+IF(parametros_manuales!$H$37="Todos",datos_base!$I$11+datos_base!$I$25,0))*parametros_manuales!$G$105+parametros_manuales!$G$37*(datos_base!$I$5+datos_base!$I$21+IF(parametros_manuales!$H$37="Todos",datos_base!$I$12+datos_base!$I$26,0))*parametros_manuales!$G$110)*parametros_manuales!$I$37*parametros_manuales!$J$37</f>
        <v>15586.801826275</v>
      </c>
      <c r="H209" s="9" t="n">
        <f aca="false">(parametros_manuales!$D$37*(datos_base!$I$2+datos_base!$I$18+IF(parametros_manuales!$H$37="Todos",datos_base!$I$9+datos_base!$I$23,0))*parametros_manuales!$H$95+parametros_manuales!$E$37*(datos_base!$I$3+datos_base!$I$19+IF(parametros_manuales!$H$37="Todos",datos_base!$I$10+datos_base!$I$24,0))*parametros_manuales!$H$100+parametros_manuales!$F$37*(datos_base!$I$4+datos_base!$I$20+IF(parametros_manuales!$H$37="Todos",datos_base!$I$11+datos_base!$I$25,0))*parametros_manuales!$H$105+parametros_manuales!$G$37*(datos_base!$I$5+datos_base!$I$21+IF(parametros_manuales!$H$37="Todos",datos_base!$I$12+datos_base!$I$26,0))*parametros_manuales!$H$110)*parametros_manuales!$I$37*parametros_manuales!$J$37</f>
        <v>16677.96630752</v>
      </c>
      <c r="I209" s="9" t="n">
        <f aca="false">(parametros_manuales!$D$37*(datos_base!$I$2+datos_base!$I$18+IF(parametros_manuales!$H$37="Todos",datos_base!$I$9+datos_base!$I$23,0))*parametros_manuales!$I$95+parametros_manuales!$E$37*(datos_base!$I$3+datos_base!$I$19+IF(parametros_manuales!$H$37="Todos",datos_base!$I$10+datos_base!$I$24,0))*parametros_manuales!$I$100+parametros_manuales!$F$37*(datos_base!$I$4+datos_base!$I$20+IF(parametros_manuales!$H$37="Todos",datos_base!$I$11+datos_base!$I$25,0))*parametros_manuales!$I$105+parametros_manuales!$G$37*(datos_base!$I$5+datos_base!$I$21+IF(parametros_manuales!$H$37="Todos",datos_base!$I$12+datos_base!$I$26,0))*parametros_manuales!$I$110)*parametros_manuales!$I$37*parametros_manuales!$J$37</f>
        <v>19019.96248472</v>
      </c>
      <c r="J209" s="9" t="n">
        <f aca="false">(parametros_manuales!$D$37*(datos_base!$I$2+datos_base!$I$18+IF(parametros_manuales!$H$37="Todos",datos_base!$I$9+datos_base!$I$23,0))*parametros_manuales!$J$95+parametros_manuales!$E$37*(datos_base!$I$3+datos_base!$I$19+IF(parametros_manuales!$H$37="Todos",datos_base!$I$10+datos_base!$I$24,0))*parametros_manuales!$J$100+parametros_manuales!$F$37*(datos_base!$I$4+datos_base!$I$20+IF(parametros_manuales!$H$37="Todos",datos_base!$I$11+datos_base!$I$25,0))*parametros_manuales!$J$105+parametros_manuales!$G$37*(datos_base!$I$5+datos_base!$I$21+IF(parametros_manuales!$H$37="Todos",datos_base!$I$12+datos_base!$I$26,0))*parametros_manuales!$J$110)*parametros_manuales!$I$37*parametros_manuales!$J$37</f>
        <v>19019.96248472</v>
      </c>
      <c r="K209" s="9" t="n">
        <f aca="false">(parametros_manuales!$D$37*(datos_base!$I$2+datos_base!$I$18+IF(parametros_manuales!$H$37="Todos",datos_base!$I$9+datos_base!$I$23,0))*parametros_manuales!$K$95+parametros_manuales!$E$37*(datos_base!$I$3+datos_base!$I$19+IF(parametros_manuales!$H$37="Todos",datos_base!$I$10+datos_base!$I$24,0))*parametros_manuales!$K$100+parametros_manuales!$F$37*(datos_base!$I$4+datos_base!$I$20+IF(parametros_manuales!$H$37="Todos",datos_base!$I$11+datos_base!$I$25,0))*parametros_manuales!$K$105+parametros_manuales!$G$37*(datos_base!$I$5+datos_base!$I$21+IF(parametros_manuales!$H$37="Todos",datos_base!$I$12+datos_base!$I$26,0))*parametros_manuales!$K$110)*parametros_manuales!$I$37*parametros_manuales!$J$37</f>
        <v>19330.461573565</v>
      </c>
      <c r="L209" s="9" t="n">
        <f aca="false">(parametros_manuales!$D$37*(datos_base!$I$2+datos_base!$I$18+IF(parametros_manuales!$H$37="Todos",datos_base!$I$9+datos_base!$I$23,0))*parametros_manuales!$L$95+parametros_manuales!$E$37*(datos_base!$I$3+datos_base!$I$19+IF(parametros_manuales!$H$37="Todos",datos_base!$I$10+datos_base!$I$24,0))*parametros_manuales!$L$100+parametros_manuales!$F$37*(datos_base!$I$4+datos_base!$I$20+IF(parametros_manuales!$H$37="Todos",datos_base!$I$11+datos_base!$I$25,0))*parametros_manuales!$L$105+parametros_manuales!$G$37*(datos_base!$I$5+datos_base!$I$21+IF(parametros_manuales!$H$37="Todos",datos_base!$I$12+datos_base!$I$26,0))*parametros_manuales!$L$110)*parametros_manuales!$I$37*parametros_manuales!$J$37</f>
        <v>19640.96066241</v>
      </c>
      <c r="M209" s="9" t="n">
        <f aca="false">(parametros_manuales!$D$37*(datos_base!$I$2+datos_base!$I$18+IF(parametros_manuales!$H$37="Todos",datos_base!$I$9+datos_base!$I$23,0))*parametros_manuales!$M$95+parametros_manuales!$E$37*(datos_base!$I$3+datos_base!$I$19+IF(parametros_manuales!$H$37="Todos",datos_base!$I$10+datos_base!$I$24,0))*parametros_manuales!$M$100+parametros_manuales!$F$37*(datos_base!$I$4+datos_base!$I$20+IF(parametros_manuales!$H$37="Todos",datos_base!$I$11+datos_base!$I$25,0))*parametros_manuales!$M$105+parametros_manuales!$G$37*(datos_base!$I$5+datos_base!$I$21+IF(parametros_manuales!$H$37="Todos",datos_base!$I$12+datos_base!$I$26,0))*parametros_manuales!$M$110)*parametros_manuales!$I$37*parametros_manuales!$J$37</f>
        <v>19640.96066241</v>
      </c>
      <c r="N209" s="9" t="n">
        <f aca="false">SUM(B209:M209)</f>
        <v>218232.896249</v>
      </c>
      <c r="O209" s="9" t="n">
        <f aca="false">MAX(B209:M209)</f>
        <v>19640.96066241</v>
      </c>
      <c r="P209" s="43" t="n">
        <f aca="false">O209/(parametros_manuales!$B$7)</f>
        <v>130.9397377494</v>
      </c>
      <c r="Q209" s="8" t="str">
        <f aca="false">IF(O209=0,"-",INDEX($B$190:$M$190,MATCH(O209,B209:M209,0)))</f>
        <v>Ene</v>
      </c>
    </row>
    <row r="210" customFormat="false" ht="14.25" hidden="false" customHeight="true" outlineLevel="0" collapsed="false">
      <c r="A210" s="8" t="str">
        <f aca="false">parametros_manuales!$B$38</f>
        <v>Carga de polvo</v>
      </c>
      <c r="B210" s="9" t="n">
        <f aca="false">(parametros_manuales!$D$38*(datos_base!$I$2+datos_base!$I$18+IF(parametros_manuales!$H$38="Todos",datos_base!$I$9+datos_base!$I$23,0))*parametros_manuales!$B$95+parametros_manuales!$E$38*(datos_base!$I$3+datos_base!$I$19+IF(parametros_manuales!$H$38="Todos",datos_base!$I$10+datos_base!$I$24,0))*parametros_manuales!$B$100+parametros_manuales!$F$38*(datos_base!$I$4+datos_base!$I$20+IF(parametros_manuales!$H$38="Todos",datos_base!$I$11+datos_base!$I$25,0))*parametros_manuales!$B$105+parametros_manuales!$G$38*(datos_base!$I$5+datos_base!$I$21+IF(parametros_manuales!$H$38="Todos",datos_base!$I$12+datos_base!$I$26,0))*parametros_manuales!$B$110)*parametros_manuales!$I$38*parametros_manuales!$J$38</f>
        <v>4959.14906241</v>
      </c>
      <c r="C210" s="9" t="n">
        <f aca="false">(parametros_manuales!$D$38*(datos_base!$I$2+datos_base!$I$18+IF(parametros_manuales!$H$38="Todos",datos_base!$I$9+datos_base!$I$23,0))*parametros_manuales!$C$95+parametros_manuales!$E$38*(datos_base!$I$3+datos_base!$I$19+IF(parametros_manuales!$H$38="Todos",datos_base!$I$10+datos_base!$I$24,0))*parametros_manuales!$C$100+parametros_manuales!$F$38*(datos_base!$I$4+datos_base!$I$20+IF(parametros_manuales!$H$38="Todos",datos_base!$I$11+datos_base!$I$25,0))*parametros_manuales!$C$105+parametros_manuales!$G$38*(datos_base!$I$5+datos_base!$I$21+IF(parametros_manuales!$H$38="Todos",datos_base!$I$12+datos_base!$I$26,0))*parametros_manuales!$C$110)*parametros_manuales!$I$38*parametros_manuales!$J$38</f>
        <v>4659.45328472</v>
      </c>
      <c r="D210" s="9" t="n">
        <f aca="false">(parametros_manuales!$D$38*(datos_base!$I$2+datos_base!$I$18+IF(parametros_manuales!$H$38="Todos",datos_base!$I$9+datos_base!$I$23,0))*parametros_manuales!$D$95+parametros_manuales!$E$38*(datos_base!$I$3+datos_base!$I$19+IF(parametros_manuales!$H$38="Todos",datos_base!$I$10+datos_base!$I$24,0))*parametros_manuales!$D$100+parametros_manuales!$F$38*(datos_base!$I$4+datos_base!$I$20+IF(parametros_manuales!$H$38="Todos",datos_base!$I$11+datos_base!$I$25,0))*parametros_manuales!$D$105+parametros_manuales!$G$38*(datos_base!$I$5+datos_base!$I$21+IF(parametros_manuales!$H$38="Todos",datos_base!$I$12+datos_base!$I$26,0))*parametros_manuales!$D$110)*parametros_manuales!$I$38*parametros_manuales!$J$38</f>
        <v>4557.980388765</v>
      </c>
      <c r="E210" s="9" t="n">
        <f aca="false">(parametros_manuales!$D$38*(datos_base!$I$2+datos_base!$I$18+IF(parametros_manuales!$H$38="Todos",datos_base!$I$9+datos_base!$I$23,0))*parametros_manuales!$E$95+parametros_manuales!$E$38*(datos_base!$I$3+datos_base!$I$19+IF(parametros_manuales!$H$38="Todos",datos_base!$I$10+datos_base!$I$24,0))*parametros_manuales!$E$100+parametros_manuales!$F$38*(datos_base!$I$4+datos_base!$I$20+IF(parametros_manuales!$H$38="Todos",datos_base!$I$11+datos_base!$I$25,0))*parametros_manuales!$E$105+parametros_manuales!$G$38*(datos_base!$I$5+datos_base!$I$21+IF(parametros_manuales!$H$38="Todos",datos_base!$I$12+datos_base!$I$26,0))*parametros_manuales!$E$110)*parametros_manuales!$I$38*parametros_manuales!$J$38</f>
        <v>4432.319996365</v>
      </c>
      <c r="F210" s="9" t="n">
        <f aca="false">(parametros_manuales!$D$38*(datos_base!$I$2+datos_base!$I$18+IF(parametros_manuales!$H$38="Todos",datos_base!$I$9+datos_base!$I$23,0))*parametros_manuales!$F$95+parametros_manuales!$E$38*(datos_base!$I$3+datos_base!$I$19+IF(parametros_manuales!$H$38="Todos",datos_base!$I$10+datos_base!$I$24,0))*parametros_manuales!$F$100+parametros_manuales!$F$38*(datos_base!$I$4+datos_base!$I$20+IF(parametros_manuales!$H$38="Todos",datos_base!$I$11+datos_base!$I$25,0))*parametros_manuales!$F$105+parametros_manuales!$G$38*(datos_base!$I$5+datos_base!$I$21+IF(parametros_manuales!$H$38="Todos",datos_base!$I$12+datos_base!$I$26,0))*parametros_manuales!$F$110)*parametros_manuales!$I$38*parametros_manuales!$J$38</f>
        <v>4156.81171512</v>
      </c>
      <c r="G210" s="9" t="n">
        <f aca="false">(parametros_manuales!$D$38*(datos_base!$I$2+datos_base!$I$18+IF(parametros_manuales!$H$38="Todos",datos_base!$I$9+datos_base!$I$23,0))*parametros_manuales!$G$95+parametros_manuales!$E$38*(datos_base!$I$3+datos_base!$I$19+IF(parametros_manuales!$H$38="Todos",datos_base!$I$10+datos_base!$I$24,0))*parametros_manuales!$G$100+parametros_manuales!$F$38*(datos_base!$I$4+datos_base!$I$20+IF(parametros_manuales!$H$38="Todos",datos_base!$I$11+datos_base!$I$25,0))*parametros_manuales!$G$105+parametros_manuales!$G$38*(datos_base!$I$5+datos_base!$I$21+IF(parametros_manuales!$H$38="Todos",datos_base!$I$12+datos_base!$I$26,0))*parametros_manuales!$G$110)*parametros_manuales!$I$38*parametros_manuales!$J$38</f>
        <v>4006.963826275</v>
      </c>
      <c r="H210" s="9" t="n">
        <f aca="false">(parametros_manuales!$D$38*(datos_base!$I$2+datos_base!$I$18+IF(parametros_manuales!$H$38="Todos",datos_base!$I$9+datos_base!$I$23,0))*parametros_manuales!$H$95+parametros_manuales!$E$38*(datos_base!$I$3+datos_base!$I$19+IF(parametros_manuales!$H$38="Todos",datos_base!$I$10+datos_base!$I$24,0))*parametros_manuales!$H$100+parametros_manuales!$F$38*(datos_base!$I$4+datos_base!$I$20+IF(parametros_manuales!$H$38="Todos",datos_base!$I$11+datos_base!$I$25,0))*parametros_manuales!$H$105+parametros_manuales!$G$38*(datos_base!$I$5+datos_base!$I$21+IF(parametros_manuales!$H$38="Todos",datos_base!$I$12+datos_base!$I$26,0))*parametros_manuales!$H$110)*parametros_manuales!$I$38*parametros_manuales!$J$38</f>
        <v>4282.47210752</v>
      </c>
      <c r="I210" s="9" t="n">
        <f aca="false">(parametros_manuales!$D$38*(datos_base!$I$2+datos_base!$I$18+IF(parametros_manuales!$H$38="Todos",datos_base!$I$9+datos_base!$I$23,0))*parametros_manuales!$I$95+parametros_manuales!$E$38*(datos_base!$I$3+datos_base!$I$19+IF(parametros_manuales!$H$38="Todos",datos_base!$I$10+datos_base!$I$24,0))*parametros_manuales!$I$100+parametros_manuales!$F$38*(datos_base!$I$4+datos_base!$I$20+IF(parametros_manuales!$H$38="Todos",datos_base!$I$11+datos_base!$I$25,0))*parametros_manuales!$I$105+parametros_manuales!$G$38*(datos_base!$I$5+datos_base!$I$21+IF(parametros_manuales!$H$38="Todos",datos_base!$I$12+datos_base!$I$26,0))*parametros_manuales!$I$110)*parametros_manuales!$I$38*parametros_manuales!$J$38</f>
        <v>4659.45328472</v>
      </c>
      <c r="J210" s="9" t="n">
        <f aca="false">(parametros_manuales!$D$38*(datos_base!$I$2+datos_base!$I$18+IF(parametros_manuales!$H$38="Todos",datos_base!$I$9+datos_base!$I$23,0))*parametros_manuales!$J$95+parametros_manuales!$E$38*(datos_base!$I$3+datos_base!$I$19+IF(parametros_manuales!$H$38="Todos",datos_base!$I$10+datos_base!$I$24,0))*parametros_manuales!$J$100+parametros_manuales!$F$38*(datos_base!$I$4+datos_base!$I$20+IF(parametros_manuales!$H$38="Todos",datos_base!$I$11+datos_base!$I$25,0))*parametros_manuales!$J$105+parametros_manuales!$G$38*(datos_base!$I$5+datos_base!$I$21+IF(parametros_manuales!$H$38="Todos",datos_base!$I$12+datos_base!$I$26,0))*parametros_manuales!$J$110)*parametros_manuales!$I$38*parametros_manuales!$J$38</f>
        <v>4659.45328472</v>
      </c>
      <c r="K210" s="9" t="n">
        <f aca="false">(parametros_manuales!$D$38*(datos_base!$I$2+datos_base!$I$18+IF(parametros_manuales!$H$38="Todos",datos_base!$I$9+datos_base!$I$23,0))*parametros_manuales!$K$95+parametros_manuales!$E$38*(datos_base!$I$3+datos_base!$I$19+IF(parametros_manuales!$H$38="Todos",datos_base!$I$10+datos_base!$I$24,0))*parametros_manuales!$K$100+parametros_manuales!$F$38*(datos_base!$I$4+datos_base!$I$20+IF(parametros_manuales!$H$38="Todos",datos_base!$I$11+datos_base!$I$25,0))*parametros_manuales!$K$105+parametros_manuales!$G$38*(datos_base!$I$5+datos_base!$I$21+IF(parametros_manuales!$H$38="Todos",datos_base!$I$12+datos_base!$I$26,0))*parametros_manuales!$K$110)*parametros_manuales!$I$38*parametros_manuales!$J$38</f>
        <v>4809.301173565</v>
      </c>
      <c r="L210" s="9" t="n">
        <f aca="false">(parametros_manuales!$D$38*(datos_base!$I$2+datos_base!$I$18+IF(parametros_manuales!$H$38="Todos",datos_base!$I$9+datos_base!$I$23,0))*parametros_manuales!$L$95+parametros_manuales!$E$38*(datos_base!$I$3+datos_base!$I$19+IF(parametros_manuales!$H$38="Todos",datos_base!$I$10+datos_base!$I$24,0))*parametros_manuales!$L$100+parametros_manuales!$F$38*(datos_base!$I$4+datos_base!$I$20+IF(parametros_manuales!$H$38="Todos",datos_base!$I$11+datos_base!$I$25,0))*parametros_manuales!$L$105+parametros_manuales!$G$38*(datos_base!$I$5+datos_base!$I$21+IF(parametros_manuales!$H$38="Todos",datos_base!$I$12+datos_base!$I$26,0))*parametros_manuales!$L$110)*parametros_manuales!$I$38*parametros_manuales!$J$38</f>
        <v>4959.14906241</v>
      </c>
      <c r="M210" s="9" t="n">
        <f aca="false">(parametros_manuales!$D$38*(datos_base!$I$2+datos_base!$I$18+IF(parametros_manuales!$H$38="Todos",datos_base!$I$9+datos_base!$I$23,0))*parametros_manuales!$M$95+parametros_manuales!$E$38*(datos_base!$I$3+datos_base!$I$19+IF(parametros_manuales!$H$38="Todos",datos_base!$I$10+datos_base!$I$24,0))*parametros_manuales!$M$100+parametros_manuales!$F$38*(datos_base!$I$4+datos_base!$I$20+IF(parametros_manuales!$H$38="Todos",datos_base!$I$11+datos_base!$I$25,0))*parametros_manuales!$M$105+parametros_manuales!$G$38*(datos_base!$I$5+datos_base!$I$21+IF(parametros_manuales!$H$38="Todos",datos_base!$I$12+datos_base!$I$26,0))*parametros_manuales!$M$110)*parametros_manuales!$I$38*parametros_manuales!$J$38</f>
        <v>4959.14906241</v>
      </c>
      <c r="N210" s="9" t="n">
        <f aca="false">SUM(B210:M210)</f>
        <v>55101.656249</v>
      </c>
      <c r="O210" s="9" t="n">
        <f aca="false">MAX(B210:M210)</f>
        <v>4959.14906241</v>
      </c>
      <c r="P210" s="43" t="n">
        <f aca="false">O210/(parametros_manuales!$B$7)</f>
        <v>33.0609937494</v>
      </c>
      <c r="Q210" s="8" t="str">
        <f aca="false">IF(O210=0,"-",INDEX($B$190:$M$190,MATCH(O210,B210:M210,0)))</f>
        <v>Ene</v>
      </c>
    </row>
    <row r="211" customFormat="false" ht="14.25" hidden="false" customHeight="true" outlineLevel="0" collapsed="false">
      <c r="A211" s="8" t="str">
        <f aca="false">parametros_manuales!$B$39</f>
        <v>Ensamblaje</v>
      </c>
      <c r="B211" s="9" t="n">
        <f aca="false">(parametros_manuales!$D$39*(datos_base!$I$2+datos_base!$I$18+IF(parametros_manuales!$H$39="Todos",datos_base!$I$9+datos_base!$I$23,0))*parametros_manuales!$B$95+parametros_manuales!$E$39*(datos_base!$I$3+datos_base!$I$19+IF(parametros_manuales!$H$39="Todos",datos_base!$I$10+datos_base!$I$24,0))*parametros_manuales!$B$100+parametros_manuales!$F$39*(datos_base!$I$4+datos_base!$I$20+IF(parametros_manuales!$H$39="Todos",datos_base!$I$11+datos_base!$I$25,0))*parametros_manuales!$B$105+parametros_manuales!$G$39*(datos_base!$I$5+datos_base!$I$21+IF(parametros_manuales!$H$39="Todos",datos_base!$I$12+datos_base!$I$26,0))*parametros_manuales!$B$110)*parametros_manuales!$I$39*parametros_manuales!$J$39</f>
        <v>4959.14906241</v>
      </c>
      <c r="C211" s="9" t="n">
        <f aca="false">(parametros_manuales!$D$39*(datos_base!$I$2+datos_base!$I$18+IF(parametros_manuales!$H$39="Todos",datos_base!$I$9+datos_base!$I$23,0))*parametros_manuales!$C$95+parametros_manuales!$E$39*(datos_base!$I$3+datos_base!$I$19+IF(parametros_manuales!$H$39="Todos",datos_base!$I$10+datos_base!$I$24,0))*parametros_manuales!$C$100+parametros_manuales!$F$39*(datos_base!$I$4+datos_base!$I$20+IF(parametros_manuales!$H$39="Todos",datos_base!$I$11+datos_base!$I$25,0))*parametros_manuales!$C$105+parametros_manuales!$G$39*(datos_base!$I$5+datos_base!$I$21+IF(parametros_manuales!$H$39="Todos",datos_base!$I$12+datos_base!$I$26,0))*parametros_manuales!$C$110)*parametros_manuales!$I$39*parametros_manuales!$J$39</f>
        <v>4659.45328472</v>
      </c>
      <c r="D211" s="9" t="n">
        <f aca="false">(parametros_manuales!$D$39*(datos_base!$I$2+datos_base!$I$18+IF(parametros_manuales!$H$39="Todos",datos_base!$I$9+datos_base!$I$23,0))*parametros_manuales!$D$95+parametros_manuales!$E$39*(datos_base!$I$3+datos_base!$I$19+IF(parametros_manuales!$H$39="Todos",datos_base!$I$10+datos_base!$I$24,0))*parametros_manuales!$D$100+parametros_manuales!$F$39*(datos_base!$I$4+datos_base!$I$20+IF(parametros_manuales!$H$39="Todos",datos_base!$I$11+datos_base!$I$25,0))*parametros_manuales!$D$105+parametros_manuales!$G$39*(datos_base!$I$5+datos_base!$I$21+IF(parametros_manuales!$H$39="Todos",datos_base!$I$12+datos_base!$I$26,0))*parametros_manuales!$D$110)*parametros_manuales!$I$39*parametros_manuales!$J$39</f>
        <v>4557.980388765</v>
      </c>
      <c r="E211" s="9" t="n">
        <f aca="false">(parametros_manuales!$D$39*(datos_base!$I$2+datos_base!$I$18+IF(parametros_manuales!$H$39="Todos",datos_base!$I$9+datos_base!$I$23,0))*parametros_manuales!$E$95+parametros_manuales!$E$39*(datos_base!$I$3+datos_base!$I$19+IF(parametros_manuales!$H$39="Todos",datos_base!$I$10+datos_base!$I$24,0))*parametros_manuales!$E$100+parametros_manuales!$F$39*(datos_base!$I$4+datos_base!$I$20+IF(parametros_manuales!$H$39="Todos",datos_base!$I$11+datos_base!$I$25,0))*parametros_manuales!$E$105+parametros_manuales!$G$39*(datos_base!$I$5+datos_base!$I$21+IF(parametros_manuales!$H$39="Todos",datos_base!$I$12+datos_base!$I$26,0))*parametros_manuales!$E$110)*parametros_manuales!$I$39*parametros_manuales!$J$39</f>
        <v>4432.319996365</v>
      </c>
      <c r="F211" s="9" t="n">
        <f aca="false">(parametros_manuales!$D$39*(datos_base!$I$2+datos_base!$I$18+IF(parametros_manuales!$H$39="Todos",datos_base!$I$9+datos_base!$I$23,0))*parametros_manuales!$F$95+parametros_manuales!$E$39*(datos_base!$I$3+datos_base!$I$19+IF(parametros_manuales!$H$39="Todos",datos_base!$I$10+datos_base!$I$24,0))*parametros_manuales!$F$100+parametros_manuales!$F$39*(datos_base!$I$4+datos_base!$I$20+IF(parametros_manuales!$H$39="Todos",datos_base!$I$11+datos_base!$I$25,0))*parametros_manuales!$F$105+parametros_manuales!$G$39*(datos_base!$I$5+datos_base!$I$21+IF(parametros_manuales!$H$39="Todos",datos_base!$I$12+datos_base!$I$26,0))*parametros_manuales!$F$110)*parametros_manuales!$I$39*parametros_manuales!$J$39</f>
        <v>4156.81171512</v>
      </c>
      <c r="G211" s="9" t="n">
        <f aca="false">(parametros_manuales!$D$39*(datos_base!$I$2+datos_base!$I$18+IF(parametros_manuales!$H$39="Todos",datos_base!$I$9+datos_base!$I$23,0))*parametros_manuales!$G$95+parametros_manuales!$E$39*(datos_base!$I$3+datos_base!$I$19+IF(parametros_manuales!$H$39="Todos",datos_base!$I$10+datos_base!$I$24,0))*parametros_manuales!$G$100+parametros_manuales!$F$39*(datos_base!$I$4+datos_base!$I$20+IF(parametros_manuales!$H$39="Todos",datos_base!$I$11+datos_base!$I$25,0))*parametros_manuales!$G$105+parametros_manuales!$G$39*(datos_base!$I$5+datos_base!$I$21+IF(parametros_manuales!$H$39="Todos",datos_base!$I$12+datos_base!$I$26,0))*parametros_manuales!$G$110)*parametros_manuales!$I$39*parametros_manuales!$J$39</f>
        <v>4006.963826275</v>
      </c>
      <c r="H211" s="9" t="n">
        <f aca="false">(parametros_manuales!$D$39*(datos_base!$I$2+datos_base!$I$18+IF(parametros_manuales!$H$39="Todos",datos_base!$I$9+datos_base!$I$23,0))*parametros_manuales!$H$95+parametros_manuales!$E$39*(datos_base!$I$3+datos_base!$I$19+IF(parametros_manuales!$H$39="Todos",datos_base!$I$10+datos_base!$I$24,0))*parametros_manuales!$H$100+parametros_manuales!$F$39*(datos_base!$I$4+datos_base!$I$20+IF(parametros_manuales!$H$39="Todos",datos_base!$I$11+datos_base!$I$25,0))*parametros_manuales!$H$105+parametros_manuales!$G$39*(datos_base!$I$5+datos_base!$I$21+IF(parametros_manuales!$H$39="Todos",datos_base!$I$12+datos_base!$I$26,0))*parametros_manuales!$H$110)*parametros_manuales!$I$39*parametros_manuales!$J$39</f>
        <v>4282.47210752</v>
      </c>
      <c r="I211" s="9" t="n">
        <f aca="false">(parametros_manuales!$D$39*(datos_base!$I$2+datos_base!$I$18+IF(parametros_manuales!$H$39="Todos",datos_base!$I$9+datos_base!$I$23,0))*parametros_manuales!$I$95+parametros_manuales!$E$39*(datos_base!$I$3+datos_base!$I$19+IF(parametros_manuales!$H$39="Todos",datos_base!$I$10+datos_base!$I$24,0))*parametros_manuales!$I$100+parametros_manuales!$F$39*(datos_base!$I$4+datos_base!$I$20+IF(parametros_manuales!$H$39="Todos",datos_base!$I$11+datos_base!$I$25,0))*parametros_manuales!$I$105+parametros_manuales!$G$39*(datos_base!$I$5+datos_base!$I$21+IF(parametros_manuales!$H$39="Todos",datos_base!$I$12+datos_base!$I$26,0))*parametros_manuales!$I$110)*parametros_manuales!$I$39*parametros_manuales!$J$39</f>
        <v>4659.45328472</v>
      </c>
      <c r="J211" s="9" t="n">
        <f aca="false">(parametros_manuales!$D$39*(datos_base!$I$2+datos_base!$I$18+IF(parametros_manuales!$H$39="Todos",datos_base!$I$9+datos_base!$I$23,0))*parametros_manuales!$J$95+parametros_manuales!$E$39*(datos_base!$I$3+datos_base!$I$19+IF(parametros_manuales!$H$39="Todos",datos_base!$I$10+datos_base!$I$24,0))*parametros_manuales!$J$100+parametros_manuales!$F$39*(datos_base!$I$4+datos_base!$I$20+IF(parametros_manuales!$H$39="Todos",datos_base!$I$11+datos_base!$I$25,0))*parametros_manuales!$J$105+parametros_manuales!$G$39*(datos_base!$I$5+datos_base!$I$21+IF(parametros_manuales!$H$39="Todos",datos_base!$I$12+datos_base!$I$26,0))*parametros_manuales!$J$110)*parametros_manuales!$I$39*parametros_manuales!$J$39</f>
        <v>4659.45328472</v>
      </c>
      <c r="K211" s="9" t="n">
        <f aca="false">(parametros_manuales!$D$39*(datos_base!$I$2+datos_base!$I$18+IF(parametros_manuales!$H$39="Todos",datos_base!$I$9+datos_base!$I$23,0))*parametros_manuales!$K$95+parametros_manuales!$E$39*(datos_base!$I$3+datos_base!$I$19+IF(parametros_manuales!$H$39="Todos",datos_base!$I$10+datos_base!$I$24,0))*parametros_manuales!$K$100+parametros_manuales!$F$39*(datos_base!$I$4+datos_base!$I$20+IF(parametros_manuales!$H$39="Todos",datos_base!$I$11+datos_base!$I$25,0))*parametros_manuales!$K$105+parametros_manuales!$G$39*(datos_base!$I$5+datos_base!$I$21+IF(parametros_manuales!$H$39="Todos",datos_base!$I$12+datos_base!$I$26,0))*parametros_manuales!$K$110)*parametros_manuales!$I$39*parametros_manuales!$J$39</f>
        <v>4809.301173565</v>
      </c>
      <c r="L211" s="9" t="n">
        <f aca="false">(parametros_manuales!$D$39*(datos_base!$I$2+datos_base!$I$18+IF(parametros_manuales!$H$39="Todos",datos_base!$I$9+datos_base!$I$23,0))*parametros_manuales!$L$95+parametros_manuales!$E$39*(datos_base!$I$3+datos_base!$I$19+IF(parametros_manuales!$H$39="Todos",datos_base!$I$10+datos_base!$I$24,0))*parametros_manuales!$L$100+parametros_manuales!$F$39*(datos_base!$I$4+datos_base!$I$20+IF(parametros_manuales!$H$39="Todos",datos_base!$I$11+datos_base!$I$25,0))*parametros_manuales!$L$105+parametros_manuales!$G$39*(datos_base!$I$5+datos_base!$I$21+IF(parametros_manuales!$H$39="Todos",datos_base!$I$12+datos_base!$I$26,0))*parametros_manuales!$L$110)*parametros_manuales!$I$39*parametros_manuales!$J$39</f>
        <v>4959.14906241</v>
      </c>
      <c r="M211" s="9" t="n">
        <f aca="false">(parametros_manuales!$D$39*(datos_base!$I$2+datos_base!$I$18+IF(parametros_manuales!$H$39="Todos",datos_base!$I$9+datos_base!$I$23,0))*parametros_manuales!$M$95+parametros_manuales!$E$39*(datos_base!$I$3+datos_base!$I$19+IF(parametros_manuales!$H$39="Todos",datos_base!$I$10+datos_base!$I$24,0))*parametros_manuales!$M$100+parametros_manuales!$F$39*(datos_base!$I$4+datos_base!$I$20+IF(parametros_manuales!$H$39="Todos",datos_base!$I$11+datos_base!$I$25,0))*parametros_manuales!$M$105+parametros_manuales!$G$39*(datos_base!$I$5+datos_base!$I$21+IF(parametros_manuales!$H$39="Todos",datos_base!$I$12+datos_base!$I$26,0))*parametros_manuales!$M$110)*parametros_manuales!$I$39*parametros_manuales!$J$39</f>
        <v>4959.14906241</v>
      </c>
      <c r="N211" s="9" t="n">
        <f aca="false">SUM(B211:M211)</f>
        <v>55101.656249</v>
      </c>
      <c r="O211" s="9" t="n">
        <f aca="false">MAX(B211:M211)</f>
        <v>4959.14906241</v>
      </c>
      <c r="P211" s="43" t="n">
        <f aca="false">O211/(parametros_manuales!$B$7)</f>
        <v>33.0609937494</v>
      </c>
      <c r="Q211" s="8" t="str">
        <f aca="false">IF(O211=0,"-",INDEX($B$190:$M$190,MATCH(O211,B211:M211,0)))</f>
        <v>Ene</v>
      </c>
    </row>
    <row r="212" customFormat="false" ht="14.25" hidden="false" customHeight="true" outlineLevel="0" collapsed="false">
      <c r="A212" s="8" t="str">
        <f aca="false">parametros_manuales!$B$40</f>
        <v>Presurización</v>
      </c>
      <c r="B212" s="9" t="n">
        <f aca="false">(parametros_manuales!$D$40*(datos_base!$I$2+datos_base!$I$18+IF(parametros_manuales!$H$40="Todos",datos_base!$I$9+datos_base!$I$23,0))*parametros_manuales!$B$95+parametros_manuales!$E$40*(datos_base!$I$3+datos_base!$I$19+IF(parametros_manuales!$H$40="Todos",datos_base!$I$10+datos_base!$I$24,0))*parametros_manuales!$B$100+parametros_manuales!$F$40*(datos_base!$I$4+datos_base!$I$20+IF(parametros_manuales!$H$40="Todos",datos_base!$I$11+datos_base!$I$25,0))*parametros_manuales!$B$105+parametros_manuales!$G$40*(datos_base!$I$5+datos_base!$I$21+IF(parametros_manuales!$H$40="Todos",datos_base!$I$12+datos_base!$I$26,0))*parametros_manuales!$B$110)*parametros_manuales!$I$40*parametros_manuales!$J$40</f>
        <v>4959.14906241</v>
      </c>
      <c r="C212" s="9" t="n">
        <f aca="false">(parametros_manuales!$D$40*(datos_base!$I$2+datos_base!$I$18+IF(parametros_manuales!$H$40="Todos",datos_base!$I$9+datos_base!$I$23,0))*parametros_manuales!$C$95+parametros_manuales!$E$40*(datos_base!$I$3+datos_base!$I$19+IF(parametros_manuales!$H$40="Todos",datos_base!$I$10+datos_base!$I$24,0))*parametros_manuales!$C$100+parametros_manuales!$F$40*(datos_base!$I$4+datos_base!$I$20+IF(parametros_manuales!$H$40="Todos",datos_base!$I$11+datos_base!$I$25,0))*parametros_manuales!$C$105+parametros_manuales!$G$40*(datos_base!$I$5+datos_base!$I$21+IF(parametros_manuales!$H$40="Todos",datos_base!$I$12+datos_base!$I$26,0))*parametros_manuales!$C$110)*parametros_manuales!$I$40*parametros_manuales!$J$40</f>
        <v>4659.45328472</v>
      </c>
      <c r="D212" s="9" t="n">
        <f aca="false">(parametros_manuales!$D$40*(datos_base!$I$2+datos_base!$I$18+IF(parametros_manuales!$H$40="Todos",datos_base!$I$9+datos_base!$I$23,0))*parametros_manuales!$D$95+parametros_manuales!$E$40*(datos_base!$I$3+datos_base!$I$19+IF(parametros_manuales!$H$40="Todos",datos_base!$I$10+datos_base!$I$24,0))*parametros_manuales!$D$100+parametros_manuales!$F$40*(datos_base!$I$4+datos_base!$I$20+IF(parametros_manuales!$H$40="Todos",datos_base!$I$11+datos_base!$I$25,0))*parametros_manuales!$D$105+parametros_manuales!$G$40*(datos_base!$I$5+datos_base!$I$21+IF(parametros_manuales!$H$40="Todos",datos_base!$I$12+datos_base!$I$26,0))*parametros_manuales!$D$110)*parametros_manuales!$I$40*parametros_manuales!$J$40</f>
        <v>4557.980388765</v>
      </c>
      <c r="E212" s="9" t="n">
        <f aca="false">(parametros_manuales!$D$40*(datos_base!$I$2+datos_base!$I$18+IF(parametros_manuales!$H$40="Todos",datos_base!$I$9+datos_base!$I$23,0))*parametros_manuales!$E$95+parametros_manuales!$E$40*(datos_base!$I$3+datos_base!$I$19+IF(parametros_manuales!$H$40="Todos",datos_base!$I$10+datos_base!$I$24,0))*parametros_manuales!$E$100+parametros_manuales!$F$40*(datos_base!$I$4+datos_base!$I$20+IF(parametros_manuales!$H$40="Todos",datos_base!$I$11+datos_base!$I$25,0))*parametros_manuales!$E$105+parametros_manuales!$G$40*(datos_base!$I$5+datos_base!$I$21+IF(parametros_manuales!$H$40="Todos",datos_base!$I$12+datos_base!$I$26,0))*parametros_manuales!$E$110)*parametros_manuales!$I$40*parametros_manuales!$J$40</f>
        <v>4432.319996365</v>
      </c>
      <c r="F212" s="9" t="n">
        <f aca="false">(parametros_manuales!$D$40*(datos_base!$I$2+datos_base!$I$18+IF(parametros_manuales!$H$40="Todos",datos_base!$I$9+datos_base!$I$23,0))*parametros_manuales!$F$95+parametros_manuales!$E$40*(datos_base!$I$3+datos_base!$I$19+IF(parametros_manuales!$H$40="Todos",datos_base!$I$10+datos_base!$I$24,0))*parametros_manuales!$F$100+parametros_manuales!$F$40*(datos_base!$I$4+datos_base!$I$20+IF(parametros_manuales!$H$40="Todos",datos_base!$I$11+datos_base!$I$25,0))*parametros_manuales!$F$105+parametros_manuales!$G$40*(datos_base!$I$5+datos_base!$I$21+IF(parametros_manuales!$H$40="Todos",datos_base!$I$12+datos_base!$I$26,0))*parametros_manuales!$F$110)*parametros_manuales!$I$40*parametros_manuales!$J$40</f>
        <v>4156.81171512</v>
      </c>
      <c r="G212" s="9" t="n">
        <f aca="false">(parametros_manuales!$D$40*(datos_base!$I$2+datos_base!$I$18+IF(parametros_manuales!$H$40="Todos",datos_base!$I$9+datos_base!$I$23,0))*parametros_manuales!$G$95+parametros_manuales!$E$40*(datos_base!$I$3+datos_base!$I$19+IF(parametros_manuales!$H$40="Todos",datos_base!$I$10+datos_base!$I$24,0))*parametros_manuales!$G$100+parametros_manuales!$F$40*(datos_base!$I$4+datos_base!$I$20+IF(parametros_manuales!$H$40="Todos",datos_base!$I$11+datos_base!$I$25,0))*parametros_manuales!$G$105+parametros_manuales!$G$40*(datos_base!$I$5+datos_base!$I$21+IF(parametros_manuales!$H$40="Todos",datos_base!$I$12+datos_base!$I$26,0))*parametros_manuales!$G$110)*parametros_manuales!$I$40*parametros_manuales!$J$40</f>
        <v>4006.963826275</v>
      </c>
      <c r="H212" s="9" t="n">
        <f aca="false">(parametros_manuales!$D$40*(datos_base!$I$2+datos_base!$I$18+IF(parametros_manuales!$H$40="Todos",datos_base!$I$9+datos_base!$I$23,0))*parametros_manuales!$H$95+parametros_manuales!$E$40*(datos_base!$I$3+datos_base!$I$19+IF(parametros_manuales!$H$40="Todos",datos_base!$I$10+datos_base!$I$24,0))*parametros_manuales!$H$100+parametros_manuales!$F$40*(datos_base!$I$4+datos_base!$I$20+IF(parametros_manuales!$H$40="Todos",datos_base!$I$11+datos_base!$I$25,0))*parametros_manuales!$H$105+parametros_manuales!$G$40*(datos_base!$I$5+datos_base!$I$21+IF(parametros_manuales!$H$40="Todos",datos_base!$I$12+datos_base!$I$26,0))*parametros_manuales!$H$110)*parametros_manuales!$I$40*parametros_manuales!$J$40</f>
        <v>4282.47210752</v>
      </c>
      <c r="I212" s="9" t="n">
        <f aca="false">(parametros_manuales!$D$40*(datos_base!$I$2+datos_base!$I$18+IF(parametros_manuales!$H$40="Todos",datos_base!$I$9+datos_base!$I$23,0))*parametros_manuales!$I$95+parametros_manuales!$E$40*(datos_base!$I$3+datos_base!$I$19+IF(parametros_manuales!$H$40="Todos",datos_base!$I$10+datos_base!$I$24,0))*parametros_manuales!$I$100+parametros_manuales!$F$40*(datos_base!$I$4+datos_base!$I$20+IF(parametros_manuales!$H$40="Todos",datos_base!$I$11+datos_base!$I$25,0))*parametros_manuales!$I$105+parametros_manuales!$G$40*(datos_base!$I$5+datos_base!$I$21+IF(parametros_manuales!$H$40="Todos",datos_base!$I$12+datos_base!$I$26,0))*parametros_manuales!$I$110)*parametros_manuales!$I$40*parametros_manuales!$J$40</f>
        <v>4659.45328472</v>
      </c>
      <c r="J212" s="9" t="n">
        <f aca="false">(parametros_manuales!$D$40*(datos_base!$I$2+datos_base!$I$18+IF(parametros_manuales!$H$40="Todos",datos_base!$I$9+datos_base!$I$23,0))*parametros_manuales!$J$95+parametros_manuales!$E$40*(datos_base!$I$3+datos_base!$I$19+IF(parametros_manuales!$H$40="Todos",datos_base!$I$10+datos_base!$I$24,0))*parametros_manuales!$J$100+parametros_manuales!$F$40*(datos_base!$I$4+datos_base!$I$20+IF(parametros_manuales!$H$40="Todos",datos_base!$I$11+datos_base!$I$25,0))*parametros_manuales!$J$105+parametros_manuales!$G$40*(datos_base!$I$5+datos_base!$I$21+IF(parametros_manuales!$H$40="Todos",datos_base!$I$12+datos_base!$I$26,0))*parametros_manuales!$J$110)*parametros_manuales!$I$40*parametros_manuales!$J$40</f>
        <v>4659.45328472</v>
      </c>
      <c r="K212" s="9" t="n">
        <f aca="false">(parametros_manuales!$D$40*(datos_base!$I$2+datos_base!$I$18+IF(parametros_manuales!$H$40="Todos",datos_base!$I$9+datos_base!$I$23,0))*parametros_manuales!$K$95+parametros_manuales!$E$40*(datos_base!$I$3+datos_base!$I$19+IF(parametros_manuales!$H$40="Todos",datos_base!$I$10+datos_base!$I$24,0))*parametros_manuales!$K$100+parametros_manuales!$F$40*(datos_base!$I$4+datos_base!$I$20+IF(parametros_manuales!$H$40="Todos",datos_base!$I$11+datos_base!$I$25,0))*parametros_manuales!$K$105+parametros_manuales!$G$40*(datos_base!$I$5+datos_base!$I$21+IF(parametros_manuales!$H$40="Todos",datos_base!$I$12+datos_base!$I$26,0))*parametros_manuales!$K$110)*parametros_manuales!$I$40*parametros_manuales!$J$40</f>
        <v>4809.301173565</v>
      </c>
      <c r="L212" s="9" t="n">
        <f aca="false">(parametros_manuales!$D$40*(datos_base!$I$2+datos_base!$I$18+IF(parametros_manuales!$H$40="Todos",datos_base!$I$9+datos_base!$I$23,0))*parametros_manuales!$L$95+parametros_manuales!$E$40*(datos_base!$I$3+datos_base!$I$19+IF(parametros_manuales!$H$40="Todos",datos_base!$I$10+datos_base!$I$24,0))*parametros_manuales!$L$100+parametros_manuales!$F$40*(datos_base!$I$4+datos_base!$I$20+IF(parametros_manuales!$H$40="Todos",datos_base!$I$11+datos_base!$I$25,0))*parametros_manuales!$L$105+parametros_manuales!$G$40*(datos_base!$I$5+datos_base!$I$21+IF(parametros_manuales!$H$40="Todos",datos_base!$I$12+datos_base!$I$26,0))*parametros_manuales!$L$110)*parametros_manuales!$I$40*parametros_manuales!$J$40</f>
        <v>4959.14906241</v>
      </c>
      <c r="M212" s="9" t="n">
        <f aca="false">(parametros_manuales!$D$40*(datos_base!$I$2+datos_base!$I$18+IF(parametros_manuales!$H$40="Todos",datos_base!$I$9+datos_base!$I$23,0))*parametros_manuales!$M$95+parametros_manuales!$E$40*(datos_base!$I$3+datos_base!$I$19+IF(parametros_manuales!$H$40="Todos",datos_base!$I$10+datos_base!$I$24,0))*parametros_manuales!$M$100+parametros_manuales!$F$40*(datos_base!$I$4+datos_base!$I$20+IF(parametros_manuales!$H$40="Todos",datos_base!$I$11+datos_base!$I$25,0))*parametros_manuales!$M$105+parametros_manuales!$G$40*(datos_base!$I$5+datos_base!$I$21+IF(parametros_manuales!$H$40="Todos",datos_base!$I$12+datos_base!$I$26,0))*parametros_manuales!$M$110)*parametros_manuales!$I$40*parametros_manuales!$J$40</f>
        <v>4959.14906241</v>
      </c>
      <c r="N212" s="9" t="n">
        <f aca="false">SUM(B212:M212)</f>
        <v>55101.656249</v>
      </c>
      <c r="O212" s="9" t="n">
        <f aca="false">MAX(B212:M212)</f>
        <v>4959.14906241</v>
      </c>
      <c r="P212" s="43" t="n">
        <f aca="false">O212/(parametros_manuales!$B$7)</f>
        <v>33.0609937494</v>
      </c>
      <c r="Q212" s="8" t="str">
        <f aca="false">IF(O212=0,"-",INDEX($B$190:$M$190,MATCH(O212,B212:M212,0)))</f>
        <v>Ene</v>
      </c>
    </row>
    <row r="213" customFormat="false" ht="14.25" hidden="false" customHeight="true" outlineLevel="0" collapsed="false">
      <c r="A213" s="8" t="str">
        <f aca="false">parametros_manuales!$B$41</f>
        <v>Control de calidad — Ensayo de pérdidas</v>
      </c>
      <c r="B213" s="9" t="n">
        <f aca="false">(parametros_manuales!$D$41*(datos_base!$I$2+datos_base!$I$18+IF(parametros_manuales!$H$41="Todos",datos_base!$I$9+datos_base!$I$23,0))*parametros_manuales!$B$95+parametros_manuales!$E$41*(datos_base!$I$3+datos_base!$I$19+IF(parametros_manuales!$H$41="Todos",datos_base!$I$10+datos_base!$I$24,0))*parametros_manuales!$B$100+parametros_manuales!$F$41*(datos_base!$I$4+datos_base!$I$20+IF(parametros_manuales!$H$41="Todos",datos_base!$I$11+datos_base!$I$25,0))*parametros_manuales!$B$105+parametros_manuales!$G$41*(datos_base!$I$5+datos_base!$I$21+IF(parametros_manuales!$H$41="Todos",datos_base!$I$12+datos_base!$I$26,0))*parametros_manuales!$B$110)*parametros_manuales!$I$41*parametros_manuales!$J$41</f>
        <v>4959.14906241</v>
      </c>
      <c r="C213" s="9" t="n">
        <f aca="false">(parametros_manuales!$D$41*(datos_base!$I$2+datos_base!$I$18+IF(parametros_manuales!$H$41="Todos",datos_base!$I$9+datos_base!$I$23,0))*parametros_manuales!$C$95+parametros_manuales!$E$41*(datos_base!$I$3+datos_base!$I$19+IF(parametros_manuales!$H$41="Todos",datos_base!$I$10+datos_base!$I$24,0))*parametros_manuales!$C$100+parametros_manuales!$F$41*(datos_base!$I$4+datos_base!$I$20+IF(parametros_manuales!$H$41="Todos",datos_base!$I$11+datos_base!$I$25,0))*parametros_manuales!$C$105+parametros_manuales!$G$41*(datos_base!$I$5+datos_base!$I$21+IF(parametros_manuales!$H$41="Todos",datos_base!$I$12+datos_base!$I$26,0))*parametros_manuales!$C$110)*parametros_manuales!$I$41*parametros_manuales!$J$41</f>
        <v>4659.45328472</v>
      </c>
      <c r="D213" s="9" t="n">
        <f aca="false">(parametros_manuales!$D$41*(datos_base!$I$2+datos_base!$I$18+IF(parametros_manuales!$H$41="Todos",datos_base!$I$9+datos_base!$I$23,0))*parametros_manuales!$D$95+parametros_manuales!$E$41*(datos_base!$I$3+datos_base!$I$19+IF(parametros_manuales!$H$41="Todos",datos_base!$I$10+datos_base!$I$24,0))*parametros_manuales!$D$100+parametros_manuales!$F$41*(datos_base!$I$4+datos_base!$I$20+IF(parametros_manuales!$H$41="Todos",datos_base!$I$11+datos_base!$I$25,0))*parametros_manuales!$D$105+parametros_manuales!$G$41*(datos_base!$I$5+datos_base!$I$21+IF(parametros_manuales!$H$41="Todos",datos_base!$I$12+datos_base!$I$26,0))*parametros_manuales!$D$110)*parametros_manuales!$I$41*parametros_manuales!$J$41</f>
        <v>4557.980388765</v>
      </c>
      <c r="E213" s="9" t="n">
        <f aca="false">(parametros_manuales!$D$41*(datos_base!$I$2+datos_base!$I$18+IF(parametros_manuales!$H$41="Todos",datos_base!$I$9+datos_base!$I$23,0))*parametros_manuales!$E$95+parametros_manuales!$E$41*(datos_base!$I$3+datos_base!$I$19+IF(parametros_manuales!$H$41="Todos",datos_base!$I$10+datos_base!$I$24,0))*parametros_manuales!$E$100+parametros_manuales!$F$41*(datos_base!$I$4+datos_base!$I$20+IF(parametros_manuales!$H$41="Todos",datos_base!$I$11+datos_base!$I$25,0))*parametros_manuales!$E$105+parametros_manuales!$G$41*(datos_base!$I$5+datos_base!$I$21+IF(parametros_manuales!$H$41="Todos",datos_base!$I$12+datos_base!$I$26,0))*parametros_manuales!$E$110)*parametros_manuales!$I$41*parametros_manuales!$J$41</f>
        <v>4432.319996365</v>
      </c>
      <c r="F213" s="9" t="n">
        <f aca="false">(parametros_manuales!$D$41*(datos_base!$I$2+datos_base!$I$18+IF(parametros_manuales!$H$41="Todos",datos_base!$I$9+datos_base!$I$23,0))*parametros_manuales!$F$95+parametros_manuales!$E$41*(datos_base!$I$3+datos_base!$I$19+IF(parametros_manuales!$H$41="Todos",datos_base!$I$10+datos_base!$I$24,0))*parametros_manuales!$F$100+parametros_manuales!$F$41*(datos_base!$I$4+datos_base!$I$20+IF(parametros_manuales!$H$41="Todos",datos_base!$I$11+datos_base!$I$25,0))*parametros_manuales!$F$105+parametros_manuales!$G$41*(datos_base!$I$5+datos_base!$I$21+IF(parametros_manuales!$H$41="Todos",datos_base!$I$12+datos_base!$I$26,0))*parametros_manuales!$F$110)*parametros_manuales!$I$41*parametros_manuales!$J$41</f>
        <v>4156.81171512</v>
      </c>
      <c r="G213" s="9" t="n">
        <f aca="false">(parametros_manuales!$D$41*(datos_base!$I$2+datos_base!$I$18+IF(parametros_manuales!$H$41="Todos",datos_base!$I$9+datos_base!$I$23,0))*parametros_manuales!$G$95+parametros_manuales!$E$41*(datos_base!$I$3+datos_base!$I$19+IF(parametros_manuales!$H$41="Todos",datos_base!$I$10+datos_base!$I$24,0))*parametros_manuales!$G$100+parametros_manuales!$F$41*(datos_base!$I$4+datos_base!$I$20+IF(parametros_manuales!$H$41="Todos",datos_base!$I$11+datos_base!$I$25,0))*parametros_manuales!$G$105+parametros_manuales!$G$41*(datos_base!$I$5+datos_base!$I$21+IF(parametros_manuales!$H$41="Todos",datos_base!$I$12+datos_base!$I$26,0))*parametros_manuales!$G$110)*parametros_manuales!$I$41*parametros_manuales!$J$41</f>
        <v>4006.963826275</v>
      </c>
      <c r="H213" s="9" t="n">
        <f aca="false">(parametros_manuales!$D$41*(datos_base!$I$2+datos_base!$I$18+IF(parametros_manuales!$H$41="Todos",datos_base!$I$9+datos_base!$I$23,0))*parametros_manuales!$H$95+parametros_manuales!$E$41*(datos_base!$I$3+datos_base!$I$19+IF(parametros_manuales!$H$41="Todos",datos_base!$I$10+datos_base!$I$24,0))*parametros_manuales!$H$100+parametros_manuales!$F$41*(datos_base!$I$4+datos_base!$I$20+IF(parametros_manuales!$H$41="Todos",datos_base!$I$11+datos_base!$I$25,0))*parametros_manuales!$H$105+parametros_manuales!$G$41*(datos_base!$I$5+datos_base!$I$21+IF(parametros_manuales!$H$41="Todos",datos_base!$I$12+datos_base!$I$26,0))*parametros_manuales!$H$110)*parametros_manuales!$I$41*parametros_manuales!$J$41</f>
        <v>4282.47210752</v>
      </c>
      <c r="I213" s="9" t="n">
        <f aca="false">(parametros_manuales!$D$41*(datos_base!$I$2+datos_base!$I$18+IF(parametros_manuales!$H$41="Todos",datos_base!$I$9+datos_base!$I$23,0))*parametros_manuales!$I$95+parametros_manuales!$E$41*(datos_base!$I$3+datos_base!$I$19+IF(parametros_manuales!$H$41="Todos",datos_base!$I$10+datos_base!$I$24,0))*parametros_manuales!$I$100+parametros_manuales!$F$41*(datos_base!$I$4+datos_base!$I$20+IF(parametros_manuales!$H$41="Todos",datos_base!$I$11+datos_base!$I$25,0))*parametros_manuales!$I$105+parametros_manuales!$G$41*(datos_base!$I$5+datos_base!$I$21+IF(parametros_manuales!$H$41="Todos",datos_base!$I$12+datos_base!$I$26,0))*parametros_manuales!$I$110)*parametros_manuales!$I$41*parametros_manuales!$J$41</f>
        <v>4659.45328472</v>
      </c>
      <c r="J213" s="9" t="n">
        <f aca="false">(parametros_manuales!$D$41*(datos_base!$I$2+datos_base!$I$18+IF(parametros_manuales!$H$41="Todos",datos_base!$I$9+datos_base!$I$23,0))*parametros_manuales!$J$95+parametros_manuales!$E$41*(datos_base!$I$3+datos_base!$I$19+IF(parametros_manuales!$H$41="Todos",datos_base!$I$10+datos_base!$I$24,0))*parametros_manuales!$J$100+parametros_manuales!$F$41*(datos_base!$I$4+datos_base!$I$20+IF(parametros_manuales!$H$41="Todos",datos_base!$I$11+datos_base!$I$25,0))*parametros_manuales!$J$105+parametros_manuales!$G$41*(datos_base!$I$5+datos_base!$I$21+IF(parametros_manuales!$H$41="Todos",datos_base!$I$12+datos_base!$I$26,0))*parametros_manuales!$J$110)*parametros_manuales!$I$41*parametros_manuales!$J$41</f>
        <v>4659.45328472</v>
      </c>
      <c r="K213" s="9" t="n">
        <f aca="false">(parametros_manuales!$D$41*(datos_base!$I$2+datos_base!$I$18+IF(parametros_manuales!$H$41="Todos",datos_base!$I$9+datos_base!$I$23,0))*parametros_manuales!$K$95+parametros_manuales!$E$41*(datos_base!$I$3+datos_base!$I$19+IF(parametros_manuales!$H$41="Todos",datos_base!$I$10+datos_base!$I$24,0))*parametros_manuales!$K$100+parametros_manuales!$F$41*(datos_base!$I$4+datos_base!$I$20+IF(parametros_manuales!$H$41="Todos",datos_base!$I$11+datos_base!$I$25,0))*parametros_manuales!$K$105+parametros_manuales!$G$41*(datos_base!$I$5+datos_base!$I$21+IF(parametros_manuales!$H$41="Todos",datos_base!$I$12+datos_base!$I$26,0))*parametros_manuales!$K$110)*parametros_manuales!$I$41*parametros_manuales!$J$41</f>
        <v>4809.301173565</v>
      </c>
      <c r="L213" s="9" t="n">
        <f aca="false">(parametros_manuales!$D$41*(datos_base!$I$2+datos_base!$I$18+IF(parametros_manuales!$H$41="Todos",datos_base!$I$9+datos_base!$I$23,0))*parametros_manuales!$L$95+parametros_manuales!$E$41*(datos_base!$I$3+datos_base!$I$19+IF(parametros_manuales!$H$41="Todos",datos_base!$I$10+datos_base!$I$24,0))*parametros_manuales!$L$100+parametros_manuales!$F$41*(datos_base!$I$4+datos_base!$I$20+IF(parametros_manuales!$H$41="Todos",datos_base!$I$11+datos_base!$I$25,0))*parametros_manuales!$L$105+parametros_manuales!$G$41*(datos_base!$I$5+datos_base!$I$21+IF(parametros_manuales!$H$41="Todos",datos_base!$I$12+datos_base!$I$26,0))*parametros_manuales!$L$110)*parametros_manuales!$I$41*parametros_manuales!$J$41</f>
        <v>4959.14906241</v>
      </c>
      <c r="M213" s="9" t="n">
        <f aca="false">(parametros_manuales!$D$41*(datos_base!$I$2+datos_base!$I$18+IF(parametros_manuales!$H$41="Todos",datos_base!$I$9+datos_base!$I$23,0))*parametros_manuales!$M$95+parametros_manuales!$E$41*(datos_base!$I$3+datos_base!$I$19+IF(parametros_manuales!$H$41="Todos",datos_base!$I$10+datos_base!$I$24,0))*parametros_manuales!$M$100+parametros_manuales!$F$41*(datos_base!$I$4+datos_base!$I$20+IF(parametros_manuales!$H$41="Todos",datos_base!$I$11+datos_base!$I$25,0))*parametros_manuales!$M$105+parametros_manuales!$G$41*(datos_base!$I$5+datos_base!$I$21+IF(parametros_manuales!$H$41="Todos",datos_base!$I$12+datos_base!$I$26,0))*parametros_manuales!$M$110)*parametros_manuales!$I$41*parametros_manuales!$J$41</f>
        <v>4959.14906241</v>
      </c>
      <c r="N213" s="9" t="n">
        <f aca="false">SUM(B213:M213)</f>
        <v>55101.656249</v>
      </c>
      <c r="O213" s="9" t="n">
        <f aca="false">MAX(B213:M213)</f>
        <v>4959.14906241</v>
      </c>
      <c r="P213" s="43" t="n">
        <f aca="false">O213/(parametros_manuales!$B$7)</f>
        <v>33.0609937494</v>
      </c>
      <c r="Q213" s="8" t="str">
        <f aca="false">IF(O213=0,"-",INDEX($B$190:$M$190,MATCH(O213,B213:M213,0)))</f>
        <v>Ene</v>
      </c>
    </row>
    <row r="214" customFormat="false" ht="14.25" hidden="false" customHeight="true" outlineLevel="0" collapsed="false">
      <c r="A214" s="8" t="str">
        <f aca="false">parametros_manuales!$B$42</f>
        <v>Etiquetado</v>
      </c>
      <c r="B214" s="9" t="n">
        <f aca="false">(parametros_manuales!$D$42*(datos_base!$I$2+datos_base!$I$18+IF(parametros_manuales!$H$42="Todos",datos_base!$I$9+datos_base!$I$23,0))*parametros_manuales!$B$95+parametros_manuales!$E$42*(datos_base!$I$3+datos_base!$I$19+IF(parametros_manuales!$H$42="Todos",datos_base!$I$10+datos_base!$I$24,0))*parametros_manuales!$B$100+parametros_manuales!$F$42*(datos_base!$I$4+datos_base!$I$20+IF(parametros_manuales!$H$42="Todos",datos_base!$I$11+datos_base!$I$25,0))*parametros_manuales!$B$105+parametros_manuales!$G$42*(datos_base!$I$5+datos_base!$I$21+IF(parametros_manuales!$H$42="Todos",datos_base!$I$12+datos_base!$I$26,0))*parametros_manuales!$B$110)*parametros_manuales!$I$42*parametros_manuales!$J$42</f>
        <v>4959.14906241</v>
      </c>
      <c r="C214" s="9" t="n">
        <f aca="false">(parametros_manuales!$D$42*(datos_base!$I$2+datos_base!$I$18+IF(parametros_manuales!$H$42="Todos",datos_base!$I$9+datos_base!$I$23,0))*parametros_manuales!$C$95+parametros_manuales!$E$42*(datos_base!$I$3+datos_base!$I$19+IF(parametros_manuales!$H$42="Todos",datos_base!$I$10+datos_base!$I$24,0))*parametros_manuales!$C$100+parametros_manuales!$F$42*(datos_base!$I$4+datos_base!$I$20+IF(parametros_manuales!$H$42="Todos",datos_base!$I$11+datos_base!$I$25,0))*parametros_manuales!$C$105+parametros_manuales!$G$42*(datos_base!$I$5+datos_base!$I$21+IF(parametros_manuales!$H$42="Todos",datos_base!$I$12+datos_base!$I$26,0))*parametros_manuales!$C$110)*parametros_manuales!$I$42*parametros_manuales!$J$42</f>
        <v>4659.45328472</v>
      </c>
      <c r="D214" s="9" t="n">
        <f aca="false">(parametros_manuales!$D$42*(datos_base!$I$2+datos_base!$I$18+IF(parametros_manuales!$H$42="Todos",datos_base!$I$9+datos_base!$I$23,0))*parametros_manuales!$D$95+parametros_manuales!$E$42*(datos_base!$I$3+datos_base!$I$19+IF(parametros_manuales!$H$42="Todos",datos_base!$I$10+datos_base!$I$24,0))*parametros_manuales!$D$100+parametros_manuales!$F$42*(datos_base!$I$4+datos_base!$I$20+IF(parametros_manuales!$H$42="Todos",datos_base!$I$11+datos_base!$I$25,0))*parametros_manuales!$D$105+parametros_manuales!$G$42*(datos_base!$I$5+datos_base!$I$21+IF(parametros_manuales!$H$42="Todos",datos_base!$I$12+datos_base!$I$26,0))*parametros_manuales!$D$110)*parametros_manuales!$I$42*parametros_manuales!$J$42</f>
        <v>4557.980388765</v>
      </c>
      <c r="E214" s="9" t="n">
        <f aca="false">(parametros_manuales!$D$42*(datos_base!$I$2+datos_base!$I$18+IF(parametros_manuales!$H$42="Todos",datos_base!$I$9+datos_base!$I$23,0))*parametros_manuales!$E$95+parametros_manuales!$E$42*(datos_base!$I$3+datos_base!$I$19+IF(parametros_manuales!$H$42="Todos",datos_base!$I$10+datos_base!$I$24,0))*parametros_manuales!$E$100+parametros_manuales!$F$42*(datos_base!$I$4+datos_base!$I$20+IF(parametros_manuales!$H$42="Todos",datos_base!$I$11+datos_base!$I$25,0))*parametros_manuales!$E$105+parametros_manuales!$G$42*(datos_base!$I$5+datos_base!$I$21+IF(parametros_manuales!$H$42="Todos",datos_base!$I$12+datos_base!$I$26,0))*parametros_manuales!$E$110)*parametros_manuales!$I$42*parametros_manuales!$J$42</f>
        <v>4432.319996365</v>
      </c>
      <c r="F214" s="9" t="n">
        <f aca="false">(parametros_manuales!$D$42*(datos_base!$I$2+datos_base!$I$18+IF(parametros_manuales!$H$42="Todos",datos_base!$I$9+datos_base!$I$23,0))*parametros_manuales!$F$95+parametros_manuales!$E$42*(datos_base!$I$3+datos_base!$I$19+IF(parametros_manuales!$H$42="Todos",datos_base!$I$10+datos_base!$I$24,0))*parametros_manuales!$F$100+parametros_manuales!$F$42*(datos_base!$I$4+datos_base!$I$20+IF(parametros_manuales!$H$42="Todos",datos_base!$I$11+datos_base!$I$25,0))*parametros_manuales!$F$105+parametros_manuales!$G$42*(datos_base!$I$5+datos_base!$I$21+IF(parametros_manuales!$H$42="Todos",datos_base!$I$12+datos_base!$I$26,0))*parametros_manuales!$F$110)*parametros_manuales!$I$42*parametros_manuales!$J$42</f>
        <v>4156.81171512</v>
      </c>
      <c r="G214" s="9" t="n">
        <f aca="false">(parametros_manuales!$D$42*(datos_base!$I$2+datos_base!$I$18+IF(parametros_manuales!$H$42="Todos",datos_base!$I$9+datos_base!$I$23,0))*parametros_manuales!$G$95+parametros_manuales!$E$42*(datos_base!$I$3+datos_base!$I$19+IF(parametros_manuales!$H$42="Todos",datos_base!$I$10+datos_base!$I$24,0))*parametros_manuales!$G$100+parametros_manuales!$F$42*(datos_base!$I$4+datos_base!$I$20+IF(parametros_manuales!$H$42="Todos",datos_base!$I$11+datos_base!$I$25,0))*parametros_manuales!$G$105+parametros_manuales!$G$42*(datos_base!$I$5+datos_base!$I$21+IF(parametros_manuales!$H$42="Todos",datos_base!$I$12+datos_base!$I$26,0))*parametros_manuales!$G$110)*parametros_manuales!$I$42*parametros_manuales!$J$42</f>
        <v>4006.963826275</v>
      </c>
      <c r="H214" s="9" t="n">
        <f aca="false">(parametros_manuales!$D$42*(datos_base!$I$2+datos_base!$I$18+IF(parametros_manuales!$H$42="Todos",datos_base!$I$9+datos_base!$I$23,0))*parametros_manuales!$H$95+parametros_manuales!$E$42*(datos_base!$I$3+datos_base!$I$19+IF(parametros_manuales!$H$42="Todos",datos_base!$I$10+datos_base!$I$24,0))*parametros_manuales!$H$100+parametros_manuales!$F$42*(datos_base!$I$4+datos_base!$I$20+IF(parametros_manuales!$H$42="Todos",datos_base!$I$11+datos_base!$I$25,0))*parametros_manuales!$H$105+parametros_manuales!$G$42*(datos_base!$I$5+datos_base!$I$21+IF(parametros_manuales!$H$42="Todos",datos_base!$I$12+datos_base!$I$26,0))*parametros_manuales!$H$110)*parametros_manuales!$I$42*parametros_manuales!$J$42</f>
        <v>4282.47210752</v>
      </c>
      <c r="I214" s="9" t="n">
        <f aca="false">(parametros_manuales!$D$42*(datos_base!$I$2+datos_base!$I$18+IF(parametros_manuales!$H$42="Todos",datos_base!$I$9+datos_base!$I$23,0))*parametros_manuales!$I$95+parametros_manuales!$E$42*(datos_base!$I$3+datos_base!$I$19+IF(parametros_manuales!$H$42="Todos",datos_base!$I$10+datos_base!$I$24,0))*parametros_manuales!$I$100+parametros_manuales!$F$42*(datos_base!$I$4+datos_base!$I$20+IF(parametros_manuales!$H$42="Todos",datos_base!$I$11+datos_base!$I$25,0))*parametros_manuales!$I$105+parametros_manuales!$G$42*(datos_base!$I$5+datos_base!$I$21+IF(parametros_manuales!$H$42="Todos",datos_base!$I$12+datos_base!$I$26,0))*parametros_manuales!$I$110)*parametros_manuales!$I$42*parametros_manuales!$J$42</f>
        <v>4659.45328472</v>
      </c>
      <c r="J214" s="9" t="n">
        <f aca="false">(parametros_manuales!$D$42*(datos_base!$I$2+datos_base!$I$18+IF(parametros_manuales!$H$42="Todos",datos_base!$I$9+datos_base!$I$23,0))*parametros_manuales!$J$95+parametros_manuales!$E$42*(datos_base!$I$3+datos_base!$I$19+IF(parametros_manuales!$H$42="Todos",datos_base!$I$10+datos_base!$I$24,0))*parametros_manuales!$J$100+parametros_manuales!$F$42*(datos_base!$I$4+datos_base!$I$20+IF(parametros_manuales!$H$42="Todos",datos_base!$I$11+datos_base!$I$25,0))*parametros_manuales!$J$105+parametros_manuales!$G$42*(datos_base!$I$5+datos_base!$I$21+IF(parametros_manuales!$H$42="Todos",datos_base!$I$12+datos_base!$I$26,0))*parametros_manuales!$J$110)*parametros_manuales!$I$42*parametros_manuales!$J$42</f>
        <v>4659.45328472</v>
      </c>
      <c r="K214" s="9" t="n">
        <f aca="false">(parametros_manuales!$D$42*(datos_base!$I$2+datos_base!$I$18+IF(parametros_manuales!$H$42="Todos",datos_base!$I$9+datos_base!$I$23,0))*parametros_manuales!$K$95+parametros_manuales!$E$42*(datos_base!$I$3+datos_base!$I$19+IF(parametros_manuales!$H$42="Todos",datos_base!$I$10+datos_base!$I$24,0))*parametros_manuales!$K$100+parametros_manuales!$F$42*(datos_base!$I$4+datos_base!$I$20+IF(parametros_manuales!$H$42="Todos",datos_base!$I$11+datos_base!$I$25,0))*parametros_manuales!$K$105+parametros_manuales!$G$42*(datos_base!$I$5+datos_base!$I$21+IF(parametros_manuales!$H$42="Todos",datos_base!$I$12+datos_base!$I$26,0))*parametros_manuales!$K$110)*parametros_manuales!$I$42*parametros_manuales!$J$42</f>
        <v>4809.301173565</v>
      </c>
      <c r="L214" s="9" t="n">
        <f aca="false">(parametros_manuales!$D$42*(datos_base!$I$2+datos_base!$I$18+IF(parametros_manuales!$H$42="Todos",datos_base!$I$9+datos_base!$I$23,0))*parametros_manuales!$L$95+parametros_manuales!$E$42*(datos_base!$I$3+datos_base!$I$19+IF(parametros_manuales!$H$42="Todos",datos_base!$I$10+datos_base!$I$24,0))*parametros_manuales!$L$100+parametros_manuales!$F$42*(datos_base!$I$4+datos_base!$I$20+IF(parametros_manuales!$H$42="Todos",datos_base!$I$11+datos_base!$I$25,0))*parametros_manuales!$L$105+parametros_manuales!$G$42*(datos_base!$I$5+datos_base!$I$21+IF(parametros_manuales!$H$42="Todos",datos_base!$I$12+datos_base!$I$26,0))*parametros_manuales!$L$110)*parametros_manuales!$I$42*parametros_manuales!$J$42</f>
        <v>4959.14906241</v>
      </c>
      <c r="M214" s="9" t="n">
        <f aca="false">(parametros_manuales!$D$42*(datos_base!$I$2+datos_base!$I$18+IF(parametros_manuales!$H$42="Todos",datos_base!$I$9+datos_base!$I$23,0))*parametros_manuales!$M$95+parametros_manuales!$E$42*(datos_base!$I$3+datos_base!$I$19+IF(parametros_manuales!$H$42="Todos",datos_base!$I$10+datos_base!$I$24,0))*parametros_manuales!$M$100+parametros_manuales!$F$42*(datos_base!$I$4+datos_base!$I$20+IF(parametros_manuales!$H$42="Todos",datos_base!$I$11+datos_base!$I$25,0))*parametros_manuales!$M$105+parametros_manuales!$G$42*(datos_base!$I$5+datos_base!$I$21+IF(parametros_manuales!$H$42="Todos",datos_base!$I$12+datos_base!$I$26,0))*parametros_manuales!$M$110)*parametros_manuales!$I$42*parametros_manuales!$J$42</f>
        <v>4959.14906241</v>
      </c>
      <c r="N214" s="9" t="n">
        <f aca="false">SUM(B214:M214)</f>
        <v>55101.656249</v>
      </c>
      <c r="O214" s="9" t="n">
        <f aca="false">MAX(B214:M214)</f>
        <v>4959.14906241</v>
      </c>
      <c r="P214" s="43" t="n">
        <f aca="false">O214/(parametros_manuales!$B$7)</f>
        <v>33.0609937494</v>
      </c>
      <c r="Q214" s="8" t="str">
        <f aca="false">IF(O214=0,"-",INDEX($B$190:$M$190,MATCH(O214,B214:M214,0)))</f>
        <v>Ene</v>
      </c>
    </row>
    <row r="215" customFormat="false" ht="14.25" hidden="false" customHeight="true" outlineLevel="0" collapsed="false">
      <c r="A215" s="8" t="str">
        <f aca="false">parametros_manuales!$B$43</f>
        <v>Embalaje y paletizado</v>
      </c>
      <c r="B215" s="9" t="n">
        <f aca="false">(parametros_manuales!$D$43*(datos_base!$I$2+datos_base!$I$18+IF(parametros_manuales!$H$43="Todos",datos_base!$I$9+datos_base!$I$23,0))*parametros_manuales!$B$95+parametros_manuales!$E$43*(datos_base!$I$3+datos_base!$I$19+IF(parametros_manuales!$H$43="Todos",datos_base!$I$10+datos_base!$I$24,0))*parametros_manuales!$B$100+parametros_manuales!$F$43*(datos_base!$I$4+datos_base!$I$20+IF(parametros_manuales!$H$43="Todos",datos_base!$I$11+datos_base!$I$25,0))*parametros_manuales!$B$105+parametros_manuales!$G$43*(datos_base!$I$5+datos_base!$I$21+IF(parametros_manuales!$H$43="Todos",datos_base!$I$12+datos_base!$I$26,0))*parametros_manuales!$B$110)*parametros_manuales!$I$43*parametros_manuales!$J$43</f>
        <v>19640.96066241</v>
      </c>
      <c r="C215" s="9" t="n">
        <f aca="false">(parametros_manuales!$D$43*(datos_base!$I$2+datos_base!$I$18+IF(parametros_manuales!$H$43="Todos",datos_base!$I$9+datos_base!$I$23,0))*parametros_manuales!$C$95+parametros_manuales!$E$43*(datos_base!$I$3+datos_base!$I$19+IF(parametros_manuales!$H$43="Todos",datos_base!$I$10+datos_base!$I$24,0))*parametros_manuales!$C$100+parametros_manuales!$F$43*(datos_base!$I$4+datos_base!$I$20+IF(parametros_manuales!$H$43="Todos",datos_base!$I$11+datos_base!$I$25,0))*parametros_manuales!$C$105+parametros_manuales!$G$43*(datos_base!$I$5+datos_base!$I$21+IF(parametros_manuales!$H$43="Todos",datos_base!$I$12+datos_base!$I$26,0))*parametros_manuales!$C$110)*parametros_manuales!$I$43*parametros_manuales!$J$43</f>
        <v>19019.96248472</v>
      </c>
      <c r="D215" s="9" t="n">
        <f aca="false">(parametros_manuales!$D$43*(datos_base!$I$2+datos_base!$I$18+IF(parametros_manuales!$H$43="Todos",datos_base!$I$9+datos_base!$I$23,0))*parametros_manuales!$D$95+parametros_manuales!$E$43*(datos_base!$I$3+datos_base!$I$19+IF(parametros_manuales!$H$43="Todos",datos_base!$I$10+datos_base!$I$24,0))*parametros_manuales!$D$100+parametros_manuales!$F$43*(datos_base!$I$4+datos_base!$I$20+IF(parametros_manuales!$H$43="Todos",datos_base!$I$11+datos_base!$I$25,0))*parametros_manuales!$D$105+parametros_manuales!$G$43*(datos_base!$I$5+datos_base!$I$21+IF(parametros_manuales!$H$43="Todos",datos_base!$I$12+datos_base!$I$26,0))*parametros_manuales!$D$110)*parametros_manuales!$I$43*parametros_manuales!$J$43</f>
        <v>17769.130788765</v>
      </c>
      <c r="E215" s="9" t="n">
        <f aca="false">(parametros_manuales!$D$43*(datos_base!$I$2+datos_base!$I$18+IF(parametros_manuales!$H$43="Todos",datos_base!$I$9+datos_base!$I$23,0))*parametros_manuales!$E$95+parametros_manuales!$E$43*(datos_base!$I$3+datos_base!$I$19+IF(parametros_manuales!$H$43="Todos",datos_base!$I$10+datos_base!$I$24,0))*parametros_manuales!$E$100+parametros_manuales!$F$43*(datos_base!$I$4+datos_base!$I$20+IF(parametros_manuales!$H$43="Todos",datos_base!$I$11+datos_base!$I$25,0))*parametros_manuales!$E$105+parametros_manuales!$G$43*(datos_base!$I$5+datos_base!$I$21+IF(parametros_manuales!$H$43="Todos",datos_base!$I$12+datos_base!$I$26,0))*parametros_manuales!$E$110)*parametros_manuales!$I$43*parametros_manuales!$J$43</f>
        <v>16988.465396365</v>
      </c>
      <c r="F215" s="9" t="n">
        <f aca="false">(parametros_manuales!$D$43*(datos_base!$I$2+datos_base!$I$18+IF(parametros_manuales!$H$43="Todos",datos_base!$I$9+datos_base!$I$23,0))*parametros_manuales!$F$95+parametros_manuales!$E$43*(datos_base!$I$3+datos_base!$I$19+IF(parametros_manuales!$H$43="Todos",datos_base!$I$10+datos_base!$I$24,0))*parametros_manuales!$F$100+parametros_manuales!$F$43*(datos_base!$I$4+datos_base!$I$20+IF(parametros_manuales!$H$43="Todos",datos_base!$I$11+datos_base!$I$25,0))*parametros_manuales!$F$105+parametros_manuales!$G$43*(datos_base!$I$5+datos_base!$I$21+IF(parametros_manuales!$H$43="Todos",datos_base!$I$12+datos_base!$I$26,0))*parametros_manuales!$F$110)*parametros_manuales!$I$43*parametros_manuales!$J$43</f>
        <v>15897.30091512</v>
      </c>
      <c r="G215" s="9" t="n">
        <f aca="false">(parametros_manuales!$D$43*(datos_base!$I$2+datos_base!$I$18+IF(parametros_manuales!$H$43="Todos",datos_base!$I$9+datos_base!$I$23,0))*parametros_manuales!$G$95+parametros_manuales!$E$43*(datos_base!$I$3+datos_base!$I$19+IF(parametros_manuales!$H$43="Todos",datos_base!$I$10+datos_base!$I$24,0))*parametros_manuales!$G$100+parametros_manuales!$F$43*(datos_base!$I$4+datos_base!$I$20+IF(parametros_manuales!$H$43="Todos",datos_base!$I$11+datos_base!$I$25,0))*parametros_manuales!$G$105+parametros_manuales!$G$43*(datos_base!$I$5+datos_base!$I$21+IF(parametros_manuales!$H$43="Todos",datos_base!$I$12+datos_base!$I$26,0))*parametros_manuales!$G$110)*parametros_manuales!$I$43*parametros_manuales!$J$43</f>
        <v>15586.801826275</v>
      </c>
      <c r="H215" s="9" t="n">
        <f aca="false">(parametros_manuales!$D$43*(datos_base!$I$2+datos_base!$I$18+IF(parametros_manuales!$H$43="Todos",datos_base!$I$9+datos_base!$I$23,0))*parametros_manuales!$H$95+parametros_manuales!$E$43*(datos_base!$I$3+datos_base!$I$19+IF(parametros_manuales!$H$43="Todos",datos_base!$I$10+datos_base!$I$24,0))*parametros_manuales!$H$100+parametros_manuales!$F$43*(datos_base!$I$4+datos_base!$I$20+IF(parametros_manuales!$H$43="Todos",datos_base!$I$11+datos_base!$I$25,0))*parametros_manuales!$H$105+parametros_manuales!$G$43*(datos_base!$I$5+datos_base!$I$21+IF(parametros_manuales!$H$43="Todos",datos_base!$I$12+datos_base!$I$26,0))*parametros_manuales!$H$110)*parametros_manuales!$I$43*parametros_manuales!$J$43</f>
        <v>16677.96630752</v>
      </c>
      <c r="I215" s="9" t="n">
        <f aca="false">(parametros_manuales!$D$43*(datos_base!$I$2+datos_base!$I$18+IF(parametros_manuales!$H$43="Todos",datos_base!$I$9+datos_base!$I$23,0))*parametros_manuales!$I$95+parametros_manuales!$E$43*(datos_base!$I$3+datos_base!$I$19+IF(parametros_manuales!$H$43="Todos",datos_base!$I$10+datos_base!$I$24,0))*parametros_manuales!$I$100+parametros_manuales!$F$43*(datos_base!$I$4+datos_base!$I$20+IF(parametros_manuales!$H$43="Todos",datos_base!$I$11+datos_base!$I$25,0))*parametros_manuales!$I$105+parametros_manuales!$G$43*(datos_base!$I$5+datos_base!$I$21+IF(parametros_manuales!$H$43="Todos",datos_base!$I$12+datos_base!$I$26,0))*parametros_manuales!$I$110)*parametros_manuales!$I$43*parametros_manuales!$J$43</f>
        <v>19019.96248472</v>
      </c>
      <c r="J215" s="9" t="n">
        <f aca="false">(parametros_manuales!$D$43*(datos_base!$I$2+datos_base!$I$18+IF(parametros_manuales!$H$43="Todos",datos_base!$I$9+datos_base!$I$23,0))*parametros_manuales!$J$95+parametros_manuales!$E$43*(datos_base!$I$3+datos_base!$I$19+IF(parametros_manuales!$H$43="Todos",datos_base!$I$10+datos_base!$I$24,0))*parametros_manuales!$J$100+parametros_manuales!$F$43*(datos_base!$I$4+datos_base!$I$20+IF(parametros_manuales!$H$43="Todos",datos_base!$I$11+datos_base!$I$25,0))*parametros_manuales!$J$105+parametros_manuales!$G$43*(datos_base!$I$5+datos_base!$I$21+IF(parametros_manuales!$H$43="Todos",datos_base!$I$12+datos_base!$I$26,0))*parametros_manuales!$J$110)*parametros_manuales!$I$43*parametros_manuales!$J$43</f>
        <v>19019.96248472</v>
      </c>
      <c r="K215" s="9" t="n">
        <f aca="false">(parametros_manuales!$D$43*(datos_base!$I$2+datos_base!$I$18+IF(parametros_manuales!$H$43="Todos",datos_base!$I$9+datos_base!$I$23,0))*parametros_manuales!$K$95+parametros_manuales!$E$43*(datos_base!$I$3+datos_base!$I$19+IF(parametros_manuales!$H$43="Todos",datos_base!$I$10+datos_base!$I$24,0))*parametros_manuales!$K$100+parametros_manuales!$F$43*(datos_base!$I$4+datos_base!$I$20+IF(parametros_manuales!$H$43="Todos",datos_base!$I$11+datos_base!$I$25,0))*parametros_manuales!$K$105+parametros_manuales!$G$43*(datos_base!$I$5+datos_base!$I$21+IF(parametros_manuales!$H$43="Todos",datos_base!$I$12+datos_base!$I$26,0))*parametros_manuales!$K$110)*parametros_manuales!$I$43*parametros_manuales!$J$43</f>
        <v>19330.461573565</v>
      </c>
      <c r="L215" s="9" t="n">
        <f aca="false">(parametros_manuales!$D$43*(datos_base!$I$2+datos_base!$I$18+IF(parametros_manuales!$H$43="Todos",datos_base!$I$9+datos_base!$I$23,0))*parametros_manuales!$L$95+parametros_manuales!$E$43*(datos_base!$I$3+datos_base!$I$19+IF(parametros_manuales!$H$43="Todos",datos_base!$I$10+datos_base!$I$24,0))*parametros_manuales!$L$100+parametros_manuales!$F$43*(datos_base!$I$4+datos_base!$I$20+IF(parametros_manuales!$H$43="Todos",datos_base!$I$11+datos_base!$I$25,0))*parametros_manuales!$L$105+parametros_manuales!$G$43*(datos_base!$I$5+datos_base!$I$21+IF(parametros_manuales!$H$43="Todos",datos_base!$I$12+datos_base!$I$26,0))*parametros_manuales!$L$110)*parametros_manuales!$I$43*parametros_manuales!$J$43</f>
        <v>19640.96066241</v>
      </c>
      <c r="M215" s="9" t="n">
        <f aca="false">(parametros_manuales!$D$43*(datos_base!$I$2+datos_base!$I$18+IF(parametros_manuales!$H$43="Todos",datos_base!$I$9+datos_base!$I$23,0))*parametros_manuales!$M$95+parametros_manuales!$E$43*(datos_base!$I$3+datos_base!$I$19+IF(parametros_manuales!$H$43="Todos",datos_base!$I$10+datos_base!$I$24,0))*parametros_manuales!$M$100+parametros_manuales!$F$43*(datos_base!$I$4+datos_base!$I$20+IF(parametros_manuales!$H$43="Todos",datos_base!$I$11+datos_base!$I$25,0))*parametros_manuales!$M$105+parametros_manuales!$G$43*(datos_base!$I$5+datos_base!$I$21+IF(parametros_manuales!$H$43="Todos",datos_base!$I$12+datos_base!$I$26,0))*parametros_manuales!$M$110)*parametros_manuales!$I$43*parametros_manuales!$J$43</f>
        <v>19640.96066241</v>
      </c>
      <c r="N215" s="9" t="n">
        <f aca="false">SUM(B215:M215)</f>
        <v>218232.896249</v>
      </c>
      <c r="O215" s="9" t="n">
        <f aca="false">MAX(B215:M215)</f>
        <v>19640.96066241</v>
      </c>
      <c r="P215" s="43" t="n">
        <f aca="false">O215/(parametros_manuales!$B$7)</f>
        <v>130.9397377494</v>
      </c>
      <c r="Q215" s="8" t="str">
        <f aca="false">IF(O215=0,"-",INDEX($B$190:$M$190,MATCH(O215,B215:M215,0)))</f>
        <v>Ene</v>
      </c>
    </row>
    <row r="216" customFormat="false" ht="14.25" hidden="false" customHeight="true" outlineLevel="0" collapsed="false"/>
    <row r="217" customFormat="false" ht="14.25" hidden="false" customHeight="true" outlineLevel="0" collapsed="false">
      <c r="A217" s="7" t="s">
        <v>198</v>
      </c>
      <c r="B217" s="7" t="s">
        <v>61</v>
      </c>
      <c r="C217" s="7" t="s">
        <v>62</v>
      </c>
      <c r="D217" s="7" t="s">
        <v>63</v>
      </c>
      <c r="E217" s="7" t="s">
        <v>64</v>
      </c>
      <c r="F217" s="7" t="s">
        <v>65</v>
      </c>
      <c r="G217" s="7" t="s">
        <v>66</v>
      </c>
      <c r="H217" s="7" t="s">
        <v>67</v>
      </c>
      <c r="I217" s="7" t="s">
        <v>68</v>
      </c>
      <c r="J217" s="7" t="s">
        <v>69</v>
      </c>
      <c r="K217" s="7" t="s">
        <v>70</v>
      </c>
      <c r="L217" s="7" t="s">
        <v>71</v>
      </c>
      <c r="M217" s="7" t="s">
        <v>72</v>
      </c>
      <c r="N217" s="7" t="s">
        <v>183</v>
      </c>
      <c r="O217" s="7" t="s">
        <v>188</v>
      </c>
      <c r="P217" s="7" t="s">
        <v>189</v>
      </c>
      <c r="Q217" s="7" t="s">
        <v>190</v>
      </c>
    </row>
    <row r="218" customFormat="false" ht="14.25" hidden="false" customHeight="true" outlineLevel="0" collapsed="false">
      <c r="A218" s="8" t="str">
        <f aca="false">parametros_manuales!$B$19</f>
        <v>Recepción de materia prima</v>
      </c>
      <c r="B218" s="9" t="n">
        <f aca="false">(parametros_manuales!$D$19*(datos_base!$J$2+datos_base!$J$18+IF(parametros_manuales!$H$19="Todos",datos_base!$J$9+datos_base!$J$23,0))*parametros_manuales!$B$95+parametros_manuales!$E$19*(datos_base!$J$3+datos_base!$J$19+IF(parametros_manuales!$H$19="Todos",datos_base!$J$10+datos_base!$J$24,0))*parametros_manuales!$B$100+parametros_manuales!$F$19*(datos_base!$J$4+datos_base!$J$20+IF(parametros_manuales!$H$19="Todos",datos_base!$J$11+datos_base!$J$25,0))*parametros_manuales!$B$105+parametros_manuales!$G$19*(datos_base!$J$5+datos_base!$J$21+IF(parametros_manuales!$H$19="Todos",datos_base!$J$12+datos_base!$J$26,0))*parametros_manuales!$B$110)*parametros_manuales!$I$19*parametros_manuales!$J$19</f>
        <v>22161.40532883</v>
      </c>
      <c r="C218" s="9" t="n">
        <f aca="false">(parametros_manuales!$D$19*(datos_base!$J$2+datos_base!$J$18+IF(parametros_manuales!$H$19="Todos",datos_base!$J$9+datos_base!$J$23,0))*parametros_manuales!$C$95+parametros_manuales!$E$19*(datos_base!$J$3+datos_base!$J$19+IF(parametros_manuales!$H$19="Todos",datos_base!$J$10+datos_base!$J$24,0))*parametros_manuales!$C$100+parametros_manuales!$F$19*(datos_base!$J$4+datos_base!$J$20+IF(parametros_manuales!$H$19="Todos",datos_base!$J$11+datos_base!$J$25,0))*parametros_manuales!$C$105+parametros_manuales!$G$19*(datos_base!$J$5+datos_base!$J$21+IF(parametros_manuales!$H$19="Todos",datos_base!$J$12+datos_base!$J$26,0))*parametros_manuales!$C$110)*parametros_manuales!$I$19*parametros_manuales!$J$19</f>
        <v>21452.95832036</v>
      </c>
      <c r="D218" s="9" t="n">
        <f aca="false">(parametros_manuales!$D$19*(datos_base!$J$2+datos_base!$J$18+IF(parametros_manuales!$H$19="Todos",datos_base!$J$9+datos_base!$J$23,0))*parametros_manuales!$D$95+parametros_manuales!$E$19*(datos_base!$J$3+datos_base!$J$19+IF(parametros_manuales!$H$19="Todos",datos_base!$J$10+datos_base!$J$24,0))*parametros_manuales!$D$100+parametros_manuales!$F$19*(datos_base!$J$4+datos_base!$J$20+IF(parametros_manuales!$H$19="Todos",datos_base!$J$11+datos_base!$J$25,0))*parametros_manuales!$D$105+parametros_manuales!$G$19*(datos_base!$J$5+datos_base!$J$21+IF(parametros_manuales!$H$19="Todos",datos_base!$J$12+datos_base!$J$26,0))*parametros_manuales!$D$110)*parametros_manuales!$I$19*parametros_manuales!$J$19</f>
        <v>20053.250463195</v>
      </c>
      <c r="E218" s="9" t="n">
        <f aca="false">(parametros_manuales!$D$19*(datos_base!$J$2+datos_base!$J$18+IF(parametros_manuales!$H$19="Todos",datos_base!$J$9+datos_base!$J$23,0))*parametros_manuales!$E$95+parametros_manuales!$E$19*(datos_base!$J$3+datos_base!$J$19+IF(parametros_manuales!$H$19="Todos",datos_base!$J$10+datos_base!$J$24,0))*parametros_manuales!$E$100+parametros_manuales!$F$19*(datos_base!$J$4+datos_base!$J$20+IF(parametros_manuales!$H$19="Todos",datos_base!$J$11+datos_base!$J$25,0))*parametros_manuales!$E$105+parametros_manuales!$G$19*(datos_base!$J$5+datos_base!$J$21+IF(parametros_manuales!$H$19="Todos",datos_base!$J$12+datos_base!$J$26,0))*parametros_manuales!$E$110)*parametros_manuales!$I$19*parametros_manuales!$J$19</f>
        <v>19176.284782495</v>
      </c>
      <c r="F218" s="9" t="n">
        <f aca="false">(parametros_manuales!$D$19*(datos_base!$J$2+datos_base!$J$18+IF(parametros_manuales!$H$19="Todos",datos_base!$J$9+datos_base!$J$23,0))*parametros_manuales!$F$95+parametros_manuales!$E$19*(datos_base!$J$3+datos_base!$J$19+IF(parametros_manuales!$H$19="Todos",datos_base!$J$10+datos_base!$J$24,0))*parametros_manuales!$F$100+parametros_manuales!$F$19*(datos_base!$J$4+datos_base!$J$20+IF(parametros_manuales!$H$19="Todos",datos_base!$J$11+datos_base!$J$25,0))*parametros_manuales!$F$105+parametros_manuales!$G$19*(datos_base!$J$5+datos_base!$J$21+IF(parametros_manuales!$H$19="Todos",datos_base!$J$12+datos_base!$J$26,0))*parametros_manuales!$F$110)*parametros_manuales!$I$19*parametros_manuales!$J$19</f>
        <v>17945.09559756</v>
      </c>
      <c r="G218" s="9" t="n">
        <f aca="false">(parametros_manuales!$D$19*(datos_base!$J$2+datos_base!$J$18+IF(parametros_manuales!$H$19="Todos",datos_base!$J$9+datos_base!$J$23,0))*parametros_manuales!$G$95+parametros_manuales!$E$19*(datos_base!$J$3+datos_base!$J$19+IF(parametros_manuales!$H$19="Todos",datos_base!$J$10+datos_base!$J$24,0))*parametros_manuales!$G$100+parametros_manuales!$F$19*(datos_base!$J$4+datos_base!$J$20+IF(parametros_manuales!$H$19="Todos",datos_base!$J$11+datos_base!$J$25,0))*parametros_manuales!$G$105+parametros_manuales!$G$19*(datos_base!$J$5+datos_base!$J$21+IF(parametros_manuales!$H$19="Todos",datos_base!$J$12+datos_base!$J$26,0))*parametros_manuales!$G$110)*parametros_manuales!$I$19*parametros_manuales!$J$19</f>
        <v>17590.872093325</v>
      </c>
      <c r="H218" s="9" t="n">
        <f aca="false">(parametros_manuales!$D$19*(datos_base!$J$2+datos_base!$J$18+IF(parametros_manuales!$H$19="Todos",datos_base!$J$9+datos_base!$J$23,0))*parametros_manuales!$H$95+parametros_manuales!$E$19*(datos_base!$J$3+datos_base!$J$19+IF(parametros_manuales!$H$19="Todos",datos_base!$J$10+datos_base!$J$24,0))*parametros_manuales!$H$100+parametros_manuales!$F$19*(datos_base!$J$4+datos_base!$J$20+IF(parametros_manuales!$H$19="Todos",datos_base!$J$11+datos_base!$J$25,0))*parametros_manuales!$H$105+parametros_manuales!$G$19*(datos_base!$J$5+datos_base!$J$21+IF(parametros_manuales!$H$19="Todos",datos_base!$J$12+datos_base!$J$26,0))*parametros_manuales!$H$110)*parametros_manuales!$I$19*parametros_manuales!$J$19</f>
        <v>18822.06127826</v>
      </c>
      <c r="I218" s="9" t="n">
        <f aca="false">(parametros_manuales!$D$19*(datos_base!$J$2+datos_base!$J$18+IF(parametros_manuales!$H$19="Todos",datos_base!$J$9+datos_base!$J$23,0))*parametros_manuales!$I$95+parametros_manuales!$E$19*(datos_base!$J$3+datos_base!$J$19+IF(parametros_manuales!$H$19="Todos",datos_base!$J$10+datos_base!$J$24,0))*parametros_manuales!$I$100+parametros_manuales!$F$19*(datos_base!$J$4+datos_base!$J$20+IF(parametros_manuales!$H$19="Todos",datos_base!$J$11+datos_base!$J$25,0))*parametros_manuales!$I$105+parametros_manuales!$G$19*(datos_base!$J$5+datos_base!$J$21+IF(parametros_manuales!$H$19="Todos",datos_base!$J$12+datos_base!$J$26,0))*parametros_manuales!$I$110)*parametros_manuales!$I$19*parametros_manuales!$J$19</f>
        <v>21452.95832036</v>
      </c>
      <c r="J218" s="9" t="n">
        <f aca="false">(parametros_manuales!$D$19*(datos_base!$J$2+datos_base!$J$18+IF(parametros_manuales!$H$19="Todos",datos_base!$J$9+datos_base!$J$23,0))*parametros_manuales!$J$95+parametros_manuales!$E$19*(datos_base!$J$3+datos_base!$J$19+IF(parametros_manuales!$H$19="Todos",datos_base!$J$10+datos_base!$J$24,0))*parametros_manuales!$J$100+parametros_manuales!$F$19*(datos_base!$J$4+datos_base!$J$20+IF(parametros_manuales!$H$19="Todos",datos_base!$J$11+datos_base!$J$25,0))*parametros_manuales!$J$105+parametros_manuales!$G$19*(datos_base!$J$5+datos_base!$J$21+IF(parametros_manuales!$H$19="Todos",datos_base!$J$12+datos_base!$J$26,0))*parametros_manuales!$J$110)*parametros_manuales!$I$19*parametros_manuales!$J$19</f>
        <v>21452.95832036</v>
      </c>
      <c r="K218" s="9" t="n">
        <f aca="false">(parametros_manuales!$D$19*(datos_base!$J$2+datos_base!$J$18+IF(parametros_manuales!$H$19="Todos",datos_base!$J$9+datos_base!$J$23,0))*parametros_manuales!$K$95+parametros_manuales!$E$19*(datos_base!$J$3+datos_base!$J$19+IF(parametros_manuales!$H$19="Todos",datos_base!$J$10+datos_base!$J$24,0))*parametros_manuales!$K$100+parametros_manuales!$F$19*(datos_base!$J$4+datos_base!$J$20+IF(parametros_manuales!$H$19="Todos",datos_base!$J$11+datos_base!$J$25,0))*parametros_manuales!$K$105+parametros_manuales!$G$19*(datos_base!$J$5+datos_base!$J$21+IF(parametros_manuales!$H$19="Todos",datos_base!$J$12+datos_base!$J$26,0))*parametros_manuales!$K$110)*parametros_manuales!$I$19*parametros_manuales!$J$19</f>
        <v>21807.181824595</v>
      </c>
      <c r="L218" s="9" t="n">
        <f aca="false">(parametros_manuales!$D$19*(datos_base!$J$2+datos_base!$J$18+IF(parametros_manuales!$H$19="Todos",datos_base!$J$9+datos_base!$J$23,0))*parametros_manuales!$L$95+parametros_manuales!$E$19*(datos_base!$J$3+datos_base!$J$19+IF(parametros_manuales!$H$19="Todos",datos_base!$J$10+datos_base!$J$24,0))*parametros_manuales!$L$100+parametros_manuales!$F$19*(datos_base!$J$4+datos_base!$J$20+IF(parametros_manuales!$H$19="Todos",datos_base!$J$11+datos_base!$J$25,0))*parametros_manuales!$L$105+parametros_manuales!$G$19*(datos_base!$J$5+datos_base!$J$21+IF(parametros_manuales!$H$19="Todos",datos_base!$J$12+datos_base!$J$26,0))*parametros_manuales!$L$110)*parametros_manuales!$I$19*parametros_manuales!$J$19</f>
        <v>22161.40532883</v>
      </c>
      <c r="M218" s="9" t="n">
        <f aca="false">(parametros_manuales!$D$19*(datos_base!$J$2+datos_base!$J$18+IF(parametros_manuales!$H$19="Todos",datos_base!$J$9+datos_base!$J$23,0))*parametros_manuales!$M$95+parametros_manuales!$E$19*(datos_base!$J$3+datos_base!$J$19+IF(parametros_manuales!$H$19="Todos",datos_base!$J$10+datos_base!$J$24,0))*parametros_manuales!$M$100+parametros_manuales!$F$19*(datos_base!$J$4+datos_base!$J$20+IF(parametros_manuales!$H$19="Todos",datos_base!$J$11+datos_base!$J$25,0))*parametros_manuales!$M$105+parametros_manuales!$G$19*(datos_base!$J$5+datos_base!$J$21+IF(parametros_manuales!$H$19="Todos",datos_base!$J$12+datos_base!$J$26,0))*parametros_manuales!$M$110)*parametros_manuales!$I$19*parametros_manuales!$J$19</f>
        <v>22161.40532883</v>
      </c>
      <c r="N218" s="9" t="n">
        <f aca="false">SUM(B218:M218)</f>
        <v>246237.836987</v>
      </c>
      <c r="O218" s="9" t="n">
        <f aca="false">MAX(B218:M218)</f>
        <v>22161.40532883</v>
      </c>
      <c r="P218" s="43" t="n">
        <f aca="false">O218/(parametros_manuales!$B$7)</f>
        <v>147.7427021922</v>
      </c>
      <c r="Q218" s="8" t="str">
        <f aca="false">IF(O218=0,"-",INDEX($B$217:$M$217,MATCH(O218,B218:M218,0)))</f>
        <v>Ene</v>
      </c>
    </row>
    <row r="219" customFormat="false" ht="14.25" hidden="false" customHeight="true" outlineLevel="0" collapsed="false">
      <c r="A219" s="8" t="str">
        <f aca="false">parametros_manuales!$B$20</f>
        <v>Corte de chapa (guillotina) — 2,5 a 10 kg</v>
      </c>
      <c r="B219" s="9" t="n">
        <f aca="false">(parametros_manuales!$D$20*(datos_base!$J$2+datos_base!$J$18+IF(parametros_manuales!$H$20="Todos",datos_base!$J$9+datos_base!$J$23,0))*parametros_manuales!$B$95+parametros_manuales!$E$20*(datos_base!$J$3+datos_base!$J$19+IF(parametros_manuales!$H$20="Todos",datos_base!$J$10+datos_base!$J$24,0))*parametros_manuales!$B$100+parametros_manuales!$F$20*(datos_base!$J$4+datos_base!$J$20+IF(parametros_manuales!$H$20="Todos",datos_base!$J$11+datos_base!$J$25,0))*parametros_manuales!$B$105+parametros_manuales!$G$20*(datos_base!$J$5+datos_base!$J$21+IF(parametros_manuales!$H$20="Todos",datos_base!$J$12+datos_base!$J$26,0))*parametros_manuales!$B$110)*parametros_manuales!$I$20*parametros_manuales!$J$20</f>
        <v>6376.02307623</v>
      </c>
      <c r="C219" s="9" t="n">
        <f aca="false">(parametros_manuales!$D$20*(datos_base!$J$2+datos_base!$J$18+IF(parametros_manuales!$H$20="Todos",datos_base!$J$9+datos_base!$J$23,0))*parametros_manuales!$C$95+parametros_manuales!$E$20*(datos_base!$J$3+datos_base!$J$19+IF(parametros_manuales!$H$20="Todos",datos_base!$J$10+datos_base!$J$24,0))*parametros_manuales!$C$100+parametros_manuales!$F$20*(datos_base!$J$4+datos_base!$J$20+IF(parametros_manuales!$H$20="Todos",datos_base!$J$11+datos_base!$J$25,0))*parametros_manuales!$C$105+parametros_manuales!$G$20*(datos_base!$J$5+datos_base!$J$21+IF(parametros_manuales!$H$20="Todos",datos_base!$J$12+datos_base!$J$26,0))*parametros_manuales!$C$110)*parametros_manuales!$I$20*parametros_manuales!$J$20</f>
        <v>5667.57606776</v>
      </c>
      <c r="D219" s="9" t="n">
        <f aca="false">(parametros_manuales!$D$20*(datos_base!$J$2+datos_base!$J$18+IF(parametros_manuales!$H$20="Todos",datos_base!$J$9+datos_base!$J$23,0))*parametros_manuales!$D$95+parametros_manuales!$E$20*(datos_base!$J$3+datos_base!$J$19+IF(parametros_manuales!$H$20="Todos",datos_base!$J$10+datos_base!$J$24,0))*parametros_manuales!$D$100+parametros_manuales!$F$20*(datos_base!$J$4+datos_base!$J$20+IF(parametros_manuales!$H$20="Todos",datos_base!$J$11+datos_base!$J$25,0))*parametros_manuales!$D$105+parametros_manuales!$G$20*(datos_base!$J$5+datos_base!$J$21+IF(parametros_manuales!$H$20="Todos",datos_base!$J$12+datos_base!$J$26,0))*parametros_manuales!$D$110)*parametros_manuales!$I$20*parametros_manuales!$J$20</f>
        <v>6021.799571995</v>
      </c>
      <c r="E219" s="9" t="n">
        <f aca="false">(parametros_manuales!$D$20*(datos_base!$J$2+datos_base!$J$18+IF(parametros_manuales!$H$20="Todos",datos_base!$J$9+datos_base!$J$23,0))*parametros_manuales!$E$95+parametros_manuales!$E$20*(datos_base!$J$3+datos_base!$J$19+IF(parametros_manuales!$H$20="Todos",datos_base!$J$10+datos_base!$J$24,0))*parametros_manuales!$E$100+parametros_manuales!$F$20*(datos_base!$J$4+datos_base!$J$20+IF(parametros_manuales!$H$20="Todos",datos_base!$J$11+datos_base!$J$25,0))*parametros_manuales!$E$105+parametros_manuales!$G$20*(datos_base!$J$5+datos_base!$J$21+IF(parametros_manuales!$H$20="Todos",datos_base!$J$12+datos_base!$J$26,0))*parametros_manuales!$E$110)*parametros_manuales!$I$20*parametros_manuales!$J$20</f>
        <v>6021.799571995</v>
      </c>
      <c r="F219" s="9" t="n">
        <f aca="false">(parametros_manuales!$D$20*(datos_base!$J$2+datos_base!$J$18+IF(parametros_manuales!$H$20="Todos",datos_base!$J$9+datos_base!$J$23,0))*parametros_manuales!$F$95+parametros_manuales!$E$20*(datos_base!$J$3+datos_base!$J$19+IF(parametros_manuales!$H$20="Todos",datos_base!$J$10+datos_base!$J$24,0))*parametros_manuales!$F$100+parametros_manuales!$F$20*(datos_base!$J$4+datos_base!$J$20+IF(parametros_manuales!$H$20="Todos",datos_base!$J$11+datos_base!$J$25,0))*parametros_manuales!$F$105+parametros_manuales!$G$20*(datos_base!$J$5+datos_base!$J$21+IF(parametros_manuales!$H$20="Todos",datos_base!$J$12+datos_base!$J$26,0))*parametros_manuales!$F$110)*parametros_manuales!$I$20*parametros_manuales!$J$20</f>
        <v>5667.57606776</v>
      </c>
      <c r="G219" s="9" t="n">
        <f aca="false">(parametros_manuales!$D$20*(datos_base!$J$2+datos_base!$J$18+IF(parametros_manuales!$H$20="Todos",datos_base!$J$9+datos_base!$J$23,0))*parametros_manuales!$G$95+parametros_manuales!$E$20*(datos_base!$J$3+datos_base!$J$19+IF(parametros_manuales!$H$20="Todos",datos_base!$J$10+datos_base!$J$24,0))*parametros_manuales!$G$100+parametros_manuales!$F$20*(datos_base!$J$4+datos_base!$J$20+IF(parametros_manuales!$H$20="Todos",datos_base!$J$11+datos_base!$J$25,0))*parametros_manuales!$G$105+parametros_manuales!$G$20*(datos_base!$J$5+datos_base!$J$21+IF(parametros_manuales!$H$20="Todos",datos_base!$J$12+datos_base!$J$26,0))*parametros_manuales!$G$110)*parametros_manuales!$I$20*parametros_manuales!$J$20</f>
        <v>5313.352563525</v>
      </c>
      <c r="H219" s="9" t="n">
        <f aca="false">(parametros_manuales!$D$20*(datos_base!$J$2+datos_base!$J$18+IF(parametros_manuales!$H$20="Todos",datos_base!$J$9+datos_base!$J$23,0))*parametros_manuales!$H$95+parametros_manuales!$E$20*(datos_base!$J$3+datos_base!$J$19+IF(parametros_manuales!$H$20="Todos",datos_base!$J$10+datos_base!$J$24,0))*parametros_manuales!$H$100+parametros_manuales!$F$20*(datos_base!$J$4+datos_base!$J$20+IF(parametros_manuales!$H$20="Todos",datos_base!$J$11+datos_base!$J$25,0))*parametros_manuales!$H$105+parametros_manuales!$G$20*(datos_base!$J$5+datos_base!$J$21+IF(parametros_manuales!$H$20="Todos",datos_base!$J$12+datos_base!$J$26,0))*parametros_manuales!$H$110)*parametros_manuales!$I$20*parametros_manuales!$J$20</f>
        <v>5667.57606776</v>
      </c>
      <c r="I219" s="9" t="n">
        <f aca="false">(parametros_manuales!$D$20*(datos_base!$J$2+datos_base!$J$18+IF(parametros_manuales!$H$20="Todos",datos_base!$J$9+datos_base!$J$23,0))*parametros_manuales!$I$95+parametros_manuales!$E$20*(datos_base!$J$3+datos_base!$J$19+IF(parametros_manuales!$H$20="Todos",datos_base!$J$10+datos_base!$J$24,0))*parametros_manuales!$I$100+parametros_manuales!$F$20*(datos_base!$J$4+datos_base!$J$20+IF(parametros_manuales!$H$20="Todos",datos_base!$J$11+datos_base!$J$25,0))*parametros_manuales!$I$105+parametros_manuales!$G$20*(datos_base!$J$5+datos_base!$J$21+IF(parametros_manuales!$H$20="Todos",datos_base!$J$12+datos_base!$J$26,0))*parametros_manuales!$I$110)*parametros_manuales!$I$20*parametros_manuales!$J$20</f>
        <v>5667.57606776</v>
      </c>
      <c r="J219" s="9" t="n">
        <f aca="false">(parametros_manuales!$D$20*(datos_base!$J$2+datos_base!$J$18+IF(parametros_manuales!$H$20="Todos",datos_base!$J$9+datos_base!$J$23,0))*parametros_manuales!$J$95+parametros_manuales!$E$20*(datos_base!$J$3+datos_base!$J$19+IF(parametros_manuales!$H$20="Todos",datos_base!$J$10+datos_base!$J$24,0))*parametros_manuales!$J$100+parametros_manuales!$F$20*(datos_base!$J$4+datos_base!$J$20+IF(parametros_manuales!$H$20="Todos",datos_base!$J$11+datos_base!$J$25,0))*parametros_manuales!$J$105+parametros_manuales!$G$20*(datos_base!$J$5+datos_base!$J$21+IF(parametros_manuales!$H$20="Todos",datos_base!$J$12+datos_base!$J$26,0))*parametros_manuales!$J$110)*parametros_manuales!$I$20*parametros_manuales!$J$20</f>
        <v>5667.57606776</v>
      </c>
      <c r="K219" s="9" t="n">
        <f aca="false">(parametros_manuales!$D$20*(datos_base!$J$2+datos_base!$J$18+IF(parametros_manuales!$H$20="Todos",datos_base!$J$9+datos_base!$J$23,0))*parametros_manuales!$K$95+parametros_manuales!$E$20*(datos_base!$J$3+datos_base!$J$19+IF(parametros_manuales!$H$20="Todos",datos_base!$J$10+datos_base!$J$24,0))*parametros_manuales!$K$100+parametros_manuales!$F$20*(datos_base!$J$4+datos_base!$J$20+IF(parametros_manuales!$H$20="Todos",datos_base!$J$11+datos_base!$J$25,0))*parametros_manuales!$K$105+parametros_manuales!$G$20*(datos_base!$J$5+datos_base!$J$21+IF(parametros_manuales!$H$20="Todos",datos_base!$J$12+datos_base!$J$26,0))*parametros_manuales!$K$110)*parametros_manuales!$I$20*parametros_manuales!$J$20</f>
        <v>6021.799571995</v>
      </c>
      <c r="L219" s="9" t="n">
        <f aca="false">(parametros_manuales!$D$20*(datos_base!$J$2+datos_base!$J$18+IF(parametros_manuales!$H$20="Todos",datos_base!$J$9+datos_base!$J$23,0))*parametros_manuales!$L$95+parametros_manuales!$E$20*(datos_base!$J$3+datos_base!$J$19+IF(parametros_manuales!$H$20="Todos",datos_base!$J$10+datos_base!$J$24,0))*parametros_manuales!$L$100+parametros_manuales!$F$20*(datos_base!$J$4+datos_base!$J$20+IF(parametros_manuales!$H$20="Todos",datos_base!$J$11+datos_base!$J$25,0))*parametros_manuales!$L$105+parametros_manuales!$G$20*(datos_base!$J$5+datos_base!$J$21+IF(parametros_manuales!$H$20="Todos",datos_base!$J$12+datos_base!$J$26,0))*parametros_manuales!$L$110)*parametros_manuales!$I$20*parametros_manuales!$J$20</f>
        <v>6376.02307623</v>
      </c>
      <c r="M219" s="9" t="n">
        <f aca="false">(parametros_manuales!$D$20*(datos_base!$J$2+datos_base!$J$18+IF(parametros_manuales!$H$20="Todos",datos_base!$J$9+datos_base!$J$23,0))*parametros_manuales!$M$95+parametros_manuales!$E$20*(datos_base!$J$3+datos_base!$J$19+IF(parametros_manuales!$H$20="Todos",datos_base!$J$10+datos_base!$J$24,0))*parametros_manuales!$M$100+parametros_manuales!$F$20*(datos_base!$J$4+datos_base!$J$20+IF(parametros_manuales!$H$20="Todos",datos_base!$J$11+datos_base!$J$25,0))*parametros_manuales!$M$105+parametros_manuales!$G$20*(datos_base!$J$5+datos_base!$J$21+IF(parametros_manuales!$H$20="Todos",datos_base!$J$12+datos_base!$J$26,0))*parametros_manuales!$M$110)*parametros_manuales!$I$20*parametros_manuales!$J$20</f>
        <v>6376.02307623</v>
      </c>
      <c r="N219" s="9" t="n">
        <f aca="false">SUM(B219:M219)</f>
        <v>70844.700847</v>
      </c>
      <c r="O219" s="9" t="n">
        <f aca="false">MAX(B219:M219)</f>
        <v>6376.02307623</v>
      </c>
      <c r="P219" s="43" t="n">
        <f aca="false">O219/(parametros_manuales!$B$7)</f>
        <v>42.5068205082</v>
      </c>
      <c r="Q219" s="8" t="str">
        <f aca="false">IF(O219=0,"-",INDEX($B$217:$M$217,MATCH(O219,B219:M219,0)))</f>
        <v>Ene</v>
      </c>
    </row>
    <row r="220" customFormat="false" ht="14.25" hidden="false" customHeight="true" outlineLevel="0" collapsed="false">
      <c r="A220" s="8" t="str">
        <f aca="false">parametros_manuales!$B$21</f>
        <v>Corte de tubo — 1 kg</v>
      </c>
      <c r="B220" s="9" t="n">
        <f aca="false">(parametros_manuales!$D$21*(datos_base!$J$2+datos_base!$J$18+IF(parametros_manuales!$H$21="Todos",datos_base!$J$9+datos_base!$J$23,0))*parametros_manuales!$B$95+parametros_manuales!$E$21*(datos_base!$J$3+datos_base!$J$19+IF(parametros_manuales!$H$21="Todos",datos_base!$J$10+datos_base!$J$24,0))*parametros_manuales!$B$100+parametros_manuales!$F$21*(datos_base!$J$4+datos_base!$J$20+IF(parametros_manuales!$H$21="Todos",datos_base!$J$11+datos_base!$J$25,0))*parametros_manuales!$B$105+parametros_manuales!$G$21*(datos_base!$J$5+datos_base!$J$21+IF(parametros_manuales!$H$21="Todos",datos_base!$J$12+datos_base!$J$26,0))*parametros_manuales!$B$110)*parametros_manuales!$I$21*parametros_manuales!$J$21</f>
        <v>15785.3822526</v>
      </c>
      <c r="C220" s="9" t="n">
        <f aca="false">(parametros_manuales!$D$21*(datos_base!$J$2+datos_base!$J$18+IF(parametros_manuales!$H$21="Todos",datos_base!$J$9+datos_base!$J$23,0))*parametros_manuales!$C$95+parametros_manuales!$E$21*(datos_base!$J$3+datos_base!$J$19+IF(parametros_manuales!$H$21="Todos",datos_base!$J$10+datos_base!$J$24,0))*parametros_manuales!$C$100+parametros_manuales!$F$21*(datos_base!$J$4+datos_base!$J$20+IF(parametros_manuales!$H$21="Todos",datos_base!$J$11+datos_base!$J$25,0))*parametros_manuales!$C$105+parametros_manuales!$G$21*(datos_base!$J$5+datos_base!$J$21+IF(parametros_manuales!$H$21="Todos",datos_base!$J$12+datos_base!$J$26,0))*parametros_manuales!$C$110)*parametros_manuales!$I$21*parametros_manuales!$J$21</f>
        <v>15785.3822526</v>
      </c>
      <c r="D220" s="9" t="n">
        <f aca="false">(parametros_manuales!$D$21*(datos_base!$J$2+datos_base!$J$18+IF(parametros_manuales!$H$21="Todos",datos_base!$J$9+datos_base!$J$23,0))*parametros_manuales!$D$95+parametros_manuales!$E$21*(datos_base!$J$3+datos_base!$J$19+IF(parametros_manuales!$H$21="Todos",datos_base!$J$10+datos_base!$J$24,0))*parametros_manuales!$D$100+parametros_manuales!$F$21*(datos_base!$J$4+datos_base!$J$20+IF(parametros_manuales!$H$21="Todos",datos_base!$J$11+datos_base!$J$25,0))*parametros_manuales!$D$105+parametros_manuales!$G$21*(datos_base!$J$5+datos_base!$J$21+IF(parametros_manuales!$H$21="Todos",datos_base!$J$12+datos_base!$J$26,0))*parametros_manuales!$D$110)*parametros_manuales!$I$21*parametros_manuales!$J$21</f>
        <v>14031.4508912</v>
      </c>
      <c r="E220" s="9" t="n">
        <f aca="false">(parametros_manuales!$D$21*(datos_base!$J$2+datos_base!$J$18+IF(parametros_manuales!$H$21="Todos",datos_base!$J$9+datos_base!$J$23,0))*parametros_manuales!$E$95+parametros_manuales!$E$21*(datos_base!$J$3+datos_base!$J$19+IF(parametros_manuales!$H$21="Todos",datos_base!$J$10+datos_base!$J$24,0))*parametros_manuales!$E$100+parametros_manuales!$F$21*(datos_base!$J$4+datos_base!$J$20+IF(parametros_manuales!$H$21="Todos",datos_base!$J$11+datos_base!$J$25,0))*parametros_manuales!$E$105+parametros_manuales!$G$21*(datos_base!$J$5+datos_base!$J$21+IF(parametros_manuales!$H$21="Todos",datos_base!$J$12+datos_base!$J$26,0))*parametros_manuales!$E$110)*parametros_manuales!$I$21*parametros_manuales!$J$21</f>
        <v>13154.4852105</v>
      </c>
      <c r="F220" s="9" t="n">
        <f aca="false">(parametros_manuales!$D$21*(datos_base!$J$2+datos_base!$J$18+IF(parametros_manuales!$H$21="Todos",datos_base!$J$9+datos_base!$J$23,0))*parametros_manuales!$F$95+parametros_manuales!$E$21*(datos_base!$J$3+datos_base!$J$19+IF(parametros_manuales!$H$21="Todos",datos_base!$J$10+datos_base!$J$24,0))*parametros_manuales!$F$100+parametros_manuales!$F$21*(datos_base!$J$4+datos_base!$J$20+IF(parametros_manuales!$H$21="Todos",datos_base!$J$11+datos_base!$J$25,0))*parametros_manuales!$F$105+parametros_manuales!$G$21*(datos_base!$J$5+datos_base!$J$21+IF(parametros_manuales!$H$21="Todos",datos_base!$J$12+datos_base!$J$26,0))*parametros_manuales!$F$110)*parametros_manuales!$I$21*parametros_manuales!$J$21</f>
        <v>12277.5195298</v>
      </c>
      <c r="G220" s="9" t="n">
        <f aca="false">(parametros_manuales!$D$21*(datos_base!$J$2+datos_base!$J$18+IF(parametros_manuales!$H$21="Todos",datos_base!$J$9+datos_base!$J$23,0))*parametros_manuales!$G$95+parametros_manuales!$E$21*(datos_base!$J$3+datos_base!$J$19+IF(parametros_manuales!$H$21="Todos",datos_base!$J$10+datos_base!$J$24,0))*parametros_manuales!$G$100+parametros_manuales!$F$21*(datos_base!$J$4+datos_base!$J$20+IF(parametros_manuales!$H$21="Todos",datos_base!$J$11+datos_base!$J$25,0))*parametros_manuales!$G$105+parametros_manuales!$G$21*(datos_base!$J$5+datos_base!$J$21+IF(parametros_manuales!$H$21="Todos",datos_base!$J$12+datos_base!$J$26,0))*parametros_manuales!$G$110)*parametros_manuales!$I$21*parametros_manuales!$J$21</f>
        <v>12277.5195298</v>
      </c>
      <c r="H220" s="9" t="n">
        <f aca="false">(parametros_manuales!$D$21*(datos_base!$J$2+datos_base!$J$18+IF(parametros_manuales!$H$21="Todos",datos_base!$J$9+datos_base!$J$23,0))*parametros_manuales!$H$95+parametros_manuales!$E$21*(datos_base!$J$3+datos_base!$J$19+IF(parametros_manuales!$H$21="Todos",datos_base!$J$10+datos_base!$J$24,0))*parametros_manuales!$H$100+parametros_manuales!$F$21*(datos_base!$J$4+datos_base!$J$20+IF(parametros_manuales!$H$21="Todos",datos_base!$J$11+datos_base!$J$25,0))*parametros_manuales!$H$105+parametros_manuales!$G$21*(datos_base!$J$5+datos_base!$J$21+IF(parametros_manuales!$H$21="Todos",datos_base!$J$12+datos_base!$J$26,0))*parametros_manuales!$H$110)*parametros_manuales!$I$21*parametros_manuales!$J$21</f>
        <v>13154.4852105</v>
      </c>
      <c r="I220" s="9" t="n">
        <f aca="false">(parametros_manuales!$D$21*(datos_base!$J$2+datos_base!$J$18+IF(parametros_manuales!$H$21="Todos",datos_base!$J$9+datos_base!$J$23,0))*parametros_manuales!$I$95+parametros_manuales!$E$21*(datos_base!$J$3+datos_base!$J$19+IF(parametros_manuales!$H$21="Todos",datos_base!$J$10+datos_base!$J$24,0))*parametros_manuales!$I$100+parametros_manuales!$F$21*(datos_base!$J$4+datos_base!$J$20+IF(parametros_manuales!$H$21="Todos",datos_base!$J$11+datos_base!$J$25,0))*parametros_manuales!$I$105+parametros_manuales!$G$21*(datos_base!$J$5+datos_base!$J$21+IF(parametros_manuales!$H$21="Todos",datos_base!$J$12+datos_base!$J$26,0))*parametros_manuales!$I$110)*parametros_manuales!$I$21*parametros_manuales!$J$21</f>
        <v>15785.3822526</v>
      </c>
      <c r="J220" s="9" t="n">
        <f aca="false">(parametros_manuales!$D$21*(datos_base!$J$2+datos_base!$J$18+IF(parametros_manuales!$H$21="Todos",datos_base!$J$9+datos_base!$J$23,0))*parametros_manuales!$J$95+parametros_manuales!$E$21*(datos_base!$J$3+datos_base!$J$19+IF(parametros_manuales!$H$21="Todos",datos_base!$J$10+datos_base!$J$24,0))*parametros_manuales!$J$100+parametros_manuales!$F$21*(datos_base!$J$4+datos_base!$J$20+IF(parametros_manuales!$H$21="Todos",datos_base!$J$11+datos_base!$J$25,0))*parametros_manuales!$J$105+parametros_manuales!$G$21*(datos_base!$J$5+datos_base!$J$21+IF(parametros_manuales!$H$21="Todos",datos_base!$J$12+datos_base!$J$26,0))*parametros_manuales!$J$110)*parametros_manuales!$I$21*parametros_manuales!$J$21</f>
        <v>15785.3822526</v>
      </c>
      <c r="K220" s="9" t="n">
        <f aca="false">(parametros_manuales!$D$21*(datos_base!$J$2+datos_base!$J$18+IF(parametros_manuales!$H$21="Todos",datos_base!$J$9+datos_base!$J$23,0))*parametros_manuales!$K$95+parametros_manuales!$E$21*(datos_base!$J$3+datos_base!$J$19+IF(parametros_manuales!$H$21="Todos",datos_base!$J$10+datos_base!$J$24,0))*parametros_manuales!$K$100+parametros_manuales!$F$21*(datos_base!$J$4+datos_base!$J$20+IF(parametros_manuales!$H$21="Todos",datos_base!$J$11+datos_base!$J$25,0))*parametros_manuales!$K$105+parametros_manuales!$G$21*(datos_base!$J$5+datos_base!$J$21+IF(parametros_manuales!$H$21="Todos",datos_base!$J$12+datos_base!$J$26,0))*parametros_manuales!$K$110)*parametros_manuales!$I$21*parametros_manuales!$J$21</f>
        <v>15785.3822526</v>
      </c>
      <c r="L220" s="9" t="n">
        <f aca="false">(parametros_manuales!$D$21*(datos_base!$J$2+datos_base!$J$18+IF(parametros_manuales!$H$21="Todos",datos_base!$J$9+datos_base!$J$23,0))*parametros_manuales!$L$95+parametros_manuales!$E$21*(datos_base!$J$3+datos_base!$J$19+IF(parametros_manuales!$H$21="Todos",datos_base!$J$10+datos_base!$J$24,0))*parametros_manuales!$L$100+parametros_manuales!$F$21*(datos_base!$J$4+datos_base!$J$20+IF(parametros_manuales!$H$21="Todos",datos_base!$J$11+datos_base!$J$25,0))*parametros_manuales!$L$105+parametros_manuales!$G$21*(datos_base!$J$5+datos_base!$J$21+IF(parametros_manuales!$H$21="Todos",datos_base!$J$12+datos_base!$J$26,0))*parametros_manuales!$L$110)*parametros_manuales!$I$21*parametros_manuales!$J$21</f>
        <v>15785.3822526</v>
      </c>
      <c r="M220" s="9" t="n">
        <f aca="false">(parametros_manuales!$D$21*(datos_base!$J$2+datos_base!$J$18+IF(parametros_manuales!$H$21="Todos",datos_base!$J$9+datos_base!$J$23,0))*parametros_manuales!$M$95+parametros_manuales!$E$21*(datos_base!$J$3+datos_base!$J$19+IF(parametros_manuales!$H$21="Todos",datos_base!$J$10+datos_base!$J$24,0))*parametros_manuales!$M$100+parametros_manuales!$F$21*(datos_base!$J$4+datos_base!$J$20+IF(parametros_manuales!$H$21="Todos",datos_base!$J$11+datos_base!$J$25,0))*parametros_manuales!$M$105+parametros_manuales!$G$21*(datos_base!$J$5+datos_base!$J$21+IF(parametros_manuales!$H$21="Todos",datos_base!$J$12+datos_base!$J$26,0))*parametros_manuales!$M$110)*parametros_manuales!$I$21*parametros_manuales!$J$21</f>
        <v>15785.3822526</v>
      </c>
      <c r="N220" s="9" t="n">
        <f aca="false">SUM(B220:M220)</f>
        <v>175393.13614</v>
      </c>
      <c r="O220" s="9" t="n">
        <f aca="false">MAX(B220:M220)</f>
        <v>15785.3822526</v>
      </c>
      <c r="P220" s="43" t="n">
        <f aca="false">O220/(parametros_manuales!$B$7)</f>
        <v>105.235881684</v>
      </c>
      <c r="Q220" s="8" t="str">
        <f aca="false">IF(O220=0,"-",INDEX($B$217:$M$217,MATCH(O220,B220:M220,0)))</f>
        <v>Ene</v>
      </c>
    </row>
    <row r="221" customFormat="false" ht="14.25" hidden="false" customHeight="true" outlineLevel="0" collapsed="false">
      <c r="A221" s="8" t="str">
        <f aca="false">parametros_manuales!$B$22</f>
        <v>Corte de disco y embutido (cúpula y fondo)</v>
      </c>
      <c r="B221" s="9" t="n">
        <f aca="false">(parametros_manuales!$D$22*(datos_base!$J$2+datos_base!$J$18+IF(parametros_manuales!$H$22="Todos",datos_base!$J$9+datos_base!$J$23,0))*parametros_manuales!$B$95+parametros_manuales!$E$22*(datos_base!$J$3+datos_base!$J$19+IF(parametros_manuales!$H$22="Todos",datos_base!$J$10+datos_base!$J$24,0))*parametros_manuales!$B$100+parametros_manuales!$F$22*(datos_base!$J$4+datos_base!$J$20+IF(parametros_manuales!$H$22="Todos",datos_base!$J$11+datos_base!$J$25,0))*parametros_manuales!$B$105+parametros_manuales!$G$22*(datos_base!$J$5+datos_base!$J$21+IF(parametros_manuales!$H$22="Todos",datos_base!$J$12+datos_base!$J$26,0))*parametros_manuales!$B$110)*parametros_manuales!$I$22*parametros_manuales!$J$22</f>
        <v>44322.81065766</v>
      </c>
      <c r="C221" s="9" t="n">
        <f aca="false">(parametros_manuales!$D$22*(datos_base!$J$2+datos_base!$J$18+IF(parametros_manuales!$H$22="Todos",datos_base!$J$9+datos_base!$J$23,0))*parametros_manuales!$C$95+parametros_manuales!$E$22*(datos_base!$J$3+datos_base!$J$19+IF(parametros_manuales!$H$22="Todos",datos_base!$J$10+datos_base!$J$24,0))*parametros_manuales!$C$100+parametros_manuales!$F$22*(datos_base!$J$4+datos_base!$J$20+IF(parametros_manuales!$H$22="Todos",datos_base!$J$11+datos_base!$J$25,0))*parametros_manuales!$C$105+parametros_manuales!$G$22*(datos_base!$J$5+datos_base!$J$21+IF(parametros_manuales!$H$22="Todos",datos_base!$J$12+datos_base!$J$26,0))*parametros_manuales!$C$110)*parametros_manuales!$I$22*parametros_manuales!$J$22</f>
        <v>42905.91664072</v>
      </c>
      <c r="D221" s="9" t="n">
        <f aca="false">(parametros_manuales!$D$22*(datos_base!$J$2+datos_base!$J$18+IF(parametros_manuales!$H$22="Todos",datos_base!$J$9+datos_base!$J$23,0))*parametros_manuales!$D$95+parametros_manuales!$E$22*(datos_base!$J$3+datos_base!$J$19+IF(parametros_manuales!$H$22="Todos",datos_base!$J$10+datos_base!$J$24,0))*parametros_manuales!$D$100+parametros_manuales!$F$22*(datos_base!$J$4+datos_base!$J$20+IF(parametros_manuales!$H$22="Todos",datos_base!$J$11+datos_base!$J$25,0))*parametros_manuales!$D$105+parametros_manuales!$G$22*(datos_base!$J$5+datos_base!$J$21+IF(parametros_manuales!$H$22="Todos",datos_base!$J$12+datos_base!$J$26,0))*parametros_manuales!$D$110)*parametros_manuales!$I$22*parametros_manuales!$J$22</f>
        <v>40106.50092639</v>
      </c>
      <c r="E221" s="9" t="n">
        <f aca="false">(parametros_manuales!$D$22*(datos_base!$J$2+datos_base!$J$18+IF(parametros_manuales!$H$22="Todos",datos_base!$J$9+datos_base!$J$23,0))*parametros_manuales!$E$95+parametros_manuales!$E$22*(datos_base!$J$3+datos_base!$J$19+IF(parametros_manuales!$H$22="Todos",datos_base!$J$10+datos_base!$J$24,0))*parametros_manuales!$E$100+parametros_manuales!$F$22*(datos_base!$J$4+datos_base!$J$20+IF(parametros_manuales!$H$22="Todos",datos_base!$J$11+datos_base!$J$25,0))*parametros_manuales!$E$105+parametros_manuales!$G$22*(datos_base!$J$5+datos_base!$J$21+IF(parametros_manuales!$H$22="Todos",datos_base!$J$12+datos_base!$J$26,0))*parametros_manuales!$E$110)*parametros_manuales!$I$22*parametros_manuales!$J$22</f>
        <v>38352.56956499</v>
      </c>
      <c r="F221" s="9" t="n">
        <f aca="false">(parametros_manuales!$D$22*(datos_base!$J$2+datos_base!$J$18+IF(parametros_manuales!$H$22="Todos",datos_base!$J$9+datos_base!$J$23,0))*parametros_manuales!$F$95+parametros_manuales!$E$22*(datos_base!$J$3+datos_base!$J$19+IF(parametros_manuales!$H$22="Todos",datos_base!$J$10+datos_base!$J$24,0))*parametros_manuales!$F$100+parametros_manuales!$F$22*(datos_base!$J$4+datos_base!$J$20+IF(parametros_manuales!$H$22="Todos",datos_base!$J$11+datos_base!$J$25,0))*parametros_manuales!$F$105+parametros_manuales!$G$22*(datos_base!$J$5+datos_base!$J$21+IF(parametros_manuales!$H$22="Todos",datos_base!$J$12+datos_base!$J$26,0))*parametros_manuales!$F$110)*parametros_manuales!$I$22*parametros_manuales!$J$22</f>
        <v>35890.19119512</v>
      </c>
      <c r="G221" s="9" t="n">
        <f aca="false">(parametros_manuales!$D$22*(datos_base!$J$2+datos_base!$J$18+IF(parametros_manuales!$H$22="Todos",datos_base!$J$9+datos_base!$J$23,0))*parametros_manuales!$G$95+parametros_manuales!$E$22*(datos_base!$J$3+datos_base!$J$19+IF(parametros_manuales!$H$22="Todos",datos_base!$J$10+datos_base!$J$24,0))*parametros_manuales!$G$100+parametros_manuales!$F$22*(datos_base!$J$4+datos_base!$J$20+IF(parametros_manuales!$H$22="Todos",datos_base!$J$11+datos_base!$J$25,0))*parametros_manuales!$G$105+parametros_manuales!$G$22*(datos_base!$J$5+datos_base!$J$21+IF(parametros_manuales!$H$22="Todos",datos_base!$J$12+datos_base!$J$26,0))*parametros_manuales!$G$110)*parametros_manuales!$I$22*parametros_manuales!$J$22</f>
        <v>35181.74418665</v>
      </c>
      <c r="H221" s="9" t="n">
        <f aca="false">(parametros_manuales!$D$22*(datos_base!$J$2+datos_base!$J$18+IF(parametros_manuales!$H$22="Todos",datos_base!$J$9+datos_base!$J$23,0))*parametros_manuales!$H$95+parametros_manuales!$E$22*(datos_base!$J$3+datos_base!$J$19+IF(parametros_manuales!$H$22="Todos",datos_base!$J$10+datos_base!$J$24,0))*parametros_manuales!$H$100+parametros_manuales!$F$22*(datos_base!$J$4+datos_base!$J$20+IF(parametros_manuales!$H$22="Todos",datos_base!$J$11+datos_base!$J$25,0))*parametros_manuales!$H$105+parametros_manuales!$G$22*(datos_base!$J$5+datos_base!$J$21+IF(parametros_manuales!$H$22="Todos",datos_base!$J$12+datos_base!$J$26,0))*parametros_manuales!$H$110)*parametros_manuales!$I$22*parametros_manuales!$J$22</f>
        <v>37644.12255652</v>
      </c>
      <c r="I221" s="9" t="n">
        <f aca="false">(parametros_manuales!$D$22*(datos_base!$J$2+datos_base!$J$18+IF(parametros_manuales!$H$22="Todos",datos_base!$J$9+datos_base!$J$23,0))*parametros_manuales!$I$95+parametros_manuales!$E$22*(datos_base!$J$3+datos_base!$J$19+IF(parametros_manuales!$H$22="Todos",datos_base!$J$10+datos_base!$J$24,0))*parametros_manuales!$I$100+parametros_manuales!$F$22*(datos_base!$J$4+datos_base!$J$20+IF(parametros_manuales!$H$22="Todos",datos_base!$J$11+datos_base!$J$25,0))*parametros_manuales!$I$105+parametros_manuales!$G$22*(datos_base!$J$5+datos_base!$J$21+IF(parametros_manuales!$H$22="Todos",datos_base!$J$12+datos_base!$J$26,0))*parametros_manuales!$I$110)*parametros_manuales!$I$22*parametros_manuales!$J$22</f>
        <v>42905.91664072</v>
      </c>
      <c r="J221" s="9" t="n">
        <f aca="false">(parametros_manuales!$D$22*(datos_base!$J$2+datos_base!$J$18+IF(parametros_manuales!$H$22="Todos",datos_base!$J$9+datos_base!$J$23,0))*parametros_manuales!$J$95+parametros_manuales!$E$22*(datos_base!$J$3+datos_base!$J$19+IF(parametros_manuales!$H$22="Todos",datos_base!$J$10+datos_base!$J$24,0))*parametros_manuales!$J$100+parametros_manuales!$F$22*(datos_base!$J$4+datos_base!$J$20+IF(parametros_manuales!$H$22="Todos",datos_base!$J$11+datos_base!$J$25,0))*parametros_manuales!$J$105+parametros_manuales!$G$22*(datos_base!$J$5+datos_base!$J$21+IF(parametros_manuales!$H$22="Todos",datos_base!$J$12+datos_base!$J$26,0))*parametros_manuales!$J$110)*parametros_manuales!$I$22*parametros_manuales!$J$22</f>
        <v>42905.91664072</v>
      </c>
      <c r="K221" s="9" t="n">
        <f aca="false">(parametros_manuales!$D$22*(datos_base!$J$2+datos_base!$J$18+IF(parametros_manuales!$H$22="Todos",datos_base!$J$9+datos_base!$J$23,0))*parametros_manuales!$K$95+parametros_manuales!$E$22*(datos_base!$J$3+datos_base!$J$19+IF(parametros_manuales!$H$22="Todos",datos_base!$J$10+datos_base!$J$24,0))*parametros_manuales!$K$100+parametros_manuales!$F$22*(datos_base!$J$4+datos_base!$J$20+IF(parametros_manuales!$H$22="Todos",datos_base!$J$11+datos_base!$J$25,0))*parametros_manuales!$K$105+parametros_manuales!$G$22*(datos_base!$J$5+datos_base!$J$21+IF(parametros_manuales!$H$22="Todos",datos_base!$J$12+datos_base!$J$26,0))*parametros_manuales!$K$110)*parametros_manuales!$I$22*parametros_manuales!$J$22</f>
        <v>43614.36364919</v>
      </c>
      <c r="L221" s="9" t="n">
        <f aca="false">(parametros_manuales!$D$22*(datos_base!$J$2+datos_base!$J$18+IF(parametros_manuales!$H$22="Todos",datos_base!$J$9+datos_base!$J$23,0))*parametros_manuales!$L$95+parametros_manuales!$E$22*(datos_base!$J$3+datos_base!$J$19+IF(parametros_manuales!$H$22="Todos",datos_base!$J$10+datos_base!$J$24,0))*parametros_manuales!$L$100+parametros_manuales!$F$22*(datos_base!$J$4+datos_base!$J$20+IF(parametros_manuales!$H$22="Todos",datos_base!$J$11+datos_base!$J$25,0))*parametros_manuales!$L$105+parametros_manuales!$G$22*(datos_base!$J$5+datos_base!$J$21+IF(parametros_manuales!$H$22="Todos",datos_base!$J$12+datos_base!$J$26,0))*parametros_manuales!$L$110)*parametros_manuales!$I$22*parametros_manuales!$J$22</f>
        <v>44322.81065766</v>
      </c>
      <c r="M221" s="9" t="n">
        <f aca="false">(parametros_manuales!$D$22*(datos_base!$J$2+datos_base!$J$18+IF(parametros_manuales!$H$22="Todos",datos_base!$J$9+datos_base!$J$23,0))*parametros_manuales!$M$95+parametros_manuales!$E$22*(datos_base!$J$3+datos_base!$J$19+IF(parametros_manuales!$H$22="Todos",datos_base!$J$10+datos_base!$J$24,0))*parametros_manuales!$M$100+parametros_manuales!$F$22*(datos_base!$J$4+datos_base!$J$20+IF(parametros_manuales!$H$22="Todos",datos_base!$J$11+datos_base!$J$25,0))*parametros_manuales!$M$105+parametros_manuales!$G$22*(datos_base!$J$5+datos_base!$J$21+IF(parametros_manuales!$H$22="Todos",datos_base!$J$12+datos_base!$J$26,0))*parametros_manuales!$M$110)*parametros_manuales!$I$22*parametros_manuales!$J$22</f>
        <v>44322.81065766</v>
      </c>
      <c r="N221" s="9" t="n">
        <f aca="false">SUM(B221:M221)</f>
        <v>492475.673974</v>
      </c>
      <c r="O221" s="9" t="n">
        <f aca="false">MAX(B221:M221)</f>
        <v>44322.81065766</v>
      </c>
      <c r="P221" s="43" t="n">
        <f aca="false">O221/(parametros_manuales!$B$7)</f>
        <v>295.4854043844</v>
      </c>
      <c r="Q221" s="8" t="str">
        <f aca="false">IF(O221=0,"-",INDEX($B$217:$M$217,MATCH(O221,B221:M221,0)))</f>
        <v>Ene</v>
      </c>
    </row>
    <row r="222" customFormat="false" ht="14.25" hidden="false" customHeight="true" outlineLevel="0" collapsed="false">
      <c r="A222" s="8" t="str">
        <f aca="false">parametros_manuales!$B$23</f>
        <v>Preparación de cuello</v>
      </c>
      <c r="B222" s="9" t="n">
        <f aca="false">(parametros_manuales!$D$23*(datos_base!$J$2+datos_base!$J$18+IF(parametros_manuales!$H$23="Todos",datos_base!$J$9+datos_base!$J$23,0))*parametros_manuales!$B$95+parametros_manuales!$E$23*(datos_base!$J$3+datos_base!$J$19+IF(parametros_manuales!$H$23="Todos",datos_base!$J$10+datos_base!$J$24,0))*parametros_manuales!$B$100+parametros_manuales!$F$23*(datos_base!$J$4+datos_base!$J$20+IF(parametros_manuales!$H$23="Todos",datos_base!$J$11+datos_base!$J$25,0))*parametros_manuales!$B$105+parametros_manuales!$G$23*(datos_base!$J$5+datos_base!$J$21+IF(parametros_manuales!$H$23="Todos",datos_base!$J$12+datos_base!$J$26,0))*parametros_manuales!$B$110)*parametros_manuales!$I$23*parametros_manuales!$J$23</f>
        <v>22161.40532883</v>
      </c>
      <c r="C222" s="9" t="n">
        <f aca="false">(parametros_manuales!$D$23*(datos_base!$J$2+datos_base!$J$18+IF(parametros_manuales!$H$23="Todos",datos_base!$J$9+datos_base!$J$23,0))*parametros_manuales!$C$95+parametros_manuales!$E$23*(datos_base!$J$3+datos_base!$J$19+IF(parametros_manuales!$H$23="Todos",datos_base!$J$10+datos_base!$J$24,0))*parametros_manuales!$C$100+parametros_manuales!$F$23*(datos_base!$J$4+datos_base!$J$20+IF(parametros_manuales!$H$23="Todos",datos_base!$J$11+datos_base!$J$25,0))*parametros_manuales!$C$105+parametros_manuales!$G$23*(datos_base!$J$5+datos_base!$J$21+IF(parametros_manuales!$H$23="Todos",datos_base!$J$12+datos_base!$J$26,0))*parametros_manuales!$C$110)*parametros_manuales!$I$23*parametros_manuales!$J$23</f>
        <v>21452.95832036</v>
      </c>
      <c r="D222" s="9" t="n">
        <f aca="false">(parametros_manuales!$D$23*(datos_base!$J$2+datos_base!$J$18+IF(parametros_manuales!$H$23="Todos",datos_base!$J$9+datos_base!$J$23,0))*parametros_manuales!$D$95+parametros_manuales!$E$23*(datos_base!$J$3+datos_base!$J$19+IF(parametros_manuales!$H$23="Todos",datos_base!$J$10+datos_base!$J$24,0))*parametros_manuales!$D$100+parametros_manuales!$F$23*(datos_base!$J$4+datos_base!$J$20+IF(parametros_manuales!$H$23="Todos",datos_base!$J$11+datos_base!$J$25,0))*parametros_manuales!$D$105+parametros_manuales!$G$23*(datos_base!$J$5+datos_base!$J$21+IF(parametros_manuales!$H$23="Todos",datos_base!$J$12+datos_base!$J$26,0))*parametros_manuales!$D$110)*parametros_manuales!$I$23*parametros_manuales!$J$23</f>
        <v>20053.250463195</v>
      </c>
      <c r="E222" s="9" t="n">
        <f aca="false">(parametros_manuales!$D$23*(datos_base!$J$2+datos_base!$J$18+IF(parametros_manuales!$H$23="Todos",datos_base!$J$9+datos_base!$J$23,0))*parametros_manuales!$E$95+parametros_manuales!$E$23*(datos_base!$J$3+datos_base!$J$19+IF(parametros_manuales!$H$23="Todos",datos_base!$J$10+datos_base!$J$24,0))*parametros_manuales!$E$100+parametros_manuales!$F$23*(datos_base!$J$4+datos_base!$J$20+IF(parametros_manuales!$H$23="Todos",datos_base!$J$11+datos_base!$J$25,0))*parametros_manuales!$E$105+parametros_manuales!$G$23*(datos_base!$J$5+datos_base!$J$21+IF(parametros_manuales!$H$23="Todos",datos_base!$J$12+datos_base!$J$26,0))*parametros_manuales!$E$110)*parametros_manuales!$I$23*parametros_manuales!$J$23</f>
        <v>19176.284782495</v>
      </c>
      <c r="F222" s="9" t="n">
        <f aca="false">(parametros_manuales!$D$23*(datos_base!$J$2+datos_base!$J$18+IF(parametros_manuales!$H$23="Todos",datos_base!$J$9+datos_base!$J$23,0))*parametros_manuales!$F$95+parametros_manuales!$E$23*(datos_base!$J$3+datos_base!$J$19+IF(parametros_manuales!$H$23="Todos",datos_base!$J$10+datos_base!$J$24,0))*parametros_manuales!$F$100+parametros_manuales!$F$23*(datos_base!$J$4+datos_base!$J$20+IF(parametros_manuales!$H$23="Todos",datos_base!$J$11+datos_base!$J$25,0))*parametros_manuales!$F$105+parametros_manuales!$G$23*(datos_base!$J$5+datos_base!$J$21+IF(parametros_manuales!$H$23="Todos",datos_base!$J$12+datos_base!$J$26,0))*parametros_manuales!$F$110)*parametros_manuales!$I$23*parametros_manuales!$J$23</f>
        <v>17945.09559756</v>
      </c>
      <c r="G222" s="9" t="n">
        <f aca="false">(parametros_manuales!$D$23*(datos_base!$J$2+datos_base!$J$18+IF(parametros_manuales!$H$23="Todos",datos_base!$J$9+datos_base!$J$23,0))*parametros_manuales!$G$95+parametros_manuales!$E$23*(datos_base!$J$3+datos_base!$J$19+IF(parametros_manuales!$H$23="Todos",datos_base!$J$10+datos_base!$J$24,0))*parametros_manuales!$G$100+parametros_manuales!$F$23*(datos_base!$J$4+datos_base!$J$20+IF(parametros_manuales!$H$23="Todos",datos_base!$J$11+datos_base!$J$25,0))*parametros_manuales!$G$105+parametros_manuales!$G$23*(datos_base!$J$5+datos_base!$J$21+IF(parametros_manuales!$H$23="Todos",datos_base!$J$12+datos_base!$J$26,0))*parametros_manuales!$G$110)*parametros_manuales!$I$23*parametros_manuales!$J$23</f>
        <v>17590.872093325</v>
      </c>
      <c r="H222" s="9" t="n">
        <f aca="false">(parametros_manuales!$D$23*(datos_base!$J$2+datos_base!$J$18+IF(parametros_manuales!$H$23="Todos",datos_base!$J$9+datos_base!$J$23,0))*parametros_manuales!$H$95+parametros_manuales!$E$23*(datos_base!$J$3+datos_base!$J$19+IF(parametros_manuales!$H$23="Todos",datos_base!$J$10+datos_base!$J$24,0))*parametros_manuales!$H$100+parametros_manuales!$F$23*(datos_base!$J$4+datos_base!$J$20+IF(parametros_manuales!$H$23="Todos",datos_base!$J$11+datos_base!$J$25,0))*parametros_manuales!$H$105+parametros_manuales!$G$23*(datos_base!$J$5+datos_base!$J$21+IF(parametros_manuales!$H$23="Todos",datos_base!$J$12+datos_base!$J$26,0))*parametros_manuales!$H$110)*parametros_manuales!$I$23*parametros_manuales!$J$23</f>
        <v>18822.06127826</v>
      </c>
      <c r="I222" s="9" t="n">
        <f aca="false">(parametros_manuales!$D$23*(datos_base!$J$2+datos_base!$J$18+IF(parametros_manuales!$H$23="Todos",datos_base!$J$9+datos_base!$J$23,0))*parametros_manuales!$I$95+parametros_manuales!$E$23*(datos_base!$J$3+datos_base!$J$19+IF(parametros_manuales!$H$23="Todos",datos_base!$J$10+datos_base!$J$24,0))*parametros_manuales!$I$100+parametros_manuales!$F$23*(datos_base!$J$4+datos_base!$J$20+IF(parametros_manuales!$H$23="Todos",datos_base!$J$11+datos_base!$J$25,0))*parametros_manuales!$I$105+parametros_manuales!$G$23*(datos_base!$J$5+datos_base!$J$21+IF(parametros_manuales!$H$23="Todos",datos_base!$J$12+datos_base!$J$26,0))*parametros_manuales!$I$110)*parametros_manuales!$I$23*parametros_manuales!$J$23</f>
        <v>21452.95832036</v>
      </c>
      <c r="J222" s="9" t="n">
        <f aca="false">(parametros_manuales!$D$23*(datos_base!$J$2+datos_base!$J$18+IF(parametros_manuales!$H$23="Todos",datos_base!$J$9+datos_base!$J$23,0))*parametros_manuales!$J$95+parametros_manuales!$E$23*(datos_base!$J$3+datos_base!$J$19+IF(parametros_manuales!$H$23="Todos",datos_base!$J$10+datos_base!$J$24,0))*parametros_manuales!$J$100+parametros_manuales!$F$23*(datos_base!$J$4+datos_base!$J$20+IF(parametros_manuales!$H$23="Todos",datos_base!$J$11+datos_base!$J$25,0))*parametros_manuales!$J$105+parametros_manuales!$G$23*(datos_base!$J$5+datos_base!$J$21+IF(parametros_manuales!$H$23="Todos",datos_base!$J$12+datos_base!$J$26,0))*parametros_manuales!$J$110)*parametros_manuales!$I$23*parametros_manuales!$J$23</f>
        <v>21452.95832036</v>
      </c>
      <c r="K222" s="9" t="n">
        <f aca="false">(parametros_manuales!$D$23*(datos_base!$J$2+datos_base!$J$18+IF(parametros_manuales!$H$23="Todos",datos_base!$J$9+datos_base!$J$23,0))*parametros_manuales!$K$95+parametros_manuales!$E$23*(datos_base!$J$3+datos_base!$J$19+IF(parametros_manuales!$H$23="Todos",datos_base!$J$10+datos_base!$J$24,0))*parametros_manuales!$K$100+parametros_manuales!$F$23*(datos_base!$J$4+datos_base!$J$20+IF(parametros_manuales!$H$23="Todos",datos_base!$J$11+datos_base!$J$25,0))*parametros_manuales!$K$105+parametros_manuales!$G$23*(datos_base!$J$5+datos_base!$J$21+IF(parametros_manuales!$H$23="Todos",datos_base!$J$12+datos_base!$J$26,0))*parametros_manuales!$K$110)*parametros_manuales!$I$23*parametros_manuales!$J$23</f>
        <v>21807.181824595</v>
      </c>
      <c r="L222" s="9" t="n">
        <f aca="false">(parametros_manuales!$D$23*(datos_base!$J$2+datos_base!$J$18+IF(parametros_manuales!$H$23="Todos",datos_base!$J$9+datos_base!$J$23,0))*parametros_manuales!$L$95+parametros_manuales!$E$23*(datos_base!$J$3+datos_base!$J$19+IF(parametros_manuales!$H$23="Todos",datos_base!$J$10+datos_base!$J$24,0))*parametros_manuales!$L$100+parametros_manuales!$F$23*(datos_base!$J$4+datos_base!$J$20+IF(parametros_manuales!$H$23="Todos",datos_base!$J$11+datos_base!$J$25,0))*parametros_manuales!$L$105+parametros_manuales!$G$23*(datos_base!$J$5+datos_base!$J$21+IF(parametros_manuales!$H$23="Todos",datos_base!$J$12+datos_base!$J$26,0))*parametros_manuales!$L$110)*parametros_manuales!$I$23*parametros_manuales!$J$23</f>
        <v>22161.40532883</v>
      </c>
      <c r="M222" s="9" t="n">
        <f aca="false">(parametros_manuales!$D$23*(datos_base!$J$2+datos_base!$J$18+IF(parametros_manuales!$H$23="Todos",datos_base!$J$9+datos_base!$J$23,0))*parametros_manuales!$M$95+parametros_manuales!$E$23*(datos_base!$J$3+datos_base!$J$19+IF(parametros_manuales!$H$23="Todos",datos_base!$J$10+datos_base!$J$24,0))*parametros_manuales!$M$100+parametros_manuales!$F$23*(datos_base!$J$4+datos_base!$J$20+IF(parametros_manuales!$H$23="Todos",datos_base!$J$11+datos_base!$J$25,0))*parametros_manuales!$M$105+parametros_manuales!$G$23*(datos_base!$J$5+datos_base!$J$21+IF(parametros_manuales!$H$23="Todos",datos_base!$J$12+datos_base!$J$26,0))*parametros_manuales!$M$110)*parametros_manuales!$I$23*parametros_manuales!$J$23</f>
        <v>22161.40532883</v>
      </c>
      <c r="N222" s="9" t="n">
        <f aca="false">SUM(B222:M222)</f>
        <v>246237.836987</v>
      </c>
      <c r="O222" s="9" t="n">
        <f aca="false">MAX(B222:M222)</f>
        <v>22161.40532883</v>
      </c>
      <c r="P222" s="43" t="n">
        <f aca="false">O222/(parametros_manuales!$B$7)</f>
        <v>147.7427021922</v>
      </c>
      <c r="Q222" s="8" t="str">
        <f aca="false">IF(O222=0,"-",INDEX($B$217:$M$217,MATCH(O222,B222:M222,0)))</f>
        <v>Ene</v>
      </c>
    </row>
    <row r="223" customFormat="false" ht="14.25" hidden="false" customHeight="true" outlineLevel="0" collapsed="false">
      <c r="A223" s="8" t="str">
        <f aca="false">parametros_manuales!$B$24</f>
        <v>Numerado de cúpula</v>
      </c>
      <c r="B223" s="9" t="n">
        <f aca="false">(parametros_manuales!$D$24*(datos_base!$J$2+datos_base!$J$18+IF(parametros_manuales!$H$24="Todos",datos_base!$J$9+datos_base!$J$23,0))*parametros_manuales!$B$95+parametros_manuales!$E$24*(datos_base!$J$3+datos_base!$J$19+IF(parametros_manuales!$H$24="Todos",datos_base!$J$10+datos_base!$J$24,0))*parametros_manuales!$B$100+parametros_manuales!$F$24*(datos_base!$J$4+datos_base!$J$20+IF(parametros_manuales!$H$24="Todos",datos_base!$J$11+datos_base!$J$25,0))*parametros_manuales!$B$105+parametros_manuales!$G$24*(datos_base!$J$5+datos_base!$J$21+IF(parametros_manuales!$H$24="Todos",datos_base!$J$12+datos_base!$J$26,0))*parametros_manuales!$B$110)*parametros_manuales!$I$24*parametros_manuales!$J$24</f>
        <v>22161.40532883</v>
      </c>
      <c r="C223" s="9" t="n">
        <f aca="false">(parametros_manuales!$D$24*(datos_base!$J$2+datos_base!$J$18+IF(parametros_manuales!$H$24="Todos",datos_base!$J$9+datos_base!$J$23,0))*parametros_manuales!$C$95+parametros_manuales!$E$24*(datos_base!$J$3+datos_base!$J$19+IF(parametros_manuales!$H$24="Todos",datos_base!$J$10+datos_base!$J$24,0))*parametros_manuales!$C$100+parametros_manuales!$F$24*(datos_base!$J$4+datos_base!$J$20+IF(parametros_manuales!$H$24="Todos",datos_base!$J$11+datos_base!$J$25,0))*parametros_manuales!$C$105+parametros_manuales!$G$24*(datos_base!$J$5+datos_base!$J$21+IF(parametros_manuales!$H$24="Todos",datos_base!$J$12+datos_base!$J$26,0))*parametros_manuales!$C$110)*parametros_manuales!$I$24*parametros_manuales!$J$24</f>
        <v>21452.95832036</v>
      </c>
      <c r="D223" s="9" t="n">
        <f aca="false">(parametros_manuales!$D$24*(datos_base!$J$2+datos_base!$J$18+IF(parametros_manuales!$H$24="Todos",datos_base!$J$9+datos_base!$J$23,0))*parametros_manuales!$D$95+parametros_manuales!$E$24*(datos_base!$J$3+datos_base!$J$19+IF(parametros_manuales!$H$24="Todos",datos_base!$J$10+datos_base!$J$24,0))*parametros_manuales!$D$100+parametros_manuales!$F$24*(datos_base!$J$4+datos_base!$J$20+IF(parametros_manuales!$H$24="Todos",datos_base!$J$11+datos_base!$J$25,0))*parametros_manuales!$D$105+parametros_manuales!$G$24*(datos_base!$J$5+datos_base!$J$21+IF(parametros_manuales!$H$24="Todos",datos_base!$J$12+datos_base!$J$26,0))*parametros_manuales!$D$110)*parametros_manuales!$I$24*parametros_manuales!$J$24</f>
        <v>20053.250463195</v>
      </c>
      <c r="E223" s="9" t="n">
        <f aca="false">(parametros_manuales!$D$24*(datos_base!$J$2+datos_base!$J$18+IF(parametros_manuales!$H$24="Todos",datos_base!$J$9+datos_base!$J$23,0))*parametros_manuales!$E$95+parametros_manuales!$E$24*(datos_base!$J$3+datos_base!$J$19+IF(parametros_manuales!$H$24="Todos",datos_base!$J$10+datos_base!$J$24,0))*parametros_manuales!$E$100+parametros_manuales!$F$24*(datos_base!$J$4+datos_base!$J$20+IF(parametros_manuales!$H$24="Todos",datos_base!$J$11+datos_base!$J$25,0))*parametros_manuales!$E$105+parametros_manuales!$G$24*(datos_base!$J$5+datos_base!$J$21+IF(parametros_manuales!$H$24="Todos",datos_base!$J$12+datos_base!$J$26,0))*parametros_manuales!$E$110)*parametros_manuales!$I$24*parametros_manuales!$J$24</f>
        <v>19176.284782495</v>
      </c>
      <c r="F223" s="9" t="n">
        <f aca="false">(parametros_manuales!$D$24*(datos_base!$J$2+datos_base!$J$18+IF(parametros_manuales!$H$24="Todos",datos_base!$J$9+datos_base!$J$23,0))*parametros_manuales!$F$95+parametros_manuales!$E$24*(datos_base!$J$3+datos_base!$J$19+IF(parametros_manuales!$H$24="Todos",datos_base!$J$10+datos_base!$J$24,0))*parametros_manuales!$F$100+parametros_manuales!$F$24*(datos_base!$J$4+datos_base!$J$20+IF(parametros_manuales!$H$24="Todos",datos_base!$J$11+datos_base!$J$25,0))*parametros_manuales!$F$105+parametros_manuales!$G$24*(datos_base!$J$5+datos_base!$J$21+IF(parametros_manuales!$H$24="Todos",datos_base!$J$12+datos_base!$J$26,0))*parametros_manuales!$F$110)*parametros_manuales!$I$24*parametros_manuales!$J$24</f>
        <v>17945.09559756</v>
      </c>
      <c r="G223" s="9" t="n">
        <f aca="false">(parametros_manuales!$D$24*(datos_base!$J$2+datos_base!$J$18+IF(parametros_manuales!$H$24="Todos",datos_base!$J$9+datos_base!$J$23,0))*parametros_manuales!$G$95+parametros_manuales!$E$24*(datos_base!$J$3+datos_base!$J$19+IF(parametros_manuales!$H$24="Todos",datos_base!$J$10+datos_base!$J$24,0))*parametros_manuales!$G$100+parametros_manuales!$F$24*(datos_base!$J$4+datos_base!$J$20+IF(parametros_manuales!$H$24="Todos",datos_base!$J$11+datos_base!$J$25,0))*parametros_manuales!$G$105+parametros_manuales!$G$24*(datos_base!$J$5+datos_base!$J$21+IF(parametros_manuales!$H$24="Todos",datos_base!$J$12+datos_base!$J$26,0))*parametros_manuales!$G$110)*parametros_manuales!$I$24*parametros_manuales!$J$24</f>
        <v>17590.872093325</v>
      </c>
      <c r="H223" s="9" t="n">
        <f aca="false">(parametros_manuales!$D$24*(datos_base!$J$2+datos_base!$J$18+IF(parametros_manuales!$H$24="Todos",datos_base!$J$9+datos_base!$J$23,0))*parametros_manuales!$H$95+parametros_manuales!$E$24*(datos_base!$J$3+datos_base!$J$19+IF(parametros_manuales!$H$24="Todos",datos_base!$J$10+datos_base!$J$24,0))*parametros_manuales!$H$100+parametros_manuales!$F$24*(datos_base!$J$4+datos_base!$J$20+IF(parametros_manuales!$H$24="Todos",datos_base!$J$11+datos_base!$J$25,0))*parametros_manuales!$H$105+parametros_manuales!$G$24*(datos_base!$J$5+datos_base!$J$21+IF(parametros_manuales!$H$24="Todos",datos_base!$J$12+datos_base!$J$26,0))*parametros_manuales!$H$110)*parametros_manuales!$I$24*parametros_manuales!$J$24</f>
        <v>18822.06127826</v>
      </c>
      <c r="I223" s="9" t="n">
        <f aca="false">(parametros_manuales!$D$24*(datos_base!$J$2+datos_base!$J$18+IF(parametros_manuales!$H$24="Todos",datos_base!$J$9+datos_base!$J$23,0))*parametros_manuales!$I$95+parametros_manuales!$E$24*(datos_base!$J$3+datos_base!$J$19+IF(parametros_manuales!$H$24="Todos",datos_base!$J$10+datos_base!$J$24,0))*parametros_manuales!$I$100+parametros_manuales!$F$24*(datos_base!$J$4+datos_base!$J$20+IF(parametros_manuales!$H$24="Todos",datos_base!$J$11+datos_base!$J$25,0))*parametros_manuales!$I$105+parametros_manuales!$G$24*(datos_base!$J$5+datos_base!$J$21+IF(parametros_manuales!$H$24="Todos",datos_base!$J$12+datos_base!$J$26,0))*parametros_manuales!$I$110)*parametros_manuales!$I$24*parametros_manuales!$J$24</f>
        <v>21452.95832036</v>
      </c>
      <c r="J223" s="9" t="n">
        <f aca="false">(parametros_manuales!$D$24*(datos_base!$J$2+datos_base!$J$18+IF(parametros_manuales!$H$24="Todos",datos_base!$J$9+datos_base!$J$23,0))*parametros_manuales!$J$95+parametros_manuales!$E$24*(datos_base!$J$3+datos_base!$J$19+IF(parametros_manuales!$H$24="Todos",datos_base!$J$10+datos_base!$J$24,0))*parametros_manuales!$J$100+parametros_manuales!$F$24*(datos_base!$J$4+datos_base!$J$20+IF(parametros_manuales!$H$24="Todos",datos_base!$J$11+datos_base!$J$25,0))*parametros_manuales!$J$105+parametros_manuales!$G$24*(datos_base!$J$5+datos_base!$J$21+IF(parametros_manuales!$H$24="Todos",datos_base!$J$12+datos_base!$J$26,0))*parametros_manuales!$J$110)*parametros_manuales!$I$24*parametros_manuales!$J$24</f>
        <v>21452.95832036</v>
      </c>
      <c r="K223" s="9" t="n">
        <f aca="false">(parametros_manuales!$D$24*(datos_base!$J$2+datos_base!$J$18+IF(parametros_manuales!$H$24="Todos",datos_base!$J$9+datos_base!$J$23,0))*parametros_manuales!$K$95+parametros_manuales!$E$24*(datos_base!$J$3+datos_base!$J$19+IF(parametros_manuales!$H$24="Todos",datos_base!$J$10+datos_base!$J$24,0))*parametros_manuales!$K$100+parametros_manuales!$F$24*(datos_base!$J$4+datos_base!$J$20+IF(parametros_manuales!$H$24="Todos",datos_base!$J$11+datos_base!$J$25,0))*parametros_manuales!$K$105+parametros_manuales!$G$24*(datos_base!$J$5+datos_base!$J$21+IF(parametros_manuales!$H$24="Todos",datos_base!$J$12+datos_base!$J$26,0))*parametros_manuales!$K$110)*parametros_manuales!$I$24*parametros_manuales!$J$24</f>
        <v>21807.181824595</v>
      </c>
      <c r="L223" s="9" t="n">
        <f aca="false">(parametros_manuales!$D$24*(datos_base!$J$2+datos_base!$J$18+IF(parametros_manuales!$H$24="Todos",datos_base!$J$9+datos_base!$J$23,0))*parametros_manuales!$L$95+parametros_manuales!$E$24*(datos_base!$J$3+datos_base!$J$19+IF(parametros_manuales!$H$24="Todos",datos_base!$J$10+datos_base!$J$24,0))*parametros_manuales!$L$100+parametros_manuales!$F$24*(datos_base!$J$4+datos_base!$J$20+IF(parametros_manuales!$H$24="Todos",datos_base!$J$11+datos_base!$J$25,0))*parametros_manuales!$L$105+parametros_manuales!$G$24*(datos_base!$J$5+datos_base!$J$21+IF(parametros_manuales!$H$24="Todos",datos_base!$J$12+datos_base!$J$26,0))*parametros_manuales!$L$110)*parametros_manuales!$I$24*parametros_manuales!$J$24</f>
        <v>22161.40532883</v>
      </c>
      <c r="M223" s="9" t="n">
        <f aca="false">(parametros_manuales!$D$24*(datos_base!$J$2+datos_base!$J$18+IF(parametros_manuales!$H$24="Todos",datos_base!$J$9+datos_base!$J$23,0))*parametros_manuales!$M$95+parametros_manuales!$E$24*(datos_base!$J$3+datos_base!$J$19+IF(parametros_manuales!$H$24="Todos",datos_base!$J$10+datos_base!$J$24,0))*parametros_manuales!$M$100+parametros_manuales!$F$24*(datos_base!$J$4+datos_base!$J$20+IF(parametros_manuales!$H$24="Todos",datos_base!$J$11+datos_base!$J$25,0))*parametros_manuales!$M$105+parametros_manuales!$G$24*(datos_base!$J$5+datos_base!$J$21+IF(parametros_manuales!$H$24="Todos",datos_base!$J$12+datos_base!$J$26,0))*parametros_manuales!$M$110)*parametros_manuales!$I$24*parametros_manuales!$J$24</f>
        <v>22161.40532883</v>
      </c>
      <c r="N223" s="9" t="n">
        <f aca="false">SUM(B223:M223)</f>
        <v>246237.836987</v>
      </c>
      <c r="O223" s="9" t="n">
        <f aca="false">MAX(B223:M223)</f>
        <v>22161.40532883</v>
      </c>
      <c r="P223" s="43" t="n">
        <f aca="false">O223/(parametros_manuales!$B$7)</f>
        <v>147.7427021922</v>
      </c>
      <c r="Q223" s="8" t="str">
        <f aca="false">IF(O223=0,"-",INDEX($B$217:$M$217,MATCH(O223,B223:M223,0)))</f>
        <v>Ene</v>
      </c>
    </row>
    <row r="224" customFormat="false" ht="14.25" hidden="false" customHeight="true" outlineLevel="0" collapsed="false">
      <c r="A224" s="8" t="str">
        <f aca="false">parametros_manuales!$B$25</f>
        <v>Soldadura del cuello a la cúpula</v>
      </c>
      <c r="B224" s="9" t="n">
        <f aca="false">(parametros_manuales!$D$25*(datos_base!$J$2+datos_base!$J$18+IF(parametros_manuales!$H$25="Todos",datos_base!$J$9+datos_base!$J$23,0))*parametros_manuales!$B$95+parametros_manuales!$E$25*(datos_base!$J$3+datos_base!$J$19+IF(parametros_manuales!$H$25="Todos",datos_base!$J$10+datos_base!$J$24,0))*parametros_manuales!$B$100+parametros_manuales!$F$25*(datos_base!$J$4+datos_base!$J$20+IF(parametros_manuales!$H$25="Todos",datos_base!$J$11+datos_base!$J$25,0))*parametros_manuales!$B$105+parametros_manuales!$G$25*(datos_base!$J$5+datos_base!$J$21+IF(parametros_manuales!$H$25="Todos",datos_base!$J$12+datos_base!$J$26,0))*parametros_manuales!$B$110)*parametros_manuales!$I$25*parametros_manuales!$J$25</f>
        <v>22161.40532883</v>
      </c>
      <c r="C224" s="9" t="n">
        <f aca="false">(parametros_manuales!$D$25*(datos_base!$J$2+datos_base!$J$18+IF(parametros_manuales!$H$25="Todos",datos_base!$J$9+datos_base!$J$23,0))*parametros_manuales!$C$95+parametros_manuales!$E$25*(datos_base!$J$3+datos_base!$J$19+IF(parametros_manuales!$H$25="Todos",datos_base!$J$10+datos_base!$J$24,0))*parametros_manuales!$C$100+parametros_manuales!$F$25*(datos_base!$J$4+datos_base!$J$20+IF(parametros_manuales!$H$25="Todos",datos_base!$J$11+datos_base!$J$25,0))*parametros_manuales!$C$105+parametros_manuales!$G$25*(datos_base!$J$5+datos_base!$J$21+IF(parametros_manuales!$H$25="Todos",datos_base!$J$12+datos_base!$J$26,0))*parametros_manuales!$C$110)*parametros_manuales!$I$25*parametros_manuales!$J$25</f>
        <v>21452.95832036</v>
      </c>
      <c r="D224" s="9" t="n">
        <f aca="false">(parametros_manuales!$D$25*(datos_base!$J$2+datos_base!$J$18+IF(parametros_manuales!$H$25="Todos",datos_base!$J$9+datos_base!$J$23,0))*parametros_manuales!$D$95+parametros_manuales!$E$25*(datos_base!$J$3+datos_base!$J$19+IF(parametros_manuales!$H$25="Todos",datos_base!$J$10+datos_base!$J$24,0))*parametros_manuales!$D$100+parametros_manuales!$F$25*(datos_base!$J$4+datos_base!$J$20+IF(parametros_manuales!$H$25="Todos",datos_base!$J$11+datos_base!$J$25,0))*parametros_manuales!$D$105+parametros_manuales!$G$25*(datos_base!$J$5+datos_base!$J$21+IF(parametros_manuales!$H$25="Todos",datos_base!$J$12+datos_base!$J$26,0))*parametros_manuales!$D$110)*parametros_manuales!$I$25*parametros_manuales!$J$25</f>
        <v>20053.250463195</v>
      </c>
      <c r="E224" s="9" t="n">
        <f aca="false">(parametros_manuales!$D$25*(datos_base!$J$2+datos_base!$J$18+IF(parametros_manuales!$H$25="Todos",datos_base!$J$9+datos_base!$J$23,0))*parametros_manuales!$E$95+parametros_manuales!$E$25*(datos_base!$J$3+datos_base!$J$19+IF(parametros_manuales!$H$25="Todos",datos_base!$J$10+datos_base!$J$24,0))*parametros_manuales!$E$100+parametros_manuales!$F$25*(datos_base!$J$4+datos_base!$J$20+IF(parametros_manuales!$H$25="Todos",datos_base!$J$11+datos_base!$J$25,0))*parametros_manuales!$E$105+parametros_manuales!$G$25*(datos_base!$J$5+datos_base!$J$21+IF(parametros_manuales!$H$25="Todos",datos_base!$J$12+datos_base!$J$26,0))*parametros_manuales!$E$110)*parametros_manuales!$I$25*parametros_manuales!$J$25</f>
        <v>19176.284782495</v>
      </c>
      <c r="F224" s="9" t="n">
        <f aca="false">(parametros_manuales!$D$25*(datos_base!$J$2+datos_base!$J$18+IF(parametros_manuales!$H$25="Todos",datos_base!$J$9+datos_base!$J$23,0))*parametros_manuales!$F$95+parametros_manuales!$E$25*(datos_base!$J$3+datos_base!$J$19+IF(parametros_manuales!$H$25="Todos",datos_base!$J$10+datos_base!$J$24,0))*parametros_manuales!$F$100+parametros_manuales!$F$25*(datos_base!$J$4+datos_base!$J$20+IF(parametros_manuales!$H$25="Todos",datos_base!$J$11+datos_base!$J$25,0))*parametros_manuales!$F$105+parametros_manuales!$G$25*(datos_base!$J$5+datos_base!$J$21+IF(parametros_manuales!$H$25="Todos",datos_base!$J$12+datos_base!$J$26,0))*parametros_manuales!$F$110)*parametros_manuales!$I$25*parametros_manuales!$J$25</f>
        <v>17945.09559756</v>
      </c>
      <c r="G224" s="9" t="n">
        <f aca="false">(parametros_manuales!$D$25*(datos_base!$J$2+datos_base!$J$18+IF(parametros_manuales!$H$25="Todos",datos_base!$J$9+datos_base!$J$23,0))*parametros_manuales!$G$95+parametros_manuales!$E$25*(datos_base!$J$3+datos_base!$J$19+IF(parametros_manuales!$H$25="Todos",datos_base!$J$10+datos_base!$J$24,0))*parametros_manuales!$G$100+parametros_manuales!$F$25*(datos_base!$J$4+datos_base!$J$20+IF(parametros_manuales!$H$25="Todos",datos_base!$J$11+datos_base!$J$25,0))*parametros_manuales!$G$105+parametros_manuales!$G$25*(datos_base!$J$5+datos_base!$J$21+IF(parametros_manuales!$H$25="Todos",datos_base!$J$12+datos_base!$J$26,0))*parametros_manuales!$G$110)*parametros_manuales!$I$25*parametros_manuales!$J$25</f>
        <v>17590.872093325</v>
      </c>
      <c r="H224" s="9" t="n">
        <f aca="false">(parametros_manuales!$D$25*(datos_base!$J$2+datos_base!$J$18+IF(parametros_manuales!$H$25="Todos",datos_base!$J$9+datos_base!$J$23,0))*parametros_manuales!$H$95+parametros_manuales!$E$25*(datos_base!$J$3+datos_base!$J$19+IF(parametros_manuales!$H$25="Todos",datos_base!$J$10+datos_base!$J$24,0))*parametros_manuales!$H$100+parametros_manuales!$F$25*(datos_base!$J$4+datos_base!$J$20+IF(parametros_manuales!$H$25="Todos",datos_base!$J$11+datos_base!$J$25,0))*parametros_manuales!$H$105+parametros_manuales!$G$25*(datos_base!$J$5+datos_base!$J$21+IF(parametros_manuales!$H$25="Todos",datos_base!$J$12+datos_base!$J$26,0))*parametros_manuales!$H$110)*parametros_manuales!$I$25*parametros_manuales!$J$25</f>
        <v>18822.06127826</v>
      </c>
      <c r="I224" s="9" t="n">
        <f aca="false">(parametros_manuales!$D$25*(datos_base!$J$2+datos_base!$J$18+IF(parametros_manuales!$H$25="Todos",datos_base!$J$9+datos_base!$J$23,0))*parametros_manuales!$I$95+parametros_manuales!$E$25*(datos_base!$J$3+datos_base!$J$19+IF(parametros_manuales!$H$25="Todos",datos_base!$J$10+datos_base!$J$24,0))*parametros_manuales!$I$100+parametros_manuales!$F$25*(datos_base!$J$4+datos_base!$J$20+IF(parametros_manuales!$H$25="Todos",datos_base!$J$11+datos_base!$J$25,0))*parametros_manuales!$I$105+parametros_manuales!$G$25*(datos_base!$J$5+datos_base!$J$21+IF(parametros_manuales!$H$25="Todos",datos_base!$J$12+datos_base!$J$26,0))*parametros_manuales!$I$110)*parametros_manuales!$I$25*parametros_manuales!$J$25</f>
        <v>21452.95832036</v>
      </c>
      <c r="J224" s="9" t="n">
        <f aca="false">(parametros_manuales!$D$25*(datos_base!$J$2+datos_base!$J$18+IF(parametros_manuales!$H$25="Todos",datos_base!$J$9+datos_base!$J$23,0))*parametros_manuales!$J$95+parametros_manuales!$E$25*(datos_base!$J$3+datos_base!$J$19+IF(parametros_manuales!$H$25="Todos",datos_base!$J$10+datos_base!$J$24,0))*parametros_manuales!$J$100+parametros_manuales!$F$25*(datos_base!$J$4+datos_base!$J$20+IF(parametros_manuales!$H$25="Todos",datos_base!$J$11+datos_base!$J$25,0))*parametros_manuales!$J$105+parametros_manuales!$G$25*(datos_base!$J$5+datos_base!$J$21+IF(parametros_manuales!$H$25="Todos",datos_base!$J$12+datos_base!$J$26,0))*parametros_manuales!$J$110)*parametros_manuales!$I$25*parametros_manuales!$J$25</f>
        <v>21452.95832036</v>
      </c>
      <c r="K224" s="9" t="n">
        <f aca="false">(parametros_manuales!$D$25*(datos_base!$J$2+datos_base!$J$18+IF(parametros_manuales!$H$25="Todos",datos_base!$J$9+datos_base!$J$23,0))*parametros_manuales!$K$95+parametros_manuales!$E$25*(datos_base!$J$3+datos_base!$J$19+IF(parametros_manuales!$H$25="Todos",datos_base!$J$10+datos_base!$J$24,0))*parametros_manuales!$K$100+parametros_manuales!$F$25*(datos_base!$J$4+datos_base!$J$20+IF(parametros_manuales!$H$25="Todos",datos_base!$J$11+datos_base!$J$25,0))*parametros_manuales!$K$105+parametros_manuales!$G$25*(datos_base!$J$5+datos_base!$J$21+IF(parametros_manuales!$H$25="Todos",datos_base!$J$12+datos_base!$J$26,0))*parametros_manuales!$K$110)*parametros_manuales!$I$25*parametros_manuales!$J$25</f>
        <v>21807.181824595</v>
      </c>
      <c r="L224" s="9" t="n">
        <f aca="false">(parametros_manuales!$D$25*(datos_base!$J$2+datos_base!$J$18+IF(parametros_manuales!$H$25="Todos",datos_base!$J$9+datos_base!$J$23,0))*parametros_manuales!$L$95+parametros_manuales!$E$25*(datos_base!$J$3+datos_base!$J$19+IF(parametros_manuales!$H$25="Todos",datos_base!$J$10+datos_base!$J$24,0))*parametros_manuales!$L$100+parametros_manuales!$F$25*(datos_base!$J$4+datos_base!$J$20+IF(parametros_manuales!$H$25="Todos",datos_base!$J$11+datos_base!$J$25,0))*parametros_manuales!$L$105+parametros_manuales!$G$25*(datos_base!$J$5+datos_base!$J$21+IF(parametros_manuales!$H$25="Todos",datos_base!$J$12+datos_base!$J$26,0))*parametros_manuales!$L$110)*parametros_manuales!$I$25*parametros_manuales!$J$25</f>
        <v>22161.40532883</v>
      </c>
      <c r="M224" s="9" t="n">
        <f aca="false">(parametros_manuales!$D$25*(datos_base!$J$2+datos_base!$J$18+IF(parametros_manuales!$H$25="Todos",datos_base!$J$9+datos_base!$J$23,0))*parametros_manuales!$M$95+parametros_manuales!$E$25*(datos_base!$J$3+datos_base!$J$19+IF(parametros_manuales!$H$25="Todos",datos_base!$J$10+datos_base!$J$24,0))*parametros_manuales!$M$100+parametros_manuales!$F$25*(datos_base!$J$4+datos_base!$J$20+IF(parametros_manuales!$H$25="Todos",datos_base!$J$11+datos_base!$J$25,0))*parametros_manuales!$M$105+parametros_manuales!$G$25*(datos_base!$J$5+datos_base!$J$21+IF(parametros_manuales!$H$25="Todos",datos_base!$J$12+datos_base!$J$26,0))*parametros_manuales!$M$110)*parametros_manuales!$I$25*parametros_manuales!$J$25</f>
        <v>22161.40532883</v>
      </c>
      <c r="N224" s="9" t="n">
        <f aca="false">SUM(B224:M224)</f>
        <v>246237.836987</v>
      </c>
      <c r="O224" s="9" t="n">
        <f aca="false">MAX(B224:M224)</f>
        <v>22161.40532883</v>
      </c>
      <c r="P224" s="43" t="n">
        <f aca="false">O224/(parametros_manuales!$B$7)</f>
        <v>147.7427021922</v>
      </c>
      <c r="Q224" s="8" t="str">
        <f aca="false">IF(O224=0,"-",INDEX($B$217:$M$217,MATCH(O224,B224:M224,0)))</f>
        <v>Ene</v>
      </c>
    </row>
    <row r="225" customFormat="false" ht="14.25" hidden="false" customHeight="true" outlineLevel="0" collapsed="false">
      <c r="A225" s="8" t="str">
        <f aca="false">parametros_manuales!$B$26</f>
        <v>Cilindrado</v>
      </c>
      <c r="B225" s="9" t="n">
        <f aca="false">(parametros_manuales!$D$26*(datos_base!$J$2+datos_base!$J$18+IF(parametros_manuales!$H$26="Todos",datos_base!$J$9+datos_base!$J$23,0))*parametros_manuales!$B$95+parametros_manuales!$E$26*(datos_base!$J$3+datos_base!$J$19+IF(parametros_manuales!$H$26="Todos",datos_base!$J$10+datos_base!$J$24,0))*parametros_manuales!$B$100+parametros_manuales!$F$26*(datos_base!$J$4+datos_base!$J$20+IF(parametros_manuales!$H$26="Todos",datos_base!$J$11+datos_base!$J$25,0))*parametros_manuales!$B$105+parametros_manuales!$G$26*(datos_base!$J$5+datos_base!$J$21+IF(parametros_manuales!$H$26="Todos",datos_base!$J$12+datos_base!$J$26,0))*parametros_manuales!$B$110)*parametros_manuales!$I$26*parametros_manuales!$J$26</f>
        <v>6376.02307623</v>
      </c>
      <c r="C225" s="9" t="n">
        <f aca="false">(parametros_manuales!$D$26*(datos_base!$J$2+datos_base!$J$18+IF(parametros_manuales!$H$26="Todos",datos_base!$J$9+datos_base!$J$23,0))*parametros_manuales!$C$95+parametros_manuales!$E$26*(datos_base!$J$3+datos_base!$J$19+IF(parametros_manuales!$H$26="Todos",datos_base!$J$10+datos_base!$J$24,0))*parametros_manuales!$C$100+parametros_manuales!$F$26*(datos_base!$J$4+datos_base!$J$20+IF(parametros_manuales!$H$26="Todos",datos_base!$J$11+datos_base!$J$25,0))*parametros_manuales!$C$105+parametros_manuales!$G$26*(datos_base!$J$5+datos_base!$J$21+IF(parametros_manuales!$H$26="Todos",datos_base!$J$12+datos_base!$J$26,0))*parametros_manuales!$C$110)*parametros_manuales!$I$26*parametros_manuales!$J$26</f>
        <v>5667.57606776</v>
      </c>
      <c r="D225" s="9" t="n">
        <f aca="false">(parametros_manuales!$D$26*(datos_base!$J$2+datos_base!$J$18+IF(parametros_manuales!$H$26="Todos",datos_base!$J$9+datos_base!$J$23,0))*parametros_manuales!$D$95+parametros_manuales!$E$26*(datos_base!$J$3+datos_base!$J$19+IF(parametros_manuales!$H$26="Todos",datos_base!$J$10+datos_base!$J$24,0))*parametros_manuales!$D$100+parametros_manuales!$F$26*(datos_base!$J$4+datos_base!$J$20+IF(parametros_manuales!$H$26="Todos",datos_base!$J$11+datos_base!$J$25,0))*parametros_manuales!$D$105+parametros_manuales!$G$26*(datos_base!$J$5+datos_base!$J$21+IF(parametros_manuales!$H$26="Todos",datos_base!$J$12+datos_base!$J$26,0))*parametros_manuales!$D$110)*parametros_manuales!$I$26*parametros_manuales!$J$26</f>
        <v>6021.799571995</v>
      </c>
      <c r="E225" s="9" t="n">
        <f aca="false">(parametros_manuales!$D$26*(datos_base!$J$2+datos_base!$J$18+IF(parametros_manuales!$H$26="Todos",datos_base!$J$9+datos_base!$J$23,0))*parametros_manuales!$E$95+parametros_manuales!$E$26*(datos_base!$J$3+datos_base!$J$19+IF(parametros_manuales!$H$26="Todos",datos_base!$J$10+datos_base!$J$24,0))*parametros_manuales!$E$100+parametros_manuales!$F$26*(datos_base!$J$4+datos_base!$J$20+IF(parametros_manuales!$H$26="Todos",datos_base!$J$11+datos_base!$J$25,0))*parametros_manuales!$E$105+parametros_manuales!$G$26*(datos_base!$J$5+datos_base!$J$21+IF(parametros_manuales!$H$26="Todos",datos_base!$J$12+datos_base!$J$26,0))*parametros_manuales!$E$110)*parametros_manuales!$I$26*parametros_manuales!$J$26</f>
        <v>6021.799571995</v>
      </c>
      <c r="F225" s="9" t="n">
        <f aca="false">(parametros_manuales!$D$26*(datos_base!$J$2+datos_base!$J$18+IF(parametros_manuales!$H$26="Todos",datos_base!$J$9+datos_base!$J$23,0))*parametros_manuales!$F$95+parametros_manuales!$E$26*(datos_base!$J$3+datos_base!$J$19+IF(parametros_manuales!$H$26="Todos",datos_base!$J$10+datos_base!$J$24,0))*parametros_manuales!$F$100+parametros_manuales!$F$26*(datos_base!$J$4+datos_base!$J$20+IF(parametros_manuales!$H$26="Todos",datos_base!$J$11+datos_base!$J$25,0))*parametros_manuales!$F$105+parametros_manuales!$G$26*(datos_base!$J$5+datos_base!$J$21+IF(parametros_manuales!$H$26="Todos",datos_base!$J$12+datos_base!$J$26,0))*parametros_manuales!$F$110)*parametros_manuales!$I$26*parametros_manuales!$J$26</f>
        <v>5667.57606776</v>
      </c>
      <c r="G225" s="9" t="n">
        <f aca="false">(parametros_manuales!$D$26*(datos_base!$J$2+datos_base!$J$18+IF(parametros_manuales!$H$26="Todos",datos_base!$J$9+datos_base!$J$23,0))*parametros_manuales!$G$95+parametros_manuales!$E$26*(datos_base!$J$3+datos_base!$J$19+IF(parametros_manuales!$H$26="Todos",datos_base!$J$10+datos_base!$J$24,0))*parametros_manuales!$G$100+parametros_manuales!$F$26*(datos_base!$J$4+datos_base!$J$20+IF(parametros_manuales!$H$26="Todos",datos_base!$J$11+datos_base!$J$25,0))*parametros_manuales!$G$105+parametros_manuales!$G$26*(datos_base!$J$5+datos_base!$J$21+IF(parametros_manuales!$H$26="Todos",datos_base!$J$12+datos_base!$J$26,0))*parametros_manuales!$G$110)*parametros_manuales!$I$26*parametros_manuales!$J$26</f>
        <v>5313.352563525</v>
      </c>
      <c r="H225" s="9" t="n">
        <f aca="false">(parametros_manuales!$D$26*(datos_base!$J$2+datos_base!$J$18+IF(parametros_manuales!$H$26="Todos",datos_base!$J$9+datos_base!$J$23,0))*parametros_manuales!$H$95+parametros_manuales!$E$26*(datos_base!$J$3+datos_base!$J$19+IF(parametros_manuales!$H$26="Todos",datos_base!$J$10+datos_base!$J$24,0))*parametros_manuales!$H$100+parametros_manuales!$F$26*(datos_base!$J$4+datos_base!$J$20+IF(parametros_manuales!$H$26="Todos",datos_base!$J$11+datos_base!$J$25,0))*parametros_manuales!$H$105+parametros_manuales!$G$26*(datos_base!$J$5+datos_base!$J$21+IF(parametros_manuales!$H$26="Todos",datos_base!$J$12+datos_base!$J$26,0))*parametros_manuales!$H$110)*parametros_manuales!$I$26*parametros_manuales!$J$26</f>
        <v>5667.57606776</v>
      </c>
      <c r="I225" s="9" t="n">
        <f aca="false">(parametros_manuales!$D$26*(datos_base!$J$2+datos_base!$J$18+IF(parametros_manuales!$H$26="Todos",datos_base!$J$9+datos_base!$J$23,0))*parametros_manuales!$I$95+parametros_manuales!$E$26*(datos_base!$J$3+datos_base!$J$19+IF(parametros_manuales!$H$26="Todos",datos_base!$J$10+datos_base!$J$24,0))*parametros_manuales!$I$100+parametros_manuales!$F$26*(datos_base!$J$4+datos_base!$J$20+IF(parametros_manuales!$H$26="Todos",datos_base!$J$11+datos_base!$J$25,0))*parametros_manuales!$I$105+parametros_manuales!$G$26*(datos_base!$J$5+datos_base!$J$21+IF(parametros_manuales!$H$26="Todos",datos_base!$J$12+datos_base!$J$26,0))*parametros_manuales!$I$110)*parametros_manuales!$I$26*parametros_manuales!$J$26</f>
        <v>5667.57606776</v>
      </c>
      <c r="J225" s="9" t="n">
        <f aca="false">(parametros_manuales!$D$26*(datos_base!$J$2+datos_base!$J$18+IF(parametros_manuales!$H$26="Todos",datos_base!$J$9+datos_base!$J$23,0))*parametros_manuales!$J$95+parametros_manuales!$E$26*(datos_base!$J$3+datos_base!$J$19+IF(parametros_manuales!$H$26="Todos",datos_base!$J$10+datos_base!$J$24,0))*parametros_manuales!$J$100+parametros_manuales!$F$26*(datos_base!$J$4+datos_base!$J$20+IF(parametros_manuales!$H$26="Todos",datos_base!$J$11+datos_base!$J$25,0))*parametros_manuales!$J$105+parametros_manuales!$G$26*(datos_base!$J$5+datos_base!$J$21+IF(parametros_manuales!$H$26="Todos",datos_base!$J$12+datos_base!$J$26,0))*parametros_manuales!$J$110)*parametros_manuales!$I$26*parametros_manuales!$J$26</f>
        <v>5667.57606776</v>
      </c>
      <c r="K225" s="9" t="n">
        <f aca="false">(parametros_manuales!$D$26*(datos_base!$J$2+datos_base!$J$18+IF(parametros_manuales!$H$26="Todos",datos_base!$J$9+datos_base!$J$23,0))*parametros_manuales!$K$95+parametros_manuales!$E$26*(datos_base!$J$3+datos_base!$J$19+IF(parametros_manuales!$H$26="Todos",datos_base!$J$10+datos_base!$J$24,0))*parametros_manuales!$K$100+parametros_manuales!$F$26*(datos_base!$J$4+datos_base!$J$20+IF(parametros_manuales!$H$26="Todos",datos_base!$J$11+datos_base!$J$25,0))*parametros_manuales!$K$105+parametros_manuales!$G$26*(datos_base!$J$5+datos_base!$J$21+IF(parametros_manuales!$H$26="Todos",datos_base!$J$12+datos_base!$J$26,0))*parametros_manuales!$K$110)*parametros_manuales!$I$26*parametros_manuales!$J$26</f>
        <v>6021.799571995</v>
      </c>
      <c r="L225" s="9" t="n">
        <f aca="false">(parametros_manuales!$D$26*(datos_base!$J$2+datos_base!$J$18+IF(parametros_manuales!$H$26="Todos",datos_base!$J$9+datos_base!$J$23,0))*parametros_manuales!$L$95+parametros_manuales!$E$26*(datos_base!$J$3+datos_base!$J$19+IF(parametros_manuales!$H$26="Todos",datos_base!$J$10+datos_base!$J$24,0))*parametros_manuales!$L$100+parametros_manuales!$F$26*(datos_base!$J$4+datos_base!$J$20+IF(parametros_manuales!$H$26="Todos",datos_base!$J$11+datos_base!$J$25,0))*parametros_manuales!$L$105+parametros_manuales!$G$26*(datos_base!$J$5+datos_base!$J$21+IF(parametros_manuales!$H$26="Todos",datos_base!$J$12+datos_base!$J$26,0))*parametros_manuales!$L$110)*parametros_manuales!$I$26*parametros_manuales!$J$26</f>
        <v>6376.02307623</v>
      </c>
      <c r="M225" s="9" t="n">
        <f aca="false">(parametros_manuales!$D$26*(datos_base!$J$2+datos_base!$J$18+IF(parametros_manuales!$H$26="Todos",datos_base!$J$9+datos_base!$J$23,0))*parametros_manuales!$M$95+parametros_manuales!$E$26*(datos_base!$J$3+datos_base!$J$19+IF(parametros_manuales!$H$26="Todos",datos_base!$J$10+datos_base!$J$24,0))*parametros_manuales!$M$100+parametros_manuales!$F$26*(datos_base!$J$4+datos_base!$J$20+IF(parametros_manuales!$H$26="Todos",datos_base!$J$11+datos_base!$J$25,0))*parametros_manuales!$M$105+parametros_manuales!$G$26*(datos_base!$J$5+datos_base!$J$21+IF(parametros_manuales!$H$26="Todos",datos_base!$J$12+datos_base!$J$26,0))*parametros_manuales!$M$110)*parametros_manuales!$I$26*parametros_manuales!$J$26</f>
        <v>6376.02307623</v>
      </c>
      <c r="N225" s="9" t="n">
        <f aca="false">SUM(B225:M225)</f>
        <v>70844.700847</v>
      </c>
      <c r="O225" s="9" t="n">
        <f aca="false">MAX(B225:M225)</f>
        <v>6376.02307623</v>
      </c>
      <c r="P225" s="43" t="n">
        <f aca="false">O225/(parametros_manuales!$B$7)</f>
        <v>42.5068205082</v>
      </c>
      <c r="Q225" s="8" t="str">
        <f aca="false">IF(O225=0,"-",INDEX($B$217:$M$217,MATCH(O225,B225:M225,0)))</f>
        <v>Ene</v>
      </c>
    </row>
    <row r="226" customFormat="false" ht="14.25" hidden="false" customHeight="true" outlineLevel="0" collapsed="false">
      <c r="A226" s="8" t="str">
        <f aca="false">parametros_manuales!$B$27</f>
        <v>Soldadura longitudinal</v>
      </c>
      <c r="B226" s="9" t="n">
        <f aca="false">(parametros_manuales!$D$27*(datos_base!$J$2+datos_base!$J$18+IF(parametros_manuales!$H$27="Todos",datos_base!$J$9+datos_base!$J$23,0))*parametros_manuales!$B$95+parametros_manuales!$E$27*(datos_base!$J$3+datos_base!$J$19+IF(parametros_manuales!$H$27="Todos",datos_base!$J$10+datos_base!$J$24,0))*parametros_manuales!$B$100+parametros_manuales!$F$27*(datos_base!$J$4+datos_base!$J$20+IF(parametros_manuales!$H$27="Todos",datos_base!$J$11+datos_base!$J$25,0))*parametros_manuales!$B$105+parametros_manuales!$G$27*(datos_base!$J$5+datos_base!$J$21+IF(parametros_manuales!$H$27="Todos",datos_base!$J$12+datos_base!$J$26,0))*parametros_manuales!$B$110)*parametros_manuales!$I$27*parametros_manuales!$J$27</f>
        <v>6376.02307623</v>
      </c>
      <c r="C226" s="9" t="n">
        <f aca="false">(parametros_manuales!$D$27*(datos_base!$J$2+datos_base!$J$18+IF(parametros_manuales!$H$27="Todos",datos_base!$J$9+datos_base!$J$23,0))*parametros_manuales!$C$95+parametros_manuales!$E$27*(datos_base!$J$3+datos_base!$J$19+IF(parametros_manuales!$H$27="Todos",datos_base!$J$10+datos_base!$J$24,0))*parametros_manuales!$C$100+parametros_manuales!$F$27*(datos_base!$J$4+datos_base!$J$20+IF(parametros_manuales!$H$27="Todos",datos_base!$J$11+datos_base!$J$25,0))*parametros_manuales!$C$105+parametros_manuales!$G$27*(datos_base!$J$5+datos_base!$J$21+IF(parametros_manuales!$H$27="Todos",datos_base!$J$12+datos_base!$J$26,0))*parametros_manuales!$C$110)*parametros_manuales!$I$27*parametros_manuales!$J$27</f>
        <v>5667.57606776</v>
      </c>
      <c r="D226" s="9" t="n">
        <f aca="false">(parametros_manuales!$D$27*(datos_base!$J$2+datos_base!$J$18+IF(parametros_manuales!$H$27="Todos",datos_base!$J$9+datos_base!$J$23,0))*parametros_manuales!$D$95+parametros_manuales!$E$27*(datos_base!$J$3+datos_base!$J$19+IF(parametros_manuales!$H$27="Todos",datos_base!$J$10+datos_base!$J$24,0))*parametros_manuales!$D$100+parametros_manuales!$F$27*(datos_base!$J$4+datos_base!$J$20+IF(parametros_manuales!$H$27="Todos",datos_base!$J$11+datos_base!$J$25,0))*parametros_manuales!$D$105+parametros_manuales!$G$27*(datos_base!$J$5+datos_base!$J$21+IF(parametros_manuales!$H$27="Todos",datos_base!$J$12+datos_base!$J$26,0))*parametros_manuales!$D$110)*parametros_manuales!$I$27*parametros_manuales!$J$27</f>
        <v>6021.799571995</v>
      </c>
      <c r="E226" s="9" t="n">
        <f aca="false">(parametros_manuales!$D$27*(datos_base!$J$2+datos_base!$J$18+IF(parametros_manuales!$H$27="Todos",datos_base!$J$9+datos_base!$J$23,0))*parametros_manuales!$E$95+parametros_manuales!$E$27*(datos_base!$J$3+datos_base!$J$19+IF(parametros_manuales!$H$27="Todos",datos_base!$J$10+datos_base!$J$24,0))*parametros_manuales!$E$100+parametros_manuales!$F$27*(datos_base!$J$4+datos_base!$J$20+IF(parametros_manuales!$H$27="Todos",datos_base!$J$11+datos_base!$J$25,0))*parametros_manuales!$E$105+parametros_manuales!$G$27*(datos_base!$J$5+datos_base!$J$21+IF(parametros_manuales!$H$27="Todos",datos_base!$J$12+datos_base!$J$26,0))*parametros_manuales!$E$110)*parametros_manuales!$I$27*parametros_manuales!$J$27</f>
        <v>6021.799571995</v>
      </c>
      <c r="F226" s="9" t="n">
        <f aca="false">(parametros_manuales!$D$27*(datos_base!$J$2+datos_base!$J$18+IF(parametros_manuales!$H$27="Todos",datos_base!$J$9+datos_base!$J$23,0))*parametros_manuales!$F$95+parametros_manuales!$E$27*(datos_base!$J$3+datos_base!$J$19+IF(parametros_manuales!$H$27="Todos",datos_base!$J$10+datos_base!$J$24,0))*parametros_manuales!$F$100+parametros_manuales!$F$27*(datos_base!$J$4+datos_base!$J$20+IF(parametros_manuales!$H$27="Todos",datos_base!$J$11+datos_base!$J$25,0))*parametros_manuales!$F$105+parametros_manuales!$G$27*(datos_base!$J$5+datos_base!$J$21+IF(parametros_manuales!$H$27="Todos",datos_base!$J$12+datos_base!$J$26,0))*parametros_manuales!$F$110)*parametros_manuales!$I$27*parametros_manuales!$J$27</f>
        <v>5667.57606776</v>
      </c>
      <c r="G226" s="9" t="n">
        <f aca="false">(parametros_manuales!$D$27*(datos_base!$J$2+datos_base!$J$18+IF(parametros_manuales!$H$27="Todos",datos_base!$J$9+datos_base!$J$23,0))*parametros_manuales!$G$95+parametros_manuales!$E$27*(datos_base!$J$3+datos_base!$J$19+IF(parametros_manuales!$H$27="Todos",datos_base!$J$10+datos_base!$J$24,0))*parametros_manuales!$G$100+parametros_manuales!$F$27*(datos_base!$J$4+datos_base!$J$20+IF(parametros_manuales!$H$27="Todos",datos_base!$J$11+datos_base!$J$25,0))*parametros_manuales!$G$105+parametros_manuales!$G$27*(datos_base!$J$5+datos_base!$J$21+IF(parametros_manuales!$H$27="Todos",datos_base!$J$12+datos_base!$J$26,0))*parametros_manuales!$G$110)*parametros_manuales!$I$27*parametros_manuales!$J$27</f>
        <v>5313.352563525</v>
      </c>
      <c r="H226" s="9" t="n">
        <f aca="false">(parametros_manuales!$D$27*(datos_base!$J$2+datos_base!$J$18+IF(parametros_manuales!$H$27="Todos",datos_base!$J$9+datos_base!$J$23,0))*parametros_manuales!$H$95+parametros_manuales!$E$27*(datos_base!$J$3+datos_base!$J$19+IF(parametros_manuales!$H$27="Todos",datos_base!$J$10+datos_base!$J$24,0))*parametros_manuales!$H$100+parametros_manuales!$F$27*(datos_base!$J$4+datos_base!$J$20+IF(parametros_manuales!$H$27="Todos",datos_base!$J$11+datos_base!$J$25,0))*parametros_manuales!$H$105+parametros_manuales!$G$27*(datos_base!$J$5+datos_base!$J$21+IF(parametros_manuales!$H$27="Todos",datos_base!$J$12+datos_base!$J$26,0))*parametros_manuales!$H$110)*parametros_manuales!$I$27*parametros_manuales!$J$27</f>
        <v>5667.57606776</v>
      </c>
      <c r="I226" s="9" t="n">
        <f aca="false">(parametros_manuales!$D$27*(datos_base!$J$2+datos_base!$J$18+IF(parametros_manuales!$H$27="Todos",datos_base!$J$9+datos_base!$J$23,0))*parametros_manuales!$I$95+parametros_manuales!$E$27*(datos_base!$J$3+datos_base!$J$19+IF(parametros_manuales!$H$27="Todos",datos_base!$J$10+datos_base!$J$24,0))*parametros_manuales!$I$100+parametros_manuales!$F$27*(datos_base!$J$4+datos_base!$J$20+IF(parametros_manuales!$H$27="Todos",datos_base!$J$11+datos_base!$J$25,0))*parametros_manuales!$I$105+parametros_manuales!$G$27*(datos_base!$J$5+datos_base!$J$21+IF(parametros_manuales!$H$27="Todos",datos_base!$J$12+datos_base!$J$26,0))*parametros_manuales!$I$110)*parametros_manuales!$I$27*parametros_manuales!$J$27</f>
        <v>5667.57606776</v>
      </c>
      <c r="J226" s="9" t="n">
        <f aca="false">(parametros_manuales!$D$27*(datos_base!$J$2+datos_base!$J$18+IF(parametros_manuales!$H$27="Todos",datos_base!$J$9+datos_base!$J$23,0))*parametros_manuales!$J$95+parametros_manuales!$E$27*(datos_base!$J$3+datos_base!$J$19+IF(parametros_manuales!$H$27="Todos",datos_base!$J$10+datos_base!$J$24,0))*parametros_manuales!$J$100+parametros_manuales!$F$27*(datos_base!$J$4+datos_base!$J$20+IF(parametros_manuales!$H$27="Todos",datos_base!$J$11+datos_base!$J$25,0))*parametros_manuales!$J$105+parametros_manuales!$G$27*(datos_base!$J$5+datos_base!$J$21+IF(parametros_manuales!$H$27="Todos",datos_base!$J$12+datos_base!$J$26,0))*parametros_manuales!$J$110)*parametros_manuales!$I$27*parametros_manuales!$J$27</f>
        <v>5667.57606776</v>
      </c>
      <c r="K226" s="9" t="n">
        <f aca="false">(parametros_manuales!$D$27*(datos_base!$J$2+datos_base!$J$18+IF(parametros_manuales!$H$27="Todos",datos_base!$J$9+datos_base!$J$23,0))*parametros_manuales!$K$95+parametros_manuales!$E$27*(datos_base!$J$3+datos_base!$J$19+IF(parametros_manuales!$H$27="Todos",datos_base!$J$10+datos_base!$J$24,0))*parametros_manuales!$K$100+parametros_manuales!$F$27*(datos_base!$J$4+datos_base!$J$20+IF(parametros_manuales!$H$27="Todos",datos_base!$J$11+datos_base!$J$25,0))*parametros_manuales!$K$105+parametros_manuales!$G$27*(datos_base!$J$5+datos_base!$J$21+IF(parametros_manuales!$H$27="Todos",datos_base!$J$12+datos_base!$J$26,0))*parametros_manuales!$K$110)*parametros_manuales!$I$27*parametros_manuales!$J$27</f>
        <v>6021.799571995</v>
      </c>
      <c r="L226" s="9" t="n">
        <f aca="false">(parametros_manuales!$D$27*(datos_base!$J$2+datos_base!$J$18+IF(parametros_manuales!$H$27="Todos",datos_base!$J$9+datos_base!$J$23,0))*parametros_manuales!$L$95+parametros_manuales!$E$27*(datos_base!$J$3+datos_base!$J$19+IF(parametros_manuales!$H$27="Todos",datos_base!$J$10+datos_base!$J$24,0))*parametros_manuales!$L$100+parametros_manuales!$F$27*(datos_base!$J$4+datos_base!$J$20+IF(parametros_manuales!$H$27="Todos",datos_base!$J$11+datos_base!$J$25,0))*parametros_manuales!$L$105+parametros_manuales!$G$27*(datos_base!$J$5+datos_base!$J$21+IF(parametros_manuales!$H$27="Todos",datos_base!$J$12+datos_base!$J$26,0))*parametros_manuales!$L$110)*parametros_manuales!$I$27*parametros_manuales!$J$27</f>
        <v>6376.02307623</v>
      </c>
      <c r="M226" s="9" t="n">
        <f aca="false">(parametros_manuales!$D$27*(datos_base!$J$2+datos_base!$J$18+IF(parametros_manuales!$H$27="Todos",datos_base!$J$9+datos_base!$J$23,0))*parametros_manuales!$M$95+parametros_manuales!$E$27*(datos_base!$J$3+datos_base!$J$19+IF(parametros_manuales!$H$27="Todos",datos_base!$J$10+datos_base!$J$24,0))*parametros_manuales!$M$100+parametros_manuales!$F$27*(datos_base!$J$4+datos_base!$J$20+IF(parametros_manuales!$H$27="Todos",datos_base!$J$11+datos_base!$J$25,0))*parametros_manuales!$M$105+parametros_manuales!$G$27*(datos_base!$J$5+datos_base!$J$21+IF(parametros_manuales!$H$27="Todos",datos_base!$J$12+datos_base!$J$26,0))*parametros_manuales!$M$110)*parametros_manuales!$I$27*parametros_manuales!$J$27</f>
        <v>6376.02307623</v>
      </c>
      <c r="N226" s="9" t="n">
        <f aca="false">SUM(B226:M226)</f>
        <v>70844.700847</v>
      </c>
      <c r="O226" s="9" t="n">
        <f aca="false">MAX(B226:M226)</f>
        <v>6376.02307623</v>
      </c>
      <c r="P226" s="43" t="n">
        <f aca="false">O226/(parametros_manuales!$B$7)</f>
        <v>42.5068205082</v>
      </c>
      <c r="Q226" s="8" t="str">
        <f aca="false">IF(O226=0,"-",INDEX($B$217:$M$217,MATCH(O226,B226:M226,0)))</f>
        <v>Ene</v>
      </c>
    </row>
    <row r="227" customFormat="false" ht="14.25" hidden="false" customHeight="true" outlineLevel="0" collapsed="false">
      <c r="A227" s="8" t="str">
        <f aca="false">parametros_manuales!$B$28</f>
        <v>Encastre de fondo</v>
      </c>
      <c r="B227" s="9" t="n">
        <f aca="false">(parametros_manuales!$D$28*(datos_base!$J$2+datos_base!$J$18+IF(parametros_manuales!$H$28="Todos",datos_base!$J$9+datos_base!$J$23,0))*parametros_manuales!$B$95+parametros_manuales!$E$28*(datos_base!$J$3+datos_base!$J$19+IF(parametros_manuales!$H$28="Todos",datos_base!$J$10+datos_base!$J$24,0))*parametros_manuales!$B$100+parametros_manuales!$F$28*(datos_base!$J$4+datos_base!$J$20+IF(parametros_manuales!$H$28="Todos",datos_base!$J$11+datos_base!$J$25,0))*parametros_manuales!$B$105+parametros_manuales!$G$28*(datos_base!$J$5+datos_base!$J$21+IF(parametros_manuales!$H$28="Todos",datos_base!$J$12+datos_base!$J$26,0))*parametros_manuales!$B$110)*parametros_manuales!$I$28*parametros_manuales!$J$28</f>
        <v>22161.40532883</v>
      </c>
      <c r="C227" s="9" t="n">
        <f aca="false">(parametros_manuales!$D$28*(datos_base!$J$2+datos_base!$J$18+IF(parametros_manuales!$H$28="Todos",datos_base!$J$9+datos_base!$J$23,0))*parametros_manuales!$C$95+parametros_manuales!$E$28*(datos_base!$J$3+datos_base!$J$19+IF(parametros_manuales!$H$28="Todos",datos_base!$J$10+datos_base!$J$24,0))*parametros_manuales!$C$100+parametros_manuales!$F$28*(datos_base!$J$4+datos_base!$J$20+IF(parametros_manuales!$H$28="Todos",datos_base!$J$11+datos_base!$J$25,0))*parametros_manuales!$C$105+parametros_manuales!$G$28*(datos_base!$J$5+datos_base!$J$21+IF(parametros_manuales!$H$28="Todos",datos_base!$J$12+datos_base!$J$26,0))*parametros_manuales!$C$110)*parametros_manuales!$I$28*parametros_manuales!$J$28</f>
        <v>21452.95832036</v>
      </c>
      <c r="D227" s="9" t="n">
        <f aca="false">(parametros_manuales!$D$28*(datos_base!$J$2+datos_base!$J$18+IF(parametros_manuales!$H$28="Todos",datos_base!$J$9+datos_base!$J$23,0))*parametros_manuales!$D$95+parametros_manuales!$E$28*(datos_base!$J$3+datos_base!$J$19+IF(parametros_manuales!$H$28="Todos",datos_base!$J$10+datos_base!$J$24,0))*parametros_manuales!$D$100+parametros_manuales!$F$28*(datos_base!$J$4+datos_base!$J$20+IF(parametros_manuales!$H$28="Todos",datos_base!$J$11+datos_base!$J$25,0))*parametros_manuales!$D$105+parametros_manuales!$G$28*(datos_base!$J$5+datos_base!$J$21+IF(parametros_manuales!$H$28="Todos",datos_base!$J$12+datos_base!$J$26,0))*parametros_manuales!$D$110)*parametros_manuales!$I$28*parametros_manuales!$J$28</f>
        <v>20053.250463195</v>
      </c>
      <c r="E227" s="9" t="n">
        <f aca="false">(parametros_manuales!$D$28*(datos_base!$J$2+datos_base!$J$18+IF(parametros_manuales!$H$28="Todos",datos_base!$J$9+datos_base!$J$23,0))*parametros_manuales!$E$95+parametros_manuales!$E$28*(datos_base!$J$3+datos_base!$J$19+IF(parametros_manuales!$H$28="Todos",datos_base!$J$10+datos_base!$J$24,0))*parametros_manuales!$E$100+parametros_manuales!$F$28*(datos_base!$J$4+datos_base!$J$20+IF(parametros_manuales!$H$28="Todos",datos_base!$J$11+datos_base!$J$25,0))*parametros_manuales!$E$105+parametros_manuales!$G$28*(datos_base!$J$5+datos_base!$J$21+IF(parametros_manuales!$H$28="Todos",datos_base!$J$12+datos_base!$J$26,0))*parametros_manuales!$E$110)*parametros_manuales!$I$28*parametros_manuales!$J$28</f>
        <v>19176.284782495</v>
      </c>
      <c r="F227" s="9" t="n">
        <f aca="false">(parametros_manuales!$D$28*(datos_base!$J$2+datos_base!$J$18+IF(parametros_manuales!$H$28="Todos",datos_base!$J$9+datos_base!$J$23,0))*parametros_manuales!$F$95+parametros_manuales!$E$28*(datos_base!$J$3+datos_base!$J$19+IF(parametros_manuales!$H$28="Todos",datos_base!$J$10+datos_base!$J$24,0))*parametros_manuales!$F$100+parametros_manuales!$F$28*(datos_base!$J$4+datos_base!$J$20+IF(parametros_manuales!$H$28="Todos",datos_base!$J$11+datos_base!$J$25,0))*parametros_manuales!$F$105+parametros_manuales!$G$28*(datos_base!$J$5+datos_base!$J$21+IF(parametros_manuales!$H$28="Todos",datos_base!$J$12+datos_base!$J$26,0))*parametros_manuales!$F$110)*parametros_manuales!$I$28*parametros_manuales!$J$28</f>
        <v>17945.09559756</v>
      </c>
      <c r="G227" s="9" t="n">
        <f aca="false">(parametros_manuales!$D$28*(datos_base!$J$2+datos_base!$J$18+IF(parametros_manuales!$H$28="Todos",datos_base!$J$9+datos_base!$J$23,0))*parametros_manuales!$G$95+parametros_manuales!$E$28*(datos_base!$J$3+datos_base!$J$19+IF(parametros_manuales!$H$28="Todos",datos_base!$J$10+datos_base!$J$24,0))*parametros_manuales!$G$100+parametros_manuales!$F$28*(datos_base!$J$4+datos_base!$J$20+IF(parametros_manuales!$H$28="Todos",datos_base!$J$11+datos_base!$J$25,0))*parametros_manuales!$G$105+parametros_manuales!$G$28*(datos_base!$J$5+datos_base!$J$21+IF(parametros_manuales!$H$28="Todos",datos_base!$J$12+datos_base!$J$26,0))*parametros_manuales!$G$110)*parametros_manuales!$I$28*parametros_manuales!$J$28</f>
        <v>17590.872093325</v>
      </c>
      <c r="H227" s="9" t="n">
        <f aca="false">(parametros_manuales!$D$28*(datos_base!$J$2+datos_base!$J$18+IF(parametros_manuales!$H$28="Todos",datos_base!$J$9+datos_base!$J$23,0))*parametros_manuales!$H$95+parametros_manuales!$E$28*(datos_base!$J$3+datos_base!$J$19+IF(parametros_manuales!$H$28="Todos",datos_base!$J$10+datos_base!$J$24,0))*parametros_manuales!$H$100+parametros_manuales!$F$28*(datos_base!$J$4+datos_base!$J$20+IF(parametros_manuales!$H$28="Todos",datos_base!$J$11+datos_base!$J$25,0))*parametros_manuales!$H$105+parametros_manuales!$G$28*(datos_base!$J$5+datos_base!$J$21+IF(parametros_manuales!$H$28="Todos",datos_base!$J$12+datos_base!$J$26,0))*parametros_manuales!$H$110)*parametros_manuales!$I$28*parametros_manuales!$J$28</f>
        <v>18822.06127826</v>
      </c>
      <c r="I227" s="9" t="n">
        <f aca="false">(parametros_manuales!$D$28*(datos_base!$J$2+datos_base!$J$18+IF(parametros_manuales!$H$28="Todos",datos_base!$J$9+datos_base!$J$23,0))*parametros_manuales!$I$95+parametros_manuales!$E$28*(datos_base!$J$3+datos_base!$J$19+IF(parametros_manuales!$H$28="Todos",datos_base!$J$10+datos_base!$J$24,0))*parametros_manuales!$I$100+parametros_manuales!$F$28*(datos_base!$J$4+datos_base!$J$20+IF(parametros_manuales!$H$28="Todos",datos_base!$J$11+datos_base!$J$25,0))*parametros_manuales!$I$105+parametros_manuales!$G$28*(datos_base!$J$5+datos_base!$J$21+IF(parametros_manuales!$H$28="Todos",datos_base!$J$12+datos_base!$J$26,0))*parametros_manuales!$I$110)*parametros_manuales!$I$28*parametros_manuales!$J$28</f>
        <v>21452.95832036</v>
      </c>
      <c r="J227" s="9" t="n">
        <f aca="false">(parametros_manuales!$D$28*(datos_base!$J$2+datos_base!$J$18+IF(parametros_manuales!$H$28="Todos",datos_base!$J$9+datos_base!$J$23,0))*parametros_manuales!$J$95+parametros_manuales!$E$28*(datos_base!$J$3+datos_base!$J$19+IF(parametros_manuales!$H$28="Todos",datos_base!$J$10+datos_base!$J$24,0))*parametros_manuales!$J$100+parametros_manuales!$F$28*(datos_base!$J$4+datos_base!$J$20+IF(parametros_manuales!$H$28="Todos",datos_base!$J$11+datos_base!$J$25,0))*parametros_manuales!$J$105+parametros_manuales!$G$28*(datos_base!$J$5+datos_base!$J$21+IF(parametros_manuales!$H$28="Todos",datos_base!$J$12+datos_base!$J$26,0))*parametros_manuales!$J$110)*parametros_manuales!$I$28*parametros_manuales!$J$28</f>
        <v>21452.95832036</v>
      </c>
      <c r="K227" s="9" t="n">
        <f aca="false">(parametros_manuales!$D$28*(datos_base!$J$2+datos_base!$J$18+IF(parametros_manuales!$H$28="Todos",datos_base!$J$9+datos_base!$J$23,0))*parametros_manuales!$K$95+parametros_manuales!$E$28*(datos_base!$J$3+datos_base!$J$19+IF(parametros_manuales!$H$28="Todos",datos_base!$J$10+datos_base!$J$24,0))*parametros_manuales!$K$100+parametros_manuales!$F$28*(datos_base!$J$4+datos_base!$J$20+IF(parametros_manuales!$H$28="Todos",datos_base!$J$11+datos_base!$J$25,0))*parametros_manuales!$K$105+parametros_manuales!$G$28*(datos_base!$J$5+datos_base!$J$21+IF(parametros_manuales!$H$28="Todos",datos_base!$J$12+datos_base!$J$26,0))*parametros_manuales!$K$110)*parametros_manuales!$I$28*parametros_manuales!$J$28</f>
        <v>21807.181824595</v>
      </c>
      <c r="L227" s="9" t="n">
        <f aca="false">(parametros_manuales!$D$28*(datos_base!$J$2+datos_base!$J$18+IF(parametros_manuales!$H$28="Todos",datos_base!$J$9+datos_base!$J$23,0))*parametros_manuales!$L$95+parametros_manuales!$E$28*(datos_base!$J$3+datos_base!$J$19+IF(parametros_manuales!$H$28="Todos",datos_base!$J$10+datos_base!$J$24,0))*parametros_manuales!$L$100+parametros_manuales!$F$28*(datos_base!$J$4+datos_base!$J$20+IF(parametros_manuales!$H$28="Todos",datos_base!$J$11+datos_base!$J$25,0))*parametros_manuales!$L$105+parametros_manuales!$G$28*(datos_base!$J$5+datos_base!$J$21+IF(parametros_manuales!$H$28="Todos",datos_base!$J$12+datos_base!$J$26,0))*parametros_manuales!$L$110)*parametros_manuales!$I$28*parametros_manuales!$J$28</f>
        <v>22161.40532883</v>
      </c>
      <c r="M227" s="9" t="n">
        <f aca="false">(parametros_manuales!$D$28*(datos_base!$J$2+datos_base!$J$18+IF(parametros_manuales!$H$28="Todos",datos_base!$J$9+datos_base!$J$23,0))*parametros_manuales!$M$95+parametros_manuales!$E$28*(datos_base!$J$3+datos_base!$J$19+IF(parametros_manuales!$H$28="Todos",datos_base!$J$10+datos_base!$J$24,0))*parametros_manuales!$M$100+parametros_manuales!$F$28*(datos_base!$J$4+datos_base!$J$20+IF(parametros_manuales!$H$28="Todos",datos_base!$J$11+datos_base!$J$25,0))*parametros_manuales!$M$105+parametros_manuales!$G$28*(datos_base!$J$5+datos_base!$J$21+IF(parametros_manuales!$H$28="Todos",datos_base!$J$12+datos_base!$J$26,0))*parametros_manuales!$M$110)*parametros_manuales!$I$28*parametros_manuales!$J$28</f>
        <v>22161.40532883</v>
      </c>
      <c r="N227" s="9" t="n">
        <f aca="false">SUM(B227:M227)</f>
        <v>246237.836987</v>
      </c>
      <c r="O227" s="9" t="n">
        <f aca="false">MAX(B227:M227)</f>
        <v>22161.40532883</v>
      </c>
      <c r="P227" s="43" t="n">
        <f aca="false">O227/(parametros_manuales!$B$7)</f>
        <v>147.7427021922</v>
      </c>
      <c r="Q227" s="8" t="str">
        <f aca="false">IF(O227=0,"-",INDEX($B$217:$M$217,MATCH(O227,B227:M227,0)))</f>
        <v>Ene</v>
      </c>
    </row>
    <row r="228" customFormat="false" ht="14.25" hidden="false" customHeight="true" outlineLevel="0" collapsed="false">
      <c r="A228" s="8" t="str">
        <f aca="false">parametros_manuales!$B$29</f>
        <v>Bordoneado</v>
      </c>
      <c r="B228" s="9" t="n">
        <f aca="false">(parametros_manuales!$D$29*(datos_base!$J$2+datos_base!$J$18+IF(parametros_manuales!$H$29="Todos",datos_base!$J$9+datos_base!$J$23,0))*parametros_manuales!$B$95+parametros_manuales!$E$29*(datos_base!$J$3+datos_base!$J$19+IF(parametros_manuales!$H$29="Todos",datos_base!$J$10+datos_base!$J$24,0))*parametros_manuales!$B$100+parametros_manuales!$F$29*(datos_base!$J$4+datos_base!$J$20+IF(parametros_manuales!$H$29="Todos",datos_base!$J$11+datos_base!$J$25,0))*parametros_manuales!$B$105+parametros_manuales!$G$29*(datos_base!$J$5+datos_base!$J$21+IF(parametros_manuales!$H$29="Todos",datos_base!$J$12+datos_base!$J$26,0))*parametros_manuales!$B$110)*parametros_manuales!$I$29*parametros_manuales!$J$29</f>
        <v>22161.40532883</v>
      </c>
      <c r="C228" s="9" t="n">
        <f aca="false">(parametros_manuales!$D$29*(datos_base!$J$2+datos_base!$J$18+IF(parametros_manuales!$H$29="Todos",datos_base!$J$9+datos_base!$J$23,0))*parametros_manuales!$C$95+parametros_manuales!$E$29*(datos_base!$J$3+datos_base!$J$19+IF(parametros_manuales!$H$29="Todos",datos_base!$J$10+datos_base!$J$24,0))*parametros_manuales!$C$100+parametros_manuales!$F$29*(datos_base!$J$4+datos_base!$J$20+IF(parametros_manuales!$H$29="Todos",datos_base!$J$11+datos_base!$J$25,0))*parametros_manuales!$C$105+parametros_manuales!$G$29*(datos_base!$J$5+datos_base!$J$21+IF(parametros_manuales!$H$29="Todos",datos_base!$J$12+datos_base!$J$26,0))*parametros_manuales!$C$110)*parametros_manuales!$I$29*parametros_manuales!$J$29</f>
        <v>21452.95832036</v>
      </c>
      <c r="D228" s="9" t="n">
        <f aca="false">(parametros_manuales!$D$29*(datos_base!$J$2+datos_base!$J$18+IF(parametros_manuales!$H$29="Todos",datos_base!$J$9+datos_base!$J$23,0))*parametros_manuales!$D$95+parametros_manuales!$E$29*(datos_base!$J$3+datos_base!$J$19+IF(parametros_manuales!$H$29="Todos",datos_base!$J$10+datos_base!$J$24,0))*parametros_manuales!$D$100+parametros_manuales!$F$29*(datos_base!$J$4+datos_base!$J$20+IF(parametros_manuales!$H$29="Todos",datos_base!$J$11+datos_base!$J$25,0))*parametros_manuales!$D$105+parametros_manuales!$G$29*(datos_base!$J$5+datos_base!$J$21+IF(parametros_manuales!$H$29="Todos",datos_base!$J$12+datos_base!$J$26,0))*parametros_manuales!$D$110)*parametros_manuales!$I$29*parametros_manuales!$J$29</f>
        <v>20053.250463195</v>
      </c>
      <c r="E228" s="9" t="n">
        <f aca="false">(parametros_manuales!$D$29*(datos_base!$J$2+datos_base!$J$18+IF(parametros_manuales!$H$29="Todos",datos_base!$J$9+datos_base!$J$23,0))*parametros_manuales!$E$95+parametros_manuales!$E$29*(datos_base!$J$3+datos_base!$J$19+IF(parametros_manuales!$H$29="Todos",datos_base!$J$10+datos_base!$J$24,0))*parametros_manuales!$E$100+parametros_manuales!$F$29*(datos_base!$J$4+datos_base!$J$20+IF(parametros_manuales!$H$29="Todos",datos_base!$J$11+datos_base!$J$25,0))*parametros_manuales!$E$105+parametros_manuales!$G$29*(datos_base!$J$5+datos_base!$J$21+IF(parametros_manuales!$H$29="Todos",datos_base!$J$12+datos_base!$J$26,0))*parametros_manuales!$E$110)*parametros_manuales!$I$29*parametros_manuales!$J$29</f>
        <v>19176.284782495</v>
      </c>
      <c r="F228" s="9" t="n">
        <f aca="false">(parametros_manuales!$D$29*(datos_base!$J$2+datos_base!$J$18+IF(parametros_manuales!$H$29="Todos",datos_base!$J$9+datos_base!$J$23,0))*parametros_manuales!$F$95+parametros_manuales!$E$29*(datos_base!$J$3+datos_base!$J$19+IF(parametros_manuales!$H$29="Todos",datos_base!$J$10+datos_base!$J$24,0))*parametros_manuales!$F$100+parametros_manuales!$F$29*(datos_base!$J$4+datos_base!$J$20+IF(parametros_manuales!$H$29="Todos",datos_base!$J$11+datos_base!$J$25,0))*parametros_manuales!$F$105+parametros_manuales!$G$29*(datos_base!$J$5+datos_base!$J$21+IF(parametros_manuales!$H$29="Todos",datos_base!$J$12+datos_base!$J$26,0))*parametros_manuales!$F$110)*parametros_manuales!$I$29*parametros_manuales!$J$29</f>
        <v>17945.09559756</v>
      </c>
      <c r="G228" s="9" t="n">
        <f aca="false">(parametros_manuales!$D$29*(datos_base!$J$2+datos_base!$J$18+IF(parametros_manuales!$H$29="Todos",datos_base!$J$9+datos_base!$J$23,0))*parametros_manuales!$G$95+parametros_manuales!$E$29*(datos_base!$J$3+datos_base!$J$19+IF(parametros_manuales!$H$29="Todos",datos_base!$J$10+datos_base!$J$24,0))*parametros_manuales!$G$100+parametros_manuales!$F$29*(datos_base!$J$4+datos_base!$J$20+IF(parametros_manuales!$H$29="Todos",datos_base!$J$11+datos_base!$J$25,0))*parametros_manuales!$G$105+parametros_manuales!$G$29*(datos_base!$J$5+datos_base!$J$21+IF(parametros_manuales!$H$29="Todos",datos_base!$J$12+datos_base!$J$26,0))*parametros_manuales!$G$110)*parametros_manuales!$I$29*parametros_manuales!$J$29</f>
        <v>17590.872093325</v>
      </c>
      <c r="H228" s="9" t="n">
        <f aca="false">(parametros_manuales!$D$29*(datos_base!$J$2+datos_base!$J$18+IF(parametros_manuales!$H$29="Todos",datos_base!$J$9+datos_base!$J$23,0))*parametros_manuales!$H$95+parametros_manuales!$E$29*(datos_base!$J$3+datos_base!$J$19+IF(parametros_manuales!$H$29="Todos",datos_base!$J$10+datos_base!$J$24,0))*parametros_manuales!$H$100+parametros_manuales!$F$29*(datos_base!$J$4+datos_base!$J$20+IF(parametros_manuales!$H$29="Todos",datos_base!$J$11+datos_base!$J$25,0))*parametros_manuales!$H$105+parametros_manuales!$G$29*(datos_base!$J$5+datos_base!$J$21+IF(parametros_manuales!$H$29="Todos",datos_base!$J$12+datos_base!$J$26,0))*parametros_manuales!$H$110)*parametros_manuales!$I$29*parametros_manuales!$J$29</f>
        <v>18822.06127826</v>
      </c>
      <c r="I228" s="9" t="n">
        <f aca="false">(parametros_manuales!$D$29*(datos_base!$J$2+datos_base!$J$18+IF(parametros_manuales!$H$29="Todos",datos_base!$J$9+datos_base!$J$23,0))*parametros_manuales!$I$95+parametros_manuales!$E$29*(datos_base!$J$3+datos_base!$J$19+IF(parametros_manuales!$H$29="Todos",datos_base!$J$10+datos_base!$J$24,0))*parametros_manuales!$I$100+parametros_manuales!$F$29*(datos_base!$J$4+datos_base!$J$20+IF(parametros_manuales!$H$29="Todos",datos_base!$J$11+datos_base!$J$25,0))*parametros_manuales!$I$105+parametros_manuales!$G$29*(datos_base!$J$5+datos_base!$J$21+IF(parametros_manuales!$H$29="Todos",datos_base!$J$12+datos_base!$J$26,0))*parametros_manuales!$I$110)*parametros_manuales!$I$29*parametros_manuales!$J$29</f>
        <v>21452.95832036</v>
      </c>
      <c r="J228" s="9" t="n">
        <f aca="false">(parametros_manuales!$D$29*(datos_base!$J$2+datos_base!$J$18+IF(parametros_manuales!$H$29="Todos",datos_base!$J$9+datos_base!$J$23,0))*parametros_manuales!$J$95+parametros_manuales!$E$29*(datos_base!$J$3+datos_base!$J$19+IF(parametros_manuales!$H$29="Todos",datos_base!$J$10+datos_base!$J$24,0))*parametros_manuales!$J$100+parametros_manuales!$F$29*(datos_base!$J$4+datos_base!$J$20+IF(parametros_manuales!$H$29="Todos",datos_base!$J$11+datos_base!$J$25,0))*parametros_manuales!$J$105+parametros_manuales!$G$29*(datos_base!$J$5+datos_base!$J$21+IF(parametros_manuales!$H$29="Todos",datos_base!$J$12+datos_base!$J$26,0))*parametros_manuales!$J$110)*parametros_manuales!$I$29*parametros_manuales!$J$29</f>
        <v>21452.95832036</v>
      </c>
      <c r="K228" s="9" t="n">
        <f aca="false">(parametros_manuales!$D$29*(datos_base!$J$2+datos_base!$J$18+IF(parametros_manuales!$H$29="Todos",datos_base!$J$9+datos_base!$J$23,0))*parametros_manuales!$K$95+parametros_manuales!$E$29*(datos_base!$J$3+datos_base!$J$19+IF(parametros_manuales!$H$29="Todos",datos_base!$J$10+datos_base!$J$24,0))*parametros_manuales!$K$100+parametros_manuales!$F$29*(datos_base!$J$4+datos_base!$J$20+IF(parametros_manuales!$H$29="Todos",datos_base!$J$11+datos_base!$J$25,0))*parametros_manuales!$K$105+parametros_manuales!$G$29*(datos_base!$J$5+datos_base!$J$21+IF(parametros_manuales!$H$29="Todos",datos_base!$J$12+datos_base!$J$26,0))*parametros_manuales!$K$110)*parametros_manuales!$I$29*parametros_manuales!$J$29</f>
        <v>21807.181824595</v>
      </c>
      <c r="L228" s="9" t="n">
        <f aca="false">(parametros_manuales!$D$29*(datos_base!$J$2+datos_base!$J$18+IF(parametros_manuales!$H$29="Todos",datos_base!$J$9+datos_base!$J$23,0))*parametros_manuales!$L$95+parametros_manuales!$E$29*(datos_base!$J$3+datos_base!$J$19+IF(parametros_manuales!$H$29="Todos",datos_base!$J$10+datos_base!$J$24,0))*parametros_manuales!$L$100+parametros_manuales!$F$29*(datos_base!$J$4+datos_base!$J$20+IF(parametros_manuales!$H$29="Todos",datos_base!$J$11+datos_base!$J$25,0))*parametros_manuales!$L$105+parametros_manuales!$G$29*(datos_base!$J$5+datos_base!$J$21+IF(parametros_manuales!$H$29="Todos",datos_base!$J$12+datos_base!$J$26,0))*parametros_manuales!$L$110)*parametros_manuales!$I$29*parametros_manuales!$J$29</f>
        <v>22161.40532883</v>
      </c>
      <c r="M228" s="9" t="n">
        <f aca="false">(parametros_manuales!$D$29*(datos_base!$J$2+datos_base!$J$18+IF(parametros_manuales!$H$29="Todos",datos_base!$J$9+datos_base!$J$23,0))*parametros_manuales!$M$95+parametros_manuales!$E$29*(datos_base!$J$3+datos_base!$J$19+IF(parametros_manuales!$H$29="Todos",datos_base!$J$10+datos_base!$J$24,0))*parametros_manuales!$M$100+parametros_manuales!$F$29*(datos_base!$J$4+datos_base!$J$20+IF(parametros_manuales!$H$29="Todos",datos_base!$J$11+datos_base!$J$25,0))*parametros_manuales!$M$105+parametros_manuales!$G$29*(datos_base!$J$5+datos_base!$J$21+IF(parametros_manuales!$H$29="Todos",datos_base!$J$12+datos_base!$J$26,0))*parametros_manuales!$M$110)*parametros_manuales!$I$29*parametros_manuales!$J$29</f>
        <v>22161.40532883</v>
      </c>
      <c r="N228" s="9" t="n">
        <f aca="false">SUM(B228:M228)</f>
        <v>246237.836987</v>
      </c>
      <c r="O228" s="9" t="n">
        <f aca="false">MAX(B228:M228)</f>
        <v>22161.40532883</v>
      </c>
      <c r="P228" s="43" t="n">
        <f aca="false">O228/(parametros_manuales!$B$7)</f>
        <v>147.7427021922</v>
      </c>
      <c r="Q228" s="8" t="str">
        <f aca="false">IF(O228=0,"-",INDEX($B$217:$M$217,MATCH(O228,B228:M228,0)))</f>
        <v>Ene</v>
      </c>
    </row>
    <row r="229" customFormat="false" ht="14.25" hidden="false" customHeight="true" outlineLevel="0" collapsed="false">
      <c r="A229" s="8" t="str">
        <f aca="false">parametros_manuales!$B$30</f>
        <v>Soldadura circunferencial de cúpula y fondo</v>
      </c>
      <c r="B229" s="9" t="n">
        <f aca="false">(parametros_manuales!$D$30*(datos_base!$J$2+datos_base!$J$18+IF(parametros_manuales!$H$30="Todos",datos_base!$J$9+datos_base!$J$23,0))*parametros_manuales!$B$95+parametros_manuales!$E$30*(datos_base!$J$3+datos_base!$J$19+IF(parametros_manuales!$H$30="Todos",datos_base!$J$10+datos_base!$J$24,0))*parametros_manuales!$B$100+parametros_manuales!$F$30*(datos_base!$J$4+datos_base!$J$20+IF(parametros_manuales!$H$30="Todos",datos_base!$J$11+datos_base!$J$25,0))*parametros_manuales!$B$105+parametros_manuales!$G$30*(datos_base!$J$5+datos_base!$J$21+IF(parametros_manuales!$H$30="Todos",datos_base!$J$12+datos_base!$J$26,0))*parametros_manuales!$B$110)*parametros_manuales!$I$30*parametros_manuales!$J$30</f>
        <v>22161.40532883</v>
      </c>
      <c r="C229" s="9" t="n">
        <f aca="false">(parametros_manuales!$D$30*(datos_base!$J$2+datos_base!$J$18+IF(parametros_manuales!$H$30="Todos",datos_base!$J$9+datos_base!$J$23,0))*parametros_manuales!$C$95+parametros_manuales!$E$30*(datos_base!$J$3+datos_base!$J$19+IF(parametros_manuales!$H$30="Todos",datos_base!$J$10+datos_base!$J$24,0))*parametros_manuales!$C$100+parametros_manuales!$F$30*(datos_base!$J$4+datos_base!$J$20+IF(parametros_manuales!$H$30="Todos",datos_base!$J$11+datos_base!$J$25,0))*parametros_manuales!$C$105+parametros_manuales!$G$30*(datos_base!$J$5+datos_base!$J$21+IF(parametros_manuales!$H$30="Todos",datos_base!$J$12+datos_base!$J$26,0))*parametros_manuales!$C$110)*parametros_manuales!$I$30*parametros_manuales!$J$30</f>
        <v>21452.95832036</v>
      </c>
      <c r="D229" s="9" t="n">
        <f aca="false">(parametros_manuales!$D$30*(datos_base!$J$2+datos_base!$J$18+IF(parametros_manuales!$H$30="Todos",datos_base!$J$9+datos_base!$J$23,0))*parametros_manuales!$D$95+parametros_manuales!$E$30*(datos_base!$J$3+datos_base!$J$19+IF(parametros_manuales!$H$30="Todos",datos_base!$J$10+datos_base!$J$24,0))*parametros_manuales!$D$100+parametros_manuales!$F$30*(datos_base!$J$4+datos_base!$J$20+IF(parametros_manuales!$H$30="Todos",datos_base!$J$11+datos_base!$J$25,0))*parametros_manuales!$D$105+parametros_manuales!$G$30*(datos_base!$J$5+datos_base!$J$21+IF(parametros_manuales!$H$30="Todos",datos_base!$J$12+datos_base!$J$26,0))*parametros_manuales!$D$110)*parametros_manuales!$I$30*parametros_manuales!$J$30</f>
        <v>20053.250463195</v>
      </c>
      <c r="E229" s="9" t="n">
        <f aca="false">(parametros_manuales!$D$30*(datos_base!$J$2+datos_base!$J$18+IF(parametros_manuales!$H$30="Todos",datos_base!$J$9+datos_base!$J$23,0))*parametros_manuales!$E$95+parametros_manuales!$E$30*(datos_base!$J$3+datos_base!$J$19+IF(parametros_manuales!$H$30="Todos",datos_base!$J$10+datos_base!$J$24,0))*parametros_manuales!$E$100+parametros_manuales!$F$30*(datos_base!$J$4+datos_base!$J$20+IF(parametros_manuales!$H$30="Todos",datos_base!$J$11+datos_base!$J$25,0))*parametros_manuales!$E$105+parametros_manuales!$G$30*(datos_base!$J$5+datos_base!$J$21+IF(parametros_manuales!$H$30="Todos",datos_base!$J$12+datos_base!$J$26,0))*parametros_manuales!$E$110)*parametros_manuales!$I$30*parametros_manuales!$J$30</f>
        <v>19176.284782495</v>
      </c>
      <c r="F229" s="9" t="n">
        <f aca="false">(parametros_manuales!$D$30*(datos_base!$J$2+datos_base!$J$18+IF(parametros_manuales!$H$30="Todos",datos_base!$J$9+datos_base!$J$23,0))*parametros_manuales!$F$95+parametros_manuales!$E$30*(datos_base!$J$3+datos_base!$J$19+IF(parametros_manuales!$H$30="Todos",datos_base!$J$10+datos_base!$J$24,0))*parametros_manuales!$F$100+parametros_manuales!$F$30*(datos_base!$J$4+datos_base!$J$20+IF(parametros_manuales!$H$30="Todos",datos_base!$J$11+datos_base!$J$25,0))*parametros_manuales!$F$105+parametros_manuales!$G$30*(datos_base!$J$5+datos_base!$J$21+IF(parametros_manuales!$H$30="Todos",datos_base!$J$12+datos_base!$J$26,0))*parametros_manuales!$F$110)*parametros_manuales!$I$30*parametros_manuales!$J$30</f>
        <v>17945.09559756</v>
      </c>
      <c r="G229" s="9" t="n">
        <f aca="false">(parametros_manuales!$D$30*(datos_base!$J$2+datos_base!$J$18+IF(parametros_manuales!$H$30="Todos",datos_base!$J$9+datos_base!$J$23,0))*parametros_manuales!$G$95+parametros_manuales!$E$30*(datos_base!$J$3+datos_base!$J$19+IF(parametros_manuales!$H$30="Todos",datos_base!$J$10+datos_base!$J$24,0))*parametros_manuales!$G$100+parametros_manuales!$F$30*(datos_base!$J$4+datos_base!$J$20+IF(parametros_manuales!$H$30="Todos",datos_base!$J$11+datos_base!$J$25,0))*parametros_manuales!$G$105+parametros_manuales!$G$30*(datos_base!$J$5+datos_base!$J$21+IF(parametros_manuales!$H$30="Todos",datos_base!$J$12+datos_base!$J$26,0))*parametros_manuales!$G$110)*parametros_manuales!$I$30*parametros_manuales!$J$30</f>
        <v>17590.872093325</v>
      </c>
      <c r="H229" s="9" t="n">
        <f aca="false">(parametros_manuales!$D$30*(datos_base!$J$2+datos_base!$J$18+IF(parametros_manuales!$H$30="Todos",datos_base!$J$9+datos_base!$J$23,0))*parametros_manuales!$H$95+parametros_manuales!$E$30*(datos_base!$J$3+datos_base!$J$19+IF(parametros_manuales!$H$30="Todos",datos_base!$J$10+datos_base!$J$24,0))*parametros_manuales!$H$100+parametros_manuales!$F$30*(datos_base!$J$4+datos_base!$J$20+IF(parametros_manuales!$H$30="Todos",datos_base!$J$11+datos_base!$J$25,0))*parametros_manuales!$H$105+parametros_manuales!$G$30*(datos_base!$J$5+datos_base!$J$21+IF(parametros_manuales!$H$30="Todos",datos_base!$J$12+datos_base!$J$26,0))*parametros_manuales!$H$110)*parametros_manuales!$I$30*parametros_manuales!$J$30</f>
        <v>18822.06127826</v>
      </c>
      <c r="I229" s="9" t="n">
        <f aca="false">(parametros_manuales!$D$30*(datos_base!$J$2+datos_base!$J$18+IF(parametros_manuales!$H$30="Todos",datos_base!$J$9+datos_base!$J$23,0))*parametros_manuales!$I$95+parametros_manuales!$E$30*(datos_base!$J$3+datos_base!$J$19+IF(parametros_manuales!$H$30="Todos",datos_base!$J$10+datos_base!$J$24,0))*parametros_manuales!$I$100+parametros_manuales!$F$30*(datos_base!$J$4+datos_base!$J$20+IF(parametros_manuales!$H$30="Todos",datos_base!$J$11+datos_base!$J$25,0))*parametros_manuales!$I$105+parametros_manuales!$G$30*(datos_base!$J$5+datos_base!$J$21+IF(parametros_manuales!$H$30="Todos",datos_base!$J$12+datos_base!$J$26,0))*parametros_manuales!$I$110)*parametros_manuales!$I$30*parametros_manuales!$J$30</f>
        <v>21452.95832036</v>
      </c>
      <c r="J229" s="9" t="n">
        <f aca="false">(parametros_manuales!$D$30*(datos_base!$J$2+datos_base!$J$18+IF(parametros_manuales!$H$30="Todos",datos_base!$J$9+datos_base!$J$23,0))*parametros_manuales!$J$95+parametros_manuales!$E$30*(datos_base!$J$3+datos_base!$J$19+IF(parametros_manuales!$H$30="Todos",datos_base!$J$10+datos_base!$J$24,0))*parametros_manuales!$J$100+parametros_manuales!$F$30*(datos_base!$J$4+datos_base!$J$20+IF(parametros_manuales!$H$30="Todos",datos_base!$J$11+datos_base!$J$25,0))*parametros_manuales!$J$105+parametros_manuales!$G$30*(datos_base!$J$5+datos_base!$J$21+IF(parametros_manuales!$H$30="Todos",datos_base!$J$12+datos_base!$J$26,0))*parametros_manuales!$J$110)*parametros_manuales!$I$30*parametros_manuales!$J$30</f>
        <v>21452.95832036</v>
      </c>
      <c r="K229" s="9" t="n">
        <f aca="false">(parametros_manuales!$D$30*(datos_base!$J$2+datos_base!$J$18+IF(parametros_manuales!$H$30="Todos",datos_base!$J$9+datos_base!$J$23,0))*parametros_manuales!$K$95+parametros_manuales!$E$30*(datos_base!$J$3+datos_base!$J$19+IF(parametros_manuales!$H$30="Todos",datos_base!$J$10+datos_base!$J$24,0))*parametros_manuales!$K$100+parametros_manuales!$F$30*(datos_base!$J$4+datos_base!$J$20+IF(parametros_manuales!$H$30="Todos",datos_base!$J$11+datos_base!$J$25,0))*parametros_manuales!$K$105+parametros_manuales!$G$30*(datos_base!$J$5+datos_base!$J$21+IF(parametros_manuales!$H$30="Todos",datos_base!$J$12+datos_base!$J$26,0))*parametros_manuales!$K$110)*parametros_manuales!$I$30*parametros_manuales!$J$30</f>
        <v>21807.181824595</v>
      </c>
      <c r="L229" s="9" t="n">
        <f aca="false">(parametros_manuales!$D$30*(datos_base!$J$2+datos_base!$J$18+IF(parametros_manuales!$H$30="Todos",datos_base!$J$9+datos_base!$J$23,0))*parametros_manuales!$L$95+parametros_manuales!$E$30*(datos_base!$J$3+datos_base!$J$19+IF(parametros_manuales!$H$30="Todos",datos_base!$J$10+datos_base!$J$24,0))*parametros_manuales!$L$100+parametros_manuales!$F$30*(datos_base!$J$4+datos_base!$J$20+IF(parametros_manuales!$H$30="Todos",datos_base!$J$11+datos_base!$J$25,0))*parametros_manuales!$L$105+parametros_manuales!$G$30*(datos_base!$J$5+datos_base!$J$21+IF(parametros_manuales!$H$30="Todos",datos_base!$J$12+datos_base!$J$26,0))*parametros_manuales!$L$110)*parametros_manuales!$I$30*parametros_manuales!$J$30</f>
        <v>22161.40532883</v>
      </c>
      <c r="M229" s="9" t="n">
        <f aca="false">(parametros_manuales!$D$30*(datos_base!$J$2+datos_base!$J$18+IF(parametros_manuales!$H$30="Todos",datos_base!$J$9+datos_base!$J$23,0))*parametros_manuales!$M$95+parametros_manuales!$E$30*(datos_base!$J$3+datos_base!$J$19+IF(parametros_manuales!$H$30="Todos",datos_base!$J$10+datos_base!$J$24,0))*parametros_manuales!$M$100+parametros_manuales!$F$30*(datos_base!$J$4+datos_base!$J$20+IF(parametros_manuales!$H$30="Todos",datos_base!$J$11+datos_base!$J$25,0))*parametros_manuales!$M$105+parametros_manuales!$G$30*(datos_base!$J$5+datos_base!$J$21+IF(parametros_manuales!$H$30="Todos",datos_base!$J$12+datos_base!$J$26,0))*parametros_manuales!$M$110)*parametros_manuales!$I$30*parametros_manuales!$J$30</f>
        <v>22161.40532883</v>
      </c>
      <c r="N229" s="9" t="n">
        <f aca="false">SUM(B229:M229)</f>
        <v>246237.836987</v>
      </c>
      <c r="O229" s="9" t="n">
        <f aca="false">MAX(B229:M229)</f>
        <v>22161.40532883</v>
      </c>
      <c r="P229" s="43" t="n">
        <f aca="false">O229/(parametros_manuales!$B$7)</f>
        <v>147.7427021922</v>
      </c>
      <c r="Q229" s="8" t="str">
        <f aca="false">IF(O229=0,"-",INDEX($B$217:$M$217,MATCH(O229,B229:M229,0)))</f>
        <v>Ene</v>
      </c>
    </row>
    <row r="230" customFormat="false" ht="14.25" hidden="false" customHeight="true" outlineLevel="0" collapsed="false">
      <c r="A230" s="8" t="str">
        <f aca="false">parametros_manuales!$B$31</f>
        <v>Control de calidad — Espesor</v>
      </c>
      <c r="B230" s="9" t="n">
        <f aca="false">(parametros_manuales!$D$31*(datos_base!$J$2+datos_base!$J$18+IF(parametros_manuales!$H$31="Todos",datos_base!$J$9+datos_base!$J$23,0))*parametros_manuales!$B$95+parametros_manuales!$E$31*(datos_base!$J$3+datos_base!$J$19+IF(parametros_manuales!$H$31="Todos",datos_base!$J$10+datos_base!$J$24,0))*parametros_manuales!$B$100+parametros_manuales!$F$31*(datos_base!$J$4+datos_base!$J$20+IF(parametros_manuales!$H$31="Todos",datos_base!$J$11+datos_base!$J$25,0))*parametros_manuales!$B$105+parametros_manuales!$G$31*(datos_base!$J$5+datos_base!$J$21+IF(parametros_manuales!$H$31="Todos",datos_base!$J$12+datos_base!$J$26,0))*parametros_manuales!$B$110)*parametros_manuales!$I$31*parametros_manuales!$J$31</f>
        <v>443.2281065766</v>
      </c>
      <c r="C230" s="9" t="n">
        <f aca="false">(parametros_manuales!$D$31*(datos_base!$J$2+datos_base!$J$18+IF(parametros_manuales!$H$31="Todos",datos_base!$J$9+datos_base!$J$23,0))*parametros_manuales!$C$95+parametros_manuales!$E$31*(datos_base!$J$3+datos_base!$J$19+IF(parametros_manuales!$H$31="Todos",datos_base!$J$10+datos_base!$J$24,0))*parametros_manuales!$C$100+parametros_manuales!$F$31*(datos_base!$J$4+datos_base!$J$20+IF(parametros_manuales!$H$31="Todos",datos_base!$J$11+datos_base!$J$25,0))*parametros_manuales!$C$105+parametros_manuales!$G$31*(datos_base!$J$5+datos_base!$J$21+IF(parametros_manuales!$H$31="Todos",datos_base!$J$12+datos_base!$J$26,0))*parametros_manuales!$C$110)*parametros_manuales!$I$31*parametros_manuales!$J$31</f>
        <v>429.0591664072</v>
      </c>
      <c r="D230" s="9" t="n">
        <f aca="false">(parametros_manuales!$D$31*(datos_base!$J$2+datos_base!$J$18+IF(parametros_manuales!$H$31="Todos",datos_base!$J$9+datos_base!$J$23,0))*parametros_manuales!$D$95+parametros_manuales!$E$31*(datos_base!$J$3+datos_base!$J$19+IF(parametros_manuales!$H$31="Todos",datos_base!$J$10+datos_base!$J$24,0))*parametros_manuales!$D$100+parametros_manuales!$F$31*(datos_base!$J$4+datos_base!$J$20+IF(parametros_manuales!$H$31="Todos",datos_base!$J$11+datos_base!$J$25,0))*parametros_manuales!$D$105+parametros_manuales!$G$31*(datos_base!$J$5+datos_base!$J$21+IF(parametros_manuales!$H$31="Todos",datos_base!$J$12+datos_base!$J$26,0))*parametros_manuales!$D$110)*parametros_manuales!$I$31*parametros_manuales!$J$31</f>
        <v>401.0650092639</v>
      </c>
      <c r="E230" s="9" t="n">
        <f aca="false">(parametros_manuales!$D$31*(datos_base!$J$2+datos_base!$J$18+IF(parametros_manuales!$H$31="Todos",datos_base!$J$9+datos_base!$J$23,0))*parametros_manuales!$E$95+parametros_manuales!$E$31*(datos_base!$J$3+datos_base!$J$19+IF(parametros_manuales!$H$31="Todos",datos_base!$J$10+datos_base!$J$24,0))*parametros_manuales!$E$100+parametros_manuales!$F$31*(datos_base!$J$4+datos_base!$J$20+IF(parametros_manuales!$H$31="Todos",datos_base!$J$11+datos_base!$J$25,0))*parametros_manuales!$E$105+parametros_manuales!$G$31*(datos_base!$J$5+datos_base!$J$21+IF(parametros_manuales!$H$31="Todos",datos_base!$J$12+datos_base!$J$26,0))*parametros_manuales!$E$110)*parametros_manuales!$I$31*parametros_manuales!$J$31</f>
        <v>383.5256956499</v>
      </c>
      <c r="F230" s="9" t="n">
        <f aca="false">(parametros_manuales!$D$31*(datos_base!$J$2+datos_base!$J$18+IF(parametros_manuales!$H$31="Todos",datos_base!$J$9+datos_base!$J$23,0))*parametros_manuales!$F$95+parametros_manuales!$E$31*(datos_base!$J$3+datos_base!$J$19+IF(parametros_manuales!$H$31="Todos",datos_base!$J$10+datos_base!$J$24,0))*parametros_manuales!$F$100+parametros_manuales!$F$31*(datos_base!$J$4+datos_base!$J$20+IF(parametros_manuales!$H$31="Todos",datos_base!$J$11+datos_base!$J$25,0))*parametros_manuales!$F$105+parametros_manuales!$G$31*(datos_base!$J$5+datos_base!$J$21+IF(parametros_manuales!$H$31="Todos",datos_base!$J$12+datos_base!$J$26,0))*parametros_manuales!$F$110)*parametros_manuales!$I$31*parametros_manuales!$J$31</f>
        <v>358.9019119512</v>
      </c>
      <c r="G230" s="9" t="n">
        <f aca="false">(parametros_manuales!$D$31*(datos_base!$J$2+datos_base!$J$18+IF(parametros_manuales!$H$31="Todos",datos_base!$J$9+datos_base!$J$23,0))*parametros_manuales!$G$95+parametros_manuales!$E$31*(datos_base!$J$3+datos_base!$J$19+IF(parametros_manuales!$H$31="Todos",datos_base!$J$10+datos_base!$J$24,0))*parametros_manuales!$G$100+parametros_manuales!$F$31*(datos_base!$J$4+datos_base!$J$20+IF(parametros_manuales!$H$31="Todos",datos_base!$J$11+datos_base!$J$25,0))*parametros_manuales!$G$105+parametros_manuales!$G$31*(datos_base!$J$5+datos_base!$J$21+IF(parametros_manuales!$H$31="Todos",datos_base!$J$12+datos_base!$J$26,0))*parametros_manuales!$G$110)*parametros_manuales!$I$31*parametros_manuales!$J$31</f>
        <v>351.8174418665</v>
      </c>
      <c r="H230" s="9" t="n">
        <f aca="false">(parametros_manuales!$D$31*(datos_base!$J$2+datos_base!$J$18+IF(parametros_manuales!$H$31="Todos",datos_base!$J$9+datos_base!$J$23,0))*parametros_manuales!$H$95+parametros_manuales!$E$31*(datos_base!$J$3+datos_base!$J$19+IF(parametros_manuales!$H$31="Todos",datos_base!$J$10+datos_base!$J$24,0))*parametros_manuales!$H$100+parametros_manuales!$F$31*(datos_base!$J$4+datos_base!$J$20+IF(parametros_manuales!$H$31="Todos",datos_base!$J$11+datos_base!$J$25,0))*parametros_manuales!$H$105+parametros_manuales!$G$31*(datos_base!$J$5+datos_base!$J$21+IF(parametros_manuales!$H$31="Todos",datos_base!$J$12+datos_base!$J$26,0))*parametros_manuales!$H$110)*parametros_manuales!$I$31*parametros_manuales!$J$31</f>
        <v>376.4412255652</v>
      </c>
      <c r="I230" s="9" t="n">
        <f aca="false">(parametros_manuales!$D$31*(datos_base!$J$2+datos_base!$J$18+IF(parametros_manuales!$H$31="Todos",datos_base!$J$9+datos_base!$J$23,0))*parametros_manuales!$I$95+parametros_manuales!$E$31*(datos_base!$J$3+datos_base!$J$19+IF(parametros_manuales!$H$31="Todos",datos_base!$J$10+datos_base!$J$24,0))*parametros_manuales!$I$100+parametros_manuales!$F$31*(datos_base!$J$4+datos_base!$J$20+IF(parametros_manuales!$H$31="Todos",datos_base!$J$11+datos_base!$J$25,0))*parametros_manuales!$I$105+parametros_manuales!$G$31*(datos_base!$J$5+datos_base!$J$21+IF(parametros_manuales!$H$31="Todos",datos_base!$J$12+datos_base!$J$26,0))*parametros_manuales!$I$110)*parametros_manuales!$I$31*parametros_manuales!$J$31</f>
        <v>429.0591664072</v>
      </c>
      <c r="J230" s="9" t="n">
        <f aca="false">(parametros_manuales!$D$31*(datos_base!$J$2+datos_base!$J$18+IF(parametros_manuales!$H$31="Todos",datos_base!$J$9+datos_base!$J$23,0))*parametros_manuales!$J$95+parametros_manuales!$E$31*(datos_base!$J$3+datos_base!$J$19+IF(parametros_manuales!$H$31="Todos",datos_base!$J$10+datos_base!$J$24,0))*parametros_manuales!$J$100+parametros_manuales!$F$31*(datos_base!$J$4+datos_base!$J$20+IF(parametros_manuales!$H$31="Todos",datos_base!$J$11+datos_base!$J$25,0))*parametros_manuales!$J$105+parametros_manuales!$G$31*(datos_base!$J$5+datos_base!$J$21+IF(parametros_manuales!$H$31="Todos",datos_base!$J$12+datos_base!$J$26,0))*parametros_manuales!$J$110)*parametros_manuales!$I$31*parametros_manuales!$J$31</f>
        <v>429.0591664072</v>
      </c>
      <c r="K230" s="9" t="n">
        <f aca="false">(parametros_manuales!$D$31*(datos_base!$J$2+datos_base!$J$18+IF(parametros_manuales!$H$31="Todos",datos_base!$J$9+datos_base!$J$23,0))*parametros_manuales!$K$95+parametros_manuales!$E$31*(datos_base!$J$3+datos_base!$J$19+IF(parametros_manuales!$H$31="Todos",datos_base!$J$10+datos_base!$J$24,0))*parametros_manuales!$K$100+parametros_manuales!$F$31*(datos_base!$J$4+datos_base!$J$20+IF(parametros_manuales!$H$31="Todos",datos_base!$J$11+datos_base!$J$25,0))*parametros_manuales!$K$105+parametros_manuales!$G$31*(datos_base!$J$5+datos_base!$J$21+IF(parametros_manuales!$H$31="Todos",datos_base!$J$12+datos_base!$J$26,0))*parametros_manuales!$K$110)*parametros_manuales!$I$31*parametros_manuales!$J$31</f>
        <v>436.1436364919</v>
      </c>
      <c r="L230" s="9" t="n">
        <f aca="false">(parametros_manuales!$D$31*(datos_base!$J$2+datos_base!$J$18+IF(parametros_manuales!$H$31="Todos",datos_base!$J$9+datos_base!$J$23,0))*parametros_manuales!$L$95+parametros_manuales!$E$31*(datos_base!$J$3+datos_base!$J$19+IF(parametros_manuales!$H$31="Todos",datos_base!$J$10+datos_base!$J$24,0))*parametros_manuales!$L$100+parametros_manuales!$F$31*(datos_base!$J$4+datos_base!$J$20+IF(parametros_manuales!$H$31="Todos",datos_base!$J$11+datos_base!$J$25,0))*parametros_manuales!$L$105+parametros_manuales!$G$31*(datos_base!$J$5+datos_base!$J$21+IF(parametros_manuales!$H$31="Todos",datos_base!$J$12+datos_base!$J$26,0))*parametros_manuales!$L$110)*parametros_manuales!$I$31*parametros_manuales!$J$31</f>
        <v>443.2281065766</v>
      </c>
      <c r="M230" s="9" t="n">
        <f aca="false">(parametros_manuales!$D$31*(datos_base!$J$2+datos_base!$J$18+IF(parametros_manuales!$H$31="Todos",datos_base!$J$9+datos_base!$J$23,0))*parametros_manuales!$M$95+parametros_manuales!$E$31*(datos_base!$J$3+datos_base!$J$19+IF(parametros_manuales!$H$31="Todos",datos_base!$J$10+datos_base!$J$24,0))*parametros_manuales!$M$100+parametros_manuales!$F$31*(datos_base!$J$4+datos_base!$J$20+IF(parametros_manuales!$H$31="Todos",datos_base!$J$11+datos_base!$J$25,0))*parametros_manuales!$M$105+parametros_manuales!$G$31*(datos_base!$J$5+datos_base!$J$21+IF(parametros_manuales!$H$31="Todos",datos_base!$J$12+datos_base!$J$26,0))*parametros_manuales!$M$110)*parametros_manuales!$I$31*parametros_manuales!$J$31</f>
        <v>443.2281065766</v>
      </c>
      <c r="N230" s="9" t="n">
        <f aca="false">SUM(B230:M230)</f>
        <v>4924.75673974</v>
      </c>
      <c r="O230" s="9" t="n">
        <f aca="false">MAX(B230:M230)</f>
        <v>443.2281065766</v>
      </c>
      <c r="P230" s="43" t="n">
        <f aca="false">O230/(parametros_manuales!$B$7)</f>
        <v>2.954854043844</v>
      </c>
      <c r="Q230" s="8" t="str">
        <f aca="false">IF(O230=0,"-",INDEX($B$217:$M$217,MATCH(O230,B230:M230,0)))</f>
        <v>Ene</v>
      </c>
    </row>
    <row r="231" customFormat="false" ht="14.25" hidden="false" customHeight="true" outlineLevel="0" collapsed="false">
      <c r="A231" s="8" t="str">
        <f aca="false">parametros_manuales!$B$32</f>
        <v>Prueba hidráulica</v>
      </c>
      <c r="B231" s="9" t="n">
        <f aca="false">(parametros_manuales!$D$32*(datos_base!$J$2+datos_base!$J$18+IF(parametros_manuales!$H$32="Todos",datos_base!$J$9+datos_base!$J$23,0))*parametros_manuales!$B$95+parametros_manuales!$E$32*(datos_base!$J$3+datos_base!$J$19+IF(parametros_manuales!$H$32="Todos",datos_base!$J$10+datos_base!$J$24,0))*parametros_manuales!$B$100+parametros_manuales!$F$32*(datos_base!$J$4+datos_base!$J$20+IF(parametros_manuales!$H$32="Todos",datos_base!$J$11+datos_base!$J$25,0))*parametros_manuales!$B$105+parametros_manuales!$G$32*(datos_base!$J$5+datos_base!$J$21+IF(parametros_manuales!$H$32="Todos",datos_base!$J$12+datos_base!$J$26,0))*parametros_manuales!$B$110)*parametros_manuales!$I$32*parametros_manuales!$J$32</f>
        <v>22161.40532883</v>
      </c>
      <c r="C231" s="9" t="n">
        <f aca="false">(parametros_manuales!$D$32*(datos_base!$J$2+datos_base!$J$18+IF(parametros_manuales!$H$32="Todos",datos_base!$J$9+datos_base!$J$23,0))*parametros_manuales!$C$95+parametros_manuales!$E$32*(datos_base!$J$3+datos_base!$J$19+IF(parametros_manuales!$H$32="Todos",datos_base!$J$10+datos_base!$J$24,0))*parametros_manuales!$C$100+parametros_manuales!$F$32*(datos_base!$J$4+datos_base!$J$20+IF(parametros_manuales!$H$32="Todos",datos_base!$J$11+datos_base!$J$25,0))*parametros_manuales!$C$105+parametros_manuales!$G$32*(datos_base!$J$5+datos_base!$J$21+IF(parametros_manuales!$H$32="Todos",datos_base!$J$12+datos_base!$J$26,0))*parametros_manuales!$C$110)*parametros_manuales!$I$32*parametros_manuales!$J$32</f>
        <v>21452.95832036</v>
      </c>
      <c r="D231" s="9" t="n">
        <f aca="false">(parametros_manuales!$D$32*(datos_base!$J$2+datos_base!$J$18+IF(parametros_manuales!$H$32="Todos",datos_base!$J$9+datos_base!$J$23,0))*parametros_manuales!$D$95+parametros_manuales!$E$32*(datos_base!$J$3+datos_base!$J$19+IF(parametros_manuales!$H$32="Todos",datos_base!$J$10+datos_base!$J$24,0))*parametros_manuales!$D$100+parametros_manuales!$F$32*(datos_base!$J$4+datos_base!$J$20+IF(parametros_manuales!$H$32="Todos",datos_base!$J$11+datos_base!$J$25,0))*parametros_manuales!$D$105+parametros_manuales!$G$32*(datos_base!$J$5+datos_base!$J$21+IF(parametros_manuales!$H$32="Todos",datos_base!$J$12+datos_base!$J$26,0))*parametros_manuales!$D$110)*parametros_manuales!$I$32*parametros_manuales!$J$32</f>
        <v>20053.250463195</v>
      </c>
      <c r="E231" s="9" t="n">
        <f aca="false">(parametros_manuales!$D$32*(datos_base!$J$2+datos_base!$J$18+IF(parametros_manuales!$H$32="Todos",datos_base!$J$9+datos_base!$J$23,0))*parametros_manuales!$E$95+parametros_manuales!$E$32*(datos_base!$J$3+datos_base!$J$19+IF(parametros_manuales!$H$32="Todos",datos_base!$J$10+datos_base!$J$24,0))*parametros_manuales!$E$100+parametros_manuales!$F$32*(datos_base!$J$4+datos_base!$J$20+IF(parametros_manuales!$H$32="Todos",datos_base!$J$11+datos_base!$J$25,0))*parametros_manuales!$E$105+parametros_manuales!$G$32*(datos_base!$J$5+datos_base!$J$21+IF(parametros_manuales!$H$32="Todos",datos_base!$J$12+datos_base!$J$26,0))*parametros_manuales!$E$110)*parametros_manuales!$I$32*parametros_manuales!$J$32</f>
        <v>19176.284782495</v>
      </c>
      <c r="F231" s="9" t="n">
        <f aca="false">(parametros_manuales!$D$32*(datos_base!$J$2+datos_base!$J$18+IF(parametros_manuales!$H$32="Todos",datos_base!$J$9+datos_base!$J$23,0))*parametros_manuales!$F$95+parametros_manuales!$E$32*(datos_base!$J$3+datos_base!$J$19+IF(parametros_manuales!$H$32="Todos",datos_base!$J$10+datos_base!$J$24,0))*parametros_manuales!$F$100+parametros_manuales!$F$32*(datos_base!$J$4+datos_base!$J$20+IF(parametros_manuales!$H$32="Todos",datos_base!$J$11+datos_base!$J$25,0))*parametros_manuales!$F$105+parametros_manuales!$G$32*(datos_base!$J$5+datos_base!$J$21+IF(parametros_manuales!$H$32="Todos",datos_base!$J$12+datos_base!$J$26,0))*parametros_manuales!$F$110)*parametros_manuales!$I$32*parametros_manuales!$J$32</f>
        <v>17945.09559756</v>
      </c>
      <c r="G231" s="9" t="n">
        <f aca="false">(parametros_manuales!$D$32*(datos_base!$J$2+datos_base!$J$18+IF(parametros_manuales!$H$32="Todos",datos_base!$J$9+datos_base!$J$23,0))*parametros_manuales!$G$95+parametros_manuales!$E$32*(datos_base!$J$3+datos_base!$J$19+IF(parametros_manuales!$H$32="Todos",datos_base!$J$10+datos_base!$J$24,0))*parametros_manuales!$G$100+parametros_manuales!$F$32*(datos_base!$J$4+datos_base!$J$20+IF(parametros_manuales!$H$32="Todos",datos_base!$J$11+datos_base!$J$25,0))*parametros_manuales!$G$105+parametros_manuales!$G$32*(datos_base!$J$5+datos_base!$J$21+IF(parametros_manuales!$H$32="Todos",datos_base!$J$12+datos_base!$J$26,0))*parametros_manuales!$G$110)*parametros_manuales!$I$32*parametros_manuales!$J$32</f>
        <v>17590.872093325</v>
      </c>
      <c r="H231" s="9" t="n">
        <f aca="false">(parametros_manuales!$D$32*(datos_base!$J$2+datos_base!$J$18+IF(parametros_manuales!$H$32="Todos",datos_base!$J$9+datos_base!$J$23,0))*parametros_manuales!$H$95+parametros_manuales!$E$32*(datos_base!$J$3+datos_base!$J$19+IF(parametros_manuales!$H$32="Todos",datos_base!$J$10+datos_base!$J$24,0))*parametros_manuales!$H$100+parametros_manuales!$F$32*(datos_base!$J$4+datos_base!$J$20+IF(parametros_manuales!$H$32="Todos",datos_base!$J$11+datos_base!$J$25,0))*parametros_manuales!$H$105+parametros_manuales!$G$32*(datos_base!$J$5+datos_base!$J$21+IF(parametros_manuales!$H$32="Todos",datos_base!$J$12+datos_base!$J$26,0))*parametros_manuales!$H$110)*parametros_manuales!$I$32*parametros_manuales!$J$32</f>
        <v>18822.06127826</v>
      </c>
      <c r="I231" s="9" t="n">
        <f aca="false">(parametros_manuales!$D$32*(datos_base!$J$2+datos_base!$J$18+IF(parametros_manuales!$H$32="Todos",datos_base!$J$9+datos_base!$J$23,0))*parametros_manuales!$I$95+parametros_manuales!$E$32*(datos_base!$J$3+datos_base!$J$19+IF(parametros_manuales!$H$32="Todos",datos_base!$J$10+datos_base!$J$24,0))*parametros_manuales!$I$100+parametros_manuales!$F$32*(datos_base!$J$4+datos_base!$J$20+IF(parametros_manuales!$H$32="Todos",datos_base!$J$11+datos_base!$J$25,0))*parametros_manuales!$I$105+parametros_manuales!$G$32*(datos_base!$J$5+datos_base!$J$21+IF(parametros_manuales!$H$32="Todos",datos_base!$J$12+datos_base!$J$26,0))*parametros_manuales!$I$110)*parametros_manuales!$I$32*parametros_manuales!$J$32</f>
        <v>21452.95832036</v>
      </c>
      <c r="J231" s="9" t="n">
        <f aca="false">(parametros_manuales!$D$32*(datos_base!$J$2+datos_base!$J$18+IF(parametros_manuales!$H$32="Todos",datos_base!$J$9+datos_base!$J$23,0))*parametros_manuales!$J$95+parametros_manuales!$E$32*(datos_base!$J$3+datos_base!$J$19+IF(parametros_manuales!$H$32="Todos",datos_base!$J$10+datos_base!$J$24,0))*parametros_manuales!$J$100+parametros_manuales!$F$32*(datos_base!$J$4+datos_base!$J$20+IF(parametros_manuales!$H$32="Todos",datos_base!$J$11+datos_base!$J$25,0))*parametros_manuales!$J$105+parametros_manuales!$G$32*(datos_base!$J$5+datos_base!$J$21+IF(parametros_manuales!$H$32="Todos",datos_base!$J$12+datos_base!$J$26,0))*parametros_manuales!$J$110)*parametros_manuales!$I$32*parametros_manuales!$J$32</f>
        <v>21452.95832036</v>
      </c>
      <c r="K231" s="9" t="n">
        <f aca="false">(parametros_manuales!$D$32*(datos_base!$J$2+datos_base!$J$18+IF(parametros_manuales!$H$32="Todos",datos_base!$J$9+datos_base!$J$23,0))*parametros_manuales!$K$95+parametros_manuales!$E$32*(datos_base!$J$3+datos_base!$J$19+IF(parametros_manuales!$H$32="Todos",datos_base!$J$10+datos_base!$J$24,0))*parametros_manuales!$K$100+parametros_manuales!$F$32*(datos_base!$J$4+datos_base!$J$20+IF(parametros_manuales!$H$32="Todos",datos_base!$J$11+datos_base!$J$25,0))*parametros_manuales!$K$105+parametros_manuales!$G$32*(datos_base!$J$5+datos_base!$J$21+IF(parametros_manuales!$H$32="Todos",datos_base!$J$12+datos_base!$J$26,0))*parametros_manuales!$K$110)*parametros_manuales!$I$32*parametros_manuales!$J$32</f>
        <v>21807.181824595</v>
      </c>
      <c r="L231" s="9" t="n">
        <f aca="false">(parametros_manuales!$D$32*(datos_base!$J$2+datos_base!$J$18+IF(parametros_manuales!$H$32="Todos",datos_base!$J$9+datos_base!$J$23,0))*parametros_manuales!$L$95+parametros_manuales!$E$32*(datos_base!$J$3+datos_base!$J$19+IF(parametros_manuales!$H$32="Todos",datos_base!$J$10+datos_base!$J$24,0))*parametros_manuales!$L$100+parametros_manuales!$F$32*(datos_base!$J$4+datos_base!$J$20+IF(parametros_manuales!$H$32="Todos",datos_base!$J$11+datos_base!$J$25,0))*parametros_manuales!$L$105+parametros_manuales!$G$32*(datos_base!$J$5+datos_base!$J$21+IF(parametros_manuales!$H$32="Todos",datos_base!$J$12+datos_base!$J$26,0))*parametros_manuales!$L$110)*parametros_manuales!$I$32*parametros_manuales!$J$32</f>
        <v>22161.40532883</v>
      </c>
      <c r="M231" s="9" t="n">
        <f aca="false">(parametros_manuales!$D$32*(datos_base!$J$2+datos_base!$J$18+IF(parametros_manuales!$H$32="Todos",datos_base!$J$9+datos_base!$J$23,0))*parametros_manuales!$M$95+parametros_manuales!$E$32*(datos_base!$J$3+datos_base!$J$19+IF(parametros_manuales!$H$32="Todos",datos_base!$J$10+datos_base!$J$24,0))*parametros_manuales!$M$100+parametros_manuales!$F$32*(datos_base!$J$4+datos_base!$J$20+IF(parametros_manuales!$H$32="Todos",datos_base!$J$11+datos_base!$J$25,0))*parametros_manuales!$M$105+parametros_manuales!$G$32*(datos_base!$J$5+datos_base!$J$21+IF(parametros_manuales!$H$32="Todos",datos_base!$J$12+datos_base!$J$26,0))*parametros_manuales!$M$110)*parametros_manuales!$I$32*parametros_manuales!$J$32</f>
        <v>22161.40532883</v>
      </c>
      <c r="N231" s="9" t="n">
        <f aca="false">SUM(B231:M231)</f>
        <v>246237.836987</v>
      </c>
      <c r="O231" s="9" t="n">
        <f aca="false">MAX(B231:M231)</f>
        <v>22161.40532883</v>
      </c>
      <c r="P231" s="43" t="n">
        <f aca="false">O231/(parametros_manuales!$B$7)</f>
        <v>147.7427021922</v>
      </c>
      <c r="Q231" s="8" t="str">
        <f aca="false">IF(O231=0,"-",INDEX($B$217:$M$217,MATCH(O231,B231:M231,0)))</f>
        <v>Ene</v>
      </c>
    </row>
    <row r="232" customFormat="false" ht="14.25" hidden="false" customHeight="true" outlineLevel="0" collapsed="false">
      <c r="A232" s="8" t="str">
        <f aca="false">parametros_manuales!$B$33</f>
        <v>Secado</v>
      </c>
      <c r="B232" s="9" t="n">
        <f aca="false">(parametros_manuales!$D$33*(datos_base!$J$2+datos_base!$J$18+IF(parametros_manuales!$H$33="Todos",datos_base!$J$9+datos_base!$J$23,0))*parametros_manuales!$B$95+parametros_manuales!$E$33*(datos_base!$J$3+datos_base!$J$19+IF(parametros_manuales!$H$33="Todos",datos_base!$J$10+datos_base!$J$24,0))*parametros_manuales!$B$100+parametros_manuales!$F$33*(datos_base!$J$4+datos_base!$J$20+IF(parametros_manuales!$H$33="Todos",datos_base!$J$11+datos_base!$J$25,0))*parametros_manuales!$B$105+parametros_manuales!$G$33*(datos_base!$J$5+datos_base!$J$21+IF(parametros_manuales!$H$33="Todos",datos_base!$J$12+datos_base!$J$26,0))*parametros_manuales!$B$110)*parametros_manuales!$I$33*parametros_manuales!$J$33</f>
        <v>22161.40532883</v>
      </c>
      <c r="C232" s="9" t="n">
        <f aca="false">(parametros_manuales!$D$33*(datos_base!$J$2+datos_base!$J$18+IF(parametros_manuales!$H$33="Todos",datos_base!$J$9+datos_base!$J$23,0))*parametros_manuales!$C$95+parametros_manuales!$E$33*(datos_base!$J$3+datos_base!$J$19+IF(parametros_manuales!$H$33="Todos",datos_base!$J$10+datos_base!$J$24,0))*parametros_manuales!$C$100+parametros_manuales!$F$33*(datos_base!$J$4+datos_base!$J$20+IF(parametros_manuales!$H$33="Todos",datos_base!$J$11+datos_base!$J$25,0))*parametros_manuales!$C$105+parametros_manuales!$G$33*(datos_base!$J$5+datos_base!$J$21+IF(parametros_manuales!$H$33="Todos",datos_base!$J$12+datos_base!$J$26,0))*parametros_manuales!$C$110)*parametros_manuales!$I$33*parametros_manuales!$J$33</f>
        <v>21452.95832036</v>
      </c>
      <c r="D232" s="9" t="n">
        <f aca="false">(parametros_manuales!$D$33*(datos_base!$J$2+datos_base!$J$18+IF(parametros_manuales!$H$33="Todos",datos_base!$J$9+datos_base!$J$23,0))*parametros_manuales!$D$95+parametros_manuales!$E$33*(datos_base!$J$3+datos_base!$J$19+IF(parametros_manuales!$H$33="Todos",datos_base!$J$10+datos_base!$J$24,0))*parametros_manuales!$D$100+parametros_manuales!$F$33*(datos_base!$J$4+datos_base!$J$20+IF(parametros_manuales!$H$33="Todos",datos_base!$J$11+datos_base!$J$25,0))*parametros_manuales!$D$105+parametros_manuales!$G$33*(datos_base!$J$5+datos_base!$J$21+IF(parametros_manuales!$H$33="Todos",datos_base!$J$12+datos_base!$J$26,0))*parametros_manuales!$D$110)*parametros_manuales!$I$33*parametros_manuales!$J$33</f>
        <v>20053.250463195</v>
      </c>
      <c r="E232" s="9" t="n">
        <f aca="false">(parametros_manuales!$D$33*(datos_base!$J$2+datos_base!$J$18+IF(parametros_manuales!$H$33="Todos",datos_base!$J$9+datos_base!$J$23,0))*parametros_manuales!$E$95+parametros_manuales!$E$33*(datos_base!$J$3+datos_base!$J$19+IF(parametros_manuales!$H$33="Todos",datos_base!$J$10+datos_base!$J$24,0))*parametros_manuales!$E$100+parametros_manuales!$F$33*(datos_base!$J$4+datos_base!$J$20+IF(parametros_manuales!$H$33="Todos",datos_base!$J$11+datos_base!$J$25,0))*parametros_manuales!$E$105+parametros_manuales!$G$33*(datos_base!$J$5+datos_base!$J$21+IF(parametros_manuales!$H$33="Todos",datos_base!$J$12+datos_base!$J$26,0))*parametros_manuales!$E$110)*parametros_manuales!$I$33*parametros_manuales!$J$33</f>
        <v>19176.284782495</v>
      </c>
      <c r="F232" s="9" t="n">
        <f aca="false">(parametros_manuales!$D$33*(datos_base!$J$2+datos_base!$J$18+IF(parametros_manuales!$H$33="Todos",datos_base!$J$9+datos_base!$J$23,0))*parametros_manuales!$F$95+parametros_manuales!$E$33*(datos_base!$J$3+datos_base!$J$19+IF(parametros_manuales!$H$33="Todos",datos_base!$J$10+datos_base!$J$24,0))*parametros_manuales!$F$100+parametros_manuales!$F$33*(datos_base!$J$4+datos_base!$J$20+IF(parametros_manuales!$H$33="Todos",datos_base!$J$11+datos_base!$J$25,0))*parametros_manuales!$F$105+parametros_manuales!$G$33*(datos_base!$J$5+datos_base!$J$21+IF(parametros_manuales!$H$33="Todos",datos_base!$J$12+datos_base!$J$26,0))*parametros_manuales!$F$110)*parametros_manuales!$I$33*parametros_manuales!$J$33</f>
        <v>17945.09559756</v>
      </c>
      <c r="G232" s="9" t="n">
        <f aca="false">(parametros_manuales!$D$33*(datos_base!$J$2+datos_base!$J$18+IF(parametros_manuales!$H$33="Todos",datos_base!$J$9+datos_base!$J$23,0))*parametros_manuales!$G$95+parametros_manuales!$E$33*(datos_base!$J$3+datos_base!$J$19+IF(parametros_manuales!$H$33="Todos",datos_base!$J$10+datos_base!$J$24,0))*parametros_manuales!$G$100+parametros_manuales!$F$33*(datos_base!$J$4+datos_base!$J$20+IF(parametros_manuales!$H$33="Todos",datos_base!$J$11+datos_base!$J$25,0))*parametros_manuales!$G$105+parametros_manuales!$G$33*(datos_base!$J$5+datos_base!$J$21+IF(parametros_manuales!$H$33="Todos",datos_base!$J$12+datos_base!$J$26,0))*parametros_manuales!$G$110)*parametros_manuales!$I$33*parametros_manuales!$J$33</f>
        <v>17590.872093325</v>
      </c>
      <c r="H232" s="9" t="n">
        <f aca="false">(parametros_manuales!$D$33*(datos_base!$J$2+datos_base!$J$18+IF(parametros_manuales!$H$33="Todos",datos_base!$J$9+datos_base!$J$23,0))*parametros_manuales!$H$95+parametros_manuales!$E$33*(datos_base!$J$3+datos_base!$J$19+IF(parametros_manuales!$H$33="Todos",datos_base!$J$10+datos_base!$J$24,0))*parametros_manuales!$H$100+parametros_manuales!$F$33*(datos_base!$J$4+datos_base!$J$20+IF(parametros_manuales!$H$33="Todos",datos_base!$J$11+datos_base!$J$25,0))*parametros_manuales!$H$105+parametros_manuales!$G$33*(datos_base!$J$5+datos_base!$J$21+IF(parametros_manuales!$H$33="Todos",datos_base!$J$12+datos_base!$J$26,0))*parametros_manuales!$H$110)*parametros_manuales!$I$33*parametros_manuales!$J$33</f>
        <v>18822.06127826</v>
      </c>
      <c r="I232" s="9" t="n">
        <f aca="false">(parametros_manuales!$D$33*(datos_base!$J$2+datos_base!$J$18+IF(parametros_manuales!$H$33="Todos",datos_base!$J$9+datos_base!$J$23,0))*parametros_manuales!$I$95+parametros_manuales!$E$33*(datos_base!$J$3+datos_base!$J$19+IF(parametros_manuales!$H$33="Todos",datos_base!$J$10+datos_base!$J$24,0))*parametros_manuales!$I$100+parametros_manuales!$F$33*(datos_base!$J$4+datos_base!$J$20+IF(parametros_manuales!$H$33="Todos",datos_base!$J$11+datos_base!$J$25,0))*parametros_manuales!$I$105+parametros_manuales!$G$33*(datos_base!$J$5+datos_base!$J$21+IF(parametros_manuales!$H$33="Todos",datos_base!$J$12+datos_base!$J$26,0))*parametros_manuales!$I$110)*parametros_manuales!$I$33*parametros_manuales!$J$33</f>
        <v>21452.95832036</v>
      </c>
      <c r="J232" s="9" t="n">
        <f aca="false">(parametros_manuales!$D$33*(datos_base!$J$2+datos_base!$J$18+IF(parametros_manuales!$H$33="Todos",datos_base!$J$9+datos_base!$J$23,0))*parametros_manuales!$J$95+parametros_manuales!$E$33*(datos_base!$J$3+datos_base!$J$19+IF(parametros_manuales!$H$33="Todos",datos_base!$J$10+datos_base!$J$24,0))*parametros_manuales!$J$100+parametros_manuales!$F$33*(datos_base!$J$4+datos_base!$J$20+IF(parametros_manuales!$H$33="Todos",datos_base!$J$11+datos_base!$J$25,0))*parametros_manuales!$J$105+parametros_manuales!$G$33*(datos_base!$J$5+datos_base!$J$21+IF(parametros_manuales!$H$33="Todos",datos_base!$J$12+datos_base!$J$26,0))*parametros_manuales!$J$110)*parametros_manuales!$I$33*parametros_manuales!$J$33</f>
        <v>21452.95832036</v>
      </c>
      <c r="K232" s="9" t="n">
        <f aca="false">(parametros_manuales!$D$33*(datos_base!$J$2+datos_base!$J$18+IF(parametros_manuales!$H$33="Todos",datos_base!$J$9+datos_base!$J$23,0))*parametros_manuales!$K$95+parametros_manuales!$E$33*(datos_base!$J$3+datos_base!$J$19+IF(parametros_manuales!$H$33="Todos",datos_base!$J$10+datos_base!$J$24,0))*parametros_manuales!$K$100+parametros_manuales!$F$33*(datos_base!$J$4+datos_base!$J$20+IF(parametros_manuales!$H$33="Todos",datos_base!$J$11+datos_base!$J$25,0))*parametros_manuales!$K$105+parametros_manuales!$G$33*(datos_base!$J$5+datos_base!$J$21+IF(parametros_manuales!$H$33="Todos",datos_base!$J$12+datos_base!$J$26,0))*parametros_manuales!$K$110)*parametros_manuales!$I$33*parametros_manuales!$J$33</f>
        <v>21807.181824595</v>
      </c>
      <c r="L232" s="9" t="n">
        <f aca="false">(parametros_manuales!$D$33*(datos_base!$J$2+datos_base!$J$18+IF(parametros_manuales!$H$33="Todos",datos_base!$J$9+datos_base!$J$23,0))*parametros_manuales!$L$95+parametros_manuales!$E$33*(datos_base!$J$3+datos_base!$J$19+IF(parametros_manuales!$H$33="Todos",datos_base!$J$10+datos_base!$J$24,0))*parametros_manuales!$L$100+parametros_manuales!$F$33*(datos_base!$J$4+datos_base!$J$20+IF(parametros_manuales!$H$33="Todos",datos_base!$J$11+datos_base!$J$25,0))*parametros_manuales!$L$105+parametros_manuales!$G$33*(datos_base!$J$5+datos_base!$J$21+IF(parametros_manuales!$H$33="Todos",datos_base!$J$12+datos_base!$J$26,0))*parametros_manuales!$L$110)*parametros_manuales!$I$33*parametros_manuales!$J$33</f>
        <v>22161.40532883</v>
      </c>
      <c r="M232" s="9" t="n">
        <f aca="false">(parametros_manuales!$D$33*(datos_base!$J$2+datos_base!$J$18+IF(parametros_manuales!$H$33="Todos",datos_base!$J$9+datos_base!$J$23,0))*parametros_manuales!$M$95+parametros_manuales!$E$33*(datos_base!$J$3+datos_base!$J$19+IF(parametros_manuales!$H$33="Todos",datos_base!$J$10+datos_base!$J$24,0))*parametros_manuales!$M$100+parametros_manuales!$F$33*(datos_base!$J$4+datos_base!$J$20+IF(parametros_manuales!$H$33="Todos",datos_base!$J$11+datos_base!$J$25,0))*parametros_manuales!$M$105+parametros_manuales!$G$33*(datos_base!$J$5+datos_base!$J$21+IF(parametros_manuales!$H$33="Todos",datos_base!$J$12+datos_base!$J$26,0))*parametros_manuales!$M$110)*parametros_manuales!$I$33*parametros_manuales!$J$33</f>
        <v>22161.40532883</v>
      </c>
      <c r="N232" s="9" t="n">
        <f aca="false">SUM(B232:M232)</f>
        <v>246237.836987</v>
      </c>
      <c r="O232" s="9" t="n">
        <f aca="false">MAX(B232:M232)</f>
        <v>22161.40532883</v>
      </c>
      <c r="P232" s="43" t="n">
        <f aca="false">O232/(parametros_manuales!$B$7)</f>
        <v>147.7427021922</v>
      </c>
      <c r="Q232" s="8" t="str">
        <f aca="false">IF(O232=0,"-",INDEX($B$217:$M$217,MATCH(O232,B232:M232,0)))</f>
        <v>Ene</v>
      </c>
    </row>
    <row r="233" customFormat="false" ht="14.25" hidden="false" customHeight="true" outlineLevel="0" collapsed="false">
      <c r="A233" s="8" t="str">
        <f aca="false">parametros_manuales!$B$34</f>
        <v>Granallado</v>
      </c>
      <c r="B233" s="9" t="n">
        <f aca="false">(parametros_manuales!$D$34*(datos_base!$J$2+datos_base!$J$18+IF(parametros_manuales!$H$34="Todos",datos_base!$J$9+datos_base!$J$23,0))*parametros_manuales!$B$95+parametros_manuales!$E$34*(datos_base!$J$3+datos_base!$J$19+IF(parametros_manuales!$H$34="Todos",datos_base!$J$10+datos_base!$J$24,0))*parametros_manuales!$B$100+parametros_manuales!$F$34*(datos_base!$J$4+datos_base!$J$20+IF(parametros_manuales!$H$34="Todos",datos_base!$J$11+datos_base!$J$25,0))*parametros_manuales!$B$105+parametros_manuales!$G$34*(datos_base!$J$5+datos_base!$J$21+IF(parametros_manuales!$H$34="Todos",datos_base!$J$12+datos_base!$J$26,0))*parametros_manuales!$B$110)*parametros_manuales!$I$34*parametros_manuales!$J$34</f>
        <v>22161.40532883</v>
      </c>
      <c r="C233" s="9" t="n">
        <f aca="false">(parametros_manuales!$D$34*(datos_base!$J$2+datos_base!$J$18+IF(parametros_manuales!$H$34="Todos",datos_base!$J$9+datos_base!$J$23,0))*parametros_manuales!$C$95+parametros_manuales!$E$34*(datos_base!$J$3+datos_base!$J$19+IF(parametros_manuales!$H$34="Todos",datos_base!$J$10+datos_base!$J$24,0))*parametros_manuales!$C$100+parametros_manuales!$F$34*(datos_base!$J$4+datos_base!$J$20+IF(parametros_manuales!$H$34="Todos",datos_base!$J$11+datos_base!$J$25,0))*parametros_manuales!$C$105+parametros_manuales!$G$34*(datos_base!$J$5+datos_base!$J$21+IF(parametros_manuales!$H$34="Todos",datos_base!$J$12+datos_base!$J$26,0))*parametros_manuales!$C$110)*parametros_manuales!$I$34*parametros_manuales!$J$34</f>
        <v>21452.95832036</v>
      </c>
      <c r="D233" s="9" t="n">
        <f aca="false">(parametros_manuales!$D$34*(datos_base!$J$2+datos_base!$J$18+IF(parametros_manuales!$H$34="Todos",datos_base!$J$9+datos_base!$J$23,0))*parametros_manuales!$D$95+parametros_manuales!$E$34*(datos_base!$J$3+datos_base!$J$19+IF(parametros_manuales!$H$34="Todos",datos_base!$J$10+datos_base!$J$24,0))*parametros_manuales!$D$100+parametros_manuales!$F$34*(datos_base!$J$4+datos_base!$J$20+IF(parametros_manuales!$H$34="Todos",datos_base!$J$11+datos_base!$J$25,0))*parametros_manuales!$D$105+parametros_manuales!$G$34*(datos_base!$J$5+datos_base!$J$21+IF(parametros_manuales!$H$34="Todos",datos_base!$J$12+datos_base!$J$26,0))*parametros_manuales!$D$110)*parametros_manuales!$I$34*parametros_manuales!$J$34</f>
        <v>20053.250463195</v>
      </c>
      <c r="E233" s="9" t="n">
        <f aca="false">(parametros_manuales!$D$34*(datos_base!$J$2+datos_base!$J$18+IF(parametros_manuales!$H$34="Todos",datos_base!$J$9+datos_base!$J$23,0))*parametros_manuales!$E$95+parametros_manuales!$E$34*(datos_base!$J$3+datos_base!$J$19+IF(parametros_manuales!$H$34="Todos",datos_base!$J$10+datos_base!$J$24,0))*parametros_manuales!$E$100+parametros_manuales!$F$34*(datos_base!$J$4+datos_base!$J$20+IF(parametros_manuales!$H$34="Todos",datos_base!$J$11+datos_base!$J$25,0))*parametros_manuales!$E$105+parametros_manuales!$G$34*(datos_base!$J$5+datos_base!$J$21+IF(parametros_manuales!$H$34="Todos",datos_base!$J$12+datos_base!$J$26,0))*parametros_manuales!$E$110)*parametros_manuales!$I$34*parametros_manuales!$J$34</f>
        <v>19176.284782495</v>
      </c>
      <c r="F233" s="9" t="n">
        <f aca="false">(parametros_manuales!$D$34*(datos_base!$J$2+datos_base!$J$18+IF(parametros_manuales!$H$34="Todos",datos_base!$J$9+datos_base!$J$23,0))*parametros_manuales!$F$95+parametros_manuales!$E$34*(datos_base!$J$3+datos_base!$J$19+IF(parametros_manuales!$H$34="Todos",datos_base!$J$10+datos_base!$J$24,0))*parametros_manuales!$F$100+parametros_manuales!$F$34*(datos_base!$J$4+datos_base!$J$20+IF(parametros_manuales!$H$34="Todos",datos_base!$J$11+datos_base!$J$25,0))*parametros_manuales!$F$105+parametros_manuales!$G$34*(datos_base!$J$5+datos_base!$J$21+IF(parametros_manuales!$H$34="Todos",datos_base!$J$12+datos_base!$J$26,0))*parametros_manuales!$F$110)*parametros_manuales!$I$34*parametros_manuales!$J$34</f>
        <v>17945.09559756</v>
      </c>
      <c r="G233" s="9" t="n">
        <f aca="false">(parametros_manuales!$D$34*(datos_base!$J$2+datos_base!$J$18+IF(parametros_manuales!$H$34="Todos",datos_base!$J$9+datos_base!$J$23,0))*parametros_manuales!$G$95+parametros_manuales!$E$34*(datos_base!$J$3+datos_base!$J$19+IF(parametros_manuales!$H$34="Todos",datos_base!$J$10+datos_base!$J$24,0))*parametros_manuales!$G$100+parametros_manuales!$F$34*(datos_base!$J$4+datos_base!$J$20+IF(parametros_manuales!$H$34="Todos",datos_base!$J$11+datos_base!$J$25,0))*parametros_manuales!$G$105+parametros_manuales!$G$34*(datos_base!$J$5+datos_base!$J$21+IF(parametros_manuales!$H$34="Todos",datos_base!$J$12+datos_base!$J$26,0))*parametros_manuales!$G$110)*parametros_manuales!$I$34*parametros_manuales!$J$34</f>
        <v>17590.872093325</v>
      </c>
      <c r="H233" s="9" t="n">
        <f aca="false">(parametros_manuales!$D$34*(datos_base!$J$2+datos_base!$J$18+IF(parametros_manuales!$H$34="Todos",datos_base!$J$9+datos_base!$J$23,0))*parametros_manuales!$H$95+parametros_manuales!$E$34*(datos_base!$J$3+datos_base!$J$19+IF(parametros_manuales!$H$34="Todos",datos_base!$J$10+datos_base!$J$24,0))*parametros_manuales!$H$100+parametros_manuales!$F$34*(datos_base!$J$4+datos_base!$J$20+IF(parametros_manuales!$H$34="Todos",datos_base!$J$11+datos_base!$J$25,0))*parametros_manuales!$H$105+parametros_manuales!$G$34*(datos_base!$J$5+datos_base!$J$21+IF(parametros_manuales!$H$34="Todos",datos_base!$J$12+datos_base!$J$26,0))*parametros_manuales!$H$110)*parametros_manuales!$I$34*parametros_manuales!$J$34</f>
        <v>18822.06127826</v>
      </c>
      <c r="I233" s="9" t="n">
        <f aca="false">(parametros_manuales!$D$34*(datos_base!$J$2+datos_base!$J$18+IF(parametros_manuales!$H$34="Todos",datos_base!$J$9+datos_base!$J$23,0))*parametros_manuales!$I$95+parametros_manuales!$E$34*(datos_base!$J$3+datos_base!$J$19+IF(parametros_manuales!$H$34="Todos",datos_base!$J$10+datos_base!$J$24,0))*parametros_manuales!$I$100+parametros_manuales!$F$34*(datos_base!$J$4+datos_base!$J$20+IF(parametros_manuales!$H$34="Todos",datos_base!$J$11+datos_base!$J$25,0))*parametros_manuales!$I$105+parametros_manuales!$G$34*(datos_base!$J$5+datos_base!$J$21+IF(parametros_manuales!$H$34="Todos",datos_base!$J$12+datos_base!$J$26,0))*parametros_manuales!$I$110)*parametros_manuales!$I$34*parametros_manuales!$J$34</f>
        <v>21452.95832036</v>
      </c>
      <c r="J233" s="9" t="n">
        <f aca="false">(parametros_manuales!$D$34*(datos_base!$J$2+datos_base!$J$18+IF(parametros_manuales!$H$34="Todos",datos_base!$J$9+datos_base!$J$23,0))*parametros_manuales!$J$95+parametros_manuales!$E$34*(datos_base!$J$3+datos_base!$J$19+IF(parametros_manuales!$H$34="Todos",datos_base!$J$10+datos_base!$J$24,0))*parametros_manuales!$J$100+parametros_manuales!$F$34*(datos_base!$J$4+datos_base!$J$20+IF(parametros_manuales!$H$34="Todos",datos_base!$J$11+datos_base!$J$25,0))*parametros_manuales!$J$105+parametros_manuales!$G$34*(datos_base!$J$5+datos_base!$J$21+IF(parametros_manuales!$H$34="Todos",datos_base!$J$12+datos_base!$J$26,0))*parametros_manuales!$J$110)*parametros_manuales!$I$34*parametros_manuales!$J$34</f>
        <v>21452.95832036</v>
      </c>
      <c r="K233" s="9" t="n">
        <f aca="false">(parametros_manuales!$D$34*(datos_base!$J$2+datos_base!$J$18+IF(parametros_manuales!$H$34="Todos",datos_base!$J$9+datos_base!$J$23,0))*parametros_manuales!$K$95+parametros_manuales!$E$34*(datos_base!$J$3+datos_base!$J$19+IF(parametros_manuales!$H$34="Todos",datos_base!$J$10+datos_base!$J$24,0))*parametros_manuales!$K$100+parametros_manuales!$F$34*(datos_base!$J$4+datos_base!$J$20+IF(parametros_manuales!$H$34="Todos",datos_base!$J$11+datos_base!$J$25,0))*parametros_manuales!$K$105+parametros_manuales!$G$34*(datos_base!$J$5+datos_base!$J$21+IF(parametros_manuales!$H$34="Todos",datos_base!$J$12+datos_base!$J$26,0))*parametros_manuales!$K$110)*parametros_manuales!$I$34*parametros_manuales!$J$34</f>
        <v>21807.181824595</v>
      </c>
      <c r="L233" s="9" t="n">
        <f aca="false">(parametros_manuales!$D$34*(datos_base!$J$2+datos_base!$J$18+IF(parametros_manuales!$H$34="Todos",datos_base!$J$9+datos_base!$J$23,0))*parametros_manuales!$L$95+parametros_manuales!$E$34*(datos_base!$J$3+datos_base!$J$19+IF(parametros_manuales!$H$34="Todos",datos_base!$J$10+datos_base!$J$24,0))*parametros_manuales!$L$100+parametros_manuales!$F$34*(datos_base!$J$4+datos_base!$J$20+IF(parametros_manuales!$H$34="Todos",datos_base!$J$11+datos_base!$J$25,0))*parametros_manuales!$L$105+parametros_manuales!$G$34*(datos_base!$J$5+datos_base!$J$21+IF(parametros_manuales!$H$34="Todos",datos_base!$J$12+datos_base!$J$26,0))*parametros_manuales!$L$110)*parametros_manuales!$I$34*parametros_manuales!$J$34</f>
        <v>22161.40532883</v>
      </c>
      <c r="M233" s="9" t="n">
        <f aca="false">(parametros_manuales!$D$34*(datos_base!$J$2+datos_base!$J$18+IF(parametros_manuales!$H$34="Todos",datos_base!$J$9+datos_base!$J$23,0))*parametros_manuales!$M$95+parametros_manuales!$E$34*(datos_base!$J$3+datos_base!$J$19+IF(parametros_manuales!$H$34="Todos",datos_base!$J$10+datos_base!$J$24,0))*parametros_manuales!$M$100+parametros_manuales!$F$34*(datos_base!$J$4+datos_base!$J$20+IF(parametros_manuales!$H$34="Todos",datos_base!$J$11+datos_base!$J$25,0))*parametros_manuales!$M$105+parametros_manuales!$G$34*(datos_base!$J$5+datos_base!$J$21+IF(parametros_manuales!$H$34="Todos",datos_base!$J$12+datos_base!$J$26,0))*parametros_manuales!$M$110)*parametros_manuales!$I$34*parametros_manuales!$J$34</f>
        <v>22161.40532883</v>
      </c>
      <c r="N233" s="9" t="n">
        <f aca="false">SUM(B233:M233)</f>
        <v>246237.836987</v>
      </c>
      <c r="O233" s="9" t="n">
        <f aca="false">MAX(B233:M233)</f>
        <v>22161.40532883</v>
      </c>
      <c r="P233" s="43" t="n">
        <f aca="false">O233/(parametros_manuales!$B$7)</f>
        <v>147.7427021922</v>
      </c>
      <c r="Q233" s="8" t="str">
        <f aca="false">IF(O233=0,"-",INDEX($B$217:$M$217,MATCH(O233,B233:M233,0)))</f>
        <v>Ene</v>
      </c>
    </row>
    <row r="234" customFormat="false" ht="14.25" hidden="false" customHeight="true" outlineLevel="0" collapsed="false">
      <c r="A234" s="8" t="str">
        <f aca="false">parametros_manuales!$B$35</f>
        <v>Detección de defectos</v>
      </c>
      <c r="B234" s="9" t="n">
        <f aca="false">(parametros_manuales!$D$35*(datos_base!$J$2+datos_base!$J$18+IF(parametros_manuales!$H$35="Todos",datos_base!$J$9+datos_base!$J$23,0))*parametros_manuales!$B$95+parametros_manuales!$E$35*(datos_base!$J$3+datos_base!$J$19+IF(parametros_manuales!$H$35="Todos",datos_base!$J$10+datos_base!$J$24,0))*parametros_manuales!$B$100+parametros_manuales!$F$35*(datos_base!$J$4+datos_base!$J$20+IF(parametros_manuales!$H$35="Todos",datos_base!$J$11+datos_base!$J$25,0))*parametros_manuales!$B$105+parametros_manuales!$G$35*(datos_base!$J$5+datos_base!$J$21+IF(parametros_manuales!$H$35="Todos",datos_base!$J$12+datos_base!$J$26,0))*parametros_manuales!$B$110)*parametros_manuales!$I$35*parametros_manuales!$J$35</f>
        <v>22161.40532883</v>
      </c>
      <c r="C234" s="9" t="n">
        <f aca="false">(parametros_manuales!$D$35*(datos_base!$J$2+datos_base!$J$18+IF(parametros_manuales!$H$35="Todos",datos_base!$J$9+datos_base!$J$23,0))*parametros_manuales!$C$95+parametros_manuales!$E$35*(datos_base!$J$3+datos_base!$J$19+IF(parametros_manuales!$H$35="Todos",datos_base!$J$10+datos_base!$J$24,0))*parametros_manuales!$C$100+parametros_manuales!$F$35*(datos_base!$J$4+datos_base!$J$20+IF(parametros_manuales!$H$35="Todos",datos_base!$J$11+datos_base!$J$25,0))*parametros_manuales!$C$105+parametros_manuales!$G$35*(datos_base!$J$5+datos_base!$J$21+IF(parametros_manuales!$H$35="Todos",datos_base!$J$12+datos_base!$J$26,0))*parametros_manuales!$C$110)*parametros_manuales!$I$35*parametros_manuales!$J$35</f>
        <v>21452.95832036</v>
      </c>
      <c r="D234" s="9" t="n">
        <f aca="false">(parametros_manuales!$D$35*(datos_base!$J$2+datos_base!$J$18+IF(parametros_manuales!$H$35="Todos",datos_base!$J$9+datos_base!$J$23,0))*parametros_manuales!$D$95+parametros_manuales!$E$35*(datos_base!$J$3+datos_base!$J$19+IF(parametros_manuales!$H$35="Todos",datos_base!$J$10+datos_base!$J$24,0))*parametros_manuales!$D$100+parametros_manuales!$F$35*(datos_base!$J$4+datos_base!$J$20+IF(parametros_manuales!$H$35="Todos",datos_base!$J$11+datos_base!$J$25,0))*parametros_manuales!$D$105+parametros_manuales!$G$35*(datos_base!$J$5+datos_base!$J$21+IF(parametros_manuales!$H$35="Todos",datos_base!$J$12+datos_base!$J$26,0))*parametros_manuales!$D$110)*parametros_manuales!$I$35*parametros_manuales!$J$35</f>
        <v>20053.250463195</v>
      </c>
      <c r="E234" s="9" t="n">
        <f aca="false">(parametros_manuales!$D$35*(datos_base!$J$2+datos_base!$J$18+IF(parametros_manuales!$H$35="Todos",datos_base!$J$9+datos_base!$J$23,0))*parametros_manuales!$E$95+parametros_manuales!$E$35*(datos_base!$J$3+datos_base!$J$19+IF(parametros_manuales!$H$35="Todos",datos_base!$J$10+datos_base!$J$24,0))*parametros_manuales!$E$100+parametros_manuales!$F$35*(datos_base!$J$4+datos_base!$J$20+IF(parametros_manuales!$H$35="Todos",datos_base!$J$11+datos_base!$J$25,0))*parametros_manuales!$E$105+parametros_manuales!$G$35*(datos_base!$J$5+datos_base!$J$21+IF(parametros_manuales!$H$35="Todos",datos_base!$J$12+datos_base!$J$26,0))*parametros_manuales!$E$110)*parametros_manuales!$I$35*parametros_manuales!$J$35</f>
        <v>19176.284782495</v>
      </c>
      <c r="F234" s="9" t="n">
        <f aca="false">(parametros_manuales!$D$35*(datos_base!$J$2+datos_base!$J$18+IF(parametros_manuales!$H$35="Todos",datos_base!$J$9+datos_base!$J$23,0))*parametros_manuales!$F$95+parametros_manuales!$E$35*(datos_base!$J$3+datos_base!$J$19+IF(parametros_manuales!$H$35="Todos",datos_base!$J$10+datos_base!$J$24,0))*parametros_manuales!$F$100+parametros_manuales!$F$35*(datos_base!$J$4+datos_base!$J$20+IF(parametros_manuales!$H$35="Todos",datos_base!$J$11+datos_base!$J$25,0))*parametros_manuales!$F$105+parametros_manuales!$G$35*(datos_base!$J$5+datos_base!$J$21+IF(parametros_manuales!$H$35="Todos",datos_base!$J$12+datos_base!$J$26,0))*parametros_manuales!$F$110)*parametros_manuales!$I$35*parametros_manuales!$J$35</f>
        <v>17945.09559756</v>
      </c>
      <c r="G234" s="9" t="n">
        <f aca="false">(parametros_manuales!$D$35*(datos_base!$J$2+datos_base!$J$18+IF(parametros_manuales!$H$35="Todos",datos_base!$J$9+datos_base!$J$23,0))*parametros_manuales!$G$95+parametros_manuales!$E$35*(datos_base!$J$3+datos_base!$J$19+IF(parametros_manuales!$H$35="Todos",datos_base!$J$10+datos_base!$J$24,0))*parametros_manuales!$G$100+parametros_manuales!$F$35*(datos_base!$J$4+datos_base!$J$20+IF(parametros_manuales!$H$35="Todos",datos_base!$J$11+datos_base!$J$25,0))*parametros_manuales!$G$105+parametros_manuales!$G$35*(datos_base!$J$5+datos_base!$J$21+IF(parametros_manuales!$H$35="Todos",datos_base!$J$12+datos_base!$J$26,0))*parametros_manuales!$G$110)*parametros_manuales!$I$35*parametros_manuales!$J$35</f>
        <v>17590.872093325</v>
      </c>
      <c r="H234" s="9" t="n">
        <f aca="false">(parametros_manuales!$D$35*(datos_base!$J$2+datos_base!$J$18+IF(parametros_manuales!$H$35="Todos",datos_base!$J$9+datos_base!$J$23,0))*parametros_manuales!$H$95+parametros_manuales!$E$35*(datos_base!$J$3+datos_base!$J$19+IF(parametros_manuales!$H$35="Todos",datos_base!$J$10+datos_base!$J$24,0))*parametros_manuales!$H$100+parametros_manuales!$F$35*(datos_base!$J$4+datos_base!$J$20+IF(parametros_manuales!$H$35="Todos",datos_base!$J$11+datos_base!$J$25,0))*parametros_manuales!$H$105+parametros_manuales!$G$35*(datos_base!$J$5+datos_base!$J$21+IF(parametros_manuales!$H$35="Todos",datos_base!$J$12+datos_base!$J$26,0))*parametros_manuales!$H$110)*parametros_manuales!$I$35*parametros_manuales!$J$35</f>
        <v>18822.06127826</v>
      </c>
      <c r="I234" s="9" t="n">
        <f aca="false">(parametros_manuales!$D$35*(datos_base!$J$2+datos_base!$J$18+IF(parametros_manuales!$H$35="Todos",datos_base!$J$9+datos_base!$J$23,0))*parametros_manuales!$I$95+parametros_manuales!$E$35*(datos_base!$J$3+datos_base!$J$19+IF(parametros_manuales!$H$35="Todos",datos_base!$J$10+datos_base!$J$24,0))*parametros_manuales!$I$100+parametros_manuales!$F$35*(datos_base!$J$4+datos_base!$J$20+IF(parametros_manuales!$H$35="Todos",datos_base!$J$11+datos_base!$J$25,0))*parametros_manuales!$I$105+parametros_manuales!$G$35*(datos_base!$J$5+datos_base!$J$21+IF(parametros_manuales!$H$35="Todos",datos_base!$J$12+datos_base!$J$26,0))*parametros_manuales!$I$110)*parametros_manuales!$I$35*parametros_manuales!$J$35</f>
        <v>21452.95832036</v>
      </c>
      <c r="J234" s="9" t="n">
        <f aca="false">(parametros_manuales!$D$35*(datos_base!$J$2+datos_base!$J$18+IF(parametros_manuales!$H$35="Todos",datos_base!$J$9+datos_base!$J$23,0))*parametros_manuales!$J$95+parametros_manuales!$E$35*(datos_base!$J$3+datos_base!$J$19+IF(parametros_manuales!$H$35="Todos",datos_base!$J$10+datos_base!$J$24,0))*parametros_manuales!$J$100+parametros_manuales!$F$35*(datos_base!$J$4+datos_base!$J$20+IF(parametros_manuales!$H$35="Todos",datos_base!$J$11+datos_base!$J$25,0))*parametros_manuales!$J$105+parametros_manuales!$G$35*(datos_base!$J$5+datos_base!$J$21+IF(parametros_manuales!$H$35="Todos",datos_base!$J$12+datos_base!$J$26,0))*parametros_manuales!$J$110)*parametros_manuales!$I$35*parametros_manuales!$J$35</f>
        <v>21452.95832036</v>
      </c>
      <c r="K234" s="9" t="n">
        <f aca="false">(parametros_manuales!$D$35*(datos_base!$J$2+datos_base!$J$18+IF(parametros_manuales!$H$35="Todos",datos_base!$J$9+datos_base!$J$23,0))*parametros_manuales!$K$95+parametros_manuales!$E$35*(datos_base!$J$3+datos_base!$J$19+IF(parametros_manuales!$H$35="Todos",datos_base!$J$10+datos_base!$J$24,0))*parametros_manuales!$K$100+parametros_manuales!$F$35*(datos_base!$J$4+datos_base!$J$20+IF(parametros_manuales!$H$35="Todos",datos_base!$J$11+datos_base!$J$25,0))*parametros_manuales!$K$105+parametros_manuales!$G$35*(datos_base!$J$5+datos_base!$J$21+IF(parametros_manuales!$H$35="Todos",datos_base!$J$12+datos_base!$J$26,0))*parametros_manuales!$K$110)*parametros_manuales!$I$35*parametros_manuales!$J$35</f>
        <v>21807.181824595</v>
      </c>
      <c r="L234" s="9" t="n">
        <f aca="false">(parametros_manuales!$D$35*(datos_base!$J$2+datos_base!$J$18+IF(parametros_manuales!$H$35="Todos",datos_base!$J$9+datos_base!$J$23,0))*parametros_manuales!$L$95+parametros_manuales!$E$35*(datos_base!$J$3+datos_base!$J$19+IF(parametros_manuales!$H$35="Todos",datos_base!$J$10+datos_base!$J$24,0))*parametros_manuales!$L$100+parametros_manuales!$F$35*(datos_base!$J$4+datos_base!$J$20+IF(parametros_manuales!$H$35="Todos",datos_base!$J$11+datos_base!$J$25,0))*parametros_manuales!$L$105+parametros_manuales!$G$35*(datos_base!$J$5+datos_base!$J$21+IF(parametros_manuales!$H$35="Todos",datos_base!$J$12+datos_base!$J$26,0))*parametros_manuales!$L$110)*parametros_manuales!$I$35*parametros_manuales!$J$35</f>
        <v>22161.40532883</v>
      </c>
      <c r="M234" s="9" t="n">
        <f aca="false">(parametros_manuales!$D$35*(datos_base!$J$2+datos_base!$J$18+IF(parametros_manuales!$H$35="Todos",datos_base!$J$9+datos_base!$J$23,0))*parametros_manuales!$M$95+parametros_manuales!$E$35*(datos_base!$J$3+datos_base!$J$19+IF(parametros_manuales!$H$35="Todos",datos_base!$J$10+datos_base!$J$24,0))*parametros_manuales!$M$100+parametros_manuales!$F$35*(datos_base!$J$4+datos_base!$J$20+IF(parametros_manuales!$H$35="Todos",datos_base!$J$11+datos_base!$J$25,0))*parametros_manuales!$M$105+parametros_manuales!$G$35*(datos_base!$J$5+datos_base!$J$21+IF(parametros_manuales!$H$35="Todos",datos_base!$J$12+datos_base!$J$26,0))*parametros_manuales!$M$110)*parametros_manuales!$I$35*parametros_manuales!$J$35</f>
        <v>22161.40532883</v>
      </c>
      <c r="N234" s="9" t="n">
        <f aca="false">SUM(B234:M234)</f>
        <v>246237.836987</v>
      </c>
      <c r="O234" s="9" t="n">
        <f aca="false">MAX(B234:M234)</f>
        <v>22161.40532883</v>
      </c>
      <c r="P234" s="43" t="n">
        <f aca="false">O234/(parametros_manuales!$B$7)</f>
        <v>147.7427021922</v>
      </c>
      <c r="Q234" s="8" t="str">
        <f aca="false">IF(O234=0,"-",INDEX($B$217:$M$217,MATCH(O234,B234:M234,0)))</f>
        <v>Ene</v>
      </c>
    </row>
    <row r="235" customFormat="false" ht="14.25" hidden="false" customHeight="true" outlineLevel="0" collapsed="false">
      <c r="A235" s="8" t="str">
        <f aca="false">parametros_manuales!$B$36</f>
        <v>Corrección de defectos</v>
      </c>
      <c r="B235" s="9" t="n">
        <f aca="false">(parametros_manuales!$D$36*(datos_base!$J$2+datos_base!$J$18+IF(parametros_manuales!$H$36="Todos",datos_base!$J$9+datos_base!$J$23,0))*parametros_manuales!$B$95+parametros_manuales!$E$36*(datos_base!$J$3+datos_base!$J$19+IF(parametros_manuales!$H$36="Todos",datos_base!$J$10+datos_base!$J$24,0))*parametros_manuales!$B$100+parametros_manuales!$F$36*(datos_base!$J$4+datos_base!$J$20+IF(parametros_manuales!$H$36="Todos",datos_base!$J$11+datos_base!$J$25,0))*parametros_manuales!$B$105+parametros_manuales!$G$36*(datos_base!$J$5+datos_base!$J$21+IF(parametros_manuales!$H$36="Todos",datos_base!$J$12+datos_base!$J$26,0))*parametros_manuales!$B$110)*parametros_manuales!$I$36*parametros_manuales!$J$36</f>
        <v>1108.0702664415</v>
      </c>
      <c r="C235" s="9" t="n">
        <f aca="false">(parametros_manuales!$D$36*(datos_base!$J$2+datos_base!$J$18+IF(parametros_manuales!$H$36="Todos",datos_base!$J$9+datos_base!$J$23,0))*parametros_manuales!$C$95+parametros_manuales!$E$36*(datos_base!$J$3+datos_base!$J$19+IF(parametros_manuales!$H$36="Todos",datos_base!$J$10+datos_base!$J$24,0))*parametros_manuales!$C$100+parametros_manuales!$F$36*(datos_base!$J$4+datos_base!$J$20+IF(parametros_manuales!$H$36="Todos",datos_base!$J$11+datos_base!$J$25,0))*parametros_manuales!$C$105+parametros_manuales!$G$36*(datos_base!$J$5+datos_base!$J$21+IF(parametros_manuales!$H$36="Todos",datos_base!$J$12+datos_base!$J$26,0))*parametros_manuales!$C$110)*parametros_manuales!$I$36*parametros_manuales!$J$36</f>
        <v>1072.647916018</v>
      </c>
      <c r="D235" s="9" t="n">
        <f aca="false">(parametros_manuales!$D$36*(datos_base!$J$2+datos_base!$J$18+IF(parametros_manuales!$H$36="Todos",datos_base!$J$9+datos_base!$J$23,0))*parametros_manuales!$D$95+parametros_manuales!$E$36*(datos_base!$J$3+datos_base!$J$19+IF(parametros_manuales!$H$36="Todos",datos_base!$J$10+datos_base!$J$24,0))*parametros_manuales!$D$100+parametros_manuales!$F$36*(datos_base!$J$4+datos_base!$J$20+IF(parametros_manuales!$H$36="Todos",datos_base!$J$11+datos_base!$J$25,0))*parametros_manuales!$D$105+parametros_manuales!$G$36*(datos_base!$J$5+datos_base!$J$21+IF(parametros_manuales!$H$36="Todos",datos_base!$J$12+datos_base!$J$26,0))*parametros_manuales!$D$110)*parametros_manuales!$I$36*parametros_manuales!$J$36</f>
        <v>1002.66252315975</v>
      </c>
      <c r="E235" s="9" t="n">
        <f aca="false">(parametros_manuales!$D$36*(datos_base!$J$2+datos_base!$J$18+IF(parametros_manuales!$H$36="Todos",datos_base!$J$9+datos_base!$J$23,0))*parametros_manuales!$E$95+parametros_manuales!$E$36*(datos_base!$J$3+datos_base!$J$19+IF(parametros_manuales!$H$36="Todos",datos_base!$J$10+datos_base!$J$24,0))*parametros_manuales!$E$100+parametros_manuales!$F$36*(datos_base!$J$4+datos_base!$J$20+IF(parametros_manuales!$H$36="Todos",datos_base!$J$11+datos_base!$J$25,0))*parametros_manuales!$E$105+parametros_manuales!$G$36*(datos_base!$J$5+datos_base!$J$21+IF(parametros_manuales!$H$36="Todos",datos_base!$J$12+datos_base!$J$26,0))*parametros_manuales!$E$110)*parametros_manuales!$I$36*parametros_manuales!$J$36</f>
        <v>958.81423912475</v>
      </c>
      <c r="F235" s="9" t="n">
        <f aca="false">(parametros_manuales!$D$36*(datos_base!$J$2+datos_base!$J$18+IF(parametros_manuales!$H$36="Todos",datos_base!$J$9+datos_base!$J$23,0))*parametros_manuales!$F$95+parametros_manuales!$E$36*(datos_base!$J$3+datos_base!$J$19+IF(parametros_manuales!$H$36="Todos",datos_base!$J$10+datos_base!$J$24,0))*parametros_manuales!$F$100+parametros_manuales!$F$36*(datos_base!$J$4+datos_base!$J$20+IF(parametros_manuales!$H$36="Todos",datos_base!$J$11+datos_base!$J$25,0))*parametros_manuales!$F$105+parametros_manuales!$G$36*(datos_base!$J$5+datos_base!$J$21+IF(parametros_manuales!$H$36="Todos",datos_base!$J$12+datos_base!$J$26,0))*parametros_manuales!$F$110)*parametros_manuales!$I$36*parametros_manuales!$J$36</f>
        <v>897.254779878</v>
      </c>
      <c r="G235" s="9" t="n">
        <f aca="false">(parametros_manuales!$D$36*(datos_base!$J$2+datos_base!$J$18+IF(parametros_manuales!$H$36="Todos",datos_base!$J$9+datos_base!$J$23,0))*parametros_manuales!$G$95+parametros_manuales!$E$36*(datos_base!$J$3+datos_base!$J$19+IF(parametros_manuales!$H$36="Todos",datos_base!$J$10+datos_base!$J$24,0))*parametros_manuales!$G$100+parametros_manuales!$F$36*(datos_base!$J$4+datos_base!$J$20+IF(parametros_manuales!$H$36="Todos",datos_base!$J$11+datos_base!$J$25,0))*parametros_manuales!$G$105+parametros_manuales!$G$36*(datos_base!$J$5+datos_base!$J$21+IF(parametros_manuales!$H$36="Todos",datos_base!$J$12+datos_base!$J$26,0))*parametros_manuales!$G$110)*parametros_manuales!$I$36*parametros_manuales!$J$36</f>
        <v>879.54360466625</v>
      </c>
      <c r="H235" s="9" t="n">
        <f aca="false">(parametros_manuales!$D$36*(datos_base!$J$2+datos_base!$J$18+IF(parametros_manuales!$H$36="Todos",datos_base!$J$9+datos_base!$J$23,0))*parametros_manuales!$H$95+parametros_manuales!$E$36*(datos_base!$J$3+datos_base!$J$19+IF(parametros_manuales!$H$36="Todos",datos_base!$J$10+datos_base!$J$24,0))*parametros_manuales!$H$100+parametros_manuales!$F$36*(datos_base!$J$4+datos_base!$J$20+IF(parametros_manuales!$H$36="Todos",datos_base!$J$11+datos_base!$J$25,0))*parametros_manuales!$H$105+parametros_manuales!$G$36*(datos_base!$J$5+datos_base!$J$21+IF(parametros_manuales!$H$36="Todos",datos_base!$J$12+datos_base!$J$26,0))*parametros_manuales!$H$110)*parametros_manuales!$I$36*parametros_manuales!$J$36</f>
        <v>941.103063913</v>
      </c>
      <c r="I235" s="9" t="n">
        <f aca="false">(parametros_manuales!$D$36*(datos_base!$J$2+datos_base!$J$18+IF(parametros_manuales!$H$36="Todos",datos_base!$J$9+datos_base!$J$23,0))*parametros_manuales!$I$95+parametros_manuales!$E$36*(datos_base!$J$3+datos_base!$J$19+IF(parametros_manuales!$H$36="Todos",datos_base!$J$10+datos_base!$J$24,0))*parametros_manuales!$I$100+parametros_manuales!$F$36*(datos_base!$J$4+datos_base!$J$20+IF(parametros_manuales!$H$36="Todos",datos_base!$J$11+datos_base!$J$25,0))*parametros_manuales!$I$105+parametros_manuales!$G$36*(datos_base!$J$5+datos_base!$J$21+IF(parametros_manuales!$H$36="Todos",datos_base!$J$12+datos_base!$J$26,0))*parametros_manuales!$I$110)*parametros_manuales!$I$36*parametros_manuales!$J$36</f>
        <v>1072.647916018</v>
      </c>
      <c r="J235" s="9" t="n">
        <f aca="false">(parametros_manuales!$D$36*(datos_base!$J$2+datos_base!$J$18+IF(parametros_manuales!$H$36="Todos",datos_base!$J$9+datos_base!$J$23,0))*parametros_manuales!$J$95+parametros_manuales!$E$36*(datos_base!$J$3+datos_base!$J$19+IF(parametros_manuales!$H$36="Todos",datos_base!$J$10+datos_base!$J$24,0))*parametros_manuales!$J$100+parametros_manuales!$F$36*(datos_base!$J$4+datos_base!$J$20+IF(parametros_manuales!$H$36="Todos",datos_base!$J$11+datos_base!$J$25,0))*parametros_manuales!$J$105+parametros_manuales!$G$36*(datos_base!$J$5+datos_base!$J$21+IF(parametros_manuales!$H$36="Todos",datos_base!$J$12+datos_base!$J$26,0))*parametros_manuales!$J$110)*parametros_manuales!$I$36*parametros_manuales!$J$36</f>
        <v>1072.647916018</v>
      </c>
      <c r="K235" s="9" t="n">
        <f aca="false">(parametros_manuales!$D$36*(datos_base!$J$2+datos_base!$J$18+IF(parametros_manuales!$H$36="Todos",datos_base!$J$9+datos_base!$J$23,0))*parametros_manuales!$K$95+parametros_manuales!$E$36*(datos_base!$J$3+datos_base!$J$19+IF(parametros_manuales!$H$36="Todos",datos_base!$J$10+datos_base!$J$24,0))*parametros_manuales!$K$100+parametros_manuales!$F$36*(datos_base!$J$4+datos_base!$J$20+IF(parametros_manuales!$H$36="Todos",datos_base!$J$11+datos_base!$J$25,0))*parametros_manuales!$K$105+parametros_manuales!$G$36*(datos_base!$J$5+datos_base!$J$21+IF(parametros_manuales!$H$36="Todos",datos_base!$J$12+datos_base!$J$26,0))*parametros_manuales!$K$110)*parametros_manuales!$I$36*parametros_manuales!$J$36</f>
        <v>1090.35909122975</v>
      </c>
      <c r="L235" s="9" t="n">
        <f aca="false">(parametros_manuales!$D$36*(datos_base!$J$2+datos_base!$J$18+IF(parametros_manuales!$H$36="Todos",datos_base!$J$9+datos_base!$J$23,0))*parametros_manuales!$L$95+parametros_manuales!$E$36*(datos_base!$J$3+datos_base!$J$19+IF(parametros_manuales!$H$36="Todos",datos_base!$J$10+datos_base!$J$24,0))*parametros_manuales!$L$100+parametros_manuales!$F$36*(datos_base!$J$4+datos_base!$J$20+IF(parametros_manuales!$H$36="Todos",datos_base!$J$11+datos_base!$J$25,0))*parametros_manuales!$L$105+parametros_manuales!$G$36*(datos_base!$J$5+datos_base!$J$21+IF(parametros_manuales!$H$36="Todos",datos_base!$J$12+datos_base!$J$26,0))*parametros_manuales!$L$110)*parametros_manuales!$I$36*parametros_manuales!$J$36</f>
        <v>1108.0702664415</v>
      </c>
      <c r="M235" s="9" t="n">
        <f aca="false">(parametros_manuales!$D$36*(datos_base!$J$2+datos_base!$J$18+IF(parametros_manuales!$H$36="Todos",datos_base!$J$9+datos_base!$J$23,0))*parametros_manuales!$M$95+parametros_manuales!$E$36*(datos_base!$J$3+datos_base!$J$19+IF(parametros_manuales!$H$36="Todos",datos_base!$J$10+datos_base!$J$24,0))*parametros_manuales!$M$100+parametros_manuales!$F$36*(datos_base!$J$4+datos_base!$J$20+IF(parametros_manuales!$H$36="Todos",datos_base!$J$11+datos_base!$J$25,0))*parametros_manuales!$M$105+parametros_manuales!$G$36*(datos_base!$J$5+datos_base!$J$21+IF(parametros_manuales!$H$36="Todos",datos_base!$J$12+datos_base!$J$26,0))*parametros_manuales!$M$110)*parametros_manuales!$I$36*parametros_manuales!$J$36</f>
        <v>1108.0702664415</v>
      </c>
      <c r="N235" s="9" t="n">
        <f aca="false">SUM(B235:M235)</f>
        <v>12311.89184935</v>
      </c>
      <c r="O235" s="9" t="n">
        <f aca="false">MAX(B235:M235)</f>
        <v>1108.0702664415</v>
      </c>
      <c r="P235" s="43" t="n">
        <f aca="false">O235/(parametros_manuales!$B$7)</f>
        <v>7.38713510961</v>
      </c>
      <c r="Q235" s="8" t="str">
        <f aca="false">IF(O235=0,"-",INDEX($B$217:$M$217,MATCH(O235,B235:M235,0)))</f>
        <v>Ene</v>
      </c>
    </row>
    <row r="236" customFormat="false" ht="14.25" hidden="false" customHeight="true" outlineLevel="0" collapsed="false">
      <c r="A236" s="8" t="str">
        <f aca="false">parametros_manuales!$B$37</f>
        <v>Pintura en polvo + horno</v>
      </c>
      <c r="B236" s="9" t="n">
        <f aca="false">(parametros_manuales!$D$37*(datos_base!$J$2+datos_base!$J$18+IF(parametros_manuales!$H$37="Todos",datos_base!$J$9+datos_base!$J$23,0))*parametros_manuales!$B$95+parametros_manuales!$E$37*(datos_base!$J$3+datos_base!$J$19+IF(parametros_manuales!$H$37="Todos",datos_base!$J$10+datos_base!$J$24,0))*parametros_manuales!$B$100+parametros_manuales!$F$37*(datos_base!$J$4+datos_base!$J$20+IF(parametros_manuales!$H$37="Todos",datos_base!$J$11+datos_base!$J$25,0))*parametros_manuales!$B$105+parametros_manuales!$G$37*(datos_base!$J$5+datos_base!$J$21+IF(parametros_manuales!$H$37="Todos",datos_base!$J$12+datos_base!$J$26,0))*parametros_manuales!$B$110)*parametros_manuales!$I$37*parametros_manuales!$J$37</f>
        <v>22161.40532883</v>
      </c>
      <c r="C236" s="9" t="n">
        <f aca="false">(parametros_manuales!$D$37*(datos_base!$J$2+datos_base!$J$18+IF(parametros_manuales!$H$37="Todos",datos_base!$J$9+datos_base!$J$23,0))*parametros_manuales!$C$95+parametros_manuales!$E$37*(datos_base!$J$3+datos_base!$J$19+IF(parametros_manuales!$H$37="Todos",datos_base!$J$10+datos_base!$J$24,0))*parametros_manuales!$C$100+parametros_manuales!$F$37*(datos_base!$J$4+datos_base!$J$20+IF(parametros_manuales!$H$37="Todos",datos_base!$J$11+datos_base!$J$25,0))*parametros_manuales!$C$105+parametros_manuales!$G$37*(datos_base!$J$5+datos_base!$J$21+IF(parametros_manuales!$H$37="Todos",datos_base!$J$12+datos_base!$J$26,0))*parametros_manuales!$C$110)*parametros_manuales!$I$37*parametros_manuales!$J$37</f>
        <v>21452.95832036</v>
      </c>
      <c r="D236" s="9" t="n">
        <f aca="false">(parametros_manuales!$D$37*(datos_base!$J$2+datos_base!$J$18+IF(parametros_manuales!$H$37="Todos",datos_base!$J$9+datos_base!$J$23,0))*parametros_manuales!$D$95+parametros_manuales!$E$37*(datos_base!$J$3+datos_base!$J$19+IF(parametros_manuales!$H$37="Todos",datos_base!$J$10+datos_base!$J$24,0))*parametros_manuales!$D$100+parametros_manuales!$F$37*(datos_base!$J$4+datos_base!$J$20+IF(parametros_manuales!$H$37="Todos",datos_base!$J$11+datos_base!$J$25,0))*parametros_manuales!$D$105+parametros_manuales!$G$37*(datos_base!$J$5+datos_base!$J$21+IF(parametros_manuales!$H$37="Todos",datos_base!$J$12+datos_base!$J$26,0))*parametros_manuales!$D$110)*parametros_manuales!$I$37*parametros_manuales!$J$37</f>
        <v>20053.250463195</v>
      </c>
      <c r="E236" s="9" t="n">
        <f aca="false">(parametros_manuales!$D$37*(datos_base!$J$2+datos_base!$J$18+IF(parametros_manuales!$H$37="Todos",datos_base!$J$9+datos_base!$J$23,0))*parametros_manuales!$E$95+parametros_manuales!$E$37*(datos_base!$J$3+datos_base!$J$19+IF(parametros_manuales!$H$37="Todos",datos_base!$J$10+datos_base!$J$24,0))*parametros_manuales!$E$100+parametros_manuales!$F$37*(datos_base!$J$4+datos_base!$J$20+IF(parametros_manuales!$H$37="Todos",datos_base!$J$11+datos_base!$J$25,0))*parametros_manuales!$E$105+parametros_manuales!$G$37*(datos_base!$J$5+datos_base!$J$21+IF(parametros_manuales!$H$37="Todos",datos_base!$J$12+datos_base!$J$26,0))*parametros_manuales!$E$110)*parametros_manuales!$I$37*parametros_manuales!$J$37</f>
        <v>19176.284782495</v>
      </c>
      <c r="F236" s="9" t="n">
        <f aca="false">(parametros_manuales!$D$37*(datos_base!$J$2+datos_base!$J$18+IF(parametros_manuales!$H$37="Todos",datos_base!$J$9+datos_base!$J$23,0))*parametros_manuales!$F$95+parametros_manuales!$E$37*(datos_base!$J$3+datos_base!$J$19+IF(parametros_manuales!$H$37="Todos",datos_base!$J$10+datos_base!$J$24,0))*parametros_manuales!$F$100+parametros_manuales!$F$37*(datos_base!$J$4+datos_base!$J$20+IF(parametros_manuales!$H$37="Todos",datos_base!$J$11+datos_base!$J$25,0))*parametros_manuales!$F$105+parametros_manuales!$G$37*(datos_base!$J$5+datos_base!$J$21+IF(parametros_manuales!$H$37="Todos",datos_base!$J$12+datos_base!$J$26,0))*parametros_manuales!$F$110)*parametros_manuales!$I$37*parametros_manuales!$J$37</f>
        <v>17945.09559756</v>
      </c>
      <c r="G236" s="9" t="n">
        <f aca="false">(parametros_manuales!$D$37*(datos_base!$J$2+datos_base!$J$18+IF(parametros_manuales!$H$37="Todos",datos_base!$J$9+datos_base!$J$23,0))*parametros_manuales!$G$95+parametros_manuales!$E$37*(datos_base!$J$3+datos_base!$J$19+IF(parametros_manuales!$H$37="Todos",datos_base!$J$10+datos_base!$J$24,0))*parametros_manuales!$G$100+parametros_manuales!$F$37*(datos_base!$J$4+datos_base!$J$20+IF(parametros_manuales!$H$37="Todos",datos_base!$J$11+datos_base!$J$25,0))*parametros_manuales!$G$105+parametros_manuales!$G$37*(datos_base!$J$5+datos_base!$J$21+IF(parametros_manuales!$H$37="Todos",datos_base!$J$12+datos_base!$J$26,0))*parametros_manuales!$G$110)*parametros_manuales!$I$37*parametros_manuales!$J$37</f>
        <v>17590.872093325</v>
      </c>
      <c r="H236" s="9" t="n">
        <f aca="false">(parametros_manuales!$D$37*(datos_base!$J$2+datos_base!$J$18+IF(parametros_manuales!$H$37="Todos",datos_base!$J$9+datos_base!$J$23,0))*parametros_manuales!$H$95+parametros_manuales!$E$37*(datos_base!$J$3+datos_base!$J$19+IF(parametros_manuales!$H$37="Todos",datos_base!$J$10+datos_base!$J$24,0))*parametros_manuales!$H$100+parametros_manuales!$F$37*(datos_base!$J$4+datos_base!$J$20+IF(parametros_manuales!$H$37="Todos",datos_base!$J$11+datos_base!$J$25,0))*parametros_manuales!$H$105+parametros_manuales!$G$37*(datos_base!$J$5+datos_base!$J$21+IF(parametros_manuales!$H$37="Todos",datos_base!$J$12+datos_base!$J$26,0))*parametros_manuales!$H$110)*parametros_manuales!$I$37*parametros_manuales!$J$37</f>
        <v>18822.06127826</v>
      </c>
      <c r="I236" s="9" t="n">
        <f aca="false">(parametros_manuales!$D$37*(datos_base!$J$2+datos_base!$J$18+IF(parametros_manuales!$H$37="Todos",datos_base!$J$9+datos_base!$J$23,0))*parametros_manuales!$I$95+parametros_manuales!$E$37*(datos_base!$J$3+datos_base!$J$19+IF(parametros_manuales!$H$37="Todos",datos_base!$J$10+datos_base!$J$24,0))*parametros_manuales!$I$100+parametros_manuales!$F$37*(datos_base!$J$4+datos_base!$J$20+IF(parametros_manuales!$H$37="Todos",datos_base!$J$11+datos_base!$J$25,0))*parametros_manuales!$I$105+parametros_manuales!$G$37*(datos_base!$J$5+datos_base!$J$21+IF(parametros_manuales!$H$37="Todos",datos_base!$J$12+datos_base!$J$26,0))*parametros_manuales!$I$110)*parametros_manuales!$I$37*parametros_manuales!$J$37</f>
        <v>21452.95832036</v>
      </c>
      <c r="J236" s="9" t="n">
        <f aca="false">(parametros_manuales!$D$37*(datos_base!$J$2+datos_base!$J$18+IF(parametros_manuales!$H$37="Todos",datos_base!$J$9+datos_base!$J$23,0))*parametros_manuales!$J$95+parametros_manuales!$E$37*(datos_base!$J$3+datos_base!$J$19+IF(parametros_manuales!$H$37="Todos",datos_base!$J$10+datos_base!$J$24,0))*parametros_manuales!$J$100+parametros_manuales!$F$37*(datos_base!$J$4+datos_base!$J$20+IF(parametros_manuales!$H$37="Todos",datos_base!$J$11+datos_base!$J$25,0))*parametros_manuales!$J$105+parametros_manuales!$G$37*(datos_base!$J$5+datos_base!$J$21+IF(parametros_manuales!$H$37="Todos",datos_base!$J$12+datos_base!$J$26,0))*parametros_manuales!$J$110)*parametros_manuales!$I$37*parametros_manuales!$J$37</f>
        <v>21452.95832036</v>
      </c>
      <c r="K236" s="9" t="n">
        <f aca="false">(parametros_manuales!$D$37*(datos_base!$J$2+datos_base!$J$18+IF(parametros_manuales!$H$37="Todos",datos_base!$J$9+datos_base!$J$23,0))*parametros_manuales!$K$95+parametros_manuales!$E$37*(datos_base!$J$3+datos_base!$J$19+IF(parametros_manuales!$H$37="Todos",datos_base!$J$10+datos_base!$J$24,0))*parametros_manuales!$K$100+parametros_manuales!$F$37*(datos_base!$J$4+datos_base!$J$20+IF(parametros_manuales!$H$37="Todos",datos_base!$J$11+datos_base!$J$25,0))*parametros_manuales!$K$105+parametros_manuales!$G$37*(datos_base!$J$5+datos_base!$J$21+IF(parametros_manuales!$H$37="Todos",datos_base!$J$12+datos_base!$J$26,0))*parametros_manuales!$K$110)*parametros_manuales!$I$37*parametros_manuales!$J$37</f>
        <v>21807.181824595</v>
      </c>
      <c r="L236" s="9" t="n">
        <f aca="false">(parametros_manuales!$D$37*(datos_base!$J$2+datos_base!$J$18+IF(parametros_manuales!$H$37="Todos",datos_base!$J$9+datos_base!$J$23,0))*parametros_manuales!$L$95+parametros_manuales!$E$37*(datos_base!$J$3+datos_base!$J$19+IF(parametros_manuales!$H$37="Todos",datos_base!$J$10+datos_base!$J$24,0))*parametros_manuales!$L$100+parametros_manuales!$F$37*(datos_base!$J$4+datos_base!$J$20+IF(parametros_manuales!$H$37="Todos",datos_base!$J$11+datos_base!$J$25,0))*parametros_manuales!$L$105+parametros_manuales!$G$37*(datos_base!$J$5+datos_base!$J$21+IF(parametros_manuales!$H$37="Todos",datos_base!$J$12+datos_base!$J$26,0))*parametros_manuales!$L$110)*parametros_manuales!$I$37*parametros_manuales!$J$37</f>
        <v>22161.40532883</v>
      </c>
      <c r="M236" s="9" t="n">
        <f aca="false">(parametros_manuales!$D$37*(datos_base!$J$2+datos_base!$J$18+IF(parametros_manuales!$H$37="Todos",datos_base!$J$9+datos_base!$J$23,0))*parametros_manuales!$M$95+parametros_manuales!$E$37*(datos_base!$J$3+datos_base!$J$19+IF(parametros_manuales!$H$37="Todos",datos_base!$J$10+datos_base!$J$24,0))*parametros_manuales!$M$100+parametros_manuales!$F$37*(datos_base!$J$4+datos_base!$J$20+IF(parametros_manuales!$H$37="Todos",datos_base!$J$11+datos_base!$J$25,0))*parametros_manuales!$M$105+parametros_manuales!$G$37*(datos_base!$J$5+datos_base!$J$21+IF(parametros_manuales!$H$37="Todos",datos_base!$J$12+datos_base!$J$26,0))*parametros_manuales!$M$110)*parametros_manuales!$I$37*parametros_manuales!$J$37</f>
        <v>22161.40532883</v>
      </c>
      <c r="N236" s="9" t="n">
        <f aca="false">SUM(B236:M236)</f>
        <v>246237.836987</v>
      </c>
      <c r="O236" s="9" t="n">
        <f aca="false">MAX(B236:M236)</f>
        <v>22161.40532883</v>
      </c>
      <c r="P236" s="43" t="n">
        <f aca="false">O236/(parametros_manuales!$B$7)</f>
        <v>147.7427021922</v>
      </c>
      <c r="Q236" s="8" t="str">
        <f aca="false">IF(O236=0,"-",INDEX($B$217:$M$217,MATCH(O236,B236:M236,0)))</f>
        <v>Ene</v>
      </c>
    </row>
    <row r="237" customFormat="false" ht="14.25" hidden="false" customHeight="true" outlineLevel="0" collapsed="false">
      <c r="A237" s="8" t="str">
        <f aca="false">parametros_manuales!$B$38</f>
        <v>Carga de polvo</v>
      </c>
      <c r="B237" s="9" t="n">
        <f aca="false">(parametros_manuales!$D$38*(datos_base!$J$2+datos_base!$J$18+IF(parametros_manuales!$H$38="Todos",datos_base!$J$9+datos_base!$J$23,0))*parametros_manuales!$B$95+parametros_manuales!$E$38*(datos_base!$J$3+datos_base!$J$19+IF(parametros_manuales!$H$38="Todos",datos_base!$J$10+datos_base!$J$24,0))*parametros_manuales!$B$100+parametros_manuales!$F$38*(datos_base!$J$4+datos_base!$J$20+IF(parametros_manuales!$H$38="Todos",datos_base!$J$11+datos_base!$J$25,0))*parametros_manuales!$B$105+parametros_manuales!$G$38*(datos_base!$J$5+datos_base!$J$21+IF(parametros_manuales!$H$38="Todos",datos_base!$J$12+datos_base!$J$26,0))*parametros_manuales!$B$110)*parametros_manuales!$I$38*parametros_manuales!$J$38</f>
        <v>5709.68612883</v>
      </c>
      <c r="C237" s="9" t="n">
        <f aca="false">(parametros_manuales!$D$38*(datos_base!$J$2+datos_base!$J$18+IF(parametros_manuales!$H$38="Todos",datos_base!$J$9+datos_base!$J$23,0))*parametros_manuales!$C$95+parametros_manuales!$E$38*(datos_base!$J$3+datos_base!$J$19+IF(parametros_manuales!$H$38="Todos",datos_base!$J$10+datos_base!$J$24,0))*parametros_manuales!$C$100+parametros_manuales!$F$38*(datos_base!$J$4+datos_base!$J$20+IF(parametros_manuales!$H$38="Todos",datos_base!$J$11+datos_base!$J$25,0))*parametros_manuales!$C$105+parametros_manuales!$G$38*(datos_base!$J$5+datos_base!$J$21+IF(parametros_manuales!$H$38="Todos",datos_base!$J$12+datos_base!$J$26,0))*parametros_manuales!$C$110)*parametros_manuales!$I$38*parametros_manuales!$J$38</f>
        <v>5361.00992036</v>
      </c>
      <c r="D237" s="9" t="n">
        <f aca="false">(parametros_manuales!$D$38*(datos_base!$J$2+datos_base!$J$18+IF(parametros_manuales!$H$38="Todos",datos_base!$J$9+datos_base!$J$23,0))*parametros_manuales!$D$95+parametros_manuales!$E$38*(datos_base!$J$3+datos_base!$J$19+IF(parametros_manuales!$H$38="Todos",datos_base!$J$10+datos_base!$J$24,0))*parametros_manuales!$D$100+parametros_manuales!$F$38*(datos_base!$J$4+datos_base!$J$20+IF(parametros_manuales!$H$38="Todos",datos_base!$J$11+datos_base!$J$25,0))*parametros_manuales!$D$105+parametros_manuales!$G$38*(datos_base!$J$5+datos_base!$J$21+IF(parametros_manuales!$H$38="Todos",datos_base!$J$12+datos_base!$J$26,0))*parametros_manuales!$D$110)*parametros_manuales!$I$38*parametros_manuales!$J$38</f>
        <v>5249.614663195</v>
      </c>
      <c r="E237" s="9" t="n">
        <f aca="false">(parametros_manuales!$D$38*(datos_base!$J$2+datos_base!$J$18+IF(parametros_manuales!$H$38="Todos",datos_base!$J$9+datos_base!$J$23,0))*parametros_manuales!$E$95+parametros_manuales!$E$38*(datos_base!$J$3+datos_base!$J$19+IF(parametros_manuales!$H$38="Todos",datos_base!$J$10+datos_base!$J$24,0))*parametros_manuales!$E$100+parametros_manuales!$F$38*(datos_base!$J$4+datos_base!$J$20+IF(parametros_manuales!$H$38="Todos",datos_base!$J$11+datos_base!$J$25,0))*parametros_manuales!$E$105+parametros_manuales!$G$38*(datos_base!$J$5+datos_base!$J$21+IF(parametros_manuales!$H$38="Todos",datos_base!$J$12+datos_base!$J$26,0))*parametros_manuales!$E$110)*parametros_manuales!$I$38*parametros_manuales!$J$38</f>
        <v>5106.747982495</v>
      </c>
      <c r="F237" s="9" t="n">
        <f aca="false">(parametros_manuales!$D$38*(datos_base!$J$2+datos_base!$J$18+IF(parametros_manuales!$H$38="Todos",datos_base!$J$9+datos_base!$J$23,0))*parametros_manuales!$F$95+parametros_manuales!$E$38*(datos_base!$J$3+datos_base!$J$19+IF(parametros_manuales!$H$38="Todos",datos_base!$J$10+datos_base!$J$24,0))*parametros_manuales!$F$100+parametros_manuales!$F$38*(datos_base!$J$4+datos_base!$J$20+IF(parametros_manuales!$H$38="Todos",datos_base!$J$11+datos_base!$J$25,0))*parametros_manuales!$F$105+parametros_manuales!$G$38*(datos_base!$J$5+datos_base!$J$21+IF(parametros_manuales!$H$38="Todos",datos_base!$J$12+datos_base!$J$26,0))*parametros_manuales!$F$110)*parametros_manuales!$I$38*parametros_manuales!$J$38</f>
        <v>4789.54319756</v>
      </c>
      <c r="G237" s="9" t="n">
        <f aca="false">(parametros_manuales!$D$38*(datos_base!$J$2+datos_base!$J$18+IF(parametros_manuales!$H$38="Todos",datos_base!$J$9+datos_base!$J$23,0))*parametros_manuales!$G$95+parametros_manuales!$E$38*(datos_base!$J$3+datos_base!$J$19+IF(parametros_manuales!$H$38="Todos",datos_base!$J$10+datos_base!$J$24,0))*parametros_manuales!$G$100+parametros_manuales!$F$38*(datos_base!$J$4+datos_base!$J$20+IF(parametros_manuales!$H$38="Todos",datos_base!$J$11+datos_base!$J$25,0))*parametros_manuales!$G$105+parametros_manuales!$G$38*(datos_base!$J$5+datos_base!$J$21+IF(parametros_manuales!$H$38="Todos",datos_base!$J$12+datos_base!$J$26,0))*parametros_manuales!$G$110)*parametros_manuales!$I$38*parametros_manuales!$J$38</f>
        <v>4615.205093325</v>
      </c>
      <c r="H237" s="9" t="n">
        <f aca="false">(parametros_manuales!$D$38*(datos_base!$J$2+datos_base!$J$18+IF(parametros_manuales!$H$38="Todos",datos_base!$J$9+datos_base!$J$23,0))*parametros_manuales!$H$95+parametros_manuales!$E$38*(datos_base!$J$3+datos_base!$J$19+IF(parametros_manuales!$H$38="Todos",datos_base!$J$10+datos_base!$J$24,0))*parametros_manuales!$H$100+parametros_manuales!$F$38*(datos_base!$J$4+datos_base!$J$20+IF(parametros_manuales!$H$38="Todos",datos_base!$J$11+datos_base!$J$25,0))*parametros_manuales!$H$105+parametros_manuales!$G$38*(datos_base!$J$5+datos_base!$J$21+IF(parametros_manuales!$H$38="Todos",datos_base!$J$12+datos_base!$J$26,0))*parametros_manuales!$H$110)*parametros_manuales!$I$38*parametros_manuales!$J$38</f>
        <v>4932.40987826</v>
      </c>
      <c r="I237" s="9" t="n">
        <f aca="false">(parametros_manuales!$D$38*(datos_base!$J$2+datos_base!$J$18+IF(parametros_manuales!$H$38="Todos",datos_base!$J$9+datos_base!$J$23,0))*parametros_manuales!$I$95+parametros_manuales!$E$38*(datos_base!$J$3+datos_base!$J$19+IF(parametros_manuales!$H$38="Todos",datos_base!$J$10+datos_base!$J$24,0))*parametros_manuales!$I$100+parametros_manuales!$F$38*(datos_base!$J$4+datos_base!$J$20+IF(parametros_manuales!$H$38="Todos",datos_base!$J$11+datos_base!$J$25,0))*parametros_manuales!$I$105+parametros_manuales!$G$38*(datos_base!$J$5+datos_base!$J$21+IF(parametros_manuales!$H$38="Todos",datos_base!$J$12+datos_base!$J$26,0))*parametros_manuales!$I$110)*parametros_manuales!$I$38*parametros_manuales!$J$38</f>
        <v>5361.00992036</v>
      </c>
      <c r="J237" s="9" t="n">
        <f aca="false">(parametros_manuales!$D$38*(datos_base!$J$2+datos_base!$J$18+IF(parametros_manuales!$H$38="Todos",datos_base!$J$9+datos_base!$J$23,0))*parametros_manuales!$J$95+parametros_manuales!$E$38*(datos_base!$J$3+datos_base!$J$19+IF(parametros_manuales!$H$38="Todos",datos_base!$J$10+datos_base!$J$24,0))*parametros_manuales!$J$100+parametros_manuales!$F$38*(datos_base!$J$4+datos_base!$J$20+IF(parametros_manuales!$H$38="Todos",datos_base!$J$11+datos_base!$J$25,0))*parametros_manuales!$J$105+parametros_manuales!$G$38*(datos_base!$J$5+datos_base!$J$21+IF(parametros_manuales!$H$38="Todos",datos_base!$J$12+datos_base!$J$26,0))*parametros_manuales!$J$110)*parametros_manuales!$I$38*parametros_manuales!$J$38</f>
        <v>5361.00992036</v>
      </c>
      <c r="K237" s="9" t="n">
        <f aca="false">(parametros_manuales!$D$38*(datos_base!$J$2+datos_base!$J$18+IF(parametros_manuales!$H$38="Todos",datos_base!$J$9+datos_base!$J$23,0))*parametros_manuales!$K$95+parametros_manuales!$E$38*(datos_base!$J$3+datos_base!$J$19+IF(parametros_manuales!$H$38="Todos",datos_base!$J$10+datos_base!$J$24,0))*parametros_manuales!$K$100+parametros_manuales!$F$38*(datos_base!$J$4+datos_base!$J$20+IF(parametros_manuales!$H$38="Todos",datos_base!$J$11+datos_base!$J$25,0))*parametros_manuales!$K$105+parametros_manuales!$G$38*(datos_base!$J$5+datos_base!$J$21+IF(parametros_manuales!$H$38="Todos",datos_base!$J$12+datos_base!$J$26,0))*parametros_manuales!$K$110)*parametros_manuales!$I$38*parametros_manuales!$J$38</f>
        <v>5535.348024595</v>
      </c>
      <c r="L237" s="9" t="n">
        <f aca="false">(parametros_manuales!$D$38*(datos_base!$J$2+datos_base!$J$18+IF(parametros_manuales!$H$38="Todos",datos_base!$J$9+datos_base!$J$23,0))*parametros_manuales!$L$95+parametros_manuales!$E$38*(datos_base!$J$3+datos_base!$J$19+IF(parametros_manuales!$H$38="Todos",datos_base!$J$10+datos_base!$J$24,0))*parametros_manuales!$L$100+parametros_manuales!$F$38*(datos_base!$J$4+datos_base!$J$20+IF(parametros_manuales!$H$38="Todos",datos_base!$J$11+datos_base!$J$25,0))*parametros_manuales!$L$105+parametros_manuales!$G$38*(datos_base!$J$5+datos_base!$J$21+IF(parametros_manuales!$H$38="Todos",datos_base!$J$12+datos_base!$J$26,0))*parametros_manuales!$L$110)*parametros_manuales!$I$38*parametros_manuales!$J$38</f>
        <v>5709.68612883</v>
      </c>
      <c r="M237" s="9" t="n">
        <f aca="false">(parametros_manuales!$D$38*(datos_base!$J$2+datos_base!$J$18+IF(parametros_manuales!$H$38="Todos",datos_base!$J$9+datos_base!$J$23,0))*parametros_manuales!$M$95+parametros_manuales!$E$38*(datos_base!$J$3+datos_base!$J$19+IF(parametros_manuales!$H$38="Todos",datos_base!$J$10+datos_base!$J$24,0))*parametros_manuales!$M$100+parametros_manuales!$F$38*(datos_base!$J$4+datos_base!$J$20+IF(parametros_manuales!$H$38="Todos",datos_base!$J$11+datos_base!$J$25,0))*parametros_manuales!$M$105+parametros_manuales!$G$38*(datos_base!$J$5+datos_base!$J$21+IF(parametros_manuales!$H$38="Todos",datos_base!$J$12+datos_base!$J$26,0))*parametros_manuales!$M$110)*parametros_manuales!$I$38*parametros_manuales!$J$38</f>
        <v>5709.68612883</v>
      </c>
      <c r="N237" s="9" t="n">
        <f aca="false">SUM(B237:M237)</f>
        <v>63440.956987</v>
      </c>
      <c r="O237" s="9" t="n">
        <f aca="false">MAX(B237:M237)</f>
        <v>5709.68612883</v>
      </c>
      <c r="P237" s="43" t="n">
        <f aca="false">O237/(parametros_manuales!$B$7)</f>
        <v>38.0645741922</v>
      </c>
      <c r="Q237" s="8" t="str">
        <f aca="false">IF(O237=0,"-",INDEX($B$217:$M$217,MATCH(O237,B237:M237,0)))</f>
        <v>Ene</v>
      </c>
    </row>
    <row r="238" customFormat="false" ht="14.25" hidden="false" customHeight="true" outlineLevel="0" collapsed="false">
      <c r="A238" s="8" t="str">
        <f aca="false">parametros_manuales!$B$39</f>
        <v>Ensamblaje</v>
      </c>
      <c r="B238" s="9" t="n">
        <f aca="false">(parametros_manuales!$D$39*(datos_base!$J$2+datos_base!$J$18+IF(parametros_manuales!$H$39="Todos",datos_base!$J$9+datos_base!$J$23,0))*parametros_manuales!$B$95+parametros_manuales!$E$39*(datos_base!$J$3+datos_base!$J$19+IF(parametros_manuales!$H$39="Todos",datos_base!$J$10+datos_base!$J$24,0))*parametros_manuales!$B$100+parametros_manuales!$F$39*(datos_base!$J$4+datos_base!$J$20+IF(parametros_manuales!$H$39="Todos",datos_base!$J$11+datos_base!$J$25,0))*parametros_manuales!$B$105+parametros_manuales!$G$39*(datos_base!$J$5+datos_base!$J$21+IF(parametros_manuales!$H$39="Todos",datos_base!$J$12+datos_base!$J$26,0))*parametros_manuales!$B$110)*parametros_manuales!$I$39*parametros_manuales!$J$39</f>
        <v>5709.68612883</v>
      </c>
      <c r="C238" s="9" t="n">
        <f aca="false">(parametros_manuales!$D$39*(datos_base!$J$2+datos_base!$J$18+IF(parametros_manuales!$H$39="Todos",datos_base!$J$9+datos_base!$J$23,0))*parametros_manuales!$C$95+parametros_manuales!$E$39*(datos_base!$J$3+datos_base!$J$19+IF(parametros_manuales!$H$39="Todos",datos_base!$J$10+datos_base!$J$24,0))*parametros_manuales!$C$100+parametros_manuales!$F$39*(datos_base!$J$4+datos_base!$J$20+IF(parametros_manuales!$H$39="Todos",datos_base!$J$11+datos_base!$J$25,0))*parametros_manuales!$C$105+parametros_manuales!$G$39*(datos_base!$J$5+datos_base!$J$21+IF(parametros_manuales!$H$39="Todos",datos_base!$J$12+datos_base!$J$26,0))*parametros_manuales!$C$110)*parametros_manuales!$I$39*parametros_manuales!$J$39</f>
        <v>5361.00992036</v>
      </c>
      <c r="D238" s="9" t="n">
        <f aca="false">(parametros_manuales!$D$39*(datos_base!$J$2+datos_base!$J$18+IF(parametros_manuales!$H$39="Todos",datos_base!$J$9+datos_base!$J$23,0))*parametros_manuales!$D$95+parametros_manuales!$E$39*(datos_base!$J$3+datos_base!$J$19+IF(parametros_manuales!$H$39="Todos",datos_base!$J$10+datos_base!$J$24,0))*parametros_manuales!$D$100+parametros_manuales!$F$39*(datos_base!$J$4+datos_base!$J$20+IF(parametros_manuales!$H$39="Todos",datos_base!$J$11+datos_base!$J$25,0))*parametros_manuales!$D$105+parametros_manuales!$G$39*(datos_base!$J$5+datos_base!$J$21+IF(parametros_manuales!$H$39="Todos",datos_base!$J$12+datos_base!$J$26,0))*parametros_manuales!$D$110)*parametros_manuales!$I$39*parametros_manuales!$J$39</f>
        <v>5249.614663195</v>
      </c>
      <c r="E238" s="9" t="n">
        <f aca="false">(parametros_manuales!$D$39*(datos_base!$J$2+datos_base!$J$18+IF(parametros_manuales!$H$39="Todos",datos_base!$J$9+datos_base!$J$23,0))*parametros_manuales!$E$95+parametros_manuales!$E$39*(datos_base!$J$3+datos_base!$J$19+IF(parametros_manuales!$H$39="Todos",datos_base!$J$10+datos_base!$J$24,0))*parametros_manuales!$E$100+parametros_manuales!$F$39*(datos_base!$J$4+datos_base!$J$20+IF(parametros_manuales!$H$39="Todos",datos_base!$J$11+datos_base!$J$25,0))*parametros_manuales!$E$105+parametros_manuales!$G$39*(datos_base!$J$5+datos_base!$J$21+IF(parametros_manuales!$H$39="Todos",datos_base!$J$12+datos_base!$J$26,0))*parametros_manuales!$E$110)*parametros_manuales!$I$39*parametros_manuales!$J$39</f>
        <v>5106.747982495</v>
      </c>
      <c r="F238" s="9" t="n">
        <f aca="false">(parametros_manuales!$D$39*(datos_base!$J$2+datos_base!$J$18+IF(parametros_manuales!$H$39="Todos",datos_base!$J$9+datos_base!$J$23,0))*parametros_manuales!$F$95+parametros_manuales!$E$39*(datos_base!$J$3+datos_base!$J$19+IF(parametros_manuales!$H$39="Todos",datos_base!$J$10+datos_base!$J$24,0))*parametros_manuales!$F$100+parametros_manuales!$F$39*(datos_base!$J$4+datos_base!$J$20+IF(parametros_manuales!$H$39="Todos",datos_base!$J$11+datos_base!$J$25,0))*parametros_manuales!$F$105+parametros_manuales!$G$39*(datos_base!$J$5+datos_base!$J$21+IF(parametros_manuales!$H$39="Todos",datos_base!$J$12+datos_base!$J$26,0))*parametros_manuales!$F$110)*parametros_manuales!$I$39*parametros_manuales!$J$39</f>
        <v>4789.54319756</v>
      </c>
      <c r="G238" s="9" t="n">
        <f aca="false">(parametros_manuales!$D$39*(datos_base!$J$2+datos_base!$J$18+IF(parametros_manuales!$H$39="Todos",datos_base!$J$9+datos_base!$J$23,0))*parametros_manuales!$G$95+parametros_manuales!$E$39*(datos_base!$J$3+datos_base!$J$19+IF(parametros_manuales!$H$39="Todos",datos_base!$J$10+datos_base!$J$24,0))*parametros_manuales!$G$100+parametros_manuales!$F$39*(datos_base!$J$4+datos_base!$J$20+IF(parametros_manuales!$H$39="Todos",datos_base!$J$11+datos_base!$J$25,0))*parametros_manuales!$G$105+parametros_manuales!$G$39*(datos_base!$J$5+datos_base!$J$21+IF(parametros_manuales!$H$39="Todos",datos_base!$J$12+datos_base!$J$26,0))*parametros_manuales!$G$110)*parametros_manuales!$I$39*parametros_manuales!$J$39</f>
        <v>4615.205093325</v>
      </c>
      <c r="H238" s="9" t="n">
        <f aca="false">(parametros_manuales!$D$39*(datos_base!$J$2+datos_base!$J$18+IF(parametros_manuales!$H$39="Todos",datos_base!$J$9+datos_base!$J$23,0))*parametros_manuales!$H$95+parametros_manuales!$E$39*(datos_base!$J$3+datos_base!$J$19+IF(parametros_manuales!$H$39="Todos",datos_base!$J$10+datos_base!$J$24,0))*parametros_manuales!$H$100+parametros_manuales!$F$39*(datos_base!$J$4+datos_base!$J$20+IF(parametros_manuales!$H$39="Todos",datos_base!$J$11+datos_base!$J$25,0))*parametros_manuales!$H$105+parametros_manuales!$G$39*(datos_base!$J$5+datos_base!$J$21+IF(parametros_manuales!$H$39="Todos",datos_base!$J$12+datos_base!$J$26,0))*parametros_manuales!$H$110)*parametros_manuales!$I$39*parametros_manuales!$J$39</f>
        <v>4932.40987826</v>
      </c>
      <c r="I238" s="9" t="n">
        <f aca="false">(parametros_manuales!$D$39*(datos_base!$J$2+datos_base!$J$18+IF(parametros_manuales!$H$39="Todos",datos_base!$J$9+datos_base!$J$23,0))*parametros_manuales!$I$95+parametros_manuales!$E$39*(datos_base!$J$3+datos_base!$J$19+IF(parametros_manuales!$H$39="Todos",datos_base!$J$10+datos_base!$J$24,0))*parametros_manuales!$I$100+parametros_manuales!$F$39*(datos_base!$J$4+datos_base!$J$20+IF(parametros_manuales!$H$39="Todos",datos_base!$J$11+datos_base!$J$25,0))*parametros_manuales!$I$105+parametros_manuales!$G$39*(datos_base!$J$5+datos_base!$J$21+IF(parametros_manuales!$H$39="Todos",datos_base!$J$12+datos_base!$J$26,0))*parametros_manuales!$I$110)*parametros_manuales!$I$39*parametros_manuales!$J$39</f>
        <v>5361.00992036</v>
      </c>
      <c r="J238" s="9" t="n">
        <f aca="false">(parametros_manuales!$D$39*(datos_base!$J$2+datos_base!$J$18+IF(parametros_manuales!$H$39="Todos",datos_base!$J$9+datos_base!$J$23,0))*parametros_manuales!$J$95+parametros_manuales!$E$39*(datos_base!$J$3+datos_base!$J$19+IF(parametros_manuales!$H$39="Todos",datos_base!$J$10+datos_base!$J$24,0))*parametros_manuales!$J$100+parametros_manuales!$F$39*(datos_base!$J$4+datos_base!$J$20+IF(parametros_manuales!$H$39="Todos",datos_base!$J$11+datos_base!$J$25,0))*parametros_manuales!$J$105+parametros_manuales!$G$39*(datos_base!$J$5+datos_base!$J$21+IF(parametros_manuales!$H$39="Todos",datos_base!$J$12+datos_base!$J$26,0))*parametros_manuales!$J$110)*parametros_manuales!$I$39*parametros_manuales!$J$39</f>
        <v>5361.00992036</v>
      </c>
      <c r="K238" s="9" t="n">
        <f aca="false">(parametros_manuales!$D$39*(datos_base!$J$2+datos_base!$J$18+IF(parametros_manuales!$H$39="Todos",datos_base!$J$9+datos_base!$J$23,0))*parametros_manuales!$K$95+parametros_manuales!$E$39*(datos_base!$J$3+datos_base!$J$19+IF(parametros_manuales!$H$39="Todos",datos_base!$J$10+datos_base!$J$24,0))*parametros_manuales!$K$100+parametros_manuales!$F$39*(datos_base!$J$4+datos_base!$J$20+IF(parametros_manuales!$H$39="Todos",datos_base!$J$11+datos_base!$J$25,0))*parametros_manuales!$K$105+parametros_manuales!$G$39*(datos_base!$J$5+datos_base!$J$21+IF(parametros_manuales!$H$39="Todos",datos_base!$J$12+datos_base!$J$26,0))*parametros_manuales!$K$110)*parametros_manuales!$I$39*parametros_manuales!$J$39</f>
        <v>5535.348024595</v>
      </c>
      <c r="L238" s="9" t="n">
        <f aca="false">(parametros_manuales!$D$39*(datos_base!$J$2+datos_base!$J$18+IF(parametros_manuales!$H$39="Todos",datos_base!$J$9+datos_base!$J$23,0))*parametros_manuales!$L$95+parametros_manuales!$E$39*(datos_base!$J$3+datos_base!$J$19+IF(parametros_manuales!$H$39="Todos",datos_base!$J$10+datos_base!$J$24,0))*parametros_manuales!$L$100+parametros_manuales!$F$39*(datos_base!$J$4+datos_base!$J$20+IF(parametros_manuales!$H$39="Todos",datos_base!$J$11+datos_base!$J$25,0))*parametros_manuales!$L$105+parametros_manuales!$G$39*(datos_base!$J$5+datos_base!$J$21+IF(parametros_manuales!$H$39="Todos",datos_base!$J$12+datos_base!$J$26,0))*parametros_manuales!$L$110)*parametros_manuales!$I$39*parametros_manuales!$J$39</f>
        <v>5709.68612883</v>
      </c>
      <c r="M238" s="9" t="n">
        <f aca="false">(parametros_manuales!$D$39*(datos_base!$J$2+datos_base!$J$18+IF(parametros_manuales!$H$39="Todos",datos_base!$J$9+datos_base!$J$23,0))*parametros_manuales!$M$95+parametros_manuales!$E$39*(datos_base!$J$3+datos_base!$J$19+IF(parametros_manuales!$H$39="Todos",datos_base!$J$10+datos_base!$J$24,0))*parametros_manuales!$M$100+parametros_manuales!$F$39*(datos_base!$J$4+datos_base!$J$20+IF(parametros_manuales!$H$39="Todos",datos_base!$J$11+datos_base!$J$25,0))*parametros_manuales!$M$105+parametros_manuales!$G$39*(datos_base!$J$5+datos_base!$J$21+IF(parametros_manuales!$H$39="Todos",datos_base!$J$12+datos_base!$J$26,0))*parametros_manuales!$M$110)*parametros_manuales!$I$39*parametros_manuales!$J$39</f>
        <v>5709.68612883</v>
      </c>
      <c r="N238" s="9" t="n">
        <f aca="false">SUM(B238:M238)</f>
        <v>63440.956987</v>
      </c>
      <c r="O238" s="9" t="n">
        <f aca="false">MAX(B238:M238)</f>
        <v>5709.68612883</v>
      </c>
      <c r="P238" s="43" t="n">
        <f aca="false">O238/(parametros_manuales!$B$7)</f>
        <v>38.0645741922</v>
      </c>
      <c r="Q238" s="8" t="str">
        <f aca="false">IF(O238=0,"-",INDEX($B$217:$M$217,MATCH(O238,B238:M238,0)))</f>
        <v>Ene</v>
      </c>
    </row>
    <row r="239" customFormat="false" ht="14.25" hidden="false" customHeight="true" outlineLevel="0" collapsed="false">
      <c r="A239" s="8" t="str">
        <f aca="false">parametros_manuales!$B$40</f>
        <v>Presurización</v>
      </c>
      <c r="B239" s="9" t="n">
        <f aca="false">(parametros_manuales!$D$40*(datos_base!$J$2+datos_base!$J$18+IF(parametros_manuales!$H$40="Todos",datos_base!$J$9+datos_base!$J$23,0))*parametros_manuales!$B$95+parametros_manuales!$E$40*(datos_base!$J$3+datos_base!$J$19+IF(parametros_manuales!$H$40="Todos",datos_base!$J$10+datos_base!$J$24,0))*parametros_manuales!$B$100+parametros_manuales!$F$40*(datos_base!$J$4+datos_base!$J$20+IF(parametros_manuales!$H$40="Todos",datos_base!$J$11+datos_base!$J$25,0))*parametros_manuales!$B$105+parametros_manuales!$G$40*(datos_base!$J$5+datos_base!$J$21+IF(parametros_manuales!$H$40="Todos",datos_base!$J$12+datos_base!$J$26,0))*parametros_manuales!$B$110)*parametros_manuales!$I$40*parametros_manuales!$J$40</f>
        <v>5709.68612883</v>
      </c>
      <c r="C239" s="9" t="n">
        <f aca="false">(parametros_manuales!$D$40*(datos_base!$J$2+datos_base!$J$18+IF(parametros_manuales!$H$40="Todos",datos_base!$J$9+datos_base!$J$23,0))*parametros_manuales!$C$95+parametros_manuales!$E$40*(datos_base!$J$3+datos_base!$J$19+IF(parametros_manuales!$H$40="Todos",datos_base!$J$10+datos_base!$J$24,0))*parametros_manuales!$C$100+parametros_manuales!$F$40*(datos_base!$J$4+datos_base!$J$20+IF(parametros_manuales!$H$40="Todos",datos_base!$J$11+datos_base!$J$25,0))*parametros_manuales!$C$105+parametros_manuales!$G$40*(datos_base!$J$5+datos_base!$J$21+IF(parametros_manuales!$H$40="Todos",datos_base!$J$12+datos_base!$J$26,0))*parametros_manuales!$C$110)*parametros_manuales!$I$40*parametros_manuales!$J$40</f>
        <v>5361.00992036</v>
      </c>
      <c r="D239" s="9" t="n">
        <f aca="false">(parametros_manuales!$D$40*(datos_base!$J$2+datos_base!$J$18+IF(parametros_manuales!$H$40="Todos",datos_base!$J$9+datos_base!$J$23,0))*parametros_manuales!$D$95+parametros_manuales!$E$40*(datos_base!$J$3+datos_base!$J$19+IF(parametros_manuales!$H$40="Todos",datos_base!$J$10+datos_base!$J$24,0))*parametros_manuales!$D$100+parametros_manuales!$F$40*(datos_base!$J$4+datos_base!$J$20+IF(parametros_manuales!$H$40="Todos",datos_base!$J$11+datos_base!$J$25,0))*parametros_manuales!$D$105+parametros_manuales!$G$40*(datos_base!$J$5+datos_base!$J$21+IF(parametros_manuales!$H$40="Todos",datos_base!$J$12+datos_base!$J$26,0))*parametros_manuales!$D$110)*parametros_manuales!$I$40*parametros_manuales!$J$40</f>
        <v>5249.614663195</v>
      </c>
      <c r="E239" s="9" t="n">
        <f aca="false">(parametros_manuales!$D$40*(datos_base!$J$2+datos_base!$J$18+IF(parametros_manuales!$H$40="Todos",datos_base!$J$9+datos_base!$J$23,0))*parametros_manuales!$E$95+parametros_manuales!$E$40*(datos_base!$J$3+datos_base!$J$19+IF(parametros_manuales!$H$40="Todos",datos_base!$J$10+datos_base!$J$24,0))*parametros_manuales!$E$100+parametros_manuales!$F$40*(datos_base!$J$4+datos_base!$J$20+IF(parametros_manuales!$H$40="Todos",datos_base!$J$11+datos_base!$J$25,0))*parametros_manuales!$E$105+parametros_manuales!$G$40*(datos_base!$J$5+datos_base!$J$21+IF(parametros_manuales!$H$40="Todos",datos_base!$J$12+datos_base!$J$26,0))*parametros_manuales!$E$110)*parametros_manuales!$I$40*parametros_manuales!$J$40</f>
        <v>5106.747982495</v>
      </c>
      <c r="F239" s="9" t="n">
        <f aca="false">(parametros_manuales!$D$40*(datos_base!$J$2+datos_base!$J$18+IF(parametros_manuales!$H$40="Todos",datos_base!$J$9+datos_base!$J$23,0))*parametros_manuales!$F$95+parametros_manuales!$E$40*(datos_base!$J$3+datos_base!$J$19+IF(parametros_manuales!$H$40="Todos",datos_base!$J$10+datos_base!$J$24,0))*parametros_manuales!$F$100+parametros_manuales!$F$40*(datos_base!$J$4+datos_base!$J$20+IF(parametros_manuales!$H$40="Todos",datos_base!$J$11+datos_base!$J$25,0))*parametros_manuales!$F$105+parametros_manuales!$G$40*(datos_base!$J$5+datos_base!$J$21+IF(parametros_manuales!$H$40="Todos",datos_base!$J$12+datos_base!$J$26,0))*parametros_manuales!$F$110)*parametros_manuales!$I$40*parametros_manuales!$J$40</f>
        <v>4789.54319756</v>
      </c>
      <c r="G239" s="9" t="n">
        <f aca="false">(parametros_manuales!$D$40*(datos_base!$J$2+datos_base!$J$18+IF(parametros_manuales!$H$40="Todos",datos_base!$J$9+datos_base!$J$23,0))*parametros_manuales!$G$95+parametros_manuales!$E$40*(datos_base!$J$3+datos_base!$J$19+IF(parametros_manuales!$H$40="Todos",datos_base!$J$10+datos_base!$J$24,0))*parametros_manuales!$G$100+parametros_manuales!$F$40*(datos_base!$J$4+datos_base!$J$20+IF(parametros_manuales!$H$40="Todos",datos_base!$J$11+datos_base!$J$25,0))*parametros_manuales!$G$105+parametros_manuales!$G$40*(datos_base!$J$5+datos_base!$J$21+IF(parametros_manuales!$H$40="Todos",datos_base!$J$12+datos_base!$J$26,0))*parametros_manuales!$G$110)*parametros_manuales!$I$40*parametros_manuales!$J$40</f>
        <v>4615.205093325</v>
      </c>
      <c r="H239" s="9" t="n">
        <f aca="false">(parametros_manuales!$D$40*(datos_base!$J$2+datos_base!$J$18+IF(parametros_manuales!$H$40="Todos",datos_base!$J$9+datos_base!$J$23,0))*parametros_manuales!$H$95+parametros_manuales!$E$40*(datos_base!$J$3+datos_base!$J$19+IF(parametros_manuales!$H$40="Todos",datos_base!$J$10+datos_base!$J$24,0))*parametros_manuales!$H$100+parametros_manuales!$F$40*(datos_base!$J$4+datos_base!$J$20+IF(parametros_manuales!$H$40="Todos",datos_base!$J$11+datos_base!$J$25,0))*parametros_manuales!$H$105+parametros_manuales!$G$40*(datos_base!$J$5+datos_base!$J$21+IF(parametros_manuales!$H$40="Todos",datos_base!$J$12+datos_base!$J$26,0))*parametros_manuales!$H$110)*parametros_manuales!$I$40*parametros_manuales!$J$40</f>
        <v>4932.40987826</v>
      </c>
      <c r="I239" s="9" t="n">
        <f aca="false">(parametros_manuales!$D$40*(datos_base!$J$2+datos_base!$J$18+IF(parametros_manuales!$H$40="Todos",datos_base!$J$9+datos_base!$J$23,0))*parametros_manuales!$I$95+parametros_manuales!$E$40*(datos_base!$J$3+datos_base!$J$19+IF(parametros_manuales!$H$40="Todos",datos_base!$J$10+datos_base!$J$24,0))*parametros_manuales!$I$100+parametros_manuales!$F$40*(datos_base!$J$4+datos_base!$J$20+IF(parametros_manuales!$H$40="Todos",datos_base!$J$11+datos_base!$J$25,0))*parametros_manuales!$I$105+parametros_manuales!$G$40*(datos_base!$J$5+datos_base!$J$21+IF(parametros_manuales!$H$40="Todos",datos_base!$J$12+datos_base!$J$26,0))*parametros_manuales!$I$110)*parametros_manuales!$I$40*parametros_manuales!$J$40</f>
        <v>5361.00992036</v>
      </c>
      <c r="J239" s="9" t="n">
        <f aca="false">(parametros_manuales!$D$40*(datos_base!$J$2+datos_base!$J$18+IF(parametros_manuales!$H$40="Todos",datos_base!$J$9+datos_base!$J$23,0))*parametros_manuales!$J$95+parametros_manuales!$E$40*(datos_base!$J$3+datos_base!$J$19+IF(parametros_manuales!$H$40="Todos",datos_base!$J$10+datos_base!$J$24,0))*parametros_manuales!$J$100+parametros_manuales!$F$40*(datos_base!$J$4+datos_base!$J$20+IF(parametros_manuales!$H$40="Todos",datos_base!$J$11+datos_base!$J$25,0))*parametros_manuales!$J$105+parametros_manuales!$G$40*(datos_base!$J$5+datos_base!$J$21+IF(parametros_manuales!$H$40="Todos",datos_base!$J$12+datos_base!$J$26,0))*parametros_manuales!$J$110)*parametros_manuales!$I$40*parametros_manuales!$J$40</f>
        <v>5361.00992036</v>
      </c>
      <c r="K239" s="9" t="n">
        <f aca="false">(parametros_manuales!$D$40*(datos_base!$J$2+datos_base!$J$18+IF(parametros_manuales!$H$40="Todos",datos_base!$J$9+datos_base!$J$23,0))*parametros_manuales!$K$95+parametros_manuales!$E$40*(datos_base!$J$3+datos_base!$J$19+IF(parametros_manuales!$H$40="Todos",datos_base!$J$10+datos_base!$J$24,0))*parametros_manuales!$K$100+parametros_manuales!$F$40*(datos_base!$J$4+datos_base!$J$20+IF(parametros_manuales!$H$40="Todos",datos_base!$J$11+datos_base!$J$25,0))*parametros_manuales!$K$105+parametros_manuales!$G$40*(datos_base!$J$5+datos_base!$J$21+IF(parametros_manuales!$H$40="Todos",datos_base!$J$12+datos_base!$J$26,0))*parametros_manuales!$K$110)*parametros_manuales!$I$40*parametros_manuales!$J$40</f>
        <v>5535.348024595</v>
      </c>
      <c r="L239" s="9" t="n">
        <f aca="false">(parametros_manuales!$D$40*(datos_base!$J$2+datos_base!$J$18+IF(parametros_manuales!$H$40="Todos",datos_base!$J$9+datos_base!$J$23,0))*parametros_manuales!$L$95+parametros_manuales!$E$40*(datos_base!$J$3+datos_base!$J$19+IF(parametros_manuales!$H$40="Todos",datos_base!$J$10+datos_base!$J$24,0))*parametros_manuales!$L$100+parametros_manuales!$F$40*(datos_base!$J$4+datos_base!$J$20+IF(parametros_manuales!$H$40="Todos",datos_base!$J$11+datos_base!$J$25,0))*parametros_manuales!$L$105+parametros_manuales!$G$40*(datos_base!$J$5+datos_base!$J$21+IF(parametros_manuales!$H$40="Todos",datos_base!$J$12+datos_base!$J$26,0))*parametros_manuales!$L$110)*parametros_manuales!$I$40*parametros_manuales!$J$40</f>
        <v>5709.68612883</v>
      </c>
      <c r="M239" s="9" t="n">
        <f aca="false">(parametros_manuales!$D$40*(datos_base!$J$2+datos_base!$J$18+IF(parametros_manuales!$H$40="Todos",datos_base!$J$9+datos_base!$J$23,0))*parametros_manuales!$M$95+parametros_manuales!$E$40*(datos_base!$J$3+datos_base!$J$19+IF(parametros_manuales!$H$40="Todos",datos_base!$J$10+datos_base!$J$24,0))*parametros_manuales!$M$100+parametros_manuales!$F$40*(datos_base!$J$4+datos_base!$J$20+IF(parametros_manuales!$H$40="Todos",datos_base!$J$11+datos_base!$J$25,0))*parametros_manuales!$M$105+parametros_manuales!$G$40*(datos_base!$J$5+datos_base!$J$21+IF(parametros_manuales!$H$40="Todos",datos_base!$J$12+datos_base!$J$26,0))*parametros_manuales!$M$110)*parametros_manuales!$I$40*parametros_manuales!$J$40</f>
        <v>5709.68612883</v>
      </c>
      <c r="N239" s="9" t="n">
        <f aca="false">SUM(B239:M239)</f>
        <v>63440.956987</v>
      </c>
      <c r="O239" s="9" t="n">
        <f aca="false">MAX(B239:M239)</f>
        <v>5709.68612883</v>
      </c>
      <c r="P239" s="43" t="n">
        <f aca="false">O239/(parametros_manuales!$B$7)</f>
        <v>38.0645741922</v>
      </c>
      <c r="Q239" s="8" t="str">
        <f aca="false">IF(O239=0,"-",INDEX($B$217:$M$217,MATCH(O239,B239:M239,0)))</f>
        <v>Ene</v>
      </c>
    </row>
    <row r="240" customFormat="false" ht="14.25" hidden="false" customHeight="true" outlineLevel="0" collapsed="false">
      <c r="A240" s="8" t="str">
        <f aca="false">parametros_manuales!$B$41</f>
        <v>Control de calidad — Ensayo de pérdidas</v>
      </c>
      <c r="B240" s="9" t="n">
        <f aca="false">(parametros_manuales!$D$41*(datos_base!$J$2+datos_base!$J$18+IF(parametros_manuales!$H$41="Todos",datos_base!$J$9+datos_base!$J$23,0))*parametros_manuales!$B$95+parametros_manuales!$E$41*(datos_base!$J$3+datos_base!$J$19+IF(parametros_manuales!$H$41="Todos",datos_base!$J$10+datos_base!$J$24,0))*parametros_manuales!$B$100+parametros_manuales!$F$41*(datos_base!$J$4+datos_base!$J$20+IF(parametros_manuales!$H$41="Todos",datos_base!$J$11+datos_base!$J$25,0))*parametros_manuales!$B$105+parametros_manuales!$G$41*(datos_base!$J$5+datos_base!$J$21+IF(parametros_manuales!$H$41="Todos",datos_base!$J$12+datos_base!$J$26,0))*parametros_manuales!$B$110)*parametros_manuales!$I$41*parametros_manuales!$J$41</f>
        <v>5709.68612883</v>
      </c>
      <c r="C240" s="9" t="n">
        <f aca="false">(parametros_manuales!$D$41*(datos_base!$J$2+datos_base!$J$18+IF(parametros_manuales!$H$41="Todos",datos_base!$J$9+datos_base!$J$23,0))*parametros_manuales!$C$95+parametros_manuales!$E$41*(datos_base!$J$3+datos_base!$J$19+IF(parametros_manuales!$H$41="Todos",datos_base!$J$10+datos_base!$J$24,0))*parametros_manuales!$C$100+parametros_manuales!$F$41*(datos_base!$J$4+datos_base!$J$20+IF(parametros_manuales!$H$41="Todos",datos_base!$J$11+datos_base!$J$25,0))*parametros_manuales!$C$105+parametros_manuales!$G$41*(datos_base!$J$5+datos_base!$J$21+IF(parametros_manuales!$H$41="Todos",datos_base!$J$12+datos_base!$J$26,0))*parametros_manuales!$C$110)*parametros_manuales!$I$41*parametros_manuales!$J$41</f>
        <v>5361.00992036</v>
      </c>
      <c r="D240" s="9" t="n">
        <f aca="false">(parametros_manuales!$D$41*(datos_base!$J$2+datos_base!$J$18+IF(parametros_manuales!$H$41="Todos",datos_base!$J$9+datos_base!$J$23,0))*parametros_manuales!$D$95+parametros_manuales!$E$41*(datos_base!$J$3+datos_base!$J$19+IF(parametros_manuales!$H$41="Todos",datos_base!$J$10+datos_base!$J$24,0))*parametros_manuales!$D$100+parametros_manuales!$F$41*(datos_base!$J$4+datos_base!$J$20+IF(parametros_manuales!$H$41="Todos",datos_base!$J$11+datos_base!$J$25,0))*parametros_manuales!$D$105+parametros_manuales!$G$41*(datos_base!$J$5+datos_base!$J$21+IF(parametros_manuales!$H$41="Todos",datos_base!$J$12+datos_base!$J$26,0))*parametros_manuales!$D$110)*parametros_manuales!$I$41*parametros_manuales!$J$41</f>
        <v>5249.614663195</v>
      </c>
      <c r="E240" s="9" t="n">
        <f aca="false">(parametros_manuales!$D$41*(datos_base!$J$2+datos_base!$J$18+IF(parametros_manuales!$H$41="Todos",datos_base!$J$9+datos_base!$J$23,0))*parametros_manuales!$E$95+parametros_manuales!$E$41*(datos_base!$J$3+datos_base!$J$19+IF(parametros_manuales!$H$41="Todos",datos_base!$J$10+datos_base!$J$24,0))*parametros_manuales!$E$100+parametros_manuales!$F$41*(datos_base!$J$4+datos_base!$J$20+IF(parametros_manuales!$H$41="Todos",datos_base!$J$11+datos_base!$J$25,0))*parametros_manuales!$E$105+parametros_manuales!$G$41*(datos_base!$J$5+datos_base!$J$21+IF(parametros_manuales!$H$41="Todos",datos_base!$J$12+datos_base!$J$26,0))*parametros_manuales!$E$110)*parametros_manuales!$I$41*parametros_manuales!$J$41</f>
        <v>5106.747982495</v>
      </c>
      <c r="F240" s="9" t="n">
        <f aca="false">(parametros_manuales!$D$41*(datos_base!$J$2+datos_base!$J$18+IF(parametros_manuales!$H$41="Todos",datos_base!$J$9+datos_base!$J$23,0))*parametros_manuales!$F$95+parametros_manuales!$E$41*(datos_base!$J$3+datos_base!$J$19+IF(parametros_manuales!$H$41="Todos",datos_base!$J$10+datos_base!$J$24,0))*parametros_manuales!$F$100+parametros_manuales!$F$41*(datos_base!$J$4+datos_base!$J$20+IF(parametros_manuales!$H$41="Todos",datos_base!$J$11+datos_base!$J$25,0))*parametros_manuales!$F$105+parametros_manuales!$G$41*(datos_base!$J$5+datos_base!$J$21+IF(parametros_manuales!$H$41="Todos",datos_base!$J$12+datos_base!$J$26,0))*parametros_manuales!$F$110)*parametros_manuales!$I$41*parametros_manuales!$J$41</f>
        <v>4789.54319756</v>
      </c>
      <c r="G240" s="9" t="n">
        <f aca="false">(parametros_manuales!$D$41*(datos_base!$J$2+datos_base!$J$18+IF(parametros_manuales!$H$41="Todos",datos_base!$J$9+datos_base!$J$23,0))*parametros_manuales!$G$95+parametros_manuales!$E$41*(datos_base!$J$3+datos_base!$J$19+IF(parametros_manuales!$H$41="Todos",datos_base!$J$10+datos_base!$J$24,0))*parametros_manuales!$G$100+parametros_manuales!$F$41*(datos_base!$J$4+datos_base!$J$20+IF(parametros_manuales!$H$41="Todos",datos_base!$J$11+datos_base!$J$25,0))*parametros_manuales!$G$105+parametros_manuales!$G$41*(datos_base!$J$5+datos_base!$J$21+IF(parametros_manuales!$H$41="Todos",datos_base!$J$12+datos_base!$J$26,0))*parametros_manuales!$G$110)*parametros_manuales!$I$41*parametros_manuales!$J$41</f>
        <v>4615.205093325</v>
      </c>
      <c r="H240" s="9" t="n">
        <f aca="false">(parametros_manuales!$D$41*(datos_base!$J$2+datos_base!$J$18+IF(parametros_manuales!$H$41="Todos",datos_base!$J$9+datos_base!$J$23,0))*parametros_manuales!$H$95+parametros_manuales!$E$41*(datos_base!$J$3+datos_base!$J$19+IF(parametros_manuales!$H$41="Todos",datos_base!$J$10+datos_base!$J$24,0))*parametros_manuales!$H$100+parametros_manuales!$F$41*(datos_base!$J$4+datos_base!$J$20+IF(parametros_manuales!$H$41="Todos",datos_base!$J$11+datos_base!$J$25,0))*parametros_manuales!$H$105+parametros_manuales!$G$41*(datos_base!$J$5+datos_base!$J$21+IF(parametros_manuales!$H$41="Todos",datos_base!$J$12+datos_base!$J$26,0))*parametros_manuales!$H$110)*parametros_manuales!$I$41*parametros_manuales!$J$41</f>
        <v>4932.40987826</v>
      </c>
      <c r="I240" s="9" t="n">
        <f aca="false">(parametros_manuales!$D$41*(datos_base!$J$2+datos_base!$J$18+IF(parametros_manuales!$H$41="Todos",datos_base!$J$9+datos_base!$J$23,0))*parametros_manuales!$I$95+parametros_manuales!$E$41*(datos_base!$J$3+datos_base!$J$19+IF(parametros_manuales!$H$41="Todos",datos_base!$J$10+datos_base!$J$24,0))*parametros_manuales!$I$100+parametros_manuales!$F$41*(datos_base!$J$4+datos_base!$J$20+IF(parametros_manuales!$H$41="Todos",datos_base!$J$11+datos_base!$J$25,0))*parametros_manuales!$I$105+parametros_manuales!$G$41*(datos_base!$J$5+datos_base!$J$21+IF(parametros_manuales!$H$41="Todos",datos_base!$J$12+datos_base!$J$26,0))*parametros_manuales!$I$110)*parametros_manuales!$I$41*parametros_manuales!$J$41</f>
        <v>5361.00992036</v>
      </c>
      <c r="J240" s="9" t="n">
        <f aca="false">(parametros_manuales!$D$41*(datos_base!$J$2+datos_base!$J$18+IF(parametros_manuales!$H$41="Todos",datos_base!$J$9+datos_base!$J$23,0))*parametros_manuales!$J$95+parametros_manuales!$E$41*(datos_base!$J$3+datos_base!$J$19+IF(parametros_manuales!$H$41="Todos",datos_base!$J$10+datos_base!$J$24,0))*parametros_manuales!$J$100+parametros_manuales!$F$41*(datos_base!$J$4+datos_base!$J$20+IF(parametros_manuales!$H$41="Todos",datos_base!$J$11+datos_base!$J$25,0))*parametros_manuales!$J$105+parametros_manuales!$G$41*(datos_base!$J$5+datos_base!$J$21+IF(parametros_manuales!$H$41="Todos",datos_base!$J$12+datos_base!$J$26,0))*parametros_manuales!$J$110)*parametros_manuales!$I$41*parametros_manuales!$J$41</f>
        <v>5361.00992036</v>
      </c>
      <c r="K240" s="9" t="n">
        <f aca="false">(parametros_manuales!$D$41*(datos_base!$J$2+datos_base!$J$18+IF(parametros_manuales!$H$41="Todos",datos_base!$J$9+datos_base!$J$23,0))*parametros_manuales!$K$95+parametros_manuales!$E$41*(datos_base!$J$3+datos_base!$J$19+IF(parametros_manuales!$H$41="Todos",datos_base!$J$10+datos_base!$J$24,0))*parametros_manuales!$K$100+parametros_manuales!$F$41*(datos_base!$J$4+datos_base!$J$20+IF(parametros_manuales!$H$41="Todos",datos_base!$J$11+datos_base!$J$25,0))*parametros_manuales!$K$105+parametros_manuales!$G$41*(datos_base!$J$5+datos_base!$J$21+IF(parametros_manuales!$H$41="Todos",datos_base!$J$12+datos_base!$J$26,0))*parametros_manuales!$K$110)*parametros_manuales!$I$41*parametros_manuales!$J$41</f>
        <v>5535.348024595</v>
      </c>
      <c r="L240" s="9" t="n">
        <f aca="false">(parametros_manuales!$D$41*(datos_base!$J$2+datos_base!$J$18+IF(parametros_manuales!$H$41="Todos",datos_base!$J$9+datos_base!$J$23,0))*parametros_manuales!$L$95+parametros_manuales!$E$41*(datos_base!$J$3+datos_base!$J$19+IF(parametros_manuales!$H$41="Todos",datos_base!$J$10+datos_base!$J$24,0))*parametros_manuales!$L$100+parametros_manuales!$F$41*(datos_base!$J$4+datos_base!$J$20+IF(parametros_manuales!$H$41="Todos",datos_base!$J$11+datos_base!$J$25,0))*parametros_manuales!$L$105+parametros_manuales!$G$41*(datos_base!$J$5+datos_base!$J$21+IF(parametros_manuales!$H$41="Todos",datos_base!$J$12+datos_base!$J$26,0))*parametros_manuales!$L$110)*parametros_manuales!$I$41*parametros_manuales!$J$41</f>
        <v>5709.68612883</v>
      </c>
      <c r="M240" s="9" t="n">
        <f aca="false">(parametros_manuales!$D$41*(datos_base!$J$2+datos_base!$J$18+IF(parametros_manuales!$H$41="Todos",datos_base!$J$9+datos_base!$J$23,0))*parametros_manuales!$M$95+parametros_manuales!$E$41*(datos_base!$J$3+datos_base!$J$19+IF(parametros_manuales!$H$41="Todos",datos_base!$J$10+datos_base!$J$24,0))*parametros_manuales!$M$100+parametros_manuales!$F$41*(datos_base!$J$4+datos_base!$J$20+IF(parametros_manuales!$H$41="Todos",datos_base!$J$11+datos_base!$J$25,0))*parametros_manuales!$M$105+parametros_manuales!$G$41*(datos_base!$J$5+datos_base!$J$21+IF(parametros_manuales!$H$41="Todos",datos_base!$J$12+datos_base!$J$26,0))*parametros_manuales!$M$110)*parametros_manuales!$I$41*parametros_manuales!$J$41</f>
        <v>5709.68612883</v>
      </c>
      <c r="N240" s="9" t="n">
        <f aca="false">SUM(B240:M240)</f>
        <v>63440.956987</v>
      </c>
      <c r="O240" s="9" t="n">
        <f aca="false">MAX(B240:M240)</f>
        <v>5709.68612883</v>
      </c>
      <c r="P240" s="43" t="n">
        <f aca="false">O240/(parametros_manuales!$B$7)</f>
        <v>38.0645741922</v>
      </c>
      <c r="Q240" s="8" t="str">
        <f aca="false">IF(O240=0,"-",INDEX($B$217:$M$217,MATCH(O240,B240:M240,0)))</f>
        <v>Ene</v>
      </c>
    </row>
    <row r="241" customFormat="false" ht="14.25" hidden="false" customHeight="true" outlineLevel="0" collapsed="false">
      <c r="A241" s="8" t="str">
        <f aca="false">parametros_manuales!$B$42</f>
        <v>Etiquetado</v>
      </c>
      <c r="B241" s="9" t="n">
        <f aca="false">(parametros_manuales!$D$42*(datos_base!$J$2+datos_base!$J$18+IF(parametros_manuales!$H$42="Todos",datos_base!$J$9+datos_base!$J$23,0))*parametros_manuales!$B$95+parametros_manuales!$E$42*(datos_base!$J$3+datos_base!$J$19+IF(parametros_manuales!$H$42="Todos",datos_base!$J$10+datos_base!$J$24,0))*parametros_manuales!$B$100+parametros_manuales!$F$42*(datos_base!$J$4+datos_base!$J$20+IF(parametros_manuales!$H$42="Todos",datos_base!$J$11+datos_base!$J$25,0))*parametros_manuales!$B$105+parametros_manuales!$G$42*(datos_base!$J$5+datos_base!$J$21+IF(parametros_manuales!$H$42="Todos",datos_base!$J$12+datos_base!$J$26,0))*parametros_manuales!$B$110)*parametros_manuales!$I$42*parametros_manuales!$J$42</f>
        <v>5709.68612883</v>
      </c>
      <c r="C241" s="9" t="n">
        <f aca="false">(parametros_manuales!$D$42*(datos_base!$J$2+datos_base!$J$18+IF(parametros_manuales!$H$42="Todos",datos_base!$J$9+datos_base!$J$23,0))*parametros_manuales!$C$95+parametros_manuales!$E$42*(datos_base!$J$3+datos_base!$J$19+IF(parametros_manuales!$H$42="Todos",datos_base!$J$10+datos_base!$J$24,0))*parametros_manuales!$C$100+parametros_manuales!$F$42*(datos_base!$J$4+datos_base!$J$20+IF(parametros_manuales!$H$42="Todos",datos_base!$J$11+datos_base!$J$25,0))*parametros_manuales!$C$105+parametros_manuales!$G$42*(datos_base!$J$5+datos_base!$J$21+IF(parametros_manuales!$H$42="Todos",datos_base!$J$12+datos_base!$J$26,0))*parametros_manuales!$C$110)*parametros_manuales!$I$42*parametros_manuales!$J$42</f>
        <v>5361.00992036</v>
      </c>
      <c r="D241" s="9" t="n">
        <f aca="false">(parametros_manuales!$D$42*(datos_base!$J$2+datos_base!$J$18+IF(parametros_manuales!$H$42="Todos",datos_base!$J$9+datos_base!$J$23,0))*parametros_manuales!$D$95+parametros_manuales!$E$42*(datos_base!$J$3+datos_base!$J$19+IF(parametros_manuales!$H$42="Todos",datos_base!$J$10+datos_base!$J$24,0))*parametros_manuales!$D$100+parametros_manuales!$F$42*(datos_base!$J$4+datos_base!$J$20+IF(parametros_manuales!$H$42="Todos",datos_base!$J$11+datos_base!$J$25,0))*parametros_manuales!$D$105+parametros_manuales!$G$42*(datos_base!$J$5+datos_base!$J$21+IF(parametros_manuales!$H$42="Todos",datos_base!$J$12+datos_base!$J$26,0))*parametros_manuales!$D$110)*parametros_manuales!$I$42*parametros_manuales!$J$42</f>
        <v>5249.614663195</v>
      </c>
      <c r="E241" s="9" t="n">
        <f aca="false">(parametros_manuales!$D$42*(datos_base!$J$2+datos_base!$J$18+IF(parametros_manuales!$H$42="Todos",datos_base!$J$9+datos_base!$J$23,0))*parametros_manuales!$E$95+parametros_manuales!$E$42*(datos_base!$J$3+datos_base!$J$19+IF(parametros_manuales!$H$42="Todos",datos_base!$J$10+datos_base!$J$24,0))*parametros_manuales!$E$100+parametros_manuales!$F$42*(datos_base!$J$4+datos_base!$J$20+IF(parametros_manuales!$H$42="Todos",datos_base!$J$11+datos_base!$J$25,0))*parametros_manuales!$E$105+parametros_manuales!$G$42*(datos_base!$J$5+datos_base!$J$21+IF(parametros_manuales!$H$42="Todos",datos_base!$J$12+datos_base!$J$26,0))*parametros_manuales!$E$110)*parametros_manuales!$I$42*parametros_manuales!$J$42</f>
        <v>5106.747982495</v>
      </c>
      <c r="F241" s="9" t="n">
        <f aca="false">(parametros_manuales!$D$42*(datos_base!$J$2+datos_base!$J$18+IF(parametros_manuales!$H$42="Todos",datos_base!$J$9+datos_base!$J$23,0))*parametros_manuales!$F$95+parametros_manuales!$E$42*(datos_base!$J$3+datos_base!$J$19+IF(parametros_manuales!$H$42="Todos",datos_base!$J$10+datos_base!$J$24,0))*parametros_manuales!$F$100+parametros_manuales!$F$42*(datos_base!$J$4+datos_base!$J$20+IF(parametros_manuales!$H$42="Todos",datos_base!$J$11+datos_base!$J$25,0))*parametros_manuales!$F$105+parametros_manuales!$G$42*(datos_base!$J$5+datos_base!$J$21+IF(parametros_manuales!$H$42="Todos",datos_base!$J$12+datos_base!$J$26,0))*parametros_manuales!$F$110)*parametros_manuales!$I$42*parametros_manuales!$J$42</f>
        <v>4789.54319756</v>
      </c>
      <c r="G241" s="9" t="n">
        <f aca="false">(parametros_manuales!$D$42*(datos_base!$J$2+datos_base!$J$18+IF(parametros_manuales!$H$42="Todos",datos_base!$J$9+datos_base!$J$23,0))*parametros_manuales!$G$95+parametros_manuales!$E$42*(datos_base!$J$3+datos_base!$J$19+IF(parametros_manuales!$H$42="Todos",datos_base!$J$10+datos_base!$J$24,0))*parametros_manuales!$G$100+parametros_manuales!$F$42*(datos_base!$J$4+datos_base!$J$20+IF(parametros_manuales!$H$42="Todos",datos_base!$J$11+datos_base!$J$25,0))*parametros_manuales!$G$105+parametros_manuales!$G$42*(datos_base!$J$5+datos_base!$J$21+IF(parametros_manuales!$H$42="Todos",datos_base!$J$12+datos_base!$J$26,0))*parametros_manuales!$G$110)*parametros_manuales!$I$42*parametros_manuales!$J$42</f>
        <v>4615.205093325</v>
      </c>
      <c r="H241" s="9" t="n">
        <f aca="false">(parametros_manuales!$D$42*(datos_base!$J$2+datos_base!$J$18+IF(parametros_manuales!$H$42="Todos",datos_base!$J$9+datos_base!$J$23,0))*parametros_manuales!$H$95+parametros_manuales!$E$42*(datos_base!$J$3+datos_base!$J$19+IF(parametros_manuales!$H$42="Todos",datos_base!$J$10+datos_base!$J$24,0))*parametros_manuales!$H$100+parametros_manuales!$F$42*(datos_base!$J$4+datos_base!$J$20+IF(parametros_manuales!$H$42="Todos",datos_base!$J$11+datos_base!$J$25,0))*parametros_manuales!$H$105+parametros_manuales!$G$42*(datos_base!$J$5+datos_base!$J$21+IF(parametros_manuales!$H$42="Todos",datos_base!$J$12+datos_base!$J$26,0))*parametros_manuales!$H$110)*parametros_manuales!$I$42*parametros_manuales!$J$42</f>
        <v>4932.40987826</v>
      </c>
      <c r="I241" s="9" t="n">
        <f aca="false">(parametros_manuales!$D$42*(datos_base!$J$2+datos_base!$J$18+IF(parametros_manuales!$H$42="Todos",datos_base!$J$9+datos_base!$J$23,0))*parametros_manuales!$I$95+parametros_manuales!$E$42*(datos_base!$J$3+datos_base!$J$19+IF(parametros_manuales!$H$42="Todos",datos_base!$J$10+datos_base!$J$24,0))*parametros_manuales!$I$100+parametros_manuales!$F$42*(datos_base!$J$4+datos_base!$J$20+IF(parametros_manuales!$H$42="Todos",datos_base!$J$11+datos_base!$J$25,0))*parametros_manuales!$I$105+parametros_manuales!$G$42*(datos_base!$J$5+datos_base!$J$21+IF(parametros_manuales!$H$42="Todos",datos_base!$J$12+datos_base!$J$26,0))*parametros_manuales!$I$110)*parametros_manuales!$I$42*parametros_manuales!$J$42</f>
        <v>5361.00992036</v>
      </c>
      <c r="J241" s="9" t="n">
        <f aca="false">(parametros_manuales!$D$42*(datos_base!$J$2+datos_base!$J$18+IF(parametros_manuales!$H$42="Todos",datos_base!$J$9+datos_base!$J$23,0))*parametros_manuales!$J$95+parametros_manuales!$E$42*(datos_base!$J$3+datos_base!$J$19+IF(parametros_manuales!$H$42="Todos",datos_base!$J$10+datos_base!$J$24,0))*parametros_manuales!$J$100+parametros_manuales!$F$42*(datos_base!$J$4+datos_base!$J$20+IF(parametros_manuales!$H$42="Todos",datos_base!$J$11+datos_base!$J$25,0))*parametros_manuales!$J$105+parametros_manuales!$G$42*(datos_base!$J$5+datos_base!$J$21+IF(parametros_manuales!$H$42="Todos",datos_base!$J$12+datos_base!$J$26,0))*parametros_manuales!$J$110)*parametros_manuales!$I$42*parametros_manuales!$J$42</f>
        <v>5361.00992036</v>
      </c>
      <c r="K241" s="9" t="n">
        <f aca="false">(parametros_manuales!$D$42*(datos_base!$J$2+datos_base!$J$18+IF(parametros_manuales!$H$42="Todos",datos_base!$J$9+datos_base!$J$23,0))*parametros_manuales!$K$95+parametros_manuales!$E$42*(datos_base!$J$3+datos_base!$J$19+IF(parametros_manuales!$H$42="Todos",datos_base!$J$10+datos_base!$J$24,0))*parametros_manuales!$K$100+parametros_manuales!$F$42*(datos_base!$J$4+datos_base!$J$20+IF(parametros_manuales!$H$42="Todos",datos_base!$J$11+datos_base!$J$25,0))*parametros_manuales!$K$105+parametros_manuales!$G$42*(datos_base!$J$5+datos_base!$J$21+IF(parametros_manuales!$H$42="Todos",datos_base!$J$12+datos_base!$J$26,0))*parametros_manuales!$K$110)*parametros_manuales!$I$42*parametros_manuales!$J$42</f>
        <v>5535.348024595</v>
      </c>
      <c r="L241" s="9" t="n">
        <f aca="false">(parametros_manuales!$D$42*(datos_base!$J$2+datos_base!$J$18+IF(parametros_manuales!$H$42="Todos",datos_base!$J$9+datos_base!$J$23,0))*parametros_manuales!$L$95+parametros_manuales!$E$42*(datos_base!$J$3+datos_base!$J$19+IF(parametros_manuales!$H$42="Todos",datos_base!$J$10+datos_base!$J$24,0))*parametros_manuales!$L$100+parametros_manuales!$F$42*(datos_base!$J$4+datos_base!$J$20+IF(parametros_manuales!$H$42="Todos",datos_base!$J$11+datos_base!$J$25,0))*parametros_manuales!$L$105+parametros_manuales!$G$42*(datos_base!$J$5+datos_base!$J$21+IF(parametros_manuales!$H$42="Todos",datos_base!$J$12+datos_base!$J$26,0))*parametros_manuales!$L$110)*parametros_manuales!$I$42*parametros_manuales!$J$42</f>
        <v>5709.68612883</v>
      </c>
      <c r="M241" s="9" t="n">
        <f aca="false">(parametros_manuales!$D$42*(datos_base!$J$2+datos_base!$J$18+IF(parametros_manuales!$H$42="Todos",datos_base!$J$9+datos_base!$J$23,0))*parametros_manuales!$M$95+parametros_manuales!$E$42*(datos_base!$J$3+datos_base!$J$19+IF(parametros_manuales!$H$42="Todos",datos_base!$J$10+datos_base!$J$24,0))*parametros_manuales!$M$100+parametros_manuales!$F$42*(datos_base!$J$4+datos_base!$J$20+IF(parametros_manuales!$H$42="Todos",datos_base!$J$11+datos_base!$J$25,0))*parametros_manuales!$M$105+parametros_manuales!$G$42*(datos_base!$J$5+datos_base!$J$21+IF(parametros_manuales!$H$42="Todos",datos_base!$J$12+datos_base!$J$26,0))*parametros_manuales!$M$110)*parametros_manuales!$I$42*parametros_manuales!$J$42</f>
        <v>5709.68612883</v>
      </c>
      <c r="N241" s="9" t="n">
        <f aca="false">SUM(B241:M241)</f>
        <v>63440.956987</v>
      </c>
      <c r="O241" s="9" t="n">
        <f aca="false">MAX(B241:M241)</f>
        <v>5709.68612883</v>
      </c>
      <c r="P241" s="43" t="n">
        <f aca="false">O241/(parametros_manuales!$B$7)</f>
        <v>38.0645741922</v>
      </c>
      <c r="Q241" s="8" t="str">
        <f aca="false">IF(O241=0,"-",INDEX($B$217:$M$217,MATCH(O241,B241:M241,0)))</f>
        <v>Ene</v>
      </c>
    </row>
    <row r="242" customFormat="false" ht="14.25" hidden="false" customHeight="true" outlineLevel="0" collapsed="false">
      <c r="A242" s="8" t="str">
        <f aca="false">parametros_manuales!$B$43</f>
        <v>Embalaje y paletizado</v>
      </c>
      <c r="B242" s="9" t="n">
        <f aca="false">(parametros_manuales!$D$43*(datos_base!$J$2+datos_base!$J$18+IF(parametros_manuales!$H$43="Todos",datos_base!$J$9+datos_base!$J$23,0))*parametros_manuales!$B$95+parametros_manuales!$E$43*(datos_base!$J$3+datos_base!$J$19+IF(parametros_manuales!$H$43="Todos",datos_base!$J$10+datos_base!$J$24,0))*parametros_manuales!$B$100+parametros_manuales!$F$43*(datos_base!$J$4+datos_base!$J$20+IF(parametros_manuales!$H$43="Todos",datos_base!$J$11+datos_base!$J$25,0))*parametros_manuales!$B$105+parametros_manuales!$G$43*(datos_base!$J$5+datos_base!$J$21+IF(parametros_manuales!$H$43="Todos",datos_base!$J$12+datos_base!$J$26,0))*parametros_manuales!$B$110)*parametros_manuales!$I$43*parametros_manuales!$J$43</f>
        <v>22161.40532883</v>
      </c>
      <c r="C242" s="9" t="n">
        <f aca="false">(parametros_manuales!$D$43*(datos_base!$J$2+datos_base!$J$18+IF(parametros_manuales!$H$43="Todos",datos_base!$J$9+datos_base!$J$23,0))*parametros_manuales!$C$95+parametros_manuales!$E$43*(datos_base!$J$3+datos_base!$J$19+IF(parametros_manuales!$H$43="Todos",datos_base!$J$10+datos_base!$J$24,0))*parametros_manuales!$C$100+parametros_manuales!$F$43*(datos_base!$J$4+datos_base!$J$20+IF(parametros_manuales!$H$43="Todos",datos_base!$J$11+datos_base!$J$25,0))*parametros_manuales!$C$105+parametros_manuales!$G$43*(datos_base!$J$5+datos_base!$J$21+IF(parametros_manuales!$H$43="Todos",datos_base!$J$12+datos_base!$J$26,0))*parametros_manuales!$C$110)*parametros_manuales!$I$43*parametros_manuales!$J$43</f>
        <v>21452.95832036</v>
      </c>
      <c r="D242" s="9" t="n">
        <f aca="false">(parametros_manuales!$D$43*(datos_base!$J$2+datos_base!$J$18+IF(parametros_manuales!$H$43="Todos",datos_base!$J$9+datos_base!$J$23,0))*parametros_manuales!$D$95+parametros_manuales!$E$43*(datos_base!$J$3+datos_base!$J$19+IF(parametros_manuales!$H$43="Todos",datos_base!$J$10+datos_base!$J$24,0))*parametros_manuales!$D$100+parametros_manuales!$F$43*(datos_base!$J$4+datos_base!$J$20+IF(parametros_manuales!$H$43="Todos",datos_base!$J$11+datos_base!$J$25,0))*parametros_manuales!$D$105+parametros_manuales!$G$43*(datos_base!$J$5+datos_base!$J$21+IF(parametros_manuales!$H$43="Todos",datos_base!$J$12+datos_base!$J$26,0))*parametros_manuales!$D$110)*parametros_manuales!$I$43*parametros_manuales!$J$43</f>
        <v>20053.250463195</v>
      </c>
      <c r="E242" s="9" t="n">
        <f aca="false">(parametros_manuales!$D$43*(datos_base!$J$2+datos_base!$J$18+IF(parametros_manuales!$H$43="Todos",datos_base!$J$9+datos_base!$J$23,0))*parametros_manuales!$E$95+parametros_manuales!$E$43*(datos_base!$J$3+datos_base!$J$19+IF(parametros_manuales!$H$43="Todos",datos_base!$J$10+datos_base!$J$24,0))*parametros_manuales!$E$100+parametros_manuales!$F$43*(datos_base!$J$4+datos_base!$J$20+IF(parametros_manuales!$H$43="Todos",datos_base!$J$11+datos_base!$J$25,0))*parametros_manuales!$E$105+parametros_manuales!$G$43*(datos_base!$J$5+datos_base!$J$21+IF(parametros_manuales!$H$43="Todos",datos_base!$J$12+datos_base!$J$26,0))*parametros_manuales!$E$110)*parametros_manuales!$I$43*parametros_manuales!$J$43</f>
        <v>19176.284782495</v>
      </c>
      <c r="F242" s="9" t="n">
        <f aca="false">(parametros_manuales!$D$43*(datos_base!$J$2+datos_base!$J$18+IF(parametros_manuales!$H$43="Todos",datos_base!$J$9+datos_base!$J$23,0))*parametros_manuales!$F$95+parametros_manuales!$E$43*(datos_base!$J$3+datos_base!$J$19+IF(parametros_manuales!$H$43="Todos",datos_base!$J$10+datos_base!$J$24,0))*parametros_manuales!$F$100+parametros_manuales!$F$43*(datos_base!$J$4+datos_base!$J$20+IF(parametros_manuales!$H$43="Todos",datos_base!$J$11+datos_base!$J$25,0))*parametros_manuales!$F$105+parametros_manuales!$G$43*(datos_base!$J$5+datos_base!$J$21+IF(parametros_manuales!$H$43="Todos",datos_base!$J$12+datos_base!$J$26,0))*parametros_manuales!$F$110)*parametros_manuales!$I$43*parametros_manuales!$J$43</f>
        <v>17945.09559756</v>
      </c>
      <c r="G242" s="9" t="n">
        <f aca="false">(parametros_manuales!$D$43*(datos_base!$J$2+datos_base!$J$18+IF(parametros_manuales!$H$43="Todos",datos_base!$J$9+datos_base!$J$23,0))*parametros_manuales!$G$95+parametros_manuales!$E$43*(datos_base!$J$3+datos_base!$J$19+IF(parametros_manuales!$H$43="Todos",datos_base!$J$10+datos_base!$J$24,0))*parametros_manuales!$G$100+parametros_manuales!$F$43*(datos_base!$J$4+datos_base!$J$20+IF(parametros_manuales!$H$43="Todos",datos_base!$J$11+datos_base!$J$25,0))*parametros_manuales!$G$105+parametros_manuales!$G$43*(datos_base!$J$5+datos_base!$J$21+IF(parametros_manuales!$H$43="Todos",datos_base!$J$12+datos_base!$J$26,0))*parametros_manuales!$G$110)*parametros_manuales!$I$43*parametros_manuales!$J$43</f>
        <v>17590.872093325</v>
      </c>
      <c r="H242" s="9" t="n">
        <f aca="false">(parametros_manuales!$D$43*(datos_base!$J$2+datos_base!$J$18+IF(parametros_manuales!$H$43="Todos",datos_base!$J$9+datos_base!$J$23,0))*parametros_manuales!$H$95+parametros_manuales!$E$43*(datos_base!$J$3+datos_base!$J$19+IF(parametros_manuales!$H$43="Todos",datos_base!$J$10+datos_base!$J$24,0))*parametros_manuales!$H$100+parametros_manuales!$F$43*(datos_base!$J$4+datos_base!$J$20+IF(parametros_manuales!$H$43="Todos",datos_base!$J$11+datos_base!$J$25,0))*parametros_manuales!$H$105+parametros_manuales!$G$43*(datos_base!$J$5+datos_base!$J$21+IF(parametros_manuales!$H$43="Todos",datos_base!$J$12+datos_base!$J$26,0))*parametros_manuales!$H$110)*parametros_manuales!$I$43*parametros_manuales!$J$43</f>
        <v>18822.06127826</v>
      </c>
      <c r="I242" s="9" t="n">
        <f aca="false">(parametros_manuales!$D$43*(datos_base!$J$2+datos_base!$J$18+IF(parametros_manuales!$H$43="Todos",datos_base!$J$9+datos_base!$J$23,0))*parametros_manuales!$I$95+parametros_manuales!$E$43*(datos_base!$J$3+datos_base!$J$19+IF(parametros_manuales!$H$43="Todos",datos_base!$J$10+datos_base!$J$24,0))*parametros_manuales!$I$100+parametros_manuales!$F$43*(datos_base!$J$4+datos_base!$J$20+IF(parametros_manuales!$H$43="Todos",datos_base!$J$11+datos_base!$J$25,0))*parametros_manuales!$I$105+parametros_manuales!$G$43*(datos_base!$J$5+datos_base!$J$21+IF(parametros_manuales!$H$43="Todos",datos_base!$J$12+datos_base!$J$26,0))*parametros_manuales!$I$110)*parametros_manuales!$I$43*parametros_manuales!$J$43</f>
        <v>21452.95832036</v>
      </c>
      <c r="J242" s="9" t="n">
        <f aca="false">(parametros_manuales!$D$43*(datos_base!$J$2+datos_base!$J$18+IF(parametros_manuales!$H$43="Todos",datos_base!$J$9+datos_base!$J$23,0))*parametros_manuales!$J$95+parametros_manuales!$E$43*(datos_base!$J$3+datos_base!$J$19+IF(parametros_manuales!$H$43="Todos",datos_base!$J$10+datos_base!$J$24,0))*parametros_manuales!$J$100+parametros_manuales!$F$43*(datos_base!$J$4+datos_base!$J$20+IF(parametros_manuales!$H$43="Todos",datos_base!$J$11+datos_base!$J$25,0))*parametros_manuales!$J$105+parametros_manuales!$G$43*(datos_base!$J$5+datos_base!$J$21+IF(parametros_manuales!$H$43="Todos",datos_base!$J$12+datos_base!$J$26,0))*parametros_manuales!$J$110)*parametros_manuales!$I$43*parametros_manuales!$J$43</f>
        <v>21452.95832036</v>
      </c>
      <c r="K242" s="9" t="n">
        <f aca="false">(parametros_manuales!$D$43*(datos_base!$J$2+datos_base!$J$18+IF(parametros_manuales!$H$43="Todos",datos_base!$J$9+datos_base!$J$23,0))*parametros_manuales!$K$95+parametros_manuales!$E$43*(datos_base!$J$3+datos_base!$J$19+IF(parametros_manuales!$H$43="Todos",datos_base!$J$10+datos_base!$J$24,0))*parametros_manuales!$K$100+parametros_manuales!$F$43*(datos_base!$J$4+datos_base!$J$20+IF(parametros_manuales!$H$43="Todos",datos_base!$J$11+datos_base!$J$25,0))*parametros_manuales!$K$105+parametros_manuales!$G$43*(datos_base!$J$5+datos_base!$J$21+IF(parametros_manuales!$H$43="Todos",datos_base!$J$12+datos_base!$J$26,0))*parametros_manuales!$K$110)*parametros_manuales!$I$43*parametros_manuales!$J$43</f>
        <v>21807.181824595</v>
      </c>
      <c r="L242" s="9" t="n">
        <f aca="false">(parametros_manuales!$D$43*(datos_base!$J$2+datos_base!$J$18+IF(parametros_manuales!$H$43="Todos",datos_base!$J$9+datos_base!$J$23,0))*parametros_manuales!$L$95+parametros_manuales!$E$43*(datos_base!$J$3+datos_base!$J$19+IF(parametros_manuales!$H$43="Todos",datos_base!$J$10+datos_base!$J$24,0))*parametros_manuales!$L$100+parametros_manuales!$F$43*(datos_base!$J$4+datos_base!$J$20+IF(parametros_manuales!$H$43="Todos",datos_base!$J$11+datos_base!$J$25,0))*parametros_manuales!$L$105+parametros_manuales!$G$43*(datos_base!$J$5+datos_base!$J$21+IF(parametros_manuales!$H$43="Todos",datos_base!$J$12+datos_base!$J$26,0))*parametros_manuales!$L$110)*parametros_manuales!$I$43*parametros_manuales!$J$43</f>
        <v>22161.40532883</v>
      </c>
      <c r="M242" s="9" t="n">
        <f aca="false">(parametros_manuales!$D$43*(datos_base!$J$2+datos_base!$J$18+IF(parametros_manuales!$H$43="Todos",datos_base!$J$9+datos_base!$J$23,0))*parametros_manuales!$M$95+parametros_manuales!$E$43*(datos_base!$J$3+datos_base!$J$19+IF(parametros_manuales!$H$43="Todos",datos_base!$J$10+datos_base!$J$24,0))*parametros_manuales!$M$100+parametros_manuales!$F$43*(datos_base!$J$4+datos_base!$J$20+IF(parametros_manuales!$H$43="Todos",datos_base!$J$11+datos_base!$J$25,0))*parametros_manuales!$M$105+parametros_manuales!$G$43*(datos_base!$J$5+datos_base!$J$21+IF(parametros_manuales!$H$43="Todos",datos_base!$J$12+datos_base!$J$26,0))*parametros_manuales!$M$110)*parametros_manuales!$I$43*parametros_manuales!$J$43</f>
        <v>22161.40532883</v>
      </c>
      <c r="N242" s="9" t="n">
        <f aca="false">SUM(B242:M242)</f>
        <v>246237.836987</v>
      </c>
      <c r="O242" s="9" t="n">
        <f aca="false">MAX(B242:M242)</f>
        <v>22161.40532883</v>
      </c>
      <c r="P242" s="43" t="n">
        <f aca="false">O242/(parametros_manuales!$B$7)</f>
        <v>147.7427021922</v>
      </c>
      <c r="Q242" s="8" t="str">
        <f aca="false">IF(O242=0,"-",INDEX($B$217:$M$217,MATCH(O242,B242:M242,0)))</f>
        <v>Ene</v>
      </c>
    </row>
    <row r="243" customFormat="false" ht="14.25" hidden="false" customHeight="true" outlineLevel="0" collapsed="false"/>
    <row r="244" customFormat="false" ht="14.25" hidden="false" customHeight="true" outlineLevel="0" collapsed="false">
      <c r="A244" s="7" t="s">
        <v>199</v>
      </c>
      <c r="B244" s="7" t="s">
        <v>61</v>
      </c>
      <c r="C244" s="7" t="s">
        <v>62</v>
      </c>
      <c r="D244" s="7" t="s">
        <v>63</v>
      </c>
      <c r="E244" s="7" t="s">
        <v>64</v>
      </c>
      <c r="F244" s="7" t="s">
        <v>65</v>
      </c>
      <c r="G244" s="7" t="s">
        <v>66</v>
      </c>
      <c r="H244" s="7" t="s">
        <v>67</v>
      </c>
      <c r="I244" s="7" t="s">
        <v>68</v>
      </c>
      <c r="J244" s="7" t="s">
        <v>69</v>
      </c>
      <c r="K244" s="7" t="s">
        <v>70</v>
      </c>
      <c r="L244" s="7" t="s">
        <v>71</v>
      </c>
      <c r="M244" s="7" t="s">
        <v>72</v>
      </c>
      <c r="N244" s="7" t="s">
        <v>183</v>
      </c>
      <c r="O244" s="7" t="s">
        <v>188</v>
      </c>
      <c r="P244" s="7" t="s">
        <v>189</v>
      </c>
      <c r="Q244" s="7" t="s">
        <v>190</v>
      </c>
    </row>
    <row r="245" customFormat="false" ht="14.25" hidden="false" customHeight="true" outlineLevel="0" collapsed="false">
      <c r="A245" s="8" t="str">
        <f aca="false">parametros_manuales!$B$19</f>
        <v>Recepción de materia prima</v>
      </c>
      <c r="B245" s="9" t="n">
        <f aca="false">(parametros_manuales!$D$19*(datos_base!$K$2+datos_base!$K$18+IF(parametros_manuales!$H$19="Todos",datos_base!$K$9+datos_base!$K$23,0))*parametros_manuales!$B$95+parametros_manuales!$E$19*(datos_base!$K$3+datos_base!$K$19+IF(parametros_manuales!$H$19="Todos",datos_base!$K$10+datos_base!$K$24,0))*parametros_manuales!$B$100+parametros_manuales!$F$19*(datos_base!$K$4+datos_base!$K$20+IF(parametros_manuales!$H$19="Todos",datos_base!$K$11+datos_base!$K$25,0))*parametros_manuales!$B$105+parametros_manuales!$G$19*(datos_base!$K$5+datos_base!$K$21+IF(parametros_manuales!$H$19="Todos",datos_base!$K$12+datos_base!$K$26,0))*parametros_manuales!$B$110)*parametros_manuales!$I$19*parametros_manuales!$J$19</f>
        <v>25605.65559357</v>
      </c>
      <c r="C245" s="9" t="n">
        <f aca="false">(parametros_manuales!$D$19*(datos_base!$K$2+datos_base!$K$18+IF(parametros_manuales!$H$19="Todos",datos_base!$K$9+datos_base!$K$23,0))*parametros_manuales!$C$95+parametros_manuales!$E$19*(datos_base!$K$3+datos_base!$K$19+IF(parametros_manuales!$H$19="Todos",datos_base!$K$10+datos_base!$K$24,0))*parametros_manuales!$C$100+parametros_manuales!$F$19*(datos_base!$K$4+datos_base!$K$20+IF(parametros_manuales!$H$19="Todos",datos_base!$K$11+datos_base!$K$25,0))*parametros_manuales!$C$105+parametros_manuales!$G$19*(datos_base!$K$5+datos_base!$K$21+IF(parametros_manuales!$H$19="Todos",datos_base!$K$12+datos_base!$K$26,0))*parametros_manuales!$C$110)*parametros_manuales!$I$19*parametros_manuales!$J$19</f>
        <v>24786.78914114</v>
      </c>
      <c r="D245" s="9" t="n">
        <f aca="false">(parametros_manuales!$D$19*(datos_base!$K$2+datos_base!$K$18+IF(parametros_manuales!$H$19="Todos",datos_base!$K$9+datos_base!$K$23,0))*parametros_manuales!$D$95+parametros_manuales!$E$19*(datos_base!$K$3+datos_base!$K$19+IF(parametros_manuales!$H$19="Todos",datos_base!$K$10+datos_base!$K$24,0))*parametros_manuales!$D$100+parametros_manuales!$F$19*(datos_base!$K$4+datos_base!$K$20+IF(parametros_manuales!$H$19="Todos",datos_base!$K$11+datos_base!$K$25,0))*parametros_manuales!$D$105+parametros_manuales!$G$19*(datos_base!$K$5+datos_base!$K$21+IF(parametros_manuales!$H$19="Todos",datos_base!$K$12+datos_base!$K$26,0))*parametros_manuales!$D$110)*parametros_manuales!$I$19*parametros_manuales!$J$19</f>
        <v>23170.015976055</v>
      </c>
      <c r="E245" s="9" t="n">
        <f aca="false">(parametros_manuales!$D$19*(datos_base!$K$2+datos_base!$K$18+IF(parametros_manuales!$H$19="Todos",datos_base!$K$9+datos_base!$K$23,0))*parametros_manuales!$E$95+parametros_manuales!$E$19*(datos_base!$K$3+datos_base!$K$19+IF(parametros_manuales!$H$19="Todos",datos_base!$K$10+datos_base!$K$24,0))*parametros_manuales!$E$100+parametros_manuales!$F$19*(datos_base!$K$4+datos_base!$K$20+IF(parametros_manuales!$H$19="Todos",datos_base!$K$11+datos_base!$K$25,0))*parametros_manuales!$E$105+parametros_manuales!$G$19*(datos_base!$K$5+datos_base!$K$21+IF(parametros_manuales!$H$19="Todos",datos_base!$K$12+datos_base!$K$26,0))*parametros_manuales!$E$110)*parametros_manuales!$I$19*parametros_manuales!$J$19</f>
        <v>22156.912780405</v>
      </c>
      <c r="F245" s="9" t="n">
        <f aca="false">(parametros_manuales!$D$19*(datos_base!$K$2+datos_base!$K$18+IF(parametros_manuales!$H$19="Todos",datos_base!$K$9+datos_base!$K$23,0))*parametros_manuales!$F$95+parametros_manuales!$E$19*(datos_base!$K$3+datos_base!$K$19+IF(parametros_manuales!$H$19="Todos",datos_base!$K$10+datos_base!$K$24,0))*parametros_manuales!$F$100+parametros_manuales!$F$19*(datos_base!$K$4+datos_base!$K$20+IF(parametros_manuales!$H$19="Todos",datos_base!$K$11+datos_base!$K$25,0))*parametros_manuales!$F$105+parametros_manuales!$G$19*(datos_base!$K$5+datos_base!$K$21+IF(parametros_manuales!$H$19="Todos",datos_base!$K$12+datos_base!$K$26,0))*parametros_manuales!$F$110)*parametros_manuales!$I$19*parametros_manuales!$J$19</f>
        <v>20734.37635854</v>
      </c>
      <c r="G245" s="9" t="n">
        <f aca="false">(parametros_manuales!$D$19*(datos_base!$K$2+datos_base!$K$18+IF(parametros_manuales!$H$19="Todos",datos_base!$K$9+datos_base!$K$23,0))*parametros_manuales!$G$95+parametros_manuales!$E$19*(datos_base!$K$3+datos_base!$K$19+IF(parametros_manuales!$H$19="Todos",datos_base!$K$10+datos_base!$K$24,0))*parametros_manuales!$G$100+parametros_manuales!$F$19*(datos_base!$K$4+datos_base!$K$20+IF(parametros_manuales!$H$19="Todos",datos_base!$K$11+datos_base!$K$25,0))*parametros_manuales!$G$105+parametros_manuales!$G$19*(datos_base!$K$5+datos_base!$K$21+IF(parametros_manuales!$H$19="Todos",datos_base!$K$12+datos_base!$K$26,0))*parametros_manuales!$G$110)*parametros_manuales!$I$19*parametros_manuales!$J$19</f>
        <v>20324.943132325</v>
      </c>
      <c r="H245" s="9" t="n">
        <f aca="false">(parametros_manuales!$D$19*(datos_base!$K$2+datos_base!$K$18+IF(parametros_manuales!$H$19="Todos",datos_base!$K$9+datos_base!$K$23,0))*parametros_manuales!$H$95+parametros_manuales!$E$19*(datos_base!$K$3+datos_base!$K$19+IF(parametros_manuales!$H$19="Todos",datos_base!$K$10+datos_base!$K$24,0))*parametros_manuales!$H$100+parametros_manuales!$F$19*(datos_base!$K$4+datos_base!$K$20+IF(parametros_manuales!$H$19="Todos",datos_base!$K$11+datos_base!$K$25,0))*parametros_manuales!$H$105+parametros_manuales!$G$19*(datos_base!$K$5+datos_base!$K$21+IF(parametros_manuales!$H$19="Todos",datos_base!$K$12+datos_base!$K$26,0))*parametros_manuales!$H$110)*parametros_manuales!$I$19*parametros_manuales!$J$19</f>
        <v>21747.47955419</v>
      </c>
      <c r="I245" s="9" t="n">
        <f aca="false">(parametros_manuales!$D$19*(datos_base!$K$2+datos_base!$K$18+IF(parametros_manuales!$H$19="Todos",datos_base!$K$9+datos_base!$K$23,0))*parametros_manuales!$I$95+parametros_manuales!$E$19*(datos_base!$K$3+datos_base!$K$19+IF(parametros_manuales!$H$19="Todos",datos_base!$K$10+datos_base!$K$24,0))*parametros_manuales!$I$100+parametros_manuales!$F$19*(datos_base!$K$4+datos_base!$K$20+IF(parametros_manuales!$H$19="Todos",datos_base!$K$11+datos_base!$K$25,0))*parametros_manuales!$I$105+parametros_manuales!$G$19*(datos_base!$K$5+datos_base!$K$21+IF(parametros_manuales!$H$19="Todos",datos_base!$K$12+datos_base!$K$26,0))*parametros_manuales!$I$110)*parametros_manuales!$I$19*parametros_manuales!$J$19</f>
        <v>24786.78914114</v>
      </c>
      <c r="J245" s="9" t="n">
        <f aca="false">(parametros_manuales!$D$19*(datos_base!$K$2+datos_base!$K$18+IF(parametros_manuales!$H$19="Todos",datos_base!$K$9+datos_base!$K$23,0))*parametros_manuales!$J$95+parametros_manuales!$E$19*(datos_base!$K$3+datos_base!$K$19+IF(parametros_manuales!$H$19="Todos",datos_base!$K$10+datos_base!$K$24,0))*parametros_manuales!$J$100+parametros_manuales!$F$19*(datos_base!$K$4+datos_base!$K$20+IF(parametros_manuales!$H$19="Todos",datos_base!$K$11+datos_base!$K$25,0))*parametros_manuales!$J$105+parametros_manuales!$G$19*(datos_base!$K$5+datos_base!$K$21+IF(parametros_manuales!$H$19="Todos",datos_base!$K$12+datos_base!$K$26,0))*parametros_manuales!$J$110)*parametros_manuales!$I$19*parametros_manuales!$J$19</f>
        <v>24786.78914114</v>
      </c>
      <c r="K245" s="9" t="n">
        <f aca="false">(parametros_manuales!$D$19*(datos_base!$K$2+datos_base!$K$18+IF(parametros_manuales!$H$19="Todos",datos_base!$K$9+datos_base!$K$23,0))*parametros_manuales!$K$95+parametros_manuales!$E$19*(datos_base!$K$3+datos_base!$K$19+IF(parametros_manuales!$H$19="Todos",datos_base!$K$10+datos_base!$K$24,0))*parametros_manuales!$K$100+parametros_manuales!$F$19*(datos_base!$K$4+datos_base!$K$20+IF(parametros_manuales!$H$19="Todos",datos_base!$K$11+datos_base!$K$25,0))*parametros_manuales!$K$105+parametros_manuales!$G$19*(datos_base!$K$5+datos_base!$K$21+IF(parametros_manuales!$H$19="Todos",datos_base!$K$12+datos_base!$K$26,0))*parametros_manuales!$K$110)*parametros_manuales!$I$19*parametros_manuales!$J$19</f>
        <v>25196.222367355</v>
      </c>
      <c r="L245" s="9" t="n">
        <f aca="false">(parametros_manuales!$D$19*(datos_base!$K$2+datos_base!$K$18+IF(parametros_manuales!$H$19="Todos",datos_base!$K$9+datos_base!$K$23,0))*parametros_manuales!$L$95+parametros_manuales!$E$19*(datos_base!$K$3+datos_base!$K$19+IF(parametros_manuales!$H$19="Todos",datos_base!$K$10+datos_base!$K$24,0))*parametros_manuales!$L$100+parametros_manuales!$F$19*(datos_base!$K$4+datos_base!$K$20+IF(parametros_manuales!$H$19="Todos",datos_base!$K$11+datos_base!$K$25,0))*parametros_manuales!$L$105+parametros_manuales!$G$19*(datos_base!$K$5+datos_base!$K$21+IF(parametros_manuales!$H$19="Todos",datos_base!$K$12+datos_base!$K$26,0))*parametros_manuales!$L$110)*parametros_manuales!$I$19*parametros_manuales!$J$19</f>
        <v>25605.65559357</v>
      </c>
      <c r="M245" s="9" t="n">
        <f aca="false">(parametros_manuales!$D$19*(datos_base!$K$2+datos_base!$K$18+IF(parametros_manuales!$H$19="Todos",datos_base!$K$9+datos_base!$K$23,0))*parametros_manuales!$M$95+parametros_manuales!$E$19*(datos_base!$K$3+datos_base!$K$19+IF(parametros_manuales!$H$19="Todos",datos_base!$K$10+datos_base!$K$24,0))*parametros_manuales!$M$100+parametros_manuales!$F$19*(datos_base!$K$4+datos_base!$K$20+IF(parametros_manuales!$H$19="Todos",datos_base!$K$11+datos_base!$K$25,0))*parametros_manuales!$M$105+parametros_manuales!$G$19*(datos_base!$K$5+datos_base!$K$21+IF(parametros_manuales!$H$19="Todos",datos_base!$K$12+datos_base!$K$26,0))*parametros_manuales!$M$110)*parametros_manuales!$I$19*parametros_manuales!$J$19</f>
        <v>25605.65559357</v>
      </c>
      <c r="N245" s="9" t="n">
        <f aca="false">SUM(B245:M245)</f>
        <v>284507.284373</v>
      </c>
      <c r="O245" s="9" t="n">
        <f aca="false">MAX(B245:M245)</f>
        <v>25605.65559357</v>
      </c>
      <c r="P245" s="43" t="n">
        <f aca="false">O245/(parametros_manuales!$B$7)</f>
        <v>170.7043706238</v>
      </c>
      <c r="Q245" s="8" t="str">
        <f aca="false">IF(O245=0,"-",INDEX($B$244:$M$244,MATCH(O245,B245:M245,0)))</f>
        <v>Ene</v>
      </c>
    </row>
    <row r="246" customFormat="false" ht="14.25" hidden="false" customHeight="true" outlineLevel="0" collapsed="false">
      <c r="A246" s="8" t="str">
        <f aca="false">parametros_manuales!$B$20</f>
        <v>Corte de chapa (guillotina) — 2,5 a 10 kg</v>
      </c>
      <c r="B246" s="9" t="n">
        <f aca="false">(parametros_manuales!$D$20*(datos_base!$K$2+datos_base!$K$18+IF(parametros_manuales!$H$20="Todos",datos_base!$K$9+datos_base!$K$23,0))*parametros_manuales!$B$95+parametros_manuales!$E$20*(datos_base!$K$3+datos_base!$K$19+IF(parametros_manuales!$H$20="Todos",datos_base!$K$10+datos_base!$K$24,0))*parametros_manuales!$B$100+parametros_manuales!$F$20*(datos_base!$K$4+datos_base!$K$20+IF(parametros_manuales!$H$20="Todos",datos_base!$K$11+datos_base!$K$25,0))*parametros_manuales!$B$105+parametros_manuales!$G$20*(datos_base!$K$5+datos_base!$K$21+IF(parametros_manuales!$H$20="Todos",datos_base!$K$12+datos_base!$K$26,0))*parametros_manuales!$B$110)*parametros_manuales!$I$20*parametros_manuales!$J$20</f>
        <v>7369.79807187</v>
      </c>
      <c r="C246" s="9" t="n">
        <f aca="false">(parametros_manuales!$D$20*(datos_base!$K$2+datos_base!$K$18+IF(parametros_manuales!$H$20="Todos",datos_base!$K$9+datos_base!$K$23,0))*parametros_manuales!$C$95+parametros_manuales!$E$20*(datos_base!$K$3+datos_base!$K$19+IF(parametros_manuales!$H$20="Todos",datos_base!$K$10+datos_base!$K$24,0))*parametros_manuales!$C$100+parametros_manuales!$F$20*(datos_base!$K$4+datos_base!$K$20+IF(parametros_manuales!$H$20="Todos",datos_base!$K$11+datos_base!$K$25,0))*parametros_manuales!$C$105+parametros_manuales!$G$20*(datos_base!$K$5+datos_base!$K$21+IF(parametros_manuales!$H$20="Todos",datos_base!$K$12+datos_base!$K$26,0))*parametros_manuales!$C$110)*parametros_manuales!$I$20*parametros_manuales!$J$20</f>
        <v>6550.93161944</v>
      </c>
      <c r="D246" s="9" t="n">
        <f aca="false">(parametros_manuales!$D$20*(datos_base!$K$2+datos_base!$K$18+IF(parametros_manuales!$H$20="Todos",datos_base!$K$9+datos_base!$K$23,0))*parametros_manuales!$D$95+parametros_manuales!$E$20*(datos_base!$K$3+datos_base!$K$19+IF(parametros_manuales!$H$20="Todos",datos_base!$K$10+datos_base!$K$24,0))*parametros_manuales!$D$100+parametros_manuales!$F$20*(datos_base!$K$4+datos_base!$K$20+IF(parametros_manuales!$H$20="Todos",datos_base!$K$11+datos_base!$K$25,0))*parametros_manuales!$D$105+parametros_manuales!$G$20*(datos_base!$K$5+datos_base!$K$21+IF(parametros_manuales!$H$20="Todos",datos_base!$K$12+datos_base!$K$26,0))*parametros_manuales!$D$110)*parametros_manuales!$I$20*parametros_manuales!$J$20</f>
        <v>6960.364845655</v>
      </c>
      <c r="E246" s="9" t="n">
        <f aca="false">(parametros_manuales!$D$20*(datos_base!$K$2+datos_base!$K$18+IF(parametros_manuales!$H$20="Todos",datos_base!$K$9+datos_base!$K$23,0))*parametros_manuales!$E$95+parametros_manuales!$E$20*(datos_base!$K$3+datos_base!$K$19+IF(parametros_manuales!$H$20="Todos",datos_base!$K$10+datos_base!$K$24,0))*parametros_manuales!$E$100+parametros_manuales!$F$20*(datos_base!$K$4+datos_base!$K$20+IF(parametros_manuales!$H$20="Todos",datos_base!$K$11+datos_base!$K$25,0))*parametros_manuales!$E$105+parametros_manuales!$G$20*(datos_base!$K$5+datos_base!$K$21+IF(parametros_manuales!$H$20="Todos",datos_base!$K$12+datos_base!$K$26,0))*parametros_manuales!$E$110)*parametros_manuales!$I$20*parametros_manuales!$J$20</f>
        <v>6960.364845655</v>
      </c>
      <c r="F246" s="9" t="n">
        <f aca="false">(parametros_manuales!$D$20*(datos_base!$K$2+datos_base!$K$18+IF(parametros_manuales!$H$20="Todos",datos_base!$K$9+datos_base!$K$23,0))*parametros_manuales!$F$95+parametros_manuales!$E$20*(datos_base!$K$3+datos_base!$K$19+IF(parametros_manuales!$H$20="Todos",datos_base!$K$10+datos_base!$K$24,0))*parametros_manuales!$F$100+parametros_manuales!$F$20*(datos_base!$K$4+datos_base!$K$20+IF(parametros_manuales!$H$20="Todos",datos_base!$K$11+datos_base!$K$25,0))*parametros_manuales!$F$105+parametros_manuales!$G$20*(datos_base!$K$5+datos_base!$K$21+IF(parametros_manuales!$H$20="Todos",datos_base!$K$12+datos_base!$K$26,0))*parametros_manuales!$F$110)*parametros_manuales!$I$20*parametros_manuales!$J$20</f>
        <v>6550.93161944</v>
      </c>
      <c r="G246" s="9" t="n">
        <f aca="false">(parametros_manuales!$D$20*(datos_base!$K$2+datos_base!$K$18+IF(parametros_manuales!$H$20="Todos",datos_base!$K$9+datos_base!$K$23,0))*parametros_manuales!$G$95+parametros_manuales!$E$20*(datos_base!$K$3+datos_base!$K$19+IF(parametros_manuales!$H$20="Todos",datos_base!$K$10+datos_base!$K$24,0))*parametros_manuales!$G$100+parametros_manuales!$F$20*(datos_base!$K$4+datos_base!$K$20+IF(parametros_manuales!$H$20="Todos",datos_base!$K$11+datos_base!$K$25,0))*parametros_manuales!$G$105+parametros_manuales!$G$20*(datos_base!$K$5+datos_base!$K$21+IF(parametros_manuales!$H$20="Todos",datos_base!$K$12+datos_base!$K$26,0))*parametros_manuales!$G$110)*parametros_manuales!$I$20*parametros_manuales!$J$20</f>
        <v>6141.498393225</v>
      </c>
      <c r="H246" s="9" t="n">
        <f aca="false">(parametros_manuales!$D$20*(datos_base!$K$2+datos_base!$K$18+IF(parametros_manuales!$H$20="Todos",datos_base!$K$9+datos_base!$K$23,0))*parametros_manuales!$H$95+parametros_manuales!$E$20*(datos_base!$K$3+datos_base!$K$19+IF(parametros_manuales!$H$20="Todos",datos_base!$K$10+datos_base!$K$24,0))*parametros_manuales!$H$100+parametros_manuales!$F$20*(datos_base!$K$4+datos_base!$K$20+IF(parametros_manuales!$H$20="Todos",datos_base!$K$11+datos_base!$K$25,0))*parametros_manuales!$H$105+parametros_manuales!$G$20*(datos_base!$K$5+datos_base!$K$21+IF(parametros_manuales!$H$20="Todos",datos_base!$K$12+datos_base!$K$26,0))*parametros_manuales!$H$110)*parametros_manuales!$I$20*parametros_manuales!$J$20</f>
        <v>6550.93161944</v>
      </c>
      <c r="I246" s="9" t="n">
        <f aca="false">(parametros_manuales!$D$20*(datos_base!$K$2+datos_base!$K$18+IF(parametros_manuales!$H$20="Todos",datos_base!$K$9+datos_base!$K$23,0))*parametros_manuales!$I$95+parametros_manuales!$E$20*(datos_base!$K$3+datos_base!$K$19+IF(parametros_manuales!$H$20="Todos",datos_base!$K$10+datos_base!$K$24,0))*parametros_manuales!$I$100+parametros_manuales!$F$20*(datos_base!$K$4+datos_base!$K$20+IF(parametros_manuales!$H$20="Todos",datos_base!$K$11+datos_base!$K$25,0))*parametros_manuales!$I$105+parametros_manuales!$G$20*(datos_base!$K$5+datos_base!$K$21+IF(parametros_manuales!$H$20="Todos",datos_base!$K$12+datos_base!$K$26,0))*parametros_manuales!$I$110)*parametros_manuales!$I$20*parametros_manuales!$J$20</f>
        <v>6550.93161944</v>
      </c>
      <c r="J246" s="9" t="n">
        <f aca="false">(parametros_manuales!$D$20*(datos_base!$K$2+datos_base!$K$18+IF(parametros_manuales!$H$20="Todos",datos_base!$K$9+datos_base!$K$23,0))*parametros_manuales!$J$95+parametros_manuales!$E$20*(datos_base!$K$3+datos_base!$K$19+IF(parametros_manuales!$H$20="Todos",datos_base!$K$10+datos_base!$K$24,0))*parametros_manuales!$J$100+parametros_manuales!$F$20*(datos_base!$K$4+datos_base!$K$20+IF(parametros_manuales!$H$20="Todos",datos_base!$K$11+datos_base!$K$25,0))*parametros_manuales!$J$105+parametros_manuales!$G$20*(datos_base!$K$5+datos_base!$K$21+IF(parametros_manuales!$H$20="Todos",datos_base!$K$12+datos_base!$K$26,0))*parametros_manuales!$J$110)*parametros_manuales!$I$20*parametros_manuales!$J$20</f>
        <v>6550.93161944</v>
      </c>
      <c r="K246" s="9" t="n">
        <f aca="false">(parametros_manuales!$D$20*(datos_base!$K$2+datos_base!$K$18+IF(parametros_manuales!$H$20="Todos",datos_base!$K$9+datos_base!$K$23,0))*parametros_manuales!$K$95+parametros_manuales!$E$20*(datos_base!$K$3+datos_base!$K$19+IF(parametros_manuales!$H$20="Todos",datos_base!$K$10+datos_base!$K$24,0))*parametros_manuales!$K$100+parametros_manuales!$F$20*(datos_base!$K$4+datos_base!$K$20+IF(parametros_manuales!$H$20="Todos",datos_base!$K$11+datos_base!$K$25,0))*parametros_manuales!$K$105+parametros_manuales!$G$20*(datos_base!$K$5+datos_base!$K$21+IF(parametros_manuales!$H$20="Todos",datos_base!$K$12+datos_base!$K$26,0))*parametros_manuales!$K$110)*parametros_manuales!$I$20*parametros_manuales!$J$20</f>
        <v>6960.364845655</v>
      </c>
      <c r="L246" s="9" t="n">
        <f aca="false">(parametros_manuales!$D$20*(datos_base!$K$2+datos_base!$K$18+IF(parametros_manuales!$H$20="Todos",datos_base!$K$9+datos_base!$K$23,0))*parametros_manuales!$L$95+parametros_manuales!$E$20*(datos_base!$K$3+datos_base!$K$19+IF(parametros_manuales!$H$20="Todos",datos_base!$K$10+datos_base!$K$24,0))*parametros_manuales!$L$100+parametros_manuales!$F$20*(datos_base!$K$4+datos_base!$K$20+IF(parametros_manuales!$H$20="Todos",datos_base!$K$11+datos_base!$K$25,0))*parametros_manuales!$L$105+parametros_manuales!$G$20*(datos_base!$K$5+datos_base!$K$21+IF(parametros_manuales!$H$20="Todos",datos_base!$K$12+datos_base!$K$26,0))*parametros_manuales!$L$110)*parametros_manuales!$I$20*parametros_manuales!$J$20</f>
        <v>7369.79807187</v>
      </c>
      <c r="M246" s="9" t="n">
        <f aca="false">(parametros_manuales!$D$20*(datos_base!$K$2+datos_base!$K$18+IF(parametros_manuales!$H$20="Todos",datos_base!$K$9+datos_base!$K$23,0))*parametros_manuales!$M$95+parametros_manuales!$E$20*(datos_base!$K$3+datos_base!$K$19+IF(parametros_manuales!$H$20="Todos",datos_base!$K$10+datos_base!$K$24,0))*parametros_manuales!$M$100+parametros_manuales!$F$20*(datos_base!$K$4+datos_base!$K$20+IF(parametros_manuales!$H$20="Todos",datos_base!$K$11+datos_base!$K$25,0))*parametros_manuales!$M$105+parametros_manuales!$G$20*(datos_base!$K$5+datos_base!$K$21+IF(parametros_manuales!$H$20="Todos",datos_base!$K$12+datos_base!$K$26,0))*parametros_manuales!$M$110)*parametros_manuales!$I$20*parametros_manuales!$J$20</f>
        <v>7369.79807187</v>
      </c>
      <c r="N246" s="9" t="n">
        <f aca="false">SUM(B246:M246)</f>
        <v>81886.645243</v>
      </c>
      <c r="O246" s="9" t="n">
        <f aca="false">MAX(B246:M246)</f>
        <v>7369.79807187</v>
      </c>
      <c r="P246" s="43" t="n">
        <f aca="false">O246/(parametros_manuales!$B$7)</f>
        <v>49.1319871458</v>
      </c>
      <c r="Q246" s="8" t="str">
        <f aca="false">IF(O246=0,"-",INDEX($B$244:$M$244,MATCH(O246,B246:M246,0)))</f>
        <v>Ene</v>
      </c>
    </row>
    <row r="247" customFormat="false" ht="14.25" hidden="false" customHeight="true" outlineLevel="0" collapsed="false">
      <c r="A247" s="8" t="str">
        <f aca="false">parametros_manuales!$B$21</f>
        <v>Corte de tubo — 1 kg</v>
      </c>
      <c r="B247" s="9" t="n">
        <f aca="false">(parametros_manuales!$D$21*(datos_base!$K$2+datos_base!$K$18+IF(parametros_manuales!$H$21="Todos",datos_base!$K$9+datos_base!$K$23,0))*parametros_manuales!$B$95+parametros_manuales!$E$21*(datos_base!$K$3+datos_base!$K$19+IF(parametros_manuales!$H$21="Todos",datos_base!$K$10+datos_base!$K$24,0))*parametros_manuales!$B$100+parametros_manuales!$F$21*(datos_base!$K$4+datos_base!$K$20+IF(parametros_manuales!$H$21="Todos",datos_base!$K$11+datos_base!$K$25,0))*parametros_manuales!$B$105+parametros_manuales!$G$21*(datos_base!$K$5+datos_base!$K$21+IF(parametros_manuales!$H$21="Todos",datos_base!$K$12+datos_base!$K$26,0))*parametros_manuales!$B$110)*parametros_manuales!$I$21*parametros_manuales!$J$21</f>
        <v>18235.8575217</v>
      </c>
      <c r="C247" s="9" t="n">
        <f aca="false">(parametros_manuales!$D$21*(datos_base!$K$2+datos_base!$K$18+IF(parametros_manuales!$H$21="Todos",datos_base!$K$9+datos_base!$K$23,0))*parametros_manuales!$C$95+parametros_manuales!$E$21*(datos_base!$K$3+datos_base!$K$19+IF(parametros_manuales!$H$21="Todos",datos_base!$K$10+datos_base!$K$24,0))*parametros_manuales!$C$100+parametros_manuales!$F$21*(datos_base!$K$4+datos_base!$K$20+IF(parametros_manuales!$H$21="Todos",datos_base!$K$11+datos_base!$K$25,0))*parametros_manuales!$C$105+parametros_manuales!$G$21*(datos_base!$K$5+datos_base!$K$21+IF(parametros_manuales!$H$21="Todos",datos_base!$K$12+datos_base!$K$26,0))*parametros_manuales!$C$110)*parametros_manuales!$I$21*parametros_manuales!$J$21</f>
        <v>18235.8575217</v>
      </c>
      <c r="D247" s="9" t="n">
        <f aca="false">(parametros_manuales!$D$21*(datos_base!$K$2+datos_base!$K$18+IF(parametros_manuales!$H$21="Todos",datos_base!$K$9+datos_base!$K$23,0))*parametros_manuales!$D$95+parametros_manuales!$E$21*(datos_base!$K$3+datos_base!$K$19+IF(parametros_manuales!$H$21="Todos",datos_base!$K$10+datos_base!$K$24,0))*parametros_manuales!$D$100+parametros_manuales!$F$21*(datos_base!$K$4+datos_base!$K$20+IF(parametros_manuales!$H$21="Todos",datos_base!$K$11+datos_base!$K$25,0))*parametros_manuales!$D$105+parametros_manuales!$G$21*(datos_base!$K$5+datos_base!$K$21+IF(parametros_manuales!$H$21="Todos",datos_base!$K$12+datos_base!$K$26,0))*parametros_manuales!$D$110)*parametros_manuales!$I$21*parametros_manuales!$J$21</f>
        <v>16209.6511304</v>
      </c>
      <c r="E247" s="9" t="n">
        <f aca="false">(parametros_manuales!$D$21*(datos_base!$K$2+datos_base!$K$18+IF(parametros_manuales!$H$21="Todos",datos_base!$K$9+datos_base!$K$23,0))*parametros_manuales!$E$95+parametros_manuales!$E$21*(datos_base!$K$3+datos_base!$K$19+IF(parametros_manuales!$H$21="Todos",datos_base!$K$10+datos_base!$K$24,0))*parametros_manuales!$E$100+parametros_manuales!$F$21*(datos_base!$K$4+datos_base!$K$20+IF(parametros_manuales!$H$21="Todos",datos_base!$K$11+datos_base!$K$25,0))*parametros_manuales!$E$105+parametros_manuales!$G$21*(datos_base!$K$5+datos_base!$K$21+IF(parametros_manuales!$H$21="Todos",datos_base!$K$12+datos_base!$K$26,0))*parametros_manuales!$E$110)*parametros_manuales!$I$21*parametros_manuales!$J$21</f>
        <v>15196.54793475</v>
      </c>
      <c r="F247" s="9" t="n">
        <f aca="false">(parametros_manuales!$D$21*(datos_base!$K$2+datos_base!$K$18+IF(parametros_manuales!$H$21="Todos",datos_base!$K$9+datos_base!$K$23,0))*parametros_manuales!$F$95+parametros_manuales!$E$21*(datos_base!$K$3+datos_base!$K$19+IF(parametros_manuales!$H$21="Todos",datos_base!$K$10+datos_base!$K$24,0))*parametros_manuales!$F$100+parametros_manuales!$F$21*(datos_base!$K$4+datos_base!$K$20+IF(parametros_manuales!$H$21="Todos",datos_base!$K$11+datos_base!$K$25,0))*parametros_manuales!$F$105+parametros_manuales!$G$21*(datos_base!$K$5+datos_base!$K$21+IF(parametros_manuales!$H$21="Todos",datos_base!$K$12+datos_base!$K$26,0))*parametros_manuales!$F$110)*parametros_manuales!$I$21*parametros_manuales!$J$21</f>
        <v>14183.4447391</v>
      </c>
      <c r="G247" s="9" t="n">
        <f aca="false">(parametros_manuales!$D$21*(datos_base!$K$2+datos_base!$K$18+IF(parametros_manuales!$H$21="Todos",datos_base!$K$9+datos_base!$K$23,0))*parametros_manuales!$G$95+parametros_manuales!$E$21*(datos_base!$K$3+datos_base!$K$19+IF(parametros_manuales!$H$21="Todos",datos_base!$K$10+datos_base!$K$24,0))*parametros_manuales!$G$100+parametros_manuales!$F$21*(datos_base!$K$4+datos_base!$K$20+IF(parametros_manuales!$H$21="Todos",datos_base!$K$11+datos_base!$K$25,0))*parametros_manuales!$G$105+parametros_manuales!$G$21*(datos_base!$K$5+datos_base!$K$21+IF(parametros_manuales!$H$21="Todos",datos_base!$K$12+datos_base!$K$26,0))*parametros_manuales!$G$110)*parametros_manuales!$I$21*parametros_manuales!$J$21</f>
        <v>14183.4447391</v>
      </c>
      <c r="H247" s="9" t="n">
        <f aca="false">(parametros_manuales!$D$21*(datos_base!$K$2+datos_base!$K$18+IF(parametros_manuales!$H$21="Todos",datos_base!$K$9+datos_base!$K$23,0))*parametros_manuales!$H$95+parametros_manuales!$E$21*(datos_base!$K$3+datos_base!$K$19+IF(parametros_manuales!$H$21="Todos",datos_base!$K$10+datos_base!$K$24,0))*parametros_manuales!$H$100+parametros_manuales!$F$21*(datos_base!$K$4+datos_base!$K$20+IF(parametros_manuales!$H$21="Todos",datos_base!$K$11+datos_base!$K$25,0))*parametros_manuales!$H$105+parametros_manuales!$G$21*(datos_base!$K$5+datos_base!$K$21+IF(parametros_manuales!$H$21="Todos",datos_base!$K$12+datos_base!$K$26,0))*parametros_manuales!$H$110)*parametros_manuales!$I$21*parametros_manuales!$J$21</f>
        <v>15196.54793475</v>
      </c>
      <c r="I247" s="9" t="n">
        <f aca="false">(parametros_manuales!$D$21*(datos_base!$K$2+datos_base!$K$18+IF(parametros_manuales!$H$21="Todos",datos_base!$K$9+datos_base!$K$23,0))*parametros_manuales!$I$95+parametros_manuales!$E$21*(datos_base!$K$3+datos_base!$K$19+IF(parametros_manuales!$H$21="Todos",datos_base!$K$10+datos_base!$K$24,0))*parametros_manuales!$I$100+parametros_manuales!$F$21*(datos_base!$K$4+datos_base!$K$20+IF(parametros_manuales!$H$21="Todos",datos_base!$K$11+datos_base!$K$25,0))*parametros_manuales!$I$105+parametros_manuales!$G$21*(datos_base!$K$5+datos_base!$K$21+IF(parametros_manuales!$H$21="Todos",datos_base!$K$12+datos_base!$K$26,0))*parametros_manuales!$I$110)*parametros_manuales!$I$21*parametros_manuales!$J$21</f>
        <v>18235.8575217</v>
      </c>
      <c r="J247" s="9" t="n">
        <f aca="false">(parametros_manuales!$D$21*(datos_base!$K$2+datos_base!$K$18+IF(parametros_manuales!$H$21="Todos",datos_base!$K$9+datos_base!$K$23,0))*parametros_manuales!$J$95+parametros_manuales!$E$21*(datos_base!$K$3+datos_base!$K$19+IF(parametros_manuales!$H$21="Todos",datos_base!$K$10+datos_base!$K$24,0))*parametros_manuales!$J$100+parametros_manuales!$F$21*(datos_base!$K$4+datos_base!$K$20+IF(parametros_manuales!$H$21="Todos",datos_base!$K$11+datos_base!$K$25,0))*parametros_manuales!$J$105+parametros_manuales!$G$21*(datos_base!$K$5+datos_base!$K$21+IF(parametros_manuales!$H$21="Todos",datos_base!$K$12+datos_base!$K$26,0))*parametros_manuales!$J$110)*parametros_manuales!$I$21*parametros_manuales!$J$21</f>
        <v>18235.8575217</v>
      </c>
      <c r="K247" s="9" t="n">
        <f aca="false">(parametros_manuales!$D$21*(datos_base!$K$2+datos_base!$K$18+IF(parametros_manuales!$H$21="Todos",datos_base!$K$9+datos_base!$K$23,0))*parametros_manuales!$K$95+parametros_manuales!$E$21*(datos_base!$K$3+datos_base!$K$19+IF(parametros_manuales!$H$21="Todos",datos_base!$K$10+datos_base!$K$24,0))*parametros_manuales!$K$100+parametros_manuales!$F$21*(datos_base!$K$4+datos_base!$K$20+IF(parametros_manuales!$H$21="Todos",datos_base!$K$11+datos_base!$K$25,0))*parametros_manuales!$K$105+parametros_manuales!$G$21*(datos_base!$K$5+datos_base!$K$21+IF(parametros_manuales!$H$21="Todos",datos_base!$K$12+datos_base!$K$26,0))*parametros_manuales!$K$110)*parametros_manuales!$I$21*parametros_manuales!$J$21</f>
        <v>18235.8575217</v>
      </c>
      <c r="L247" s="9" t="n">
        <f aca="false">(parametros_manuales!$D$21*(datos_base!$K$2+datos_base!$K$18+IF(parametros_manuales!$H$21="Todos",datos_base!$K$9+datos_base!$K$23,0))*parametros_manuales!$L$95+parametros_manuales!$E$21*(datos_base!$K$3+datos_base!$K$19+IF(parametros_manuales!$H$21="Todos",datos_base!$K$10+datos_base!$K$24,0))*parametros_manuales!$L$100+parametros_manuales!$F$21*(datos_base!$K$4+datos_base!$K$20+IF(parametros_manuales!$H$21="Todos",datos_base!$K$11+datos_base!$K$25,0))*parametros_manuales!$L$105+parametros_manuales!$G$21*(datos_base!$K$5+datos_base!$K$21+IF(parametros_manuales!$H$21="Todos",datos_base!$K$12+datos_base!$K$26,0))*parametros_manuales!$L$110)*parametros_manuales!$I$21*parametros_manuales!$J$21</f>
        <v>18235.8575217</v>
      </c>
      <c r="M247" s="9" t="n">
        <f aca="false">(parametros_manuales!$D$21*(datos_base!$K$2+datos_base!$K$18+IF(parametros_manuales!$H$21="Todos",datos_base!$K$9+datos_base!$K$23,0))*parametros_manuales!$M$95+parametros_manuales!$E$21*(datos_base!$K$3+datos_base!$K$19+IF(parametros_manuales!$H$21="Todos",datos_base!$K$10+datos_base!$K$24,0))*parametros_manuales!$M$100+parametros_manuales!$F$21*(datos_base!$K$4+datos_base!$K$20+IF(parametros_manuales!$H$21="Todos",datos_base!$K$11+datos_base!$K$25,0))*parametros_manuales!$M$105+parametros_manuales!$G$21*(datos_base!$K$5+datos_base!$K$21+IF(parametros_manuales!$H$21="Todos",datos_base!$K$12+datos_base!$K$26,0))*parametros_manuales!$M$110)*parametros_manuales!$I$21*parametros_manuales!$J$21</f>
        <v>18235.8575217</v>
      </c>
      <c r="N247" s="9" t="n">
        <f aca="false">SUM(B247:M247)</f>
        <v>202620.63913</v>
      </c>
      <c r="O247" s="9" t="n">
        <f aca="false">MAX(B247:M247)</f>
        <v>18235.8575217</v>
      </c>
      <c r="P247" s="43" t="n">
        <f aca="false">O247/(parametros_manuales!$B$7)</f>
        <v>121.572383478</v>
      </c>
      <c r="Q247" s="8" t="str">
        <f aca="false">IF(O247=0,"-",INDEX($B$244:$M$244,MATCH(O247,B247:M247,0)))</f>
        <v>Ene</v>
      </c>
    </row>
    <row r="248" customFormat="false" ht="14.25" hidden="false" customHeight="true" outlineLevel="0" collapsed="false">
      <c r="A248" s="8" t="str">
        <f aca="false">parametros_manuales!$B$22</f>
        <v>Corte de disco y embutido (cúpula y fondo)</v>
      </c>
      <c r="B248" s="9" t="n">
        <f aca="false">(parametros_manuales!$D$22*(datos_base!$K$2+datos_base!$K$18+IF(parametros_manuales!$H$22="Todos",datos_base!$K$9+datos_base!$K$23,0))*parametros_manuales!$B$95+parametros_manuales!$E$22*(datos_base!$K$3+datos_base!$K$19+IF(parametros_manuales!$H$22="Todos",datos_base!$K$10+datos_base!$K$24,0))*parametros_manuales!$B$100+parametros_manuales!$F$22*(datos_base!$K$4+datos_base!$K$20+IF(parametros_manuales!$H$22="Todos",datos_base!$K$11+datos_base!$K$25,0))*parametros_manuales!$B$105+parametros_manuales!$G$22*(datos_base!$K$5+datos_base!$K$21+IF(parametros_manuales!$H$22="Todos",datos_base!$K$12+datos_base!$K$26,0))*parametros_manuales!$B$110)*parametros_manuales!$I$22*parametros_manuales!$J$22</f>
        <v>51211.31118714</v>
      </c>
      <c r="C248" s="9" t="n">
        <f aca="false">(parametros_manuales!$D$22*(datos_base!$K$2+datos_base!$K$18+IF(parametros_manuales!$H$22="Todos",datos_base!$K$9+datos_base!$K$23,0))*parametros_manuales!$C$95+parametros_manuales!$E$22*(datos_base!$K$3+datos_base!$K$19+IF(parametros_manuales!$H$22="Todos",datos_base!$K$10+datos_base!$K$24,0))*parametros_manuales!$C$100+parametros_manuales!$F$22*(datos_base!$K$4+datos_base!$K$20+IF(parametros_manuales!$H$22="Todos",datos_base!$K$11+datos_base!$K$25,0))*parametros_manuales!$C$105+parametros_manuales!$G$22*(datos_base!$K$5+datos_base!$K$21+IF(parametros_manuales!$H$22="Todos",datos_base!$K$12+datos_base!$K$26,0))*parametros_manuales!$C$110)*parametros_manuales!$I$22*parametros_manuales!$J$22</f>
        <v>49573.57828228</v>
      </c>
      <c r="D248" s="9" t="n">
        <f aca="false">(parametros_manuales!$D$22*(datos_base!$K$2+datos_base!$K$18+IF(parametros_manuales!$H$22="Todos",datos_base!$K$9+datos_base!$K$23,0))*parametros_manuales!$D$95+parametros_manuales!$E$22*(datos_base!$K$3+datos_base!$K$19+IF(parametros_manuales!$H$22="Todos",datos_base!$K$10+datos_base!$K$24,0))*parametros_manuales!$D$100+parametros_manuales!$F$22*(datos_base!$K$4+datos_base!$K$20+IF(parametros_manuales!$H$22="Todos",datos_base!$K$11+datos_base!$K$25,0))*parametros_manuales!$D$105+parametros_manuales!$G$22*(datos_base!$K$5+datos_base!$K$21+IF(parametros_manuales!$H$22="Todos",datos_base!$K$12+datos_base!$K$26,0))*parametros_manuales!$D$110)*parametros_manuales!$I$22*parametros_manuales!$J$22</f>
        <v>46340.03195211</v>
      </c>
      <c r="E248" s="9" t="n">
        <f aca="false">(parametros_manuales!$D$22*(datos_base!$K$2+datos_base!$K$18+IF(parametros_manuales!$H$22="Todos",datos_base!$K$9+datos_base!$K$23,0))*parametros_manuales!$E$95+parametros_manuales!$E$22*(datos_base!$K$3+datos_base!$K$19+IF(parametros_manuales!$H$22="Todos",datos_base!$K$10+datos_base!$K$24,0))*parametros_manuales!$E$100+parametros_manuales!$F$22*(datos_base!$K$4+datos_base!$K$20+IF(parametros_manuales!$H$22="Todos",datos_base!$K$11+datos_base!$K$25,0))*parametros_manuales!$E$105+parametros_manuales!$G$22*(datos_base!$K$5+datos_base!$K$21+IF(parametros_manuales!$H$22="Todos",datos_base!$K$12+datos_base!$K$26,0))*parametros_manuales!$E$110)*parametros_manuales!$I$22*parametros_manuales!$J$22</f>
        <v>44313.82556081</v>
      </c>
      <c r="F248" s="9" t="n">
        <f aca="false">(parametros_manuales!$D$22*(datos_base!$K$2+datos_base!$K$18+IF(parametros_manuales!$H$22="Todos",datos_base!$K$9+datos_base!$K$23,0))*parametros_manuales!$F$95+parametros_manuales!$E$22*(datos_base!$K$3+datos_base!$K$19+IF(parametros_manuales!$H$22="Todos",datos_base!$K$10+datos_base!$K$24,0))*parametros_manuales!$F$100+parametros_manuales!$F$22*(datos_base!$K$4+datos_base!$K$20+IF(parametros_manuales!$H$22="Todos",datos_base!$K$11+datos_base!$K$25,0))*parametros_manuales!$F$105+parametros_manuales!$G$22*(datos_base!$K$5+datos_base!$K$21+IF(parametros_manuales!$H$22="Todos",datos_base!$K$12+datos_base!$K$26,0))*parametros_manuales!$F$110)*parametros_manuales!$I$22*parametros_manuales!$J$22</f>
        <v>41468.75271708</v>
      </c>
      <c r="G248" s="9" t="n">
        <f aca="false">(parametros_manuales!$D$22*(datos_base!$K$2+datos_base!$K$18+IF(parametros_manuales!$H$22="Todos",datos_base!$K$9+datos_base!$K$23,0))*parametros_manuales!$G$95+parametros_manuales!$E$22*(datos_base!$K$3+datos_base!$K$19+IF(parametros_manuales!$H$22="Todos",datos_base!$K$10+datos_base!$K$24,0))*parametros_manuales!$G$100+parametros_manuales!$F$22*(datos_base!$K$4+datos_base!$K$20+IF(parametros_manuales!$H$22="Todos",datos_base!$K$11+datos_base!$K$25,0))*parametros_manuales!$G$105+parametros_manuales!$G$22*(datos_base!$K$5+datos_base!$K$21+IF(parametros_manuales!$H$22="Todos",datos_base!$K$12+datos_base!$K$26,0))*parametros_manuales!$G$110)*parametros_manuales!$I$22*parametros_manuales!$J$22</f>
        <v>40649.88626465</v>
      </c>
      <c r="H248" s="9" t="n">
        <f aca="false">(parametros_manuales!$D$22*(datos_base!$K$2+datos_base!$K$18+IF(parametros_manuales!$H$22="Todos",datos_base!$K$9+datos_base!$K$23,0))*parametros_manuales!$H$95+parametros_manuales!$E$22*(datos_base!$K$3+datos_base!$K$19+IF(parametros_manuales!$H$22="Todos",datos_base!$K$10+datos_base!$K$24,0))*parametros_manuales!$H$100+parametros_manuales!$F$22*(datos_base!$K$4+datos_base!$K$20+IF(parametros_manuales!$H$22="Todos",datos_base!$K$11+datos_base!$K$25,0))*parametros_manuales!$H$105+parametros_manuales!$G$22*(datos_base!$K$5+datos_base!$K$21+IF(parametros_manuales!$H$22="Todos",datos_base!$K$12+datos_base!$K$26,0))*parametros_manuales!$H$110)*parametros_manuales!$I$22*parametros_manuales!$J$22</f>
        <v>43494.95910838</v>
      </c>
      <c r="I248" s="9" t="n">
        <f aca="false">(parametros_manuales!$D$22*(datos_base!$K$2+datos_base!$K$18+IF(parametros_manuales!$H$22="Todos",datos_base!$K$9+datos_base!$K$23,0))*parametros_manuales!$I$95+parametros_manuales!$E$22*(datos_base!$K$3+datos_base!$K$19+IF(parametros_manuales!$H$22="Todos",datos_base!$K$10+datos_base!$K$24,0))*parametros_manuales!$I$100+parametros_manuales!$F$22*(datos_base!$K$4+datos_base!$K$20+IF(parametros_manuales!$H$22="Todos",datos_base!$K$11+datos_base!$K$25,0))*parametros_manuales!$I$105+parametros_manuales!$G$22*(datos_base!$K$5+datos_base!$K$21+IF(parametros_manuales!$H$22="Todos",datos_base!$K$12+datos_base!$K$26,0))*parametros_manuales!$I$110)*parametros_manuales!$I$22*parametros_manuales!$J$22</f>
        <v>49573.57828228</v>
      </c>
      <c r="J248" s="9" t="n">
        <f aca="false">(parametros_manuales!$D$22*(datos_base!$K$2+datos_base!$K$18+IF(parametros_manuales!$H$22="Todos",datos_base!$K$9+datos_base!$K$23,0))*parametros_manuales!$J$95+parametros_manuales!$E$22*(datos_base!$K$3+datos_base!$K$19+IF(parametros_manuales!$H$22="Todos",datos_base!$K$10+datos_base!$K$24,0))*parametros_manuales!$J$100+parametros_manuales!$F$22*(datos_base!$K$4+datos_base!$K$20+IF(parametros_manuales!$H$22="Todos",datos_base!$K$11+datos_base!$K$25,0))*parametros_manuales!$J$105+parametros_manuales!$G$22*(datos_base!$K$5+datos_base!$K$21+IF(parametros_manuales!$H$22="Todos",datos_base!$K$12+datos_base!$K$26,0))*parametros_manuales!$J$110)*parametros_manuales!$I$22*parametros_manuales!$J$22</f>
        <v>49573.57828228</v>
      </c>
      <c r="K248" s="9" t="n">
        <f aca="false">(parametros_manuales!$D$22*(datos_base!$K$2+datos_base!$K$18+IF(parametros_manuales!$H$22="Todos",datos_base!$K$9+datos_base!$K$23,0))*parametros_manuales!$K$95+parametros_manuales!$E$22*(datos_base!$K$3+datos_base!$K$19+IF(parametros_manuales!$H$22="Todos",datos_base!$K$10+datos_base!$K$24,0))*parametros_manuales!$K$100+parametros_manuales!$F$22*(datos_base!$K$4+datos_base!$K$20+IF(parametros_manuales!$H$22="Todos",datos_base!$K$11+datos_base!$K$25,0))*parametros_manuales!$K$105+parametros_manuales!$G$22*(datos_base!$K$5+datos_base!$K$21+IF(parametros_manuales!$H$22="Todos",datos_base!$K$12+datos_base!$K$26,0))*parametros_manuales!$K$110)*parametros_manuales!$I$22*parametros_manuales!$J$22</f>
        <v>50392.44473471</v>
      </c>
      <c r="L248" s="9" t="n">
        <f aca="false">(parametros_manuales!$D$22*(datos_base!$K$2+datos_base!$K$18+IF(parametros_manuales!$H$22="Todos",datos_base!$K$9+datos_base!$K$23,0))*parametros_manuales!$L$95+parametros_manuales!$E$22*(datos_base!$K$3+datos_base!$K$19+IF(parametros_manuales!$H$22="Todos",datos_base!$K$10+datos_base!$K$24,0))*parametros_manuales!$L$100+parametros_manuales!$F$22*(datos_base!$K$4+datos_base!$K$20+IF(parametros_manuales!$H$22="Todos",datos_base!$K$11+datos_base!$K$25,0))*parametros_manuales!$L$105+parametros_manuales!$G$22*(datos_base!$K$5+datos_base!$K$21+IF(parametros_manuales!$H$22="Todos",datos_base!$K$12+datos_base!$K$26,0))*parametros_manuales!$L$110)*parametros_manuales!$I$22*parametros_manuales!$J$22</f>
        <v>51211.31118714</v>
      </c>
      <c r="M248" s="9" t="n">
        <f aca="false">(parametros_manuales!$D$22*(datos_base!$K$2+datos_base!$K$18+IF(parametros_manuales!$H$22="Todos",datos_base!$K$9+datos_base!$K$23,0))*parametros_manuales!$M$95+parametros_manuales!$E$22*(datos_base!$K$3+datos_base!$K$19+IF(parametros_manuales!$H$22="Todos",datos_base!$K$10+datos_base!$K$24,0))*parametros_manuales!$M$100+parametros_manuales!$F$22*(datos_base!$K$4+datos_base!$K$20+IF(parametros_manuales!$H$22="Todos",datos_base!$K$11+datos_base!$K$25,0))*parametros_manuales!$M$105+parametros_manuales!$G$22*(datos_base!$K$5+datos_base!$K$21+IF(parametros_manuales!$H$22="Todos",datos_base!$K$12+datos_base!$K$26,0))*parametros_manuales!$M$110)*parametros_manuales!$I$22*parametros_manuales!$J$22</f>
        <v>51211.31118714</v>
      </c>
      <c r="N248" s="9" t="n">
        <f aca="false">SUM(B248:M248)</f>
        <v>569014.568746</v>
      </c>
      <c r="O248" s="9" t="n">
        <f aca="false">MAX(B248:M248)</f>
        <v>51211.31118714</v>
      </c>
      <c r="P248" s="43" t="n">
        <f aca="false">O248/(parametros_manuales!$B$7)</f>
        <v>341.4087412476</v>
      </c>
      <c r="Q248" s="8" t="str">
        <f aca="false">IF(O248=0,"-",INDEX($B$244:$M$244,MATCH(O248,B248:M248,0)))</f>
        <v>Ene</v>
      </c>
    </row>
    <row r="249" customFormat="false" ht="14.25" hidden="false" customHeight="true" outlineLevel="0" collapsed="false">
      <c r="A249" s="8" t="str">
        <f aca="false">parametros_manuales!$B$23</f>
        <v>Preparación de cuello</v>
      </c>
      <c r="B249" s="9" t="n">
        <f aca="false">(parametros_manuales!$D$23*(datos_base!$K$2+datos_base!$K$18+IF(parametros_manuales!$H$23="Todos",datos_base!$K$9+datos_base!$K$23,0))*parametros_manuales!$B$95+parametros_manuales!$E$23*(datos_base!$K$3+datos_base!$K$19+IF(parametros_manuales!$H$23="Todos",datos_base!$K$10+datos_base!$K$24,0))*parametros_manuales!$B$100+parametros_manuales!$F$23*(datos_base!$K$4+datos_base!$K$20+IF(parametros_manuales!$H$23="Todos",datos_base!$K$11+datos_base!$K$25,0))*parametros_manuales!$B$105+parametros_manuales!$G$23*(datos_base!$K$5+datos_base!$K$21+IF(parametros_manuales!$H$23="Todos",datos_base!$K$12+datos_base!$K$26,0))*parametros_manuales!$B$110)*parametros_manuales!$I$23*parametros_manuales!$J$23</f>
        <v>25605.65559357</v>
      </c>
      <c r="C249" s="9" t="n">
        <f aca="false">(parametros_manuales!$D$23*(datos_base!$K$2+datos_base!$K$18+IF(parametros_manuales!$H$23="Todos",datos_base!$K$9+datos_base!$K$23,0))*parametros_manuales!$C$95+parametros_manuales!$E$23*(datos_base!$K$3+datos_base!$K$19+IF(parametros_manuales!$H$23="Todos",datos_base!$K$10+datos_base!$K$24,0))*parametros_manuales!$C$100+parametros_manuales!$F$23*(datos_base!$K$4+datos_base!$K$20+IF(parametros_manuales!$H$23="Todos",datos_base!$K$11+datos_base!$K$25,0))*parametros_manuales!$C$105+parametros_manuales!$G$23*(datos_base!$K$5+datos_base!$K$21+IF(parametros_manuales!$H$23="Todos",datos_base!$K$12+datos_base!$K$26,0))*parametros_manuales!$C$110)*parametros_manuales!$I$23*parametros_manuales!$J$23</f>
        <v>24786.78914114</v>
      </c>
      <c r="D249" s="9" t="n">
        <f aca="false">(parametros_manuales!$D$23*(datos_base!$K$2+datos_base!$K$18+IF(parametros_manuales!$H$23="Todos",datos_base!$K$9+datos_base!$K$23,0))*parametros_manuales!$D$95+parametros_manuales!$E$23*(datos_base!$K$3+datos_base!$K$19+IF(parametros_manuales!$H$23="Todos",datos_base!$K$10+datos_base!$K$24,0))*parametros_manuales!$D$100+parametros_manuales!$F$23*(datos_base!$K$4+datos_base!$K$20+IF(parametros_manuales!$H$23="Todos",datos_base!$K$11+datos_base!$K$25,0))*parametros_manuales!$D$105+parametros_manuales!$G$23*(datos_base!$K$5+datos_base!$K$21+IF(parametros_manuales!$H$23="Todos",datos_base!$K$12+datos_base!$K$26,0))*parametros_manuales!$D$110)*parametros_manuales!$I$23*parametros_manuales!$J$23</f>
        <v>23170.015976055</v>
      </c>
      <c r="E249" s="9" t="n">
        <f aca="false">(parametros_manuales!$D$23*(datos_base!$K$2+datos_base!$K$18+IF(parametros_manuales!$H$23="Todos",datos_base!$K$9+datos_base!$K$23,0))*parametros_manuales!$E$95+parametros_manuales!$E$23*(datos_base!$K$3+datos_base!$K$19+IF(parametros_manuales!$H$23="Todos",datos_base!$K$10+datos_base!$K$24,0))*parametros_manuales!$E$100+parametros_manuales!$F$23*(datos_base!$K$4+datos_base!$K$20+IF(parametros_manuales!$H$23="Todos",datos_base!$K$11+datos_base!$K$25,0))*parametros_manuales!$E$105+parametros_manuales!$G$23*(datos_base!$K$5+datos_base!$K$21+IF(parametros_manuales!$H$23="Todos",datos_base!$K$12+datos_base!$K$26,0))*parametros_manuales!$E$110)*parametros_manuales!$I$23*parametros_manuales!$J$23</f>
        <v>22156.912780405</v>
      </c>
      <c r="F249" s="9" t="n">
        <f aca="false">(parametros_manuales!$D$23*(datos_base!$K$2+datos_base!$K$18+IF(parametros_manuales!$H$23="Todos",datos_base!$K$9+datos_base!$K$23,0))*parametros_manuales!$F$95+parametros_manuales!$E$23*(datos_base!$K$3+datos_base!$K$19+IF(parametros_manuales!$H$23="Todos",datos_base!$K$10+datos_base!$K$24,0))*parametros_manuales!$F$100+parametros_manuales!$F$23*(datos_base!$K$4+datos_base!$K$20+IF(parametros_manuales!$H$23="Todos",datos_base!$K$11+datos_base!$K$25,0))*parametros_manuales!$F$105+parametros_manuales!$G$23*(datos_base!$K$5+datos_base!$K$21+IF(parametros_manuales!$H$23="Todos",datos_base!$K$12+datos_base!$K$26,0))*parametros_manuales!$F$110)*parametros_manuales!$I$23*parametros_manuales!$J$23</f>
        <v>20734.37635854</v>
      </c>
      <c r="G249" s="9" t="n">
        <f aca="false">(parametros_manuales!$D$23*(datos_base!$K$2+datos_base!$K$18+IF(parametros_manuales!$H$23="Todos",datos_base!$K$9+datos_base!$K$23,0))*parametros_manuales!$G$95+parametros_manuales!$E$23*(datos_base!$K$3+datos_base!$K$19+IF(parametros_manuales!$H$23="Todos",datos_base!$K$10+datos_base!$K$24,0))*parametros_manuales!$G$100+parametros_manuales!$F$23*(datos_base!$K$4+datos_base!$K$20+IF(parametros_manuales!$H$23="Todos",datos_base!$K$11+datos_base!$K$25,0))*parametros_manuales!$G$105+parametros_manuales!$G$23*(datos_base!$K$5+datos_base!$K$21+IF(parametros_manuales!$H$23="Todos",datos_base!$K$12+datos_base!$K$26,0))*parametros_manuales!$G$110)*parametros_manuales!$I$23*parametros_manuales!$J$23</f>
        <v>20324.943132325</v>
      </c>
      <c r="H249" s="9" t="n">
        <f aca="false">(parametros_manuales!$D$23*(datos_base!$K$2+datos_base!$K$18+IF(parametros_manuales!$H$23="Todos",datos_base!$K$9+datos_base!$K$23,0))*parametros_manuales!$H$95+parametros_manuales!$E$23*(datos_base!$K$3+datos_base!$K$19+IF(parametros_manuales!$H$23="Todos",datos_base!$K$10+datos_base!$K$24,0))*parametros_manuales!$H$100+parametros_manuales!$F$23*(datos_base!$K$4+datos_base!$K$20+IF(parametros_manuales!$H$23="Todos",datos_base!$K$11+datos_base!$K$25,0))*parametros_manuales!$H$105+parametros_manuales!$G$23*(datos_base!$K$5+datos_base!$K$21+IF(parametros_manuales!$H$23="Todos",datos_base!$K$12+datos_base!$K$26,0))*parametros_manuales!$H$110)*parametros_manuales!$I$23*parametros_manuales!$J$23</f>
        <v>21747.47955419</v>
      </c>
      <c r="I249" s="9" t="n">
        <f aca="false">(parametros_manuales!$D$23*(datos_base!$K$2+datos_base!$K$18+IF(parametros_manuales!$H$23="Todos",datos_base!$K$9+datos_base!$K$23,0))*parametros_manuales!$I$95+parametros_manuales!$E$23*(datos_base!$K$3+datos_base!$K$19+IF(parametros_manuales!$H$23="Todos",datos_base!$K$10+datos_base!$K$24,0))*parametros_manuales!$I$100+parametros_manuales!$F$23*(datos_base!$K$4+datos_base!$K$20+IF(parametros_manuales!$H$23="Todos",datos_base!$K$11+datos_base!$K$25,0))*parametros_manuales!$I$105+parametros_manuales!$G$23*(datos_base!$K$5+datos_base!$K$21+IF(parametros_manuales!$H$23="Todos",datos_base!$K$12+datos_base!$K$26,0))*parametros_manuales!$I$110)*parametros_manuales!$I$23*parametros_manuales!$J$23</f>
        <v>24786.78914114</v>
      </c>
      <c r="J249" s="9" t="n">
        <f aca="false">(parametros_manuales!$D$23*(datos_base!$K$2+datos_base!$K$18+IF(parametros_manuales!$H$23="Todos",datos_base!$K$9+datos_base!$K$23,0))*parametros_manuales!$J$95+parametros_manuales!$E$23*(datos_base!$K$3+datos_base!$K$19+IF(parametros_manuales!$H$23="Todos",datos_base!$K$10+datos_base!$K$24,0))*parametros_manuales!$J$100+parametros_manuales!$F$23*(datos_base!$K$4+datos_base!$K$20+IF(parametros_manuales!$H$23="Todos",datos_base!$K$11+datos_base!$K$25,0))*parametros_manuales!$J$105+parametros_manuales!$G$23*(datos_base!$K$5+datos_base!$K$21+IF(parametros_manuales!$H$23="Todos",datos_base!$K$12+datos_base!$K$26,0))*parametros_manuales!$J$110)*parametros_manuales!$I$23*parametros_manuales!$J$23</f>
        <v>24786.78914114</v>
      </c>
      <c r="K249" s="9" t="n">
        <f aca="false">(parametros_manuales!$D$23*(datos_base!$K$2+datos_base!$K$18+IF(parametros_manuales!$H$23="Todos",datos_base!$K$9+datos_base!$K$23,0))*parametros_manuales!$K$95+parametros_manuales!$E$23*(datos_base!$K$3+datos_base!$K$19+IF(parametros_manuales!$H$23="Todos",datos_base!$K$10+datos_base!$K$24,0))*parametros_manuales!$K$100+parametros_manuales!$F$23*(datos_base!$K$4+datos_base!$K$20+IF(parametros_manuales!$H$23="Todos",datos_base!$K$11+datos_base!$K$25,0))*parametros_manuales!$K$105+parametros_manuales!$G$23*(datos_base!$K$5+datos_base!$K$21+IF(parametros_manuales!$H$23="Todos",datos_base!$K$12+datos_base!$K$26,0))*parametros_manuales!$K$110)*parametros_manuales!$I$23*parametros_manuales!$J$23</f>
        <v>25196.222367355</v>
      </c>
      <c r="L249" s="9" t="n">
        <f aca="false">(parametros_manuales!$D$23*(datos_base!$K$2+datos_base!$K$18+IF(parametros_manuales!$H$23="Todos",datos_base!$K$9+datos_base!$K$23,0))*parametros_manuales!$L$95+parametros_manuales!$E$23*(datos_base!$K$3+datos_base!$K$19+IF(parametros_manuales!$H$23="Todos",datos_base!$K$10+datos_base!$K$24,0))*parametros_manuales!$L$100+parametros_manuales!$F$23*(datos_base!$K$4+datos_base!$K$20+IF(parametros_manuales!$H$23="Todos",datos_base!$K$11+datos_base!$K$25,0))*parametros_manuales!$L$105+parametros_manuales!$G$23*(datos_base!$K$5+datos_base!$K$21+IF(parametros_manuales!$H$23="Todos",datos_base!$K$12+datos_base!$K$26,0))*parametros_manuales!$L$110)*parametros_manuales!$I$23*parametros_manuales!$J$23</f>
        <v>25605.65559357</v>
      </c>
      <c r="M249" s="9" t="n">
        <f aca="false">(parametros_manuales!$D$23*(datos_base!$K$2+datos_base!$K$18+IF(parametros_manuales!$H$23="Todos",datos_base!$K$9+datos_base!$K$23,0))*parametros_manuales!$M$95+parametros_manuales!$E$23*(datos_base!$K$3+datos_base!$K$19+IF(parametros_manuales!$H$23="Todos",datos_base!$K$10+datos_base!$K$24,0))*parametros_manuales!$M$100+parametros_manuales!$F$23*(datos_base!$K$4+datos_base!$K$20+IF(parametros_manuales!$H$23="Todos",datos_base!$K$11+datos_base!$K$25,0))*parametros_manuales!$M$105+parametros_manuales!$G$23*(datos_base!$K$5+datos_base!$K$21+IF(parametros_manuales!$H$23="Todos",datos_base!$K$12+datos_base!$K$26,0))*parametros_manuales!$M$110)*parametros_manuales!$I$23*parametros_manuales!$J$23</f>
        <v>25605.65559357</v>
      </c>
      <c r="N249" s="9" t="n">
        <f aca="false">SUM(B249:M249)</f>
        <v>284507.284373</v>
      </c>
      <c r="O249" s="9" t="n">
        <f aca="false">MAX(B249:M249)</f>
        <v>25605.65559357</v>
      </c>
      <c r="P249" s="43" t="n">
        <f aca="false">O249/(parametros_manuales!$B$7)</f>
        <v>170.7043706238</v>
      </c>
      <c r="Q249" s="8" t="str">
        <f aca="false">IF(O249=0,"-",INDEX($B$244:$M$244,MATCH(O249,B249:M249,0)))</f>
        <v>Ene</v>
      </c>
    </row>
    <row r="250" customFormat="false" ht="14.25" hidden="false" customHeight="true" outlineLevel="0" collapsed="false">
      <c r="A250" s="8" t="str">
        <f aca="false">parametros_manuales!$B$24</f>
        <v>Numerado de cúpula</v>
      </c>
      <c r="B250" s="9" t="n">
        <f aca="false">(parametros_manuales!$D$24*(datos_base!$K$2+datos_base!$K$18+IF(parametros_manuales!$H$24="Todos",datos_base!$K$9+datos_base!$K$23,0))*parametros_manuales!$B$95+parametros_manuales!$E$24*(datos_base!$K$3+datos_base!$K$19+IF(parametros_manuales!$H$24="Todos",datos_base!$K$10+datos_base!$K$24,0))*parametros_manuales!$B$100+parametros_manuales!$F$24*(datos_base!$K$4+datos_base!$K$20+IF(parametros_manuales!$H$24="Todos",datos_base!$K$11+datos_base!$K$25,0))*parametros_manuales!$B$105+parametros_manuales!$G$24*(datos_base!$K$5+datos_base!$K$21+IF(parametros_manuales!$H$24="Todos",datos_base!$K$12+datos_base!$K$26,0))*parametros_manuales!$B$110)*parametros_manuales!$I$24*parametros_manuales!$J$24</f>
        <v>25605.65559357</v>
      </c>
      <c r="C250" s="9" t="n">
        <f aca="false">(parametros_manuales!$D$24*(datos_base!$K$2+datos_base!$K$18+IF(parametros_manuales!$H$24="Todos",datos_base!$K$9+datos_base!$K$23,0))*parametros_manuales!$C$95+parametros_manuales!$E$24*(datos_base!$K$3+datos_base!$K$19+IF(parametros_manuales!$H$24="Todos",datos_base!$K$10+datos_base!$K$24,0))*parametros_manuales!$C$100+parametros_manuales!$F$24*(datos_base!$K$4+datos_base!$K$20+IF(parametros_manuales!$H$24="Todos",datos_base!$K$11+datos_base!$K$25,0))*parametros_manuales!$C$105+parametros_manuales!$G$24*(datos_base!$K$5+datos_base!$K$21+IF(parametros_manuales!$H$24="Todos",datos_base!$K$12+datos_base!$K$26,0))*parametros_manuales!$C$110)*parametros_manuales!$I$24*parametros_manuales!$J$24</f>
        <v>24786.78914114</v>
      </c>
      <c r="D250" s="9" t="n">
        <f aca="false">(parametros_manuales!$D$24*(datos_base!$K$2+datos_base!$K$18+IF(parametros_manuales!$H$24="Todos",datos_base!$K$9+datos_base!$K$23,0))*parametros_manuales!$D$95+parametros_manuales!$E$24*(datos_base!$K$3+datos_base!$K$19+IF(parametros_manuales!$H$24="Todos",datos_base!$K$10+datos_base!$K$24,0))*parametros_manuales!$D$100+parametros_manuales!$F$24*(datos_base!$K$4+datos_base!$K$20+IF(parametros_manuales!$H$24="Todos",datos_base!$K$11+datos_base!$K$25,0))*parametros_manuales!$D$105+parametros_manuales!$G$24*(datos_base!$K$5+datos_base!$K$21+IF(parametros_manuales!$H$24="Todos",datos_base!$K$12+datos_base!$K$26,0))*parametros_manuales!$D$110)*parametros_manuales!$I$24*parametros_manuales!$J$24</f>
        <v>23170.015976055</v>
      </c>
      <c r="E250" s="9" t="n">
        <f aca="false">(parametros_manuales!$D$24*(datos_base!$K$2+datos_base!$K$18+IF(parametros_manuales!$H$24="Todos",datos_base!$K$9+datos_base!$K$23,0))*parametros_manuales!$E$95+parametros_manuales!$E$24*(datos_base!$K$3+datos_base!$K$19+IF(parametros_manuales!$H$24="Todos",datos_base!$K$10+datos_base!$K$24,0))*parametros_manuales!$E$100+parametros_manuales!$F$24*(datos_base!$K$4+datos_base!$K$20+IF(parametros_manuales!$H$24="Todos",datos_base!$K$11+datos_base!$K$25,0))*parametros_manuales!$E$105+parametros_manuales!$G$24*(datos_base!$K$5+datos_base!$K$21+IF(parametros_manuales!$H$24="Todos",datos_base!$K$12+datos_base!$K$26,0))*parametros_manuales!$E$110)*parametros_manuales!$I$24*parametros_manuales!$J$24</f>
        <v>22156.912780405</v>
      </c>
      <c r="F250" s="9" t="n">
        <f aca="false">(parametros_manuales!$D$24*(datos_base!$K$2+datos_base!$K$18+IF(parametros_manuales!$H$24="Todos",datos_base!$K$9+datos_base!$K$23,0))*parametros_manuales!$F$95+parametros_manuales!$E$24*(datos_base!$K$3+datos_base!$K$19+IF(parametros_manuales!$H$24="Todos",datos_base!$K$10+datos_base!$K$24,0))*parametros_manuales!$F$100+parametros_manuales!$F$24*(datos_base!$K$4+datos_base!$K$20+IF(parametros_manuales!$H$24="Todos",datos_base!$K$11+datos_base!$K$25,0))*parametros_manuales!$F$105+parametros_manuales!$G$24*(datos_base!$K$5+datos_base!$K$21+IF(parametros_manuales!$H$24="Todos",datos_base!$K$12+datos_base!$K$26,0))*parametros_manuales!$F$110)*parametros_manuales!$I$24*parametros_manuales!$J$24</f>
        <v>20734.37635854</v>
      </c>
      <c r="G250" s="9" t="n">
        <f aca="false">(parametros_manuales!$D$24*(datos_base!$K$2+datos_base!$K$18+IF(parametros_manuales!$H$24="Todos",datos_base!$K$9+datos_base!$K$23,0))*parametros_manuales!$G$95+parametros_manuales!$E$24*(datos_base!$K$3+datos_base!$K$19+IF(parametros_manuales!$H$24="Todos",datos_base!$K$10+datos_base!$K$24,0))*parametros_manuales!$G$100+parametros_manuales!$F$24*(datos_base!$K$4+datos_base!$K$20+IF(parametros_manuales!$H$24="Todos",datos_base!$K$11+datos_base!$K$25,0))*parametros_manuales!$G$105+parametros_manuales!$G$24*(datos_base!$K$5+datos_base!$K$21+IF(parametros_manuales!$H$24="Todos",datos_base!$K$12+datos_base!$K$26,0))*parametros_manuales!$G$110)*parametros_manuales!$I$24*parametros_manuales!$J$24</f>
        <v>20324.943132325</v>
      </c>
      <c r="H250" s="9" t="n">
        <f aca="false">(parametros_manuales!$D$24*(datos_base!$K$2+datos_base!$K$18+IF(parametros_manuales!$H$24="Todos",datos_base!$K$9+datos_base!$K$23,0))*parametros_manuales!$H$95+parametros_manuales!$E$24*(datos_base!$K$3+datos_base!$K$19+IF(parametros_manuales!$H$24="Todos",datos_base!$K$10+datos_base!$K$24,0))*parametros_manuales!$H$100+parametros_manuales!$F$24*(datos_base!$K$4+datos_base!$K$20+IF(parametros_manuales!$H$24="Todos",datos_base!$K$11+datos_base!$K$25,0))*parametros_manuales!$H$105+parametros_manuales!$G$24*(datos_base!$K$5+datos_base!$K$21+IF(parametros_manuales!$H$24="Todos",datos_base!$K$12+datos_base!$K$26,0))*parametros_manuales!$H$110)*parametros_manuales!$I$24*parametros_manuales!$J$24</f>
        <v>21747.47955419</v>
      </c>
      <c r="I250" s="9" t="n">
        <f aca="false">(parametros_manuales!$D$24*(datos_base!$K$2+datos_base!$K$18+IF(parametros_manuales!$H$24="Todos",datos_base!$K$9+datos_base!$K$23,0))*parametros_manuales!$I$95+parametros_manuales!$E$24*(datos_base!$K$3+datos_base!$K$19+IF(parametros_manuales!$H$24="Todos",datos_base!$K$10+datos_base!$K$24,0))*parametros_manuales!$I$100+parametros_manuales!$F$24*(datos_base!$K$4+datos_base!$K$20+IF(parametros_manuales!$H$24="Todos",datos_base!$K$11+datos_base!$K$25,0))*parametros_manuales!$I$105+parametros_manuales!$G$24*(datos_base!$K$5+datos_base!$K$21+IF(parametros_manuales!$H$24="Todos",datos_base!$K$12+datos_base!$K$26,0))*parametros_manuales!$I$110)*parametros_manuales!$I$24*parametros_manuales!$J$24</f>
        <v>24786.78914114</v>
      </c>
      <c r="J250" s="9" t="n">
        <f aca="false">(parametros_manuales!$D$24*(datos_base!$K$2+datos_base!$K$18+IF(parametros_manuales!$H$24="Todos",datos_base!$K$9+datos_base!$K$23,0))*parametros_manuales!$J$95+parametros_manuales!$E$24*(datos_base!$K$3+datos_base!$K$19+IF(parametros_manuales!$H$24="Todos",datos_base!$K$10+datos_base!$K$24,0))*parametros_manuales!$J$100+parametros_manuales!$F$24*(datos_base!$K$4+datos_base!$K$20+IF(parametros_manuales!$H$24="Todos",datos_base!$K$11+datos_base!$K$25,0))*parametros_manuales!$J$105+parametros_manuales!$G$24*(datos_base!$K$5+datos_base!$K$21+IF(parametros_manuales!$H$24="Todos",datos_base!$K$12+datos_base!$K$26,0))*parametros_manuales!$J$110)*parametros_manuales!$I$24*parametros_manuales!$J$24</f>
        <v>24786.78914114</v>
      </c>
      <c r="K250" s="9" t="n">
        <f aca="false">(parametros_manuales!$D$24*(datos_base!$K$2+datos_base!$K$18+IF(parametros_manuales!$H$24="Todos",datos_base!$K$9+datos_base!$K$23,0))*parametros_manuales!$K$95+parametros_manuales!$E$24*(datos_base!$K$3+datos_base!$K$19+IF(parametros_manuales!$H$24="Todos",datos_base!$K$10+datos_base!$K$24,0))*parametros_manuales!$K$100+parametros_manuales!$F$24*(datos_base!$K$4+datos_base!$K$20+IF(parametros_manuales!$H$24="Todos",datos_base!$K$11+datos_base!$K$25,0))*parametros_manuales!$K$105+parametros_manuales!$G$24*(datos_base!$K$5+datos_base!$K$21+IF(parametros_manuales!$H$24="Todos",datos_base!$K$12+datos_base!$K$26,0))*parametros_manuales!$K$110)*parametros_manuales!$I$24*parametros_manuales!$J$24</f>
        <v>25196.222367355</v>
      </c>
      <c r="L250" s="9" t="n">
        <f aca="false">(parametros_manuales!$D$24*(datos_base!$K$2+datos_base!$K$18+IF(parametros_manuales!$H$24="Todos",datos_base!$K$9+datos_base!$K$23,0))*parametros_manuales!$L$95+parametros_manuales!$E$24*(datos_base!$K$3+datos_base!$K$19+IF(parametros_manuales!$H$24="Todos",datos_base!$K$10+datos_base!$K$24,0))*parametros_manuales!$L$100+parametros_manuales!$F$24*(datos_base!$K$4+datos_base!$K$20+IF(parametros_manuales!$H$24="Todos",datos_base!$K$11+datos_base!$K$25,0))*parametros_manuales!$L$105+parametros_manuales!$G$24*(datos_base!$K$5+datos_base!$K$21+IF(parametros_manuales!$H$24="Todos",datos_base!$K$12+datos_base!$K$26,0))*parametros_manuales!$L$110)*parametros_manuales!$I$24*parametros_manuales!$J$24</f>
        <v>25605.65559357</v>
      </c>
      <c r="M250" s="9" t="n">
        <f aca="false">(parametros_manuales!$D$24*(datos_base!$K$2+datos_base!$K$18+IF(parametros_manuales!$H$24="Todos",datos_base!$K$9+datos_base!$K$23,0))*parametros_manuales!$M$95+parametros_manuales!$E$24*(datos_base!$K$3+datos_base!$K$19+IF(parametros_manuales!$H$24="Todos",datos_base!$K$10+datos_base!$K$24,0))*parametros_manuales!$M$100+parametros_manuales!$F$24*(datos_base!$K$4+datos_base!$K$20+IF(parametros_manuales!$H$24="Todos",datos_base!$K$11+datos_base!$K$25,0))*parametros_manuales!$M$105+parametros_manuales!$G$24*(datos_base!$K$5+datos_base!$K$21+IF(parametros_manuales!$H$24="Todos",datos_base!$K$12+datos_base!$K$26,0))*parametros_manuales!$M$110)*parametros_manuales!$I$24*parametros_manuales!$J$24</f>
        <v>25605.65559357</v>
      </c>
      <c r="N250" s="9" t="n">
        <f aca="false">SUM(B250:M250)</f>
        <v>284507.284373</v>
      </c>
      <c r="O250" s="9" t="n">
        <f aca="false">MAX(B250:M250)</f>
        <v>25605.65559357</v>
      </c>
      <c r="P250" s="43" t="n">
        <f aca="false">O250/(parametros_manuales!$B$7)</f>
        <v>170.7043706238</v>
      </c>
      <c r="Q250" s="8" t="str">
        <f aca="false">IF(O250=0,"-",INDEX($B$244:$M$244,MATCH(O250,B250:M250,0)))</f>
        <v>Ene</v>
      </c>
    </row>
    <row r="251" customFormat="false" ht="14.25" hidden="false" customHeight="true" outlineLevel="0" collapsed="false">
      <c r="A251" s="8" t="str">
        <f aca="false">parametros_manuales!$B$25</f>
        <v>Soldadura del cuello a la cúpula</v>
      </c>
      <c r="B251" s="9" t="n">
        <f aca="false">(parametros_manuales!$D$25*(datos_base!$K$2+datos_base!$K$18+IF(parametros_manuales!$H$25="Todos",datos_base!$K$9+datos_base!$K$23,0))*parametros_manuales!$B$95+parametros_manuales!$E$25*(datos_base!$K$3+datos_base!$K$19+IF(parametros_manuales!$H$25="Todos",datos_base!$K$10+datos_base!$K$24,0))*parametros_manuales!$B$100+parametros_manuales!$F$25*(datos_base!$K$4+datos_base!$K$20+IF(parametros_manuales!$H$25="Todos",datos_base!$K$11+datos_base!$K$25,0))*parametros_manuales!$B$105+parametros_manuales!$G$25*(datos_base!$K$5+datos_base!$K$21+IF(parametros_manuales!$H$25="Todos",datos_base!$K$12+datos_base!$K$26,0))*parametros_manuales!$B$110)*parametros_manuales!$I$25*parametros_manuales!$J$25</f>
        <v>25605.65559357</v>
      </c>
      <c r="C251" s="9" t="n">
        <f aca="false">(parametros_manuales!$D$25*(datos_base!$K$2+datos_base!$K$18+IF(parametros_manuales!$H$25="Todos",datos_base!$K$9+datos_base!$K$23,0))*parametros_manuales!$C$95+parametros_manuales!$E$25*(datos_base!$K$3+datos_base!$K$19+IF(parametros_manuales!$H$25="Todos",datos_base!$K$10+datos_base!$K$24,0))*parametros_manuales!$C$100+parametros_manuales!$F$25*(datos_base!$K$4+datos_base!$K$20+IF(parametros_manuales!$H$25="Todos",datos_base!$K$11+datos_base!$K$25,0))*parametros_manuales!$C$105+parametros_manuales!$G$25*(datos_base!$K$5+datos_base!$K$21+IF(parametros_manuales!$H$25="Todos",datos_base!$K$12+datos_base!$K$26,0))*parametros_manuales!$C$110)*parametros_manuales!$I$25*parametros_manuales!$J$25</f>
        <v>24786.78914114</v>
      </c>
      <c r="D251" s="9" t="n">
        <f aca="false">(parametros_manuales!$D$25*(datos_base!$K$2+datos_base!$K$18+IF(parametros_manuales!$H$25="Todos",datos_base!$K$9+datos_base!$K$23,0))*parametros_manuales!$D$95+parametros_manuales!$E$25*(datos_base!$K$3+datos_base!$K$19+IF(parametros_manuales!$H$25="Todos",datos_base!$K$10+datos_base!$K$24,0))*parametros_manuales!$D$100+parametros_manuales!$F$25*(datos_base!$K$4+datos_base!$K$20+IF(parametros_manuales!$H$25="Todos",datos_base!$K$11+datos_base!$K$25,0))*parametros_manuales!$D$105+parametros_manuales!$G$25*(datos_base!$K$5+datos_base!$K$21+IF(parametros_manuales!$H$25="Todos",datos_base!$K$12+datos_base!$K$26,0))*parametros_manuales!$D$110)*parametros_manuales!$I$25*parametros_manuales!$J$25</f>
        <v>23170.015976055</v>
      </c>
      <c r="E251" s="9" t="n">
        <f aca="false">(parametros_manuales!$D$25*(datos_base!$K$2+datos_base!$K$18+IF(parametros_manuales!$H$25="Todos",datos_base!$K$9+datos_base!$K$23,0))*parametros_manuales!$E$95+parametros_manuales!$E$25*(datos_base!$K$3+datos_base!$K$19+IF(parametros_manuales!$H$25="Todos",datos_base!$K$10+datos_base!$K$24,0))*parametros_manuales!$E$100+parametros_manuales!$F$25*(datos_base!$K$4+datos_base!$K$20+IF(parametros_manuales!$H$25="Todos",datos_base!$K$11+datos_base!$K$25,0))*parametros_manuales!$E$105+parametros_manuales!$G$25*(datos_base!$K$5+datos_base!$K$21+IF(parametros_manuales!$H$25="Todos",datos_base!$K$12+datos_base!$K$26,0))*parametros_manuales!$E$110)*parametros_manuales!$I$25*parametros_manuales!$J$25</f>
        <v>22156.912780405</v>
      </c>
      <c r="F251" s="9" t="n">
        <f aca="false">(parametros_manuales!$D$25*(datos_base!$K$2+datos_base!$K$18+IF(parametros_manuales!$H$25="Todos",datos_base!$K$9+datos_base!$K$23,0))*parametros_manuales!$F$95+parametros_manuales!$E$25*(datos_base!$K$3+datos_base!$K$19+IF(parametros_manuales!$H$25="Todos",datos_base!$K$10+datos_base!$K$24,0))*parametros_manuales!$F$100+parametros_manuales!$F$25*(datos_base!$K$4+datos_base!$K$20+IF(parametros_manuales!$H$25="Todos",datos_base!$K$11+datos_base!$K$25,0))*parametros_manuales!$F$105+parametros_manuales!$G$25*(datos_base!$K$5+datos_base!$K$21+IF(parametros_manuales!$H$25="Todos",datos_base!$K$12+datos_base!$K$26,0))*parametros_manuales!$F$110)*parametros_manuales!$I$25*parametros_manuales!$J$25</f>
        <v>20734.37635854</v>
      </c>
      <c r="G251" s="9" t="n">
        <f aca="false">(parametros_manuales!$D$25*(datos_base!$K$2+datos_base!$K$18+IF(parametros_manuales!$H$25="Todos",datos_base!$K$9+datos_base!$K$23,0))*parametros_manuales!$G$95+parametros_manuales!$E$25*(datos_base!$K$3+datos_base!$K$19+IF(parametros_manuales!$H$25="Todos",datos_base!$K$10+datos_base!$K$24,0))*parametros_manuales!$G$100+parametros_manuales!$F$25*(datos_base!$K$4+datos_base!$K$20+IF(parametros_manuales!$H$25="Todos",datos_base!$K$11+datos_base!$K$25,0))*parametros_manuales!$G$105+parametros_manuales!$G$25*(datos_base!$K$5+datos_base!$K$21+IF(parametros_manuales!$H$25="Todos",datos_base!$K$12+datos_base!$K$26,0))*parametros_manuales!$G$110)*parametros_manuales!$I$25*parametros_manuales!$J$25</f>
        <v>20324.943132325</v>
      </c>
      <c r="H251" s="9" t="n">
        <f aca="false">(parametros_manuales!$D$25*(datos_base!$K$2+datos_base!$K$18+IF(parametros_manuales!$H$25="Todos",datos_base!$K$9+datos_base!$K$23,0))*parametros_manuales!$H$95+parametros_manuales!$E$25*(datos_base!$K$3+datos_base!$K$19+IF(parametros_manuales!$H$25="Todos",datos_base!$K$10+datos_base!$K$24,0))*parametros_manuales!$H$100+parametros_manuales!$F$25*(datos_base!$K$4+datos_base!$K$20+IF(parametros_manuales!$H$25="Todos",datos_base!$K$11+datos_base!$K$25,0))*parametros_manuales!$H$105+parametros_manuales!$G$25*(datos_base!$K$5+datos_base!$K$21+IF(parametros_manuales!$H$25="Todos",datos_base!$K$12+datos_base!$K$26,0))*parametros_manuales!$H$110)*parametros_manuales!$I$25*parametros_manuales!$J$25</f>
        <v>21747.47955419</v>
      </c>
      <c r="I251" s="9" t="n">
        <f aca="false">(parametros_manuales!$D$25*(datos_base!$K$2+datos_base!$K$18+IF(parametros_manuales!$H$25="Todos",datos_base!$K$9+datos_base!$K$23,0))*parametros_manuales!$I$95+parametros_manuales!$E$25*(datos_base!$K$3+datos_base!$K$19+IF(parametros_manuales!$H$25="Todos",datos_base!$K$10+datos_base!$K$24,0))*parametros_manuales!$I$100+parametros_manuales!$F$25*(datos_base!$K$4+datos_base!$K$20+IF(parametros_manuales!$H$25="Todos",datos_base!$K$11+datos_base!$K$25,0))*parametros_manuales!$I$105+parametros_manuales!$G$25*(datos_base!$K$5+datos_base!$K$21+IF(parametros_manuales!$H$25="Todos",datos_base!$K$12+datos_base!$K$26,0))*parametros_manuales!$I$110)*parametros_manuales!$I$25*parametros_manuales!$J$25</f>
        <v>24786.78914114</v>
      </c>
      <c r="J251" s="9" t="n">
        <f aca="false">(parametros_manuales!$D$25*(datos_base!$K$2+datos_base!$K$18+IF(parametros_manuales!$H$25="Todos",datos_base!$K$9+datos_base!$K$23,0))*parametros_manuales!$J$95+parametros_manuales!$E$25*(datos_base!$K$3+datos_base!$K$19+IF(parametros_manuales!$H$25="Todos",datos_base!$K$10+datos_base!$K$24,0))*parametros_manuales!$J$100+parametros_manuales!$F$25*(datos_base!$K$4+datos_base!$K$20+IF(parametros_manuales!$H$25="Todos",datos_base!$K$11+datos_base!$K$25,0))*parametros_manuales!$J$105+parametros_manuales!$G$25*(datos_base!$K$5+datos_base!$K$21+IF(parametros_manuales!$H$25="Todos",datos_base!$K$12+datos_base!$K$26,0))*parametros_manuales!$J$110)*parametros_manuales!$I$25*parametros_manuales!$J$25</f>
        <v>24786.78914114</v>
      </c>
      <c r="K251" s="9" t="n">
        <f aca="false">(parametros_manuales!$D$25*(datos_base!$K$2+datos_base!$K$18+IF(parametros_manuales!$H$25="Todos",datos_base!$K$9+datos_base!$K$23,0))*parametros_manuales!$K$95+parametros_manuales!$E$25*(datos_base!$K$3+datos_base!$K$19+IF(parametros_manuales!$H$25="Todos",datos_base!$K$10+datos_base!$K$24,0))*parametros_manuales!$K$100+parametros_manuales!$F$25*(datos_base!$K$4+datos_base!$K$20+IF(parametros_manuales!$H$25="Todos",datos_base!$K$11+datos_base!$K$25,0))*parametros_manuales!$K$105+parametros_manuales!$G$25*(datos_base!$K$5+datos_base!$K$21+IF(parametros_manuales!$H$25="Todos",datos_base!$K$12+datos_base!$K$26,0))*parametros_manuales!$K$110)*parametros_manuales!$I$25*parametros_manuales!$J$25</f>
        <v>25196.222367355</v>
      </c>
      <c r="L251" s="9" t="n">
        <f aca="false">(parametros_manuales!$D$25*(datos_base!$K$2+datos_base!$K$18+IF(parametros_manuales!$H$25="Todos",datos_base!$K$9+datos_base!$K$23,0))*parametros_manuales!$L$95+parametros_manuales!$E$25*(datos_base!$K$3+datos_base!$K$19+IF(parametros_manuales!$H$25="Todos",datos_base!$K$10+datos_base!$K$24,0))*parametros_manuales!$L$100+parametros_manuales!$F$25*(datos_base!$K$4+datos_base!$K$20+IF(parametros_manuales!$H$25="Todos",datos_base!$K$11+datos_base!$K$25,0))*parametros_manuales!$L$105+parametros_manuales!$G$25*(datos_base!$K$5+datos_base!$K$21+IF(parametros_manuales!$H$25="Todos",datos_base!$K$12+datos_base!$K$26,0))*parametros_manuales!$L$110)*parametros_manuales!$I$25*parametros_manuales!$J$25</f>
        <v>25605.65559357</v>
      </c>
      <c r="M251" s="9" t="n">
        <f aca="false">(parametros_manuales!$D$25*(datos_base!$K$2+datos_base!$K$18+IF(parametros_manuales!$H$25="Todos",datos_base!$K$9+datos_base!$K$23,0))*parametros_manuales!$M$95+parametros_manuales!$E$25*(datos_base!$K$3+datos_base!$K$19+IF(parametros_manuales!$H$25="Todos",datos_base!$K$10+datos_base!$K$24,0))*parametros_manuales!$M$100+parametros_manuales!$F$25*(datos_base!$K$4+datos_base!$K$20+IF(parametros_manuales!$H$25="Todos",datos_base!$K$11+datos_base!$K$25,0))*parametros_manuales!$M$105+parametros_manuales!$G$25*(datos_base!$K$5+datos_base!$K$21+IF(parametros_manuales!$H$25="Todos",datos_base!$K$12+datos_base!$K$26,0))*parametros_manuales!$M$110)*parametros_manuales!$I$25*parametros_manuales!$J$25</f>
        <v>25605.65559357</v>
      </c>
      <c r="N251" s="9" t="n">
        <f aca="false">SUM(B251:M251)</f>
        <v>284507.284373</v>
      </c>
      <c r="O251" s="9" t="n">
        <f aca="false">MAX(B251:M251)</f>
        <v>25605.65559357</v>
      </c>
      <c r="P251" s="43" t="n">
        <f aca="false">O251/(parametros_manuales!$B$7)</f>
        <v>170.7043706238</v>
      </c>
      <c r="Q251" s="8" t="str">
        <f aca="false">IF(O251=0,"-",INDEX($B$244:$M$244,MATCH(O251,B251:M251,0)))</f>
        <v>Ene</v>
      </c>
    </row>
    <row r="252" customFormat="false" ht="14.25" hidden="false" customHeight="true" outlineLevel="0" collapsed="false">
      <c r="A252" s="8" t="str">
        <f aca="false">parametros_manuales!$B$26</f>
        <v>Cilindrado</v>
      </c>
      <c r="B252" s="9" t="n">
        <f aca="false">(parametros_manuales!$D$26*(datos_base!$K$2+datos_base!$K$18+IF(parametros_manuales!$H$26="Todos",datos_base!$K$9+datos_base!$K$23,0))*parametros_manuales!$B$95+parametros_manuales!$E$26*(datos_base!$K$3+datos_base!$K$19+IF(parametros_manuales!$H$26="Todos",datos_base!$K$10+datos_base!$K$24,0))*parametros_manuales!$B$100+parametros_manuales!$F$26*(datos_base!$K$4+datos_base!$K$20+IF(parametros_manuales!$H$26="Todos",datos_base!$K$11+datos_base!$K$25,0))*parametros_manuales!$B$105+parametros_manuales!$G$26*(datos_base!$K$5+datos_base!$K$21+IF(parametros_manuales!$H$26="Todos",datos_base!$K$12+datos_base!$K$26,0))*parametros_manuales!$B$110)*parametros_manuales!$I$26*parametros_manuales!$J$26</f>
        <v>7369.79807187</v>
      </c>
      <c r="C252" s="9" t="n">
        <f aca="false">(parametros_manuales!$D$26*(datos_base!$K$2+datos_base!$K$18+IF(parametros_manuales!$H$26="Todos",datos_base!$K$9+datos_base!$K$23,0))*parametros_manuales!$C$95+parametros_manuales!$E$26*(datos_base!$K$3+datos_base!$K$19+IF(parametros_manuales!$H$26="Todos",datos_base!$K$10+datos_base!$K$24,0))*parametros_manuales!$C$100+parametros_manuales!$F$26*(datos_base!$K$4+datos_base!$K$20+IF(parametros_manuales!$H$26="Todos",datos_base!$K$11+datos_base!$K$25,0))*parametros_manuales!$C$105+parametros_manuales!$G$26*(datos_base!$K$5+datos_base!$K$21+IF(parametros_manuales!$H$26="Todos",datos_base!$K$12+datos_base!$K$26,0))*parametros_manuales!$C$110)*parametros_manuales!$I$26*parametros_manuales!$J$26</f>
        <v>6550.93161944</v>
      </c>
      <c r="D252" s="9" t="n">
        <f aca="false">(parametros_manuales!$D$26*(datos_base!$K$2+datos_base!$K$18+IF(parametros_manuales!$H$26="Todos",datos_base!$K$9+datos_base!$K$23,0))*parametros_manuales!$D$95+parametros_manuales!$E$26*(datos_base!$K$3+datos_base!$K$19+IF(parametros_manuales!$H$26="Todos",datos_base!$K$10+datos_base!$K$24,0))*parametros_manuales!$D$100+parametros_manuales!$F$26*(datos_base!$K$4+datos_base!$K$20+IF(parametros_manuales!$H$26="Todos",datos_base!$K$11+datos_base!$K$25,0))*parametros_manuales!$D$105+parametros_manuales!$G$26*(datos_base!$K$5+datos_base!$K$21+IF(parametros_manuales!$H$26="Todos",datos_base!$K$12+datos_base!$K$26,0))*parametros_manuales!$D$110)*parametros_manuales!$I$26*parametros_manuales!$J$26</f>
        <v>6960.364845655</v>
      </c>
      <c r="E252" s="9" t="n">
        <f aca="false">(parametros_manuales!$D$26*(datos_base!$K$2+datos_base!$K$18+IF(parametros_manuales!$H$26="Todos",datos_base!$K$9+datos_base!$K$23,0))*parametros_manuales!$E$95+parametros_manuales!$E$26*(datos_base!$K$3+datos_base!$K$19+IF(parametros_manuales!$H$26="Todos",datos_base!$K$10+datos_base!$K$24,0))*parametros_manuales!$E$100+parametros_manuales!$F$26*(datos_base!$K$4+datos_base!$K$20+IF(parametros_manuales!$H$26="Todos",datos_base!$K$11+datos_base!$K$25,0))*parametros_manuales!$E$105+parametros_manuales!$G$26*(datos_base!$K$5+datos_base!$K$21+IF(parametros_manuales!$H$26="Todos",datos_base!$K$12+datos_base!$K$26,0))*parametros_manuales!$E$110)*parametros_manuales!$I$26*parametros_manuales!$J$26</f>
        <v>6960.364845655</v>
      </c>
      <c r="F252" s="9" t="n">
        <f aca="false">(parametros_manuales!$D$26*(datos_base!$K$2+datos_base!$K$18+IF(parametros_manuales!$H$26="Todos",datos_base!$K$9+datos_base!$K$23,0))*parametros_manuales!$F$95+parametros_manuales!$E$26*(datos_base!$K$3+datos_base!$K$19+IF(parametros_manuales!$H$26="Todos",datos_base!$K$10+datos_base!$K$24,0))*parametros_manuales!$F$100+parametros_manuales!$F$26*(datos_base!$K$4+datos_base!$K$20+IF(parametros_manuales!$H$26="Todos",datos_base!$K$11+datos_base!$K$25,0))*parametros_manuales!$F$105+parametros_manuales!$G$26*(datos_base!$K$5+datos_base!$K$21+IF(parametros_manuales!$H$26="Todos",datos_base!$K$12+datos_base!$K$26,0))*parametros_manuales!$F$110)*parametros_manuales!$I$26*parametros_manuales!$J$26</f>
        <v>6550.93161944</v>
      </c>
      <c r="G252" s="9" t="n">
        <f aca="false">(parametros_manuales!$D$26*(datos_base!$K$2+datos_base!$K$18+IF(parametros_manuales!$H$26="Todos",datos_base!$K$9+datos_base!$K$23,0))*parametros_manuales!$G$95+parametros_manuales!$E$26*(datos_base!$K$3+datos_base!$K$19+IF(parametros_manuales!$H$26="Todos",datos_base!$K$10+datos_base!$K$24,0))*parametros_manuales!$G$100+parametros_manuales!$F$26*(datos_base!$K$4+datos_base!$K$20+IF(parametros_manuales!$H$26="Todos",datos_base!$K$11+datos_base!$K$25,0))*parametros_manuales!$G$105+parametros_manuales!$G$26*(datos_base!$K$5+datos_base!$K$21+IF(parametros_manuales!$H$26="Todos",datos_base!$K$12+datos_base!$K$26,0))*parametros_manuales!$G$110)*parametros_manuales!$I$26*parametros_manuales!$J$26</f>
        <v>6141.498393225</v>
      </c>
      <c r="H252" s="9" t="n">
        <f aca="false">(parametros_manuales!$D$26*(datos_base!$K$2+datos_base!$K$18+IF(parametros_manuales!$H$26="Todos",datos_base!$K$9+datos_base!$K$23,0))*parametros_manuales!$H$95+parametros_manuales!$E$26*(datos_base!$K$3+datos_base!$K$19+IF(parametros_manuales!$H$26="Todos",datos_base!$K$10+datos_base!$K$24,0))*parametros_manuales!$H$100+parametros_manuales!$F$26*(datos_base!$K$4+datos_base!$K$20+IF(parametros_manuales!$H$26="Todos",datos_base!$K$11+datos_base!$K$25,0))*parametros_manuales!$H$105+parametros_manuales!$G$26*(datos_base!$K$5+datos_base!$K$21+IF(parametros_manuales!$H$26="Todos",datos_base!$K$12+datos_base!$K$26,0))*parametros_manuales!$H$110)*parametros_manuales!$I$26*parametros_manuales!$J$26</f>
        <v>6550.93161944</v>
      </c>
      <c r="I252" s="9" t="n">
        <f aca="false">(parametros_manuales!$D$26*(datos_base!$K$2+datos_base!$K$18+IF(parametros_manuales!$H$26="Todos",datos_base!$K$9+datos_base!$K$23,0))*parametros_manuales!$I$95+parametros_manuales!$E$26*(datos_base!$K$3+datos_base!$K$19+IF(parametros_manuales!$H$26="Todos",datos_base!$K$10+datos_base!$K$24,0))*parametros_manuales!$I$100+parametros_manuales!$F$26*(datos_base!$K$4+datos_base!$K$20+IF(parametros_manuales!$H$26="Todos",datos_base!$K$11+datos_base!$K$25,0))*parametros_manuales!$I$105+parametros_manuales!$G$26*(datos_base!$K$5+datos_base!$K$21+IF(parametros_manuales!$H$26="Todos",datos_base!$K$12+datos_base!$K$26,0))*parametros_manuales!$I$110)*parametros_manuales!$I$26*parametros_manuales!$J$26</f>
        <v>6550.93161944</v>
      </c>
      <c r="J252" s="9" t="n">
        <f aca="false">(parametros_manuales!$D$26*(datos_base!$K$2+datos_base!$K$18+IF(parametros_manuales!$H$26="Todos",datos_base!$K$9+datos_base!$K$23,0))*parametros_manuales!$J$95+parametros_manuales!$E$26*(datos_base!$K$3+datos_base!$K$19+IF(parametros_manuales!$H$26="Todos",datos_base!$K$10+datos_base!$K$24,0))*parametros_manuales!$J$100+parametros_manuales!$F$26*(datos_base!$K$4+datos_base!$K$20+IF(parametros_manuales!$H$26="Todos",datos_base!$K$11+datos_base!$K$25,0))*parametros_manuales!$J$105+parametros_manuales!$G$26*(datos_base!$K$5+datos_base!$K$21+IF(parametros_manuales!$H$26="Todos",datos_base!$K$12+datos_base!$K$26,0))*parametros_manuales!$J$110)*parametros_manuales!$I$26*parametros_manuales!$J$26</f>
        <v>6550.93161944</v>
      </c>
      <c r="K252" s="9" t="n">
        <f aca="false">(parametros_manuales!$D$26*(datos_base!$K$2+datos_base!$K$18+IF(parametros_manuales!$H$26="Todos",datos_base!$K$9+datos_base!$K$23,0))*parametros_manuales!$K$95+parametros_manuales!$E$26*(datos_base!$K$3+datos_base!$K$19+IF(parametros_manuales!$H$26="Todos",datos_base!$K$10+datos_base!$K$24,0))*parametros_manuales!$K$100+parametros_manuales!$F$26*(datos_base!$K$4+datos_base!$K$20+IF(parametros_manuales!$H$26="Todos",datos_base!$K$11+datos_base!$K$25,0))*parametros_manuales!$K$105+parametros_manuales!$G$26*(datos_base!$K$5+datos_base!$K$21+IF(parametros_manuales!$H$26="Todos",datos_base!$K$12+datos_base!$K$26,0))*parametros_manuales!$K$110)*parametros_manuales!$I$26*parametros_manuales!$J$26</f>
        <v>6960.364845655</v>
      </c>
      <c r="L252" s="9" t="n">
        <f aca="false">(parametros_manuales!$D$26*(datos_base!$K$2+datos_base!$K$18+IF(parametros_manuales!$H$26="Todos",datos_base!$K$9+datos_base!$K$23,0))*parametros_manuales!$L$95+parametros_manuales!$E$26*(datos_base!$K$3+datos_base!$K$19+IF(parametros_manuales!$H$26="Todos",datos_base!$K$10+datos_base!$K$24,0))*parametros_manuales!$L$100+parametros_manuales!$F$26*(datos_base!$K$4+datos_base!$K$20+IF(parametros_manuales!$H$26="Todos",datos_base!$K$11+datos_base!$K$25,0))*parametros_manuales!$L$105+parametros_manuales!$G$26*(datos_base!$K$5+datos_base!$K$21+IF(parametros_manuales!$H$26="Todos",datos_base!$K$12+datos_base!$K$26,0))*parametros_manuales!$L$110)*parametros_manuales!$I$26*parametros_manuales!$J$26</f>
        <v>7369.79807187</v>
      </c>
      <c r="M252" s="9" t="n">
        <f aca="false">(parametros_manuales!$D$26*(datos_base!$K$2+datos_base!$K$18+IF(parametros_manuales!$H$26="Todos",datos_base!$K$9+datos_base!$K$23,0))*parametros_manuales!$M$95+parametros_manuales!$E$26*(datos_base!$K$3+datos_base!$K$19+IF(parametros_manuales!$H$26="Todos",datos_base!$K$10+datos_base!$K$24,0))*parametros_manuales!$M$100+parametros_manuales!$F$26*(datos_base!$K$4+datos_base!$K$20+IF(parametros_manuales!$H$26="Todos",datos_base!$K$11+datos_base!$K$25,0))*parametros_manuales!$M$105+parametros_manuales!$G$26*(datos_base!$K$5+datos_base!$K$21+IF(parametros_manuales!$H$26="Todos",datos_base!$K$12+datos_base!$K$26,0))*parametros_manuales!$M$110)*parametros_manuales!$I$26*parametros_manuales!$J$26</f>
        <v>7369.79807187</v>
      </c>
      <c r="N252" s="9" t="n">
        <f aca="false">SUM(B252:M252)</f>
        <v>81886.645243</v>
      </c>
      <c r="O252" s="9" t="n">
        <f aca="false">MAX(B252:M252)</f>
        <v>7369.79807187</v>
      </c>
      <c r="P252" s="43" t="n">
        <f aca="false">O252/(parametros_manuales!$B$7)</f>
        <v>49.1319871458</v>
      </c>
      <c r="Q252" s="8" t="str">
        <f aca="false">IF(O252=0,"-",INDEX($B$244:$M$244,MATCH(O252,B252:M252,0)))</f>
        <v>Ene</v>
      </c>
    </row>
    <row r="253" customFormat="false" ht="14.25" hidden="false" customHeight="true" outlineLevel="0" collapsed="false">
      <c r="A253" s="8" t="str">
        <f aca="false">parametros_manuales!$B$27</f>
        <v>Soldadura longitudinal</v>
      </c>
      <c r="B253" s="9" t="n">
        <f aca="false">(parametros_manuales!$D$27*(datos_base!$K$2+datos_base!$K$18+IF(parametros_manuales!$H$27="Todos",datos_base!$K$9+datos_base!$K$23,0))*parametros_manuales!$B$95+parametros_manuales!$E$27*(datos_base!$K$3+datos_base!$K$19+IF(parametros_manuales!$H$27="Todos",datos_base!$K$10+datos_base!$K$24,0))*parametros_manuales!$B$100+parametros_manuales!$F$27*(datos_base!$K$4+datos_base!$K$20+IF(parametros_manuales!$H$27="Todos",datos_base!$K$11+datos_base!$K$25,0))*parametros_manuales!$B$105+parametros_manuales!$G$27*(datos_base!$K$5+datos_base!$K$21+IF(parametros_manuales!$H$27="Todos",datos_base!$K$12+datos_base!$K$26,0))*parametros_manuales!$B$110)*parametros_manuales!$I$27*parametros_manuales!$J$27</f>
        <v>7369.79807187</v>
      </c>
      <c r="C253" s="9" t="n">
        <f aca="false">(parametros_manuales!$D$27*(datos_base!$K$2+datos_base!$K$18+IF(parametros_manuales!$H$27="Todos",datos_base!$K$9+datos_base!$K$23,0))*parametros_manuales!$C$95+parametros_manuales!$E$27*(datos_base!$K$3+datos_base!$K$19+IF(parametros_manuales!$H$27="Todos",datos_base!$K$10+datos_base!$K$24,0))*parametros_manuales!$C$100+parametros_manuales!$F$27*(datos_base!$K$4+datos_base!$K$20+IF(parametros_manuales!$H$27="Todos",datos_base!$K$11+datos_base!$K$25,0))*parametros_manuales!$C$105+parametros_manuales!$G$27*(datos_base!$K$5+datos_base!$K$21+IF(parametros_manuales!$H$27="Todos",datos_base!$K$12+datos_base!$K$26,0))*parametros_manuales!$C$110)*parametros_manuales!$I$27*parametros_manuales!$J$27</f>
        <v>6550.93161944</v>
      </c>
      <c r="D253" s="9" t="n">
        <f aca="false">(parametros_manuales!$D$27*(datos_base!$K$2+datos_base!$K$18+IF(parametros_manuales!$H$27="Todos",datos_base!$K$9+datos_base!$K$23,0))*parametros_manuales!$D$95+parametros_manuales!$E$27*(datos_base!$K$3+datos_base!$K$19+IF(parametros_manuales!$H$27="Todos",datos_base!$K$10+datos_base!$K$24,0))*parametros_manuales!$D$100+parametros_manuales!$F$27*(datos_base!$K$4+datos_base!$K$20+IF(parametros_manuales!$H$27="Todos",datos_base!$K$11+datos_base!$K$25,0))*parametros_manuales!$D$105+parametros_manuales!$G$27*(datos_base!$K$5+datos_base!$K$21+IF(parametros_manuales!$H$27="Todos",datos_base!$K$12+datos_base!$K$26,0))*parametros_manuales!$D$110)*parametros_manuales!$I$27*parametros_manuales!$J$27</f>
        <v>6960.364845655</v>
      </c>
      <c r="E253" s="9" t="n">
        <f aca="false">(parametros_manuales!$D$27*(datos_base!$K$2+datos_base!$K$18+IF(parametros_manuales!$H$27="Todos",datos_base!$K$9+datos_base!$K$23,0))*parametros_manuales!$E$95+parametros_manuales!$E$27*(datos_base!$K$3+datos_base!$K$19+IF(parametros_manuales!$H$27="Todos",datos_base!$K$10+datos_base!$K$24,0))*parametros_manuales!$E$100+parametros_manuales!$F$27*(datos_base!$K$4+datos_base!$K$20+IF(parametros_manuales!$H$27="Todos",datos_base!$K$11+datos_base!$K$25,0))*parametros_manuales!$E$105+parametros_manuales!$G$27*(datos_base!$K$5+datos_base!$K$21+IF(parametros_manuales!$H$27="Todos",datos_base!$K$12+datos_base!$K$26,0))*parametros_manuales!$E$110)*parametros_manuales!$I$27*parametros_manuales!$J$27</f>
        <v>6960.364845655</v>
      </c>
      <c r="F253" s="9" t="n">
        <f aca="false">(parametros_manuales!$D$27*(datos_base!$K$2+datos_base!$K$18+IF(parametros_manuales!$H$27="Todos",datos_base!$K$9+datos_base!$K$23,0))*parametros_manuales!$F$95+parametros_manuales!$E$27*(datos_base!$K$3+datos_base!$K$19+IF(parametros_manuales!$H$27="Todos",datos_base!$K$10+datos_base!$K$24,0))*parametros_manuales!$F$100+parametros_manuales!$F$27*(datos_base!$K$4+datos_base!$K$20+IF(parametros_manuales!$H$27="Todos",datos_base!$K$11+datos_base!$K$25,0))*parametros_manuales!$F$105+parametros_manuales!$G$27*(datos_base!$K$5+datos_base!$K$21+IF(parametros_manuales!$H$27="Todos",datos_base!$K$12+datos_base!$K$26,0))*parametros_manuales!$F$110)*parametros_manuales!$I$27*parametros_manuales!$J$27</f>
        <v>6550.93161944</v>
      </c>
      <c r="G253" s="9" t="n">
        <f aca="false">(parametros_manuales!$D$27*(datos_base!$K$2+datos_base!$K$18+IF(parametros_manuales!$H$27="Todos",datos_base!$K$9+datos_base!$K$23,0))*parametros_manuales!$G$95+parametros_manuales!$E$27*(datos_base!$K$3+datos_base!$K$19+IF(parametros_manuales!$H$27="Todos",datos_base!$K$10+datos_base!$K$24,0))*parametros_manuales!$G$100+parametros_manuales!$F$27*(datos_base!$K$4+datos_base!$K$20+IF(parametros_manuales!$H$27="Todos",datos_base!$K$11+datos_base!$K$25,0))*parametros_manuales!$G$105+parametros_manuales!$G$27*(datos_base!$K$5+datos_base!$K$21+IF(parametros_manuales!$H$27="Todos",datos_base!$K$12+datos_base!$K$26,0))*parametros_manuales!$G$110)*parametros_manuales!$I$27*parametros_manuales!$J$27</f>
        <v>6141.498393225</v>
      </c>
      <c r="H253" s="9" t="n">
        <f aca="false">(parametros_manuales!$D$27*(datos_base!$K$2+datos_base!$K$18+IF(parametros_manuales!$H$27="Todos",datos_base!$K$9+datos_base!$K$23,0))*parametros_manuales!$H$95+parametros_manuales!$E$27*(datos_base!$K$3+datos_base!$K$19+IF(parametros_manuales!$H$27="Todos",datos_base!$K$10+datos_base!$K$24,0))*parametros_manuales!$H$100+parametros_manuales!$F$27*(datos_base!$K$4+datos_base!$K$20+IF(parametros_manuales!$H$27="Todos",datos_base!$K$11+datos_base!$K$25,0))*parametros_manuales!$H$105+parametros_manuales!$G$27*(datos_base!$K$5+datos_base!$K$21+IF(parametros_manuales!$H$27="Todos",datos_base!$K$12+datos_base!$K$26,0))*parametros_manuales!$H$110)*parametros_manuales!$I$27*parametros_manuales!$J$27</f>
        <v>6550.93161944</v>
      </c>
      <c r="I253" s="9" t="n">
        <f aca="false">(parametros_manuales!$D$27*(datos_base!$K$2+datos_base!$K$18+IF(parametros_manuales!$H$27="Todos",datos_base!$K$9+datos_base!$K$23,0))*parametros_manuales!$I$95+parametros_manuales!$E$27*(datos_base!$K$3+datos_base!$K$19+IF(parametros_manuales!$H$27="Todos",datos_base!$K$10+datos_base!$K$24,0))*parametros_manuales!$I$100+parametros_manuales!$F$27*(datos_base!$K$4+datos_base!$K$20+IF(parametros_manuales!$H$27="Todos",datos_base!$K$11+datos_base!$K$25,0))*parametros_manuales!$I$105+parametros_manuales!$G$27*(datos_base!$K$5+datos_base!$K$21+IF(parametros_manuales!$H$27="Todos",datos_base!$K$12+datos_base!$K$26,0))*parametros_manuales!$I$110)*parametros_manuales!$I$27*parametros_manuales!$J$27</f>
        <v>6550.93161944</v>
      </c>
      <c r="J253" s="9" t="n">
        <f aca="false">(parametros_manuales!$D$27*(datos_base!$K$2+datos_base!$K$18+IF(parametros_manuales!$H$27="Todos",datos_base!$K$9+datos_base!$K$23,0))*parametros_manuales!$J$95+parametros_manuales!$E$27*(datos_base!$K$3+datos_base!$K$19+IF(parametros_manuales!$H$27="Todos",datos_base!$K$10+datos_base!$K$24,0))*parametros_manuales!$J$100+parametros_manuales!$F$27*(datos_base!$K$4+datos_base!$K$20+IF(parametros_manuales!$H$27="Todos",datos_base!$K$11+datos_base!$K$25,0))*parametros_manuales!$J$105+parametros_manuales!$G$27*(datos_base!$K$5+datos_base!$K$21+IF(parametros_manuales!$H$27="Todos",datos_base!$K$12+datos_base!$K$26,0))*parametros_manuales!$J$110)*parametros_manuales!$I$27*parametros_manuales!$J$27</f>
        <v>6550.93161944</v>
      </c>
      <c r="K253" s="9" t="n">
        <f aca="false">(parametros_manuales!$D$27*(datos_base!$K$2+datos_base!$K$18+IF(parametros_manuales!$H$27="Todos",datos_base!$K$9+datos_base!$K$23,0))*parametros_manuales!$K$95+parametros_manuales!$E$27*(datos_base!$K$3+datos_base!$K$19+IF(parametros_manuales!$H$27="Todos",datos_base!$K$10+datos_base!$K$24,0))*parametros_manuales!$K$100+parametros_manuales!$F$27*(datos_base!$K$4+datos_base!$K$20+IF(parametros_manuales!$H$27="Todos",datos_base!$K$11+datos_base!$K$25,0))*parametros_manuales!$K$105+parametros_manuales!$G$27*(datos_base!$K$5+datos_base!$K$21+IF(parametros_manuales!$H$27="Todos",datos_base!$K$12+datos_base!$K$26,0))*parametros_manuales!$K$110)*parametros_manuales!$I$27*parametros_manuales!$J$27</f>
        <v>6960.364845655</v>
      </c>
      <c r="L253" s="9" t="n">
        <f aca="false">(parametros_manuales!$D$27*(datos_base!$K$2+datos_base!$K$18+IF(parametros_manuales!$H$27="Todos",datos_base!$K$9+datos_base!$K$23,0))*parametros_manuales!$L$95+parametros_manuales!$E$27*(datos_base!$K$3+datos_base!$K$19+IF(parametros_manuales!$H$27="Todos",datos_base!$K$10+datos_base!$K$24,0))*parametros_manuales!$L$100+parametros_manuales!$F$27*(datos_base!$K$4+datos_base!$K$20+IF(parametros_manuales!$H$27="Todos",datos_base!$K$11+datos_base!$K$25,0))*parametros_manuales!$L$105+parametros_manuales!$G$27*(datos_base!$K$5+datos_base!$K$21+IF(parametros_manuales!$H$27="Todos",datos_base!$K$12+datos_base!$K$26,0))*parametros_manuales!$L$110)*parametros_manuales!$I$27*parametros_manuales!$J$27</f>
        <v>7369.79807187</v>
      </c>
      <c r="M253" s="9" t="n">
        <f aca="false">(parametros_manuales!$D$27*(datos_base!$K$2+datos_base!$K$18+IF(parametros_manuales!$H$27="Todos",datos_base!$K$9+datos_base!$K$23,0))*parametros_manuales!$M$95+parametros_manuales!$E$27*(datos_base!$K$3+datos_base!$K$19+IF(parametros_manuales!$H$27="Todos",datos_base!$K$10+datos_base!$K$24,0))*parametros_manuales!$M$100+parametros_manuales!$F$27*(datos_base!$K$4+datos_base!$K$20+IF(parametros_manuales!$H$27="Todos",datos_base!$K$11+datos_base!$K$25,0))*parametros_manuales!$M$105+parametros_manuales!$G$27*(datos_base!$K$5+datos_base!$K$21+IF(parametros_manuales!$H$27="Todos",datos_base!$K$12+datos_base!$K$26,0))*parametros_manuales!$M$110)*parametros_manuales!$I$27*parametros_manuales!$J$27</f>
        <v>7369.79807187</v>
      </c>
      <c r="N253" s="9" t="n">
        <f aca="false">SUM(B253:M253)</f>
        <v>81886.645243</v>
      </c>
      <c r="O253" s="9" t="n">
        <f aca="false">MAX(B253:M253)</f>
        <v>7369.79807187</v>
      </c>
      <c r="P253" s="43" t="n">
        <f aca="false">O253/(parametros_manuales!$B$7)</f>
        <v>49.1319871458</v>
      </c>
      <c r="Q253" s="8" t="str">
        <f aca="false">IF(O253=0,"-",INDEX($B$244:$M$244,MATCH(O253,B253:M253,0)))</f>
        <v>Ene</v>
      </c>
    </row>
    <row r="254" customFormat="false" ht="14.25" hidden="false" customHeight="true" outlineLevel="0" collapsed="false">
      <c r="A254" s="8" t="str">
        <f aca="false">parametros_manuales!$B$28</f>
        <v>Encastre de fondo</v>
      </c>
      <c r="B254" s="9" t="n">
        <f aca="false">(parametros_manuales!$D$28*(datos_base!$K$2+datos_base!$K$18+IF(parametros_manuales!$H$28="Todos",datos_base!$K$9+datos_base!$K$23,0))*parametros_manuales!$B$95+parametros_manuales!$E$28*(datos_base!$K$3+datos_base!$K$19+IF(parametros_manuales!$H$28="Todos",datos_base!$K$10+datos_base!$K$24,0))*parametros_manuales!$B$100+parametros_manuales!$F$28*(datos_base!$K$4+datos_base!$K$20+IF(parametros_manuales!$H$28="Todos",datos_base!$K$11+datos_base!$K$25,0))*parametros_manuales!$B$105+parametros_manuales!$G$28*(datos_base!$K$5+datos_base!$K$21+IF(parametros_manuales!$H$28="Todos",datos_base!$K$12+datos_base!$K$26,0))*parametros_manuales!$B$110)*parametros_manuales!$I$28*parametros_manuales!$J$28</f>
        <v>25605.65559357</v>
      </c>
      <c r="C254" s="9" t="n">
        <f aca="false">(parametros_manuales!$D$28*(datos_base!$K$2+datos_base!$K$18+IF(parametros_manuales!$H$28="Todos",datos_base!$K$9+datos_base!$K$23,0))*parametros_manuales!$C$95+parametros_manuales!$E$28*(datos_base!$K$3+datos_base!$K$19+IF(parametros_manuales!$H$28="Todos",datos_base!$K$10+datos_base!$K$24,0))*parametros_manuales!$C$100+parametros_manuales!$F$28*(datos_base!$K$4+datos_base!$K$20+IF(parametros_manuales!$H$28="Todos",datos_base!$K$11+datos_base!$K$25,0))*parametros_manuales!$C$105+parametros_manuales!$G$28*(datos_base!$K$5+datos_base!$K$21+IF(parametros_manuales!$H$28="Todos",datos_base!$K$12+datos_base!$K$26,0))*parametros_manuales!$C$110)*parametros_manuales!$I$28*parametros_manuales!$J$28</f>
        <v>24786.78914114</v>
      </c>
      <c r="D254" s="9" t="n">
        <f aca="false">(parametros_manuales!$D$28*(datos_base!$K$2+datos_base!$K$18+IF(parametros_manuales!$H$28="Todos",datos_base!$K$9+datos_base!$K$23,0))*parametros_manuales!$D$95+parametros_manuales!$E$28*(datos_base!$K$3+datos_base!$K$19+IF(parametros_manuales!$H$28="Todos",datos_base!$K$10+datos_base!$K$24,0))*parametros_manuales!$D$100+parametros_manuales!$F$28*(datos_base!$K$4+datos_base!$K$20+IF(parametros_manuales!$H$28="Todos",datos_base!$K$11+datos_base!$K$25,0))*parametros_manuales!$D$105+parametros_manuales!$G$28*(datos_base!$K$5+datos_base!$K$21+IF(parametros_manuales!$H$28="Todos",datos_base!$K$12+datos_base!$K$26,0))*parametros_manuales!$D$110)*parametros_manuales!$I$28*parametros_manuales!$J$28</f>
        <v>23170.015976055</v>
      </c>
      <c r="E254" s="9" t="n">
        <f aca="false">(parametros_manuales!$D$28*(datos_base!$K$2+datos_base!$K$18+IF(parametros_manuales!$H$28="Todos",datos_base!$K$9+datos_base!$K$23,0))*parametros_manuales!$E$95+parametros_manuales!$E$28*(datos_base!$K$3+datos_base!$K$19+IF(parametros_manuales!$H$28="Todos",datos_base!$K$10+datos_base!$K$24,0))*parametros_manuales!$E$100+parametros_manuales!$F$28*(datos_base!$K$4+datos_base!$K$20+IF(parametros_manuales!$H$28="Todos",datos_base!$K$11+datos_base!$K$25,0))*parametros_manuales!$E$105+parametros_manuales!$G$28*(datos_base!$K$5+datos_base!$K$21+IF(parametros_manuales!$H$28="Todos",datos_base!$K$12+datos_base!$K$26,0))*parametros_manuales!$E$110)*parametros_manuales!$I$28*parametros_manuales!$J$28</f>
        <v>22156.912780405</v>
      </c>
      <c r="F254" s="9" t="n">
        <f aca="false">(parametros_manuales!$D$28*(datos_base!$K$2+datos_base!$K$18+IF(parametros_manuales!$H$28="Todos",datos_base!$K$9+datos_base!$K$23,0))*parametros_manuales!$F$95+parametros_manuales!$E$28*(datos_base!$K$3+datos_base!$K$19+IF(parametros_manuales!$H$28="Todos",datos_base!$K$10+datos_base!$K$24,0))*parametros_manuales!$F$100+parametros_manuales!$F$28*(datos_base!$K$4+datos_base!$K$20+IF(parametros_manuales!$H$28="Todos",datos_base!$K$11+datos_base!$K$25,0))*parametros_manuales!$F$105+parametros_manuales!$G$28*(datos_base!$K$5+datos_base!$K$21+IF(parametros_manuales!$H$28="Todos",datos_base!$K$12+datos_base!$K$26,0))*parametros_manuales!$F$110)*parametros_manuales!$I$28*parametros_manuales!$J$28</f>
        <v>20734.37635854</v>
      </c>
      <c r="G254" s="9" t="n">
        <f aca="false">(parametros_manuales!$D$28*(datos_base!$K$2+datos_base!$K$18+IF(parametros_manuales!$H$28="Todos",datos_base!$K$9+datos_base!$K$23,0))*parametros_manuales!$G$95+parametros_manuales!$E$28*(datos_base!$K$3+datos_base!$K$19+IF(parametros_manuales!$H$28="Todos",datos_base!$K$10+datos_base!$K$24,0))*parametros_manuales!$G$100+parametros_manuales!$F$28*(datos_base!$K$4+datos_base!$K$20+IF(parametros_manuales!$H$28="Todos",datos_base!$K$11+datos_base!$K$25,0))*parametros_manuales!$G$105+parametros_manuales!$G$28*(datos_base!$K$5+datos_base!$K$21+IF(parametros_manuales!$H$28="Todos",datos_base!$K$12+datos_base!$K$26,0))*parametros_manuales!$G$110)*parametros_manuales!$I$28*parametros_manuales!$J$28</f>
        <v>20324.943132325</v>
      </c>
      <c r="H254" s="9" t="n">
        <f aca="false">(parametros_manuales!$D$28*(datos_base!$K$2+datos_base!$K$18+IF(parametros_manuales!$H$28="Todos",datos_base!$K$9+datos_base!$K$23,0))*parametros_manuales!$H$95+parametros_manuales!$E$28*(datos_base!$K$3+datos_base!$K$19+IF(parametros_manuales!$H$28="Todos",datos_base!$K$10+datos_base!$K$24,0))*parametros_manuales!$H$100+parametros_manuales!$F$28*(datos_base!$K$4+datos_base!$K$20+IF(parametros_manuales!$H$28="Todos",datos_base!$K$11+datos_base!$K$25,0))*parametros_manuales!$H$105+parametros_manuales!$G$28*(datos_base!$K$5+datos_base!$K$21+IF(parametros_manuales!$H$28="Todos",datos_base!$K$12+datos_base!$K$26,0))*parametros_manuales!$H$110)*parametros_manuales!$I$28*parametros_manuales!$J$28</f>
        <v>21747.47955419</v>
      </c>
      <c r="I254" s="9" t="n">
        <f aca="false">(parametros_manuales!$D$28*(datos_base!$K$2+datos_base!$K$18+IF(parametros_manuales!$H$28="Todos",datos_base!$K$9+datos_base!$K$23,0))*parametros_manuales!$I$95+parametros_manuales!$E$28*(datos_base!$K$3+datos_base!$K$19+IF(parametros_manuales!$H$28="Todos",datos_base!$K$10+datos_base!$K$24,0))*parametros_manuales!$I$100+parametros_manuales!$F$28*(datos_base!$K$4+datos_base!$K$20+IF(parametros_manuales!$H$28="Todos",datos_base!$K$11+datos_base!$K$25,0))*parametros_manuales!$I$105+parametros_manuales!$G$28*(datos_base!$K$5+datos_base!$K$21+IF(parametros_manuales!$H$28="Todos",datos_base!$K$12+datos_base!$K$26,0))*parametros_manuales!$I$110)*parametros_manuales!$I$28*parametros_manuales!$J$28</f>
        <v>24786.78914114</v>
      </c>
      <c r="J254" s="9" t="n">
        <f aca="false">(parametros_manuales!$D$28*(datos_base!$K$2+datos_base!$K$18+IF(parametros_manuales!$H$28="Todos",datos_base!$K$9+datos_base!$K$23,0))*parametros_manuales!$J$95+parametros_manuales!$E$28*(datos_base!$K$3+datos_base!$K$19+IF(parametros_manuales!$H$28="Todos",datos_base!$K$10+datos_base!$K$24,0))*parametros_manuales!$J$100+parametros_manuales!$F$28*(datos_base!$K$4+datos_base!$K$20+IF(parametros_manuales!$H$28="Todos",datos_base!$K$11+datos_base!$K$25,0))*parametros_manuales!$J$105+parametros_manuales!$G$28*(datos_base!$K$5+datos_base!$K$21+IF(parametros_manuales!$H$28="Todos",datos_base!$K$12+datos_base!$K$26,0))*parametros_manuales!$J$110)*parametros_manuales!$I$28*parametros_manuales!$J$28</f>
        <v>24786.78914114</v>
      </c>
      <c r="K254" s="9" t="n">
        <f aca="false">(parametros_manuales!$D$28*(datos_base!$K$2+datos_base!$K$18+IF(parametros_manuales!$H$28="Todos",datos_base!$K$9+datos_base!$K$23,0))*parametros_manuales!$K$95+parametros_manuales!$E$28*(datos_base!$K$3+datos_base!$K$19+IF(parametros_manuales!$H$28="Todos",datos_base!$K$10+datos_base!$K$24,0))*parametros_manuales!$K$100+parametros_manuales!$F$28*(datos_base!$K$4+datos_base!$K$20+IF(parametros_manuales!$H$28="Todos",datos_base!$K$11+datos_base!$K$25,0))*parametros_manuales!$K$105+parametros_manuales!$G$28*(datos_base!$K$5+datos_base!$K$21+IF(parametros_manuales!$H$28="Todos",datos_base!$K$12+datos_base!$K$26,0))*parametros_manuales!$K$110)*parametros_manuales!$I$28*parametros_manuales!$J$28</f>
        <v>25196.222367355</v>
      </c>
      <c r="L254" s="9" t="n">
        <f aca="false">(parametros_manuales!$D$28*(datos_base!$K$2+datos_base!$K$18+IF(parametros_manuales!$H$28="Todos",datos_base!$K$9+datos_base!$K$23,0))*parametros_manuales!$L$95+parametros_manuales!$E$28*(datos_base!$K$3+datos_base!$K$19+IF(parametros_manuales!$H$28="Todos",datos_base!$K$10+datos_base!$K$24,0))*parametros_manuales!$L$100+parametros_manuales!$F$28*(datos_base!$K$4+datos_base!$K$20+IF(parametros_manuales!$H$28="Todos",datos_base!$K$11+datos_base!$K$25,0))*parametros_manuales!$L$105+parametros_manuales!$G$28*(datos_base!$K$5+datos_base!$K$21+IF(parametros_manuales!$H$28="Todos",datos_base!$K$12+datos_base!$K$26,0))*parametros_manuales!$L$110)*parametros_manuales!$I$28*parametros_manuales!$J$28</f>
        <v>25605.65559357</v>
      </c>
      <c r="M254" s="9" t="n">
        <f aca="false">(parametros_manuales!$D$28*(datos_base!$K$2+datos_base!$K$18+IF(parametros_manuales!$H$28="Todos",datos_base!$K$9+datos_base!$K$23,0))*parametros_manuales!$M$95+parametros_manuales!$E$28*(datos_base!$K$3+datos_base!$K$19+IF(parametros_manuales!$H$28="Todos",datos_base!$K$10+datos_base!$K$24,0))*parametros_manuales!$M$100+parametros_manuales!$F$28*(datos_base!$K$4+datos_base!$K$20+IF(parametros_manuales!$H$28="Todos",datos_base!$K$11+datos_base!$K$25,0))*parametros_manuales!$M$105+parametros_manuales!$G$28*(datos_base!$K$5+datos_base!$K$21+IF(parametros_manuales!$H$28="Todos",datos_base!$K$12+datos_base!$K$26,0))*parametros_manuales!$M$110)*parametros_manuales!$I$28*parametros_manuales!$J$28</f>
        <v>25605.65559357</v>
      </c>
      <c r="N254" s="9" t="n">
        <f aca="false">SUM(B254:M254)</f>
        <v>284507.284373</v>
      </c>
      <c r="O254" s="9" t="n">
        <f aca="false">MAX(B254:M254)</f>
        <v>25605.65559357</v>
      </c>
      <c r="P254" s="43" t="n">
        <f aca="false">O254/(parametros_manuales!$B$7)</f>
        <v>170.7043706238</v>
      </c>
      <c r="Q254" s="8" t="str">
        <f aca="false">IF(O254=0,"-",INDEX($B$244:$M$244,MATCH(O254,B254:M254,0)))</f>
        <v>Ene</v>
      </c>
    </row>
    <row r="255" customFormat="false" ht="14.25" hidden="false" customHeight="true" outlineLevel="0" collapsed="false">
      <c r="A255" s="8" t="str">
        <f aca="false">parametros_manuales!$B$29</f>
        <v>Bordoneado</v>
      </c>
      <c r="B255" s="9" t="n">
        <f aca="false">(parametros_manuales!$D$29*(datos_base!$K$2+datos_base!$K$18+IF(parametros_manuales!$H$29="Todos",datos_base!$K$9+datos_base!$K$23,0))*parametros_manuales!$B$95+parametros_manuales!$E$29*(datos_base!$K$3+datos_base!$K$19+IF(parametros_manuales!$H$29="Todos",datos_base!$K$10+datos_base!$K$24,0))*parametros_manuales!$B$100+parametros_manuales!$F$29*(datos_base!$K$4+datos_base!$K$20+IF(parametros_manuales!$H$29="Todos",datos_base!$K$11+datos_base!$K$25,0))*parametros_manuales!$B$105+parametros_manuales!$G$29*(datos_base!$K$5+datos_base!$K$21+IF(parametros_manuales!$H$29="Todos",datos_base!$K$12+datos_base!$K$26,0))*parametros_manuales!$B$110)*parametros_manuales!$I$29*parametros_manuales!$J$29</f>
        <v>25605.65559357</v>
      </c>
      <c r="C255" s="9" t="n">
        <f aca="false">(parametros_manuales!$D$29*(datos_base!$K$2+datos_base!$K$18+IF(parametros_manuales!$H$29="Todos",datos_base!$K$9+datos_base!$K$23,0))*parametros_manuales!$C$95+parametros_manuales!$E$29*(datos_base!$K$3+datos_base!$K$19+IF(parametros_manuales!$H$29="Todos",datos_base!$K$10+datos_base!$K$24,0))*parametros_manuales!$C$100+parametros_manuales!$F$29*(datos_base!$K$4+datos_base!$K$20+IF(parametros_manuales!$H$29="Todos",datos_base!$K$11+datos_base!$K$25,0))*parametros_manuales!$C$105+parametros_manuales!$G$29*(datos_base!$K$5+datos_base!$K$21+IF(parametros_manuales!$H$29="Todos",datos_base!$K$12+datos_base!$K$26,0))*parametros_manuales!$C$110)*parametros_manuales!$I$29*parametros_manuales!$J$29</f>
        <v>24786.78914114</v>
      </c>
      <c r="D255" s="9" t="n">
        <f aca="false">(parametros_manuales!$D$29*(datos_base!$K$2+datos_base!$K$18+IF(parametros_manuales!$H$29="Todos",datos_base!$K$9+datos_base!$K$23,0))*parametros_manuales!$D$95+parametros_manuales!$E$29*(datos_base!$K$3+datos_base!$K$19+IF(parametros_manuales!$H$29="Todos",datos_base!$K$10+datos_base!$K$24,0))*parametros_manuales!$D$100+parametros_manuales!$F$29*(datos_base!$K$4+datos_base!$K$20+IF(parametros_manuales!$H$29="Todos",datos_base!$K$11+datos_base!$K$25,0))*parametros_manuales!$D$105+parametros_manuales!$G$29*(datos_base!$K$5+datos_base!$K$21+IF(parametros_manuales!$H$29="Todos",datos_base!$K$12+datos_base!$K$26,0))*parametros_manuales!$D$110)*parametros_manuales!$I$29*parametros_manuales!$J$29</f>
        <v>23170.015976055</v>
      </c>
      <c r="E255" s="9" t="n">
        <f aca="false">(parametros_manuales!$D$29*(datos_base!$K$2+datos_base!$K$18+IF(parametros_manuales!$H$29="Todos",datos_base!$K$9+datos_base!$K$23,0))*parametros_manuales!$E$95+parametros_manuales!$E$29*(datos_base!$K$3+datos_base!$K$19+IF(parametros_manuales!$H$29="Todos",datos_base!$K$10+datos_base!$K$24,0))*parametros_manuales!$E$100+parametros_manuales!$F$29*(datos_base!$K$4+datos_base!$K$20+IF(parametros_manuales!$H$29="Todos",datos_base!$K$11+datos_base!$K$25,0))*parametros_manuales!$E$105+parametros_manuales!$G$29*(datos_base!$K$5+datos_base!$K$21+IF(parametros_manuales!$H$29="Todos",datos_base!$K$12+datos_base!$K$26,0))*parametros_manuales!$E$110)*parametros_manuales!$I$29*parametros_manuales!$J$29</f>
        <v>22156.912780405</v>
      </c>
      <c r="F255" s="9" t="n">
        <f aca="false">(parametros_manuales!$D$29*(datos_base!$K$2+datos_base!$K$18+IF(parametros_manuales!$H$29="Todos",datos_base!$K$9+datos_base!$K$23,0))*parametros_manuales!$F$95+parametros_manuales!$E$29*(datos_base!$K$3+datos_base!$K$19+IF(parametros_manuales!$H$29="Todos",datos_base!$K$10+datos_base!$K$24,0))*parametros_manuales!$F$100+parametros_manuales!$F$29*(datos_base!$K$4+datos_base!$K$20+IF(parametros_manuales!$H$29="Todos",datos_base!$K$11+datos_base!$K$25,0))*parametros_manuales!$F$105+parametros_manuales!$G$29*(datos_base!$K$5+datos_base!$K$21+IF(parametros_manuales!$H$29="Todos",datos_base!$K$12+datos_base!$K$26,0))*parametros_manuales!$F$110)*parametros_manuales!$I$29*parametros_manuales!$J$29</f>
        <v>20734.37635854</v>
      </c>
      <c r="G255" s="9" t="n">
        <f aca="false">(parametros_manuales!$D$29*(datos_base!$K$2+datos_base!$K$18+IF(parametros_manuales!$H$29="Todos",datos_base!$K$9+datos_base!$K$23,0))*parametros_manuales!$G$95+parametros_manuales!$E$29*(datos_base!$K$3+datos_base!$K$19+IF(parametros_manuales!$H$29="Todos",datos_base!$K$10+datos_base!$K$24,0))*parametros_manuales!$G$100+parametros_manuales!$F$29*(datos_base!$K$4+datos_base!$K$20+IF(parametros_manuales!$H$29="Todos",datos_base!$K$11+datos_base!$K$25,0))*parametros_manuales!$G$105+parametros_manuales!$G$29*(datos_base!$K$5+datos_base!$K$21+IF(parametros_manuales!$H$29="Todos",datos_base!$K$12+datos_base!$K$26,0))*parametros_manuales!$G$110)*parametros_manuales!$I$29*parametros_manuales!$J$29</f>
        <v>20324.943132325</v>
      </c>
      <c r="H255" s="9" t="n">
        <f aca="false">(parametros_manuales!$D$29*(datos_base!$K$2+datos_base!$K$18+IF(parametros_manuales!$H$29="Todos",datos_base!$K$9+datos_base!$K$23,0))*parametros_manuales!$H$95+parametros_manuales!$E$29*(datos_base!$K$3+datos_base!$K$19+IF(parametros_manuales!$H$29="Todos",datos_base!$K$10+datos_base!$K$24,0))*parametros_manuales!$H$100+parametros_manuales!$F$29*(datos_base!$K$4+datos_base!$K$20+IF(parametros_manuales!$H$29="Todos",datos_base!$K$11+datos_base!$K$25,0))*parametros_manuales!$H$105+parametros_manuales!$G$29*(datos_base!$K$5+datos_base!$K$21+IF(parametros_manuales!$H$29="Todos",datos_base!$K$12+datos_base!$K$26,0))*parametros_manuales!$H$110)*parametros_manuales!$I$29*parametros_manuales!$J$29</f>
        <v>21747.47955419</v>
      </c>
      <c r="I255" s="9" t="n">
        <f aca="false">(parametros_manuales!$D$29*(datos_base!$K$2+datos_base!$K$18+IF(parametros_manuales!$H$29="Todos",datos_base!$K$9+datos_base!$K$23,0))*parametros_manuales!$I$95+parametros_manuales!$E$29*(datos_base!$K$3+datos_base!$K$19+IF(parametros_manuales!$H$29="Todos",datos_base!$K$10+datos_base!$K$24,0))*parametros_manuales!$I$100+parametros_manuales!$F$29*(datos_base!$K$4+datos_base!$K$20+IF(parametros_manuales!$H$29="Todos",datos_base!$K$11+datos_base!$K$25,0))*parametros_manuales!$I$105+parametros_manuales!$G$29*(datos_base!$K$5+datos_base!$K$21+IF(parametros_manuales!$H$29="Todos",datos_base!$K$12+datos_base!$K$26,0))*parametros_manuales!$I$110)*parametros_manuales!$I$29*parametros_manuales!$J$29</f>
        <v>24786.78914114</v>
      </c>
      <c r="J255" s="9" t="n">
        <f aca="false">(parametros_manuales!$D$29*(datos_base!$K$2+datos_base!$K$18+IF(parametros_manuales!$H$29="Todos",datos_base!$K$9+datos_base!$K$23,0))*parametros_manuales!$J$95+parametros_manuales!$E$29*(datos_base!$K$3+datos_base!$K$19+IF(parametros_manuales!$H$29="Todos",datos_base!$K$10+datos_base!$K$24,0))*parametros_manuales!$J$100+parametros_manuales!$F$29*(datos_base!$K$4+datos_base!$K$20+IF(parametros_manuales!$H$29="Todos",datos_base!$K$11+datos_base!$K$25,0))*parametros_manuales!$J$105+parametros_manuales!$G$29*(datos_base!$K$5+datos_base!$K$21+IF(parametros_manuales!$H$29="Todos",datos_base!$K$12+datos_base!$K$26,0))*parametros_manuales!$J$110)*parametros_manuales!$I$29*parametros_manuales!$J$29</f>
        <v>24786.78914114</v>
      </c>
      <c r="K255" s="9" t="n">
        <f aca="false">(parametros_manuales!$D$29*(datos_base!$K$2+datos_base!$K$18+IF(parametros_manuales!$H$29="Todos",datos_base!$K$9+datos_base!$K$23,0))*parametros_manuales!$K$95+parametros_manuales!$E$29*(datos_base!$K$3+datos_base!$K$19+IF(parametros_manuales!$H$29="Todos",datos_base!$K$10+datos_base!$K$24,0))*parametros_manuales!$K$100+parametros_manuales!$F$29*(datos_base!$K$4+datos_base!$K$20+IF(parametros_manuales!$H$29="Todos",datos_base!$K$11+datos_base!$K$25,0))*parametros_manuales!$K$105+parametros_manuales!$G$29*(datos_base!$K$5+datos_base!$K$21+IF(parametros_manuales!$H$29="Todos",datos_base!$K$12+datos_base!$K$26,0))*parametros_manuales!$K$110)*parametros_manuales!$I$29*parametros_manuales!$J$29</f>
        <v>25196.222367355</v>
      </c>
      <c r="L255" s="9" t="n">
        <f aca="false">(parametros_manuales!$D$29*(datos_base!$K$2+datos_base!$K$18+IF(parametros_manuales!$H$29="Todos",datos_base!$K$9+datos_base!$K$23,0))*parametros_manuales!$L$95+parametros_manuales!$E$29*(datos_base!$K$3+datos_base!$K$19+IF(parametros_manuales!$H$29="Todos",datos_base!$K$10+datos_base!$K$24,0))*parametros_manuales!$L$100+parametros_manuales!$F$29*(datos_base!$K$4+datos_base!$K$20+IF(parametros_manuales!$H$29="Todos",datos_base!$K$11+datos_base!$K$25,0))*parametros_manuales!$L$105+parametros_manuales!$G$29*(datos_base!$K$5+datos_base!$K$21+IF(parametros_manuales!$H$29="Todos",datos_base!$K$12+datos_base!$K$26,0))*parametros_manuales!$L$110)*parametros_manuales!$I$29*parametros_manuales!$J$29</f>
        <v>25605.65559357</v>
      </c>
      <c r="M255" s="9" t="n">
        <f aca="false">(parametros_manuales!$D$29*(datos_base!$K$2+datos_base!$K$18+IF(parametros_manuales!$H$29="Todos",datos_base!$K$9+datos_base!$K$23,0))*parametros_manuales!$M$95+parametros_manuales!$E$29*(datos_base!$K$3+datos_base!$K$19+IF(parametros_manuales!$H$29="Todos",datos_base!$K$10+datos_base!$K$24,0))*parametros_manuales!$M$100+parametros_manuales!$F$29*(datos_base!$K$4+datos_base!$K$20+IF(parametros_manuales!$H$29="Todos",datos_base!$K$11+datos_base!$K$25,0))*parametros_manuales!$M$105+parametros_manuales!$G$29*(datos_base!$K$5+datos_base!$K$21+IF(parametros_manuales!$H$29="Todos",datos_base!$K$12+datos_base!$K$26,0))*parametros_manuales!$M$110)*parametros_manuales!$I$29*parametros_manuales!$J$29</f>
        <v>25605.65559357</v>
      </c>
      <c r="N255" s="9" t="n">
        <f aca="false">SUM(B255:M255)</f>
        <v>284507.284373</v>
      </c>
      <c r="O255" s="9" t="n">
        <f aca="false">MAX(B255:M255)</f>
        <v>25605.65559357</v>
      </c>
      <c r="P255" s="43" t="n">
        <f aca="false">O255/(parametros_manuales!$B$7)</f>
        <v>170.7043706238</v>
      </c>
      <c r="Q255" s="8" t="str">
        <f aca="false">IF(O255=0,"-",INDEX($B$244:$M$244,MATCH(O255,B255:M255,0)))</f>
        <v>Ene</v>
      </c>
    </row>
    <row r="256" customFormat="false" ht="14.25" hidden="false" customHeight="true" outlineLevel="0" collapsed="false">
      <c r="A256" s="8" t="str">
        <f aca="false">parametros_manuales!$B$30</f>
        <v>Soldadura circunferencial de cúpula y fondo</v>
      </c>
      <c r="B256" s="9" t="n">
        <f aca="false">(parametros_manuales!$D$30*(datos_base!$K$2+datos_base!$K$18+IF(parametros_manuales!$H$30="Todos",datos_base!$K$9+datos_base!$K$23,0))*parametros_manuales!$B$95+parametros_manuales!$E$30*(datos_base!$K$3+datos_base!$K$19+IF(parametros_manuales!$H$30="Todos",datos_base!$K$10+datos_base!$K$24,0))*parametros_manuales!$B$100+parametros_manuales!$F$30*(datos_base!$K$4+datos_base!$K$20+IF(parametros_manuales!$H$30="Todos",datos_base!$K$11+datos_base!$K$25,0))*parametros_manuales!$B$105+parametros_manuales!$G$30*(datos_base!$K$5+datos_base!$K$21+IF(parametros_manuales!$H$30="Todos",datos_base!$K$12+datos_base!$K$26,0))*parametros_manuales!$B$110)*parametros_manuales!$I$30*parametros_manuales!$J$30</f>
        <v>25605.65559357</v>
      </c>
      <c r="C256" s="9" t="n">
        <f aca="false">(parametros_manuales!$D$30*(datos_base!$K$2+datos_base!$K$18+IF(parametros_manuales!$H$30="Todos",datos_base!$K$9+datos_base!$K$23,0))*parametros_manuales!$C$95+parametros_manuales!$E$30*(datos_base!$K$3+datos_base!$K$19+IF(parametros_manuales!$H$30="Todos",datos_base!$K$10+datos_base!$K$24,0))*parametros_manuales!$C$100+parametros_manuales!$F$30*(datos_base!$K$4+datos_base!$K$20+IF(parametros_manuales!$H$30="Todos",datos_base!$K$11+datos_base!$K$25,0))*parametros_manuales!$C$105+parametros_manuales!$G$30*(datos_base!$K$5+datos_base!$K$21+IF(parametros_manuales!$H$30="Todos",datos_base!$K$12+datos_base!$K$26,0))*parametros_manuales!$C$110)*parametros_manuales!$I$30*parametros_manuales!$J$30</f>
        <v>24786.78914114</v>
      </c>
      <c r="D256" s="9" t="n">
        <f aca="false">(parametros_manuales!$D$30*(datos_base!$K$2+datos_base!$K$18+IF(parametros_manuales!$H$30="Todos",datos_base!$K$9+datos_base!$K$23,0))*parametros_manuales!$D$95+parametros_manuales!$E$30*(datos_base!$K$3+datos_base!$K$19+IF(parametros_manuales!$H$30="Todos",datos_base!$K$10+datos_base!$K$24,0))*parametros_manuales!$D$100+parametros_manuales!$F$30*(datos_base!$K$4+datos_base!$K$20+IF(parametros_manuales!$H$30="Todos",datos_base!$K$11+datos_base!$K$25,0))*parametros_manuales!$D$105+parametros_manuales!$G$30*(datos_base!$K$5+datos_base!$K$21+IF(parametros_manuales!$H$30="Todos",datos_base!$K$12+datos_base!$K$26,0))*parametros_manuales!$D$110)*parametros_manuales!$I$30*parametros_manuales!$J$30</f>
        <v>23170.015976055</v>
      </c>
      <c r="E256" s="9" t="n">
        <f aca="false">(parametros_manuales!$D$30*(datos_base!$K$2+datos_base!$K$18+IF(parametros_manuales!$H$30="Todos",datos_base!$K$9+datos_base!$K$23,0))*parametros_manuales!$E$95+parametros_manuales!$E$30*(datos_base!$K$3+datos_base!$K$19+IF(parametros_manuales!$H$30="Todos",datos_base!$K$10+datos_base!$K$24,0))*parametros_manuales!$E$100+parametros_manuales!$F$30*(datos_base!$K$4+datos_base!$K$20+IF(parametros_manuales!$H$30="Todos",datos_base!$K$11+datos_base!$K$25,0))*parametros_manuales!$E$105+parametros_manuales!$G$30*(datos_base!$K$5+datos_base!$K$21+IF(parametros_manuales!$H$30="Todos",datos_base!$K$12+datos_base!$K$26,0))*parametros_manuales!$E$110)*parametros_manuales!$I$30*parametros_manuales!$J$30</f>
        <v>22156.912780405</v>
      </c>
      <c r="F256" s="9" t="n">
        <f aca="false">(parametros_manuales!$D$30*(datos_base!$K$2+datos_base!$K$18+IF(parametros_manuales!$H$30="Todos",datos_base!$K$9+datos_base!$K$23,0))*parametros_manuales!$F$95+parametros_manuales!$E$30*(datos_base!$K$3+datos_base!$K$19+IF(parametros_manuales!$H$30="Todos",datos_base!$K$10+datos_base!$K$24,0))*parametros_manuales!$F$100+parametros_manuales!$F$30*(datos_base!$K$4+datos_base!$K$20+IF(parametros_manuales!$H$30="Todos",datos_base!$K$11+datos_base!$K$25,0))*parametros_manuales!$F$105+parametros_manuales!$G$30*(datos_base!$K$5+datos_base!$K$21+IF(parametros_manuales!$H$30="Todos",datos_base!$K$12+datos_base!$K$26,0))*parametros_manuales!$F$110)*parametros_manuales!$I$30*parametros_manuales!$J$30</f>
        <v>20734.37635854</v>
      </c>
      <c r="G256" s="9" t="n">
        <f aca="false">(parametros_manuales!$D$30*(datos_base!$K$2+datos_base!$K$18+IF(parametros_manuales!$H$30="Todos",datos_base!$K$9+datos_base!$K$23,0))*parametros_manuales!$G$95+parametros_manuales!$E$30*(datos_base!$K$3+datos_base!$K$19+IF(parametros_manuales!$H$30="Todos",datos_base!$K$10+datos_base!$K$24,0))*parametros_manuales!$G$100+parametros_manuales!$F$30*(datos_base!$K$4+datos_base!$K$20+IF(parametros_manuales!$H$30="Todos",datos_base!$K$11+datos_base!$K$25,0))*parametros_manuales!$G$105+parametros_manuales!$G$30*(datos_base!$K$5+datos_base!$K$21+IF(parametros_manuales!$H$30="Todos",datos_base!$K$12+datos_base!$K$26,0))*parametros_manuales!$G$110)*parametros_manuales!$I$30*parametros_manuales!$J$30</f>
        <v>20324.943132325</v>
      </c>
      <c r="H256" s="9" t="n">
        <f aca="false">(parametros_manuales!$D$30*(datos_base!$K$2+datos_base!$K$18+IF(parametros_manuales!$H$30="Todos",datos_base!$K$9+datos_base!$K$23,0))*parametros_manuales!$H$95+parametros_manuales!$E$30*(datos_base!$K$3+datos_base!$K$19+IF(parametros_manuales!$H$30="Todos",datos_base!$K$10+datos_base!$K$24,0))*parametros_manuales!$H$100+parametros_manuales!$F$30*(datos_base!$K$4+datos_base!$K$20+IF(parametros_manuales!$H$30="Todos",datos_base!$K$11+datos_base!$K$25,0))*parametros_manuales!$H$105+parametros_manuales!$G$30*(datos_base!$K$5+datos_base!$K$21+IF(parametros_manuales!$H$30="Todos",datos_base!$K$12+datos_base!$K$26,0))*parametros_manuales!$H$110)*parametros_manuales!$I$30*parametros_manuales!$J$30</f>
        <v>21747.47955419</v>
      </c>
      <c r="I256" s="9" t="n">
        <f aca="false">(parametros_manuales!$D$30*(datos_base!$K$2+datos_base!$K$18+IF(parametros_manuales!$H$30="Todos",datos_base!$K$9+datos_base!$K$23,0))*parametros_manuales!$I$95+parametros_manuales!$E$30*(datos_base!$K$3+datos_base!$K$19+IF(parametros_manuales!$H$30="Todos",datos_base!$K$10+datos_base!$K$24,0))*parametros_manuales!$I$100+parametros_manuales!$F$30*(datos_base!$K$4+datos_base!$K$20+IF(parametros_manuales!$H$30="Todos",datos_base!$K$11+datos_base!$K$25,0))*parametros_manuales!$I$105+parametros_manuales!$G$30*(datos_base!$K$5+datos_base!$K$21+IF(parametros_manuales!$H$30="Todos",datos_base!$K$12+datos_base!$K$26,0))*parametros_manuales!$I$110)*parametros_manuales!$I$30*parametros_manuales!$J$30</f>
        <v>24786.78914114</v>
      </c>
      <c r="J256" s="9" t="n">
        <f aca="false">(parametros_manuales!$D$30*(datos_base!$K$2+datos_base!$K$18+IF(parametros_manuales!$H$30="Todos",datos_base!$K$9+datos_base!$K$23,0))*parametros_manuales!$J$95+parametros_manuales!$E$30*(datos_base!$K$3+datos_base!$K$19+IF(parametros_manuales!$H$30="Todos",datos_base!$K$10+datos_base!$K$24,0))*parametros_manuales!$J$100+parametros_manuales!$F$30*(datos_base!$K$4+datos_base!$K$20+IF(parametros_manuales!$H$30="Todos",datos_base!$K$11+datos_base!$K$25,0))*parametros_manuales!$J$105+parametros_manuales!$G$30*(datos_base!$K$5+datos_base!$K$21+IF(parametros_manuales!$H$30="Todos",datos_base!$K$12+datos_base!$K$26,0))*parametros_manuales!$J$110)*parametros_manuales!$I$30*parametros_manuales!$J$30</f>
        <v>24786.78914114</v>
      </c>
      <c r="K256" s="9" t="n">
        <f aca="false">(parametros_manuales!$D$30*(datos_base!$K$2+datos_base!$K$18+IF(parametros_manuales!$H$30="Todos",datos_base!$K$9+datos_base!$K$23,0))*parametros_manuales!$K$95+parametros_manuales!$E$30*(datos_base!$K$3+datos_base!$K$19+IF(parametros_manuales!$H$30="Todos",datos_base!$K$10+datos_base!$K$24,0))*parametros_manuales!$K$100+parametros_manuales!$F$30*(datos_base!$K$4+datos_base!$K$20+IF(parametros_manuales!$H$30="Todos",datos_base!$K$11+datos_base!$K$25,0))*parametros_manuales!$K$105+parametros_manuales!$G$30*(datos_base!$K$5+datos_base!$K$21+IF(parametros_manuales!$H$30="Todos",datos_base!$K$12+datos_base!$K$26,0))*parametros_manuales!$K$110)*parametros_manuales!$I$30*parametros_manuales!$J$30</f>
        <v>25196.222367355</v>
      </c>
      <c r="L256" s="9" t="n">
        <f aca="false">(parametros_manuales!$D$30*(datos_base!$K$2+datos_base!$K$18+IF(parametros_manuales!$H$30="Todos",datos_base!$K$9+datos_base!$K$23,0))*parametros_manuales!$L$95+parametros_manuales!$E$30*(datos_base!$K$3+datos_base!$K$19+IF(parametros_manuales!$H$30="Todos",datos_base!$K$10+datos_base!$K$24,0))*parametros_manuales!$L$100+parametros_manuales!$F$30*(datos_base!$K$4+datos_base!$K$20+IF(parametros_manuales!$H$30="Todos",datos_base!$K$11+datos_base!$K$25,0))*parametros_manuales!$L$105+parametros_manuales!$G$30*(datos_base!$K$5+datos_base!$K$21+IF(parametros_manuales!$H$30="Todos",datos_base!$K$12+datos_base!$K$26,0))*parametros_manuales!$L$110)*parametros_manuales!$I$30*parametros_manuales!$J$30</f>
        <v>25605.65559357</v>
      </c>
      <c r="M256" s="9" t="n">
        <f aca="false">(parametros_manuales!$D$30*(datos_base!$K$2+datos_base!$K$18+IF(parametros_manuales!$H$30="Todos",datos_base!$K$9+datos_base!$K$23,0))*parametros_manuales!$M$95+parametros_manuales!$E$30*(datos_base!$K$3+datos_base!$K$19+IF(parametros_manuales!$H$30="Todos",datos_base!$K$10+datos_base!$K$24,0))*parametros_manuales!$M$100+parametros_manuales!$F$30*(datos_base!$K$4+datos_base!$K$20+IF(parametros_manuales!$H$30="Todos",datos_base!$K$11+datos_base!$K$25,0))*parametros_manuales!$M$105+parametros_manuales!$G$30*(datos_base!$K$5+datos_base!$K$21+IF(parametros_manuales!$H$30="Todos",datos_base!$K$12+datos_base!$K$26,0))*parametros_manuales!$M$110)*parametros_manuales!$I$30*parametros_manuales!$J$30</f>
        <v>25605.65559357</v>
      </c>
      <c r="N256" s="9" t="n">
        <f aca="false">SUM(B256:M256)</f>
        <v>284507.284373</v>
      </c>
      <c r="O256" s="9" t="n">
        <f aca="false">MAX(B256:M256)</f>
        <v>25605.65559357</v>
      </c>
      <c r="P256" s="43" t="n">
        <f aca="false">O256/(parametros_manuales!$B$7)</f>
        <v>170.7043706238</v>
      </c>
      <c r="Q256" s="8" t="str">
        <f aca="false">IF(O256=0,"-",INDEX($B$244:$M$244,MATCH(O256,B256:M256,0)))</f>
        <v>Ene</v>
      </c>
    </row>
    <row r="257" customFormat="false" ht="14.25" hidden="false" customHeight="true" outlineLevel="0" collapsed="false">
      <c r="A257" s="8" t="str">
        <f aca="false">parametros_manuales!$B$31</f>
        <v>Control de calidad — Espesor</v>
      </c>
      <c r="B257" s="9" t="n">
        <f aca="false">(parametros_manuales!$D$31*(datos_base!$K$2+datos_base!$K$18+IF(parametros_manuales!$H$31="Todos",datos_base!$K$9+datos_base!$K$23,0))*parametros_manuales!$B$95+parametros_manuales!$E$31*(datos_base!$K$3+datos_base!$K$19+IF(parametros_manuales!$H$31="Todos",datos_base!$K$10+datos_base!$K$24,0))*parametros_manuales!$B$100+parametros_manuales!$F$31*(datos_base!$K$4+datos_base!$K$20+IF(parametros_manuales!$H$31="Todos",datos_base!$K$11+datos_base!$K$25,0))*parametros_manuales!$B$105+parametros_manuales!$G$31*(datos_base!$K$5+datos_base!$K$21+IF(parametros_manuales!$H$31="Todos",datos_base!$K$12+datos_base!$K$26,0))*parametros_manuales!$B$110)*parametros_manuales!$I$31*parametros_manuales!$J$31</f>
        <v>512.1131118714</v>
      </c>
      <c r="C257" s="9" t="n">
        <f aca="false">(parametros_manuales!$D$31*(datos_base!$K$2+datos_base!$K$18+IF(parametros_manuales!$H$31="Todos",datos_base!$K$9+datos_base!$K$23,0))*parametros_manuales!$C$95+parametros_manuales!$E$31*(datos_base!$K$3+datos_base!$K$19+IF(parametros_manuales!$H$31="Todos",datos_base!$K$10+datos_base!$K$24,0))*parametros_manuales!$C$100+parametros_manuales!$F$31*(datos_base!$K$4+datos_base!$K$20+IF(parametros_manuales!$H$31="Todos",datos_base!$K$11+datos_base!$K$25,0))*parametros_manuales!$C$105+parametros_manuales!$G$31*(datos_base!$K$5+datos_base!$K$21+IF(parametros_manuales!$H$31="Todos",datos_base!$K$12+datos_base!$K$26,0))*parametros_manuales!$C$110)*parametros_manuales!$I$31*parametros_manuales!$J$31</f>
        <v>495.7357828228</v>
      </c>
      <c r="D257" s="9" t="n">
        <f aca="false">(parametros_manuales!$D$31*(datos_base!$K$2+datos_base!$K$18+IF(parametros_manuales!$H$31="Todos",datos_base!$K$9+datos_base!$K$23,0))*parametros_manuales!$D$95+parametros_manuales!$E$31*(datos_base!$K$3+datos_base!$K$19+IF(parametros_manuales!$H$31="Todos",datos_base!$K$10+datos_base!$K$24,0))*parametros_manuales!$D$100+parametros_manuales!$F$31*(datos_base!$K$4+datos_base!$K$20+IF(parametros_manuales!$H$31="Todos",datos_base!$K$11+datos_base!$K$25,0))*parametros_manuales!$D$105+parametros_manuales!$G$31*(datos_base!$K$5+datos_base!$K$21+IF(parametros_manuales!$H$31="Todos",datos_base!$K$12+datos_base!$K$26,0))*parametros_manuales!$D$110)*parametros_manuales!$I$31*parametros_manuales!$J$31</f>
        <v>463.4003195211</v>
      </c>
      <c r="E257" s="9" t="n">
        <f aca="false">(parametros_manuales!$D$31*(datos_base!$K$2+datos_base!$K$18+IF(parametros_manuales!$H$31="Todos",datos_base!$K$9+datos_base!$K$23,0))*parametros_manuales!$E$95+parametros_manuales!$E$31*(datos_base!$K$3+datos_base!$K$19+IF(parametros_manuales!$H$31="Todos",datos_base!$K$10+datos_base!$K$24,0))*parametros_manuales!$E$100+parametros_manuales!$F$31*(datos_base!$K$4+datos_base!$K$20+IF(parametros_manuales!$H$31="Todos",datos_base!$K$11+datos_base!$K$25,0))*parametros_manuales!$E$105+parametros_manuales!$G$31*(datos_base!$K$5+datos_base!$K$21+IF(parametros_manuales!$H$31="Todos",datos_base!$K$12+datos_base!$K$26,0))*parametros_manuales!$E$110)*parametros_manuales!$I$31*parametros_manuales!$J$31</f>
        <v>443.1382556081</v>
      </c>
      <c r="F257" s="9" t="n">
        <f aca="false">(parametros_manuales!$D$31*(datos_base!$K$2+datos_base!$K$18+IF(parametros_manuales!$H$31="Todos",datos_base!$K$9+datos_base!$K$23,0))*parametros_manuales!$F$95+parametros_manuales!$E$31*(datos_base!$K$3+datos_base!$K$19+IF(parametros_manuales!$H$31="Todos",datos_base!$K$10+datos_base!$K$24,0))*parametros_manuales!$F$100+parametros_manuales!$F$31*(datos_base!$K$4+datos_base!$K$20+IF(parametros_manuales!$H$31="Todos",datos_base!$K$11+datos_base!$K$25,0))*parametros_manuales!$F$105+parametros_manuales!$G$31*(datos_base!$K$5+datos_base!$K$21+IF(parametros_manuales!$H$31="Todos",datos_base!$K$12+datos_base!$K$26,0))*parametros_manuales!$F$110)*parametros_manuales!$I$31*parametros_manuales!$J$31</f>
        <v>414.6875271708</v>
      </c>
      <c r="G257" s="9" t="n">
        <f aca="false">(parametros_manuales!$D$31*(datos_base!$K$2+datos_base!$K$18+IF(parametros_manuales!$H$31="Todos",datos_base!$K$9+datos_base!$K$23,0))*parametros_manuales!$G$95+parametros_manuales!$E$31*(datos_base!$K$3+datos_base!$K$19+IF(parametros_manuales!$H$31="Todos",datos_base!$K$10+datos_base!$K$24,0))*parametros_manuales!$G$100+parametros_manuales!$F$31*(datos_base!$K$4+datos_base!$K$20+IF(parametros_manuales!$H$31="Todos",datos_base!$K$11+datos_base!$K$25,0))*parametros_manuales!$G$105+parametros_manuales!$G$31*(datos_base!$K$5+datos_base!$K$21+IF(parametros_manuales!$H$31="Todos",datos_base!$K$12+datos_base!$K$26,0))*parametros_manuales!$G$110)*parametros_manuales!$I$31*parametros_manuales!$J$31</f>
        <v>406.4988626465</v>
      </c>
      <c r="H257" s="9" t="n">
        <f aca="false">(parametros_manuales!$D$31*(datos_base!$K$2+datos_base!$K$18+IF(parametros_manuales!$H$31="Todos",datos_base!$K$9+datos_base!$K$23,0))*parametros_manuales!$H$95+parametros_manuales!$E$31*(datos_base!$K$3+datos_base!$K$19+IF(parametros_manuales!$H$31="Todos",datos_base!$K$10+datos_base!$K$24,0))*parametros_manuales!$H$100+parametros_manuales!$F$31*(datos_base!$K$4+datos_base!$K$20+IF(parametros_manuales!$H$31="Todos",datos_base!$K$11+datos_base!$K$25,0))*parametros_manuales!$H$105+parametros_manuales!$G$31*(datos_base!$K$5+datos_base!$K$21+IF(parametros_manuales!$H$31="Todos",datos_base!$K$12+datos_base!$K$26,0))*parametros_manuales!$H$110)*parametros_manuales!$I$31*parametros_manuales!$J$31</f>
        <v>434.9495910838</v>
      </c>
      <c r="I257" s="9" t="n">
        <f aca="false">(parametros_manuales!$D$31*(datos_base!$K$2+datos_base!$K$18+IF(parametros_manuales!$H$31="Todos",datos_base!$K$9+datos_base!$K$23,0))*parametros_manuales!$I$95+parametros_manuales!$E$31*(datos_base!$K$3+datos_base!$K$19+IF(parametros_manuales!$H$31="Todos",datos_base!$K$10+datos_base!$K$24,0))*parametros_manuales!$I$100+parametros_manuales!$F$31*(datos_base!$K$4+datos_base!$K$20+IF(parametros_manuales!$H$31="Todos",datos_base!$K$11+datos_base!$K$25,0))*parametros_manuales!$I$105+parametros_manuales!$G$31*(datos_base!$K$5+datos_base!$K$21+IF(parametros_manuales!$H$31="Todos",datos_base!$K$12+datos_base!$K$26,0))*parametros_manuales!$I$110)*parametros_manuales!$I$31*parametros_manuales!$J$31</f>
        <v>495.7357828228</v>
      </c>
      <c r="J257" s="9" t="n">
        <f aca="false">(parametros_manuales!$D$31*(datos_base!$K$2+datos_base!$K$18+IF(parametros_manuales!$H$31="Todos",datos_base!$K$9+datos_base!$K$23,0))*parametros_manuales!$J$95+parametros_manuales!$E$31*(datos_base!$K$3+datos_base!$K$19+IF(parametros_manuales!$H$31="Todos",datos_base!$K$10+datos_base!$K$24,0))*parametros_manuales!$J$100+parametros_manuales!$F$31*(datos_base!$K$4+datos_base!$K$20+IF(parametros_manuales!$H$31="Todos",datos_base!$K$11+datos_base!$K$25,0))*parametros_manuales!$J$105+parametros_manuales!$G$31*(datos_base!$K$5+datos_base!$K$21+IF(parametros_manuales!$H$31="Todos",datos_base!$K$12+datos_base!$K$26,0))*parametros_manuales!$J$110)*parametros_manuales!$I$31*parametros_manuales!$J$31</f>
        <v>495.7357828228</v>
      </c>
      <c r="K257" s="9" t="n">
        <f aca="false">(parametros_manuales!$D$31*(datos_base!$K$2+datos_base!$K$18+IF(parametros_manuales!$H$31="Todos",datos_base!$K$9+datos_base!$K$23,0))*parametros_manuales!$K$95+parametros_manuales!$E$31*(datos_base!$K$3+datos_base!$K$19+IF(parametros_manuales!$H$31="Todos",datos_base!$K$10+datos_base!$K$24,0))*parametros_manuales!$K$100+parametros_manuales!$F$31*(datos_base!$K$4+datos_base!$K$20+IF(parametros_manuales!$H$31="Todos",datos_base!$K$11+datos_base!$K$25,0))*parametros_manuales!$K$105+parametros_manuales!$G$31*(datos_base!$K$5+datos_base!$K$21+IF(parametros_manuales!$H$31="Todos",datos_base!$K$12+datos_base!$K$26,0))*parametros_manuales!$K$110)*parametros_manuales!$I$31*parametros_manuales!$J$31</f>
        <v>503.9244473471</v>
      </c>
      <c r="L257" s="9" t="n">
        <f aca="false">(parametros_manuales!$D$31*(datos_base!$K$2+datos_base!$K$18+IF(parametros_manuales!$H$31="Todos",datos_base!$K$9+datos_base!$K$23,0))*parametros_manuales!$L$95+parametros_manuales!$E$31*(datos_base!$K$3+datos_base!$K$19+IF(parametros_manuales!$H$31="Todos",datos_base!$K$10+datos_base!$K$24,0))*parametros_manuales!$L$100+parametros_manuales!$F$31*(datos_base!$K$4+datos_base!$K$20+IF(parametros_manuales!$H$31="Todos",datos_base!$K$11+datos_base!$K$25,0))*parametros_manuales!$L$105+parametros_manuales!$G$31*(datos_base!$K$5+datos_base!$K$21+IF(parametros_manuales!$H$31="Todos",datos_base!$K$12+datos_base!$K$26,0))*parametros_manuales!$L$110)*parametros_manuales!$I$31*parametros_manuales!$J$31</f>
        <v>512.1131118714</v>
      </c>
      <c r="M257" s="9" t="n">
        <f aca="false">(parametros_manuales!$D$31*(datos_base!$K$2+datos_base!$K$18+IF(parametros_manuales!$H$31="Todos",datos_base!$K$9+datos_base!$K$23,0))*parametros_manuales!$M$95+parametros_manuales!$E$31*(datos_base!$K$3+datos_base!$K$19+IF(parametros_manuales!$H$31="Todos",datos_base!$K$10+datos_base!$K$24,0))*parametros_manuales!$M$100+parametros_manuales!$F$31*(datos_base!$K$4+datos_base!$K$20+IF(parametros_manuales!$H$31="Todos",datos_base!$K$11+datos_base!$K$25,0))*parametros_manuales!$M$105+parametros_manuales!$G$31*(datos_base!$K$5+datos_base!$K$21+IF(parametros_manuales!$H$31="Todos",datos_base!$K$12+datos_base!$K$26,0))*parametros_manuales!$M$110)*parametros_manuales!$I$31*parametros_manuales!$J$31</f>
        <v>512.1131118714</v>
      </c>
      <c r="N257" s="9" t="n">
        <f aca="false">SUM(B257:M257)</f>
        <v>5690.14568746</v>
      </c>
      <c r="O257" s="9" t="n">
        <f aca="false">MAX(B257:M257)</f>
        <v>512.1131118714</v>
      </c>
      <c r="P257" s="43" t="n">
        <f aca="false">O257/(parametros_manuales!$B$7)</f>
        <v>3.414087412476</v>
      </c>
      <c r="Q257" s="8" t="str">
        <f aca="false">IF(O257=0,"-",INDEX($B$244:$M$244,MATCH(O257,B257:M257,0)))</f>
        <v>Ene</v>
      </c>
    </row>
    <row r="258" customFormat="false" ht="14.25" hidden="false" customHeight="true" outlineLevel="0" collapsed="false">
      <c r="A258" s="8" t="str">
        <f aca="false">parametros_manuales!$B$32</f>
        <v>Prueba hidráulica</v>
      </c>
      <c r="B258" s="9" t="n">
        <f aca="false">(parametros_manuales!$D$32*(datos_base!$K$2+datos_base!$K$18+IF(parametros_manuales!$H$32="Todos",datos_base!$K$9+datos_base!$K$23,0))*parametros_manuales!$B$95+parametros_manuales!$E$32*(datos_base!$K$3+datos_base!$K$19+IF(parametros_manuales!$H$32="Todos",datos_base!$K$10+datos_base!$K$24,0))*parametros_manuales!$B$100+parametros_manuales!$F$32*(datos_base!$K$4+datos_base!$K$20+IF(parametros_manuales!$H$32="Todos",datos_base!$K$11+datos_base!$K$25,0))*parametros_manuales!$B$105+parametros_manuales!$G$32*(datos_base!$K$5+datos_base!$K$21+IF(parametros_manuales!$H$32="Todos",datos_base!$K$12+datos_base!$K$26,0))*parametros_manuales!$B$110)*parametros_manuales!$I$32*parametros_manuales!$J$32</f>
        <v>25605.65559357</v>
      </c>
      <c r="C258" s="9" t="n">
        <f aca="false">(parametros_manuales!$D$32*(datos_base!$K$2+datos_base!$K$18+IF(parametros_manuales!$H$32="Todos",datos_base!$K$9+datos_base!$K$23,0))*parametros_manuales!$C$95+parametros_manuales!$E$32*(datos_base!$K$3+datos_base!$K$19+IF(parametros_manuales!$H$32="Todos",datos_base!$K$10+datos_base!$K$24,0))*parametros_manuales!$C$100+parametros_manuales!$F$32*(datos_base!$K$4+datos_base!$K$20+IF(parametros_manuales!$H$32="Todos",datos_base!$K$11+datos_base!$K$25,0))*parametros_manuales!$C$105+parametros_manuales!$G$32*(datos_base!$K$5+datos_base!$K$21+IF(parametros_manuales!$H$32="Todos",datos_base!$K$12+datos_base!$K$26,0))*parametros_manuales!$C$110)*parametros_manuales!$I$32*parametros_manuales!$J$32</f>
        <v>24786.78914114</v>
      </c>
      <c r="D258" s="9" t="n">
        <f aca="false">(parametros_manuales!$D$32*(datos_base!$K$2+datos_base!$K$18+IF(parametros_manuales!$H$32="Todos",datos_base!$K$9+datos_base!$K$23,0))*parametros_manuales!$D$95+parametros_manuales!$E$32*(datos_base!$K$3+datos_base!$K$19+IF(parametros_manuales!$H$32="Todos",datos_base!$K$10+datos_base!$K$24,0))*parametros_manuales!$D$100+parametros_manuales!$F$32*(datos_base!$K$4+datos_base!$K$20+IF(parametros_manuales!$H$32="Todos",datos_base!$K$11+datos_base!$K$25,0))*parametros_manuales!$D$105+parametros_manuales!$G$32*(datos_base!$K$5+datos_base!$K$21+IF(parametros_manuales!$H$32="Todos",datos_base!$K$12+datos_base!$K$26,0))*parametros_manuales!$D$110)*parametros_manuales!$I$32*parametros_manuales!$J$32</f>
        <v>23170.015976055</v>
      </c>
      <c r="E258" s="9" t="n">
        <f aca="false">(parametros_manuales!$D$32*(datos_base!$K$2+datos_base!$K$18+IF(parametros_manuales!$H$32="Todos",datos_base!$K$9+datos_base!$K$23,0))*parametros_manuales!$E$95+parametros_manuales!$E$32*(datos_base!$K$3+datos_base!$K$19+IF(parametros_manuales!$H$32="Todos",datos_base!$K$10+datos_base!$K$24,0))*parametros_manuales!$E$100+parametros_manuales!$F$32*(datos_base!$K$4+datos_base!$K$20+IF(parametros_manuales!$H$32="Todos",datos_base!$K$11+datos_base!$K$25,0))*parametros_manuales!$E$105+parametros_manuales!$G$32*(datos_base!$K$5+datos_base!$K$21+IF(parametros_manuales!$H$32="Todos",datos_base!$K$12+datos_base!$K$26,0))*parametros_manuales!$E$110)*parametros_manuales!$I$32*parametros_manuales!$J$32</f>
        <v>22156.912780405</v>
      </c>
      <c r="F258" s="9" t="n">
        <f aca="false">(parametros_manuales!$D$32*(datos_base!$K$2+datos_base!$K$18+IF(parametros_manuales!$H$32="Todos",datos_base!$K$9+datos_base!$K$23,0))*parametros_manuales!$F$95+parametros_manuales!$E$32*(datos_base!$K$3+datos_base!$K$19+IF(parametros_manuales!$H$32="Todos",datos_base!$K$10+datos_base!$K$24,0))*parametros_manuales!$F$100+parametros_manuales!$F$32*(datos_base!$K$4+datos_base!$K$20+IF(parametros_manuales!$H$32="Todos",datos_base!$K$11+datos_base!$K$25,0))*parametros_manuales!$F$105+parametros_manuales!$G$32*(datos_base!$K$5+datos_base!$K$21+IF(parametros_manuales!$H$32="Todos",datos_base!$K$12+datos_base!$K$26,0))*parametros_manuales!$F$110)*parametros_manuales!$I$32*parametros_manuales!$J$32</f>
        <v>20734.37635854</v>
      </c>
      <c r="G258" s="9" t="n">
        <f aca="false">(parametros_manuales!$D$32*(datos_base!$K$2+datos_base!$K$18+IF(parametros_manuales!$H$32="Todos",datos_base!$K$9+datos_base!$K$23,0))*parametros_manuales!$G$95+parametros_manuales!$E$32*(datos_base!$K$3+datos_base!$K$19+IF(parametros_manuales!$H$32="Todos",datos_base!$K$10+datos_base!$K$24,0))*parametros_manuales!$G$100+parametros_manuales!$F$32*(datos_base!$K$4+datos_base!$K$20+IF(parametros_manuales!$H$32="Todos",datos_base!$K$11+datos_base!$K$25,0))*parametros_manuales!$G$105+parametros_manuales!$G$32*(datos_base!$K$5+datos_base!$K$21+IF(parametros_manuales!$H$32="Todos",datos_base!$K$12+datos_base!$K$26,0))*parametros_manuales!$G$110)*parametros_manuales!$I$32*parametros_manuales!$J$32</f>
        <v>20324.943132325</v>
      </c>
      <c r="H258" s="9" t="n">
        <f aca="false">(parametros_manuales!$D$32*(datos_base!$K$2+datos_base!$K$18+IF(parametros_manuales!$H$32="Todos",datos_base!$K$9+datos_base!$K$23,0))*parametros_manuales!$H$95+parametros_manuales!$E$32*(datos_base!$K$3+datos_base!$K$19+IF(parametros_manuales!$H$32="Todos",datos_base!$K$10+datos_base!$K$24,0))*parametros_manuales!$H$100+parametros_manuales!$F$32*(datos_base!$K$4+datos_base!$K$20+IF(parametros_manuales!$H$32="Todos",datos_base!$K$11+datos_base!$K$25,0))*parametros_manuales!$H$105+parametros_manuales!$G$32*(datos_base!$K$5+datos_base!$K$21+IF(parametros_manuales!$H$32="Todos",datos_base!$K$12+datos_base!$K$26,0))*parametros_manuales!$H$110)*parametros_manuales!$I$32*parametros_manuales!$J$32</f>
        <v>21747.47955419</v>
      </c>
      <c r="I258" s="9" t="n">
        <f aca="false">(parametros_manuales!$D$32*(datos_base!$K$2+datos_base!$K$18+IF(parametros_manuales!$H$32="Todos",datos_base!$K$9+datos_base!$K$23,0))*parametros_manuales!$I$95+parametros_manuales!$E$32*(datos_base!$K$3+datos_base!$K$19+IF(parametros_manuales!$H$32="Todos",datos_base!$K$10+datos_base!$K$24,0))*parametros_manuales!$I$100+parametros_manuales!$F$32*(datos_base!$K$4+datos_base!$K$20+IF(parametros_manuales!$H$32="Todos",datos_base!$K$11+datos_base!$K$25,0))*parametros_manuales!$I$105+parametros_manuales!$G$32*(datos_base!$K$5+datos_base!$K$21+IF(parametros_manuales!$H$32="Todos",datos_base!$K$12+datos_base!$K$26,0))*parametros_manuales!$I$110)*parametros_manuales!$I$32*parametros_manuales!$J$32</f>
        <v>24786.78914114</v>
      </c>
      <c r="J258" s="9" t="n">
        <f aca="false">(parametros_manuales!$D$32*(datos_base!$K$2+datos_base!$K$18+IF(parametros_manuales!$H$32="Todos",datos_base!$K$9+datos_base!$K$23,0))*parametros_manuales!$J$95+parametros_manuales!$E$32*(datos_base!$K$3+datos_base!$K$19+IF(parametros_manuales!$H$32="Todos",datos_base!$K$10+datos_base!$K$24,0))*parametros_manuales!$J$100+parametros_manuales!$F$32*(datos_base!$K$4+datos_base!$K$20+IF(parametros_manuales!$H$32="Todos",datos_base!$K$11+datos_base!$K$25,0))*parametros_manuales!$J$105+parametros_manuales!$G$32*(datos_base!$K$5+datos_base!$K$21+IF(parametros_manuales!$H$32="Todos",datos_base!$K$12+datos_base!$K$26,0))*parametros_manuales!$J$110)*parametros_manuales!$I$32*parametros_manuales!$J$32</f>
        <v>24786.78914114</v>
      </c>
      <c r="K258" s="9" t="n">
        <f aca="false">(parametros_manuales!$D$32*(datos_base!$K$2+datos_base!$K$18+IF(parametros_manuales!$H$32="Todos",datos_base!$K$9+datos_base!$K$23,0))*parametros_manuales!$K$95+parametros_manuales!$E$32*(datos_base!$K$3+datos_base!$K$19+IF(parametros_manuales!$H$32="Todos",datos_base!$K$10+datos_base!$K$24,0))*parametros_manuales!$K$100+parametros_manuales!$F$32*(datos_base!$K$4+datos_base!$K$20+IF(parametros_manuales!$H$32="Todos",datos_base!$K$11+datos_base!$K$25,0))*parametros_manuales!$K$105+parametros_manuales!$G$32*(datos_base!$K$5+datos_base!$K$21+IF(parametros_manuales!$H$32="Todos",datos_base!$K$12+datos_base!$K$26,0))*parametros_manuales!$K$110)*parametros_manuales!$I$32*parametros_manuales!$J$32</f>
        <v>25196.222367355</v>
      </c>
      <c r="L258" s="9" t="n">
        <f aca="false">(parametros_manuales!$D$32*(datos_base!$K$2+datos_base!$K$18+IF(parametros_manuales!$H$32="Todos",datos_base!$K$9+datos_base!$K$23,0))*parametros_manuales!$L$95+parametros_manuales!$E$32*(datos_base!$K$3+datos_base!$K$19+IF(parametros_manuales!$H$32="Todos",datos_base!$K$10+datos_base!$K$24,0))*parametros_manuales!$L$100+parametros_manuales!$F$32*(datos_base!$K$4+datos_base!$K$20+IF(parametros_manuales!$H$32="Todos",datos_base!$K$11+datos_base!$K$25,0))*parametros_manuales!$L$105+parametros_manuales!$G$32*(datos_base!$K$5+datos_base!$K$21+IF(parametros_manuales!$H$32="Todos",datos_base!$K$12+datos_base!$K$26,0))*parametros_manuales!$L$110)*parametros_manuales!$I$32*parametros_manuales!$J$32</f>
        <v>25605.65559357</v>
      </c>
      <c r="M258" s="9" t="n">
        <f aca="false">(parametros_manuales!$D$32*(datos_base!$K$2+datos_base!$K$18+IF(parametros_manuales!$H$32="Todos",datos_base!$K$9+datos_base!$K$23,0))*parametros_manuales!$M$95+parametros_manuales!$E$32*(datos_base!$K$3+datos_base!$K$19+IF(parametros_manuales!$H$32="Todos",datos_base!$K$10+datos_base!$K$24,0))*parametros_manuales!$M$100+parametros_manuales!$F$32*(datos_base!$K$4+datos_base!$K$20+IF(parametros_manuales!$H$32="Todos",datos_base!$K$11+datos_base!$K$25,0))*parametros_manuales!$M$105+parametros_manuales!$G$32*(datos_base!$K$5+datos_base!$K$21+IF(parametros_manuales!$H$32="Todos",datos_base!$K$12+datos_base!$K$26,0))*parametros_manuales!$M$110)*parametros_manuales!$I$32*parametros_manuales!$J$32</f>
        <v>25605.65559357</v>
      </c>
      <c r="N258" s="9" t="n">
        <f aca="false">SUM(B258:M258)</f>
        <v>284507.284373</v>
      </c>
      <c r="O258" s="9" t="n">
        <f aca="false">MAX(B258:M258)</f>
        <v>25605.65559357</v>
      </c>
      <c r="P258" s="43" t="n">
        <f aca="false">O258/(parametros_manuales!$B$7)</f>
        <v>170.7043706238</v>
      </c>
      <c r="Q258" s="8" t="str">
        <f aca="false">IF(O258=0,"-",INDEX($B$244:$M$244,MATCH(O258,B258:M258,0)))</f>
        <v>Ene</v>
      </c>
    </row>
    <row r="259" customFormat="false" ht="14.25" hidden="false" customHeight="true" outlineLevel="0" collapsed="false">
      <c r="A259" s="8" t="str">
        <f aca="false">parametros_manuales!$B$33</f>
        <v>Secado</v>
      </c>
      <c r="B259" s="9" t="n">
        <f aca="false">(parametros_manuales!$D$33*(datos_base!$K$2+datos_base!$K$18+IF(parametros_manuales!$H$33="Todos",datos_base!$K$9+datos_base!$K$23,0))*parametros_manuales!$B$95+parametros_manuales!$E$33*(datos_base!$K$3+datos_base!$K$19+IF(parametros_manuales!$H$33="Todos",datos_base!$K$10+datos_base!$K$24,0))*parametros_manuales!$B$100+parametros_manuales!$F$33*(datos_base!$K$4+datos_base!$K$20+IF(parametros_manuales!$H$33="Todos",datos_base!$K$11+datos_base!$K$25,0))*parametros_manuales!$B$105+parametros_manuales!$G$33*(datos_base!$K$5+datos_base!$K$21+IF(parametros_manuales!$H$33="Todos",datos_base!$K$12+datos_base!$K$26,0))*parametros_manuales!$B$110)*parametros_manuales!$I$33*parametros_manuales!$J$33</f>
        <v>25605.65559357</v>
      </c>
      <c r="C259" s="9" t="n">
        <f aca="false">(parametros_manuales!$D$33*(datos_base!$K$2+datos_base!$K$18+IF(parametros_manuales!$H$33="Todos",datos_base!$K$9+datos_base!$K$23,0))*parametros_manuales!$C$95+parametros_manuales!$E$33*(datos_base!$K$3+datos_base!$K$19+IF(parametros_manuales!$H$33="Todos",datos_base!$K$10+datos_base!$K$24,0))*parametros_manuales!$C$100+parametros_manuales!$F$33*(datos_base!$K$4+datos_base!$K$20+IF(parametros_manuales!$H$33="Todos",datos_base!$K$11+datos_base!$K$25,0))*parametros_manuales!$C$105+parametros_manuales!$G$33*(datos_base!$K$5+datos_base!$K$21+IF(parametros_manuales!$H$33="Todos",datos_base!$K$12+datos_base!$K$26,0))*parametros_manuales!$C$110)*parametros_manuales!$I$33*parametros_manuales!$J$33</f>
        <v>24786.78914114</v>
      </c>
      <c r="D259" s="9" t="n">
        <f aca="false">(parametros_manuales!$D$33*(datos_base!$K$2+datos_base!$K$18+IF(parametros_manuales!$H$33="Todos",datos_base!$K$9+datos_base!$K$23,0))*parametros_manuales!$D$95+parametros_manuales!$E$33*(datos_base!$K$3+datos_base!$K$19+IF(parametros_manuales!$H$33="Todos",datos_base!$K$10+datos_base!$K$24,0))*parametros_manuales!$D$100+parametros_manuales!$F$33*(datos_base!$K$4+datos_base!$K$20+IF(parametros_manuales!$H$33="Todos",datos_base!$K$11+datos_base!$K$25,0))*parametros_manuales!$D$105+parametros_manuales!$G$33*(datos_base!$K$5+datos_base!$K$21+IF(parametros_manuales!$H$33="Todos",datos_base!$K$12+datos_base!$K$26,0))*parametros_manuales!$D$110)*parametros_manuales!$I$33*parametros_manuales!$J$33</f>
        <v>23170.015976055</v>
      </c>
      <c r="E259" s="9" t="n">
        <f aca="false">(parametros_manuales!$D$33*(datos_base!$K$2+datos_base!$K$18+IF(parametros_manuales!$H$33="Todos",datos_base!$K$9+datos_base!$K$23,0))*parametros_manuales!$E$95+parametros_manuales!$E$33*(datos_base!$K$3+datos_base!$K$19+IF(parametros_manuales!$H$33="Todos",datos_base!$K$10+datos_base!$K$24,0))*parametros_manuales!$E$100+parametros_manuales!$F$33*(datos_base!$K$4+datos_base!$K$20+IF(parametros_manuales!$H$33="Todos",datos_base!$K$11+datos_base!$K$25,0))*parametros_manuales!$E$105+parametros_manuales!$G$33*(datos_base!$K$5+datos_base!$K$21+IF(parametros_manuales!$H$33="Todos",datos_base!$K$12+datos_base!$K$26,0))*parametros_manuales!$E$110)*parametros_manuales!$I$33*parametros_manuales!$J$33</f>
        <v>22156.912780405</v>
      </c>
      <c r="F259" s="9" t="n">
        <f aca="false">(parametros_manuales!$D$33*(datos_base!$K$2+datos_base!$K$18+IF(parametros_manuales!$H$33="Todos",datos_base!$K$9+datos_base!$K$23,0))*parametros_manuales!$F$95+parametros_manuales!$E$33*(datos_base!$K$3+datos_base!$K$19+IF(parametros_manuales!$H$33="Todos",datos_base!$K$10+datos_base!$K$24,0))*parametros_manuales!$F$100+parametros_manuales!$F$33*(datos_base!$K$4+datos_base!$K$20+IF(parametros_manuales!$H$33="Todos",datos_base!$K$11+datos_base!$K$25,0))*parametros_manuales!$F$105+parametros_manuales!$G$33*(datos_base!$K$5+datos_base!$K$21+IF(parametros_manuales!$H$33="Todos",datos_base!$K$12+datos_base!$K$26,0))*parametros_manuales!$F$110)*parametros_manuales!$I$33*parametros_manuales!$J$33</f>
        <v>20734.37635854</v>
      </c>
      <c r="G259" s="9" t="n">
        <f aca="false">(parametros_manuales!$D$33*(datos_base!$K$2+datos_base!$K$18+IF(parametros_manuales!$H$33="Todos",datos_base!$K$9+datos_base!$K$23,0))*parametros_manuales!$G$95+parametros_manuales!$E$33*(datos_base!$K$3+datos_base!$K$19+IF(parametros_manuales!$H$33="Todos",datos_base!$K$10+datos_base!$K$24,0))*parametros_manuales!$G$100+parametros_manuales!$F$33*(datos_base!$K$4+datos_base!$K$20+IF(parametros_manuales!$H$33="Todos",datos_base!$K$11+datos_base!$K$25,0))*parametros_manuales!$G$105+parametros_manuales!$G$33*(datos_base!$K$5+datos_base!$K$21+IF(parametros_manuales!$H$33="Todos",datos_base!$K$12+datos_base!$K$26,0))*parametros_manuales!$G$110)*parametros_manuales!$I$33*parametros_manuales!$J$33</f>
        <v>20324.943132325</v>
      </c>
      <c r="H259" s="9" t="n">
        <f aca="false">(parametros_manuales!$D$33*(datos_base!$K$2+datos_base!$K$18+IF(parametros_manuales!$H$33="Todos",datos_base!$K$9+datos_base!$K$23,0))*parametros_manuales!$H$95+parametros_manuales!$E$33*(datos_base!$K$3+datos_base!$K$19+IF(parametros_manuales!$H$33="Todos",datos_base!$K$10+datos_base!$K$24,0))*parametros_manuales!$H$100+parametros_manuales!$F$33*(datos_base!$K$4+datos_base!$K$20+IF(parametros_manuales!$H$33="Todos",datos_base!$K$11+datos_base!$K$25,0))*parametros_manuales!$H$105+parametros_manuales!$G$33*(datos_base!$K$5+datos_base!$K$21+IF(parametros_manuales!$H$33="Todos",datos_base!$K$12+datos_base!$K$26,0))*parametros_manuales!$H$110)*parametros_manuales!$I$33*parametros_manuales!$J$33</f>
        <v>21747.47955419</v>
      </c>
      <c r="I259" s="9" t="n">
        <f aca="false">(parametros_manuales!$D$33*(datos_base!$K$2+datos_base!$K$18+IF(parametros_manuales!$H$33="Todos",datos_base!$K$9+datos_base!$K$23,0))*parametros_manuales!$I$95+parametros_manuales!$E$33*(datos_base!$K$3+datos_base!$K$19+IF(parametros_manuales!$H$33="Todos",datos_base!$K$10+datos_base!$K$24,0))*parametros_manuales!$I$100+parametros_manuales!$F$33*(datos_base!$K$4+datos_base!$K$20+IF(parametros_manuales!$H$33="Todos",datos_base!$K$11+datos_base!$K$25,0))*parametros_manuales!$I$105+parametros_manuales!$G$33*(datos_base!$K$5+datos_base!$K$21+IF(parametros_manuales!$H$33="Todos",datos_base!$K$12+datos_base!$K$26,0))*parametros_manuales!$I$110)*parametros_manuales!$I$33*parametros_manuales!$J$33</f>
        <v>24786.78914114</v>
      </c>
      <c r="J259" s="9" t="n">
        <f aca="false">(parametros_manuales!$D$33*(datos_base!$K$2+datos_base!$K$18+IF(parametros_manuales!$H$33="Todos",datos_base!$K$9+datos_base!$K$23,0))*parametros_manuales!$J$95+parametros_manuales!$E$33*(datos_base!$K$3+datos_base!$K$19+IF(parametros_manuales!$H$33="Todos",datos_base!$K$10+datos_base!$K$24,0))*parametros_manuales!$J$100+parametros_manuales!$F$33*(datos_base!$K$4+datos_base!$K$20+IF(parametros_manuales!$H$33="Todos",datos_base!$K$11+datos_base!$K$25,0))*parametros_manuales!$J$105+parametros_manuales!$G$33*(datos_base!$K$5+datos_base!$K$21+IF(parametros_manuales!$H$33="Todos",datos_base!$K$12+datos_base!$K$26,0))*parametros_manuales!$J$110)*parametros_manuales!$I$33*parametros_manuales!$J$33</f>
        <v>24786.78914114</v>
      </c>
      <c r="K259" s="9" t="n">
        <f aca="false">(parametros_manuales!$D$33*(datos_base!$K$2+datos_base!$K$18+IF(parametros_manuales!$H$33="Todos",datos_base!$K$9+datos_base!$K$23,0))*parametros_manuales!$K$95+parametros_manuales!$E$33*(datos_base!$K$3+datos_base!$K$19+IF(parametros_manuales!$H$33="Todos",datos_base!$K$10+datos_base!$K$24,0))*parametros_manuales!$K$100+parametros_manuales!$F$33*(datos_base!$K$4+datos_base!$K$20+IF(parametros_manuales!$H$33="Todos",datos_base!$K$11+datos_base!$K$25,0))*parametros_manuales!$K$105+parametros_manuales!$G$33*(datos_base!$K$5+datos_base!$K$21+IF(parametros_manuales!$H$33="Todos",datos_base!$K$12+datos_base!$K$26,0))*parametros_manuales!$K$110)*parametros_manuales!$I$33*parametros_manuales!$J$33</f>
        <v>25196.222367355</v>
      </c>
      <c r="L259" s="9" t="n">
        <f aca="false">(parametros_manuales!$D$33*(datos_base!$K$2+datos_base!$K$18+IF(parametros_manuales!$H$33="Todos",datos_base!$K$9+datos_base!$K$23,0))*parametros_manuales!$L$95+parametros_manuales!$E$33*(datos_base!$K$3+datos_base!$K$19+IF(parametros_manuales!$H$33="Todos",datos_base!$K$10+datos_base!$K$24,0))*parametros_manuales!$L$100+parametros_manuales!$F$33*(datos_base!$K$4+datos_base!$K$20+IF(parametros_manuales!$H$33="Todos",datos_base!$K$11+datos_base!$K$25,0))*parametros_manuales!$L$105+parametros_manuales!$G$33*(datos_base!$K$5+datos_base!$K$21+IF(parametros_manuales!$H$33="Todos",datos_base!$K$12+datos_base!$K$26,0))*parametros_manuales!$L$110)*parametros_manuales!$I$33*parametros_manuales!$J$33</f>
        <v>25605.65559357</v>
      </c>
      <c r="M259" s="9" t="n">
        <f aca="false">(parametros_manuales!$D$33*(datos_base!$K$2+datos_base!$K$18+IF(parametros_manuales!$H$33="Todos",datos_base!$K$9+datos_base!$K$23,0))*parametros_manuales!$M$95+parametros_manuales!$E$33*(datos_base!$K$3+datos_base!$K$19+IF(parametros_manuales!$H$33="Todos",datos_base!$K$10+datos_base!$K$24,0))*parametros_manuales!$M$100+parametros_manuales!$F$33*(datos_base!$K$4+datos_base!$K$20+IF(parametros_manuales!$H$33="Todos",datos_base!$K$11+datos_base!$K$25,0))*parametros_manuales!$M$105+parametros_manuales!$G$33*(datos_base!$K$5+datos_base!$K$21+IF(parametros_manuales!$H$33="Todos",datos_base!$K$12+datos_base!$K$26,0))*parametros_manuales!$M$110)*parametros_manuales!$I$33*parametros_manuales!$J$33</f>
        <v>25605.65559357</v>
      </c>
      <c r="N259" s="9" t="n">
        <f aca="false">SUM(B259:M259)</f>
        <v>284507.284373</v>
      </c>
      <c r="O259" s="9" t="n">
        <f aca="false">MAX(B259:M259)</f>
        <v>25605.65559357</v>
      </c>
      <c r="P259" s="43" t="n">
        <f aca="false">O259/(parametros_manuales!$B$7)</f>
        <v>170.7043706238</v>
      </c>
      <c r="Q259" s="8" t="str">
        <f aca="false">IF(O259=0,"-",INDEX($B$244:$M$244,MATCH(O259,B259:M259,0)))</f>
        <v>Ene</v>
      </c>
    </row>
    <row r="260" customFormat="false" ht="14.25" hidden="false" customHeight="true" outlineLevel="0" collapsed="false">
      <c r="A260" s="8" t="str">
        <f aca="false">parametros_manuales!$B$34</f>
        <v>Granallado</v>
      </c>
      <c r="B260" s="9" t="n">
        <f aca="false">(parametros_manuales!$D$34*(datos_base!$K$2+datos_base!$K$18+IF(parametros_manuales!$H$34="Todos",datos_base!$K$9+datos_base!$K$23,0))*parametros_manuales!$B$95+parametros_manuales!$E$34*(datos_base!$K$3+datos_base!$K$19+IF(parametros_manuales!$H$34="Todos",datos_base!$K$10+datos_base!$K$24,0))*parametros_manuales!$B$100+parametros_manuales!$F$34*(datos_base!$K$4+datos_base!$K$20+IF(parametros_manuales!$H$34="Todos",datos_base!$K$11+datos_base!$K$25,0))*parametros_manuales!$B$105+parametros_manuales!$G$34*(datos_base!$K$5+datos_base!$K$21+IF(parametros_manuales!$H$34="Todos",datos_base!$K$12+datos_base!$K$26,0))*parametros_manuales!$B$110)*parametros_manuales!$I$34*parametros_manuales!$J$34</f>
        <v>25605.65559357</v>
      </c>
      <c r="C260" s="9" t="n">
        <f aca="false">(parametros_manuales!$D$34*(datos_base!$K$2+datos_base!$K$18+IF(parametros_manuales!$H$34="Todos",datos_base!$K$9+datos_base!$K$23,0))*parametros_manuales!$C$95+parametros_manuales!$E$34*(datos_base!$K$3+datos_base!$K$19+IF(parametros_manuales!$H$34="Todos",datos_base!$K$10+datos_base!$K$24,0))*parametros_manuales!$C$100+parametros_manuales!$F$34*(datos_base!$K$4+datos_base!$K$20+IF(parametros_manuales!$H$34="Todos",datos_base!$K$11+datos_base!$K$25,0))*parametros_manuales!$C$105+parametros_manuales!$G$34*(datos_base!$K$5+datos_base!$K$21+IF(parametros_manuales!$H$34="Todos",datos_base!$K$12+datos_base!$K$26,0))*parametros_manuales!$C$110)*parametros_manuales!$I$34*parametros_manuales!$J$34</f>
        <v>24786.78914114</v>
      </c>
      <c r="D260" s="9" t="n">
        <f aca="false">(parametros_manuales!$D$34*(datos_base!$K$2+datos_base!$K$18+IF(parametros_manuales!$H$34="Todos",datos_base!$K$9+datos_base!$K$23,0))*parametros_manuales!$D$95+parametros_manuales!$E$34*(datos_base!$K$3+datos_base!$K$19+IF(parametros_manuales!$H$34="Todos",datos_base!$K$10+datos_base!$K$24,0))*parametros_manuales!$D$100+parametros_manuales!$F$34*(datos_base!$K$4+datos_base!$K$20+IF(parametros_manuales!$H$34="Todos",datos_base!$K$11+datos_base!$K$25,0))*parametros_manuales!$D$105+parametros_manuales!$G$34*(datos_base!$K$5+datos_base!$K$21+IF(parametros_manuales!$H$34="Todos",datos_base!$K$12+datos_base!$K$26,0))*parametros_manuales!$D$110)*parametros_manuales!$I$34*parametros_manuales!$J$34</f>
        <v>23170.015976055</v>
      </c>
      <c r="E260" s="9" t="n">
        <f aca="false">(parametros_manuales!$D$34*(datos_base!$K$2+datos_base!$K$18+IF(parametros_manuales!$H$34="Todos",datos_base!$K$9+datos_base!$K$23,0))*parametros_manuales!$E$95+parametros_manuales!$E$34*(datos_base!$K$3+datos_base!$K$19+IF(parametros_manuales!$H$34="Todos",datos_base!$K$10+datos_base!$K$24,0))*parametros_manuales!$E$100+parametros_manuales!$F$34*(datos_base!$K$4+datos_base!$K$20+IF(parametros_manuales!$H$34="Todos",datos_base!$K$11+datos_base!$K$25,0))*parametros_manuales!$E$105+parametros_manuales!$G$34*(datos_base!$K$5+datos_base!$K$21+IF(parametros_manuales!$H$34="Todos",datos_base!$K$12+datos_base!$K$26,0))*parametros_manuales!$E$110)*parametros_manuales!$I$34*parametros_manuales!$J$34</f>
        <v>22156.912780405</v>
      </c>
      <c r="F260" s="9" t="n">
        <f aca="false">(parametros_manuales!$D$34*(datos_base!$K$2+datos_base!$K$18+IF(parametros_manuales!$H$34="Todos",datos_base!$K$9+datos_base!$K$23,0))*parametros_manuales!$F$95+parametros_manuales!$E$34*(datos_base!$K$3+datos_base!$K$19+IF(parametros_manuales!$H$34="Todos",datos_base!$K$10+datos_base!$K$24,0))*parametros_manuales!$F$100+parametros_manuales!$F$34*(datos_base!$K$4+datos_base!$K$20+IF(parametros_manuales!$H$34="Todos",datos_base!$K$11+datos_base!$K$25,0))*parametros_manuales!$F$105+parametros_manuales!$G$34*(datos_base!$K$5+datos_base!$K$21+IF(parametros_manuales!$H$34="Todos",datos_base!$K$12+datos_base!$K$26,0))*parametros_manuales!$F$110)*parametros_manuales!$I$34*parametros_manuales!$J$34</f>
        <v>20734.37635854</v>
      </c>
      <c r="G260" s="9" t="n">
        <f aca="false">(parametros_manuales!$D$34*(datos_base!$K$2+datos_base!$K$18+IF(parametros_manuales!$H$34="Todos",datos_base!$K$9+datos_base!$K$23,0))*parametros_manuales!$G$95+parametros_manuales!$E$34*(datos_base!$K$3+datos_base!$K$19+IF(parametros_manuales!$H$34="Todos",datos_base!$K$10+datos_base!$K$24,0))*parametros_manuales!$G$100+parametros_manuales!$F$34*(datos_base!$K$4+datos_base!$K$20+IF(parametros_manuales!$H$34="Todos",datos_base!$K$11+datos_base!$K$25,0))*parametros_manuales!$G$105+parametros_manuales!$G$34*(datos_base!$K$5+datos_base!$K$21+IF(parametros_manuales!$H$34="Todos",datos_base!$K$12+datos_base!$K$26,0))*parametros_manuales!$G$110)*parametros_manuales!$I$34*parametros_manuales!$J$34</f>
        <v>20324.943132325</v>
      </c>
      <c r="H260" s="9" t="n">
        <f aca="false">(parametros_manuales!$D$34*(datos_base!$K$2+datos_base!$K$18+IF(parametros_manuales!$H$34="Todos",datos_base!$K$9+datos_base!$K$23,0))*parametros_manuales!$H$95+parametros_manuales!$E$34*(datos_base!$K$3+datos_base!$K$19+IF(parametros_manuales!$H$34="Todos",datos_base!$K$10+datos_base!$K$24,0))*parametros_manuales!$H$100+parametros_manuales!$F$34*(datos_base!$K$4+datos_base!$K$20+IF(parametros_manuales!$H$34="Todos",datos_base!$K$11+datos_base!$K$25,0))*parametros_manuales!$H$105+parametros_manuales!$G$34*(datos_base!$K$5+datos_base!$K$21+IF(parametros_manuales!$H$34="Todos",datos_base!$K$12+datos_base!$K$26,0))*parametros_manuales!$H$110)*parametros_manuales!$I$34*parametros_manuales!$J$34</f>
        <v>21747.47955419</v>
      </c>
      <c r="I260" s="9" t="n">
        <f aca="false">(parametros_manuales!$D$34*(datos_base!$K$2+datos_base!$K$18+IF(parametros_manuales!$H$34="Todos",datos_base!$K$9+datos_base!$K$23,0))*parametros_manuales!$I$95+parametros_manuales!$E$34*(datos_base!$K$3+datos_base!$K$19+IF(parametros_manuales!$H$34="Todos",datos_base!$K$10+datos_base!$K$24,0))*parametros_manuales!$I$100+parametros_manuales!$F$34*(datos_base!$K$4+datos_base!$K$20+IF(parametros_manuales!$H$34="Todos",datos_base!$K$11+datos_base!$K$25,0))*parametros_manuales!$I$105+parametros_manuales!$G$34*(datos_base!$K$5+datos_base!$K$21+IF(parametros_manuales!$H$34="Todos",datos_base!$K$12+datos_base!$K$26,0))*parametros_manuales!$I$110)*parametros_manuales!$I$34*parametros_manuales!$J$34</f>
        <v>24786.78914114</v>
      </c>
      <c r="J260" s="9" t="n">
        <f aca="false">(parametros_manuales!$D$34*(datos_base!$K$2+datos_base!$K$18+IF(parametros_manuales!$H$34="Todos",datos_base!$K$9+datos_base!$K$23,0))*parametros_manuales!$J$95+parametros_manuales!$E$34*(datos_base!$K$3+datos_base!$K$19+IF(parametros_manuales!$H$34="Todos",datos_base!$K$10+datos_base!$K$24,0))*parametros_manuales!$J$100+parametros_manuales!$F$34*(datos_base!$K$4+datos_base!$K$20+IF(parametros_manuales!$H$34="Todos",datos_base!$K$11+datos_base!$K$25,0))*parametros_manuales!$J$105+parametros_manuales!$G$34*(datos_base!$K$5+datos_base!$K$21+IF(parametros_manuales!$H$34="Todos",datos_base!$K$12+datos_base!$K$26,0))*parametros_manuales!$J$110)*parametros_manuales!$I$34*parametros_manuales!$J$34</f>
        <v>24786.78914114</v>
      </c>
      <c r="K260" s="9" t="n">
        <f aca="false">(parametros_manuales!$D$34*(datos_base!$K$2+datos_base!$K$18+IF(parametros_manuales!$H$34="Todos",datos_base!$K$9+datos_base!$K$23,0))*parametros_manuales!$K$95+parametros_manuales!$E$34*(datos_base!$K$3+datos_base!$K$19+IF(parametros_manuales!$H$34="Todos",datos_base!$K$10+datos_base!$K$24,0))*parametros_manuales!$K$100+parametros_manuales!$F$34*(datos_base!$K$4+datos_base!$K$20+IF(parametros_manuales!$H$34="Todos",datos_base!$K$11+datos_base!$K$25,0))*parametros_manuales!$K$105+parametros_manuales!$G$34*(datos_base!$K$5+datos_base!$K$21+IF(parametros_manuales!$H$34="Todos",datos_base!$K$12+datos_base!$K$26,0))*parametros_manuales!$K$110)*parametros_manuales!$I$34*parametros_manuales!$J$34</f>
        <v>25196.222367355</v>
      </c>
      <c r="L260" s="9" t="n">
        <f aca="false">(parametros_manuales!$D$34*(datos_base!$K$2+datos_base!$K$18+IF(parametros_manuales!$H$34="Todos",datos_base!$K$9+datos_base!$K$23,0))*parametros_manuales!$L$95+parametros_manuales!$E$34*(datos_base!$K$3+datos_base!$K$19+IF(parametros_manuales!$H$34="Todos",datos_base!$K$10+datos_base!$K$24,0))*parametros_manuales!$L$100+parametros_manuales!$F$34*(datos_base!$K$4+datos_base!$K$20+IF(parametros_manuales!$H$34="Todos",datos_base!$K$11+datos_base!$K$25,0))*parametros_manuales!$L$105+parametros_manuales!$G$34*(datos_base!$K$5+datos_base!$K$21+IF(parametros_manuales!$H$34="Todos",datos_base!$K$12+datos_base!$K$26,0))*parametros_manuales!$L$110)*parametros_manuales!$I$34*parametros_manuales!$J$34</f>
        <v>25605.65559357</v>
      </c>
      <c r="M260" s="9" t="n">
        <f aca="false">(parametros_manuales!$D$34*(datos_base!$K$2+datos_base!$K$18+IF(parametros_manuales!$H$34="Todos",datos_base!$K$9+datos_base!$K$23,0))*parametros_manuales!$M$95+parametros_manuales!$E$34*(datos_base!$K$3+datos_base!$K$19+IF(parametros_manuales!$H$34="Todos",datos_base!$K$10+datos_base!$K$24,0))*parametros_manuales!$M$100+parametros_manuales!$F$34*(datos_base!$K$4+datos_base!$K$20+IF(parametros_manuales!$H$34="Todos",datos_base!$K$11+datos_base!$K$25,0))*parametros_manuales!$M$105+parametros_manuales!$G$34*(datos_base!$K$5+datos_base!$K$21+IF(parametros_manuales!$H$34="Todos",datos_base!$K$12+datos_base!$K$26,0))*parametros_manuales!$M$110)*parametros_manuales!$I$34*parametros_manuales!$J$34</f>
        <v>25605.65559357</v>
      </c>
      <c r="N260" s="9" t="n">
        <f aca="false">SUM(B260:M260)</f>
        <v>284507.284373</v>
      </c>
      <c r="O260" s="9" t="n">
        <f aca="false">MAX(B260:M260)</f>
        <v>25605.65559357</v>
      </c>
      <c r="P260" s="43" t="n">
        <f aca="false">O260/(parametros_manuales!$B$7)</f>
        <v>170.7043706238</v>
      </c>
      <c r="Q260" s="8" t="str">
        <f aca="false">IF(O260=0,"-",INDEX($B$244:$M$244,MATCH(O260,B260:M260,0)))</f>
        <v>Ene</v>
      </c>
    </row>
    <row r="261" customFormat="false" ht="14.25" hidden="false" customHeight="true" outlineLevel="0" collapsed="false">
      <c r="A261" s="8" t="str">
        <f aca="false">parametros_manuales!$B$35</f>
        <v>Detección de defectos</v>
      </c>
      <c r="B261" s="9" t="n">
        <f aca="false">(parametros_manuales!$D$35*(datos_base!$K$2+datos_base!$K$18+IF(parametros_manuales!$H$35="Todos",datos_base!$K$9+datos_base!$K$23,0))*parametros_manuales!$B$95+parametros_manuales!$E$35*(datos_base!$K$3+datos_base!$K$19+IF(parametros_manuales!$H$35="Todos",datos_base!$K$10+datos_base!$K$24,0))*parametros_manuales!$B$100+parametros_manuales!$F$35*(datos_base!$K$4+datos_base!$K$20+IF(parametros_manuales!$H$35="Todos",datos_base!$K$11+datos_base!$K$25,0))*parametros_manuales!$B$105+parametros_manuales!$G$35*(datos_base!$K$5+datos_base!$K$21+IF(parametros_manuales!$H$35="Todos",datos_base!$K$12+datos_base!$K$26,0))*parametros_manuales!$B$110)*parametros_manuales!$I$35*parametros_manuales!$J$35</f>
        <v>25605.65559357</v>
      </c>
      <c r="C261" s="9" t="n">
        <f aca="false">(parametros_manuales!$D$35*(datos_base!$K$2+datos_base!$K$18+IF(parametros_manuales!$H$35="Todos",datos_base!$K$9+datos_base!$K$23,0))*parametros_manuales!$C$95+parametros_manuales!$E$35*(datos_base!$K$3+datos_base!$K$19+IF(parametros_manuales!$H$35="Todos",datos_base!$K$10+datos_base!$K$24,0))*parametros_manuales!$C$100+parametros_manuales!$F$35*(datos_base!$K$4+datos_base!$K$20+IF(parametros_manuales!$H$35="Todos",datos_base!$K$11+datos_base!$K$25,0))*parametros_manuales!$C$105+parametros_manuales!$G$35*(datos_base!$K$5+datos_base!$K$21+IF(parametros_manuales!$H$35="Todos",datos_base!$K$12+datos_base!$K$26,0))*parametros_manuales!$C$110)*parametros_manuales!$I$35*parametros_manuales!$J$35</f>
        <v>24786.78914114</v>
      </c>
      <c r="D261" s="9" t="n">
        <f aca="false">(parametros_manuales!$D$35*(datos_base!$K$2+datos_base!$K$18+IF(parametros_manuales!$H$35="Todos",datos_base!$K$9+datos_base!$K$23,0))*parametros_manuales!$D$95+parametros_manuales!$E$35*(datos_base!$K$3+datos_base!$K$19+IF(parametros_manuales!$H$35="Todos",datos_base!$K$10+datos_base!$K$24,0))*parametros_manuales!$D$100+parametros_manuales!$F$35*(datos_base!$K$4+datos_base!$K$20+IF(parametros_manuales!$H$35="Todos",datos_base!$K$11+datos_base!$K$25,0))*parametros_manuales!$D$105+parametros_manuales!$G$35*(datos_base!$K$5+datos_base!$K$21+IF(parametros_manuales!$H$35="Todos",datos_base!$K$12+datos_base!$K$26,0))*parametros_manuales!$D$110)*parametros_manuales!$I$35*parametros_manuales!$J$35</f>
        <v>23170.015976055</v>
      </c>
      <c r="E261" s="9" t="n">
        <f aca="false">(parametros_manuales!$D$35*(datos_base!$K$2+datos_base!$K$18+IF(parametros_manuales!$H$35="Todos",datos_base!$K$9+datos_base!$K$23,0))*parametros_manuales!$E$95+parametros_manuales!$E$35*(datos_base!$K$3+datos_base!$K$19+IF(parametros_manuales!$H$35="Todos",datos_base!$K$10+datos_base!$K$24,0))*parametros_manuales!$E$100+parametros_manuales!$F$35*(datos_base!$K$4+datos_base!$K$20+IF(parametros_manuales!$H$35="Todos",datos_base!$K$11+datos_base!$K$25,0))*parametros_manuales!$E$105+parametros_manuales!$G$35*(datos_base!$K$5+datos_base!$K$21+IF(parametros_manuales!$H$35="Todos",datos_base!$K$12+datos_base!$K$26,0))*parametros_manuales!$E$110)*parametros_manuales!$I$35*parametros_manuales!$J$35</f>
        <v>22156.912780405</v>
      </c>
      <c r="F261" s="9" t="n">
        <f aca="false">(parametros_manuales!$D$35*(datos_base!$K$2+datos_base!$K$18+IF(parametros_manuales!$H$35="Todos",datos_base!$K$9+datos_base!$K$23,0))*parametros_manuales!$F$95+parametros_manuales!$E$35*(datos_base!$K$3+datos_base!$K$19+IF(parametros_manuales!$H$35="Todos",datos_base!$K$10+datos_base!$K$24,0))*parametros_manuales!$F$100+parametros_manuales!$F$35*(datos_base!$K$4+datos_base!$K$20+IF(parametros_manuales!$H$35="Todos",datos_base!$K$11+datos_base!$K$25,0))*parametros_manuales!$F$105+parametros_manuales!$G$35*(datos_base!$K$5+datos_base!$K$21+IF(parametros_manuales!$H$35="Todos",datos_base!$K$12+datos_base!$K$26,0))*parametros_manuales!$F$110)*parametros_manuales!$I$35*parametros_manuales!$J$35</f>
        <v>20734.37635854</v>
      </c>
      <c r="G261" s="9" t="n">
        <f aca="false">(parametros_manuales!$D$35*(datos_base!$K$2+datos_base!$K$18+IF(parametros_manuales!$H$35="Todos",datos_base!$K$9+datos_base!$K$23,0))*parametros_manuales!$G$95+parametros_manuales!$E$35*(datos_base!$K$3+datos_base!$K$19+IF(parametros_manuales!$H$35="Todos",datos_base!$K$10+datos_base!$K$24,0))*parametros_manuales!$G$100+parametros_manuales!$F$35*(datos_base!$K$4+datos_base!$K$20+IF(parametros_manuales!$H$35="Todos",datos_base!$K$11+datos_base!$K$25,0))*parametros_manuales!$G$105+parametros_manuales!$G$35*(datos_base!$K$5+datos_base!$K$21+IF(parametros_manuales!$H$35="Todos",datos_base!$K$12+datos_base!$K$26,0))*parametros_manuales!$G$110)*parametros_manuales!$I$35*parametros_manuales!$J$35</f>
        <v>20324.943132325</v>
      </c>
      <c r="H261" s="9" t="n">
        <f aca="false">(parametros_manuales!$D$35*(datos_base!$K$2+datos_base!$K$18+IF(parametros_manuales!$H$35="Todos",datos_base!$K$9+datos_base!$K$23,0))*parametros_manuales!$H$95+parametros_manuales!$E$35*(datos_base!$K$3+datos_base!$K$19+IF(parametros_manuales!$H$35="Todos",datos_base!$K$10+datos_base!$K$24,0))*parametros_manuales!$H$100+parametros_manuales!$F$35*(datos_base!$K$4+datos_base!$K$20+IF(parametros_manuales!$H$35="Todos",datos_base!$K$11+datos_base!$K$25,0))*parametros_manuales!$H$105+parametros_manuales!$G$35*(datos_base!$K$5+datos_base!$K$21+IF(parametros_manuales!$H$35="Todos",datos_base!$K$12+datos_base!$K$26,0))*parametros_manuales!$H$110)*parametros_manuales!$I$35*parametros_manuales!$J$35</f>
        <v>21747.47955419</v>
      </c>
      <c r="I261" s="9" t="n">
        <f aca="false">(parametros_manuales!$D$35*(datos_base!$K$2+datos_base!$K$18+IF(parametros_manuales!$H$35="Todos",datos_base!$K$9+datos_base!$K$23,0))*parametros_manuales!$I$95+parametros_manuales!$E$35*(datos_base!$K$3+datos_base!$K$19+IF(parametros_manuales!$H$35="Todos",datos_base!$K$10+datos_base!$K$24,0))*parametros_manuales!$I$100+parametros_manuales!$F$35*(datos_base!$K$4+datos_base!$K$20+IF(parametros_manuales!$H$35="Todos",datos_base!$K$11+datos_base!$K$25,0))*parametros_manuales!$I$105+parametros_manuales!$G$35*(datos_base!$K$5+datos_base!$K$21+IF(parametros_manuales!$H$35="Todos",datos_base!$K$12+datos_base!$K$26,0))*parametros_manuales!$I$110)*parametros_manuales!$I$35*parametros_manuales!$J$35</f>
        <v>24786.78914114</v>
      </c>
      <c r="J261" s="9" t="n">
        <f aca="false">(parametros_manuales!$D$35*(datos_base!$K$2+datos_base!$K$18+IF(parametros_manuales!$H$35="Todos",datos_base!$K$9+datos_base!$K$23,0))*parametros_manuales!$J$95+parametros_manuales!$E$35*(datos_base!$K$3+datos_base!$K$19+IF(parametros_manuales!$H$35="Todos",datos_base!$K$10+datos_base!$K$24,0))*parametros_manuales!$J$100+parametros_manuales!$F$35*(datos_base!$K$4+datos_base!$K$20+IF(parametros_manuales!$H$35="Todos",datos_base!$K$11+datos_base!$K$25,0))*parametros_manuales!$J$105+parametros_manuales!$G$35*(datos_base!$K$5+datos_base!$K$21+IF(parametros_manuales!$H$35="Todos",datos_base!$K$12+datos_base!$K$26,0))*parametros_manuales!$J$110)*parametros_manuales!$I$35*parametros_manuales!$J$35</f>
        <v>24786.78914114</v>
      </c>
      <c r="K261" s="9" t="n">
        <f aca="false">(parametros_manuales!$D$35*(datos_base!$K$2+datos_base!$K$18+IF(parametros_manuales!$H$35="Todos",datos_base!$K$9+datos_base!$K$23,0))*parametros_manuales!$K$95+parametros_manuales!$E$35*(datos_base!$K$3+datos_base!$K$19+IF(parametros_manuales!$H$35="Todos",datos_base!$K$10+datos_base!$K$24,0))*parametros_manuales!$K$100+parametros_manuales!$F$35*(datos_base!$K$4+datos_base!$K$20+IF(parametros_manuales!$H$35="Todos",datos_base!$K$11+datos_base!$K$25,0))*parametros_manuales!$K$105+parametros_manuales!$G$35*(datos_base!$K$5+datos_base!$K$21+IF(parametros_manuales!$H$35="Todos",datos_base!$K$12+datos_base!$K$26,0))*parametros_manuales!$K$110)*parametros_manuales!$I$35*parametros_manuales!$J$35</f>
        <v>25196.222367355</v>
      </c>
      <c r="L261" s="9" t="n">
        <f aca="false">(parametros_manuales!$D$35*(datos_base!$K$2+datos_base!$K$18+IF(parametros_manuales!$H$35="Todos",datos_base!$K$9+datos_base!$K$23,0))*parametros_manuales!$L$95+parametros_manuales!$E$35*(datos_base!$K$3+datos_base!$K$19+IF(parametros_manuales!$H$35="Todos",datos_base!$K$10+datos_base!$K$24,0))*parametros_manuales!$L$100+parametros_manuales!$F$35*(datos_base!$K$4+datos_base!$K$20+IF(parametros_manuales!$H$35="Todos",datos_base!$K$11+datos_base!$K$25,0))*parametros_manuales!$L$105+parametros_manuales!$G$35*(datos_base!$K$5+datos_base!$K$21+IF(parametros_manuales!$H$35="Todos",datos_base!$K$12+datos_base!$K$26,0))*parametros_manuales!$L$110)*parametros_manuales!$I$35*parametros_manuales!$J$35</f>
        <v>25605.65559357</v>
      </c>
      <c r="M261" s="9" t="n">
        <f aca="false">(parametros_manuales!$D$35*(datos_base!$K$2+datos_base!$K$18+IF(parametros_manuales!$H$35="Todos",datos_base!$K$9+datos_base!$K$23,0))*parametros_manuales!$M$95+parametros_manuales!$E$35*(datos_base!$K$3+datos_base!$K$19+IF(parametros_manuales!$H$35="Todos",datos_base!$K$10+datos_base!$K$24,0))*parametros_manuales!$M$100+parametros_manuales!$F$35*(datos_base!$K$4+datos_base!$K$20+IF(parametros_manuales!$H$35="Todos",datos_base!$K$11+datos_base!$K$25,0))*parametros_manuales!$M$105+parametros_manuales!$G$35*(datos_base!$K$5+datos_base!$K$21+IF(parametros_manuales!$H$35="Todos",datos_base!$K$12+datos_base!$K$26,0))*parametros_manuales!$M$110)*parametros_manuales!$I$35*parametros_manuales!$J$35</f>
        <v>25605.65559357</v>
      </c>
      <c r="N261" s="9" t="n">
        <f aca="false">SUM(B261:M261)</f>
        <v>284507.284373</v>
      </c>
      <c r="O261" s="9" t="n">
        <f aca="false">MAX(B261:M261)</f>
        <v>25605.65559357</v>
      </c>
      <c r="P261" s="43" t="n">
        <f aca="false">O261/(parametros_manuales!$B$7)</f>
        <v>170.7043706238</v>
      </c>
      <c r="Q261" s="8" t="str">
        <f aca="false">IF(O261=0,"-",INDEX($B$244:$M$244,MATCH(O261,B261:M261,0)))</f>
        <v>Ene</v>
      </c>
    </row>
    <row r="262" customFormat="false" ht="14.25" hidden="false" customHeight="true" outlineLevel="0" collapsed="false">
      <c r="A262" s="8" t="str">
        <f aca="false">parametros_manuales!$B$36</f>
        <v>Corrección de defectos</v>
      </c>
      <c r="B262" s="9" t="n">
        <f aca="false">(parametros_manuales!$D$36*(datos_base!$K$2+datos_base!$K$18+IF(parametros_manuales!$H$36="Todos",datos_base!$K$9+datos_base!$K$23,0))*parametros_manuales!$B$95+parametros_manuales!$E$36*(datos_base!$K$3+datos_base!$K$19+IF(parametros_manuales!$H$36="Todos",datos_base!$K$10+datos_base!$K$24,0))*parametros_manuales!$B$100+parametros_manuales!$F$36*(datos_base!$K$4+datos_base!$K$20+IF(parametros_manuales!$H$36="Todos",datos_base!$K$11+datos_base!$K$25,0))*parametros_manuales!$B$105+parametros_manuales!$G$36*(datos_base!$K$5+datos_base!$K$21+IF(parametros_manuales!$H$36="Todos",datos_base!$K$12+datos_base!$K$26,0))*parametros_manuales!$B$110)*parametros_manuales!$I$36*parametros_manuales!$J$36</f>
        <v>1280.2827796785</v>
      </c>
      <c r="C262" s="9" t="n">
        <f aca="false">(parametros_manuales!$D$36*(datos_base!$K$2+datos_base!$K$18+IF(parametros_manuales!$H$36="Todos",datos_base!$K$9+datos_base!$K$23,0))*parametros_manuales!$C$95+parametros_manuales!$E$36*(datos_base!$K$3+datos_base!$K$19+IF(parametros_manuales!$H$36="Todos",datos_base!$K$10+datos_base!$K$24,0))*parametros_manuales!$C$100+parametros_manuales!$F$36*(datos_base!$K$4+datos_base!$K$20+IF(parametros_manuales!$H$36="Todos",datos_base!$K$11+datos_base!$K$25,0))*parametros_manuales!$C$105+parametros_manuales!$G$36*(datos_base!$K$5+datos_base!$K$21+IF(parametros_manuales!$H$36="Todos",datos_base!$K$12+datos_base!$K$26,0))*parametros_manuales!$C$110)*parametros_manuales!$I$36*parametros_manuales!$J$36</f>
        <v>1239.339457057</v>
      </c>
      <c r="D262" s="9" t="n">
        <f aca="false">(parametros_manuales!$D$36*(datos_base!$K$2+datos_base!$K$18+IF(parametros_manuales!$H$36="Todos",datos_base!$K$9+datos_base!$K$23,0))*parametros_manuales!$D$95+parametros_manuales!$E$36*(datos_base!$K$3+datos_base!$K$19+IF(parametros_manuales!$H$36="Todos",datos_base!$K$10+datos_base!$K$24,0))*parametros_manuales!$D$100+parametros_manuales!$F$36*(datos_base!$K$4+datos_base!$K$20+IF(parametros_manuales!$H$36="Todos",datos_base!$K$11+datos_base!$K$25,0))*parametros_manuales!$D$105+parametros_manuales!$G$36*(datos_base!$K$5+datos_base!$K$21+IF(parametros_manuales!$H$36="Todos",datos_base!$K$12+datos_base!$K$26,0))*parametros_manuales!$D$110)*parametros_manuales!$I$36*parametros_manuales!$J$36</f>
        <v>1158.50079880275</v>
      </c>
      <c r="E262" s="9" t="n">
        <f aca="false">(parametros_manuales!$D$36*(datos_base!$K$2+datos_base!$K$18+IF(parametros_manuales!$H$36="Todos",datos_base!$K$9+datos_base!$K$23,0))*parametros_manuales!$E$95+parametros_manuales!$E$36*(datos_base!$K$3+datos_base!$K$19+IF(parametros_manuales!$H$36="Todos",datos_base!$K$10+datos_base!$K$24,0))*parametros_manuales!$E$100+parametros_manuales!$F$36*(datos_base!$K$4+datos_base!$K$20+IF(parametros_manuales!$H$36="Todos",datos_base!$K$11+datos_base!$K$25,0))*parametros_manuales!$E$105+parametros_manuales!$G$36*(datos_base!$K$5+datos_base!$K$21+IF(parametros_manuales!$H$36="Todos",datos_base!$K$12+datos_base!$K$26,0))*parametros_manuales!$E$110)*parametros_manuales!$I$36*parametros_manuales!$J$36</f>
        <v>1107.84563902025</v>
      </c>
      <c r="F262" s="9" t="n">
        <f aca="false">(parametros_manuales!$D$36*(datos_base!$K$2+datos_base!$K$18+IF(parametros_manuales!$H$36="Todos",datos_base!$K$9+datos_base!$K$23,0))*parametros_manuales!$F$95+parametros_manuales!$E$36*(datos_base!$K$3+datos_base!$K$19+IF(parametros_manuales!$H$36="Todos",datos_base!$K$10+datos_base!$K$24,0))*parametros_manuales!$F$100+parametros_manuales!$F$36*(datos_base!$K$4+datos_base!$K$20+IF(parametros_manuales!$H$36="Todos",datos_base!$K$11+datos_base!$K$25,0))*parametros_manuales!$F$105+parametros_manuales!$G$36*(datos_base!$K$5+datos_base!$K$21+IF(parametros_manuales!$H$36="Todos",datos_base!$K$12+datos_base!$K$26,0))*parametros_manuales!$F$110)*parametros_manuales!$I$36*parametros_manuales!$J$36</f>
        <v>1036.718817927</v>
      </c>
      <c r="G262" s="9" t="n">
        <f aca="false">(parametros_manuales!$D$36*(datos_base!$K$2+datos_base!$K$18+IF(parametros_manuales!$H$36="Todos",datos_base!$K$9+datos_base!$K$23,0))*parametros_manuales!$G$95+parametros_manuales!$E$36*(datos_base!$K$3+datos_base!$K$19+IF(parametros_manuales!$H$36="Todos",datos_base!$K$10+datos_base!$K$24,0))*parametros_manuales!$G$100+parametros_manuales!$F$36*(datos_base!$K$4+datos_base!$K$20+IF(parametros_manuales!$H$36="Todos",datos_base!$K$11+datos_base!$K$25,0))*parametros_manuales!$G$105+parametros_manuales!$G$36*(datos_base!$K$5+datos_base!$K$21+IF(parametros_manuales!$H$36="Todos",datos_base!$K$12+datos_base!$K$26,0))*parametros_manuales!$G$110)*parametros_manuales!$I$36*parametros_manuales!$J$36</f>
        <v>1016.24715661625</v>
      </c>
      <c r="H262" s="9" t="n">
        <f aca="false">(parametros_manuales!$D$36*(datos_base!$K$2+datos_base!$K$18+IF(parametros_manuales!$H$36="Todos",datos_base!$K$9+datos_base!$K$23,0))*parametros_manuales!$H$95+parametros_manuales!$E$36*(datos_base!$K$3+datos_base!$K$19+IF(parametros_manuales!$H$36="Todos",datos_base!$K$10+datos_base!$K$24,0))*parametros_manuales!$H$100+parametros_manuales!$F$36*(datos_base!$K$4+datos_base!$K$20+IF(parametros_manuales!$H$36="Todos",datos_base!$K$11+datos_base!$K$25,0))*parametros_manuales!$H$105+parametros_manuales!$G$36*(datos_base!$K$5+datos_base!$K$21+IF(parametros_manuales!$H$36="Todos",datos_base!$K$12+datos_base!$K$26,0))*parametros_manuales!$H$110)*parametros_manuales!$I$36*parametros_manuales!$J$36</f>
        <v>1087.3739777095</v>
      </c>
      <c r="I262" s="9" t="n">
        <f aca="false">(parametros_manuales!$D$36*(datos_base!$K$2+datos_base!$K$18+IF(parametros_manuales!$H$36="Todos",datos_base!$K$9+datos_base!$K$23,0))*parametros_manuales!$I$95+parametros_manuales!$E$36*(datos_base!$K$3+datos_base!$K$19+IF(parametros_manuales!$H$36="Todos",datos_base!$K$10+datos_base!$K$24,0))*parametros_manuales!$I$100+parametros_manuales!$F$36*(datos_base!$K$4+datos_base!$K$20+IF(parametros_manuales!$H$36="Todos",datos_base!$K$11+datos_base!$K$25,0))*parametros_manuales!$I$105+parametros_manuales!$G$36*(datos_base!$K$5+datos_base!$K$21+IF(parametros_manuales!$H$36="Todos",datos_base!$K$12+datos_base!$K$26,0))*parametros_manuales!$I$110)*parametros_manuales!$I$36*parametros_manuales!$J$36</f>
        <v>1239.339457057</v>
      </c>
      <c r="J262" s="9" t="n">
        <f aca="false">(parametros_manuales!$D$36*(datos_base!$K$2+datos_base!$K$18+IF(parametros_manuales!$H$36="Todos",datos_base!$K$9+datos_base!$K$23,0))*parametros_manuales!$J$95+parametros_manuales!$E$36*(datos_base!$K$3+datos_base!$K$19+IF(parametros_manuales!$H$36="Todos",datos_base!$K$10+datos_base!$K$24,0))*parametros_manuales!$J$100+parametros_manuales!$F$36*(datos_base!$K$4+datos_base!$K$20+IF(parametros_manuales!$H$36="Todos",datos_base!$K$11+datos_base!$K$25,0))*parametros_manuales!$J$105+parametros_manuales!$G$36*(datos_base!$K$5+datos_base!$K$21+IF(parametros_manuales!$H$36="Todos",datos_base!$K$12+datos_base!$K$26,0))*parametros_manuales!$J$110)*parametros_manuales!$I$36*parametros_manuales!$J$36</f>
        <v>1239.339457057</v>
      </c>
      <c r="K262" s="9" t="n">
        <f aca="false">(parametros_manuales!$D$36*(datos_base!$K$2+datos_base!$K$18+IF(parametros_manuales!$H$36="Todos",datos_base!$K$9+datos_base!$K$23,0))*parametros_manuales!$K$95+parametros_manuales!$E$36*(datos_base!$K$3+datos_base!$K$19+IF(parametros_manuales!$H$36="Todos",datos_base!$K$10+datos_base!$K$24,0))*parametros_manuales!$K$100+parametros_manuales!$F$36*(datos_base!$K$4+datos_base!$K$20+IF(parametros_manuales!$H$36="Todos",datos_base!$K$11+datos_base!$K$25,0))*parametros_manuales!$K$105+parametros_manuales!$G$36*(datos_base!$K$5+datos_base!$K$21+IF(parametros_manuales!$H$36="Todos",datos_base!$K$12+datos_base!$K$26,0))*parametros_manuales!$K$110)*parametros_manuales!$I$36*parametros_manuales!$J$36</f>
        <v>1259.81111836775</v>
      </c>
      <c r="L262" s="9" t="n">
        <f aca="false">(parametros_manuales!$D$36*(datos_base!$K$2+datos_base!$K$18+IF(parametros_manuales!$H$36="Todos",datos_base!$K$9+datos_base!$K$23,0))*parametros_manuales!$L$95+parametros_manuales!$E$36*(datos_base!$K$3+datos_base!$K$19+IF(parametros_manuales!$H$36="Todos",datos_base!$K$10+datos_base!$K$24,0))*parametros_manuales!$L$100+parametros_manuales!$F$36*(datos_base!$K$4+datos_base!$K$20+IF(parametros_manuales!$H$36="Todos",datos_base!$K$11+datos_base!$K$25,0))*parametros_manuales!$L$105+parametros_manuales!$G$36*(datos_base!$K$5+datos_base!$K$21+IF(parametros_manuales!$H$36="Todos",datos_base!$K$12+datos_base!$K$26,0))*parametros_manuales!$L$110)*parametros_manuales!$I$36*parametros_manuales!$J$36</f>
        <v>1280.2827796785</v>
      </c>
      <c r="M262" s="9" t="n">
        <f aca="false">(parametros_manuales!$D$36*(datos_base!$K$2+datos_base!$K$18+IF(parametros_manuales!$H$36="Todos",datos_base!$K$9+datos_base!$K$23,0))*parametros_manuales!$M$95+parametros_manuales!$E$36*(datos_base!$K$3+datos_base!$K$19+IF(parametros_manuales!$H$36="Todos",datos_base!$K$10+datos_base!$K$24,0))*parametros_manuales!$M$100+parametros_manuales!$F$36*(datos_base!$K$4+datos_base!$K$20+IF(parametros_manuales!$H$36="Todos",datos_base!$K$11+datos_base!$K$25,0))*parametros_manuales!$M$105+parametros_manuales!$G$36*(datos_base!$K$5+datos_base!$K$21+IF(parametros_manuales!$H$36="Todos",datos_base!$K$12+datos_base!$K$26,0))*parametros_manuales!$M$110)*parametros_manuales!$I$36*parametros_manuales!$J$36</f>
        <v>1280.2827796785</v>
      </c>
      <c r="N262" s="9" t="n">
        <f aca="false">SUM(B262:M262)</f>
        <v>14225.36421865</v>
      </c>
      <c r="O262" s="9" t="n">
        <f aca="false">MAX(B262:M262)</f>
        <v>1280.2827796785</v>
      </c>
      <c r="P262" s="43" t="n">
        <f aca="false">O262/(parametros_manuales!$B$7)</f>
        <v>8.53521853119</v>
      </c>
      <c r="Q262" s="8" t="str">
        <f aca="false">IF(O262=0,"-",INDEX($B$244:$M$244,MATCH(O262,B262:M262,0)))</f>
        <v>Ene</v>
      </c>
    </row>
    <row r="263" customFormat="false" ht="14.25" hidden="false" customHeight="true" outlineLevel="0" collapsed="false">
      <c r="A263" s="8" t="str">
        <f aca="false">parametros_manuales!$B$37</f>
        <v>Pintura en polvo + horno</v>
      </c>
      <c r="B263" s="9" t="n">
        <f aca="false">(parametros_manuales!$D$37*(datos_base!$K$2+datos_base!$K$18+IF(parametros_manuales!$H$37="Todos",datos_base!$K$9+datos_base!$K$23,0))*parametros_manuales!$B$95+parametros_manuales!$E$37*(datos_base!$K$3+datos_base!$K$19+IF(parametros_manuales!$H$37="Todos",datos_base!$K$10+datos_base!$K$24,0))*parametros_manuales!$B$100+parametros_manuales!$F$37*(datos_base!$K$4+datos_base!$K$20+IF(parametros_manuales!$H$37="Todos",datos_base!$K$11+datos_base!$K$25,0))*parametros_manuales!$B$105+parametros_manuales!$G$37*(datos_base!$K$5+datos_base!$K$21+IF(parametros_manuales!$H$37="Todos",datos_base!$K$12+datos_base!$K$26,0))*parametros_manuales!$B$110)*parametros_manuales!$I$37*parametros_manuales!$J$37</f>
        <v>25605.65559357</v>
      </c>
      <c r="C263" s="9" t="n">
        <f aca="false">(parametros_manuales!$D$37*(datos_base!$K$2+datos_base!$K$18+IF(parametros_manuales!$H$37="Todos",datos_base!$K$9+datos_base!$K$23,0))*parametros_manuales!$C$95+parametros_manuales!$E$37*(datos_base!$K$3+datos_base!$K$19+IF(parametros_manuales!$H$37="Todos",datos_base!$K$10+datos_base!$K$24,0))*parametros_manuales!$C$100+parametros_manuales!$F$37*(datos_base!$K$4+datos_base!$K$20+IF(parametros_manuales!$H$37="Todos",datos_base!$K$11+datos_base!$K$25,0))*parametros_manuales!$C$105+parametros_manuales!$G$37*(datos_base!$K$5+datos_base!$K$21+IF(parametros_manuales!$H$37="Todos",datos_base!$K$12+datos_base!$K$26,0))*parametros_manuales!$C$110)*parametros_manuales!$I$37*parametros_manuales!$J$37</f>
        <v>24786.78914114</v>
      </c>
      <c r="D263" s="9" t="n">
        <f aca="false">(parametros_manuales!$D$37*(datos_base!$K$2+datos_base!$K$18+IF(parametros_manuales!$H$37="Todos",datos_base!$K$9+datos_base!$K$23,0))*parametros_manuales!$D$95+parametros_manuales!$E$37*(datos_base!$K$3+datos_base!$K$19+IF(parametros_manuales!$H$37="Todos",datos_base!$K$10+datos_base!$K$24,0))*parametros_manuales!$D$100+parametros_manuales!$F$37*(datos_base!$K$4+datos_base!$K$20+IF(parametros_manuales!$H$37="Todos",datos_base!$K$11+datos_base!$K$25,0))*parametros_manuales!$D$105+parametros_manuales!$G$37*(datos_base!$K$5+datos_base!$K$21+IF(parametros_manuales!$H$37="Todos",datos_base!$K$12+datos_base!$K$26,0))*parametros_manuales!$D$110)*parametros_manuales!$I$37*parametros_manuales!$J$37</f>
        <v>23170.015976055</v>
      </c>
      <c r="E263" s="9" t="n">
        <f aca="false">(parametros_manuales!$D$37*(datos_base!$K$2+datos_base!$K$18+IF(parametros_manuales!$H$37="Todos",datos_base!$K$9+datos_base!$K$23,0))*parametros_manuales!$E$95+parametros_manuales!$E$37*(datos_base!$K$3+datos_base!$K$19+IF(parametros_manuales!$H$37="Todos",datos_base!$K$10+datos_base!$K$24,0))*parametros_manuales!$E$100+parametros_manuales!$F$37*(datos_base!$K$4+datos_base!$K$20+IF(parametros_manuales!$H$37="Todos",datos_base!$K$11+datos_base!$K$25,0))*parametros_manuales!$E$105+parametros_manuales!$G$37*(datos_base!$K$5+datos_base!$K$21+IF(parametros_manuales!$H$37="Todos",datos_base!$K$12+datos_base!$K$26,0))*parametros_manuales!$E$110)*parametros_manuales!$I$37*parametros_manuales!$J$37</f>
        <v>22156.912780405</v>
      </c>
      <c r="F263" s="9" t="n">
        <f aca="false">(parametros_manuales!$D$37*(datos_base!$K$2+datos_base!$K$18+IF(parametros_manuales!$H$37="Todos",datos_base!$K$9+datos_base!$K$23,0))*parametros_manuales!$F$95+parametros_manuales!$E$37*(datos_base!$K$3+datos_base!$K$19+IF(parametros_manuales!$H$37="Todos",datos_base!$K$10+datos_base!$K$24,0))*parametros_manuales!$F$100+parametros_manuales!$F$37*(datos_base!$K$4+datos_base!$K$20+IF(parametros_manuales!$H$37="Todos",datos_base!$K$11+datos_base!$K$25,0))*parametros_manuales!$F$105+parametros_manuales!$G$37*(datos_base!$K$5+datos_base!$K$21+IF(parametros_manuales!$H$37="Todos",datos_base!$K$12+datos_base!$K$26,0))*parametros_manuales!$F$110)*parametros_manuales!$I$37*parametros_manuales!$J$37</f>
        <v>20734.37635854</v>
      </c>
      <c r="G263" s="9" t="n">
        <f aca="false">(parametros_manuales!$D$37*(datos_base!$K$2+datos_base!$K$18+IF(parametros_manuales!$H$37="Todos",datos_base!$K$9+datos_base!$K$23,0))*parametros_manuales!$G$95+parametros_manuales!$E$37*(datos_base!$K$3+datos_base!$K$19+IF(parametros_manuales!$H$37="Todos",datos_base!$K$10+datos_base!$K$24,0))*parametros_manuales!$G$100+parametros_manuales!$F$37*(datos_base!$K$4+datos_base!$K$20+IF(parametros_manuales!$H$37="Todos",datos_base!$K$11+datos_base!$K$25,0))*parametros_manuales!$G$105+parametros_manuales!$G$37*(datos_base!$K$5+datos_base!$K$21+IF(parametros_manuales!$H$37="Todos",datos_base!$K$12+datos_base!$K$26,0))*parametros_manuales!$G$110)*parametros_manuales!$I$37*parametros_manuales!$J$37</f>
        <v>20324.943132325</v>
      </c>
      <c r="H263" s="9" t="n">
        <f aca="false">(parametros_manuales!$D$37*(datos_base!$K$2+datos_base!$K$18+IF(parametros_manuales!$H$37="Todos",datos_base!$K$9+datos_base!$K$23,0))*parametros_manuales!$H$95+parametros_manuales!$E$37*(datos_base!$K$3+datos_base!$K$19+IF(parametros_manuales!$H$37="Todos",datos_base!$K$10+datos_base!$K$24,0))*parametros_manuales!$H$100+parametros_manuales!$F$37*(datos_base!$K$4+datos_base!$K$20+IF(parametros_manuales!$H$37="Todos",datos_base!$K$11+datos_base!$K$25,0))*parametros_manuales!$H$105+parametros_manuales!$G$37*(datos_base!$K$5+datos_base!$K$21+IF(parametros_manuales!$H$37="Todos",datos_base!$K$12+datos_base!$K$26,0))*parametros_manuales!$H$110)*parametros_manuales!$I$37*parametros_manuales!$J$37</f>
        <v>21747.47955419</v>
      </c>
      <c r="I263" s="9" t="n">
        <f aca="false">(parametros_manuales!$D$37*(datos_base!$K$2+datos_base!$K$18+IF(parametros_manuales!$H$37="Todos",datos_base!$K$9+datos_base!$K$23,0))*parametros_manuales!$I$95+parametros_manuales!$E$37*(datos_base!$K$3+datos_base!$K$19+IF(parametros_manuales!$H$37="Todos",datos_base!$K$10+datos_base!$K$24,0))*parametros_manuales!$I$100+parametros_manuales!$F$37*(datos_base!$K$4+datos_base!$K$20+IF(parametros_manuales!$H$37="Todos",datos_base!$K$11+datos_base!$K$25,0))*parametros_manuales!$I$105+parametros_manuales!$G$37*(datos_base!$K$5+datos_base!$K$21+IF(parametros_manuales!$H$37="Todos",datos_base!$K$12+datos_base!$K$26,0))*parametros_manuales!$I$110)*parametros_manuales!$I$37*parametros_manuales!$J$37</f>
        <v>24786.78914114</v>
      </c>
      <c r="J263" s="9" t="n">
        <f aca="false">(parametros_manuales!$D$37*(datos_base!$K$2+datos_base!$K$18+IF(parametros_manuales!$H$37="Todos",datos_base!$K$9+datos_base!$K$23,0))*parametros_manuales!$J$95+parametros_manuales!$E$37*(datos_base!$K$3+datos_base!$K$19+IF(parametros_manuales!$H$37="Todos",datos_base!$K$10+datos_base!$K$24,0))*parametros_manuales!$J$100+parametros_manuales!$F$37*(datos_base!$K$4+datos_base!$K$20+IF(parametros_manuales!$H$37="Todos",datos_base!$K$11+datos_base!$K$25,0))*parametros_manuales!$J$105+parametros_manuales!$G$37*(datos_base!$K$5+datos_base!$K$21+IF(parametros_manuales!$H$37="Todos",datos_base!$K$12+datos_base!$K$26,0))*parametros_manuales!$J$110)*parametros_manuales!$I$37*parametros_manuales!$J$37</f>
        <v>24786.78914114</v>
      </c>
      <c r="K263" s="9" t="n">
        <f aca="false">(parametros_manuales!$D$37*(datos_base!$K$2+datos_base!$K$18+IF(parametros_manuales!$H$37="Todos",datos_base!$K$9+datos_base!$K$23,0))*parametros_manuales!$K$95+parametros_manuales!$E$37*(datos_base!$K$3+datos_base!$K$19+IF(parametros_manuales!$H$37="Todos",datos_base!$K$10+datos_base!$K$24,0))*parametros_manuales!$K$100+parametros_manuales!$F$37*(datos_base!$K$4+datos_base!$K$20+IF(parametros_manuales!$H$37="Todos",datos_base!$K$11+datos_base!$K$25,0))*parametros_manuales!$K$105+parametros_manuales!$G$37*(datos_base!$K$5+datos_base!$K$21+IF(parametros_manuales!$H$37="Todos",datos_base!$K$12+datos_base!$K$26,0))*parametros_manuales!$K$110)*parametros_manuales!$I$37*parametros_manuales!$J$37</f>
        <v>25196.222367355</v>
      </c>
      <c r="L263" s="9" t="n">
        <f aca="false">(parametros_manuales!$D$37*(datos_base!$K$2+datos_base!$K$18+IF(parametros_manuales!$H$37="Todos",datos_base!$K$9+datos_base!$K$23,0))*parametros_manuales!$L$95+parametros_manuales!$E$37*(datos_base!$K$3+datos_base!$K$19+IF(parametros_manuales!$H$37="Todos",datos_base!$K$10+datos_base!$K$24,0))*parametros_manuales!$L$100+parametros_manuales!$F$37*(datos_base!$K$4+datos_base!$K$20+IF(parametros_manuales!$H$37="Todos",datos_base!$K$11+datos_base!$K$25,0))*parametros_manuales!$L$105+parametros_manuales!$G$37*(datos_base!$K$5+datos_base!$K$21+IF(parametros_manuales!$H$37="Todos",datos_base!$K$12+datos_base!$K$26,0))*parametros_manuales!$L$110)*parametros_manuales!$I$37*parametros_manuales!$J$37</f>
        <v>25605.65559357</v>
      </c>
      <c r="M263" s="9" t="n">
        <f aca="false">(parametros_manuales!$D$37*(datos_base!$K$2+datos_base!$K$18+IF(parametros_manuales!$H$37="Todos",datos_base!$K$9+datos_base!$K$23,0))*parametros_manuales!$M$95+parametros_manuales!$E$37*(datos_base!$K$3+datos_base!$K$19+IF(parametros_manuales!$H$37="Todos",datos_base!$K$10+datos_base!$K$24,0))*parametros_manuales!$M$100+parametros_manuales!$F$37*(datos_base!$K$4+datos_base!$K$20+IF(parametros_manuales!$H$37="Todos",datos_base!$K$11+datos_base!$K$25,0))*parametros_manuales!$M$105+parametros_manuales!$G$37*(datos_base!$K$5+datos_base!$K$21+IF(parametros_manuales!$H$37="Todos",datos_base!$K$12+datos_base!$K$26,0))*parametros_manuales!$M$110)*parametros_manuales!$I$37*parametros_manuales!$J$37</f>
        <v>25605.65559357</v>
      </c>
      <c r="N263" s="9" t="n">
        <f aca="false">SUM(B263:M263)</f>
        <v>284507.284373</v>
      </c>
      <c r="O263" s="9" t="n">
        <f aca="false">MAX(B263:M263)</f>
        <v>25605.65559357</v>
      </c>
      <c r="P263" s="43" t="n">
        <f aca="false">O263/(parametros_manuales!$B$7)</f>
        <v>170.7043706238</v>
      </c>
      <c r="Q263" s="8" t="str">
        <f aca="false">IF(O263=0,"-",INDEX($B$244:$M$244,MATCH(O263,B263:M263,0)))</f>
        <v>Ene</v>
      </c>
    </row>
    <row r="264" customFormat="false" ht="14.25" hidden="false" customHeight="true" outlineLevel="0" collapsed="false">
      <c r="A264" s="8" t="str">
        <f aca="false">parametros_manuales!$B$38</f>
        <v>Carga de polvo</v>
      </c>
      <c r="B264" s="9" t="n">
        <f aca="false">(parametros_manuales!$D$38*(datos_base!$K$2+datos_base!$K$18+IF(parametros_manuales!$H$38="Todos",datos_base!$K$9+datos_base!$K$23,0))*parametros_manuales!$B$95+parametros_manuales!$E$38*(datos_base!$K$3+datos_base!$K$19+IF(parametros_manuales!$H$38="Todos",datos_base!$K$10+datos_base!$K$24,0))*parametros_manuales!$B$100+parametros_manuales!$F$38*(datos_base!$K$4+datos_base!$K$20+IF(parametros_manuales!$H$38="Todos",datos_base!$K$11+datos_base!$K$25,0))*parametros_manuales!$B$105+parametros_manuales!$G$38*(datos_base!$K$5+datos_base!$K$21+IF(parametros_manuales!$H$38="Todos",datos_base!$K$12+datos_base!$K$26,0))*parametros_manuales!$B$110)*parametros_manuales!$I$38*parametros_manuales!$J$38</f>
        <v>6496.92759357</v>
      </c>
      <c r="C264" s="9" t="n">
        <f aca="false">(parametros_manuales!$D$38*(datos_base!$K$2+datos_base!$K$18+IF(parametros_manuales!$H$38="Todos",datos_base!$K$9+datos_base!$K$23,0))*parametros_manuales!$C$95+parametros_manuales!$E$38*(datos_base!$K$3+datos_base!$K$19+IF(parametros_manuales!$H$38="Todos",datos_base!$K$10+datos_base!$K$24,0))*parametros_manuales!$C$100+parametros_manuales!$F$38*(datos_base!$K$4+datos_base!$K$20+IF(parametros_manuales!$H$38="Todos",datos_base!$K$11+datos_base!$K$25,0))*parametros_manuales!$C$105+parametros_manuales!$G$38*(datos_base!$K$5+datos_base!$K$21+IF(parametros_manuales!$H$38="Todos",datos_base!$K$12+datos_base!$K$26,0))*parametros_manuales!$C$110)*parametros_manuales!$I$38*parametros_manuales!$J$38</f>
        <v>6095.77314114</v>
      </c>
      <c r="D264" s="9" t="n">
        <f aca="false">(parametros_manuales!$D$38*(datos_base!$K$2+datos_base!$K$18+IF(parametros_manuales!$H$38="Todos",datos_base!$K$9+datos_base!$K$23,0))*parametros_manuales!$D$95+parametros_manuales!$E$38*(datos_base!$K$3+datos_base!$K$19+IF(parametros_manuales!$H$38="Todos",datos_base!$K$10+datos_base!$K$24,0))*parametros_manuales!$D$100+parametros_manuales!$F$38*(datos_base!$K$4+datos_base!$K$20+IF(parametros_manuales!$H$38="Todos",datos_base!$K$11+datos_base!$K$25,0))*parametros_manuales!$D$105+parametros_manuales!$G$38*(datos_base!$K$5+datos_base!$K$21+IF(parametros_manuales!$H$38="Todos",datos_base!$K$12+datos_base!$K$26,0))*parametros_manuales!$D$110)*parametros_manuales!$I$38*parametros_manuales!$J$38</f>
        <v>5975.623976055</v>
      </c>
      <c r="E264" s="9" t="n">
        <f aca="false">(parametros_manuales!$D$38*(datos_base!$K$2+datos_base!$K$18+IF(parametros_manuales!$H$38="Todos",datos_base!$K$9+datos_base!$K$23,0))*parametros_manuales!$E$95+parametros_manuales!$E$38*(datos_base!$K$3+datos_base!$K$19+IF(parametros_manuales!$H$38="Todos",datos_base!$K$10+datos_base!$K$24,0))*parametros_manuales!$E$100+parametros_manuales!$F$38*(datos_base!$K$4+datos_base!$K$20+IF(parametros_manuales!$H$38="Todos",datos_base!$K$11+datos_base!$K$25,0))*parametros_manuales!$E$105+parametros_manuales!$G$38*(datos_base!$K$5+datos_base!$K$21+IF(parametros_manuales!$H$38="Todos",datos_base!$K$12+datos_base!$K$26,0))*parametros_manuales!$E$110)*parametros_manuales!$I$38*parametros_manuales!$J$38</f>
        <v>5815.260780405</v>
      </c>
      <c r="F264" s="9" t="n">
        <f aca="false">(parametros_manuales!$D$38*(datos_base!$K$2+datos_base!$K$18+IF(parametros_manuales!$H$38="Todos",datos_base!$K$9+datos_base!$K$23,0))*parametros_manuales!$F$95+parametros_manuales!$E$38*(datos_base!$K$3+datos_base!$K$19+IF(parametros_manuales!$H$38="Todos",datos_base!$K$10+datos_base!$K$24,0))*parametros_manuales!$F$100+parametros_manuales!$F$38*(datos_base!$K$4+datos_base!$K$20+IF(parametros_manuales!$H$38="Todos",datos_base!$K$11+datos_base!$K$25,0))*parametros_manuales!$F$105+parametros_manuales!$G$38*(datos_base!$K$5+datos_base!$K$21+IF(parametros_manuales!$H$38="Todos",datos_base!$K$12+datos_base!$K$26,0))*parametros_manuales!$F$110)*parametros_manuales!$I$38*parametros_manuales!$J$38</f>
        <v>5454.32035854</v>
      </c>
      <c r="G264" s="9" t="n">
        <f aca="false">(parametros_manuales!$D$38*(datos_base!$K$2+datos_base!$K$18+IF(parametros_manuales!$H$38="Todos",datos_base!$K$9+datos_base!$K$23,0))*parametros_manuales!$G$95+parametros_manuales!$E$38*(datos_base!$K$3+datos_base!$K$19+IF(parametros_manuales!$H$38="Todos",datos_base!$K$10+datos_base!$K$24,0))*parametros_manuales!$G$100+parametros_manuales!$F$38*(datos_base!$K$4+datos_base!$K$20+IF(parametros_manuales!$H$38="Todos",datos_base!$K$11+datos_base!$K$25,0))*parametros_manuales!$G$105+parametros_manuales!$G$38*(datos_base!$K$5+datos_base!$K$21+IF(parametros_manuales!$H$38="Todos",datos_base!$K$12+datos_base!$K$26,0))*parametros_manuales!$G$110)*parametros_manuales!$I$38*parametros_manuales!$J$38</f>
        <v>5253.743132325</v>
      </c>
      <c r="H264" s="9" t="n">
        <f aca="false">(parametros_manuales!$D$38*(datos_base!$K$2+datos_base!$K$18+IF(parametros_manuales!$H$38="Todos",datos_base!$K$9+datos_base!$K$23,0))*parametros_manuales!$H$95+parametros_manuales!$E$38*(datos_base!$K$3+datos_base!$K$19+IF(parametros_manuales!$H$38="Todos",datos_base!$K$10+datos_base!$K$24,0))*parametros_manuales!$H$100+parametros_manuales!$F$38*(datos_base!$K$4+datos_base!$K$20+IF(parametros_manuales!$H$38="Todos",datos_base!$K$11+datos_base!$K$25,0))*parametros_manuales!$H$105+parametros_manuales!$G$38*(datos_base!$K$5+datos_base!$K$21+IF(parametros_manuales!$H$38="Todos",datos_base!$K$12+datos_base!$K$26,0))*parametros_manuales!$H$110)*parametros_manuales!$I$38*parametros_manuales!$J$38</f>
        <v>5614.68355419</v>
      </c>
      <c r="I264" s="9" t="n">
        <f aca="false">(parametros_manuales!$D$38*(datos_base!$K$2+datos_base!$K$18+IF(parametros_manuales!$H$38="Todos",datos_base!$K$9+datos_base!$K$23,0))*parametros_manuales!$I$95+parametros_manuales!$E$38*(datos_base!$K$3+datos_base!$K$19+IF(parametros_manuales!$H$38="Todos",datos_base!$K$10+datos_base!$K$24,0))*parametros_manuales!$I$100+parametros_manuales!$F$38*(datos_base!$K$4+datos_base!$K$20+IF(parametros_manuales!$H$38="Todos",datos_base!$K$11+datos_base!$K$25,0))*parametros_manuales!$I$105+parametros_manuales!$G$38*(datos_base!$K$5+datos_base!$K$21+IF(parametros_manuales!$H$38="Todos",datos_base!$K$12+datos_base!$K$26,0))*parametros_manuales!$I$110)*parametros_manuales!$I$38*parametros_manuales!$J$38</f>
        <v>6095.77314114</v>
      </c>
      <c r="J264" s="9" t="n">
        <f aca="false">(parametros_manuales!$D$38*(datos_base!$K$2+datos_base!$K$18+IF(parametros_manuales!$H$38="Todos",datos_base!$K$9+datos_base!$K$23,0))*parametros_manuales!$J$95+parametros_manuales!$E$38*(datos_base!$K$3+datos_base!$K$19+IF(parametros_manuales!$H$38="Todos",datos_base!$K$10+datos_base!$K$24,0))*parametros_manuales!$J$100+parametros_manuales!$F$38*(datos_base!$K$4+datos_base!$K$20+IF(parametros_manuales!$H$38="Todos",datos_base!$K$11+datos_base!$K$25,0))*parametros_manuales!$J$105+parametros_manuales!$G$38*(datos_base!$K$5+datos_base!$K$21+IF(parametros_manuales!$H$38="Todos",datos_base!$K$12+datos_base!$K$26,0))*parametros_manuales!$J$110)*parametros_manuales!$I$38*parametros_manuales!$J$38</f>
        <v>6095.77314114</v>
      </c>
      <c r="K264" s="9" t="n">
        <f aca="false">(parametros_manuales!$D$38*(datos_base!$K$2+datos_base!$K$18+IF(parametros_manuales!$H$38="Todos",datos_base!$K$9+datos_base!$K$23,0))*parametros_manuales!$K$95+parametros_manuales!$E$38*(datos_base!$K$3+datos_base!$K$19+IF(parametros_manuales!$H$38="Todos",datos_base!$K$10+datos_base!$K$24,0))*parametros_manuales!$K$100+parametros_manuales!$F$38*(datos_base!$K$4+datos_base!$K$20+IF(parametros_manuales!$H$38="Todos",datos_base!$K$11+datos_base!$K$25,0))*parametros_manuales!$K$105+parametros_manuales!$G$38*(datos_base!$K$5+datos_base!$K$21+IF(parametros_manuales!$H$38="Todos",datos_base!$K$12+datos_base!$K$26,0))*parametros_manuales!$K$110)*parametros_manuales!$I$38*parametros_manuales!$J$38</f>
        <v>6296.350367355</v>
      </c>
      <c r="L264" s="9" t="n">
        <f aca="false">(parametros_manuales!$D$38*(datos_base!$K$2+datos_base!$K$18+IF(parametros_manuales!$H$38="Todos",datos_base!$K$9+datos_base!$K$23,0))*parametros_manuales!$L$95+parametros_manuales!$E$38*(datos_base!$K$3+datos_base!$K$19+IF(parametros_manuales!$H$38="Todos",datos_base!$K$10+datos_base!$K$24,0))*parametros_manuales!$L$100+parametros_manuales!$F$38*(datos_base!$K$4+datos_base!$K$20+IF(parametros_manuales!$H$38="Todos",datos_base!$K$11+datos_base!$K$25,0))*parametros_manuales!$L$105+parametros_manuales!$G$38*(datos_base!$K$5+datos_base!$K$21+IF(parametros_manuales!$H$38="Todos",datos_base!$K$12+datos_base!$K$26,0))*parametros_manuales!$L$110)*parametros_manuales!$I$38*parametros_manuales!$J$38</f>
        <v>6496.92759357</v>
      </c>
      <c r="M264" s="9" t="n">
        <f aca="false">(parametros_manuales!$D$38*(datos_base!$K$2+datos_base!$K$18+IF(parametros_manuales!$H$38="Todos",datos_base!$K$9+datos_base!$K$23,0))*parametros_manuales!$M$95+parametros_manuales!$E$38*(datos_base!$K$3+datos_base!$K$19+IF(parametros_manuales!$H$38="Todos",datos_base!$K$10+datos_base!$K$24,0))*parametros_manuales!$M$100+parametros_manuales!$F$38*(datos_base!$K$4+datos_base!$K$20+IF(parametros_manuales!$H$38="Todos",datos_base!$K$11+datos_base!$K$25,0))*parametros_manuales!$M$105+parametros_manuales!$G$38*(datos_base!$K$5+datos_base!$K$21+IF(parametros_manuales!$H$38="Todos",datos_base!$K$12+datos_base!$K$26,0))*parametros_manuales!$M$110)*parametros_manuales!$I$38*parametros_manuales!$J$38</f>
        <v>6496.92759357</v>
      </c>
      <c r="N264" s="9" t="n">
        <f aca="false">SUM(B264:M264)</f>
        <v>72188.084373</v>
      </c>
      <c r="O264" s="9" t="n">
        <f aca="false">MAX(B264:M264)</f>
        <v>6496.92759357</v>
      </c>
      <c r="P264" s="43" t="n">
        <f aca="false">O264/(parametros_manuales!$B$7)</f>
        <v>43.3128506238</v>
      </c>
      <c r="Q264" s="8" t="str">
        <f aca="false">IF(O264=0,"-",INDEX($B$244:$M$244,MATCH(O264,B264:M264,0)))</f>
        <v>Ene</v>
      </c>
    </row>
    <row r="265" customFormat="false" ht="14.25" hidden="false" customHeight="true" outlineLevel="0" collapsed="false">
      <c r="A265" s="8" t="str">
        <f aca="false">parametros_manuales!$B$39</f>
        <v>Ensamblaje</v>
      </c>
      <c r="B265" s="9" t="n">
        <f aca="false">(parametros_manuales!$D$39*(datos_base!$K$2+datos_base!$K$18+IF(parametros_manuales!$H$39="Todos",datos_base!$K$9+datos_base!$K$23,0))*parametros_manuales!$B$95+parametros_manuales!$E$39*(datos_base!$K$3+datos_base!$K$19+IF(parametros_manuales!$H$39="Todos",datos_base!$K$10+datos_base!$K$24,0))*parametros_manuales!$B$100+parametros_manuales!$F$39*(datos_base!$K$4+datos_base!$K$20+IF(parametros_manuales!$H$39="Todos",datos_base!$K$11+datos_base!$K$25,0))*parametros_manuales!$B$105+parametros_manuales!$G$39*(datos_base!$K$5+datos_base!$K$21+IF(parametros_manuales!$H$39="Todos",datos_base!$K$12+datos_base!$K$26,0))*parametros_manuales!$B$110)*parametros_manuales!$I$39*parametros_manuales!$J$39</f>
        <v>6496.92759357</v>
      </c>
      <c r="C265" s="9" t="n">
        <f aca="false">(parametros_manuales!$D$39*(datos_base!$K$2+datos_base!$K$18+IF(parametros_manuales!$H$39="Todos",datos_base!$K$9+datos_base!$K$23,0))*parametros_manuales!$C$95+parametros_manuales!$E$39*(datos_base!$K$3+datos_base!$K$19+IF(parametros_manuales!$H$39="Todos",datos_base!$K$10+datos_base!$K$24,0))*parametros_manuales!$C$100+parametros_manuales!$F$39*(datos_base!$K$4+datos_base!$K$20+IF(parametros_manuales!$H$39="Todos",datos_base!$K$11+datos_base!$K$25,0))*parametros_manuales!$C$105+parametros_manuales!$G$39*(datos_base!$K$5+datos_base!$K$21+IF(parametros_manuales!$H$39="Todos",datos_base!$K$12+datos_base!$K$26,0))*parametros_manuales!$C$110)*parametros_manuales!$I$39*parametros_manuales!$J$39</f>
        <v>6095.77314114</v>
      </c>
      <c r="D265" s="9" t="n">
        <f aca="false">(parametros_manuales!$D$39*(datos_base!$K$2+datos_base!$K$18+IF(parametros_manuales!$H$39="Todos",datos_base!$K$9+datos_base!$K$23,0))*parametros_manuales!$D$95+parametros_manuales!$E$39*(datos_base!$K$3+datos_base!$K$19+IF(parametros_manuales!$H$39="Todos",datos_base!$K$10+datos_base!$K$24,0))*parametros_manuales!$D$100+parametros_manuales!$F$39*(datos_base!$K$4+datos_base!$K$20+IF(parametros_manuales!$H$39="Todos",datos_base!$K$11+datos_base!$K$25,0))*parametros_manuales!$D$105+parametros_manuales!$G$39*(datos_base!$K$5+datos_base!$K$21+IF(parametros_manuales!$H$39="Todos",datos_base!$K$12+datos_base!$K$26,0))*parametros_manuales!$D$110)*parametros_manuales!$I$39*parametros_manuales!$J$39</f>
        <v>5975.623976055</v>
      </c>
      <c r="E265" s="9" t="n">
        <f aca="false">(parametros_manuales!$D$39*(datos_base!$K$2+datos_base!$K$18+IF(parametros_manuales!$H$39="Todos",datos_base!$K$9+datos_base!$K$23,0))*parametros_manuales!$E$95+parametros_manuales!$E$39*(datos_base!$K$3+datos_base!$K$19+IF(parametros_manuales!$H$39="Todos",datos_base!$K$10+datos_base!$K$24,0))*parametros_manuales!$E$100+parametros_manuales!$F$39*(datos_base!$K$4+datos_base!$K$20+IF(parametros_manuales!$H$39="Todos",datos_base!$K$11+datos_base!$K$25,0))*parametros_manuales!$E$105+parametros_manuales!$G$39*(datos_base!$K$5+datos_base!$K$21+IF(parametros_manuales!$H$39="Todos",datos_base!$K$12+datos_base!$K$26,0))*parametros_manuales!$E$110)*parametros_manuales!$I$39*parametros_manuales!$J$39</f>
        <v>5815.260780405</v>
      </c>
      <c r="F265" s="9" t="n">
        <f aca="false">(parametros_manuales!$D$39*(datos_base!$K$2+datos_base!$K$18+IF(parametros_manuales!$H$39="Todos",datos_base!$K$9+datos_base!$K$23,0))*parametros_manuales!$F$95+parametros_manuales!$E$39*(datos_base!$K$3+datos_base!$K$19+IF(parametros_manuales!$H$39="Todos",datos_base!$K$10+datos_base!$K$24,0))*parametros_manuales!$F$100+parametros_manuales!$F$39*(datos_base!$K$4+datos_base!$K$20+IF(parametros_manuales!$H$39="Todos",datos_base!$K$11+datos_base!$K$25,0))*parametros_manuales!$F$105+parametros_manuales!$G$39*(datos_base!$K$5+datos_base!$K$21+IF(parametros_manuales!$H$39="Todos",datos_base!$K$12+datos_base!$K$26,0))*parametros_manuales!$F$110)*parametros_manuales!$I$39*parametros_manuales!$J$39</f>
        <v>5454.32035854</v>
      </c>
      <c r="G265" s="9" t="n">
        <f aca="false">(parametros_manuales!$D$39*(datos_base!$K$2+datos_base!$K$18+IF(parametros_manuales!$H$39="Todos",datos_base!$K$9+datos_base!$K$23,0))*parametros_manuales!$G$95+parametros_manuales!$E$39*(datos_base!$K$3+datos_base!$K$19+IF(parametros_manuales!$H$39="Todos",datos_base!$K$10+datos_base!$K$24,0))*parametros_manuales!$G$100+parametros_manuales!$F$39*(datos_base!$K$4+datos_base!$K$20+IF(parametros_manuales!$H$39="Todos",datos_base!$K$11+datos_base!$K$25,0))*parametros_manuales!$G$105+parametros_manuales!$G$39*(datos_base!$K$5+datos_base!$K$21+IF(parametros_manuales!$H$39="Todos",datos_base!$K$12+datos_base!$K$26,0))*parametros_manuales!$G$110)*parametros_manuales!$I$39*parametros_manuales!$J$39</f>
        <v>5253.743132325</v>
      </c>
      <c r="H265" s="9" t="n">
        <f aca="false">(parametros_manuales!$D$39*(datos_base!$K$2+datos_base!$K$18+IF(parametros_manuales!$H$39="Todos",datos_base!$K$9+datos_base!$K$23,0))*parametros_manuales!$H$95+parametros_manuales!$E$39*(datos_base!$K$3+datos_base!$K$19+IF(parametros_manuales!$H$39="Todos",datos_base!$K$10+datos_base!$K$24,0))*parametros_manuales!$H$100+parametros_manuales!$F$39*(datos_base!$K$4+datos_base!$K$20+IF(parametros_manuales!$H$39="Todos",datos_base!$K$11+datos_base!$K$25,0))*parametros_manuales!$H$105+parametros_manuales!$G$39*(datos_base!$K$5+datos_base!$K$21+IF(parametros_manuales!$H$39="Todos",datos_base!$K$12+datos_base!$K$26,0))*parametros_manuales!$H$110)*parametros_manuales!$I$39*parametros_manuales!$J$39</f>
        <v>5614.68355419</v>
      </c>
      <c r="I265" s="9" t="n">
        <f aca="false">(parametros_manuales!$D$39*(datos_base!$K$2+datos_base!$K$18+IF(parametros_manuales!$H$39="Todos",datos_base!$K$9+datos_base!$K$23,0))*parametros_manuales!$I$95+parametros_manuales!$E$39*(datos_base!$K$3+datos_base!$K$19+IF(parametros_manuales!$H$39="Todos",datos_base!$K$10+datos_base!$K$24,0))*parametros_manuales!$I$100+parametros_manuales!$F$39*(datos_base!$K$4+datos_base!$K$20+IF(parametros_manuales!$H$39="Todos",datos_base!$K$11+datos_base!$K$25,0))*parametros_manuales!$I$105+parametros_manuales!$G$39*(datos_base!$K$5+datos_base!$K$21+IF(parametros_manuales!$H$39="Todos",datos_base!$K$12+datos_base!$K$26,0))*parametros_manuales!$I$110)*parametros_manuales!$I$39*parametros_manuales!$J$39</f>
        <v>6095.77314114</v>
      </c>
      <c r="J265" s="9" t="n">
        <f aca="false">(parametros_manuales!$D$39*(datos_base!$K$2+datos_base!$K$18+IF(parametros_manuales!$H$39="Todos",datos_base!$K$9+datos_base!$K$23,0))*parametros_manuales!$J$95+parametros_manuales!$E$39*(datos_base!$K$3+datos_base!$K$19+IF(parametros_manuales!$H$39="Todos",datos_base!$K$10+datos_base!$K$24,0))*parametros_manuales!$J$100+parametros_manuales!$F$39*(datos_base!$K$4+datos_base!$K$20+IF(parametros_manuales!$H$39="Todos",datos_base!$K$11+datos_base!$K$25,0))*parametros_manuales!$J$105+parametros_manuales!$G$39*(datos_base!$K$5+datos_base!$K$21+IF(parametros_manuales!$H$39="Todos",datos_base!$K$12+datos_base!$K$26,0))*parametros_manuales!$J$110)*parametros_manuales!$I$39*parametros_manuales!$J$39</f>
        <v>6095.77314114</v>
      </c>
      <c r="K265" s="9" t="n">
        <f aca="false">(parametros_manuales!$D$39*(datos_base!$K$2+datos_base!$K$18+IF(parametros_manuales!$H$39="Todos",datos_base!$K$9+datos_base!$K$23,0))*parametros_manuales!$K$95+parametros_manuales!$E$39*(datos_base!$K$3+datos_base!$K$19+IF(parametros_manuales!$H$39="Todos",datos_base!$K$10+datos_base!$K$24,0))*parametros_manuales!$K$100+parametros_manuales!$F$39*(datos_base!$K$4+datos_base!$K$20+IF(parametros_manuales!$H$39="Todos",datos_base!$K$11+datos_base!$K$25,0))*parametros_manuales!$K$105+parametros_manuales!$G$39*(datos_base!$K$5+datos_base!$K$21+IF(parametros_manuales!$H$39="Todos",datos_base!$K$12+datos_base!$K$26,0))*parametros_manuales!$K$110)*parametros_manuales!$I$39*parametros_manuales!$J$39</f>
        <v>6296.350367355</v>
      </c>
      <c r="L265" s="9" t="n">
        <f aca="false">(parametros_manuales!$D$39*(datos_base!$K$2+datos_base!$K$18+IF(parametros_manuales!$H$39="Todos",datos_base!$K$9+datos_base!$K$23,0))*parametros_manuales!$L$95+parametros_manuales!$E$39*(datos_base!$K$3+datos_base!$K$19+IF(parametros_manuales!$H$39="Todos",datos_base!$K$10+datos_base!$K$24,0))*parametros_manuales!$L$100+parametros_manuales!$F$39*(datos_base!$K$4+datos_base!$K$20+IF(parametros_manuales!$H$39="Todos",datos_base!$K$11+datos_base!$K$25,0))*parametros_manuales!$L$105+parametros_manuales!$G$39*(datos_base!$K$5+datos_base!$K$21+IF(parametros_manuales!$H$39="Todos",datos_base!$K$12+datos_base!$K$26,0))*parametros_manuales!$L$110)*parametros_manuales!$I$39*parametros_manuales!$J$39</f>
        <v>6496.92759357</v>
      </c>
      <c r="M265" s="9" t="n">
        <f aca="false">(parametros_manuales!$D$39*(datos_base!$K$2+datos_base!$K$18+IF(parametros_manuales!$H$39="Todos",datos_base!$K$9+datos_base!$K$23,0))*parametros_manuales!$M$95+parametros_manuales!$E$39*(datos_base!$K$3+datos_base!$K$19+IF(parametros_manuales!$H$39="Todos",datos_base!$K$10+datos_base!$K$24,0))*parametros_manuales!$M$100+parametros_manuales!$F$39*(datos_base!$K$4+datos_base!$K$20+IF(parametros_manuales!$H$39="Todos",datos_base!$K$11+datos_base!$K$25,0))*parametros_manuales!$M$105+parametros_manuales!$G$39*(datos_base!$K$5+datos_base!$K$21+IF(parametros_manuales!$H$39="Todos",datos_base!$K$12+datos_base!$K$26,0))*parametros_manuales!$M$110)*parametros_manuales!$I$39*parametros_manuales!$J$39</f>
        <v>6496.92759357</v>
      </c>
      <c r="N265" s="9" t="n">
        <f aca="false">SUM(B265:M265)</f>
        <v>72188.084373</v>
      </c>
      <c r="O265" s="9" t="n">
        <f aca="false">MAX(B265:M265)</f>
        <v>6496.92759357</v>
      </c>
      <c r="P265" s="43" t="n">
        <f aca="false">O265/(parametros_manuales!$B$7)</f>
        <v>43.3128506238</v>
      </c>
      <c r="Q265" s="8" t="str">
        <f aca="false">IF(O265=0,"-",INDEX($B$244:$M$244,MATCH(O265,B265:M265,0)))</f>
        <v>Ene</v>
      </c>
    </row>
    <row r="266" customFormat="false" ht="14.25" hidden="false" customHeight="true" outlineLevel="0" collapsed="false">
      <c r="A266" s="8" t="str">
        <f aca="false">parametros_manuales!$B$40</f>
        <v>Presurización</v>
      </c>
      <c r="B266" s="9" t="n">
        <f aca="false">(parametros_manuales!$D$40*(datos_base!$K$2+datos_base!$K$18+IF(parametros_manuales!$H$40="Todos",datos_base!$K$9+datos_base!$K$23,0))*parametros_manuales!$B$95+parametros_manuales!$E$40*(datos_base!$K$3+datos_base!$K$19+IF(parametros_manuales!$H$40="Todos",datos_base!$K$10+datos_base!$K$24,0))*parametros_manuales!$B$100+parametros_manuales!$F$40*(datos_base!$K$4+datos_base!$K$20+IF(parametros_manuales!$H$40="Todos",datos_base!$K$11+datos_base!$K$25,0))*parametros_manuales!$B$105+parametros_manuales!$G$40*(datos_base!$K$5+datos_base!$K$21+IF(parametros_manuales!$H$40="Todos",datos_base!$K$12+datos_base!$K$26,0))*parametros_manuales!$B$110)*parametros_manuales!$I$40*parametros_manuales!$J$40</f>
        <v>6496.92759357</v>
      </c>
      <c r="C266" s="9" t="n">
        <f aca="false">(parametros_manuales!$D$40*(datos_base!$K$2+datos_base!$K$18+IF(parametros_manuales!$H$40="Todos",datos_base!$K$9+datos_base!$K$23,0))*parametros_manuales!$C$95+parametros_manuales!$E$40*(datos_base!$K$3+datos_base!$K$19+IF(parametros_manuales!$H$40="Todos",datos_base!$K$10+datos_base!$K$24,0))*parametros_manuales!$C$100+parametros_manuales!$F$40*(datos_base!$K$4+datos_base!$K$20+IF(parametros_manuales!$H$40="Todos",datos_base!$K$11+datos_base!$K$25,0))*parametros_manuales!$C$105+parametros_manuales!$G$40*(datos_base!$K$5+datos_base!$K$21+IF(parametros_manuales!$H$40="Todos",datos_base!$K$12+datos_base!$K$26,0))*parametros_manuales!$C$110)*parametros_manuales!$I$40*parametros_manuales!$J$40</f>
        <v>6095.77314114</v>
      </c>
      <c r="D266" s="9" t="n">
        <f aca="false">(parametros_manuales!$D$40*(datos_base!$K$2+datos_base!$K$18+IF(parametros_manuales!$H$40="Todos",datos_base!$K$9+datos_base!$K$23,0))*parametros_manuales!$D$95+parametros_manuales!$E$40*(datos_base!$K$3+datos_base!$K$19+IF(parametros_manuales!$H$40="Todos",datos_base!$K$10+datos_base!$K$24,0))*parametros_manuales!$D$100+parametros_manuales!$F$40*(datos_base!$K$4+datos_base!$K$20+IF(parametros_manuales!$H$40="Todos",datos_base!$K$11+datos_base!$K$25,0))*parametros_manuales!$D$105+parametros_manuales!$G$40*(datos_base!$K$5+datos_base!$K$21+IF(parametros_manuales!$H$40="Todos",datos_base!$K$12+datos_base!$K$26,0))*parametros_manuales!$D$110)*parametros_manuales!$I$40*parametros_manuales!$J$40</f>
        <v>5975.623976055</v>
      </c>
      <c r="E266" s="9" t="n">
        <f aca="false">(parametros_manuales!$D$40*(datos_base!$K$2+datos_base!$K$18+IF(parametros_manuales!$H$40="Todos",datos_base!$K$9+datos_base!$K$23,0))*parametros_manuales!$E$95+parametros_manuales!$E$40*(datos_base!$K$3+datos_base!$K$19+IF(parametros_manuales!$H$40="Todos",datos_base!$K$10+datos_base!$K$24,0))*parametros_manuales!$E$100+parametros_manuales!$F$40*(datos_base!$K$4+datos_base!$K$20+IF(parametros_manuales!$H$40="Todos",datos_base!$K$11+datos_base!$K$25,0))*parametros_manuales!$E$105+parametros_manuales!$G$40*(datos_base!$K$5+datos_base!$K$21+IF(parametros_manuales!$H$40="Todos",datos_base!$K$12+datos_base!$K$26,0))*parametros_manuales!$E$110)*parametros_manuales!$I$40*parametros_manuales!$J$40</f>
        <v>5815.260780405</v>
      </c>
      <c r="F266" s="9" t="n">
        <f aca="false">(parametros_manuales!$D$40*(datos_base!$K$2+datos_base!$K$18+IF(parametros_manuales!$H$40="Todos",datos_base!$K$9+datos_base!$K$23,0))*parametros_manuales!$F$95+parametros_manuales!$E$40*(datos_base!$K$3+datos_base!$K$19+IF(parametros_manuales!$H$40="Todos",datos_base!$K$10+datos_base!$K$24,0))*parametros_manuales!$F$100+parametros_manuales!$F$40*(datos_base!$K$4+datos_base!$K$20+IF(parametros_manuales!$H$40="Todos",datos_base!$K$11+datos_base!$K$25,0))*parametros_manuales!$F$105+parametros_manuales!$G$40*(datos_base!$K$5+datos_base!$K$21+IF(parametros_manuales!$H$40="Todos",datos_base!$K$12+datos_base!$K$26,0))*parametros_manuales!$F$110)*parametros_manuales!$I$40*parametros_manuales!$J$40</f>
        <v>5454.32035854</v>
      </c>
      <c r="G266" s="9" t="n">
        <f aca="false">(parametros_manuales!$D$40*(datos_base!$K$2+datos_base!$K$18+IF(parametros_manuales!$H$40="Todos",datos_base!$K$9+datos_base!$K$23,0))*parametros_manuales!$G$95+parametros_manuales!$E$40*(datos_base!$K$3+datos_base!$K$19+IF(parametros_manuales!$H$40="Todos",datos_base!$K$10+datos_base!$K$24,0))*parametros_manuales!$G$100+parametros_manuales!$F$40*(datos_base!$K$4+datos_base!$K$20+IF(parametros_manuales!$H$40="Todos",datos_base!$K$11+datos_base!$K$25,0))*parametros_manuales!$G$105+parametros_manuales!$G$40*(datos_base!$K$5+datos_base!$K$21+IF(parametros_manuales!$H$40="Todos",datos_base!$K$12+datos_base!$K$26,0))*parametros_manuales!$G$110)*parametros_manuales!$I$40*parametros_manuales!$J$40</f>
        <v>5253.743132325</v>
      </c>
      <c r="H266" s="9" t="n">
        <f aca="false">(parametros_manuales!$D$40*(datos_base!$K$2+datos_base!$K$18+IF(parametros_manuales!$H$40="Todos",datos_base!$K$9+datos_base!$K$23,0))*parametros_manuales!$H$95+parametros_manuales!$E$40*(datos_base!$K$3+datos_base!$K$19+IF(parametros_manuales!$H$40="Todos",datos_base!$K$10+datos_base!$K$24,0))*parametros_manuales!$H$100+parametros_manuales!$F$40*(datos_base!$K$4+datos_base!$K$20+IF(parametros_manuales!$H$40="Todos",datos_base!$K$11+datos_base!$K$25,0))*parametros_manuales!$H$105+parametros_manuales!$G$40*(datos_base!$K$5+datos_base!$K$21+IF(parametros_manuales!$H$40="Todos",datos_base!$K$12+datos_base!$K$26,0))*parametros_manuales!$H$110)*parametros_manuales!$I$40*parametros_manuales!$J$40</f>
        <v>5614.68355419</v>
      </c>
      <c r="I266" s="9" t="n">
        <f aca="false">(parametros_manuales!$D$40*(datos_base!$K$2+datos_base!$K$18+IF(parametros_manuales!$H$40="Todos",datos_base!$K$9+datos_base!$K$23,0))*parametros_manuales!$I$95+parametros_manuales!$E$40*(datos_base!$K$3+datos_base!$K$19+IF(parametros_manuales!$H$40="Todos",datos_base!$K$10+datos_base!$K$24,0))*parametros_manuales!$I$100+parametros_manuales!$F$40*(datos_base!$K$4+datos_base!$K$20+IF(parametros_manuales!$H$40="Todos",datos_base!$K$11+datos_base!$K$25,0))*parametros_manuales!$I$105+parametros_manuales!$G$40*(datos_base!$K$5+datos_base!$K$21+IF(parametros_manuales!$H$40="Todos",datos_base!$K$12+datos_base!$K$26,0))*parametros_manuales!$I$110)*parametros_manuales!$I$40*parametros_manuales!$J$40</f>
        <v>6095.77314114</v>
      </c>
      <c r="J266" s="9" t="n">
        <f aca="false">(parametros_manuales!$D$40*(datos_base!$K$2+datos_base!$K$18+IF(parametros_manuales!$H$40="Todos",datos_base!$K$9+datos_base!$K$23,0))*parametros_manuales!$J$95+parametros_manuales!$E$40*(datos_base!$K$3+datos_base!$K$19+IF(parametros_manuales!$H$40="Todos",datos_base!$K$10+datos_base!$K$24,0))*parametros_manuales!$J$100+parametros_manuales!$F$40*(datos_base!$K$4+datos_base!$K$20+IF(parametros_manuales!$H$40="Todos",datos_base!$K$11+datos_base!$K$25,0))*parametros_manuales!$J$105+parametros_manuales!$G$40*(datos_base!$K$5+datos_base!$K$21+IF(parametros_manuales!$H$40="Todos",datos_base!$K$12+datos_base!$K$26,0))*parametros_manuales!$J$110)*parametros_manuales!$I$40*parametros_manuales!$J$40</f>
        <v>6095.77314114</v>
      </c>
      <c r="K266" s="9" t="n">
        <f aca="false">(parametros_manuales!$D$40*(datos_base!$K$2+datos_base!$K$18+IF(parametros_manuales!$H$40="Todos",datos_base!$K$9+datos_base!$K$23,0))*parametros_manuales!$K$95+parametros_manuales!$E$40*(datos_base!$K$3+datos_base!$K$19+IF(parametros_manuales!$H$40="Todos",datos_base!$K$10+datos_base!$K$24,0))*parametros_manuales!$K$100+parametros_manuales!$F$40*(datos_base!$K$4+datos_base!$K$20+IF(parametros_manuales!$H$40="Todos",datos_base!$K$11+datos_base!$K$25,0))*parametros_manuales!$K$105+parametros_manuales!$G$40*(datos_base!$K$5+datos_base!$K$21+IF(parametros_manuales!$H$40="Todos",datos_base!$K$12+datos_base!$K$26,0))*parametros_manuales!$K$110)*parametros_manuales!$I$40*parametros_manuales!$J$40</f>
        <v>6296.350367355</v>
      </c>
      <c r="L266" s="9" t="n">
        <f aca="false">(parametros_manuales!$D$40*(datos_base!$K$2+datos_base!$K$18+IF(parametros_manuales!$H$40="Todos",datos_base!$K$9+datos_base!$K$23,0))*parametros_manuales!$L$95+parametros_manuales!$E$40*(datos_base!$K$3+datos_base!$K$19+IF(parametros_manuales!$H$40="Todos",datos_base!$K$10+datos_base!$K$24,0))*parametros_manuales!$L$100+parametros_manuales!$F$40*(datos_base!$K$4+datos_base!$K$20+IF(parametros_manuales!$H$40="Todos",datos_base!$K$11+datos_base!$K$25,0))*parametros_manuales!$L$105+parametros_manuales!$G$40*(datos_base!$K$5+datos_base!$K$21+IF(parametros_manuales!$H$40="Todos",datos_base!$K$12+datos_base!$K$26,0))*parametros_manuales!$L$110)*parametros_manuales!$I$40*parametros_manuales!$J$40</f>
        <v>6496.92759357</v>
      </c>
      <c r="M266" s="9" t="n">
        <f aca="false">(parametros_manuales!$D$40*(datos_base!$K$2+datos_base!$K$18+IF(parametros_manuales!$H$40="Todos",datos_base!$K$9+datos_base!$K$23,0))*parametros_manuales!$M$95+parametros_manuales!$E$40*(datos_base!$K$3+datos_base!$K$19+IF(parametros_manuales!$H$40="Todos",datos_base!$K$10+datos_base!$K$24,0))*parametros_manuales!$M$100+parametros_manuales!$F$40*(datos_base!$K$4+datos_base!$K$20+IF(parametros_manuales!$H$40="Todos",datos_base!$K$11+datos_base!$K$25,0))*parametros_manuales!$M$105+parametros_manuales!$G$40*(datos_base!$K$5+datos_base!$K$21+IF(parametros_manuales!$H$40="Todos",datos_base!$K$12+datos_base!$K$26,0))*parametros_manuales!$M$110)*parametros_manuales!$I$40*parametros_manuales!$J$40</f>
        <v>6496.92759357</v>
      </c>
      <c r="N266" s="9" t="n">
        <f aca="false">SUM(B266:M266)</f>
        <v>72188.084373</v>
      </c>
      <c r="O266" s="9" t="n">
        <f aca="false">MAX(B266:M266)</f>
        <v>6496.92759357</v>
      </c>
      <c r="P266" s="43" t="n">
        <f aca="false">O266/(parametros_manuales!$B$7)</f>
        <v>43.3128506238</v>
      </c>
      <c r="Q266" s="8" t="str">
        <f aca="false">IF(O266=0,"-",INDEX($B$244:$M$244,MATCH(O266,B266:M266,0)))</f>
        <v>Ene</v>
      </c>
    </row>
    <row r="267" customFormat="false" ht="14.25" hidden="false" customHeight="true" outlineLevel="0" collapsed="false">
      <c r="A267" s="8" t="str">
        <f aca="false">parametros_manuales!$B$41</f>
        <v>Control de calidad — Ensayo de pérdidas</v>
      </c>
      <c r="B267" s="9" t="n">
        <f aca="false">(parametros_manuales!$D$41*(datos_base!$K$2+datos_base!$K$18+IF(parametros_manuales!$H$41="Todos",datos_base!$K$9+datos_base!$K$23,0))*parametros_manuales!$B$95+parametros_manuales!$E$41*(datos_base!$K$3+datos_base!$K$19+IF(parametros_manuales!$H$41="Todos",datos_base!$K$10+datos_base!$K$24,0))*parametros_manuales!$B$100+parametros_manuales!$F$41*(datos_base!$K$4+datos_base!$K$20+IF(parametros_manuales!$H$41="Todos",datos_base!$K$11+datos_base!$K$25,0))*parametros_manuales!$B$105+parametros_manuales!$G$41*(datos_base!$K$5+datos_base!$K$21+IF(parametros_manuales!$H$41="Todos",datos_base!$K$12+datos_base!$K$26,0))*parametros_manuales!$B$110)*parametros_manuales!$I$41*parametros_manuales!$J$41</f>
        <v>6496.92759357</v>
      </c>
      <c r="C267" s="9" t="n">
        <f aca="false">(parametros_manuales!$D$41*(datos_base!$K$2+datos_base!$K$18+IF(parametros_manuales!$H$41="Todos",datos_base!$K$9+datos_base!$K$23,0))*parametros_manuales!$C$95+parametros_manuales!$E$41*(datos_base!$K$3+datos_base!$K$19+IF(parametros_manuales!$H$41="Todos",datos_base!$K$10+datos_base!$K$24,0))*parametros_manuales!$C$100+parametros_manuales!$F$41*(datos_base!$K$4+datos_base!$K$20+IF(parametros_manuales!$H$41="Todos",datos_base!$K$11+datos_base!$K$25,0))*parametros_manuales!$C$105+parametros_manuales!$G$41*(datos_base!$K$5+datos_base!$K$21+IF(parametros_manuales!$H$41="Todos",datos_base!$K$12+datos_base!$K$26,0))*parametros_manuales!$C$110)*parametros_manuales!$I$41*parametros_manuales!$J$41</f>
        <v>6095.77314114</v>
      </c>
      <c r="D267" s="9" t="n">
        <f aca="false">(parametros_manuales!$D$41*(datos_base!$K$2+datos_base!$K$18+IF(parametros_manuales!$H$41="Todos",datos_base!$K$9+datos_base!$K$23,0))*parametros_manuales!$D$95+parametros_manuales!$E$41*(datos_base!$K$3+datos_base!$K$19+IF(parametros_manuales!$H$41="Todos",datos_base!$K$10+datos_base!$K$24,0))*parametros_manuales!$D$100+parametros_manuales!$F$41*(datos_base!$K$4+datos_base!$K$20+IF(parametros_manuales!$H$41="Todos",datos_base!$K$11+datos_base!$K$25,0))*parametros_manuales!$D$105+parametros_manuales!$G$41*(datos_base!$K$5+datos_base!$K$21+IF(parametros_manuales!$H$41="Todos",datos_base!$K$12+datos_base!$K$26,0))*parametros_manuales!$D$110)*parametros_manuales!$I$41*parametros_manuales!$J$41</f>
        <v>5975.623976055</v>
      </c>
      <c r="E267" s="9" t="n">
        <f aca="false">(parametros_manuales!$D$41*(datos_base!$K$2+datos_base!$K$18+IF(parametros_manuales!$H$41="Todos",datos_base!$K$9+datos_base!$K$23,0))*parametros_manuales!$E$95+parametros_manuales!$E$41*(datos_base!$K$3+datos_base!$K$19+IF(parametros_manuales!$H$41="Todos",datos_base!$K$10+datos_base!$K$24,0))*parametros_manuales!$E$100+parametros_manuales!$F$41*(datos_base!$K$4+datos_base!$K$20+IF(parametros_manuales!$H$41="Todos",datos_base!$K$11+datos_base!$K$25,0))*parametros_manuales!$E$105+parametros_manuales!$G$41*(datos_base!$K$5+datos_base!$K$21+IF(parametros_manuales!$H$41="Todos",datos_base!$K$12+datos_base!$K$26,0))*parametros_manuales!$E$110)*parametros_manuales!$I$41*parametros_manuales!$J$41</f>
        <v>5815.260780405</v>
      </c>
      <c r="F267" s="9" t="n">
        <f aca="false">(parametros_manuales!$D$41*(datos_base!$K$2+datos_base!$K$18+IF(parametros_manuales!$H$41="Todos",datos_base!$K$9+datos_base!$K$23,0))*parametros_manuales!$F$95+parametros_manuales!$E$41*(datos_base!$K$3+datos_base!$K$19+IF(parametros_manuales!$H$41="Todos",datos_base!$K$10+datos_base!$K$24,0))*parametros_manuales!$F$100+parametros_manuales!$F$41*(datos_base!$K$4+datos_base!$K$20+IF(parametros_manuales!$H$41="Todos",datos_base!$K$11+datos_base!$K$25,0))*parametros_manuales!$F$105+parametros_manuales!$G$41*(datos_base!$K$5+datos_base!$K$21+IF(parametros_manuales!$H$41="Todos",datos_base!$K$12+datos_base!$K$26,0))*parametros_manuales!$F$110)*parametros_manuales!$I$41*parametros_manuales!$J$41</f>
        <v>5454.32035854</v>
      </c>
      <c r="G267" s="9" t="n">
        <f aca="false">(parametros_manuales!$D$41*(datos_base!$K$2+datos_base!$K$18+IF(parametros_manuales!$H$41="Todos",datos_base!$K$9+datos_base!$K$23,0))*parametros_manuales!$G$95+parametros_manuales!$E$41*(datos_base!$K$3+datos_base!$K$19+IF(parametros_manuales!$H$41="Todos",datos_base!$K$10+datos_base!$K$24,0))*parametros_manuales!$G$100+parametros_manuales!$F$41*(datos_base!$K$4+datos_base!$K$20+IF(parametros_manuales!$H$41="Todos",datos_base!$K$11+datos_base!$K$25,0))*parametros_manuales!$G$105+parametros_manuales!$G$41*(datos_base!$K$5+datos_base!$K$21+IF(parametros_manuales!$H$41="Todos",datos_base!$K$12+datos_base!$K$26,0))*parametros_manuales!$G$110)*parametros_manuales!$I$41*parametros_manuales!$J$41</f>
        <v>5253.743132325</v>
      </c>
      <c r="H267" s="9" t="n">
        <f aca="false">(parametros_manuales!$D$41*(datos_base!$K$2+datos_base!$K$18+IF(parametros_manuales!$H$41="Todos",datos_base!$K$9+datos_base!$K$23,0))*parametros_manuales!$H$95+parametros_manuales!$E$41*(datos_base!$K$3+datos_base!$K$19+IF(parametros_manuales!$H$41="Todos",datos_base!$K$10+datos_base!$K$24,0))*parametros_manuales!$H$100+parametros_manuales!$F$41*(datos_base!$K$4+datos_base!$K$20+IF(parametros_manuales!$H$41="Todos",datos_base!$K$11+datos_base!$K$25,0))*parametros_manuales!$H$105+parametros_manuales!$G$41*(datos_base!$K$5+datos_base!$K$21+IF(parametros_manuales!$H$41="Todos",datos_base!$K$12+datos_base!$K$26,0))*parametros_manuales!$H$110)*parametros_manuales!$I$41*parametros_manuales!$J$41</f>
        <v>5614.68355419</v>
      </c>
      <c r="I267" s="9" t="n">
        <f aca="false">(parametros_manuales!$D$41*(datos_base!$K$2+datos_base!$K$18+IF(parametros_manuales!$H$41="Todos",datos_base!$K$9+datos_base!$K$23,0))*parametros_manuales!$I$95+parametros_manuales!$E$41*(datos_base!$K$3+datos_base!$K$19+IF(parametros_manuales!$H$41="Todos",datos_base!$K$10+datos_base!$K$24,0))*parametros_manuales!$I$100+parametros_manuales!$F$41*(datos_base!$K$4+datos_base!$K$20+IF(parametros_manuales!$H$41="Todos",datos_base!$K$11+datos_base!$K$25,0))*parametros_manuales!$I$105+parametros_manuales!$G$41*(datos_base!$K$5+datos_base!$K$21+IF(parametros_manuales!$H$41="Todos",datos_base!$K$12+datos_base!$K$26,0))*parametros_manuales!$I$110)*parametros_manuales!$I$41*parametros_manuales!$J$41</f>
        <v>6095.77314114</v>
      </c>
      <c r="J267" s="9" t="n">
        <f aca="false">(parametros_manuales!$D$41*(datos_base!$K$2+datos_base!$K$18+IF(parametros_manuales!$H$41="Todos",datos_base!$K$9+datos_base!$K$23,0))*parametros_manuales!$J$95+parametros_manuales!$E$41*(datos_base!$K$3+datos_base!$K$19+IF(parametros_manuales!$H$41="Todos",datos_base!$K$10+datos_base!$K$24,0))*parametros_manuales!$J$100+parametros_manuales!$F$41*(datos_base!$K$4+datos_base!$K$20+IF(parametros_manuales!$H$41="Todos",datos_base!$K$11+datos_base!$K$25,0))*parametros_manuales!$J$105+parametros_manuales!$G$41*(datos_base!$K$5+datos_base!$K$21+IF(parametros_manuales!$H$41="Todos",datos_base!$K$12+datos_base!$K$26,0))*parametros_manuales!$J$110)*parametros_manuales!$I$41*parametros_manuales!$J$41</f>
        <v>6095.77314114</v>
      </c>
      <c r="K267" s="9" t="n">
        <f aca="false">(parametros_manuales!$D$41*(datos_base!$K$2+datos_base!$K$18+IF(parametros_manuales!$H$41="Todos",datos_base!$K$9+datos_base!$K$23,0))*parametros_manuales!$K$95+parametros_manuales!$E$41*(datos_base!$K$3+datos_base!$K$19+IF(parametros_manuales!$H$41="Todos",datos_base!$K$10+datos_base!$K$24,0))*parametros_manuales!$K$100+parametros_manuales!$F$41*(datos_base!$K$4+datos_base!$K$20+IF(parametros_manuales!$H$41="Todos",datos_base!$K$11+datos_base!$K$25,0))*parametros_manuales!$K$105+parametros_manuales!$G$41*(datos_base!$K$5+datos_base!$K$21+IF(parametros_manuales!$H$41="Todos",datos_base!$K$12+datos_base!$K$26,0))*parametros_manuales!$K$110)*parametros_manuales!$I$41*parametros_manuales!$J$41</f>
        <v>6296.350367355</v>
      </c>
      <c r="L267" s="9" t="n">
        <f aca="false">(parametros_manuales!$D$41*(datos_base!$K$2+datos_base!$K$18+IF(parametros_manuales!$H$41="Todos",datos_base!$K$9+datos_base!$K$23,0))*parametros_manuales!$L$95+parametros_manuales!$E$41*(datos_base!$K$3+datos_base!$K$19+IF(parametros_manuales!$H$41="Todos",datos_base!$K$10+datos_base!$K$24,0))*parametros_manuales!$L$100+parametros_manuales!$F$41*(datos_base!$K$4+datos_base!$K$20+IF(parametros_manuales!$H$41="Todos",datos_base!$K$11+datos_base!$K$25,0))*parametros_manuales!$L$105+parametros_manuales!$G$41*(datos_base!$K$5+datos_base!$K$21+IF(parametros_manuales!$H$41="Todos",datos_base!$K$12+datos_base!$K$26,0))*parametros_manuales!$L$110)*parametros_manuales!$I$41*parametros_manuales!$J$41</f>
        <v>6496.92759357</v>
      </c>
      <c r="M267" s="9" t="n">
        <f aca="false">(parametros_manuales!$D$41*(datos_base!$K$2+datos_base!$K$18+IF(parametros_manuales!$H$41="Todos",datos_base!$K$9+datos_base!$K$23,0))*parametros_manuales!$M$95+parametros_manuales!$E$41*(datos_base!$K$3+datos_base!$K$19+IF(parametros_manuales!$H$41="Todos",datos_base!$K$10+datos_base!$K$24,0))*parametros_manuales!$M$100+parametros_manuales!$F$41*(datos_base!$K$4+datos_base!$K$20+IF(parametros_manuales!$H$41="Todos",datos_base!$K$11+datos_base!$K$25,0))*parametros_manuales!$M$105+parametros_manuales!$G$41*(datos_base!$K$5+datos_base!$K$21+IF(parametros_manuales!$H$41="Todos",datos_base!$K$12+datos_base!$K$26,0))*parametros_manuales!$M$110)*parametros_manuales!$I$41*parametros_manuales!$J$41</f>
        <v>6496.92759357</v>
      </c>
      <c r="N267" s="9" t="n">
        <f aca="false">SUM(B267:M267)</f>
        <v>72188.084373</v>
      </c>
      <c r="O267" s="9" t="n">
        <f aca="false">MAX(B267:M267)</f>
        <v>6496.92759357</v>
      </c>
      <c r="P267" s="43" t="n">
        <f aca="false">O267/(parametros_manuales!$B$7)</f>
        <v>43.3128506238</v>
      </c>
      <c r="Q267" s="8" t="str">
        <f aca="false">IF(O267=0,"-",INDEX($B$244:$M$244,MATCH(O267,B267:M267,0)))</f>
        <v>Ene</v>
      </c>
    </row>
    <row r="268" customFormat="false" ht="14.25" hidden="false" customHeight="true" outlineLevel="0" collapsed="false">
      <c r="A268" s="8" t="str">
        <f aca="false">parametros_manuales!$B$42</f>
        <v>Etiquetado</v>
      </c>
      <c r="B268" s="9" t="n">
        <f aca="false">(parametros_manuales!$D$42*(datos_base!$K$2+datos_base!$K$18+IF(parametros_manuales!$H$42="Todos",datos_base!$K$9+datos_base!$K$23,0))*parametros_manuales!$B$95+parametros_manuales!$E$42*(datos_base!$K$3+datos_base!$K$19+IF(parametros_manuales!$H$42="Todos",datos_base!$K$10+datos_base!$K$24,0))*parametros_manuales!$B$100+parametros_manuales!$F$42*(datos_base!$K$4+datos_base!$K$20+IF(parametros_manuales!$H$42="Todos",datos_base!$K$11+datos_base!$K$25,0))*parametros_manuales!$B$105+parametros_manuales!$G$42*(datos_base!$K$5+datos_base!$K$21+IF(parametros_manuales!$H$42="Todos",datos_base!$K$12+datos_base!$K$26,0))*parametros_manuales!$B$110)*parametros_manuales!$I$42*parametros_manuales!$J$42</f>
        <v>6496.92759357</v>
      </c>
      <c r="C268" s="9" t="n">
        <f aca="false">(parametros_manuales!$D$42*(datos_base!$K$2+datos_base!$K$18+IF(parametros_manuales!$H$42="Todos",datos_base!$K$9+datos_base!$K$23,0))*parametros_manuales!$C$95+parametros_manuales!$E$42*(datos_base!$K$3+datos_base!$K$19+IF(parametros_manuales!$H$42="Todos",datos_base!$K$10+datos_base!$K$24,0))*parametros_manuales!$C$100+parametros_manuales!$F$42*(datos_base!$K$4+datos_base!$K$20+IF(parametros_manuales!$H$42="Todos",datos_base!$K$11+datos_base!$K$25,0))*parametros_manuales!$C$105+parametros_manuales!$G$42*(datos_base!$K$5+datos_base!$K$21+IF(parametros_manuales!$H$42="Todos",datos_base!$K$12+datos_base!$K$26,0))*parametros_manuales!$C$110)*parametros_manuales!$I$42*parametros_manuales!$J$42</f>
        <v>6095.77314114</v>
      </c>
      <c r="D268" s="9" t="n">
        <f aca="false">(parametros_manuales!$D$42*(datos_base!$K$2+datos_base!$K$18+IF(parametros_manuales!$H$42="Todos",datos_base!$K$9+datos_base!$K$23,0))*parametros_manuales!$D$95+parametros_manuales!$E$42*(datos_base!$K$3+datos_base!$K$19+IF(parametros_manuales!$H$42="Todos",datos_base!$K$10+datos_base!$K$24,0))*parametros_manuales!$D$100+parametros_manuales!$F$42*(datos_base!$K$4+datos_base!$K$20+IF(parametros_manuales!$H$42="Todos",datos_base!$K$11+datos_base!$K$25,0))*parametros_manuales!$D$105+parametros_manuales!$G$42*(datos_base!$K$5+datos_base!$K$21+IF(parametros_manuales!$H$42="Todos",datos_base!$K$12+datos_base!$K$26,0))*parametros_manuales!$D$110)*parametros_manuales!$I$42*parametros_manuales!$J$42</f>
        <v>5975.623976055</v>
      </c>
      <c r="E268" s="9" t="n">
        <f aca="false">(parametros_manuales!$D$42*(datos_base!$K$2+datos_base!$K$18+IF(parametros_manuales!$H$42="Todos",datos_base!$K$9+datos_base!$K$23,0))*parametros_manuales!$E$95+parametros_manuales!$E$42*(datos_base!$K$3+datos_base!$K$19+IF(parametros_manuales!$H$42="Todos",datos_base!$K$10+datos_base!$K$24,0))*parametros_manuales!$E$100+parametros_manuales!$F$42*(datos_base!$K$4+datos_base!$K$20+IF(parametros_manuales!$H$42="Todos",datos_base!$K$11+datos_base!$K$25,0))*parametros_manuales!$E$105+parametros_manuales!$G$42*(datos_base!$K$5+datos_base!$K$21+IF(parametros_manuales!$H$42="Todos",datos_base!$K$12+datos_base!$K$26,0))*parametros_manuales!$E$110)*parametros_manuales!$I$42*parametros_manuales!$J$42</f>
        <v>5815.260780405</v>
      </c>
      <c r="F268" s="9" t="n">
        <f aca="false">(parametros_manuales!$D$42*(datos_base!$K$2+datos_base!$K$18+IF(parametros_manuales!$H$42="Todos",datos_base!$K$9+datos_base!$K$23,0))*parametros_manuales!$F$95+parametros_manuales!$E$42*(datos_base!$K$3+datos_base!$K$19+IF(parametros_manuales!$H$42="Todos",datos_base!$K$10+datos_base!$K$24,0))*parametros_manuales!$F$100+parametros_manuales!$F$42*(datos_base!$K$4+datos_base!$K$20+IF(parametros_manuales!$H$42="Todos",datos_base!$K$11+datos_base!$K$25,0))*parametros_manuales!$F$105+parametros_manuales!$G$42*(datos_base!$K$5+datos_base!$K$21+IF(parametros_manuales!$H$42="Todos",datos_base!$K$12+datos_base!$K$26,0))*parametros_manuales!$F$110)*parametros_manuales!$I$42*parametros_manuales!$J$42</f>
        <v>5454.32035854</v>
      </c>
      <c r="G268" s="9" t="n">
        <f aca="false">(parametros_manuales!$D$42*(datos_base!$K$2+datos_base!$K$18+IF(parametros_manuales!$H$42="Todos",datos_base!$K$9+datos_base!$K$23,0))*parametros_manuales!$G$95+parametros_manuales!$E$42*(datos_base!$K$3+datos_base!$K$19+IF(parametros_manuales!$H$42="Todos",datos_base!$K$10+datos_base!$K$24,0))*parametros_manuales!$G$100+parametros_manuales!$F$42*(datos_base!$K$4+datos_base!$K$20+IF(parametros_manuales!$H$42="Todos",datos_base!$K$11+datos_base!$K$25,0))*parametros_manuales!$G$105+parametros_manuales!$G$42*(datos_base!$K$5+datos_base!$K$21+IF(parametros_manuales!$H$42="Todos",datos_base!$K$12+datos_base!$K$26,0))*parametros_manuales!$G$110)*parametros_manuales!$I$42*parametros_manuales!$J$42</f>
        <v>5253.743132325</v>
      </c>
      <c r="H268" s="9" t="n">
        <f aca="false">(parametros_manuales!$D$42*(datos_base!$K$2+datos_base!$K$18+IF(parametros_manuales!$H$42="Todos",datos_base!$K$9+datos_base!$K$23,0))*parametros_manuales!$H$95+parametros_manuales!$E$42*(datos_base!$K$3+datos_base!$K$19+IF(parametros_manuales!$H$42="Todos",datos_base!$K$10+datos_base!$K$24,0))*parametros_manuales!$H$100+parametros_manuales!$F$42*(datos_base!$K$4+datos_base!$K$20+IF(parametros_manuales!$H$42="Todos",datos_base!$K$11+datos_base!$K$25,0))*parametros_manuales!$H$105+parametros_manuales!$G$42*(datos_base!$K$5+datos_base!$K$21+IF(parametros_manuales!$H$42="Todos",datos_base!$K$12+datos_base!$K$26,0))*parametros_manuales!$H$110)*parametros_manuales!$I$42*parametros_manuales!$J$42</f>
        <v>5614.68355419</v>
      </c>
      <c r="I268" s="9" t="n">
        <f aca="false">(parametros_manuales!$D$42*(datos_base!$K$2+datos_base!$K$18+IF(parametros_manuales!$H$42="Todos",datos_base!$K$9+datos_base!$K$23,0))*parametros_manuales!$I$95+parametros_manuales!$E$42*(datos_base!$K$3+datos_base!$K$19+IF(parametros_manuales!$H$42="Todos",datos_base!$K$10+datos_base!$K$24,0))*parametros_manuales!$I$100+parametros_manuales!$F$42*(datos_base!$K$4+datos_base!$K$20+IF(parametros_manuales!$H$42="Todos",datos_base!$K$11+datos_base!$K$25,0))*parametros_manuales!$I$105+parametros_manuales!$G$42*(datos_base!$K$5+datos_base!$K$21+IF(parametros_manuales!$H$42="Todos",datos_base!$K$12+datos_base!$K$26,0))*parametros_manuales!$I$110)*parametros_manuales!$I$42*parametros_manuales!$J$42</f>
        <v>6095.77314114</v>
      </c>
      <c r="J268" s="9" t="n">
        <f aca="false">(parametros_manuales!$D$42*(datos_base!$K$2+datos_base!$K$18+IF(parametros_manuales!$H$42="Todos",datos_base!$K$9+datos_base!$K$23,0))*parametros_manuales!$J$95+parametros_manuales!$E$42*(datos_base!$K$3+datos_base!$K$19+IF(parametros_manuales!$H$42="Todos",datos_base!$K$10+datos_base!$K$24,0))*parametros_manuales!$J$100+parametros_manuales!$F$42*(datos_base!$K$4+datos_base!$K$20+IF(parametros_manuales!$H$42="Todos",datos_base!$K$11+datos_base!$K$25,0))*parametros_manuales!$J$105+parametros_manuales!$G$42*(datos_base!$K$5+datos_base!$K$21+IF(parametros_manuales!$H$42="Todos",datos_base!$K$12+datos_base!$K$26,0))*parametros_manuales!$J$110)*parametros_manuales!$I$42*parametros_manuales!$J$42</f>
        <v>6095.77314114</v>
      </c>
      <c r="K268" s="9" t="n">
        <f aca="false">(parametros_manuales!$D$42*(datos_base!$K$2+datos_base!$K$18+IF(parametros_manuales!$H$42="Todos",datos_base!$K$9+datos_base!$K$23,0))*parametros_manuales!$K$95+parametros_manuales!$E$42*(datos_base!$K$3+datos_base!$K$19+IF(parametros_manuales!$H$42="Todos",datos_base!$K$10+datos_base!$K$24,0))*parametros_manuales!$K$100+parametros_manuales!$F$42*(datos_base!$K$4+datos_base!$K$20+IF(parametros_manuales!$H$42="Todos",datos_base!$K$11+datos_base!$K$25,0))*parametros_manuales!$K$105+parametros_manuales!$G$42*(datos_base!$K$5+datos_base!$K$21+IF(parametros_manuales!$H$42="Todos",datos_base!$K$12+datos_base!$K$26,0))*parametros_manuales!$K$110)*parametros_manuales!$I$42*parametros_manuales!$J$42</f>
        <v>6296.350367355</v>
      </c>
      <c r="L268" s="9" t="n">
        <f aca="false">(parametros_manuales!$D$42*(datos_base!$K$2+datos_base!$K$18+IF(parametros_manuales!$H$42="Todos",datos_base!$K$9+datos_base!$K$23,0))*parametros_manuales!$L$95+parametros_manuales!$E$42*(datos_base!$K$3+datos_base!$K$19+IF(parametros_manuales!$H$42="Todos",datos_base!$K$10+datos_base!$K$24,0))*parametros_manuales!$L$100+parametros_manuales!$F$42*(datos_base!$K$4+datos_base!$K$20+IF(parametros_manuales!$H$42="Todos",datos_base!$K$11+datos_base!$K$25,0))*parametros_manuales!$L$105+parametros_manuales!$G$42*(datos_base!$K$5+datos_base!$K$21+IF(parametros_manuales!$H$42="Todos",datos_base!$K$12+datos_base!$K$26,0))*parametros_manuales!$L$110)*parametros_manuales!$I$42*parametros_manuales!$J$42</f>
        <v>6496.92759357</v>
      </c>
      <c r="M268" s="9" t="n">
        <f aca="false">(parametros_manuales!$D$42*(datos_base!$K$2+datos_base!$K$18+IF(parametros_manuales!$H$42="Todos",datos_base!$K$9+datos_base!$K$23,0))*parametros_manuales!$M$95+parametros_manuales!$E$42*(datos_base!$K$3+datos_base!$K$19+IF(parametros_manuales!$H$42="Todos",datos_base!$K$10+datos_base!$K$24,0))*parametros_manuales!$M$100+parametros_manuales!$F$42*(datos_base!$K$4+datos_base!$K$20+IF(parametros_manuales!$H$42="Todos",datos_base!$K$11+datos_base!$K$25,0))*parametros_manuales!$M$105+parametros_manuales!$G$42*(datos_base!$K$5+datos_base!$K$21+IF(parametros_manuales!$H$42="Todos",datos_base!$K$12+datos_base!$K$26,0))*parametros_manuales!$M$110)*parametros_manuales!$I$42*parametros_manuales!$J$42</f>
        <v>6496.92759357</v>
      </c>
      <c r="N268" s="9" t="n">
        <f aca="false">SUM(B268:M268)</f>
        <v>72188.084373</v>
      </c>
      <c r="O268" s="9" t="n">
        <f aca="false">MAX(B268:M268)</f>
        <v>6496.92759357</v>
      </c>
      <c r="P268" s="43" t="n">
        <f aca="false">O268/(parametros_manuales!$B$7)</f>
        <v>43.3128506238</v>
      </c>
      <c r="Q268" s="8" t="str">
        <f aca="false">IF(O268=0,"-",INDEX($B$244:$M$244,MATCH(O268,B268:M268,0)))</f>
        <v>Ene</v>
      </c>
    </row>
    <row r="269" customFormat="false" ht="14.25" hidden="false" customHeight="true" outlineLevel="0" collapsed="false">
      <c r="A269" s="8" t="str">
        <f aca="false">parametros_manuales!$B$43</f>
        <v>Embalaje y paletizado</v>
      </c>
      <c r="B269" s="9" t="n">
        <f aca="false">(parametros_manuales!$D$43*(datos_base!$K$2+datos_base!$K$18+IF(parametros_manuales!$H$43="Todos",datos_base!$K$9+datos_base!$K$23,0))*parametros_manuales!$B$95+parametros_manuales!$E$43*(datos_base!$K$3+datos_base!$K$19+IF(parametros_manuales!$H$43="Todos",datos_base!$K$10+datos_base!$K$24,0))*parametros_manuales!$B$100+parametros_manuales!$F$43*(datos_base!$K$4+datos_base!$K$20+IF(parametros_manuales!$H$43="Todos",datos_base!$K$11+datos_base!$K$25,0))*parametros_manuales!$B$105+parametros_manuales!$G$43*(datos_base!$K$5+datos_base!$K$21+IF(parametros_manuales!$H$43="Todos",datos_base!$K$12+datos_base!$K$26,0))*parametros_manuales!$B$110)*parametros_manuales!$I$43*parametros_manuales!$J$43</f>
        <v>25605.65559357</v>
      </c>
      <c r="C269" s="9" t="n">
        <f aca="false">(parametros_manuales!$D$43*(datos_base!$K$2+datos_base!$K$18+IF(parametros_manuales!$H$43="Todos",datos_base!$K$9+datos_base!$K$23,0))*parametros_manuales!$C$95+parametros_manuales!$E$43*(datos_base!$K$3+datos_base!$K$19+IF(parametros_manuales!$H$43="Todos",datos_base!$K$10+datos_base!$K$24,0))*parametros_manuales!$C$100+parametros_manuales!$F$43*(datos_base!$K$4+datos_base!$K$20+IF(parametros_manuales!$H$43="Todos",datos_base!$K$11+datos_base!$K$25,0))*parametros_manuales!$C$105+parametros_manuales!$G$43*(datos_base!$K$5+datos_base!$K$21+IF(parametros_manuales!$H$43="Todos",datos_base!$K$12+datos_base!$K$26,0))*parametros_manuales!$C$110)*parametros_manuales!$I$43*parametros_manuales!$J$43</f>
        <v>24786.78914114</v>
      </c>
      <c r="D269" s="9" t="n">
        <f aca="false">(parametros_manuales!$D$43*(datos_base!$K$2+datos_base!$K$18+IF(parametros_manuales!$H$43="Todos",datos_base!$K$9+datos_base!$K$23,0))*parametros_manuales!$D$95+parametros_manuales!$E$43*(datos_base!$K$3+datos_base!$K$19+IF(parametros_manuales!$H$43="Todos",datos_base!$K$10+datos_base!$K$24,0))*parametros_manuales!$D$100+parametros_manuales!$F$43*(datos_base!$K$4+datos_base!$K$20+IF(parametros_manuales!$H$43="Todos",datos_base!$K$11+datos_base!$K$25,0))*parametros_manuales!$D$105+parametros_manuales!$G$43*(datos_base!$K$5+datos_base!$K$21+IF(parametros_manuales!$H$43="Todos",datos_base!$K$12+datos_base!$K$26,0))*parametros_manuales!$D$110)*parametros_manuales!$I$43*parametros_manuales!$J$43</f>
        <v>23170.015976055</v>
      </c>
      <c r="E269" s="9" t="n">
        <f aca="false">(parametros_manuales!$D$43*(datos_base!$K$2+datos_base!$K$18+IF(parametros_manuales!$H$43="Todos",datos_base!$K$9+datos_base!$K$23,0))*parametros_manuales!$E$95+parametros_manuales!$E$43*(datos_base!$K$3+datos_base!$K$19+IF(parametros_manuales!$H$43="Todos",datos_base!$K$10+datos_base!$K$24,0))*parametros_manuales!$E$100+parametros_manuales!$F$43*(datos_base!$K$4+datos_base!$K$20+IF(parametros_manuales!$H$43="Todos",datos_base!$K$11+datos_base!$K$25,0))*parametros_manuales!$E$105+parametros_manuales!$G$43*(datos_base!$K$5+datos_base!$K$21+IF(parametros_manuales!$H$43="Todos",datos_base!$K$12+datos_base!$K$26,0))*parametros_manuales!$E$110)*parametros_manuales!$I$43*parametros_manuales!$J$43</f>
        <v>22156.912780405</v>
      </c>
      <c r="F269" s="9" t="n">
        <f aca="false">(parametros_manuales!$D$43*(datos_base!$K$2+datos_base!$K$18+IF(parametros_manuales!$H$43="Todos",datos_base!$K$9+datos_base!$K$23,0))*parametros_manuales!$F$95+parametros_manuales!$E$43*(datos_base!$K$3+datos_base!$K$19+IF(parametros_manuales!$H$43="Todos",datos_base!$K$10+datos_base!$K$24,0))*parametros_manuales!$F$100+parametros_manuales!$F$43*(datos_base!$K$4+datos_base!$K$20+IF(parametros_manuales!$H$43="Todos",datos_base!$K$11+datos_base!$K$25,0))*parametros_manuales!$F$105+parametros_manuales!$G$43*(datos_base!$K$5+datos_base!$K$21+IF(parametros_manuales!$H$43="Todos",datos_base!$K$12+datos_base!$K$26,0))*parametros_manuales!$F$110)*parametros_manuales!$I$43*parametros_manuales!$J$43</f>
        <v>20734.37635854</v>
      </c>
      <c r="G269" s="9" t="n">
        <f aca="false">(parametros_manuales!$D$43*(datos_base!$K$2+datos_base!$K$18+IF(parametros_manuales!$H$43="Todos",datos_base!$K$9+datos_base!$K$23,0))*parametros_manuales!$G$95+parametros_manuales!$E$43*(datos_base!$K$3+datos_base!$K$19+IF(parametros_manuales!$H$43="Todos",datos_base!$K$10+datos_base!$K$24,0))*parametros_manuales!$G$100+parametros_manuales!$F$43*(datos_base!$K$4+datos_base!$K$20+IF(parametros_manuales!$H$43="Todos",datos_base!$K$11+datos_base!$K$25,0))*parametros_manuales!$G$105+parametros_manuales!$G$43*(datos_base!$K$5+datos_base!$K$21+IF(parametros_manuales!$H$43="Todos",datos_base!$K$12+datos_base!$K$26,0))*parametros_manuales!$G$110)*parametros_manuales!$I$43*parametros_manuales!$J$43</f>
        <v>20324.943132325</v>
      </c>
      <c r="H269" s="9" t="n">
        <f aca="false">(parametros_manuales!$D$43*(datos_base!$K$2+datos_base!$K$18+IF(parametros_manuales!$H$43="Todos",datos_base!$K$9+datos_base!$K$23,0))*parametros_manuales!$H$95+parametros_manuales!$E$43*(datos_base!$K$3+datos_base!$K$19+IF(parametros_manuales!$H$43="Todos",datos_base!$K$10+datos_base!$K$24,0))*parametros_manuales!$H$100+parametros_manuales!$F$43*(datos_base!$K$4+datos_base!$K$20+IF(parametros_manuales!$H$43="Todos",datos_base!$K$11+datos_base!$K$25,0))*parametros_manuales!$H$105+parametros_manuales!$G$43*(datos_base!$K$5+datos_base!$K$21+IF(parametros_manuales!$H$43="Todos",datos_base!$K$12+datos_base!$K$26,0))*parametros_manuales!$H$110)*parametros_manuales!$I$43*parametros_manuales!$J$43</f>
        <v>21747.47955419</v>
      </c>
      <c r="I269" s="9" t="n">
        <f aca="false">(parametros_manuales!$D$43*(datos_base!$K$2+datos_base!$K$18+IF(parametros_manuales!$H$43="Todos",datos_base!$K$9+datos_base!$K$23,0))*parametros_manuales!$I$95+parametros_manuales!$E$43*(datos_base!$K$3+datos_base!$K$19+IF(parametros_manuales!$H$43="Todos",datos_base!$K$10+datos_base!$K$24,0))*parametros_manuales!$I$100+parametros_manuales!$F$43*(datos_base!$K$4+datos_base!$K$20+IF(parametros_manuales!$H$43="Todos",datos_base!$K$11+datos_base!$K$25,0))*parametros_manuales!$I$105+parametros_manuales!$G$43*(datos_base!$K$5+datos_base!$K$21+IF(parametros_manuales!$H$43="Todos",datos_base!$K$12+datos_base!$K$26,0))*parametros_manuales!$I$110)*parametros_manuales!$I$43*parametros_manuales!$J$43</f>
        <v>24786.78914114</v>
      </c>
      <c r="J269" s="9" t="n">
        <f aca="false">(parametros_manuales!$D$43*(datos_base!$K$2+datos_base!$K$18+IF(parametros_manuales!$H$43="Todos",datos_base!$K$9+datos_base!$K$23,0))*parametros_manuales!$J$95+parametros_manuales!$E$43*(datos_base!$K$3+datos_base!$K$19+IF(parametros_manuales!$H$43="Todos",datos_base!$K$10+datos_base!$K$24,0))*parametros_manuales!$J$100+parametros_manuales!$F$43*(datos_base!$K$4+datos_base!$K$20+IF(parametros_manuales!$H$43="Todos",datos_base!$K$11+datos_base!$K$25,0))*parametros_manuales!$J$105+parametros_manuales!$G$43*(datos_base!$K$5+datos_base!$K$21+IF(parametros_manuales!$H$43="Todos",datos_base!$K$12+datos_base!$K$26,0))*parametros_manuales!$J$110)*parametros_manuales!$I$43*parametros_manuales!$J$43</f>
        <v>24786.78914114</v>
      </c>
      <c r="K269" s="9" t="n">
        <f aca="false">(parametros_manuales!$D$43*(datos_base!$K$2+datos_base!$K$18+IF(parametros_manuales!$H$43="Todos",datos_base!$K$9+datos_base!$K$23,0))*parametros_manuales!$K$95+parametros_manuales!$E$43*(datos_base!$K$3+datos_base!$K$19+IF(parametros_manuales!$H$43="Todos",datos_base!$K$10+datos_base!$K$24,0))*parametros_manuales!$K$100+parametros_manuales!$F$43*(datos_base!$K$4+datos_base!$K$20+IF(parametros_manuales!$H$43="Todos",datos_base!$K$11+datos_base!$K$25,0))*parametros_manuales!$K$105+parametros_manuales!$G$43*(datos_base!$K$5+datos_base!$K$21+IF(parametros_manuales!$H$43="Todos",datos_base!$K$12+datos_base!$K$26,0))*parametros_manuales!$K$110)*parametros_manuales!$I$43*parametros_manuales!$J$43</f>
        <v>25196.222367355</v>
      </c>
      <c r="L269" s="9" t="n">
        <f aca="false">(parametros_manuales!$D$43*(datos_base!$K$2+datos_base!$K$18+IF(parametros_manuales!$H$43="Todos",datos_base!$K$9+datos_base!$K$23,0))*parametros_manuales!$L$95+parametros_manuales!$E$43*(datos_base!$K$3+datos_base!$K$19+IF(parametros_manuales!$H$43="Todos",datos_base!$K$10+datos_base!$K$24,0))*parametros_manuales!$L$100+parametros_manuales!$F$43*(datos_base!$K$4+datos_base!$K$20+IF(parametros_manuales!$H$43="Todos",datos_base!$K$11+datos_base!$K$25,0))*parametros_manuales!$L$105+parametros_manuales!$G$43*(datos_base!$K$5+datos_base!$K$21+IF(parametros_manuales!$H$43="Todos",datos_base!$K$12+datos_base!$K$26,0))*parametros_manuales!$L$110)*parametros_manuales!$I$43*parametros_manuales!$J$43</f>
        <v>25605.65559357</v>
      </c>
      <c r="M269" s="9" t="n">
        <f aca="false">(parametros_manuales!$D$43*(datos_base!$K$2+datos_base!$K$18+IF(parametros_manuales!$H$43="Todos",datos_base!$K$9+datos_base!$K$23,0))*parametros_manuales!$M$95+parametros_manuales!$E$43*(datos_base!$K$3+datos_base!$K$19+IF(parametros_manuales!$H$43="Todos",datos_base!$K$10+datos_base!$K$24,0))*parametros_manuales!$M$100+parametros_manuales!$F$43*(datos_base!$K$4+datos_base!$K$20+IF(parametros_manuales!$H$43="Todos",datos_base!$K$11+datos_base!$K$25,0))*parametros_manuales!$M$105+parametros_manuales!$G$43*(datos_base!$K$5+datos_base!$K$21+IF(parametros_manuales!$H$43="Todos",datos_base!$K$12+datos_base!$K$26,0))*parametros_manuales!$M$110)*parametros_manuales!$I$43*parametros_manuales!$J$43</f>
        <v>25605.65559357</v>
      </c>
      <c r="N269" s="9" t="n">
        <f aca="false">SUM(B269:M269)</f>
        <v>284507.284373</v>
      </c>
      <c r="O269" s="9" t="n">
        <f aca="false">MAX(B269:M269)</f>
        <v>25605.65559357</v>
      </c>
      <c r="P269" s="43" t="n">
        <f aca="false">O269/(parametros_manuales!$B$7)</f>
        <v>170.7043706238</v>
      </c>
      <c r="Q269" s="8" t="str">
        <f aca="false">IF(O269=0,"-",INDEX($B$244:$M$244,MATCH(O269,B269:M269,0)))</f>
        <v>Ene</v>
      </c>
    </row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44"/>
    <col collapsed="false" customWidth="true" hidden="false" outlineLevel="0" max="11" min="2" style="1" width="10"/>
    <col collapsed="false" customWidth="true" hidden="false" outlineLevel="0" max="12" min="12" style="1" width="8.57"/>
    <col collapsed="false" customWidth="true" hidden="false" outlineLevel="0" max="13" min="13" style="1" width="34.71"/>
    <col collapsed="false" customWidth="true" hidden="false" outlineLevel="0" max="15" min="14" style="1" width="8.57"/>
  </cols>
  <sheetData>
    <row r="1" customFormat="false" ht="14.25" hidden="false" customHeight="true" outlineLevel="0" collapsed="false">
      <c r="A1" s="57" t="s">
        <v>200</v>
      </c>
      <c r="B1" s="57" t="n">
        <v>2026</v>
      </c>
      <c r="C1" s="57" t="n">
        <v>2027</v>
      </c>
      <c r="D1" s="57" t="n">
        <v>2028</v>
      </c>
      <c r="E1" s="57" t="n">
        <v>2029</v>
      </c>
      <c r="F1" s="57" t="n">
        <v>2030</v>
      </c>
      <c r="G1" s="57" t="n">
        <v>2031</v>
      </c>
      <c r="H1" s="57" t="n">
        <v>2032</v>
      </c>
      <c r="I1" s="57" t="n">
        <v>2033</v>
      </c>
      <c r="J1" s="57" t="n">
        <v>2034</v>
      </c>
      <c r="K1" s="57" t="n">
        <v>2035</v>
      </c>
      <c r="L1" s="57" t="s">
        <v>201</v>
      </c>
      <c r="O1" s="56" t="s">
        <v>215</v>
      </c>
    </row>
    <row r="2" customFormat="false" ht="14.25" hidden="false" customHeight="true" outlineLevel="0" collapsed="false">
      <c r="A2" s="8" t="str">
        <f aca="false">parametros_manuales!$B$19</f>
        <v>Recepción de materia prima</v>
      </c>
      <c r="B2" s="45" t="n">
        <f aca="false">IF(B30*B58*parametros_manuales!$M$19*parametros_manuales!$B$6=0,0,'Demanda puesto con sobrestock'!$P$2/(parametros_manuales!$M$19*B30*B58*parametros_manuales!$B$6))</f>
        <v>0.0686237310673</v>
      </c>
      <c r="C2" s="45" t="n">
        <f aca="false">IF(C30*C58*parametros_manuales!$M$19*parametros_manuales!$B$6=0,0,'Demanda puesto con sobrestock'!$P$29/(parametros_manuales!$M$19*C30*C58*parametros_manuales!$B$6))</f>
        <v>0.10849537605</v>
      </c>
      <c r="D2" s="45" t="n">
        <f aca="false">IF(D30*D58*parametros_manuales!$M$19*parametros_manuales!$B$6=0,0,'Demanda puesto con sobrestock'!$P$56/(parametros_manuales!$M$19*D30*D58*parametros_manuales!$B$6))</f>
        <v>0.229208121864</v>
      </c>
      <c r="E2" s="45" t="n">
        <f aca="false">IF(E30*E58*parametros_manuales!$M$19*parametros_manuales!$B$6=0,0,'Demanda puesto con sobrestock'!$P$83/(parametros_manuales!$M$19*E30*E58*parametros_manuales!$B$6))</f>
        <v>0.506893495301</v>
      </c>
      <c r="F2" s="46" t="n">
        <f aca="false">IF(F30*F58*parametros_manuales!$M$19*parametros_manuales!$B$6=0,0,'Demanda puesto con sobrestock'!$P$110/(parametros_manuales!$M$19*F30*F58*parametros_manuales!$B$6))</f>
        <v>0.4412384276395</v>
      </c>
      <c r="G2" s="58" t="n">
        <f aca="false">IF(G30*G58*parametros_manuales!$M$19*parametros_manuales!$B$6=0,0,'Demanda puesto con sobrestock'!$P$137/(parametros_manuales!$M$19*G30*G58*parametros_manuales!$B$6))</f>
        <v>0.619506660495</v>
      </c>
      <c r="H2" s="46" t="n">
        <f aca="false">IF(H30*H58*parametros_manuales!$M$19*parametros_manuales!$B$6=0,0,'Demanda puesto con sobrestock'!$P$164/(parametros_manuales!$M$19*H30*H58*parametros_manuales!$B$6))</f>
        <v>0.4270742729225</v>
      </c>
      <c r="I2" s="58" t="n">
        <f aca="false">IF(I30*I58*parametros_manuales!$M$19*parametros_manuales!$B$6=0,0,'Demanda puesto con sobrestock'!$P$191/(parametros_manuales!$M$19*I30*I58*parametros_manuales!$B$6))</f>
        <v>0.5455822406225</v>
      </c>
      <c r="J2" s="45" t="n">
        <f aca="false">IF(J30*J58*parametros_manuales!$M$19*parametros_manuales!$B$6=0,0,'Demanda puesto con sobrestock'!$P$218/(parametros_manuales!$M$19*J30*J58*parametros_manuales!$B$6))</f>
        <v>0.6155945924675</v>
      </c>
      <c r="K2" s="45" t="n">
        <f aca="false">IF(K30*K58*parametros_manuales!$M$19*parametros_manuales!$B$6=0,0,'Demanda puesto con sobrestock'!$P$245/(parametros_manuales!$M$19*K30*K58*parametros_manuales!$B$6))</f>
        <v>0.7112682109325</v>
      </c>
      <c r="L2" s="8" t="s">
        <v>202</v>
      </c>
    </row>
    <row r="3" customFormat="false" ht="14.25" hidden="false" customHeight="true" outlineLevel="0" collapsed="false">
      <c r="A3" s="8" t="str">
        <f aca="false">parametros_manuales!$B$20</f>
        <v>Corte de chapa (guillotina) — 2,5 a 10 kg</v>
      </c>
      <c r="B3" s="45" t="n">
        <f aca="false">IF(B31*B59*parametros_manuales!$M$20*parametros_manuales!$B$6=0,0,'Demanda puesto con sobrestock'!$P$3/(parametros_manuales!$M$20*B31*B59*parametros_manuales!$B$6))</f>
        <v>0.0405247132106879</v>
      </c>
      <c r="C3" s="45" t="n">
        <f aca="false">IF(C31*C59*parametros_manuales!$M$20*parametros_manuales!$B$6=0,0,'Demanda puesto con sobrestock'!$P$30/(parametros_manuales!$M$20*C31*C59*parametros_manuales!$B$6))</f>
        <v>0.0732719843154362</v>
      </c>
      <c r="D3" s="45" t="n">
        <f aca="false">IF(D31*D59*parametros_manuales!$M$20*parametros_manuales!$B$6=0,0,'Demanda puesto con sobrestock'!$P$57/(parametros_manuales!$M$20*D31*D59*parametros_manuales!$B$6))</f>
        <v>0.126946274925503</v>
      </c>
      <c r="E3" s="45" t="n">
        <f aca="false">IF(E31*E59*parametros_manuales!$M$20*parametros_manuales!$B$6=0,0,'Demanda puesto con sobrestock'!$P$84/(parametros_manuales!$M$20*E31*E59*parametros_manuales!$B$6))</f>
        <v>0.234474372197819</v>
      </c>
      <c r="F3" s="45" t="n">
        <f aca="false">IF(F31*F59*parametros_manuales!$M$20*parametros_manuales!$B$6=0,0,'Demanda puesto con sobrestock'!$P$111/(parametros_manuales!$M$20*F31*F59*parametros_manuales!$B$6))</f>
        <v>0.394614555975</v>
      </c>
      <c r="G3" s="45" t="n">
        <f aca="false">IF(G31*G59*parametros_manuales!$M$20*parametros_manuales!$B$6=0,0,'Demanda puesto con sobrestock'!$P$138/(parametros_manuales!$M$20*G31*G59*parametros_manuales!$B$6))</f>
        <v>0.552697837686242</v>
      </c>
      <c r="H3" s="45" t="n">
        <f aca="false">IF(H31*H59*parametros_manuales!$M$20*parametros_manuales!$B$6=0,0,'Demanda puesto con sobrestock'!$P$165/(parametros_manuales!$M$20*H31*H59*parametros_manuales!$B$6))</f>
        <v>0.37114849260151</v>
      </c>
      <c r="I3" s="46" t="n">
        <f aca="false">IF(I31*I59*parametros_manuales!$M$20*parametros_manuales!$B$6=0,0,'Demanda puesto con sobrestock'!$P$192/(parametros_manuales!$M$20*I31*I59*parametros_manuales!$B$6))</f>
        <v>0.468874463020973</v>
      </c>
      <c r="J3" s="45" t="n">
        <f aca="false">IF(J31*J59*parametros_manuales!$M$20*parametros_manuales!$B$6=0,0,'Demanda puesto con sobrestock'!$P$219/(parametros_manuales!$M$20*J31*J59*parametros_manuales!$B$6))</f>
        <v>0.534901264784396</v>
      </c>
      <c r="K3" s="45" t="n">
        <f aca="false">IF(K31*K59*parametros_manuales!$M$20*parametros_manuales!$B$6=0,0,'Demanda puesto con sobrestock'!$P$246/(parametros_manuales!$M$20*K31*K59*parametros_manuales!$B$6))</f>
        <v>0.618271650324665</v>
      </c>
      <c r="L3" s="8" t="s">
        <v>83</v>
      </c>
    </row>
    <row r="4" customFormat="false" ht="14.25" hidden="false" customHeight="true" outlineLevel="0" collapsed="false">
      <c r="A4" s="8" t="str">
        <f aca="false">parametros_manuales!$B$21</f>
        <v>Corte de tubo — 1 kg</v>
      </c>
      <c r="B4" s="45" t="n">
        <f aca="false">IF(B32*B60*parametros_manuales!$M$21*parametros_manuales!$B$6=0,0,'Demanda puesto con sobrestock'!$P$4/(parametros_manuales!$M$21*B32*B60*parametros_manuales!$B$6))</f>
        <v>0.020893682715</v>
      </c>
      <c r="C4" s="45" t="n">
        <f aca="false">IF(C32*C60*parametros_manuales!$M$21*parametros_manuales!$B$6=0,0,'Demanda puesto con sobrestock'!$P$31/(parametros_manuales!$M$21*C32*C60*parametros_manuales!$B$6))</f>
        <v>0.029986519885</v>
      </c>
      <c r="D4" s="45" t="n">
        <f aca="false">IF(D32*D60*parametros_manuales!$M$21*parametros_manuales!$B$6=0,0,'Demanda puesto con sobrestock'!$P$58/(parametros_manuales!$M$21*D32*D60*parametros_manuales!$B$6))</f>
        <v>0.07257073879</v>
      </c>
      <c r="E4" s="45" t="n">
        <f aca="false">IF(E32*E60*parametros_manuales!$M$21*parametros_manuales!$B$6=0,0,'Demanda puesto con sobrestock'!$P$85/(parametros_manuales!$M$21*E32*E60*parametros_manuales!$B$6))</f>
        <v>0.175809677745</v>
      </c>
      <c r="F4" s="45" t="n">
        <f aca="false">IF(F32*F60*parametros_manuales!$M$21*parametros_manuales!$B$6=0,0,'Demanda puesto con sobrestock'!$P$112/(parametros_manuales!$M$21*F32*F60*parametros_manuales!$B$6))</f>
        <v>0.31057716355</v>
      </c>
      <c r="G4" s="45" t="n">
        <f aca="false">IF(G32*G60*parametros_manuales!$M$21*parametros_manuales!$B$6=0,0,'Demanda puesto con sobrestock'!$P$139/(parametros_manuales!$M$21*G32*G60*parametros_manuales!$B$6))</f>
        <v>0.43650226535</v>
      </c>
      <c r="H4" s="45" t="n">
        <f aca="false">IF(H32*H60*parametros_manuales!$M$21*parametros_manuales!$B$6=0,0,'Demanda puesto con sobrestock'!$P$166/(parametros_manuales!$M$21*H32*H60*parametros_manuales!$B$6))</f>
        <v>0.30418288315</v>
      </c>
      <c r="I4" s="46" t="n">
        <f aca="false">IF(I32*I60*parametros_manuales!$M$21*parametros_manuales!$B$6=0,0,'Demanda puesto con sobrestock'!$P$193/(parametros_manuales!$M$21*I32*I60*parametros_manuales!$B$6))</f>
        <v>0.3903326962</v>
      </c>
      <c r="J4" s="45" t="n">
        <f aca="false">IF(J32*J60*parametros_manuales!$M$21*parametros_manuales!$B$6=0,0,'Demanda puesto con sobrestock'!$P$220/(parametros_manuales!$M$21*J32*J60*parametros_manuales!$B$6))</f>
        <v>0.43848284035</v>
      </c>
      <c r="K4" s="45" t="n">
        <f aca="false">IF(K32*K60*parametros_manuales!$M$21*parametros_manuales!$B$6=0,0,'Demanda puesto con sobrestock'!$P$247/(parametros_manuales!$M$21*K32*K60*parametros_manuales!$B$6))</f>
        <v>0.506551597825</v>
      </c>
      <c r="L4" s="8" t="s">
        <v>83</v>
      </c>
    </row>
    <row r="5" customFormat="false" ht="14.25" hidden="false" customHeight="true" outlineLevel="0" collapsed="false">
      <c r="A5" s="8" t="str">
        <f aca="false">parametros_manuales!$B$22</f>
        <v>Corte de disco y embutido (cúpula y fondo)</v>
      </c>
      <c r="B5" s="45" t="n">
        <f aca="false">IF(B33*B61*parametros_manuales!$M$22*parametros_manuales!$B$6=0,0,'Demanda puesto con sobrestock'!$P$5/(parametros_manuales!$M$22*B33*B61*parametros_manuales!$B$6))</f>
        <v>0.0269112670852157</v>
      </c>
      <c r="C5" s="45" t="n">
        <f aca="false">IF(C33*C61*parametros_manuales!$M$22*parametros_manuales!$B$6=0,0,'Demanda puesto con sobrestock'!$P$32/(parametros_manuales!$M$22*C33*C61*parametros_manuales!$B$6))</f>
        <v>0.0425472062941177</v>
      </c>
      <c r="D5" s="45" t="n">
        <f aca="false">IF(D33*D61*parametros_manuales!$M$22*parametros_manuales!$B$6=0,0,'Demanda puesto con sobrestock'!$P$59/(parametros_manuales!$M$22*D33*D61*parametros_manuales!$B$6))</f>
        <v>0.0898855379858824</v>
      </c>
      <c r="E5" s="45" t="n">
        <f aca="false">IF(E33*E61*parametros_manuales!$M$22*parametros_manuales!$B$6=0,0,'Demanda puesto con sobrestock'!$P$86/(parametros_manuales!$M$22*E33*E61*parametros_manuales!$B$6))</f>
        <v>0.198781762863137</v>
      </c>
      <c r="F5" s="45" t="n">
        <f aca="false">IF(F33*F61*parametros_manuales!$M$22*parametros_manuales!$B$6=0,0,'Demanda puesto con sobrestock'!$P$113/(parametros_manuales!$M$22*F33*F61*parametros_manuales!$B$6))</f>
        <v>0.346069355011373</v>
      </c>
      <c r="G5" s="45" t="n">
        <f aca="false">IF(G33*G61*parametros_manuales!$M$22*parametros_manuales!$B$6=0,0,'Demanda puesto con sobrestock'!$P$140/(parametros_manuales!$M$22*G33*G61*parametros_manuales!$B$6))</f>
        <v>0.485887576858824</v>
      </c>
      <c r="H5" s="45" t="n">
        <f aca="false">IF(H33*H61*parametros_manuales!$M$22*parametros_manuales!$B$6=0,0,'Demanda puesto con sobrestock'!$P$167/(parametros_manuales!$M$22*H33*H61*parametros_manuales!$B$6))</f>
        <v>0.334960214056863</v>
      </c>
      <c r="I5" s="46" t="n">
        <f aca="false">IF(I33*I61*parametros_manuales!$M$22*parametros_manuales!$B$6=0,0,'Demanda puesto con sobrestock'!$P$194/(parametros_manuales!$M$22*I33*I61*parametros_manuales!$B$6))</f>
        <v>0.427907639703922</v>
      </c>
      <c r="J5" s="45" t="n">
        <f aca="false">IF(J33*J61*parametros_manuales!$M$22*parametros_manuales!$B$6=0,0,'Demanda puesto con sobrestock'!$P$221/(parametros_manuales!$M$22*J33*J61*parametros_manuales!$B$6))</f>
        <v>0.482819288209804</v>
      </c>
      <c r="K5" s="45" t="n">
        <f aca="false">IF(K33*K61*parametros_manuales!$M$22*parametros_manuales!$B$6=0,0,'Demanda puesto con sobrestock'!$P$248/(parametros_manuales!$M$22*K33*K61*parametros_manuales!$B$6))</f>
        <v>0.557857420339216</v>
      </c>
      <c r="L5" s="8" t="s">
        <v>83</v>
      </c>
    </row>
    <row r="6" customFormat="false" ht="14.25" hidden="false" customHeight="true" outlineLevel="0" collapsed="false">
      <c r="A6" s="8" t="str">
        <f aca="false">parametros_manuales!$B$23</f>
        <v>Preparación de cuello</v>
      </c>
      <c r="B6" s="45" t="n">
        <f aca="false">IF(B34*B62*parametros_manuales!$M$23*parametros_manuales!$B$6=0,0,'Demanda puesto con sobrestock'!$P$6/(parametros_manuales!$M$23*B34*B62*parametros_manuales!$B$6))</f>
        <v>0.0686237310673</v>
      </c>
      <c r="C6" s="45" t="n">
        <f aca="false">IF(C34*C62*parametros_manuales!$M$23*parametros_manuales!$B$6=0,0,'Demanda puesto con sobrestock'!$P$33/(parametros_manuales!$M$23*C34*C62*parametros_manuales!$B$6))</f>
        <v>0.10849537605</v>
      </c>
      <c r="D6" s="45" t="n">
        <f aca="false">IF(D34*D62*parametros_manuales!$M$23*parametros_manuales!$B$6=0,0,'Demanda puesto con sobrestock'!$P$60/(parametros_manuales!$M$23*D34*D62*parametros_manuales!$B$6))</f>
        <v>0.229208121864</v>
      </c>
      <c r="E6" s="45" t="n">
        <f aca="false">IF(E34*E62*parametros_manuales!$M$23*parametros_manuales!$B$6=0,0,'Demanda puesto con sobrestock'!$P$87/(parametros_manuales!$M$23*E34*E62*parametros_manuales!$B$6))</f>
        <v>0.506893495301</v>
      </c>
      <c r="F6" s="58" t="n">
        <f aca="false">IF(F34*F62*parametros_manuales!$M$23*parametros_manuales!$B$6=0,0,'Demanda puesto con sobrestock'!$P$114/(parametros_manuales!$M$23*F34*F62*parametros_manuales!$B$6))</f>
        <v>0.882476855279</v>
      </c>
      <c r="G6" s="46" t="n">
        <f aca="false">IF(G34*G62*parametros_manuales!$M$23*parametros_manuales!$B$6=0,0,'Demanda puesto con sobrestock'!$P$141/(parametros_manuales!$M$23*G34*G62*parametros_manuales!$B$6))</f>
        <v>0.619506660495</v>
      </c>
      <c r="H6" s="58" t="n">
        <f aca="false">IF(H34*H62*parametros_manuales!$M$23*parametros_manuales!$B$6=0,0,'Demanda puesto con sobrestock'!$P$168/(parametros_manuales!$M$23*H34*H62*parametros_manuales!$B$6))</f>
        <v>0.4270742729225</v>
      </c>
      <c r="I6" s="46" t="n">
        <f aca="false">IF(I34*I62*parametros_manuales!$M$23*parametros_manuales!$B$6=0,0,'Demanda puesto con sobrestock'!$P$195/(parametros_manuales!$M$23*I34*I62*parametros_manuales!$B$6))</f>
        <v>0.5455822406225</v>
      </c>
      <c r="J6" s="45" t="n">
        <f aca="false">IF(J34*J62*parametros_manuales!$M$23*parametros_manuales!$B$6=0,0,'Demanda puesto con sobrestock'!$P$222/(parametros_manuales!$M$23*J34*J62*parametros_manuales!$B$6))</f>
        <v>0.6155945924675</v>
      </c>
      <c r="K6" s="45" t="n">
        <f aca="false">IF(K34*K62*parametros_manuales!$M$23*parametros_manuales!$B$6=0,0,'Demanda puesto con sobrestock'!$P$249/(parametros_manuales!$M$23*K34*K62*parametros_manuales!$B$6))</f>
        <v>0.7112682109325</v>
      </c>
      <c r="L6" s="8" t="s">
        <v>83</v>
      </c>
    </row>
    <row r="7" customFormat="false" ht="14.25" hidden="false" customHeight="true" outlineLevel="0" collapsed="false">
      <c r="A7" s="8" t="str">
        <f aca="false">parametros_manuales!$B$24</f>
        <v>Numerado de cúpula</v>
      </c>
      <c r="B7" s="45" t="n">
        <f aca="false">IF(B35*B63*parametros_manuales!$M$24*parametros_manuales!$B$6=0,0,'Demanda puesto con sobrestock'!$P$7/(parametros_manuales!$M$24*B35*B63*parametros_manuales!$B$6))</f>
        <v>0.0228745770224333</v>
      </c>
      <c r="C7" s="45" t="n">
        <f aca="false">IF(C35*C63*parametros_manuales!$M$24*parametros_manuales!$B$6=0,0,'Demanda puesto con sobrestock'!$P$34/(parametros_manuales!$M$24*C35*C63*parametros_manuales!$B$6))</f>
        <v>0.03616512535</v>
      </c>
      <c r="D7" s="45" t="n">
        <f aca="false">IF(D35*D63*parametros_manuales!$M$24*parametros_manuales!$B$6=0,0,'Demanda puesto con sobrestock'!$P$61/(parametros_manuales!$M$24*D35*D63*parametros_manuales!$B$6))</f>
        <v>0.076402707288</v>
      </c>
      <c r="E7" s="45" t="n">
        <f aca="false">IF(E35*E63*parametros_manuales!$M$24*parametros_manuales!$B$6=0,0,'Demanda puesto con sobrestock'!$P$88/(parametros_manuales!$M$24*E35*E63*parametros_manuales!$B$6))</f>
        <v>0.168964498433667</v>
      </c>
      <c r="F7" s="45" t="n">
        <f aca="false">IF(F35*F63*parametros_manuales!$M$24*parametros_manuales!$B$6=0,0,'Demanda puesto con sobrestock'!$P$115/(parametros_manuales!$M$24*F35*F63*parametros_manuales!$B$6))</f>
        <v>0.294158951759667</v>
      </c>
      <c r="G7" s="45" t="n">
        <f aca="false">IF(G35*G63*parametros_manuales!$M$24*parametros_manuales!$B$6=0,0,'Demanda puesto con sobrestock'!$P$142/(parametros_manuales!$M$24*G35*G63*parametros_manuales!$B$6))</f>
        <v>0.41300444033</v>
      </c>
      <c r="H7" s="45" t="n">
        <f aca="false">IF(H35*H63*parametros_manuales!$M$24*parametros_manuales!$B$6=0,0,'Demanda puesto con sobrestock'!$P$169/(parametros_manuales!$M$24*H35*H63*parametros_manuales!$B$6))</f>
        <v>0.284716181948333</v>
      </c>
      <c r="I7" s="59" t="n">
        <f aca="false">IF(I35*I63*parametros_manuales!$M$24*parametros_manuales!$B$6=0,0,'Demanda puesto con sobrestock'!$P$196/(parametros_manuales!$M$24*I35*I63*parametros_manuales!$B$6))</f>
        <v>0.363721493748333</v>
      </c>
      <c r="J7" s="45" t="n">
        <f aca="false">IF(J35*J63*parametros_manuales!$M$24*parametros_manuales!$B$6=0,0,'Demanda puesto con sobrestock'!$P$223/(parametros_manuales!$M$24*J35*J63*parametros_manuales!$B$6))</f>
        <v>0.410396394978333</v>
      </c>
      <c r="K7" s="45" t="n">
        <f aca="false">IF(K35*K63*parametros_manuales!$M$24*parametros_manuales!$B$6=0,0,'Demanda puesto con sobrestock'!$P$250/(parametros_manuales!$M$24*K35*K63*parametros_manuales!$B$6))</f>
        <v>0.474178807288333</v>
      </c>
      <c r="L7" s="8" t="s">
        <v>83</v>
      </c>
      <c r="M7" s="47" t="s">
        <v>203</v>
      </c>
    </row>
    <row r="8" customFormat="false" ht="14.25" hidden="false" customHeight="true" outlineLevel="0" collapsed="false">
      <c r="A8" s="8" t="str">
        <f aca="false">parametros_manuales!$B$25</f>
        <v>Soldadura del cuello a la cúpula</v>
      </c>
      <c r="B8" s="45" t="n">
        <f aca="false">IF(B36*B64*parametros_manuales!$M$25*parametros_manuales!$B$6=0,0,'Demanda puesto con sobrestock'!$P$8/(parametros_manuales!$M$25*B36*B64*parametros_manuales!$B$6))</f>
        <v>0.0293765972034675</v>
      </c>
      <c r="C8" s="45" t="n">
        <f aca="false">IF(C36*C64*parametros_manuales!$M$25*parametros_manuales!$B$6=0,0,'Demanda puesto con sobrestock'!$P$35/(parametros_manuales!$M$25*C36*C64*parametros_manuales!$B$6))</f>
        <v>0.0464449383775685</v>
      </c>
      <c r="D8" s="45" t="n">
        <f aca="false">IF(D36*D64*parametros_manuales!$M$25*parametros_manuales!$B$6=0,0,'Demanda puesto con sobrestock'!$P$62/(parametros_manuales!$M$25*D36*D64*parametros_manuales!$B$6))</f>
        <v>0.0981199151815069</v>
      </c>
      <c r="E8" s="45" t="n">
        <f aca="false">IF(E36*E64*parametros_manuales!$M$25*parametros_manuales!$B$6=0,0,'Demanda puesto con sobrestock'!$P$89/(parametros_manuales!$M$25*E36*E64*parametros_manuales!$B$6))</f>
        <v>0.216992078467894</v>
      </c>
      <c r="F8" s="45" t="n">
        <f aca="false">IF(F36*F64*parametros_manuales!$M$25*parametros_manuales!$B$6=0,0,'Demanda puesto con sobrestock'!$P$116/(parametros_manuales!$M$25*F36*F64*parametros_manuales!$B$6))</f>
        <v>0.377772626403682</v>
      </c>
      <c r="G8" s="45" t="n">
        <f aca="false">IF(G36*G64*parametros_manuales!$M$25*parametros_manuales!$B$6=0,0,'Demanda puesto con sobrestock'!$P$143/(parametros_manuales!$M$25*G36*G64*parametros_manuales!$B$6))</f>
        <v>0.530399538095034</v>
      </c>
      <c r="H8" s="58" t="n">
        <f aca="false">IF(H36*H64*parametros_manuales!$M$25*parametros_manuales!$B$6=0,0,'Demanda puesto con sobrestock'!$P$170/(parametros_manuales!$M$25*H36*H64*parametros_manuales!$B$6))</f>
        <v>0.36564578161173</v>
      </c>
      <c r="I8" s="46" t="n">
        <f aca="false">IF(I36*I64*parametros_manuales!$M$25*parametros_manuales!$B$6=0,0,'Demanda puesto con sobrestock'!$P$197/(parametros_manuales!$M$25*I36*I64*parametros_manuales!$B$6))</f>
        <v>0.467108082724743</v>
      </c>
      <c r="J8" s="45" t="n">
        <f aca="false">IF(J36*J64*parametros_manuales!$M$25*parametros_manuales!$B$6=0,0,'Demanda puesto con sobrestock'!$P$224/(parametros_manuales!$M$25*J36*J64*parametros_manuales!$B$6))</f>
        <v>0.527050164783819</v>
      </c>
      <c r="K8" s="45" t="n">
        <f aca="false">IF(K36*K64*parametros_manuales!$M$25*parametros_manuales!$B$6=0,0,'Demanda puesto con sobrestock'!$P$251/(parametros_manuales!$M$25*K36*K64*parametros_manuales!$B$6))</f>
        <v>0.608962509360017</v>
      </c>
      <c r="L8" s="8" t="s">
        <v>83</v>
      </c>
      <c r="M8" s="48" t="s">
        <v>204</v>
      </c>
    </row>
    <row r="9" customFormat="false" ht="14.25" hidden="false" customHeight="true" outlineLevel="0" collapsed="false">
      <c r="A9" s="8" t="str">
        <f aca="false">parametros_manuales!$B$26</f>
        <v>Cilindrado</v>
      </c>
      <c r="B9" s="45" t="n">
        <f aca="false">IF(B37*B65*parametros_manuales!$M$26*parametros_manuales!$B$6=0,0,'Demanda puesto con sobrestock'!$P$9/(parametros_manuales!$M$26*B37*B65*parametros_manuales!$B$6))</f>
        <v>0.0362653589693243</v>
      </c>
      <c r="C9" s="45" t="n">
        <f aca="false">IF(C37*C65*parametros_manuales!$M$26*parametros_manuales!$B$6=0,0,'Demanda puesto con sobrestock'!$P$36/(parametros_manuales!$M$26*C37*C65*parametros_manuales!$B$6))</f>
        <v>0.0655707247027027</v>
      </c>
      <c r="D9" s="45" t="n">
        <f aca="false">IF(D37*D65*parametros_manuales!$M$26*parametros_manuales!$B$6=0,0,'Demanda puesto con sobrestock'!$P$63/(parametros_manuales!$M$26*D37*D65*parametros_manuales!$B$6))</f>
        <v>0.113603573356757</v>
      </c>
      <c r="E9" s="45" t="n">
        <f aca="false">IF(E37*E65*parametros_manuales!$M$26*parametros_manuales!$B$6=0,0,'Demanda puesto con sobrestock'!$P$90/(parametros_manuales!$M$26*E37*E65*parametros_manuales!$B$6))</f>
        <v>0.209829918663514</v>
      </c>
      <c r="F9" s="45" t="n">
        <f aca="false">IF(F37*F65*parametros_manuales!$M$26*parametros_manuales!$B$6=0,0,'Demanda puesto con sobrestock'!$P$117/(parametros_manuales!$M$26*F37*F65*parametros_manuales!$B$6))</f>
        <v>0.353138551593243</v>
      </c>
      <c r="G9" s="45" t="n">
        <f aca="false">IF(G37*G65*parametros_manuales!$M$26*parametros_manuales!$B$6=0,0,'Demanda puesto con sobrestock'!$P$144/(parametros_manuales!$M$26*G37*G65*parametros_manuales!$B$6))</f>
        <v>0.494606473364865</v>
      </c>
      <c r="H9" s="45" t="n">
        <f aca="false">IF(H37*H65*parametros_manuales!$M$26*parametros_manuales!$B$6=0,0,'Demanda puesto con sobrestock'!$P$171/(parametros_manuales!$M$26*H37*H65*parametros_manuales!$B$6))</f>
        <v>0.332138891277027</v>
      </c>
      <c r="I9" s="46" t="n">
        <f aca="false">IF(I37*I65*parametros_manuales!$M$26*parametros_manuales!$B$6=0,0,'Demanda puesto con sobrestock'!$P$198/(parametros_manuales!$M$26*I37*I65*parametros_manuales!$B$6))</f>
        <v>0.419593363304054</v>
      </c>
      <c r="J9" s="45" t="n">
        <f aca="false">IF(J37*J65*parametros_manuales!$M$26*parametros_manuales!$B$6=0,0,'Demanda puesto con sobrestock'!$P$225/(parametros_manuales!$M$26*J37*J65*parametros_manuales!$B$6))</f>
        <v>0.478680411128379</v>
      </c>
      <c r="K9" s="45" t="n">
        <f aca="false">IF(K37*K65*parametros_manuales!$M$26*parametros_manuales!$B$6=0,0,'Demanda puesto con sobrestock'!$P$252/(parametros_manuales!$M$26*K37*K65*parametros_manuales!$B$6))</f>
        <v>0.553288143533784</v>
      </c>
      <c r="L9" s="8" t="s">
        <v>83</v>
      </c>
      <c r="M9" s="49" t="s">
        <v>205</v>
      </c>
    </row>
    <row r="10" customFormat="false" ht="14.25" hidden="false" customHeight="true" outlineLevel="0" collapsed="false">
      <c r="A10" s="8" t="str">
        <f aca="false">parametros_manuales!$B$27</f>
        <v>Soldadura longitudinal</v>
      </c>
      <c r="B10" s="45" t="n">
        <f aca="false">IF(B38*B66*parametros_manuales!$M$27*parametros_manuales!$B$6=0,0,'Demanda puesto con sobrestock'!$P$10/(parametros_manuales!$M$27*B38*B66*parametros_manuales!$B$6))</f>
        <v>0.0521314535184037</v>
      </c>
      <c r="C10" s="45" t="n">
        <f aca="false">IF(C38*C66*parametros_manuales!$M$27*parametros_manuales!$B$6=0,0,'Demanda puesto con sobrestock'!$P$37/(parametros_manuales!$M$27*C38*C66*parametros_manuales!$B$6))</f>
        <v>0.0942579167601352</v>
      </c>
      <c r="D10" s="45" t="n">
        <f aca="false">IF(D38*D66*parametros_manuales!$M$27*parametros_manuales!$B$6=0,0,'Demanda puesto con sobrestock'!$P$64/(parametros_manuales!$M$27*D38*D66*parametros_manuales!$B$6))</f>
        <v>0.163305136700338</v>
      </c>
      <c r="E10" s="45" t="n">
        <f aca="false">IF(E38*E66*parametros_manuales!$M$27*parametros_manuales!$B$6=0,0,'Demanda puesto con sobrestock'!$P$91/(parametros_manuales!$M$27*E38*E66*parametros_manuales!$B$6))</f>
        <v>0.301630508078801</v>
      </c>
      <c r="F10" s="45" t="n">
        <f aca="false">IF(F38*F66*parametros_manuales!$M$27*parametros_manuales!$B$6=0,0,'Demanda puesto con sobrestock'!$P$118/(parametros_manuales!$M$27*F38*F66*parametros_manuales!$B$6))</f>
        <v>0.507636667915287</v>
      </c>
      <c r="G10" s="45" t="n">
        <f aca="false">IF(G38*G66*parametros_manuales!$M$27*parametros_manuales!$B$6=0,0,'Demanda puesto con sobrestock'!$P$145/(parametros_manuales!$M$27*G38*G66*parametros_manuales!$B$6))</f>
        <v>0.710996805461993</v>
      </c>
      <c r="H10" s="58" t="n">
        <f aca="false">IF(H38*H66*parametros_manuales!$M$27*parametros_manuales!$B$6=0,0,'Demanda puesto con sobrestock'!$P$172/(parametros_manuales!$M$27*H38*H66*parametros_manuales!$B$6))</f>
        <v>0.477449656210726</v>
      </c>
      <c r="I10" s="46" t="n">
        <f aca="false">IF(I38*I66*parametros_manuales!$M$27*parametros_manuales!$B$6=0,0,'Demanda puesto con sobrestock'!$P$199/(parametros_manuales!$M$27*I38*I66*parametros_manuales!$B$6))</f>
        <v>0.603165459749578</v>
      </c>
      <c r="J10" s="45" t="n">
        <f aca="false">IF(J38*J66*parametros_manuales!$M$27*parametros_manuales!$B$6=0,0,'Demanda puesto con sobrestock'!$P$226/(parametros_manuales!$M$27*J38*J66*parametros_manuales!$B$6))</f>
        <v>0.688103090997044</v>
      </c>
      <c r="K10" s="45" t="n">
        <f aca="false">IF(K38*K66*parametros_manuales!$M$27*parametros_manuales!$B$6=0,0,'Demanda puesto con sobrestock'!$P$253/(parametros_manuales!$M$27*K38*K66*parametros_manuales!$B$6))</f>
        <v>0.795351706329814</v>
      </c>
      <c r="L10" s="8" t="s">
        <v>83</v>
      </c>
      <c r="M10" s="50" t="s">
        <v>206</v>
      </c>
    </row>
    <row r="11" customFormat="false" ht="14.25" hidden="false" customHeight="true" outlineLevel="0" collapsed="false">
      <c r="A11" s="8" t="str">
        <f aca="false">parametros_manuales!$B$28</f>
        <v>Encastre de fondo</v>
      </c>
      <c r="B11" s="45" t="n">
        <f aca="false">IF(B39*B67*parametros_manuales!$M$28*parametros_manuales!$B$6=0,0,'Demanda puesto con sobrestock'!$P$11/(parametros_manuales!$M$28*B39*B67*parametros_manuales!$B$6))</f>
        <v>0.0349328947740781</v>
      </c>
      <c r="C11" s="45" t="n">
        <f aca="false">IF(C39*C67*parametros_manuales!$M$28*parametros_manuales!$B$6=0,0,'Demanda puesto con sobrestock'!$P$38/(parametros_manuales!$M$28*C39*C67*parametros_manuales!$B$6))</f>
        <v>0.0552295466317873</v>
      </c>
      <c r="D11" s="45" t="n">
        <f aca="false">IF(D39*D67*parametros_manuales!$M$28*parametros_manuales!$B$6=0,0,'Demanda puesto con sobrestock'!$P$65/(parametros_manuales!$M$28*D39*D67*parametros_manuales!$B$6))</f>
        <v>0.116678342577828</v>
      </c>
      <c r="E11" s="45" t="n">
        <f aca="false">IF(E39*E67*parametros_manuales!$M$28*parametros_manuales!$B$6=0,0,'Demanda puesto con sobrestock'!$P$92/(parametros_manuales!$M$28*E39*E67*parametros_manuales!$B$6))</f>
        <v>0.258034019101188</v>
      </c>
      <c r="F11" s="45" t="n">
        <f aca="false">IF(F39*F67*parametros_manuales!$M$28*parametros_manuales!$B$6=0,0,'Demanda puesto con sobrestock'!$P$119/(parametros_manuales!$M$28*F39*F67*parametros_manuales!$B$6))</f>
        <v>0.449224643524378</v>
      </c>
      <c r="G11" s="45" t="n">
        <f aca="false">IF(G39*G67*parametros_manuales!$M$28*parametros_manuales!$B$6=0,0,'Demanda puesto con sobrestock'!$P$146/(parametros_manuales!$M$28*G39*G67*parametros_manuales!$B$6))</f>
        <v>0.630719450730204</v>
      </c>
      <c r="H11" s="58" t="n">
        <f aca="false">IF(H39*H67*parametros_manuales!$M$28*parametros_manuales!$B$6=0,0,'Demanda puesto con sobrestock'!$P$173/(parametros_manuales!$M$28*H39*H67*parametros_manuales!$B$6))</f>
        <v>0.43480412401612</v>
      </c>
      <c r="I11" s="46" t="n">
        <f aca="false">IF(I39*I67*parametros_manuales!$M$28*parametros_manuales!$B$6=0,0,'Demanda puesto con sobrestock'!$P$200/(parametros_manuales!$M$28*I39*I67*parametros_manuales!$B$6))</f>
        <v>0.555457032307975</v>
      </c>
      <c r="J11" s="45" t="n">
        <f aca="false">IF(J39*J67*parametros_manuales!$M$28*parametros_manuales!$B$6=0,0,'Demanda puesto con sobrestock'!$P$227/(parametros_manuales!$M$28*J39*J67*parametros_manuales!$B$6))</f>
        <v>0.626736576041572</v>
      </c>
      <c r="K11" s="45" t="n">
        <f aca="false">IF(K39*K67*parametros_manuales!$M$28*parametros_manuales!$B$6=0,0,'Demanda puesto con sobrestock'!$P$254/(parametros_manuales!$M$28*K39*K67*parametros_manuales!$B$6))</f>
        <v>0.724141843709559</v>
      </c>
      <c r="L11" s="8" t="s">
        <v>83</v>
      </c>
      <c r="M11" s="51" t="s">
        <v>207</v>
      </c>
    </row>
    <row r="12" customFormat="false" ht="14.25" hidden="false" customHeight="true" outlineLevel="0" collapsed="false">
      <c r="A12" s="8" t="str">
        <f aca="false">parametros_manuales!$B$29</f>
        <v>Bordoneado</v>
      </c>
      <c r="B12" s="45" t="n">
        <f aca="false">IF(B40*B68*parametros_manuales!$M$29*parametros_manuales!$B$6=0,0,'Demanda puesto con sobrestock'!$P$12/(parametros_manuales!$M$29*B40*B68*parametros_manuales!$B$6))</f>
        <v>0.023288596516052</v>
      </c>
      <c r="C12" s="45" t="n">
        <f aca="false">IF(C40*C68*parametros_manuales!$M$29*parametros_manuales!$B$6=0,0,'Demanda puesto con sobrestock'!$P$39/(parametros_manuales!$M$29*C40*C68*parametros_manuales!$B$6))</f>
        <v>0.0368196977545249</v>
      </c>
      <c r="D12" s="45" t="n">
        <f aca="false">IF(D40*D68*parametros_manuales!$M$29*parametros_manuales!$B$6=0,0,'Demanda puesto con sobrestock'!$P$66/(parametros_manuales!$M$29*D40*D68*parametros_manuales!$B$6))</f>
        <v>0.077785561718552</v>
      </c>
      <c r="E12" s="45" t="n">
        <f aca="false">IF(E40*E68*parametros_manuales!$M$29*parametros_manuales!$B$6=0,0,'Demanda puesto con sobrestock'!$P$93/(parametros_manuales!$M$29*E40*E68*parametros_manuales!$B$6))</f>
        <v>0.172022679400792</v>
      </c>
      <c r="F12" s="45" t="n">
        <f aca="false">IF(F40*F68*parametros_manuales!$M$29*parametros_manuales!$B$6=0,0,'Demanda puesto con sobrestock'!$P$120/(parametros_manuales!$M$29*F40*F68*parametros_manuales!$B$6))</f>
        <v>0.299483095682919</v>
      </c>
      <c r="G12" s="45" t="n">
        <f aca="false">IF(G40*G68*parametros_manuales!$M$29*parametros_manuales!$B$6=0,0,'Demanda puesto con sobrestock'!$P$147/(parametros_manuales!$M$29*G40*G68*parametros_manuales!$B$6))</f>
        <v>0.420479633820136</v>
      </c>
      <c r="H12" s="45" t="n">
        <f aca="false">IF(H40*H68*parametros_manuales!$M$29*parametros_manuales!$B$6=0,0,'Demanda puesto con sobrestock'!$P$174/(parametros_manuales!$M$29*H40*H68*parametros_manuales!$B$6))</f>
        <v>0.289869416010747</v>
      </c>
      <c r="I12" s="46" t="n">
        <f aca="false">IF(I40*I68*parametros_manuales!$M$29*parametros_manuales!$B$6=0,0,'Demanda puesto con sobrestock'!$P$201/(parametros_manuales!$M$29*I40*I68*parametros_manuales!$B$6))</f>
        <v>0.370304688205317</v>
      </c>
      <c r="J12" s="58" t="n">
        <f aca="false">IF(J40*J68*parametros_manuales!$M$29*parametros_manuales!$B$6=0,0,'Demanda puesto con sobrestock'!$P$228/(parametros_manuales!$M$29*J40*J68*parametros_manuales!$B$6))</f>
        <v>0.417824384027715</v>
      </c>
      <c r="K12" s="45" t="n">
        <f aca="false">IF(K40*K68*parametros_manuales!$M$29*parametros_manuales!$B$6=0,0,'Demanda puesto con sobrestock'!$P$255/(parametros_manuales!$M$29*K40*K68*parametros_manuales!$B$6))</f>
        <v>0.482761229139706</v>
      </c>
      <c r="L12" s="8" t="s">
        <v>83</v>
      </c>
    </row>
    <row r="13" customFormat="false" ht="14.25" hidden="false" customHeight="true" outlineLevel="0" collapsed="false">
      <c r="A13" s="8" t="str">
        <f aca="false">parametros_manuales!$B$30</f>
        <v>Soldadura circunferencial de cúpula y fondo</v>
      </c>
      <c r="B13" s="45" t="n">
        <f aca="false">IF(B41*B69*parametros_manuales!$M$30*parametros_manuales!$B$6=0,0,'Demanda puesto con sobrestock'!$P$13/(parametros_manuales!$M$30*B41*B69*parametros_manuales!$B$6))</f>
        <v>0.0698657895481561</v>
      </c>
      <c r="C13" s="45" t="n">
        <f aca="false">IF(C41*C69*parametros_manuales!$M$30*parametros_manuales!$B$6=0,0,'Demanda puesto con sobrestock'!$P$40/(parametros_manuales!$M$30*C41*C69*parametros_manuales!$B$6))</f>
        <v>0.110459093263575</v>
      </c>
      <c r="D13" s="45" t="n">
        <f aca="false">IF(D41*D69*parametros_manuales!$M$30*parametros_manuales!$B$6=0,0,'Demanda puesto con sobrestock'!$P$67/(parametros_manuales!$M$30*D41*D69*parametros_manuales!$B$6))</f>
        <v>0.233356685155656</v>
      </c>
      <c r="E13" s="45" t="n">
        <f aca="false">IF(E41*E69*parametros_manuales!$M$30*parametros_manuales!$B$6=0,0,'Demanda puesto con sobrestock'!$P$94/(parametros_manuales!$M$30*E41*E69*parametros_manuales!$B$6))</f>
        <v>0.516068038202376</v>
      </c>
      <c r="F13" s="58" t="n">
        <f aca="false">IF(F41*F69*parametros_manuales!$M$30*parametros_manuales!$B$6=0,0,'Demanda puesto con sobrestock'!$P$121/(parametros_manuales!$M$30*F41*F69*parametros_manuales!$B$6))</f>
        <v>0.898449287048756</v>
      </c>
      <c r="G13" s="46" t="n">
        <f aca="false">IF(G41*G69*parametros_manuales!$M$30*parametros_manuales!$B$6=0,0,'Demanda puesto con sobrestock'!$P$148/(parametros_manuales!$M$30*G41*G69*parametros_manuales!$B$6))</f>
        <v>0.630719450730204</v>
      </c>
      <c r="H13" s="58" t="n">
        <f aca="false">IF(H41*H69*parametros_manuales!$M$30*parametros_manuales!$B$6=0,0,'Demanda puesto con sobrestock'!$P$175/(parametros_manuales!$M$30*H41*H69*parametros_manuales!$B$6))</f>
        <v>0.43480412401612</v>
      </c>
      <c r="I13" s="46" t="n">
        <f aca="false">IF(I41*I69*parametros_manuales!$M$30*parametros_manuales!$B$6=0,0,'Demanda puesto con sobrestock'!$P$202/(parametros_manuales!$M$30*I41*I69*parametros_manuales!$B$6))</f>
        <v>0.555457032307975</v>
      </c>
      <c r="J13" s="45" t="n">
        <f aca="false">IF(J41*J69*parametros_manuales!$M$30*parametros_manuales!$B$6=0,0,'Demanda puesto con sobrestock'!$P$229/(parametros_manuales!$M$30*J41*J69*parametros_manuales!$B$6))</f>
        <v>0.626736576041572</v>
      </c>
      <c r="K13" s="45" t="n">
        <f aca="false">IF(K41*K69*parametros_manuales!$M$30*parametros_manuales!$B$6=0,0,'Demanda puesto con sobrestock'!$P$256/(parametros_manuales!$M$30*K41*K69*parametros_manuales!$B$6))</f>
        <v>0.724141843709559</v>
      </c>
      <c r="L13" s="8" t="s">
        <v>83</v>
      </c>
      <c r="M13" s="52" t="s">
        <v>55</v>
      </c>
      <c r="N13" s="53" t="n">
        <f aca="false">parametros_manuales!$B$8</f>
        <v>0.9</v>
      </c>
    </row>
    <row r="14" customFormat="false" ht="14.25" hidden="false" customHeight="true" outlineLevel="0" collapsed="false">
      <c r="A14" s="8" t="str">
        <f aca="false">parametros_manuales!$B$31</f>
        <v>Control de calidad — Espesor</v>
      </c>
      <c r="B14" s="45" t="n">
        <f aca="false">IF(B42*B70*parametros_manuales!$M$31*parametros_manuales!$B$6=0,0,'Demanda puesto con sobrestock'!$P$14/(parametros_manuales!$M$31*B42*B70*parametros_manuales!$B$6))</f>
        <v>0.002744949242692</v>
      </c>
      <c r="C14" s="45" t="n">
        <f aca="false">IF(C42*C70*parametros_manuales!$M$31*parametros_manuales!$B$6=0,0,'Demanda puesto con sobrestock'!$P$41/(parametros_manuales!$M$31*C42*C70*parametros_manuales!$B$6))</f>
        <v>0.004339815042</v>
      </c>
      <c r="D14" s="45" t="n">
        <f aca="false">IF(D42*D70*parametros_manuales!$M$31*parametros_manuales!$B$6=0,0,'Demanda puesto con sobrestock'!$P$68/(parametros_manuales!$M$31*D42*D70*parametros_manuales!$B$6))</f>
        <v>0.00916832487456</v>
      </c>
      <c r="E14" s="45" t="n">
        <f aca="false">IF(E42*E70*parametros_manuales!$M$31*parametros_manuales!$B$6=0,0,'Demanda puesto con sobrestock'!$P$95/(parametros_manuales!$M$31*E42*E70*parametros_manuales!$B$6))</f>
        <v>0.02027573981204</v>
      </c>
      <c r="F14" s="45" t="n">
        <f aca="false">IF(F42*F70*parametros_manuales!$M$31*parametros_manuales!$B$6=0,0,'Demanda puesto con sobrestock'!$P$122/(parametros_manuales!$M$31*F42*F70*parametros_manuales!$B$6))</f>
        <v>0.03529907421116</v>
      </c>
      <c r="G14" s="45" t="n">
        <f aca="false">IF(G42*G70*parametros_manuales!$M$31*parametros_manuales!$B$6=0,0,'Demanda puesto con sobrestock'!$P$149/(parametros_manuales!$M$31*G42*G70*parametros_manuales!$B$6))</f>
        <v>0.0495605328396</v>
      </c>
      <c r="H14" s="45" t="n">
        <f aca="false">IF(H42*H70*parametros_manuales!$M$31*parametros_manuales!$B$6=0,0,'Demanda puesto con sobrestock'!$P$176/(parametros_manuales!$M$31*H42*H70*parametros_manuales!$B$6))</f>
        <v>0.0683318836676</v>
      </c>
      <c r="I14" s="45" t="n">
        <f aca="false">IF(I42*I70*parametros_manuales!$M$31*parametros_manuales!$B$6=0,0,'Demanda puesto con sobrestock'!$P$203/(parametros_manuales!$M$31*I42*I70*parametros_manuales!$B$6))</f>
        <v>0.0872931584996</v>
      </c>
      <c r="J14" s="45" t="n">
        <f aca="false">IF(J42*J70*parametros_manuales!$M$31*parametros_manuales!$B$6=0,0,'Demanda puesto con sobrestock'!$P$230/(parametros_manuales!$M$31*J42*J70*parametros_manuales!$B$6))</f>
        <v>0.0984951347948</v>
      </c>
      <c r="K14" s="45" t="n">
        <f aca="false">IF(K42*K70*parametros_manuales!$M$31*parametros_manuales!$B$6=0,0,'Demanda puesto con sobrestock'!$P$257/(parametros_manuales!$M$31*K42*K70*parametros_manuales!$B$6))</f>
        <v>0.1138029137492</v>
      </c>
      <c r="L14" s="8" t="s">
        <v>202</v>
      </c>
      <c r="M14" s="12" t="s">
        <v>208</v>
      </c>
    </row>
    <row r="15" customFormat="false" ht="14.25" hidden="false" customHeight="true" outlineLevel="0" collapsed="false">
      <c r="A15" s="8" t="str">
        <f aca="false">parametros_manuales!$B$32</f>
        <v>Prueba hidráulica</v>
      </c>
      <c r="B15" s="45" t="n">
        <f aca="false">IF(B43*B71*parametros_manuales!$M$32*parametros_manuales!$B$6=0,0,'Demanda puesto con sobrestock'!$P$15/(parametros_manuales!$M$32*B43*B71*parametros_manuales!$B$6))</f>
        <v>0.0698657895481561</v>
      </c>
      <c r="C15" s="45" t="n">
        <f aca="false">IF(C43*C71*parametros_manuales!$M$32*parametros_manuales!$B$6=0,0,'Demanda puesto con sobrestock'!$P$42/(parametros_manuales!$M$32*C43*C71*parametros_manuales!$B$6))</f>
        <v>0.110459093263575</v>
      </c>
      <c r="D15" s="45" t="n">
        <f aca="false">IF(D43*D71*parametros_manuales!$M$32*parametros_manuales!$B$6=0,0,'Demanda puesto con sobrestock'!$P$69/(parametros_manuales!$M$32*D43*D71*parametros_manuales!$B$6))</f>
        <v>0.233356685155656</v>
      </c>
      <c r="E15" s="45" t="n">
        <f aca="false">IF(E43*E71*parametros_manuales!$M$32*parametros_manuales!$B$6=0,0,'Demanda puesto con sobrestock'!$P$96/(parametros_manuales!$M$32*E43*E71*parametros_manuales!$B$6))</f>
        <v>0.516068038202376</v>
      </c>
      <c r="F15" s="58" t="n">
        <f aca="false">IF(F43*F71*parametros_manuales!$M$32*parametros_manuales!$B$6=0,0,'Demanda puesto con sobrestock'!$P$123/(parametros_manuales!$M$32*F43*F71*parametros_manuales!$B$6))</f>
        <v>0.898449287048756</v>
      </c>
      <c r="G15" s="46" t="n">
        <f aca="false">IF(G43*G71*parametros_manuales!$M$32*parametros_manuales!$B$6=0,0,'Demanda puesto con sobrestock'!$P$150/(parametros_manuales!$M$32*G43*G71*parametros_manuales!$B$6))</f>
        <v>0.630719450730204</v>
      </c>
      <c r="H15" s="58" t="n">
        <f aca="false">IF(H43*H71*parametros_manuales!$M$32*parametros_manuales!$B$6=0,0,'Demanda puesto con sobrestock'!$P$177/(parametros_manuales!$M$32*H43*H71*parametros_manuales!$B$6))</f>
        <v>0.43480412401612</v>
      </c>
      <c r="I15" s="46" t="n">
        <f aca="false">IF(I43*I71*parametros_manuales!$M$32*parametros_manuales!$B$6=0,0,'Demanda puesto con sobrestock'!$P$204/(parametros_manuales!$M$32*I43*I71*parametros_manuales!$B$6))</f>
        <v>0.555457032307975</v>
      </c>
      <c r="J15" s="45" t="n">
        <f aca="false">IF(J43*J71*parametros_manuales!$M$32*parametros_manuales!$B$6=0,0,'Demanda puesto con sobrestock'!$P$231/(parametros_manuales!$M$32*J43*J71*parametros_manuales!$B$6))</f>
        <v>0.626736576041572</v>
      </c>
      <c r="K15" s="45" t="n">
        <f aca="false">IF(K43*K71*parametros_manuales!$M$32*parametros_manuales!$B$6=0,0,'Demanda puesto con sobrestock'!$P$258/(parametros_manuales!$M$32*K43*K71*parametros_manuales!$B$6))</f>
        <v>0.724141843709559</v>
      </c>
      <c r="L15" s="8" t="s">
        <v>83</v>
      </c>
    </row>
    <row r="16" customFormat="false" ht="14.25" hidden="false" customHeight="true" outlineLevel="0" collapsed="false">
      <c r="A16" s="8" t="str">
        <f aca="false">parametros_manuales!$B$33</f>
        <v>Secado</v>
      </c>
      <c r="B16" s="45" t="n">
        <f aca="false">IF(B44*B72*parametros_manuales!$M$33*parametros_manuales!$B$6=0,0,'Demanda puesto con sobrestock'!$P$16/(parametros_manuales!$M$33*B44*B72*parametros_manuales!$B$6))</f>
        <v>0.1372474621346</v>
      </c>
      <c r="C16" s="45" t="n">
        <f aca="false">IF(C44*C72*parametros_manuales!$M$33*parametros_manuales!$B$6=0,0,'Demanda puesto con sobrestock'!$P$43/(parametros_manuales!$M$33*C44*C72*parametros_manuales!$B$6))</f>
        <v>0.2169907521</v>
      </c>
      <c r="D16" s="45" t="n">
        <f aca="false">IF(D44*D72*parametros_manuales!$M$33*parametros_manuales!$B$6=0,0,'Demanda puesto con sobrestock'!$P$70/(parametros_manuales!$M$33*D44*D72*parametros_manuales!$B$6))</f>
        <v>0.458416243728</v>
      </c>
      <c r="E16" s="46" t="n">
        <f aca="false">IF(E44*E72*parametros_manuales!$M$33*parametros_manuales!$B$6=0,0,'Demanda puesto con sobrestock'!$P$97/(parametros_manuales!$M$33*E44*E72*parametros_manuales!$B$6))</f>
        <v>0.506893495301</v>
      </c>
      <c r="F16" s="58" t="n">
        <f aca="false">IF(F44*F72*parametros_manuales!$M$33*parametros_manuales!$B$6=0,0,'Demanda puesto con sobrestock'!$P$124/(parametros_manuales!$M$33*F44*F72*parametros_manuales!$B$6))</f>
        <v>0.882476855279</v>
      </c>
      <c r="G16" s="46" t="n">
        <f aca="false">IF(G44*G72*parametros_manuales!$M$33*parametros_manuales!$B$6=0,0,'Demanda puesto con sobrestock'!$P$151/(parametros_manuales!$M$33*G44*G72*parametros_manuales!$B$6))</f>
        <v>0.82600888066</v>
      </c>
      <c r="H16" s="46" t="n">
        <f aca="false">IF(H44*H72*parametros_manuales!$M$33*parametros_manuales!$B$6=0,0,'Demanda puesto con sobrestock'!$P$178/(parametros_manuales!$M$33*H44*H72*parametros_manuales!$B$6))</f>
        <v>0.4270742729225</v>
      </c>
      <c r="I16" s="46" t="n">
        <f aca="false">IF(I44*I72*parametros_manuales!$M$33*parametros_manuales!$B$6=0,0,'Demanda puesto con sobrestock'!$P$205/(parametros_manuales!$M$33*I44*I72*parametros_manuales!$B$6))</f>
        <v>0.5455822406225</v>
      </c>
      <c r="J16" s="45" t="n">
        <f aca="false">IF(J44*J72*parametros_manuales!$M$33*parametros_manuales!$B$6=0,0,'Demanda puesto con sobrestock'!$P$232/(parametros_manuales!$M$33*J44*J72*parametros_manuales!$B$6))</f>
        <v>0.6155945924675</v>
      </c>
      <c r="K16" s="45" t="n">
        <f aca="false">IF(K44*K72*parametros_manuales!$M$33*parametros_manuales!$B$6=0,0,'Demanda puesto con sobrestock'!$P$259/(parametros_manuales!$M$33*K44*K72*parametros_manuales!$B$6))</f>
        <v>0.7112682109325</v>
      </c>
      <c r="L16" s="8" t="s">
        <v>83</v>
      </c>
    </row>
    <row r="17" customFormat="false" ht="14.25" hidden="false" customHeight="true" outlineLevel="0" collapsed="false">
      <c r="A17" s="8" t="str">
        <f aca="false">parametros_manuales!$B$34</f>
        <v>Granallado</v>
      </c>
      <c r="B17" s="45" t="n">
        <f aca="false">IF(B45*B73*parametros_manuales!$M$34*parametros_manuales!$B$6=0,0,'Demanda puesto con sobrestock'!$P$17/(parametros_manuales!$M$34*B45*B73*parametros_manuales!$B$6))</f>
        <v>0.03431186553365</v>
      </c>
      <c r="C17" s="45" t="n">
        <f aca="false">IF(C45*C73*parametros_manuales!$M$34*parametros_manuales!$B$6=0,0,'Demanda puesto con sobrestock'!$P$44/(parametros_manuales!$M$34*C45*C73*parametros_manuales!$B$6))</f>
        <v>0.054247688025</v>
      </c>
      <c r="D17" s="45" t="n">
        <f aca="false">IF(D45*D73*parametros_manuales!$M$34*parametros_manuales!$B$6=0,0,'Demanda puesto con sobrestock'!$P$71/(parametros_manuales!$M$34*D45*D73*parametros_manuales!$B$6))</f>
        <v>0.114604060932</v>
      </c>
      <c r="E17" s="45" t="n">
        <f aca="false">IF(E45*E73*parametros_manuales!$M$34*parametros_manuales!$B$6=0,0,'Demanda puesto con sobrestock'!$P$98/(parametros_manuales!$M$34*E45*E73*parametros_manuales!$B$6))</f>
        <v>0.2534467476505</v>
      </c>
      <c r="F17" s="45" t="n">
        <f aca="false">IF(F45*F73*parametros_manuales!$M$34*parametros_manuales!$B$6=0,0,'Demanda puesto con sobrestock'!$P$125/(parametros_manuales!$M$34*F45*F73*parametros_manuales!$B$6))</f>
        <v>0.4412384276395</v>
      </c>
      <c r="G17" s="45" t="n">
        <f aca="false">IF(G45*G73*parametros_manuales!$M$34*parametros_manuales!$B$6=0,0,'Demanda puesto con sobrestock'!$P$152/(parametros_manuales!$M$34*G45*G73*parametros_manuales!$B$6))</f>
        <v>0.619506660495</v>
      </c>
      <c r="H17" s="58" t="n">
        <f aca="false">IF(H45*H73*parametros_manuales!$M$34*parametros_manuales!$B$6=0,0,'Demanda puesto con sobrestock'!$P$179/(parametros_manuales!$M$34*H45*H73*parametros_manuales!$B$6))</f>
        <v>0.4270742729225</v>
      </c>
      <c r="I17" s="46" t="n">
        <f aca="false">IF(I45*I73*parametros_manuales!$M$34*parametros_manuales!$B$6=0,0,'Demanda puesto con sobrestock'!$P$206/(parametros_manuales!$M$34*I45*I73*parametros_manuales!$B$6))</f>
        <v>0.5455822406225</v>
      </c>
      <c r="J17" s="45" t="n">
        <f aca="false">IF(J45*J73*parametros_manuales!$M$34*parametros_manuales!$B$6=0,0,'Demanda puesto con sobrestock'!$P$233/(parametros_manuales!$M$34*J45*J73*parametros_manuales!$B$6))</f>
        <v>0.6155945924675</v>
      </c>
      <c r="K17" s="45" t="n">
        <f aca="false">IF(K45*K73*parametros_manuales!$M$34*parametros_manuales!$B$6=0,0,'Demanda puesto con sobrestock'!$P$260/(parametros_manuales!$M$34*K45*K73*parametros_manuales!$B$6))</f>
        <v>0.7112682109325</v>
      </c>
      <c r="L17" s="8" t="s">
        <v>83</v>
      </c>
    </row>
    <row r="18" customFormat="false" ht="14.25" hidden="false" customHeight="true" outlineLevel="0" collapsed="false">
      <c r="A18" s="8" t="str">
        <f aca="false">parametros_manuales!$B$35</f>
        <v>Detección de defectos</v>
      </c>
      <c r="B18" s="45" t="n">
        <f aca="false">IF(B46*B74*parametros_manuales!$M$35*parametros_manuales!$B$6=0,0,'Demanda puesto con sobrestock'!$P$18/(parametros_manuales!$M$35*B46*B74*parametros_manuales!$B$6))</f>
        <v>0.0228745770224333</v>
      </c>
      <c r="C18" s="45" t="n">
        <f aca="false">IF(C46*C74*parametros_manuales!$M$35*parametros_manuales!$B$6=0,0,'Demanda puesto con sobrestock'!$P$45/(parametros_manuales!$M$35*C46*C74*parametros_manuales!$B$6))</f>
        <v>0.03616512535</v>
      </c>
      <c r="D18" s="45" t="n">
        <f aca="false">IF(D46*D74*parametros_manuales!$M$35*parametros_manuales!$B$6=0,0,'Demanda puesto con sobrestock'!$P$72/(parametros_manuales!$M$35*D46*D74*parametros_manuales!$B$6))</f>
        <v>0.076402707288</v>
      </c>
      <c r="E18" s="45" t="n">
        <f aca="false">IF(E46*E74*parametros_manuales!$M$35*parametros_manuales!$B$6=0,0,'Demanda puesto con sobrestock'!$P$99/(parametros_manuales!$M$35*E46*E74*parametros_manuales!$B$6))</f>
        <v>0.168964498433667</v>
      </c>
      <c r="F18" s="45" t="n">
        <f aca="false">IF(F46*F74*parametros_manuales!$M$35*parametros_manuales!$B$6=0,0,'Demanda puesto con sobrestock'!$P$126/(parametros_manuales!$M$35*F46*F74*parametros_manuales!$B$6))</f>
        <v>0.294158951759667</v>
      </c>
      <c r="G18" s="45" t="n">
        <f aca="false">IF(G46*G74*parametros_manuales!$M$35*parametros_manuales!$B$6=0,0,'Demanda puesto con sobrestock'!$P$153/(parametros_manuales!$M$35*G46*G74*parametros_manuales!$B$6))</f>
        <v>0.41300444033</v>
      </c>
      <c r="H18" s="45" t="n">
        <f aca="false">IF(H46*H74*parametros_manuales!$M$35*parametros_manuales!$B$6=0,0,'Demanda puesto con sobrestock'!$P$180/(parametros_manuales!$M$35*H46*H74*parametros_manuales!$B$6))</f>
        <v>0.284716181948333</v>
      </c>
      <c r="I18" s="46" t="n">
        <f aca="false">IF(I46*I74*parametros_manuales!$M$35*parametros_manuales!$B$6=0,0,'Demanda puesto con sobrestock'!$P$207/(parametros_manuales!$M$35*I46*I74*parametros_manuales!$B$6))</f>
        <v>0.363721493748333</v>
      </c>
      <c r="J18" s="45" t="n">
        <f aca="false">IF(J46*J74*parametros_manuales!$M$35*parametros_manuales!$B$6=0,0,'Demanda puesto con sobrestock'!$P$234/(parametros_manuales!$M$35*J46*J74*parametros_manuales!$B$6))</f>
        <v>0.410396394978333</v>
      </c>
      <c r="K18" s="45" t="n">
        <f aca="false">IF(K46*K74*parametros_manuales!$M$35*parametros_manuales!$B$6=0,0,'Demanda puesto con sobrestock'!$P$261/(parametros_manuales!$M$35*K46*K74*parametros_manuales!$B$6))</f>
        <v>0.474178807288333</v>
      </c>
      <c r="L18" s="8" t="s">
        <v>202</v>
      </c>
    </row>
    <row r="19" customFormat="false" ht="14.25" hidden="false" customHeight="true" outlineLevel="0" collapsed="false">
      <c r="A19" s="8" t="str">
        <f aca="false">parametros_manuales!$B$36</f>
        <v>Corrección de defectos</v>
      </c>
      <c r="B19" s="45" t="n">
        <f aca="false">IF(B47*B75*parametros_manuales!$M$36*parametros_manuales!$B$6=0,0,'Demanda puesto con sobrestock'!$P$19/(parametros_manuales!$M$36*B47*B75*parametros_manuales!$B$6))</f>
        <v>0.010293559660095</v>
      </c>
      <c r="C19" s="45" t="n">
        <f aca="false">IF(C47*C75*parametros_manuales!$M$36*parametros_manuales!$B$6=0,0,'Demanda puesto con sobrestock'!$P$46/(parametros_manuales!$M$36*C47*C75*parametros_manuales!$B$6))</f>
        <v>0.0162743064075</v>
      </c>
      <c r="D19" s="45" t="n">
        <f aca="false">IF(D47*D75*parametros_manuales!$M$36*parametros_manuales!$B$6=0,0,'Demanda puesto con sobrestock'!$P$73/(parametros_manuales!$M$36*D47*D75*parametros_manuales!$B$6))</f>
        <v>0.0343812182796</v>
      </c>
      <c r="E19" s="45" t="n">
        <f aca="false">IF(E47*E75*parametros_manuales!$M$36*parametros_manuales!$B$6=0,0,'Demanda puesto con sobrestock'!$P$100/(parametros_manuales!$M$36*E47*E75*parametros_manuales!$B$6))</f>
        <v>0.07603402429515</v>
      </c>
      <c r="F19" s="45" t="n">
        <f aca="false">IF(F47*F75*parametros_manuales!$M$36*parametros_manuales!$B$6=0,0,'Demanda puesto con sobrestock'!$P$127/(parametros_manuales!$M$36*F47*F75*parametros_manuales!$B$6))</f>
        <v>0.13237152829185</v>
      </c>
      <c r="G19" s="45" t="n">
        <f aca="false">IF(G47*G75*parametros_manuales!$M$36*parametros_manuales!$B$6=0,0,'Demanda puesto con sobrestock'!$P$154/(parametros_manuales!$M$36*G47*G75*parametros_manuales!$B$6))</f>
        <v>0.1858519981485</v>
      </c>
      <c r="H19" s="45" t="n">
        <f aca="false">IF(H47*H75*parametros_manuales!$M$36*parametros_manuales!$B$6=0,0,'Demanda puesto con sobrestock'!$P$181/(parametros_manuales!$M$36*H47*H75*parametros_manuales!$B$6))</f>
        <v>0.2562445637535</v>
      </c>
      <c r="I19" s="45" t="n">
        <f aca="false">IF(I47*I75*parametros_manuales!$M$36*parametros_manuales!$B$6=0,0,'Demanda puesto con sobrestock'!$P$208/(parametros_manuales!$M$36*I47*I75*parametros_manuales!$B$6))</f>
        <v>0.3273493443735</v>
      </c>
      <c r="J19" s="45" t="n">
        <f aca="false">IF(J47*J75*parametros_manuales!$M$36*parametros_manuales!$B$6=0,0,'Demanda puesto con sobrestock'!$P$235/(parametros_manuales!$M$36*J47*J75*parametros_manuales!$B$6))</f>
        <v>0.3693567554805</v>
      </c>
      <c r="K19" s="45" t="n">
        <f aca="false">IF(K47*K75*parametros_manuales!$M$36*parametros_manuales!$B$6=0,0,'Demanda puesto con sobrestock'!$P$262/(parametros_manuales!$M$36*K47*K75*parametros_manuales!$B$6))</f>
        <v>0.4267609265595</v>
      </c>
      <c r="L19" s="8" t="s">
        <v>202</v>
      </c>
    </row>
    <row r="20" customFormat="false" ht="14.25" hidden="false" customHeight="true" outlineLevel="0" collapsed="false">
      <c r="A20" s="8" t="str">
        <f aca="false">parametros_manuales!$B$37</f>
        <v>Pintura en polvo + horno</v>
      </c>
      <c r="B20" s="58" t="n">
        <f aca="false">IF(B48*B76*parametros_manuales!$M$37*parametros_manuales!$B$6=0,0,'Demanda puesto con sobrestock'!$P$20/(parametros_manuales!$M$37*B48*B76*parametros_manuales!$B$6))</f>
        <v>0.0302041069838468</v>
      </c>
      <c r="C20" s="58" t="n">
        <f aca="false">IF(C48*C76*parametros_manuales!$M$37*parametros_manuales!$B$6=0,0,'Demanda puesto con sobrestock'!$P$47/(parametros_manuales!$M$37*C48*C76*parametros_manuales!$B$6))</f>
        <v>0.0477532465008803</v>
      </c>
      <c r="D20" s="58" t="n">
        <f aca="false">IF(D48*D76*parametros_manuales!$M$37*parametros_manuales!$B$6=0,0,'Demanda puesto con sobrestock'!$P$74/(parametros_manuales!$M$37*D48*D76*parametros_manuales!$B$6))</f>
        <v>0.100883856454225</v>
      </c>
      <c r="E20" s="58" t="n">
        <f aca="false">IF(E48*E76*parametros_manuales!$M$37*parametros_manuales!$B$6=0,0,'Demanda puesto con sobrestock'!$P$101/(parametros_manuales!$M$37*E48*E76*parametros_manuales!$B$6))</f>
        <v>0.223104531382482</v>
      </c>
      <c r="F20" s="45" t="n">
        <f aca="false">IF(F48*F76*parametros_manuales!$M$37*parametros_manuales!$B$6=0,0,'Demanda puesto con sobrestock'!$P$128/(parametros_manuales!$M$37*F48*F76*parametros_manuales!$B$6))</f>
        <v>0.388414108837588</v>
      </c>
      <c r="G20" s="45" t="n">
        <f aca="false">IF(G48*G76*parametros_manuales!$M$37*parametros_manuales!$B$6=0,0,'Demanda puesto con sobrestock'!$P$155/(parametros_manuales!$M$37*G48*G76*parametros_manuales!$B$6))</f>
        <v>0.54534037015405</v>
      </c>
      <c r="H20" s="58" t="n">
        <f aca="false">IF(H48*H76*parametros_manuales!$M$37*parametros_manuales!$B$6=0,0,'Demanda puesto con sobrestock'!$P$182/(parametros_manuales!$M$37*H48*H76*parametros_manuales!$B$6))</f>
        <v>0.375945662783891</v>
      </c>
      <c r="I20" s="46" t="n">
        <f aca="false">IF(I48*I76*parametros_manuales!$M$37*parametros_manuales!$B$6=0,0,'Demanda puesto con sobrestock'!$P$209/(parametros_manuales!$M$37*I48*I76*parametros_manuales!$B$6))</f>
        <v>0.480266056886004</v>
      </c>
      <c r="J20" s="45" t="n">
        <f aca="false">IF(J48*J76*parametros_manuales!$M$37*parametros_manuales!$B$6=0,0,'Demanda puesto con sobrestock'!$P$236/(parametros_manuales!$M$37*J48*J76*parametros_manuales!$B$6))</f>
        <v>0.541896648298856</v>
      </c>
      <c r="K20" s="45" t="n">
        <f aca="false">IF(K48*K76*parametros_manuales!$M$37*parametros_manuales!$B$6=0,0,'Demanda puesto con sobrestock'!$P$263/(parametros_manuales!$M$37*K48*K76*parametros_manuales!$B$6))</f>
        <v>0.626116382863116</v>
      </c>
      <c r="L20" s="8" t="s">
        <v>83</v>
      </c>
    </row>
    <row r="21" customFormat="false" ht="14.25" hidden="false" customHeight="true" outlineLevel="0" collapsed="false">
      <c r="A21" s="8" t="str">
        <f aca="false">parametros_manuales!$B$38</f>
        <v>Carga de polvo</v>
      </c>
      <c r="B21" s="45" t="n">
        <f aca="false">IF(B49*B77*parametros_manuales!$M$38*parametros_manuales!$B$6=0,0,'Demanda puesto con sobrestock'!$P$21/(parametros_manuales!$M$38*B49*B77*parametros_manuales!$B$6))</f>
        <v>0.051272798300475</v>
      </c>
      <c r="C21" s="45" t="n">
        <f aca="false">IF(C49*C77*parametros_manuales!$M$38*parametros_manuales!$B$6=0,0,'Demanda puesto con sobrestock'!$P$48/(parametros_manuales!$M$38*C49*C77*parametros_manuales!$B$6))</f>
        <v>0.0808084320375</v>
      </c>
      <c r="D21" s="45" t="n">
        <f aca="false">IF(D49*D77*parametros_manuales!$M$38*parametros_manuales!$B$6=0,0,'Demanda puesto con sobrestock'!$P$75/(parametros_manuales!$M$38*D49*D77*parametros_manuales!$B$6))</f>
        <v>0.099432691398</v>
      </c>
      <c r="E21" s="45" t="n">
        <f aca="false">IF(E49*E77*parametros_manuales!$M$38*parametros_manuales!$B$6=0,0,'Demanda puesto con sobrestock'!$P$102/(parametros_manuales!$M$38*E49*E77*parametros_manuales!$B$6))</f>
        <v>0.12952432147575</v>
      </c>
      <c r="F21" s="45" t="n">
        <f aca="false">IF(F49*F77*parametros_manuales!$M$38*parametros_manuales!$B$6=0,0,'Demanda puesto con sobrestock'!$P$129/(parametros_manuales!$M$38*F49*F77*parametros_manuales!$B$6))</f>
        <v>0.19902874145925</v>
      </c>
      <c r="G21" s="45" t="n">
        <f aca="false">IF(G49*G77*parametros_manuales!$M$38*parametros_manuales!$B$6=0,0,'Demanda puesto con sobrestock'!$P$156/(parametros_manuales!$M$38*G49*G77*parametros_manuales!$B$6))</f>
        <v>0.2586810907425</v>
      </c>
      <c r="H21" s="45" t="n">
        <f aca="false">IF(H49*H77*parametros_manuales!$M$38*parametros_manuales!$B$6=0,0,'Demanda puesto con sobrestock'!$P$183/(parametros_manuales!$M$38*H49*H77*parametros_manuales!$B$6))</f>
        <v>0.3341840187675</v>
      </c>
      <c r="I21" s="45" t="n">
        <f aca="false">IF(I49*I77*parametros_manuales!$M$38*parametros_manuales!$B$6=0,0,'Demanda puesto con sobrestock'!$P$210/(parametros_manuales!$M$38*I49*I77*parametros_manuales!$B$6))</f>
        <v>0.4132624218675</v>
      </c>
      <c r="J21" s="45" t="n">
        <f aca="false">IF(J49*J77*parametros_manuales!$M$38*parametros_manuales!$B$6=0,0,'Demanda puesto con sobrestock'!$P$237/(parametros_manuales!$M$38*J49*J77*parametros_manuales!$B$6))</f>
        <v>0.4758071774025</v>
      </c>
      <c r="K21" s="45" t="n">
        <f aca="false">IF(K49*K77*parametros_manuales!$M$38*parametros_manuales!$B$6=0,0,'Demanda puesto con sobrestock'!$P$264/(parametros_manuales!$M$38*K49*K77*parametros_manuales!$B$6))</f>
        <v>0.5414106327975</v>
      </c>
      <c r="L21" s="8" t="s">
        <v>83</v>
      </c>
    </row>
    <row r="22" customFormat="false" ht="14.25" hidden="false" customHeight="true" outlineLevel="0" collapsed="false">
      <c r="A22" s="8" t="str">
        <f aca="false">parametros_manuales!$B$39</f>
        <v>Ensamblaje</v>
      </c>
      <c r="B22" s="45" t="n">
        <f aca="false">IF(B50*B78*parametros_manuales!$M$39*parametros_manuales!$B$6=0,0,'Demanda puesto con sobrestock'!$P$22/(parametros_manuales!$M$39*B50*B78*parametros_manuales!$B$6))</f>
        <v>0.116001806109672</v>
      </c>
      <c r="C22" s="45" t="n">
        <f aca="false">IF(C50*C78*parametros_manuales!$M$39*parametros_manuales!$B$6=0,0,'Demanda puesto con sobrestock'!$P$49/(parametros_manuales!$M$39*C50*C78*parametros_manuales!$B$6))</f>
        <v>0.182824506872172</v>
      </c>
      <c r="D22" s="45" t="n">
        <f aca="false">IF(D50*D78*parametros_manuales!$M$39*parametros_manuales!$B$6=0,0,'Demanda puesto con sobrestock'!$P$76/(parametros_manuales!$M$39*D50*D78*parametros_manuales!$B$6))</f>
        <v>0.224960840266968</v>
      </c>
      <c r="E22" s="45" t="n">
        <f aca="false">IF(E50*E78*parametros_manuales!$M$39*parametros_manuales!$B$6=0,0,'Demanda puesto con sobrestock'!$P$103/(parametros_manuales!$M$39*E50*E78*parametros_manuales!$B$6))</f>
        <v>0.293041451302602</v>
      </c>
      <c r="F22" s="45" t="n">
        <f aca="false">IF(F50*F78*parametros_manuales!$M$39*parametros_manuales!$B$6=0,0,'Demanda puesto con sobrestock'!$P$130/(parametros_manuales!$M$39*F50*F78*parametros_manuales!$B$6))</f>
        <v>0.450291270269797</v>
      </c>
      <c r="G22" s="45" t="n">
        <f aca="false">IF(G50*G78*parametros_manuales!$M$39*parametros_manuales!$B$6=0,0,'Demanda puesto con sobrestock'!$P$157/(parametros_manuales!$M$39*G50*G78*parametros_manuales!$B$6))</f>
        <v>0.585251336521493</v>
      </c>
      <c r="H22" s="58" t="n">
        <f aca="false">IF(H50*H78*parametros_manuales!$M$39*parametros_manuales!$B$6=0,0,'Demanda puesto con sobrestock'!$P$184/(parametros_manuales!$M$39*H50*H78*parametros_manuales!$B$6))</f>
        <v>0.378036220325226</v>
      </c>
      <c r="I22" s="46" t="n">
        <f aca="false">IF(I50*I78*parametros_manuales!$M$39*parametros_manuales!$B$6=0,0,'Demanda puesto con sobrestock'!$P$211/(parametros_manuales!$M$39*I50*I78*parametros_manuales!$B$6))</f>
        <v>0.467491427451923</v>
      </c>
      <c r="J22" s="45" t="n">
        <f aca="false">IF(J50*J78*parametros_manuales!$M$39*parametros_manuales!$B$6=0,0,'Demanda puesto con sobrestock'!$P$238/(parametros_manuales!$M$39*J50*J78*parametros_manuales!$B$6))</f>
        <v>0.538243413351245</v>
      </c>
      <c r="K22" s="45" t="n">
        <f aca="false">IF(K50*K78*parametros_manuales!$M$39*parametros_manuales!$B$6=0,0,'Demanda puesto con sobrestock'!$P$265/(parametros_manuales!$M$39*K50*K78*parametros_manuales!$B$6))</f>
        <v>0.612455466965498</v>
      </c>
      <c r="L22" s="8" t="s">
        <v>202</v>
      </c>
    </row>
    <row r="23" customFormat="false" ht="14.25" hidden="false" customHeight="true" outlineLevel="0" collapsed="false">
      <c r="A23" s="8" t="str">
        <f aca="false">parametros_manuales!$B$40</f>
        <v>Presurización</v>
      </c>
      <c r="B23" s="45" t="n">
        <f aca="false">IF(B51*B79*parametros_manuales!$M$40*parametros_manuales!$B$6=0,0,'Demanda puesto con sobrestock'!$P$23/(parametros_manuales!$M$40*B51*B79*parametros_manuales!$B$6))</f>
        <v>0.03418186553365</v>
      </c>
      <c r="C23" s="45" t="n">
        <f aca="false">IF(C51*C79*parametros_manuales!$M$40*parametros_manuales!$B$6=0,0,'Demanda puesto con sobrestock'!$P$50/(parametros_manuales!$M$40*C51*C79*parametros_manuales!$B$6))</f>
        <v>0.053872288025</v>
      </c>
      <c r="D23" s="45" t="n">
        <f aca="false">IF(D51*D79*parametros_manuales!$M$40*parametros_manuales!$B$6=0,0,'Demanda puesto con sobrestock'!$P$77/(parametros_manuales!$M$40*D51*D79*parametros_manuales!$B$6))</f>
        <v>0.066288460932</v>
      </c>
      <c r="E23" s="45" t="n">
        <f aca="false">IF(E51*E79*parametros_manuales!$M$40*parametros_manuales!$B$6=0,0,'Demanda puesto con sobrestock'!$P$104/(parametros_manuales!$M$40*E51*E79*parametros_manuales!$B$6))</f>
        <v>0.0863495476505</v>
      </c>
      <c r="F23" s="45" t="n">
        <f aca="false">IF(F51*F79*parametros_manuales!$M$40*parametros_manuales!$B$6=0,0,'Demanda puesto con sobrestock'!$P$131/(parametros_manuales!$M$40*F51*F79*parametros_manuales!$B$6))</f>
        <v>0.1326858276395</v>
      </c>
      <c r="G23" s="45" t="n">
        <f aca="false">IF(G51*G79*parametros_manuales!$M$40*parametros_manuales!$B$6=0,0,'Demanda puesto con sobrestock'!$P$158/(parametros_manuales!$M$40*G51*G79*parametros_manuales!$B$6))</f>
        <v>0.172454060495</v>
      </c>
      <c r="H23" s="45" t="n">
        <f aca="false">IF(H51*H79*parametros_manuales!$M$40*parametros_manuales!$B$6=0,0,'Demanda puesto con sobrestock'!$P$185/(parametros_manuales!$M$40*H51*H79*parametros_manuales!$B$6))</f>
        <v>0.222789345845</v>
      </c>
      <c r="I23" s="45" t="n">
        <f aca="false">IF(I51*I79*parametros_manuales!$M$40*parametros_manuales!$B$6=0,0,'Demanda puesto con sobrestock'!$P$212/(parametros_manuales!$M$40*I51*I79*parametros_manuales!$B$6))</f>
        <v>0.275508281245</v>
      </c>
      <c r="J23" s="45" t="n">
        <f aca="false">IF(J51*J79*parametros_manuales!$M$40*parametros_manuales!$B$6=0,0,'Demanda puesto con sobrestock'!$P$239/(parametros_manuales!$M$40*J51*J79*parametros_manuales!$B$6))</f>
        <v>0.317204784935</v>
      </c>
      <c r="K23" s="45" t="n">
        <f aca="false">IF(K51*K79*parametros_manuales!$M$40*parametros_manuales!$B$6=0,0,'Demanda puesto con sobrestock'!$P$266/(parametros_manuales!$M$40*K51*K79*parametros_manuales!$B$6))</f>
        <v>0.360940421865</v>
      </c>
      <c r="L23" s="8" t="s">
        <v>83</v>
      </c>
    </row>
    <row r="24" customFormat="false" ht="14.25" hidden="false" customHeight="true" outlineLevel="0" collapsed="false">
      <c r="A24" s="8" t="str">
        <f aca="false">parametros_manuales!$B$41</f>
        <v>Control de calidad — Ensayo de pérdidas</v>
      </c>
      <c r="B24" s="45" t="n">
        <f aca="false">IF(B52*B80*parametros_manuales!$M$41*parametros_manuales!$B$6=0,0,'Demanda puesto con sobrestock'!$P$24/(parametros_manuales!$M$41*B52*B80*parametros_manuales!$B$6))</f>
        <v>0.0626667534783583</v>
      </c>
      <c r="C24" s="45" t="n">
        <f aca="false">IF(C52*C80*parametros_manuales!$M$41*parametros_manuales!$B$6=0,0,'Demanda puesto con sobrestock'!$P$51/(parametros_manuales!$M$41*C52*C80*parametros_manuales!$B$6))</f>
        <v>0.0987658613791667</v>
      </c>
      <c r="D24" s="45" t="n">
        <f aca="false">IF(D52*D80*parametros_manuales!$M$41*parametros_manuales!$B$6=0,0,'Demanda puesto con sobrestock'!$P$78/(parametros_manuales!$M$41*D52*D80*parametros_manuales!$B$6))</f>
        <v>0.121528845042</v>
      </c>
      <c r="E24" s="45" t="n">
        <f aca="false">IF(E52*E80*parametros_manuales!$M$41*parametros_manuales!$B$6=0,0,'Demanda puesto con sobrestock'!$P$105/(parametros_manuales!$M$41*E52*E80*parametros_manuales!$B$6))</f>
        <v>0.158307504025917</v>
      </c>
      <c r="F24" s="45" t="n">
        <f aca="false">IF(F52*F80*parametros_manuales!$M$41*parametros_manuales!$B$6=0,0,'Demanda puesto con sobrestock'!$P$132/(parametros_manuales!$M$41*F52*F80*parametros_manuales!$B$6))</f>
        <v>0.243257350672417</v>
      </c>
      <c r="G24" s="45" t="n">
        <f aca="false">IF(G52*G80*parametros_manuales!$M$41*parametros_manuales!$B$6=0,0,'Demanda puesto con sobrestock'!$P$159/(parametros_manuales!$M$41*G52*G80*parametros_manuales!$B$6))</f>
        <v>0.316165777574167</v>
      </c>
      <c r="H24" s="45" t="n">
        <f aca="false">IF(H52*H80*parametros_manuales!$M$41*parametros_manuales!$B$6=0,0,'Demanda puesto con sobrestock'!$P$186/(parametros_manuales!$M$41*H52*H80*parametros_manuales!$B$6))</f>
        <v>0.408447134049167</v>
      </c>
      <c r="I24" s="45" t="n">
        <f aca="false">IF(I52*I80*parametros_manuales!$M$41*parametros_manuales!$B$6=0,0,'Demanda puesto con sobrestock'!$P$213/(parametros_manuales!$M$41*I52*I80*parametros_manuales!$B$6))</f>
        <v>0.505098515615833</v>
      </c>
      <c r="J24" s="58" t="n">
        <f aca="false">IF(J52*J80*parametros_manuales!$M$41*parametros_manuales!$B$6=0,0,'Demanda puesto con sobrestock'!$P$240/(parametros_manuales!$M$41*J52*J80*parametros_manuales!$B$6))</f>
        <v>0.581542105714167</v>
      </c>
      <c r="K24" s="45" t="n">
        <f aca="false">IF(K52*K80*parametros_manuales!$M$41*parametros_manuales!$B$6=0,0,'Demanda puesto con sobrestock'!$P$267/(parametros_manuales!$M$41*K52*K80*parametros_manuales!$B$6))</f>
        <v>0.6617241067525</v>
      </c>
      <c r="L24" s="8" t="s">
        <v>83</v>
      </c>
    </row>
    <row r="25" customFormat="false" ht="14.25" hidden="false" customHeight="true" outlineLevel="0" collapsed="false">
      <c r="A25" s="8" t="str">
        <f aca="false">parametros_manuales!$B$42</f>
        <v>Etiquetado</v>
      </c>
      <c r="B25" s="45" t="n">
        <f aca="false">IF(B53*B81*parametros_manuales!$M$42*parametros_manuales!$B$6=0,0,'Demanda puesto con sobrestock'!$P$25/(parametros_manuales!$M$42*B53*B81*parametros_manuales!$B$6))</f>
        <v>0.0683637310673</v>
      </c>
      <c r="C25" s="45" t="n">
        <f aca="false">IF(C53*C81*parametros_manuales!$M$42*parametros_manuales!$B$6=0,0,'Demanda puesto con sobrestock'!$P$52/(parametros_manuales!$M$42*C53*C81*parametros_manuales!$B$6))</f>
        <v>0.10774457605</v>
      </c>
      <c r="D25" s="45" t="n">
        <f aca="false">IF(D53*D81*parametros_manuales!$M$42*parametros_manuales!$B$6=0,0,'Demanda puesto con sobrestock'!$P$79/(parametros_manuales!$M$42*D53*D81*parametros_manuales!$B$6))</f>
        <v>0.132576921864</v>
      </c>
      <c r="E25" s="45" t="n">
        <f aca="false">IF(E53*E81*parametros_manuales!$M$42*parametros_manuales!$B$6=0,0,'Demanda puesto con sobrestock'!$P$106/(parametros_manuales!$M$42*E53*E81*parametros_manuales!$B$6))</f>
        <v>0.172699095301</v>
      </c>
      <c r="F25" s="45" t="n">
        <f aca="false">IF(F53*F81*parametros_manuales!$M$42*parametros_manuales!$B$6=0,0,'Demanda puesto con sobrestock'!$P$133/(parametros_manuales!$M$42*F53*F81*parametros_manuales!$B$6))</f>
        <v>0.265371655279</v>
      </c>
      <c r="G25" s="45" t="n">
        <f aca="false">IF(G53*G81*parametros_manuales!$M$42*parametros_manuales!$B$6=0,0,'Demanda puesto con sobrestock'!$P$160/(parametros_manuales!$M$42*G53*G81*parametros_manuales!$B$6))</f>
        <v>0.34490812099</v>
      </c>
      <c r="H25" s="45" t="n">
        <f aca="false">IF(H53*H81*parametros_manuales!$M$42*parametros_manuales!$B$6=0,0,'Demanda puesto con sobrestock'!$P$187/(parametros_manuales!$M$42*H53*H81*parametros_manuales!$B$6))</f>
        <v>0.44557869169</v>
      </c>
      <c r="I25" s="45" t="n">
        <f aca="false">IF(I53*I81*parametros_manuales!$M$42*parametros_manuales!$B$6=0,0,'Demanda puesto con sobrestock'!$P$214/(parametros_manuales!$M$42*I53*I81*parametros_manuales!$B$6))</f>
        <v>0.55101656249</v>
      </c>
      <c r="J25" s="45" t="n">
        <f aca="false">IF(J53*J81*parametros_manuales!$M$42*parametros_manuales!$B$6=0,0,'Demanda puesto con sobrestock'!$P$241/(parametros_manuales!$M$42*J53*J81*parametros_manuales!$B$6))</f>
        <v>0.63440956987</v>
      </c>
      <c r="K25" s="45" t="n">
        <f aca="false">IF(K53*K81*parametros_manuales!$M$42*parametros_manuales!$B$6=0,0,'Demanda puesto con sobrestock'!$P$268/(parametros_manuales!$M$42*K53*K81*parametros_manuales!$B$6))</f>
        <v>0.72188084373</v>
      </c>
      <c r="L25" s="8" t="s">
        <v>83</v>
      </c>
    </row>
    <row r="26" customFormat="false" ht="14.25" hidden="false" customHeight="true" outlineLevel="0" collapsed="false">
      <c r="A26" s="8" t="str">
        <f aca="false">parametros_manuales!$B$43</f>
        <v>Embalaje y paletizado</v>
      </c>
      <c r="B26" s="45" t="n">
        <f aca="false">IF(B54*B82*parametros_manuales!$M$43*parametros_manuales!$B$6=0,0,'Demanda puesto con sobrestock'!$P$26/(parametros_manuales!$M$43*B54*B82*parametros_manuales!$B$6))</f>
        <v>0.0519293929040667</v>
      </c>
      <c r="C26" s="45" t="n">
        <f aca="false">IF(C54*C82*parametros_manuales!$M$43*parametros_manuales!$B$6=0,0,'Demanda puesto con sobrestock'!$P$53/(parametros_manuales!$M$43*C54*C82*parametros_manuales!$B$6))</f>
        <v>0.0821013215625</v>
      </c>
      <c r="D26" s="45" t="n">
        <f aca="false">IF(D54*D82*parametros_manuales!$M$43*parametros_manuales!$B$6=0,0,'Demanda puesto con sobrestock'!$P$80/(parametros_manuales!$M$43*D54*D82*parametros_manuales!$B$6))</f>
        <v>0.173447850065247</v>
      </c>
      <c r="E26" s="45" t="n">
        <f aca="false">IF(E54*E82*parametros_manuales!$M$43*parametros_manuales!$B$6=0,0,'Demanda puesto con sobrestock'!$P$107/(parametros_manuales!$M$43*E54*E82*parametros_manuales!$B$6))</f>
        <v>0.383579718977775</v>
      </c>
      <c r="F26" s="45" t="n">
        <f aca="false">IF(F54*F82*parametros_manuales!$M$43*parametros_manuales!$B$6=0,0,'Demanda puesto con sobrestock'!$P$134/(parametros_manuales!$M$43*F54*F82*parametros_manuales!$B$6))</f>
        <v>0.667793584431979</v>
      </c>
      <c r="G26" s="58" t="n">
        <f aca="false">IF(G54*G82*parametros_manuales!$M$43*parametros_manuales!$B$6=0,0,'Demanda puesto con sobrestock'!$P$161/(parametros_manuales!$M$43*G54*G82*parametros_manuales!$B$6))</f>
        <v>0.46879708053153</v>
      </c>
      <c r="H26" s="46" t="n">
        <f aca="false">IF(H54*H82*parametros_manuales!$M$43*parametros_manuales!$B$6=0,0,'Demanda puesto con sobrestock'!$P$188/(parametros_manuales!$M$43*H54*H82*parametros_manuales!$B$6))</f>
        <v>0.323178401594941</v>
      </c>
      <c r="I26" s="46" t="n">
        <f aca="false">IF(I54*I82*parametros_manuales!$M$43*parametros_manuales!$B$6=0,0,'Demanda puesto con sobrestock'!$P$215/(parametros_manuales!$M$43*I54*I82*parametros_manuales!$B$6))</f>
        <v>0.41285651616613</v>
      </c>
      <c r="J26" s="45" t="n">
        <f aca="false">IF(J54*J82*parametros_manuales!$M$43*parametros_manuales!$B$6=0,0,'Demanda puesto con sobrestock'!$P$242/(parametros_manuales!$M$43*J54*J82*parametros_manuales!$B$6))</f>
        <v>0.465836715151976</v>
      </c>
      <c r="K26" s="45" t="n">
        <f aca="false">IF(K54*K82*parametros_manuales!$M$43*parametros_manuales!$B$6=0,0,'Demanda puesto con sobrestock'!$P$269/(parametros_manuales!$M$43*K54*K82*parametros_manuales!$B$6))</f>
        <v>0.538235473519549</v>
      </c>
      <c r="L26" s="8" t="s">
        <v>202</v>
      </c>
    </row>
    <row r="27" customFormat="false" ht="14.25" hidden="false" customHeight="true" outlineLevel="0" collapsed="false">
      <c r="A27" s="10" t="s">
        <v>209</v>
      </c>
      <c r="B27" s="60" t="n">
        <f aca="false">MAX(B2:B26)</f>
        <v>0.1372474621346</v>
      </c>
      <c r="C27" s="60" t="n">
        <f aca="false">MAX(C2:C26)</f>
        <v>0.2169907521</v>
      </c>
      <c r="D27" s="60" t="n">
        <f aca="false">MAX(D2:D26)</f>
        <v>0.458416243728</v>
      </c>
      <c r="E27" s="60" t="n">
        <f aca="false">MAX(E2:E26)</f>
        <v>0.516068038202376</v>
      </c>
      <c r="F27" s="60" t="n">
        <f aca="false">MAX(F2:F26)</f>
        <v>0.898449287048756</v>
      </c>
      <c r="G27" s="60" t="n">
        <f aca="false">MAX(G2:G26)</f>
        <v>0.82600888066</v>
      </c>
      <c r="H27" s="60" t="n">
        <f aca="false">MAX(H2:H26)</f>
        <v>0.477449656210726</v>
      </c>
      <c r="I27" s="60" t="n">
        <f aca="false">MAX(I2:I26)</f>
        <v>0.603165459749578</v>
      </c>
      <c r="J27" s="60" t="n">
        <f aca="false">MAX(J2:J26)</f>
        <v>0.688103090997044</v>
      </c>
      <c r="K27" s="60" t="n">
        <f aca="false">MAX(K2:K26)</f>
        <v>0.795351706329814</v>
      </c>
    </row>
    <row r="28" customFormat="false" ht="14.25" hidden="false" customHeight="true" outlineLevel="0" collapsed="false"/>
    <row r="29" customFormat="false" ht="14.25" hidden="false" customHeight="true" outlineLevel="0" collapsed="false">
      <c r="A29" s="57" t="s">
        <v>210</v>
      </c>
      <c r="B29" s="57" t="n">
        <v>2026</v>
      </c>
      <c r="C29" s="57" t="n">
        <v>2027</v>
      </c>
      <c r="D29" s="57" t="n">
        <v>2028</v>
      </c>
      <c r="E29" s="57" t="n">
        <v>2029</v>
      </c>
      <c r="F29" s="57" t="n">
        <v>2030</v>
      </c>
      <c r="G29" s="57" t="n">
        <v>2031</v>
      </c>
      <c r="H29" s="57" t="n">
        <v>2032</v>
      </c>
      <c r="I29" s="57" t="n">
        <v>2033</v>
      </c>
      <c r="J29" s="57" t="n">
        <v>2034</v>
      </c>
      <c r="K29" s="57" t="n">
        <v>2035</v>
      </c>
    </row>
    <row r="30" customFormat="false" ht="14.25" hidden="false" customHeight="true" outlineLevel="0" collapsed="false">
      <c r="A30" s="8" t="str">
        <f aca="false">parametros_manuales!$B$19</f>
        <v>Recepción de materia prima</v>
      </c>
      <c r="B30" s="41" t="n">
        <v>1</v>
      </c>
      <c r="C30" s="41" t="n">
        <v>1</v>
      </c>
      <c r="D30" s="41" t="n">
        <v>1</v>
      </c>
      <c r="E30" s="41" t="n">
        <v>1</v>
      </c>
      <c r="F30" s="41" t="n">
        <v>2</v>
      </c>
      <c r="G30" s="41" t="n">
        <v>2</v>
      </c>
      <c r="H30" s="41" t="n">
        <v>2</v>
      </c>
      <c r="I30" s="41" t="n">
        <v>2</v>
      </c>
      <c r="J30" s="41" t="n">
        <v>2</v>
      </c>
      <c r="K30" s="41" t="n">
        <v>2</v>
      </c>
    </row>
    <row r="31" customFormat="false" ht="14.25" hidden="false" customHeight="true" outlineLevel="0" collapsed="false">
      <c r="A31" s="8" t="str">
        <f aca="false">parametros_manuales!$B$20</f>
        <v>Corte de chapa (guillotina) — 2,5 a 10 kg</v>
      </c>
      <c r="B31" s="41" t="n">
        <v>1</v>
      </c>
      <c r="C31" s="41" t="n">
        <v>1</v>
      </c>
      <c r="D31" s="41" t="n">
        <v>1</v>
      </c>
      <c r="E31" s="41" t="n">
        <v>1</v>
      </c>
      <c r="F31" s="41" t="n">
        <v>1</v>
      </c>
      <c r="G31" s="41" t="n">
        <v>1</v>
      </c>
      <c r="H31" s="41" t="n">
        <v>1</v>
      </c>
      <c r="I31" s="41" t="n">
        <v>1</v>
      </c>
      <c r="J31" s="41" t="n">
        <v>1</v>
      </c>
      <c r="K31" s="41" t="n">
        <v>1</v>
      </c>
    </row>
    <row r="32" customFormat="false" ht="14.25" hidden="false" customHeight="true" outlineLevel="0" collapsed="false">
      <c r="A32" s="8" t="str">
        <f aca="false">parametros_manuales!$B$21</f>
        <v>Corte de tubo — 1 kg</v>
      </c>
      <c r="B32" s="41" t="n">
        <v>1</v>
      </c>
      <c r="C32" s="41" t="n">
        <v>1</v>
      </c>
      <c r="D32" s="41" t="n">
        <v>1</v>
      </c>
      <c r="E32" s="41" t="n">
        <v>1</v>
      </c>
      <c r="F32" s="41" t="n">
        <v>1</v>
      </c>
      <c r="G32" s="41" t="n">
        <v>1</v>
      </c>
      <c r="H32" s="41" t="n">
        <v>1</v>
      </c>
      <c r="I32" s="41" t="n">
        <v>1</v>
      </c>
      <c r="J32" s="41" t="n">
        <v>1</v>
      </c>
      <c r="K32" s="41" t="n">
        <v>1</v>
      </c>
    </row>
    <row r="33" customFormat="false" ht="14.25" hidden="false" customHeight="true" outlineLevel="0" collapsed="false">
      <c r="A33" s="8" t="str">
        <f aca="false">parametros_manuales!$B$22</f>
        <v>Corte de disco y embutido (cúpula y fondo)</v>
      </c>
      <c r="B33" s="41" t="n">
        <v>1</v>
      </c>
      <c r="C33" s="41" t="n">
        <v>1</v>
      </c>
      <c r="D33" s="41" t="n">
        <v>1</v>
      </c>
      <c r="E33" s="41" t="n">
        <v>1</v>
      </c>
      <c r="F33" s="41" t="n">
        <v>1</v>
      </c>
      <c r="G33" s="41" t="n">
        <v>1</v>
      </c>
      <c r="H33" s="41" t="n">
        <v>1</v>
      </c>
      <c r="I33" s="41" t="n">
        <v>1</v>
      </c>
      <c r="J33" s="41" t="n">
        <v>1</v>
      </c>
      <c r="K33" s="41" t="n">
        <v>1</v>
      </c>
    </row>
    <row r="34" customFormat="false" ht="14.25" hidden="false" customHeight="true" outlineLevel="0" collapsed="false">
      <c r="A34" s="8" t="str">
        <f aca="false">parametros_manuales!$B$23</f>
        <v>Preparación de cuello</v>
      </c>
      <c r="B34" s="41" t="n">
        <v>1</v>
      </c>
      <c r="C34" s="41" t="n">
        <v>1</v>
      </c>
      <c r="D34" s="41" t="n">
        <v>1</v>
      </c>
      <c r="E34" s="41" t="n">
        <v>1</v>
      </c>
      <c r="F34" s="41" t="n">
        <v>1</v>
      </c>
      <c r="G34" s="41" t="n">
        <v>2</v>
      </c>
      <c r="H34" s="41" t="n">
        <v>2</v>
      </c>
      <c r="I34" s="41" t="n">
        <v>2</v>
      </c>
      <c r="J34" s="41" t="n">
        <v>2</v>
      </c>
      <c r="K34" s="41" t="n">
        <v>2</v>
      </c>
    </row>
    <row r="35" customFormat="false" ht="14.25" hidden="false" customHeight="true" outlineLevel="0" collapsed="false">
      <c r="A35" s="8" t="str">
        <f aca="false">parametros_manuales!$B$24</f>
        <v>Numerado de cúpula</v>
      </c>
      <c r="B35" s="41" t="n">
        <v>1</v>
      </c>
      <c r="C35" s="41" t="n">
        <v>1</v>
      </c>
      <c r="D35" s="41" t="n">
        <v>1</v>
      </c>
      <c r="E35" s="41" t="n">
        <v>1</v>
      </c>
      <c r="F35" s="41" t="n">
        <v>1</v>
      </c>
      <c r="G35" s="41" t="n">
        <v>1</v>
      </c>
      <c r="H35" s="41" t="n">
        <v>1</v>
      </c>
      <c r="I35" s="41" t="n">
        <v>1</v>
      </c>
      <c r="J35" s="41" t="n">
        <v>1</v>
      </c>
      <c r="K35" s="41" t="n">
        <v>1</v>
      </c>
    </row>
    <row r="36" customFormat="false" ht="14.25" hidden="false" customHeight="true" outlineLevel="0" collapsed="false">
      <c r="A36" s="8" t="str">
        <f aca="false">parametros_manuales!$B$25</f>
        <v>Soldadura del cuello a la cúpula</v>
      </c>
      <c r="B36" s="41" t="n">
        <v>1</v>
      </c>
      <c r="C36" s="41" t="n">
        <v>1</v>
      </c>
      <c r="D36" s="41" t="n">
        <v>1</v>
      </c>
      <c r="E36" s="41" t="n">
        <v>1</v>
      </c>
      <c r="F36" s="41" t="n">
        <v>1</v>
      </c>
      <c r="G36" s="41" t="n">
        <v>1</v>
      </c>
      <c r="H36" s="41" t="n">
        <v>1</v>
      </c>
      <c r="I36" s="41" t="n">
        <v>1</v>
      </c>
      <c r="J36" s="41" t="n">
        <v>1</v>
      </c>
      <c r="K36" s="41" t="n">
        <v>1</v>
      </c>
    </row>
    <row r="37" customFormat="false" ht="14.25" hidden="false" customHeight="true" outlineLevel="0" collapsed="false">
      <c r="A37" s="8" t="str">
        <f aca="false">parametros_manuales!$B$26</f>
        <v>Cilindrado</v>
      </c>
      <c r="B37" s="41" t="n">
        <v>1</v>
      </c>
      <c r="C37" s="41" t="n">
        <v>1</v>
      </c>
      <c r="D37" s="41" t="n">
        <v>1</v>
      </c>
      <c r="E37" s="41" t="n">
        <v>1</v>
      </c>
      <c r="F37" s="41" t="n">
        <v>1</v>
      </c>
      <c r="G37" s="41" t="n">
        <v>1</v>
      </c>
      <c r="H37" s="41" t="n">
        <v>1</v>
      </c>
      <c r="I37" s="41" t="n">
        <v>1</v>
      </c>
      <c r="J37" s="41" t="n">
        <v>1</v>
      </c>
      <c r="K37" s="41" t="n">
        <v>1</v>
      </c>
    </row>
    <row r="38" customFormat="false" ht="14.25" hidden="false" customHeight="true" outlineLevel="0" collapsed="false">
      <c r="A38" s="8" t="str">
        <f aca="false">parametros_manuales!$B$27</f>
        <v>Soldadura longitudinal</v>
      </c>
      <c r="B38" s="41" t="n">
        <v>1</v>
      </c>
      <c r="C38" s="41" t="n">
        <v>1</v>
      </c>
      <c r="D38" s="41" t="n">
        <v>1</v>
      </c>
      <c r="E38" s="41" t="n">
        <v>1</v>
      </c>
      <c r="F38" s="41" t="n">
        <v>1</v>
      </c>
      <c r="G38" s="41" t="n">
        <v>1</v>
      </c>
      <c r="H38" s="41" t="n">
        <v>1</v>
      </c>
      <c r="I38" s="41" t="n">
        <v>1</v>
      </c>
      <c r="J38" s="41" t="n">
        <v>1</v>
      </c>
      <c r="K38" s="41" t="n">
        <v>1</v>
      </c>
    </row>
    <row r="39" customFormat="false" ht="14.25" hidden="false" customHeight="true" outlineLevel="0" collapsed="false">
      <c r="A39" s="8" t="str">
        <f aca="false">parametros_manuales!$B$28</f>
        <v>Encastre de fondo</v>
      </c>
      <c r="B39" s="41" t="n">
        <v>1</v>
      </c>
      <c r="C39" s="41" t="n">
        <v>1</v>
      </c>
      <c r="D39" s="41" t="n">
        <v>1</v>
      </c>
      <c r="E39" s="41" t="n">
        <v>1</v>
      </c>
      <c r="F39" s="41" t="n">
        <v>1</v>
      </c>
      <c r="G39" s="41" t="n">
        <v>1</v>
      </c>
      <c r="H39" s="41" t="n">
        <v>1</v>
      </c>
      <c r="I39" s="41" t="n">
        <v>1</v>
      </c>
      <c r="J39" s="41" t="n">
        <v>1</v>
      </c>
      <c r="K39" s="41" t="n">
        <v>1</v>
      </c>
    </row>
    <row r="40" customFormat="false" ht="14.25" hidden="false" customHeight="true" outlineLevel="0" collapsed="false">
      <c r="A40" s="8" t="str">
        <f aca="false">parametros_manuales!$B$29</f>
        <v>Bordoneado</v>
      </c>
      <c r="B40" s="41" t="n">
        <v>1</v>
      </c>
      <c r="C40" s="41" t="n">
        <v>1</v>
      </c>
      <c r="D40" s="41" t="n">
        <v>1</v>
      </c>
      <c r="E40" s="41" t="n">
        <v>1</v>
      </c>
      <c r="F40" s="41" t="n">
        <v>1</v>
      </c>
      <c r="G40" s="41" t="n">
        <v>1</v>
      </c>
      <c r="H40" s="41" t="n">
        <v>1</v>
      </c>
      <c r="I40" s="41" t="n">
        <v>1</v>
      </c>
      <c r="J40" s="41" t="n">
        <v>1</v>
      </c>
      <c r="K40" s="41" t="n">
        <v>1</v>
      </c>
    </row>
    <row r="41" customFormat="false" ht="14.25" hidden="false" customHeight="true" outlineLevel="0" collapsed="false">
      <c r="A41" s="8" t="str">
        <f aca="false">parametros_manuales!$B$30</f>
        <v>Soldadura circunferencial de cúpula y fondo</v>
      </c>
      <c r="B41" s="41" t="n">
        <v>1</v>
      </c>
      <c r="C41" s="41" t="n">
        <v>1</v>
      </c>
      <c r="D41" s="41" t="n">
        <v>1</v>
      </c>
      <c r="E41" s="41" t="n">
        <v>1</v>
      </c>
      <c r="F41" s="41" t="n">
        <v>1</v>
      </c>
      <c r="G41" s="41" t="n">
        <v>2</v>
      </c>
      <c r="H41" s="41" t="n">
        <v>2</v>
      </c>
      <c r="I41" s="41" t="n">
        <v>2</v>
      </c>
      <c r="J41" s="41" t="n">
        <v>2</v>
      </c>
      <c r="K41" s="41" t="n">
        <v>2</v>
      </c>
    </row>
    <row r="42" customFormat="false" ht="14.25" hidden="false" customHeight="true" outlineLevel="0" collapsed="false">
      <c r="A42" s="8" t="str">
        <f aca="false">parametros_manuales!$B$31</f>
        <v>Control de calidad — Espesor</v>
      </c>
      <c r="B42" s="41" t="n">
        <v>1</v>
      </c>
      <c r="C42" s="41" t="n">
        <v>1</v>
      </c>
      <c r="D42" s="41" t="n">
        <v>1</v>
      </c>
      <c r="E42" s="41" t="n">
        <v>1</v>
      </c>
      <c r="F42" s="41" t="n">
        <v>1</v>
      </c>
      <c r="G42" s="41" t="n">
        <v>1</v>
      </c>
      <c r="H42" s="41" t="n">
        <v>1</v>
      </c>
      <c r="I42" s="41" t="n">
        <v>1</v>
      </c>
      <c r="J42" s="41" t="n">
        <v>1</v>
      </c>
      <c r="K42" s="41" t="n">
        <v>1</v>
      </c>
    </row>
    <row r="43" customFormat="false" ht="14.25" hidden="false" customHeight="true" outlineLevel="0" collapsed="false">
      <c r="A43" s="8" t="str">
        <f aca="false">parametros_manuales!$B$32</f>
        <v>Prueba hidráulica</v>
      </c>
      <c r="B43" s="41" t="n">
        <v>1</v>
      </c>
      <c r="C43" s="41" t="n">
        <v>1</v>
      </c>
      <c r="D43" s="41" t="n">
        <v>1</v>
      </c>
      <c r="E43" s="41" t="n">
        <v>1</v>
      </c>
      <c r="F43" s="41" t="n">
        <v>1</v>
      </c>
      <c r="G43" s="41" t="n">
        <v>2</v>
      </c>
      <c r="H43" s="41" t="n">
        <v>2</v>
      </c>
      <c r="I43" s="41" t="n">
        <v>2</v>
      </c>
      <c r="J43" s="41" t="n">
        <v>2</v>
      </c>
      <c r="K43" s="41" t="n">
        <v>2</v>
      </c>
    </row>
    <row r="44" customFormat="false" ht="14.25" hidden="false" customHeight="true" outlineLevel="0" collapsed="false">
      <c r="A44" s="8" t="str">
        <f aca="false">parametros_manuales!$B$33</f>
        <v>Secado</v>
      </c>
      <c r="B44" s="41" t="n">
        <v>1</v>
      </c>
      <c r="C44" s="41" t="n">
        <v>1</v>
      </c>
      <c r="D44" s="41" t="n">
        <v>1</v>
      </c>
      <c r="E44" s="41" t="n">
        <v>2</v>
      </c>
      <c r="F44" s="41" t="n">
        <v>2</v>
      </c>
      <c r="G44" s="41" t="n">
        <v>3</v>
      </c>
      <c r="H44" s="41" t="n">
        <v>4</v>
      </c>
      <c r="I44" s="41" t="n">
        <v>4</v>
      </c>
      <c r="J44" s="41" t="n">
        <v>4</v>
      </c>
      <c r="K44" s="41" t="n">
        <v>4</v>
      </c>
    </row>
    <row r="45" customFormat="false" ht="14.25" hidden="false" customHeight="true" outlineLevel="0" collapsed="false">
      <c r="A45" s="8" t="str">
        <f aca="false">parametros_manuales!$B$34</f>
        <v>Granallado</v>
      </c>
      <c r="B45" s="41" t="n">
        <v>1</v>
      </c>
      <c r="C45" s="41" t="n">
        <v>1</v>
      </c>
      <c r="D45" s="41" t="n">
        <v>1</v>
      </c>
      <c r="E45" s="41" t="n">
        <v>1</v>
      </c>
      <c r="F45" s="41" t="n">
        <v>1</v>
      </c>
      <c r="G45" s="41" t="n">
        <v>1</v>
      </c>
      <c r="H45" s="41" t="n">
        <v>1</v>
      </c>
      <c r="I45" s="41" t="n">
        <v>1</v>
      </c>
      <c r="J45" s="41" t="n">
        <v>1</v>
      </c>
      <c r="K45" s="41" t="n">
        <v>1</v>
      </c>
    </row>
    <row r="46" customFormat="false" ht="14.25" hidden="false" customHeight="true" outlineLevel="0" collapsed="false">
      <c r="A46" s="8" t="str">
        <f aca="false">parametros_manuales!$B$35</f>
        <v>Detección de defectos</v>
      </c>
      <c r="B46" s="41" t="n">
        <v>1</v>
      </c>
      <c r="C46" s="41" t="n">
        <v>1</v>
      </c>
      <c r="D46" s="41" t="n">
        <v>1</v>
      </c>
      <c r="E46" s="41" t="n">
        <v>1</v>
      </c>
      <c r="F46" s="41" t="n">
        <v>1</v>
      </c>
      <c r="G46" s="41" t="n">
        <v>1</v>
      </c>
      <c r="H46" s="41" t="n">
        <v>1</v>
      </c>
      <c r="I46" s="41" t="n">
        <v>1</v>
      </c>
      <c r="J46" s="41" t="n">
        <v>1</v>
      </c>
      <c r="K46" s="41" t="n">
        <v>1</v>
      </c>
    </row>
    <row r="47" customFormat="false" ht="14.25" hidden="false" customHeight="true" outlineLevel="0" collapsed="false">
      <c r="A47" s="8" t="str">
        <f aca="false">parametros_manuales!$B$36</f>
        <v>Corrección de defectos</v>
      </c>
      <c r="B47" s="41" t="n">
        <v>1</v>
      </c>
      <c r="C47" s="41" t="n">
        <v>1</v>
      </c>
      <c r="D47" s="41" t="n">
        <v>1</v>
      </c>
      <c r="E47" s="41" t="n">
        <v>1</v>
      </c>
      <c r="F47" s="41" t="n">
        <v>1</v>
      </c>
      <c r="G47" s="41" t="n">
        <v>1</v>
      </c>
      <c r="H47" s="41" t="n">
        <v>1</v>
      </c>
      <c r="I47" s="41" t="n">
        <v>1</v>
      </c>
      <c r="J47" s="41" t="n">
        <v>1</v>
      </c>
      <c r="K47" s="41" t="n">
        <v>1</v>
      </c>
    </row>
    <row r="48" customFormat="false" ht="14.25" hidden="false" customHeight="true" outlineLevel="0" collapsed="false">
      <c r="A48" s="8" t="str">
        <f aca="false">parametros_manuales!$B$37</f>
        <v>Pintura en polvo + horno</v>
      </c>
      <c r="B48" s="41" t="n">
        <v>1</v>
      </c>
      <c r="C48" s="41" t="n">
        <v>1</v>
      </c>
      <c r="D48" s="41" t="n">
        <v>1</v>
      </c>
      <c r="E48" s="41" t="n">
        <v>1</v>
      </c>
      <c r="F48" s="41" t="n">
        <v>1</v>
      </c>
      <c r="G48" s="41" t="n">
        <v>1</v>
      </c>
      <c r="H48" s="41" t="n">
        <v>1</v>
      </c>
      <c r="I48" s="41" t="n">
        <v>1</v>
      </c>
      <c r="J48" s="41" t="n">
        <v>1</v>
      </c>
      <c r="K48" s="41" t="n">
        <v>1</v>
      </c>
    </row>
    <row r="49" customFormat="false" ht="14.25" hidden="false" customHeight="true" outlineLevel="0" collapsed="false">
      <c r="A49" s="8" t="str">
        <f aca="false">parametros_manuales!$B$38</f>
        <v>Carga de polvo</v>
      </c>
      <c r="B49" s="41" t="n">
        <v>1</v>
      </c>
      <c r="C49" s="41" t="n">
        <v>1</v>
      </c>
      <c r="D49" s="41" t="n">
        <v>1</v>
      </c>
      <c r="E49" s="41" t="n">
        <v>1</v>
      </c>
      <c r="F49" s="41" t="n">
        <v>1</v>
      </c>
      <c r="G49" s="41" t="n">
        <v>1</v>
      </c>
      <c r="H49" s="41" t="n">
        <v>1</v>
      </c>
      <c r="I49" s="41" t="n">
        <v>1</v>
      </c>
      <c r="J49" s="41" t="n">
        <v>1</v>
      </c>
      <c r="K49" s="41" t="n">
        <v>1</v>
      </c>
    </row>
    <row r="50" customFormat="false" ht="14.25" hidden="false" customHeight="true" outlineLevel="0" collapsed="false">
      <c r="A50" s="8" t="str">
        <f aca="false">parametros_manuales!$B$39</f>
        <v>Ensamblaje</v>
      </c>
      <c r="B50" s="41" t="n">
        <v>1</v>
      </c>
      <c r="C50" s="41" t="n">
        <v>1</v>
      </c>
      <c r="D50" s="41" t="n">
        <v>1</v>
      </c>
      <c r="E50" s="41" t="n">
        <v>1</v>
      </c>
      <c r="F50" s="41" t="n">
        <v>1</v>
      </c>
      <c r="G50" s="41" t="n">
        <v>1</v>
      </c>
      <c r="H50" s="41" t="n">
        <v>1</v>
      </c>
      <c r="I50" s="41" t="n">
        <v>1</v>
      </c>
      <c r="J50" s="41" t="n">
        <v>1</v>
      </c>
      <c r="K50" s="41" t="n">
        <v>1</v>
      </c>
    </row>
    <row r="51" customFormat="false" ht="14.25" hidden="false" customHeight="true" outlineLevel="0" collapsed="false">
      <c r="A51" s="8" t="str">
        <f aca="false">parametros_manuales!$B$40</f>
        <v>Presurización</v>
      </c>
      <c r="B51" s="41" t="n">
        <v>1</v>
      </c>
      <c r="C51" s="41" t="n">
        <v>1</v>
      </c>
      <c r="D51" s="41" t="n">
        <v>1</v>
      </c>
      <c r="E51" s="41" t="n">
        <v>1</v>
      </c>
      <c r="F51" s="41" t="n">
        <v>1</v>
      </c>
      <c r="G51" s="41" t="n">
        <v>1</v>
      </c>
      <c r="H51" s="41" t="n">
        <v>1</v>
      </c>
      <c r="I51" s="41" t="n">
        <v>1</v>
      </c>
      <c r="J51" s="41" t="n">
        <v>1</v>
      </c>
      <c r="K51" s="41" t="n">
        <v>1</v>
      </c>
    </row>
    <row r="52" customFormat="false" ht="14.25" hidden="false" customHeight="true" outlineLevel="0" collapsed="false">
      <c r="A52" s="8" t="str">
        <f aca="false">parametros_manuales!$B$41</f>
        <v>Control de calidad — Ensayo de pérdidas</v>
      </c>
      <c r="B52" s="41" t="n">
        <v>1</v>
      </c>
      <c r="C52" s="41" t="n">
        <v>1</v>
      </c>
      <c r="D52" s="41" t="n">
        <v>1</v>
      </c>
      <c r="E52" s="41" t="n">
        <v>1</v>
      </c>
      <c r="F52" s="41" t="n">
        <v>1</v>
      </c>
      <c r="G52" s="41" t="n">
        <v>1</v>
      </c>
      <c r="H52" s="41" t="n">
        <v>1</v>
      </c>
      <c r="I52" s="41" t="n">
        <v>1</v>
      </c>
      <c r="J52" s="41" t="n">
        <v>1</v>
      </c>
      <c r="K52" s="41" t="n">
        <v>1</v>
      </c>
    </row>
    <row r="53" customFormat="false" ht="14.25" hidden="false" customHeight="true" outlineLevel="0" collapsed="false">
      <c r="A53" s="8" t="str">
        <f aca="false">parametros_manuales!$B$42</f>
        <v>Etiquetado</v>
      </c>
      <c r="B53" s="41" t="n">
        <v>1</v>
      </c>
      <c r="C53" s="41" t="n">
        <v>1</v>
      </c>
      <c r="D53" s="41" t="n">
        <v>1</v>
      </c>
      <c r="E53" s="41" t="n">
        <v>1</v>
      </c>
      <c r="F53" s="41" t="n">
        <v>1</v>
      </c>
      <c r="G53" s="41" t="n">
        <v>1</v>
      </c>
      <c r="H53" s="41" t="n">
        <v>1</v>
      </c>
      <c r="I53" s="41" t="n">
        <v>1</v>
      </c>
      <c r="J53" s="41" t="n">
        <v>1</v>
      </c>
      <c r="K53" s="41" t="n">
        <v>1</v>
      </c>
    </row>
    <row r="54" customFormat="false" ht="14.25" hidden="false" customHeight="true" outlineLevel="0" collapsed="false">
      <c r="A54" s="8" t="str">
        <f aca="false">parametros_manuales!$B$43</f>
        <v>Embalaje y paletizado</v>
      </c>
      <c r="B54" s="41" t="n">
        <v>1</v>
      </c>
      <c r="C54" s="41" t="n">
        <v>1</v>
      </c>
      <c r="D54" s="41" t="n">
        <v>1</v>
      </c>
      <c r="E54" s="41" t="n">
        <v>1</v>
      </c>
      <c r="F54" s="41" t="n">
        <v>1</v>
      </c>
      <c r="G54" s="41" t="n">
        <v>2</v>
      </c>
      <c r="H54" s="41" t="n">
        <v>2</v>
      </c>
      <c r="I54" s="41" t="n">
        <v>2</v>
      </c>
      <c r="J54" s="41" t="n">
        <v>2</v>
      </c>
      <c r="K54" s="41" t="n">
        <v>2</v>
      </c>
    </row>
    <row r="55" customFormat="false" ht="14.25" hidden="false" customHeight="true" outlineLevel="0" collapsed="false">
      <c r="A55" s="10" t="s">
        <v>211</v>
      </c>
      <c r="B55" s="55" t="n">
        <f aca="false">SUM(B30:B54)</f>
        <v>25</v>
      </c>
      <c r="C55" s="55" t="n">
        <f aca="false">SUM(C30:C54)</f>
        <v>25</v>
      </c>
      <c r="D55" s="55" t="n">
        <f aca="false">SUM(D30:D54)</f>
        <v>25</v>
      </c>
      <c r="E55" s="55" t="n">
        <f aca="false">SUM(E30:E54)</f>
        <v>26</v>
      </c>
      <c r="F55" s="55" t="n">
        <f aca="false">SUM(F30:F54)</f>
        <v>27</v>
      </c>
      <c r="G55" s="55" t="n">
        <f aca="false">SUM(G30:G54)</f>
        <v>32</v>
      </c>
      <c r="H55" s="55" t="n">
        <f aca="false">SUM(H30:H54)</f>
        <v>33</v>
      </c>
      <c r="I55" s="55" t="n">
        <f aca="false">SUM(I30:I54)</f>
        <v>33</v>
      </c>
      <c r="J55" s="55" t="n">
        <f aca="false">SUM(J30:J54)</f>
        <v>33</v>
      </c>
      <c r="K55" s="55" t="n">
        <f aca="false">SUM(K30:K54)</f>
        <v>33</v>
      </c>
    </row>
    <row r="56" customFormat="false" ht="14.25" hidden="false" customHeight="true" outlineLevel="0" collapsed="false"/>
    <row r="57" customFormat="false" ht="14.25" hidden="false" customHeight="true" outlineLevel="0" collapsed="false">
      <c r="A57" s="57" t="s">
        <v>212</v>
      </c>
      <c r="B57" s="57" t="n">
        <v>2026</v>
      </c>
      <c r="C57" s="57" t="n">
        <v>2027</v>
      </c>
      <c r="D57" s="57" t="n">
        <v>2028</v>
      </c>
      <c r="E57" s="57" t="n">
        <v>2029</v>
      </c>
      <c r="F57" s="57" t="n">
        <v>2030</v>
      </c>
      <c r="G57" s="57" t="n">
        <v>2031</v>
      </c>
      <c r="H57" s="57" t="n">
        <v>2032</v>
      </c>
      <c r="I57" s="57" t="n">
        <v>2033</v>
      </c>
      <c r="J57" s="57" t="n">
        <v>2034</v>
      </c>
      <c r="K57" s="57" t="n">
        <v>2035</v>
      </c>
    </row>
    <row r="58" customFormat="false" ht="14.25" hidden="false" customHeight="true" outlineLevel="0" collapsed="false">
      <c r="A58" s="8" t="str">
        <f aca="false">parametros_manuales!$B$19</f>
        <v>Recepción de materia prima</v>
      </c>
      <c r="B58" s="41" t="n">
        <v>1</v>
      </c>
      <c r="C58" s="41" t="n">
        <v>1</v>
      </c>
      <c r="D58" s="41" t="n">
        <v>1</v>
      </c>
      <c r="E58" s="41" t="n">
        <v>1</v>
      </c>
      <c r="F58" s="41" t="n">
        <v>1</v>
      </c>
      <c r="G58" s="41" t="n">
        <v>1</v>
      </c>
      <c r="H58" s="41" t="n">
        <v>2</v>
      </c>
      <c r="I58" s="41" t="n">
        <v>2</v>
      </c>
      <c r="J58" s="41" t="n">
        <v>2</v>
      </c>
      <c r="K58" s="41" t="n">
        <v>2</v>
      </c>
    </row>
    <row r="59" customFormat="false" ht="14.25" hidden="false" customHeight="true" outlineLevel="0" collapsed="false">
      <c r="A59" s="8" t="str">
        <f aca="false">parametros_manuales!$B$20</f>
        <v>Corte de chapa (guillotina) — 2,5 a 10 kg</v>
      </c>
      <c r="B59" s="41" t="n">
        <v>1</v>
      </c>
      <c r="C59" s="41" t="n">
        <v>1</v>
      </c>
      <c r="D59" s="41" t="n">
        <v>1</v>
      </c>
      <c r="E59" s="41" t="n">
        <v>1</v>
      </c>
      <c r="F59" s="41" t="n">
        <v>1</v>
      </c>
      <c r="G59" s="41" t="n">
        <v>1</v>
      </c>
      <c r="H59" s="41" t="n">
        <v>2</v>
      </c>
      <c r="I59" s="41" t="n">
        <v>2</v>
      </c>
      <c r="J59" s="41" t="n">
        <v>2</v>
      </c>
      <c r="K59" s="41" t="n">
        <v>2</v>
      </c>
    </row>
    <row r="60" customFormat="false" ht="14.25" hidden="false" customHeight="true" outlineLevel="0" collapsed="false">
      <c r="A60" s="8" t="str">
        <f aca="false">parametros_manuales!$B$21</f>
        <v>Corte de tubo — 1 kg</v>
      </c>
      <c r="B60" s="41" t="n">
        <v>1</v>
      </c>
      <c r="C60" s="41" t="n">
        <v>1</v>
      </c>
      <c r="D60" s="41" t="n">
        <v>1</v>
      </c>
      <c r="E60" s="41" t="n">
        <v>1</v>
      </c>
      <c r="F60" s="41" t="n">
        <v>1</v>
      </c>
      <c r="G60" s="41" t="n">
        <v>1</v>
      </c>
      <c r="H60" s="41" t="n">
        <v>2</v>
      </c>
      <c r="I60" s="41" t="n">
        <v>2</v>
      </c>
      <c r="J60" s="41" t="n">
        <v>2</v>
      </c>
      <c r="K60" s="41" t="n">
        <v>2</v>
      </c>
    </row>
    <row r="61" customFormat="false" ht="14.25" hidden="false" customHeight="true" outlineLevel="0" collapsed="false">
      <c r="A61" s="8" t="str">
        <f aca="false">parametros_manuales!$B$22</f>
        <v>Corte de disco y embutido (cúpula y fondo)</v>
      </c>
      <c r="B61" s="41" t="n">
        <v>1</v>
      </c>
      <c r="C61" s="41" t="n">
        <v>1</v>
      </c>
      <c r="D61" s="41" t="n">
        <v>1</v>
      </c>
      <c r="E61" s="41" t="n">
        <v>1</v>
      </c>
      <c r="F61" s="41" t="n">
        <v>1</v>
      </c>
      <c r="G61" s="41" t="n">
        <v>1</v>
      </c>
      <c r="H61" s="41" t="n">
        <v>2</v>
      </c>
      <c r="I61" s="41" t="n">
        <v>2</v>
      </c>
      <c r="J61" s="41" t="n">
        <v>2</v>
      </c>
      <c r="K61" s="41" t="n">
        <v>2</v>
      </c>
    </row>
    <row r="62" customFormat="false" ht="14.25" hidden="false" customHeight="true" outlineLevel="0" collapsed="false">
      <c r="A62" s="8" t="str">
        <f aca="false">parametros_manuales!$B$23</f>
        <v>Preparación de cuello</v>
      </c>
      <c r="B62" s="41" t="n">
        <v>1</v>
      </c>
      <c r="C62" s="41" t="n">
        <v>1</v>
      </c>
      <c r="D62" s="41" t="n">
        <v>1</v>
      </c>
      <c r="E62" s="41" t="n">
        <v>1</v>
      </c>
      <c r="F62" s="41" t="n">
        <v>1</v>
      </c>
      <c r="G62" s="41" t="n">
        <v>1</v>
      </c>
      <c r="H62" s="41" t="n">
        <v>2</v>
      </c>
      <c r="I62" s="41" t="n">
        <v>2</v>
      </c>
      <c r="J62" s="41" t="n">
        <v>2</v>
      </c>
      <c r="K62" s="41" t="n">
        <v>2</v>
      </c>
    </row>
    <row r="63" customFormat="false" ht="14.25" hidden="false" customHeight="true" outlineLevel="0" collapsed="false">
      <c r="A63" s="8" t="str">
        <f aca="false">parametros_manuales!$B$24</f>
        <v>Numerado de cúpula</v>
      </c>
      <c r="B63" s="41" t="n">
        <v>1</v>
      </c>
      <c r="C63" s="41" t="n">
        <v>1</v>
      </c>
      <c r="D63" s="41" t="n">
        <v>1</v>
      </c>
      <c r="E63" s="41" t="n">
        <v>1</v>
      </c>
      <c r="F63" s="41" t="n">
        <v>1</v>
      </c>
      <c r="G63" s="41" t="n">
        <v>1</v>
      </c>
      <c r="H63" s="41" t="n">
        <v>2</v>
      </c>
      <c r="I63" s="41" t="n">
        <v>2</v>
      </c>
      <c r="J63" s="41" t="n">
        <v>2</v>
      </c>
      <c r="K63" s="41" t="n">
        <v>2</v>
      </c>
    </row>
    <row r="64" customFormat="false" ht="14.25" hidden="false" customHeight="true" outlineLevel="0" collapsed="false">
      <c r="A64" s="8" t="str">
        <f aca="false">parametros_manuales!$B$25</f>
        <v>Soldadura del cuello a la cúpula</v>
      </c>
      <c r="B64" s="41" t="n">
        <v>1</v>
      </c>
      <c r="C64" s="41" t="n">
        <v>1</v>
      </c>
      <c r="D64" s="41" t="n">
        <v>1</v>
      </c>
      <c r="E64" s="41" t="n">
        <v>1</v>
      </c>
      <c r="F64" s="41" t="n">
        <v>1</v>
      </c>
      <c r="G64" s="41" t="n">
        <v>1</v>
      </c>
      <c r="H64" s="41" t="n">
        <v>2</v>
      </c>
      <c r="I64" s="41" t="n">
        <v>2</v>
      </c>
      <c r="J64" s="41" t="n">
        <v>2</v>
      </c>
      <c r="K64" s="41" t="n">
        <v>2</v>
      </c>
    </row>
    <row r="65" customFormat="false" ht="14.25" hidden="false" customHeight="true" outlineLevel="0" collapsed="false">
      <c r="A65" s="8" t="str">
        <f aca="false">parametros_manuales!$B$26</f>
        <v>Cilindrado</v>
      </c>
      <c r="B65" s="41" t="n">
        <v>1</v>
      </c>
      <c r="C65" s="41" t="n">
        <v>1</v>
      </c>
      <c r="D65" s="41" t="n">
        <v>1</v>
      </c>
      <c r="E65" s="41" t="n">
        <v>1</v>
      </c>
      <c r="F65" s="41" t="n">
        <v>1</v>
      </c>
      <c r="G65" s="41" t="n">
        <v>1</v>
      </c>
      <c r="H65" s="41" t="n">
        <v>2</v>
      </c>
      <c r="I65" s="41" t="n">
        <v>2</v>
      </c>
      <c r="J65" s="41" t="n">
        <v>2</v>
      </c>
      <c r="K65" s="41" t="n">
        <v>2</v>
      </c>
    </row>
    <row r="66" customFormat="false" ht="14.25" hidden="false" customHeight="true" outlineLevel="0" collapsed="false">
      <c r="A66" s="8" t="str">
        <f aca="false">parametros_manuales!$B$27</f>
        <v>Soldadura longitudinal</v>
      </c>
      <c r="B66" s="41" t="n">
        <v>1</v>
      </c>
      <c r="C66" s="41" t="n">
        <v>1</v>
      </c>
      <c r="D66" s="41" t="n">
        <v>1</v>
      </c>
      <c r="E66" s="41" t="n">
        <v>1</v>
      </c>
      <c r="F66" s="41" t="n">
        <v>1</v>
      </c>
      <c r="G66" s="41" t="n">
        <v>1</v>
      </c>
      <c r="H66" s="41" t="n">
        <v>2</v>
      </c>
      <c r="I66" s="41" t="n">
        <v>2</v>
      </c>
      <c r="J66" s="41" t="n">
        <v>2</v>
      </c>
      <c r="K66" s="41" t="n">
        <v>2</v>
      </c>
    </row>
    <row r="67" customFormat="false" ht="14.25" hidden="false" customHeight="true" outlineLevel="0" collapsed="false">
      <c r="A67" s="8" t="str">
        <f aca="false">parametros_manuales!$B$28</f>
        <v>Encastre de fondo</v>
      </c>
      <c r="B67" s="41" t="n">
        <v>1</v>
      </c>
      <c r="C67" s="41" t="n">
        <v>1</v>
      </c>
      <c r="D67" s="41" t="n">
        <v>1</v>
      </c>
      <c r="E67" s="41" t="n">
        <v>1</v>
      </c>
      <c r="F67" s="41" t="n">
        <v>1</v>
      </c>
      <c r="G67" s="41" t="n">
        <v>1</v>
      </c>
      <c r="H67" s="41" t="n">
        <v>2</v>
      </c>
      <c r="I67" s="41" t="n">
        <v>2</v>
      </c>
      <c r="J67" s="41" t="n">
        <v>2</v>
      </c>
      <c r="K67" s="41" t="n">
        <v>2</v>
      </c>
    </row>
    <row r="68" customFormat="false" ht="14.25" hidden="false" customHeight="true" outlineLevel="0" collapsed="false">
      <c r="A68" s="8" t="str">
        <f aca="false">parametros_manuales!$B$29</f>
        <v>Bordoneado</v>
      </c>
      <c r="B68" s="41" t="n">
        <v>1</v>
      </c>
      <c r="C68" s="41" t="n">
        <v>1</v>
      </c>
      <c r="D68" s="41" t="n">
        <v>1</v>
      </c>
      <c r="E68" s="41" t="n">
        <v>1</v>
      </c>
      <c r="F68" s="41" t="n">
        <v>1</v>
      </c>
      <c r="G68" s="41" t="n">
        <v>1</v>
      </c>
      <c r="H68" s="41" t="n">
        <v>2</v>
      </c>
      <c r="I68" s="41" t="n">
        <v>2</v>
      </c>
      <c r="J68" s="41" t="n">
        <v>2</v>
      </c>
      <c r="K68" s="41" t="n">
        <v>2</v>
      </c>
    </row>
    <row r="69" customFormat="false" ht="14.25" hidden="false" customHeight="true" outlineLevel="0" collapsed="false">
      <c r="A69" s="8" t="str">
        <f aca="false">parametros_manuales!$B$30</f>
        <v>Soldadura circunferencial de cúpula y fondo</v>
      </c>
      <c r="B69" s="41" t="n">
        <v>1</v>
      </c>
      <c r="C69" s="41" t="n">
        <v>1</v>
      </c>
      <c r="D69" s="41" t="n">
        <v>1</v>
      </c>
      <c r="E69" s="41" t="n">
        <v>1</v>
      </c>
      <c r="F69" s="41" t="n">
        <v>1</v>
      </c>
      <c r="G69" s="41" t="n">
        <v>1</v>
      </c>
      <c r="H69" s="41" t="n">
        <v>2</v>
      </c>
      <c r="I69" s="41" t="n">
        <v>2</v>
      </c>
      <c r="J69" s="41" t="n">
        <v>2</v>
      </c>
      <c r="K69" s="41" t="n">
        <v>2</v>
      </c>
    </row>
    <row r="70" customFormat="false" ht="14.25" hidden="false" customHeight="true" outlineLevel="0" collapsed="false">
      <c r="A70" s="8" t="str">
        <f aca="false">parametros_manuales!$B$31</f>
        <v>Control de calidad — Espesor</v>
      </c>
      <c r="B70" s="41" t="n">
        <v>1</v>
      </c>
      <c r="C70" s="41" t="n">
        <v>1</v>
      </c>
      <c r="D70" s="41" t="n">
        <v>1</v>
      </c>
      <c r="E70" s="41" t="n">
        <v>1</v>
      </c>
      <c r="F70" s="41" t="n">
        <v>1</v>
      </c>
      <c r="G70" s="41" t="n">
        <v>1</v>
      </c>
      <c r="H70" s="41" t="n">
        <v>1</v>
      </c>
      <c r="I70" s="41" t="n">
        <v>1</v>
      </c>
      <c r="J70" s="41" t="n">
        <v>1</v>
      </c>
      <c r="K70" s="41" t="n">
        <v>1</v>
      </c>
    </row>
    <row r="71" customFormat="false" ht="14.25" hidden="false" customHeight="true" outlineLevel="0" collapsed="false">
      <c r="A71" s="8" t="str">
        <f aca="false">parametros_manuales!$B$32</f>
        <v>Prueba hidráulica</v>
      </c>
      <c r="B71" s="41" t="n">
        <v>1</v>
      </c>
      <c r="C71" s="41" t="n">
        <v>1</v>
      </c>
      <c r="D71" s="41" t="n">
        <v>1</v>
      </c>
      <c r="E71" s="41" t="n">
        <v>1</v>
      </c>
      <c r="F71" s="41" t="n">
        <v>1</v>
      </c>
      <c r="G71" s="41" t="n">
        <v>1</v>
      </c>
      <c r="H71" s="41" t="n">
        <v>2</v>
      </c>
      <c r="I71" s="41" t="n">
        <v>2</v>
      </c>
      <c r="J71" s="41" t="n">
        <v>2</v>
      </c>
      <c r="K71" s="41" t="n">
        <v>2</v>
      </c>
    </row>
    <row r="72" customFormat="false" ht="14.25" hidden="false" customHeight="true" outlineLevel="0" collapsed="false">
      <c r="A72" s="8" t="str">
        <f aca="false">parametros_manuales!$B$33</f>
        <v>Secado</v>
      </c>
      <c r="B72" s="41" t="n">
        <v>1</v>
      </c>
      <c r="C72" s="41" t="n">
        <v>1</v>
      </c>
      <c r="D72" s="41" t="n">
        <v>1</v>
      </c>
      <c r="E72" s="41" t="n">
        <v>1</v>
      </c>
      <c r="F72" s="41" t="n">
        <v>1</v>
      </c>
      <c r="G72" s="41" t="n">
        <v>1</v>
      </c>
      <c r="H72" s="41" t="n">
        <v>2</v>
      </c>
      <c r="I72" s="41" t="n">
        <v>2</v>
      </c>
      <c r="J72" s="41" t="n">
        <v>2</v>
      </c>
      <c r="K72" s="41" t="n">
        <v>2</v>
      </c>
    </row>
    <row r="73" customFormat="false" ht="14.25" hidden="false" customHeight="true" outlineLevel="0" collapsed="false">
      <c r="A73" s="8" t="str">
        <f aca="false">parametros_manuales!$B$34</f>
        <v>Granallado</v>
      </c>
      <c r="B73" s="41" t="n">
        <v>1</v>
      </c>
      <c r="C73" s="41" t="n">
        <v>1</v>
      </c>
      <c r="D73" s="41" t="n">
        <v>1</v>
      </c>
      <c r="E73" s="41" t="n">
        <v>1</v>
      </c>
      <c r="F73" s="41" t="n">
        <v>1</v>
      </c>
      <c r="G73" s="41" t="n">
        <v>1</v>
      </c>
      <c r="H73" s="41" t="n">
        <v>2</v>
      </c>
      <c r="I73" s="41" t="n">
        <v>2</v>
      </c>
      <c r="J73" s="41" t="n">
        <v>2</v>
      </c>
      <c r="K73" s="41" t="n">
        <v>2</v>
      </c>
    </row>
    <row r="74" customFormat="false" ht="14.25" hidden="false" customHeight="true" outlineLevel="0" collapsed="false">
      <c r="A74" s="8" t="str">
        <f aca="false">parametros_manuales!$B$35</f>
        <v>Detección de defectos</v>
      </c>
      <c r="B74" s="41" t="n">
        <v>1</v>
      </c>
      <c r="C74" s="41" t="n">
        <v>1</v>
      </c>
      <c r="D74" s="41" t="n">
        <v>1</v>
      </c>
      <c r="E74" s="41" t="n">
        <v>1</v>
      </c>
      <c r="F74" s="41" t="n">
        <v>1</v>
      </c>
      <c r="G74" s="41" t="n">
        <v>1</v>
      </c>
      <c r="H74" s="41" t="n">
        <v>2</v>
      </c>
      <c r="I74" s="41" t="n">
        <v>2</v>
      </c>
      <c r="J74" s="41" t="n">
        <v>2</v>
      </c>
      <c r="K74" s="41" t="n">
        <v>2</v>
      </c>
    </row>
    <row r="75" customFormat="false" ht="14.25" hidden="false" customHeight="true" outlineLevel="0" collapsed="false">
      <c r="A75" s="8" t="str">
        <f aca="false">parametros_manuales!$B$36</f>
        <v>Corrección de defectos</v>
      </c>
      <c r="B75" s="41" t="n">
        <v>1</v>
      </c>
      <c r="C75" s="41" t="n">
        <v>1</v>
      </c>
      <c r="D75" s="41" t="n">
        <v>1</v>
      </c>
      <c r="E75" s="41" t="n">
        <v>1</v>
      </c>
      <c r="F75" s="41" t="n">
        <v>1</v>
      </c>
      <c r="G75" s="41" t="n">
        <v>1</v>
      </c>
      <c r="H75" s="41" t="n">
        <v>1</v>
      </c>
      <c r="I75" s="41" t="n">
        <v>1</v>
      </c>
      <c r="J75" s="41" t="n">
        <v>1</v>
      </c>
      <c r="K75" s="41" t="n">
        <v>1</v>
      </c>
    </row>
    <row r="76" customFormat="false" ht="14.25" hidden="false" customHeight="true" outlineLevel="0" collapsed="false">
      <c r="A76" s="8" t="str">
        <f aca="false">parametros_manuales!$B$37</f>
        <v>Pintura en polvo + horno</v>
      </c>
      <c r="B76" s="41" t="n">
        <v>1</v>
      </c>
      <c r="C76" s="41" t="n">
        <v>1</v>
      </c>
      <c r="D76" s="41" t="n">
        <v>1</v>
      </c>
      <c r="E76" s="41" t="n">
        <v>1</v>
      </c>
      <c r="F76" s="41" t="n">
        <v>1</v>
      </c>
      <c r="G76" s="41" t="n">
        <v>1</v>
      </c>
      <c r="H76" s="41" t="n">
        <v>2</v>
      </c>
      <c r="I76" s="41" t="n">
        <v>2</v>
      </c>
      <c r="J76" s="41" t="n">
        <v>2</v>
      </c>
      <c r="K76" s="41" t="n">
        <v>2</v>
      </c>
    </row>
    <row r="77" customFormat="false" ht="14.25" hidden="false" customHeight="true" outlineLevel="0" collapsed="false">
      <c r="A77" s="8" t="str">
        <f aca="false">parametros_manuales!$B$38</f>
        <v>Carga de polvo</v>
      </c>
      <c r="B77" s="41" t="n">
        <v>1</v>
      </c>
      <c r="C77" s="41" t="n">
        <v>1</v>
      </c>
      <c r="D77" s="41" t="n">
        <v>1</v>
      </c>
      <c r="E77" s="41" t="n">
        <v>1</v>
      </c>
      <c r="F77" s="41" t="n">
        <v>1</v>
      </c>
      <c r="G77" s="41" t="n">
        <v>1</v>
      </c>
      <c r="H77" s="41" t="n">
        <v>1</v>
      </c>
      <c r="I77" s="41" t="n">
        <v>1</v>
      </c>
      <c r="J77" s="41" t="n">
        <v>1</v>
      </c>
      <c r="K77" s="41" t="n">
        <v>1</v>
      </c>
    </row>
    <row r="78" customFormat="false" ht="14.25" hidden="false" customHeight="true" outlineLevel="0" collapsed="false">
      <c r="A78" s="8" t="str">
        <f aca="false">parametros_manuales!$B$39</f>
        <v>Ensamblaje</v>
      </c>
      <c r="B78" s="41" t="n">
        <v>1</v>
      </c>
      <c r="C78" s="41" t="n">
        <v>1</v>
      </c>
      <c r="D78" s="41" t="n">
        <v>1</v>
      </c>
      <c r="E78" s="41" t="n">
        <v>1</v>
      </c>
      <c r="F78" s="41" t="n">
        <v>1</v>
      </c>
      <c r="G78" s="41" t="n">
        <v>1</v>
      </c>
      <c r="H78" s="41" t="n">
        <v>2</v>
      </c>
      <c r="I78" s="41" t="n">
        <v>2</v>
      </c>
      <c r="J78" s="41" t="n">
        <v>2</v>
      </c>
      <c r="K78" s="41" t="n">
        <v>2</v>
      </c>
    </row>
    <row r="79" customFormat="false" ht="14.25" hidden="false" customHeight="true" outlineLevel="0" collapsed="false">
      <c r="A79" s="8" t="str">
        <f aca="false">parametros_manuales!$B$40</f>
        <v>Presurización</v>
      </c>
      <c r="B79" s="41" t="n">
        <v>1</v>
      </c>
      <c r="C79" s="41" t="n">
        <v>1</v>
      </c>
      <c r="D79" s="41" t="n">
        <v>1</v>
      </c>
      <c r="E79" s="41" t="n">
        <v>1</v>
      </c>
      <c r="F79" s="41" t="n">
        <v>1</v>
      </c>
      <c r="G79" s="41" t="n">
        <v>1</v>
      </c>
      <c r="H79" s="41" t="n">
        <v>1</v>
      </c>
      <c r="I79" s="41" t="n">
        <v>1</v>
      </c>
      <c r="J79" s="41" t="n">
        <v>1</v>
      </c>
      <c r="K79" s="41" t="n">
        <v>1</v>
      </c>
    </row>
    <row r="80" customFormat="false" ht="14.25" hidden="false" customHeight="true" outlineLevel="0" collapsed="false">
      <c r="A80" s="8" t="str">
        <f aca="false">parametros_manuales!$B$41</f>
        <v>Control de calidad — Ensayo de pérdidas</v>
      </c>
      <c r="B80" s="41" t="n">
        <v>1</v>
      </c>
      <c r="C80" s="41" t="n">
        <v>1</v>
      </c>
      <c r="D80" s="41" t="n">
        <v>1</v>
      </c>
      <c r="E80" s="41" t="n">
        <v>1</v>
      </c>
      <c r="F80" s="41" t="n">
        <v>1</v>
      </c>
      <c r="G80" s="41" t="n">
        <v>1</v>
      </c>
      <c r="H80" s="41" t="n">
        <v>1</v>
      </c>
      <c r="I80" s="41" t="n">
        <v>1</v>
      </c>
      <c r="J80" s="41" t="n">
        <v>1</v>
      </c>
      <c r="K80" s="41" t="n">
        <v>1</v>
      </c>
    </row>
    <row r="81" customFormat="false" ht="14.25" hidden="false" customHeight="true" outlineLevel="0" collapsed="false">
      <c r="A81" s="8" t="str">
        <f aca="false">parametros_manuales!$B$42</f>
        <v>Etiquetado</v>
      </c>
      <c r="B81" s="41" t="n">
        <v>1</v>
      </c>
      <c r="C81" s="41" t="n">
        <v>1</v>
      </c>
      <c r="D81" s="41" t="n">
        <v>1</v>
      </c>
      <c r="E81" s="41" t="n">
        <v>1</v>
      </c>
      <c r="F81" s="41" t="n">
        <v>1</v>
      </c>
      <c r="G81" s="41" t="n">
        <v>1</v>
      </c>
      <c r="H81" s="41" t="n">
        <v>1</v>
      </c>
      <c r="I81" s="41" t="n">
        <v>1</v>
      </c>
      <c r="J81" s="41" t="n">
        <v>1</v>
      </c>
      <c r="K81" s="41" t="n">
        <v>1</v>
      </c>
    </row>
    <row r="82" customFormat="false" ht="14.25" hidden="false" customHeight="true" outlineLevel="0" collapsed="false">
      <c r="A82" s="8" t="str">
        <f aca="false">parametros_manuales!$B$43</f>
        <v>Embalaje y paletizado</v>
      </c>
      <c r="B82" s="41" t="n">
        <v>1</v>
      </c>
      <c r="C82" s="41" t="n">
        <v>1</v>
      </c>
      <c r="D82" s="41" t="n">
        <v>1</v>
      </c>
      <c r="E82" s="41" t="n">
        <v>1</v>
      </c>
      <c r="F82" s="41" t="n">
        <v>1</v>
      </c>
      <c r="G82" s="41" t="n">
        <v>1</v>
      </c>
      <c r="H82" s="41" t="n">
        <v>2</v>
      </c>
      <c r="I82" s="41" t="n">
        <v>2</v>
      </c>
      <c r="J82" s="41" t="n">
        <v>2</v>
      </c>
      <c r="K82" s="41" t="n">
        <v>2</v>
      </c>
    </row>
    <row r="83" customFormat="false" ht="14.25" hidden="false" customHeight="true" outlineLevel="0" collapsed="false">
      <c r="A83" s="10" t="s">
        <v>213</v>
      </c>
      <c r="B83" s="55" t="n">
        <f aca="false">MAX(B58:B82)</f>
        <v>1</v>
      </c>
      <c r="C83" s="55" t="n">
        <f aca="false">MAX(C58:C82)</f>
        <v>1</v>
      </c>
      <c r="D83" s="55" t="n">
        <f aca="false">MAX(D58:D82)</f>
        <v>1</v>
      </c>
      <c r="E83" s="55" t="n">
        <f aca="false">MAX(E58:E82)</f>
        <v>1</v>
      </c>
      <c r="F83" s="55" t="n">
        <f aca="false">MAX(F58:F82)</f>
        <v>1</v>
      </c>
      <c r="G83" s="55" t="n">
        <f aca="false">MAX(G58:G82)</f>
        <v>1</v>
      </c>
      <c r="H83" s="55" t="n">
        <f aca="false">MAX(H58:H82)</f>
        <v>2</v>
      </c>
      <c r="I83" s="55" t="n">
        <f aca="false">MAX(I58:I82)</f>
        <v>2</v>
      </c>
      <c r="J83" s="55" t="n">
        <f aca="false">MAX(J58:J82)</f>
        <v>2</v>
      </c>
      <c r="K83" s="55" t="n">
        <f aca="false">MAX(K58:K82)</f>
        <v>2</v>
      </c>
    </row>
    <row r="84" customFormat="false" ht="14.25" hidden="false" customHeight="true" outlineLevel="0" collapsed="false"/>
    <row r="85" customFormat="false" ht="14.25" hidden="false" customHeight="true" outlineLevel="0" collapsed="false"/>
    <row r="86" customFormat="false" ht="14.25" hidden="false" customHeight="true" outlineLevel="0" collapsed="false">
      <c r="A86" s="61" t="s">
        <v>216</v>
      </c>
    </row>
    <row r="87" customFormat="false" ht="14.25" hidden="false" customHeight="true" outlineLevel="0" collapsed="false">
      <c r="A87" s="57" t="s">
        <v>209</v>
      </c>
      <c r="B87" s="57" t="n">
        <v>2026</v>
      </c>
      <c r="C87" s="57" t="n">
        <v>2027</v>
      </c>
      <c r="D87" s="57" t="n">
        <v>2028</v>
      </c>
      <c r="E87" s="57" t="n">
        <v>2029</v>
      </c>
      <c r="F87" s="57" t="n">
        <v>2030</v>
      </c>
      <c r="G87" s="57" t="n">
        <v>2031</v>
      </c>
      <c r="H87" s="57" t="n">
        <v>2032</v>
      </c>
      <c r="I87" s="57" t="n">
        <v>2033</v>
      </c>
      <c r="J87" s="57" t="n">
        <v>2034</v>
      </c>
      <c r="K87" s="57" t="n">
        <v>2035</v>
      </c>
    </row>
    <row r="88" customFormat="false" ht="14.25" hidden="false" customHeight="true" outlineLevel="0" collapsed="false">
      <c r="A88" s="8" t="s">
        <v>217</v>
      </c>
      <c r="B88" s="62" t="n">
        <f aca="false">'Resumen cap. sin sobrestock'!B27</f>
        <v>0.177032979371178</v>
      </c>
      <c r="C88" s="62" t="n">
        <f aca="false">'Resumen cap. sin sobrestock'!C27</f>
        <v>0.278538261404444</v>
      </c>
      <c r="D88" s="62" t="n">
        <f aca="false">'Resumen cap. sin sobrestock'!D27</f>
        <v>0.592540181796445</v>
      </c>
      <c r="E88" s="62" t="n">
        <f aca="false">'Resumen cap. sin sobrestock'!E27</f>
        <v>0.670525769660747</v>
      </c>
      <c r="F88" s="62" t="n">
        <f aca="false">'Resumen cap. sin sobrestock'!F27</f>
        <v>0.86841926024403</v>
      </c>
      <c r="G88" s="62" t="n">
        <f aca="false">'Resumen cap. sin sobrestock'!G27</f>
        <v>0.868996095564659</v>
      </c>
      <c r="H88" s="62" t="n">
        <f aca="false">'Resumen cap. sin sobrestock'!H27</f>
        <v>0.489240990346</v>
      </c>
      <c r="I88" s="62" t="n">
        <f aca="false">'Resumen cap. sin sobrestock'!I27</f>
        <v>0.625169927919356</v>
      </c>
      <c r="J88" s="62" t="n">
        <f aca="false">'Resumen cap. sin sobrestock'!J27</f>
        <v>0.705205727454274</v>
      </c>
      <c r="K88" s="62" t="n">
        <f aca="false">'Resumen cap. sin sobrestock'!K27</f>
        <v>0.814798700907913</v>
      </c>
    </row>
    <row r="89" customFormat="false" ht="14.25" hidden="false" customHeight="true" outlineLevel="0" collapsed="false">
      <c r="A89" s="8" t="s">
        <v>218</v>
      </c>
      <c r="B89" s="59" t="n">
        <f aca="false">B27</f>
        <v>0.1372474621346</v>
      </c>
      <c r="C89" s="59" t="n">
        <f aca="false">C27</f>
        <v>0.2169907521</v>
      </c>
      <c r="D89" s="59" t="n">
        <f aca="false">D27</f>
        <v>0.458416243728</v>
      </c>
      <c r="E89" s="59" t="n">
        <f aca="false">E27</f>
        <v>0.516068038202376</v>
      </c>
      <c r="F89" s="59" t="n">
        <f aca="false">F27</f>
        <v>0.898449287048756</v>
      </c>
      <c r="G89" s="59" t="n">
        <f aca="false">G27</f>
        <v>0.82600888066</v>
      </c>
      <c r="H89" s="59" t="n">
        <f aca="false">H27</f>
        <v>0.477449656210726</v>
      </c>
      <c r="I89" s="59" t="n">
        <f aca="false">I27</f>
        <v>0.603165459749578</v>
      </c>
      <c r="J89" s="59" t="n">
        <f aca="false">J27</f>
        <v>0.688103090997044</v>
      </c>
      <c r="K89" s="59" t="n">
        <f aca="false">K27</f>
        <v>0.795351706329814</v>
      </c>
    </row>
    <row r="90" customFormat="false" ht="14.25" hidden="false" customHeight="true" outlineLevel="0" collapsed="false"/>
    <row r="91" customFormat="false" ht="14.25" hidden="false" customHeight="true" outlineLevel="0" collapsed="false"/>
    <row r="92" customFormat="false" ht="14.25" hidden="false" customHeight="true" outlineLevel="0" collapsed="false"/>
    <row r="93" customFormat="false" ht="14.25" hidden="false" customHeight="true" outlineLevel="0" collapsed="false"/>
    <row r="94" customFormat="false" ht="14.25" hidden="false" customHeight="true" outlineLevel="0" collapsed="false"/>
    <row r="95" customFormat="false" ht="14.25" hidden="false" customHeight="true" outlineLevel="0" collapsed="false"/>
    <row r="96" customFormat="false" ht="14.25" hidden="false" customHeight="true" outlineLevel="0" collapsed="false"/>
    <row r="97" customFormat="false" ht="14.25" hidden="false" customHeight="true" outlineLevel="0" collapsed="false"/>
    <row r="98" customFormat="false" ht="14.25" hidden="false" customHeight="true" outlineLevel="0" collapsed="false"/>
    <row r="99" customFormat="false" ht="14.25" hidden="false" customHeight="true" outlineLevel="0" collapsed="false"/>
    <row r="100" customFormat="false" ht="14.25" hidden="false" customHeight="true" outlineLevel="0" collapsed="false"/>
    <row r="101" customFormat="false" ht="14.25" hidden="false" customHeight="true" outlineLevel="0" collapsed="false"/>
    <row r="102" customFormat="false" ht="14.25" hidden="false" customHeight="true" outlineLevel="0" collapsed="false"/>
    <row r="103" customFormat="false" ht="14.25" hidden="false" customHeight="true" outlineLevel="0" collapsed="false"/>
    <row r="104" customFormat="false" ht="14.25" hidden="false" customHeight="true" outlineLevel="0" collapsed="false"/>
    <row r="105" customFormat="false" ht="14.25" hidden="false" customHeight="true" outlineLevel="0" collapsed="false"/>
    <row r="106" customFormat="false" ht="14.25" hidden="false" customHeight="true" outlineLevel="0" collapsed="false"/>
    <row r="107" customFormat="false" ht="14.25" hidden="false" customHeight="true" outlineLevel="0" collapsed="false"/>
    <row r="108" customFormat="false" ht="14.25" hidden="false" customHeight="true" outlineLevel="0" collapsed="false"/>
    <row r="109" customFormat="false" ht="14.25" hidden="false" customHeight="true" outlineLevel="0" collapsed="false"/>
    <row r="110" customFormat="false" ht="14.25" hidden="false" customHeight="true" outlineLevel="0" collapsed="false"/>
    <row r="111" customFormat="false" ht="14.25" hidden="false" customHeight="true" outlineLevel="0" collapsed="false"/>
    <row r="112" customFormat="false" ht="14.25" hidden="false" customHeight="true" outlineLevel="0" collapsed="false"/>
    <row r="113" customFormat="false" ht="14.25" hidden="false" customHeight="true" outlineLevel="0" collapsed="false"/>
    <row r="114" customFormat="false" ht="14.25" hidden="false" customHeight="true" outlineLevel="0" collapsed="false"/>
    <row r="115" customFormat="false" ht="14.25" hidden="false" customHeight="true" outlineLevel="0" collapsed="false"/>
    <row r="116" customFormat="false" ht="14.25" hidden="false" customHeight="true" outlineLevel="0" collapsed="false"/>
    <row r="117" customFormat="false" ht="14.25" hidden="false" customHeight="true" outlineLevel="0" collapsed="false"/>
    <row r="118" customFormat="false" ht="14.25" hidden="false" customHeight="true" outlineLevel="0" collapsed="false"/>
    <row r="119" customFormat="false" ht="14.25" hidden="false" customHeight="true" outlineLevel="0" collapsed="false"/>
    <row r="120" customFormat="false" ht="14.25" hidden="false" customHeight="true" outlineLevel="0" collapsed="false"/>
    <row r="121" customFormat="false" ht="14.25" hidden="false" customHeight="true" outlineLevel="0" collapsed="false"/>
    <row r="122" customFormat="false" ht="14.25" hidden="false" customHeight="true" outlineLevel="0" collapsed="false"/>
    <row r="123" customFormat="false" ht="14.25" hidden="false" customHeight="true" outlineLevel="0" collapsed="false"/>
    <row r="124" customFormat="false" ht="14.25" hidden="false" customHeight="true" outlineLevel="0" collapsed="false"/>
    <row r="125" customFormat="false" ht="14.25" hidden="false" customHeight="true" outlineLevel="0" collapsed="false"/>
    <row r="126" customFormat="false" ht="14.25" hidden="false" customHeight="true" outlineLevel="0" collapsed="false"/>
    <row r="127" customFormat="false" ht="14.25" hidden="false" customHeight="true" outlineLevel="0" collapsed="false"/>
    <row r="128" customFormat="false" ht="14.25" hidden="false" customHeight="true" outlineLevel="0" collapsed="false"/>
    <row r="129" customFormat="false" ht="14.25" hidden="false" customHeight="true" outlineLevel="0" collapsed="false"/>
    <row r="130" customFormat="false" ht="14.25" hidden="false" customHeight="true" outlineLevel="0" collapsed="false"/>
    <row r="131" customFormat="false" ht="14.25" hidden="false" customHeight="true" outlineLevel="0" collapsed="false"/>
    <row r="132" customFormat="false" ht="14.25" hidden="false" customHeight="true" outlineLevel="0" collapsed="false"/>
    <row r="133" customFormat="false" ht="14.25" hidden="false" customHeight="true" outlineLevel="0" collapsed="false"/>
    <row r="134" customFormat="false" ht="14.25" hidden="false" customHeight="true" outlineLevel="0" collapsed="false"/>
    <row r="135" customFormat="false" ht="14.25" hidden="false" customHeight="true" outlineLevel="0" collapsed="false"/>
    <row r="136" customFormat="false" ht="14.25" hidden="false" customHeight="true" outlineLevel="0" collapsed="false"/>
    <row r="137" customFormat="false" ht="14.25" hidden="false" customHeight="true" outlineLevel="0" collapsed="false"/>
    <row r="138" customFormat="false" ht="14.25" hidden="false" customHeight="true" outlineLevel="0" collapsed="false"/>
    <row r="139" customFormat="false" ht="14.25" hidden="false" customHeight="true" outlineLevel="0" collapsed="false"/>
    <row r="140" customFormat="false" ht="14.25" hidden="false" customHeight="true" outlineLevel="0" collapsed="false"/>
    <row r="141" customFormat="false" ht="14.25" hidden="false" customHeight="true" outlineLevel="0" collapsed="false"/>
    <row r="142" customFormat="false" ht="14.25" hidden="false" customHeight="true" outlineLevel="0" collapsed="false"/>
    <row r="143" customFormat="false" ht="14.25" hidden="false" customHeight="true" outlineLevel="0" collapsed="false"/>
    <row r="144" customFormat="false" ht="14.25" hidden="false" customHeight="true" outlineLevel="0" collapsed="false"/>
    <row r="145" customFormat="false" ht="14.25" hidden="false" customHeight="true" outlineLevel="0" collapsed="false"/>
    <row r="146" customFormat="false" ht="14.25" hidden="false" customHeight="true" outlineLevel="0" collapsed="false"/>
    <row r="147" customFormat="false" ht="14.25" hidden="false" customHeight="true" outlineLevel="0" collapsed="false"/>
    <row r="148" customFormat="false" ht="14.25" hidden="false" customHeight="true" outlineLevel="0" collapsed="false"/>
    <row r="149" customFormat="false" ht="14.25" hidden="false" customHeight="true" outlineLevel="0" collapsed="false"/>
    <row r="150" customFormat="false" ht="14.25" hidden="false" customHeight="true" outlineLevel="0" collapsed="false"/>
    <row r="151" customFormat="false" ht="14.25" hidden="false" customHeight="true" outlineLevel="0" collapsed="false"/>
    <row r="152" customFormat="false" ht="14.25" hidden="false" customHeight="true" outlineLevel="0" collapsed="false"/>
    <row r="153" customFormat="false" ht="14.25" hidden="false" customHeight="true" outlineLevel="0" collapsed="false"/>
    <row r="154" customFormat="false" ht="14.25" hidden="false" customHeight="true" outlineLevel="0" collapsed="false"/>
    <row r="155" customFormat="false" ht="14.25" hidden="false" customHeight="true" outlineLevel="0" collapsed="false"/>
    <row r="156" customFormat="false" ht="14.25" hidden="false" customHeight="true" outlineLevel="0" collapsed="false"/>
    <row r="157" customFormat="false" ht="14.25" hidden="false" customHeight="true" outlineLevel="0" collapsed="false"/>
    <row r="158" customFormat="false" ht="14.25" hidden="false" customHeight="true" outlineLevel="0" collapsed="false"/>
    <row r="159" customFormat="false" ht="14.25" hidden="false" customHeight="true" outlineLevel="0" collapsed="false"/>
    <row r="160" customFormat="false" ht="14.25" hidden="false" customHeight="true" outlineLevel="0" collapsed="false"/>
    <row r="161" customFormat="false" ht="14.25" hidden="false" customHeight="true" outlineLevel="0" collapsed="false"/>
    <row r="162" customFormat="false" ht="14.25" hidden="false" customHeight="true" outlineLevel="0" collapsed="false"/>
    <row r="163" customFormat="false" ht="14.25" hidden="false" customHeight="true" outlineLevel="0" collapsed="false"/>
    <row r="164" customFormat="false" ht="14.25" hidden="false" customHeight="true" outlineLevel="0" collapsed="false"/>
    <row r="165" customFormat="false" ht="14.25" hidden="false" customHeight="true" outlineLevel="0" collapsed="false"/>
    <row r="166" customFormat="false" ht="14.25" hidden="false" customHeight="true" outlineLevel="0" collapsed="false"/>
    <row r="167" customFormat="false" ht="14.25" hidden="false" customHeight="true" outlineLevel="0" collapsed="false"/>
    <row r="168" customFormat="false" ht="14.25" hidden="false" customHeight="true" outlineLevel="0" collapsed="false"/>
    <row r="169" customFormat="false" ht="14.25" hidden="false" customHeight="true" outlineLevel="0" collapsed="false"/>
    <row r="170" customFormat="false" ht="14.25" hidden="false" customHeight="true" outlineLevel="0" collapsed="false"/>
    <row r="171" customFormat="false" ht="14.25" hidden="false" customHeight="true" outlineLevel="0" collapsed="false"/>
    <row r="172" customFormat="false" ht="14.25" hidden="false" customHeight="true" outlineLevel="0" collapsed="false"/>
    <row r="173" customFormat="false" ht="14.25" hidden="false" customHeight="true" outlineLevel="0" collapsed="false"/>
    <row r="174" customFormat="false" ht="14.25" hidden="false" customHeight="true" outlineLevel="0" collapsed="false"/>
    <row r="175" customFormat="false" ht="14.25" hidden="false" customHeight="true" outlineLevel="0" collapsed="false"/>
    <row r="176" customFormat="false" ht="14.25" hidden="false" customHeight="true" outlineLevel="0" collapsed="false"/>
    <row r="177" customFormat="false" ht="14.25" hidden="false" customHeight="true" outlineLevel="0" collapsed="false"/>
    <row r="178" customFormat="false" ht="14.25" hidden="false" customHeight="true" outlineLevel="0" collapsed="false"/>
    <row r="179" customFormat="false" ht="14.25" hidden="false" customHeight="true" outlineLevel="0" collapsed="false"/>
    <row r="180" customFormat="false" ht="14.25" hidden="false" customHeight="true" outlineLevel="0" collapsed="false"/>
    <row r="181" customFormat="false" ht="14.25" hidden="false" customHeight="true" outlineLevel="0" collapsed="false"/>
    <row r="182" customFormat="false" ht="14.25" hidden="false" customHeight="true" outlineLevel="0" collapsed="false"/>
    <row r="183" customFormat="false" ht="14.25" hidden="false" customHeight="true" outlineLevel="0" collapsed="false"/>
    <row r="184" customFormat="false" ht="14.25" hidden="false" customHeight="true" outlineLevel="0" collapsed="false"/>
    <row r="185" customFormat="false" ht="14.25" hidden="false" customHeight="true" outlineLevel="0" collapsed="false"/>
    <row r="186" customFormat="false" ht="14.25" hidden="false" customHeight="true" outlineLevel="0" collapsed="false"/>
    <row r="187" customFormat="false" ht="14.25" hidden="false" customHeight="true" outlineLevel="0" collapsed="false"/>
    <row r="188" customFormat="false" ht="14.25" hidden="false" customHeight="true" outlineLevel="0" collapsed="false"/>
    <row r="189" customFormat="false" ht="14.25" hidden="false" customHeight="true" outlineLevel="0" collapsed="false"/>
    <row r="190" customFormat="false" ht="14.25" hidden="false" customHeight="true" outlineLevel="0" collapsed="false"/>
    <row r="191" customFormat="false" ht="14.25" hidden="false" customHeight="true" outlineLevel="0" collapsed="false"/>
    <row r="192" customFormat="false" ht="14.25" hidden="false" customHeight="true" outlineLevel="0" collapsed="false"/>
    <row r="193" customFormat="false" ht="14.25" hidden="false" customHeight="true" outlineLevel="0" collapsed="false"/>
    <row r="194" customFormat="false" ht="14.25" hidden="false" customHeight="true" outlineLevel="0" collapsed="false"/>
    <row r="195" customFormat="false" ht="14.25" hidden="false" customHeight="true" outlineLevel="0" collapsed="false"/>
    <row r="196" customFormat="false" ht="14.25" hidden="false" customHeight="true" outlineLevel="0" collapsed="false"/>
    <row r="197" customFormat="false" ht="14.25" hidden="false" customHeight="true" outlineLevel="0" collapsed="false"/>
    <row r="198" customFormat="false" ht="14.25" hidden="false" customHeight="true" outlineLevel="0" collapsed="false"/>
    <row r="199" customFormat="false" ht="14.25" hidden="false" customHeight="true" outlineLevel="0" collapsed="false"/>
    <row r="200" customFormat="false" ht="14.25" hidden="false" customHeight="true" outlineLevel="0" collapsed="false"/>
    <row r="201" customFormat="false" ht="14.25" hidden="false" customHeight="true" outlineLevel="0" collapsed="false"/>
    <row r="202" customFormat="false" ht="14.25" hidden="false" customHeight="true" outlineLevel="0" collapsed="false"/>
    <row r="203" customFormat="false" ht="14.25" hidden="false" customHeight="true" outlineLevel="0" collapsed="false"/>
    <row r="204" customFormat="false" ht="14.25" hidden="false" customHeight="true" outlineLevel="0" collapsed="false"/>
    <row r="205" customFormat="false" ht="14.25" hidden="false" customHeight="true" outlineLevel="0" collapsed="false"/>
    <row r="206" customFormat="false" ht="14.25" hidden="false" customHeight="true" outlineLevel="0" collapsed="false"/>
    <row r="207" customFormat="false" ht="14.25" hidden="false" customHeight="true" outlineLevel="0" collapsed="false"/>
    <row r="208" customFormat="false" ht="14.25" hidden="false" customHeight="true" outlineLevel="0" collapsed="false"/>
    <row r="209" customFormat="false" ht="14.25" hidden="false" customHeight="true" outlineLevel="0" collapsed="false"/>
    <row r="210" customFormat="false" ht="14.25" hidden="false" customHeight="true" outlineLevel="0" collapsed="false"/>
    <row r="211" customFormat="false" ht="14.25" hidden="false" customHeight="true" outlineLevel="0" collapsed="false"/>
    <row r="212" customFormat="false" ht="14.25" hidden="false" customHeight="true" outlineLevel="0" collapsed="false"/>
    <row r="213" customFormat="false" ht="14.25" hidden="false" customHeight="true" outlineLevel="0" collapsed="false"/>
    <row r="214" customFormat="false" ht="14.25" hidden="false" customHeight="true" outlineLevel="0" collapsed="false"/>
    <row r="215" customFormat="false" ht="14.25" hidden="false" customHeight="true" outlineLevel="0" collapsed="false"/>
    <row r="216" customFormat="false" ht="14.25" hidden="false" customHeight="true" outlineLevel="0" collapsed="false"/>
    <row r="217" customFormat="false" ht="14.25" hidden="false" customHeight="true" outlineLevel="0" collapsed="false"/>
    <row r="218" customFormat="false" ht="14.25" hidden="false" customHeight="true" outlineLevel="0" collapsed="false"/>
    <row r="219" customFormat="false" ht="14.25" hidden="false" customHeight="true" outlineLevel="0" collapsed="false"/>
    <row r="220" customFormat="false" ht="14.25" hidden="false" customHeight="true" outlineLevel="0" collapsed="false"/>
    <row r="221" customFormat="false" ht="14.25" hidden="false" customHeight="true" outlineLevel="0" collapsed="false"/>
    <row r="222" customFormat="false" ht="14.25" hidden="false" customHeight="true" outlineLevel="0" collapsed="false"/>
    <row r="223" customFormat="false" ht="14.25" hidden="false" customHeight="true" outlineLevel="0" collapsed="false"/>
    <row r="224" customFormat="false" ht="14.25" hidden="false" customHeight="true" outlineLevel="0" collapsed="false"/>
    <row r="225" customFormat="false" ht="14.25" hidden="false" customHeight="true" outlineLevel="0" collapsed="false"/>
    <row r="226" customFormat="false" ht="14.25" hidden="false" customHeight="true" outlineLevel="0" collapsed="false"/>
    <row r="227" customFormat="false" ht="14.25" hidden="false" customHeight="true" outlineLevel="0" collapsed="false"/>
    <row r="228" customFormat="false" ht="14.25" hidden="false" customHeight="true" outlineLevel="0" collapsed="false"/>
    <row r="229" customFormat="false" ht="14.25" hidden="false" customHeight="true" outlineLevel="0" collapsed="false"/>
    <row r="230" customFormat="false" ht="14.25" hidden="false" customHeight="true" outlineLevel="0" collapsed="false"/>
    <row r="231" customFormat="false" ht="14.25" hidden="false" customHeight="true" outlineLevel="0" collapsed="false"/>
    <row r="232" customFormat="false" ht="14.25" hidden="false" customHeight="true" outlineLevel="0" collapsed="false"/>
    <row r="233" customFormat="false" ht="14.25" hidden="false" customHeight="true" outlineLevel="0" collapsed="false"/>
    <row r="234" customFormat="false" ht="14.25" hidden="false" customHeight="true" outlineLevel="0" collapsed="false"/>
    <row r="235" customFormat="false" ht="14.25" hidden="false" customHeight="true" outlineLevel="0" collapsed="false"/>
    <row r="236" customFormat="false" ht="14.25" hidden="false" customHeight="true" outlineLevel="0" collapsed="false"/>
    <row r="237" customFormat="false" ht="14.25" hidden="false" customHeight="true" outlineLevel="0" collapsed="false"/>
    <row r="238" customFormat="false" ht="14.25" hidden="false" customHeight="true" outlineLevel="0" collapsed="false"/>
    <row r="239" customFormat="false" ht="14.25" hidden="false" customHeight="true" outlineLevel="0" collapsed="false"/>
    <row r="240" customFormat="false" ht="14.25" hidden="false" customHeight="true" outlineLevel="0" collapsed="false"/>
    <row r="241" customFormat="false" ht="14.25" hidden="false" customHeight="true" outlineLevel="0" collapsed="false"/>
    <row r="242" customFormat="false" ht="14.25" hidden="false" customHeight="true" outlineLevel="0" collapsed="false"/>
    <row r="243" customFormat="false" ht="14.25" hidden="false" customHeight="true" outlineLevel="0" collapsed="false"/>
    <row r="244" customFormat="false" ht="14.25" hidden="false" customHeight="true" outlineLevel="0" collapsed="false"/>
    <row r="245" customFormat="false" ht="14.25" hidden="false" customHeight="true" outlineLevel="0" collapsed="false"/>
    <row r="246" customFormat="false" ht="14.25" hidden="false" customHeight="true" outlineLevel="0" collapsed="false"/>
    <row r="247" customFormat="false" ht="14.25" hidden="false" customHeight="true" outlineLevel="0" collapsed="false"/>
    <row r="248" customFormat="false" ht="14.25" hidden="false" customHeight="true" outlineLevel="0" collapsed="false"/>
    <row r="249" customFormat="false" ht="14.25" hidden="false" customHeight="true" outlineLevel="0" collapsed="false"/>
    <row r="250" customFormat="false" ht="14.25" hidden="false" customHeight="true" outlineLevel="0" collapsed="false"/>
    <row r="251" customFormat="false" ht="14.25" hidden="false" customHeight="true" outlineLevel="0" collapsed="false"/>
    <row r="252" customFormat="false" ht="14.25" hidden="false" customHeight="true" outlineLevel="0" collapsed="false"/>
    <row r="253" customFormat="false" ht="14.25" hidden="false" customHeight="true" outlineLevel="0" collapsed="false"/>
    <row r="254" customFormat="false" ht="14.25" hidden="false" customHeight="true" outlineLevel="0" collapsed="false"/>
    <row r="255" customFormat="false" ht="14.25" hidden="false" customHeight="true" outlineLevel="0" collapsed="false"/>
    <row r="256" customFormat="false" ht="14.25" hidden="false" customHeight="true" outlineLevel="0" collapsed="false"/>
    <row r="257" customFormat="false" ht="14.25" hidden="false" customHeight="true" outlineLevel="0" collapsed="false"/>
    <row r="258" customFormat="false" ht="14.25" hidden="false" customHeight="true" outlineLevel="0" collapsed="false"/>
    <row r="259" customFormat="false" ht="14.25" hidden="false" customHeight="true" outlineLevel="0" collapsed="false"/>
    <row r="260" customFormat="false" ht="14.25" hidden="false" customHeight="true" outlineLevel="0" collapsed="false"/>
    <row r="261" customFormat="false" ht="14.25" hidden="false" customHeight="true" outlineLevel="0" collapsed="false"/>
    <row r="262" customFormat="false" ht="14.25" hidden="false" customHeight="true" outlineLevel="0" collapsed="false"/>
    <row r="263" customFormat="false" ht="14.25" hidden="false" customHeight="true" outlineLevel="0" collapsed="false"/>
    <row r="264" customFormat="false" ht="14.25" hidden="false" customHeight="true" outlineLevel="0" collapsed="false"/>
    <row r="265" customFormat="false" ht="14.25" hidden="false" customHeight="true" outlineLevel="0" collapsed="false"/>
    <row r="266" customFormat="false" ht="14.25" hidden="false" customHeight="true" outlineLevel="0" collapsed="false"/>
    <row r="267" customFormat="false" ht="14.25" hidden="false" customHeight="true" outlineLevel="0" collapsed="false"/>
    <row r="268" customFormat="false" ht="14.25" hidden="false" customHeight="true" outlineLevel="0" collapsed="false"/>
    <row r="269" customFormat="false" ht="14.25" hidden="false" customHeight="true" outlineLevel="0" collapsed="false"/>
    <row r="270" customFormat="false" ht="14.25" hidden="false" customHeight="true" outlineLevel="0" collapsed="false"/>
    <row r="271" customFormat="false" ht="14.25" hidden="false" customHeight="true" outlineLevel="0" collapsed="false"/>
    <row r="272" customFormat="false" ht="14.25" hidden="false" customHeight="true" outlineLevel="0" collapsed="false"/>
    <row r="273" customFormat="false" ht="14.25" hidden="false" customHeight="true" outlineLevel="0" collapsed="false"/>
    <row r="274" customFormat="false" ht="14.25" hidden="false" customHeight="true" outlineLevel="0" collapsed="false"/>
    <row r="275" customFormat="false" ht="14.25" hidden="false" customHeight="true" outlineLevel="0" collapsed="false"/>
    <row r="276" customFormat="false" ht="14.25" hidden="false" customHeight="true" outlineLevel="0" collapsed="false"/>
    <row r="277" customFormat="false" ht="14.25" hidden="false" customHeight="true" outlineLevel="0" collapsed="false"/>
    <row r="278" customFormat="false" ht="14.25" hidden="false" customHeight="true" outlineLevel="0" collapsed="false"/>
    <row r="279" customFormat="false" ht="14.25" hidden="false" customHeight="true" outlineLevel="0" collapsed="false"/>
    <row r="280" customFormat="false" ht="14.25" hidden="false" customHeight="true" outlineLevel="0" collapsed="false"/>
    <row r="281" customFormat="false" ht="14.25" hidden="false" customHeight="true" outlineLevel="0" collapsed="false"/>
    <row r="282" customFormat="false" ht="14.25" hidden="false" customHeight="true" outlineLevel="0" collapsed="false"/>
    <row r="283" customFormat="false" ht="14.25" hidden="false" customHeight="true" outlineLevel="0" collapsed="false"/>
    <row r="284" customFormat="false" ht="14.25" hidden="false" customHeight="true" outlineLevel="0" collapsed="false"/>
    <row r="285" customFormat="false" ht="14.25" hidden="false" customHeight="true" outlineLevel="0" collapsed="false"/>
    <row r="286" customFormat="false" ht="14.25" hidden="false" customHeight="true" outlineLevel="0" collapsed="false"/>
    <row r="287" customFormat="false" ht="14.25" hidden="false" customHeight="true" outlineLevel="0" collapsed="false"/>
    <row r="288" customFormat="false" ht="14.25" hidden="false" customHeight="true" outlineLevel="0" collapsed="false"/>
    <row r="289" customFormat="false" ht="14.25" hidden="false" customHeight="true" outlineLevel="0" collapsed="false"/>
    <row r="290" customFormat="false" ht="14.25" hidden="false" customHeight="true" outlineLevel="0" collapsed="false"/>
    <row r="291" customFormat="false" ht="14.25" hidden="false" customHeight="true" outlineLevel="0" collapsed="false"/>
    <row r="292" customFormat="false" ht="14.25" hidden="false" customHeight="true" outlineLevel="0" collapsed="false"/>
    <row r="293" customFormat="false" ht="14.25" hidden="false" customHeight="true" outlineLevel="0" collapsed="false"/>
    <row r="294" customFormat="false" ht="14.25" hidden="false" customHeight="true" outlineLevel="0" collapsed="false"/>
    <row r="295" customFormat="false" ht="14.25" hidden="false" customHeight="true" outlineLevel="0" collapsed="false"/>
    <row r="296" customFormat="false" ht="14.25" hidden="false" customHeight="true" outlineLevel="0" collapsed="false"/>
    <row r="297" customFormat="false" ht="14.25" hidden="false" customHeight="true" outlineLevel="0" collapsed="false"/>
    <row r="298" customFormat="false" ht="14.25" hidden="false" customHeight="true" outlineLevel="0" collapsed="false"/>
    <row r="299" customFormat="false" ht="14.25" hidden="false" customHeight="true" outlineLevel="0" collapsed="false"/>
    <row r="300" customFormat="false" ht="14.25" hidden="false" customHeight="true" outlineLevel="0" collapsed="false"/>
    <row r="301" customFormat="false" ht="14.25" hidden="false" customHeight="true" outlineLevel="0" collapsed="false"/>
    <row r="302" customFormat="false" ht="14.25" hidden="false" customHeight="true" outlineLevel="0" collapsed="false"/>
    <row r="303" customFormat="false" ht="14.25" hidden="false" customHeight="true" outlineLevel="0" collapsed="false"/>
    <row r="304" customFormat="false" ht="14.25" hidden="false" customHeight="true" outlineLevel="0" collapsed="false"/>
    <row r="305" customFormat="false" ht="14.25" hidden="false" customHeight="true" outlineLevel="0" collapsed="false"/>
    <row r="306" customFormat="false" ht="14.25" hidden="false" customHeight="true" outlineLevel="0" collapsed="false"/>
    <row r="307" customFormat="false" ht="14.25" hidden="false" customHeight="true" outlineLevel="0" collapsed="false"/>
    <row r="308" customFormat="false" ht="14.25" hidden="false" customHeight="true" outlineLevel="0" collapsed="false"/>
    <row r="309" customFormat="false" ht="14.25" hidden="false" customHeight="true" outlineLevel="0" collapsed="false"/>
    <row r="310" customFormat="false" ht="14.25" hidden="false" customHeight="true" outlineLevel="0" collapsed="false"/>
    <row r="311" customFormat="false" ht="14.25" hidden="false" customHeight="true" outlineLevel="0" collapsed="false"/>
    <row r="312" customFormat="false" ht="14.25" hidden="false" customHeight="true" outlineLevel="0" collapsed="false"/>
    <row r="313" customFormat="false" ht="14.25" hidden="false" customHeight="true" outlineLevel="0" collapsed="false"/>
    <row r="314" customFormat="false" ht="14.25" hidden="false" customHeight="true" outlineLevel="0" collapsed="false"/>
    <row r="315" customFormat="false" ht="14.25" hidden="false" customHeight="true" outlineLevel="0" collapsed="false"/>
    <row r="316" customFormat="false" ht="14.25" hidden="false" customHeight="true" outlineLevel="0" collapsed="false"/>
    <row r="317" customFormat="false" ht="14.25" hidden="false" customHeight="true" outlineLevel="0" collapsed="false"/>
    <row r="318" customFormat="false" ht="14.25" hidden="false" customHeight="true" outlineLevel="0" collapsed="false"/>
    <row r="319" customFormat="false" ht="14.25" hidden="false" customHeight="true" outlineLevel="0" collapsed="false"/>
    <row r="320" customFormat="false" ht="14.25" hidden="false" customHeight="true" outlineLevel="0" collapsed="false"/>
    <row r="321" customFormat="false" ht="14.25" hidden="false" customHeight="true" outlineLevel="0" collapsed="false"/>
    <row r="322" customFormat="false" ht="14.25" hidden="false" customHeight="true" outlineLevel="0" collapsed="false"/>
    <row r="323" customFormat="false" ht="14.25" hidden="false" customHeight="true" outlineLevel="0" collapsed="false"/>
    <row r="324" customFormat="false" ht="14.25" hidden="false" customHeight="true" outlineLevel="0" collapsed="false"/>
    <row r="325" customFormat="false" ht="14.25" hidden="false" customHeight="true" outlineLevel="0" collapsed="false"/>
    <row r="326" customFormat="false" ht="14.25" hidden="false" customHeight="true" outlineLevel="0" collapsed="false"/>
    <row r="327" customFormat="false" ht="14.25" hidden="false" customHeight="true" outlineLevel="0" collapsed="false"/>
    <row r="328" customFormat="false" ht="14.25" hidden="false" customHeight="true" outlineLevel="0" collapsed="false"/>
    <row r="329" customFormat="false" ht="14.25" hidden="false" customHeight="true" outlineLevel="0" collapsed="false"/>
    <row r="330" customFormat="false" ht="14.25" hidden="false" customHeight="true" outlineLevel="0" collapsed="false"/>
    <row r="331" customFormat="false" ht="14.25" hidden="false" customHeight="true" outlineLevel="0" collapsed="false"/>
    <row r="332" customFormat="false" ht="14.25" hidden="false" customHeight="true" outlineLevel="0" collapsed="false"/>
    <row r="333" customFormat="false" ht="14.25" hidden="false" customHeight="true" outlineLevel="0" collapsed="false"/>
    <row r="334" customFormat="false" ht="14.25" hidden="false" customHeight="true" outlineLevel="0" collapsed="false"/>
    <row r="335" customFormat="false" ht="14.25" hidden="false" customHeight="true" outlineLevel="0" collapsed="false"/>
    <row r="336" customFormat="false" ht="14.25" hidden="false" customHeight="true" outlineLevel="0" collapsed="false"/>
    <row r="337" customFormat="false" ht="14.25" hidden="false" customHeight="true" outlineLevel="0" collapsed="false"/>
    <row r="338" customFormat="false" ht="14.25" hidden="false" customHeight="true" outlineLevel="0" collapsed="false"/>
    <row r="339" customFormat="false" ht="14.25" hidden="false" customHeight="true" outlineLevel="0" collapsed="false"/>
    <row r="340" customFormat="false" ht="14.25" hidden="false" customHeight="true" outlineLevel="0" collapsed="false"/>
    <row r="341" customFormat="false" ht="14.25" hidden="false" customHeight="true" outlineLevel="0" collapsed="false"/>
    <row r="342" customFormat="false" ht="14.25" hidden="false" customHeight="true" outlineLevel="0" collapsed="false"/>
    <row r="343" customFormat="false" ht="14.25" hidden="false" customHeight="true" outlineLevel="0" collapsed="false"/>
    <row r="344" customFormat="false" ht="14.25" hidden="false" customHeight="true" outlineLevel="0" collapsed="false"/>
    <row r="345" customFormat="false" ht="14.25" hidden="false" customHeight="true" outlineLevel="0" collapsed="false"/>
    <row r="346" customFormat="false" ht="14.25" hidden="false" customHeight="true" outlineLevel="0" collapsed="false"/>
    <row r="347" customFormat="false" ht="14.25" hidden="false" customHeight="true" outlineLevel="0" collapsed="false"/>
    <row r="348" customFormat="false" ht="14.25" hidden="false" customHeight="true" outlineLevel="0" collapsed="false"/>
    <row r="349" customFormat="false" ht="14.25" hidden="false" customHeight="true" outlineLevel="0" collapsed="false"/>
    <row r="350" customFormat="false" ht="14.25" hidden="false" customHeight="true" outlineLevel="0" collapsed="false"/>
    <row r="351" customFormat="false" ht="14.25" hidden="false" customHeight="true" outlineLevel="0" collapsed="false"/>
    <row r="352" customFormat="false" ht="14.25" hidden="false" customHeight="true" outlineLevel="0" collapsed="false"/>
    <row r="353" customFormat="false" ht="14.25" hidden="false" customHeight="true" outlineLevel="0" collapsed="false"/>
    <row r="354" customFormat="false" ht="14.25" hidden="false" customHeight="true" outlineLevel="0" collapsed="false"/>
    <row r="355" customFormat="false" ht="14.25" hidden="false" customHeight="true" outlineLevel="0" collapsed="false"/>
    <row r="356" customFormat="false" ht="14.25" hidden="false" customHeight="true" outlineLevel="0" collapsed="false"/>
    <row r="357" customFormat="false" ht="14.25" hidden="false" customHeight="true" outlineLevel="0" collapsed="false"/>
    <row r="358" customFormat="false" ht="14.25" hidden="false" customHeight="true" outlineLevel="0" collapsed="false"/>
    <row r="359" customFormat="false" ht="14.25" hidden="false" customHeight="true" outlineLevel="0" collapsed="false"/>
    <row r="360" customFormat="false" ht="14.25" hidden="false" customHeight="true" outlineLevel="0" collapsed="false"/>
    <row r="361" customFormat="false" ht="14.25" hidden="false" customHeight="true" outlineLevel="0" collapsed="false"/>
    <row r="362" customFormat="false" ht="14.25" hidden="false" customHeight="true" outlineLevel="0" collapsed="false"/>
    <row r="363" customFormat="false" ht="14.25" hidden="false" customHeight="true" outlineLevel="0" collapsed="false"/>
    <row r="364" customFormat="false" ht="14.25" hidden="false" customHeight="true" outlineLevel="0" collapsed="false"/>
    <row r="365" customFormat="false" ht="14.25" hidden="false" customHeight="true" outlineLevel="0" collapsed="false"/>
    <row r="366" customFormat="false" ht="14.25" hidden="false" customHeight="true" outlineLevel="0" collapsed="false"/>
    <row r="367" customFormat="false" ht="14.25" hidden="false" customHeight="true" outlineLevel="0" collapsed="false"/>
    <row r="368" customFormat="false" ht="14.25" hidden="false" customHeight="true" outlineLevel="0" collapsed="false"/>
    <row r="369" customFormat="false" ht="14.25" hidden="false" customHeight="true" outlineLevel="0" collapsed="false"/>
    <row r="370" customFormat="false" ht="14.25" hidden="false" customHeight="true" outlineLevel="0" collapsed="false"/>
    <row r="371" customFormat="false" ht="14.25" hidden="false" customHeight="true" outlineLevel="0" collapsed="false"/>
    <row r="372" customFormat="false" ht="14.25" hidden="false" customHeight="true" outlineLevel="0" collapsed="false"/>
    <row r="373" customFormat="false" ht="14.25" hidden="false" customHeight="true" outlineLevel="0" collapsed="false"/>
    <row r="374" customFormat="false" ht="14.25" hidden="false" customHeight="true" outlineLevel="0" collapsed="false"/>
    <row r="375" customFormat="false" ht="14.25" hidden="false" customHeight="true" outlineLevel="0" collapsed="false"/>
    <row r="376" customFormat="false" ht="14.25" hidden="false" customHeight="true" outlineLevel="0" collapsed="false"/>
    <row r="377" customFormat="false" ht="14.25" hidden="false" customHeight="true" outlineLevel="0" collapsed="false"/>
    <row r="378" customFormat="false" ht="14.25" hidden="false" customHeight="true" outlineLevel="0" collapsed="false"/>
    <row r="379" customFormat="false" ht="14.25" hidden="false" customHeight="true" outlineLevel="0" collapsed="false"/>
    <row r="380" customFormat="false" ht="14.25" hidden="false" customHeight="true" outlineLevel="0" collapsed="false"/>
    <row r="381" customFormat="false" ht="14.25" hidden="false" customHeight="true" outlineLevel="0" collapsed="false"/>
    <row r="382" customFormat="false" ht="14.25" hidden="false" customHeight="true" outlineLevel="0" collapsed="false"/>
    <row r="383" customFormat="false" ht="14.25" hidden="false" customHeight="true" outlineLevel="0" collapsed="false"/>
    <row r="384" customFormat="false" ht="14.25" hidden="false" customHeight="true" outlineLevel="0" collapsed="false"/>
    <row r="385" customFormat="false" ht="14.25" hidden="false" customHeight="true" outlineLevel="0" collapsed="false"/>
    <row r="386" customFormat="false" ht="14.25" hidden="false" customHeight="true" outlineLevel="0" collapsed="false"/>
    <row r="387" customFormat="false" ht="14.25" hidden="false" customHeight="true" outlineLevel="0" collapsed="false"/>
    <row r="388" customFormat="false" ht="14.25" hidden="false" customHeight="true" outlineLevel="0" collapsed="false"/>
    <row r="389" customFormat="false" ht="14.25" hidden="false" customHeight="true" outlineLevel="0" collapsed="false"/>
    <row r="390" customFormat="false" ht="14.25" hidden="false" customHeight="true" outlineLevel="0" collapsed="false"/>
    <row r="391" customFormat="false" ht="14.25" hidden="false" customHeight="true" outlineLevel="0" collapsed="false"/>
    <row r="392" customFormat="false" ht="14.25" hidden="false" customHeight="true" outlineLevel="0" collapsed="false"/>
    <row r="393" customFormat="false" ht="14.25" hidden="false" customHeight="true" outlineLevel="0" collapsed="false"/>
    <row r="394" customFormat="false" ht="14.25" hidden="false" customHeight="true" outlineLevel="0" collapsed="false"/>
    <row r="395" customFormat="false" ht="14.25" hidden="false" customHeight="true" outlineLevel="0" collapsed="false"/>
    <row r="396" customFormat="false" ht="14.25" hidden="false" customHeight="true" outlineLevel="0" collapsed="false"/>
    <row r="397" customFormat="false" ht="14.25" hidden="false" customHeight="true" outlineLevel="0" collapsed="false"/>
    <row r="398" customFormat="false" ht="14.25" hidden="false" customHeight="true" outlineLevel="0" collapsed="false"/>
    <row r="399" customFormat="false" ht="14.25" hidden="false" customHeight="true" outlineLevel="0" collapsed="false"/>
    <row r="400" customFormat="false" ht="14.25" hidden="false" customHeight="true" outlineLevel="0" collapsed="false"/>
    <row r="401" customFormat="false" ht="14.25" hidden="false" customHeight="true" outlineLevel="0" collapsed="false"/>
    <row r="402" customFormat="false" ht="14.25" hidden="false" customHeight="true" outlineLevel="0" collapsed="false"/>
    <row r="403" customFormat="false" ht="14.25" hidden="false" customHeight="true" outlineLevel="0" collapsed="false"/>
    <row r="404" customFormat="false" ht="14.25" hidden="false" customHeight="true" outlineLevel="0" collapsed="false"/>
    <row r="405" customFormat="false" ht="14.25" hidden="false" customHeight="true" outlineLevel="0" collapsed="false"/>
    <row r="406" customFormat="false" ht="14.25" hidden="false" customHeight="true" outlineLevel="0" collapsed="false"/>
    <row r="407" customFormat="false" ht="14.25" hidden="false" customHeight="true" outlineLevel="0" collapsed="false"/>
    <row r="408" customFormat="false" ht="14.25" hidden="false" customHeight="true" outlineLevel="0" collapsed="false"/>
    <row r="409" customFormat="false" ht="14.25" hidden="false" customHeight="true" outlineLevel="0" collapsed="false"/>
    <row r="410" customFormat="false" ht="14.25" hidden="false" customHeight="true" outlineLevel="0" collapsed="false"/>
    <row r="411" customFormat="false" ht="14.25" hidden="false" customHeight="true" outlineLevel="0" collapsed="false"/>
    <row r="412" customFormat="false" ht="14.25" hidden="false" customHeight="true" outlineLevel="0" collapsed="false"/>
    <row r="413" customFormat="false" ht="14.25" hidden="false" customHeight="true" outlineLevel="0" collapsed="false"/>
    <row r="414" customFormat="false" ht="14.25" hidden="false" customHeight="true" outlineLevel="0" collapsed="false"/>
    <row r="415" customFormat="false" ht="14.25" hidden="false" customHeight="true" outlineLevel="0" collapsed="false"/>
    <row r="416" customFormat="false" ht="14.25" hidden="false" customHeight="true" outlineLevel="0" collapsed="false"/>
    <row r="417" customFormat="false" ht="14.25" hidden="false" customHeight="true" outlineLevel="0" collapsed="false"/>
    <row r="418" customFormat="false" ht="14.25" hidden="false" customHeight="true" outlineLevel="0" collapsed="false"/>
    <row r="419" customFormat="false" ht="14.25" hidden="false" customHeight="true" outlineLevel="0" collapsed="false"/>
    <row r="420" customFormat="false" ht="14.25" hidden="false" customHeight="true" outlineLevel="0" collapsed="false"/>
    <row r="421" customFormat="false" ht="14.25" hidden="false" customHeight="true" outlineLevel="0" collapsed="false"/>
    <row r="422" customFormat="false" ht="14.25" hidden="false" customHeight="true" outlineLevel="0" collapsed="false"/>
    <row r="423" customFormat="false" ht="14.25" hidden="false" customHeight="true" outlineLevel="0" collapsed="false"/>
    <row r="424" customFormat="false" ht="14.25" hidden="false" customHeight="true" outlineLevel="0" collapsed="false"/>
    <row r="425" customFormat="false" ht="14.25" hidden="false" customHeight="true" outlineLevel="0" collapsed="false"/>
    <row r="426" customFormat="false" ht="14.25" hidden="false" customHeight="true" outlineLevel="0" collapsed="false"/>
    <row r="427" customFormat="false" ht="14.25" hidden="false" customHeight="true" outlineLevel="0" collapsed="false"/>
    <row r="428" customFormat="false" ht="14.25" hidden="false" customHeight="true" outlineLevel="0" collapsed="false"/>
    <row r="429" customFormat="false" ht="14.25" hidden="false" customHeight="true" outlineLevel="0" collapsed="false"/>
    <row r="430" customFormat="false" ht="14.25" hidden="false" customHeight="true" outlineLevel="0" collapsed="false"/>
    <row r="431" customFormat="false" ht="14.25" hidden="false" customHeight="true" outlineLevel="0" collapsed="false"/>
    <row r="432" customFormat="false" ht="14.25" hidden="false" customHeight="true" outlineLevel="0" collapsed="false"/>
    <row r="433" customFormat="false" ht="14.25" hidden="false" customHeight="true" outlineLevel="0" collapsed="false"/>
    <row r="434" customFormat="false" ht="14.25" hidden="false" customHeight="true" outlineLevel="0" collapsed="false"/>
    <row r="435" customFormat="false" ht="14.25" hidden="false" customHeight="true" outlineLevel="0" collapsed="false"/>
    <row r="436" customFormat="false" ht="14.25" hidden="false" customHeight="true" outlineLevel="0" collapsed="false"/>
    <row r="437" customFormat="false" ht="14.25" hidden="false" customHeight="true" outlineLevel="0" collapsed="false"/>
    <row r="438" customFormat="false" ht="14.25" hidden="false" customHeight="true" outlineLevel="0" collapsed="false"/>
    <row r="439" customFormat="false" ht="14.25" hidden="false" customHeight="true" outlineLevel="0" collapsed="false"/>
    <row r="440" customFormat="false" ht="14.25" hidden="false" customHeight="true" outlineLevel="0" collapsed="false"/>
    <row r="441" customFormat="false" ht="14.25" hidden="false" customHeight="true" outlineLevel="0" collapsed="false"/>
    <row r="442" customFormat="false" ht="14.25" hidden="false" customHeight="true" outlineLevel="0" collapsed="false"/>
    <row r="443" customFormat="false" ht="14.25" hidden="false" customHeight="true" outlineLevel="0" collapsed="false"/>
    <row r="444" customFormat="false" ht="14.25" hidden="false" customHeight="true" outlineLevel="0" collapsed="false"/>
    <row r="445" customFormat="false" ht="14.25" hidden="false" customHeight="true" outlineLevel="0" collapsed="false"/>
    <row r="446" customFormat="false" ht="14.25" hidden="false" customHeight="true" outlineLevel="0" collapsed="false"/>
    <row r="447" customFormat="false" ht="14.25" hidden="false" customHeight="true" outlineLevel="0" collapsed="false"/>
    <row r="448" customFormat="false" ht="14.25" hidden="false" customHeight="true" outlineLevel="0" collapsed="false"/>
    <row r="449" customFormat="false" ht="14.25" hidden="false" customHeight="true" outlineLevel="0" collapsed="false"/>
    <row r="450" customFormat="false" ht="14.25" hidden="false" customHeight="true" outlineLevel="0" collapsed="false"/>
    <row r="451" customFormat="false" ht="14.25" hidden="false" customHeight="true" outlineLevel="0" collapsed="false"/>
    <row r="452" customFormat="false" ht="14.25" hidden="false" customHeight="true" outlineLevel="0" collapsed="false"/>
    <row r="453" customFormat="false" ht="14.25" hidden="false" customHeight="true" outlineLevel="0" collapsed="false"/>
    <row r="454" customFormat="false" ht="14.25" hidden="false" customHeight="true" outlineLevel="0" collapsed="false"/>
    <row r="455" customFormat="false" ht="14.25" hidden="false" customHeight="true" outlineLevel="0" collapsed="false"/>
    <row r="456" customFormat="false" ht="14.25" hidden="false" customHeight="true" outlineLevel="0" collapsed="false"/>
    <row r="457" customFormat="false" ht="14.25" hidden="false" customHeight="true" outlineLevel="0" collapsed="false"/>
    <row r="458" customFormat="false" ht="14.25" hidden="false" customHeight="true" outlineLevel="0" collapsed="false"/>
    <row r="459" customFormat="false" ht="14.25" hidden="false" customHeight="true" outlineLevel="0" collapsed="false"/>
    <row r="460" customFormat="false" ht="14.25" hidden="false" customHeight="true" outlineLevel="0" collapsed="false"/>
    <row r="461" customFormat="false" ht="14.25" hidden="false" customHeight="true" outlineLevel="0" collapsed="false"/>
    <row r="462" customFormat="false" ht="14.25" hidden="false" customHeight="true" outlineLevel="0" collapsed="false"/>
    <row r="463" customFormat="false" ht="14.25" hidden="false" customHeight="true" outlineLevel="0" collapsed="false"/>
    <row r="464" customFormat="false" ht="14.25" hidden="false" customHeight="true" outlineLevel="0" collapsed="false"/>
    <row r="465" customFormat="false" ht="14.25" hidden="false" customHeight="true" outlineLevel="0" collapsed="false"/>
    <row r="466" customFormat="false" ht="14.25" hidden="false" customHeight="true" outlineLevel="0" collapsed="false"/>
    <row r="467" customFormat="false" ht="14.25" hidden="false" customHeight="true" outlineLevel="0" collapsed="false"/>
    <row r="468" customFormat="false" ht="14.25" hidden="false" customHeight="true" outlineLevel="0" collapsed="false"/>
    <row r="469" customFormat="false" ht="14.25" hidden="false" customHeight="true" outlineLevel="0" collapsed="false"/>
    <row r="470" customFormat="false" ht="14.25" hidden="false" customHeight="true" outlineLevel="0" collapsed="false"/>
    <row r="471" customFormat="false" ht="14.25" hidden="false" customHeight="true" outlineLevel="0" collapsed="false"/>
    <row r="472" customFormat="false" ht="14.25" hidden="false" customHeight="true" outlineLevel="0" collapsed="false"/>
    <row r="473" customFormat="false" ht="14.25" hidden="false" customHeight="true" outlineLevel="0" collapsed="false"/>
    <row r="474" customFormat="false" ht="14.25" hidden="false" customHeight="true" outlineLevel="0" collapsed="false"/>
    <row r="475" customFormat="false" ht="14.25" hidden="false" customHeight="true" outlineLevel="0" collapsed="false"/>
    <row r="476" customFormat="false" ht="14.25" hidden="false" customHeight="true" outlineLevel="0" collapsed="false"/>
    <row r="477" customFormat="false" ht="14.25" hidden="false" customHeight="true" outlineLevel="0" collapsed="false"/>
    <row r="478" customFormat="false" ht="14.25" hidden="false" customHeight="true" outlineLevel="0" collapsed="false"/>
    <row r="479" customFormat="false" ht="14.25" hidden="false" customHeight="true" outlineLevel="0" collapsed="false"/>
    <row r="480" customFormat="false" ht="14.25" hidden="false" customHeight="true" outlineLevel="0" collapsed="false"/>
    <row r="481" customFormat="false" ht="14.25" hidden="false" customHeight="true" outlineLevel="0" collapsed="false"/>
    <row r="482" customFormat="false" ht="14.25" hidden="false" customHeight="true" outlineLevel="0" collapsed="false"/>
    <row r="483" customFormat="false" ht="14.25" hidden="false" customHeight="true" outlineLevel="0" collapsed="false"/>
    <row r="484" customFormat="false" ht="14.25" hidden="false" customHeight="true" outlineLevel="0" collapsed="false"/>
    <row r="485" customFormat="false" ht="14.25" hidden="false" customHeight="true" outlineLevel="0" collapsed="false"/>
    <row r="486" customFormat="false" ht="14.25" hidden="false" customHeight="true" outlineLevel="0" collapsed="false"/>
    <row r="487" customFormat="false" ht="14.25" hidden="false" customHeight="true" outlineLevel="0" collapsed="false"/>
    <row r="488" customFormat="false" ht="14.25" hidden="false" customHeight="true" outlineLevel="0" collapsed="false"/>
    <row r="489" customFormat="false" ht="14.25" hidden="false" customHeight="true" outlineLevel="0" collapsed="false"/>
    <row r="490" customFormat="false" ht="14.25" hidden="false" customHeight="true" outlineLevel="0" collapsed="false"/>
    <row r="491" customFormat="false" ht="14.25" hidden="false" customHeight="true" outlineLevel="0" collapsed="false"/>
    <row r="492" customFormat="false" ht="14.25" hidden="false" customHeight="true" outlineLevel="0" collapsed="false"/>
    <row r="493" customFormat="false" ht="14.25" hidden="false" customHeight="true" outlineLevel="0" collapsed="false"/>
    <row r="494" customFormat="false" ht="14.25" hidden="false" customHeight="true" outlineLevel="0" collapsed="false"/>
    <row r="495" customFormat="false" ht="14.25" hidden="false" customHeight="true" outlineLevel="0" collapsed="false"/>
    <row r="496" customFormat="false" ht="14.25" hidden="false" customHeight="true" outlineLevel="0" collapsed="false"/>
    <row r="497" customFormat="false" ht="14.25" hidden="false" customHeight="true" outlineLevel="0" collapsed="false"/>
    <row r="498" customFormat="false" ht="14.25" hidden="false" customHeight="true" outlineLevel="0" collapsed="false"/>
    <row r="499" customFormat="false" ht="14.25" hidden="false" customHeight="true" outlineLevel="0" collapsed="false"/>
    <row r="500" customFormat="false" ht="14.25" hidden="false" customHeight="true" outlineLevel="0" collapsed="false"/>
    <row r="501" customFormat="false" ht="14.25" hidden="false" customHeight="true" outlineLevel="0" collapsed="false"/>
    <row r="502" customFormat="false" ht="14.25" hidden="false" customHeight="true" outlineLevel="0" collapsed="false"/>
    <row r="503" customFormat="false" ht="14.25" hidden="false" customHeight="true" outlineLevel="0" collapsed="false"/>
    <row r="504" customFormat="false" ht="14.25" hidden="false" customHeight="true" outlineLevel="0" collapsed="false"/>
    <row r="505" customFormat="false" ht="14.25" hidden="false" customHeight="true" outlineLevel="0" collapsed="false"/>
    <row r="506" customFormat="false" ht="14.25" hidden="false" customHeight="true" outlineLevel="0" collapsed="false"/>
    <row r="507" customFormat="false" ht="14.25" hidden="false" customHeight="true" outlineLevel="0" collapsed="false"/>
    <row r="508" customFormat="false" ht="14.25" hidden="false" customHeight="true" outlineLevel="0" collapsed="false"/>
    <row r="509" customFormat="false" ht="14.25" hidden="false" customHeight="true" outlineLevel="0" collapsed="false"/>
    <row r="510" customFormat="false" ht="14.25" hidden="false" customHeight="true" outlineLevel="0" collapsed="false"/>
    <row r="511" customFormat="false" ht="14.25" hidden="false" customHeight="true" outlineLevel="0" collapsed="false"/>
    <row r="512" customFormat="false" ht="14.25" hidden="false" customHeight="true" outlineLevel="0" collapsed="false"/>
    <row r="513" customFormat="false" ht="14.25" hidden="false" customHeight="true" outlineLevel="0" collapsed="false"/>
    <row r="514" customFormat="false" ht="14.25" hidden="false" customHeight="true" outlineLevel="0" collapsed="false"/>
    <row r="515" customFormat="false" ht="14.25" hidden="false" customHeight="true" outlineLevel="0" collapsed="false"/>
    <row r="516" customFormat="false" ht="14.25" hidden="false" customHeight="true" outlineLevel="0" collapsed="false"/>
    <row r="517" customFormat="false" ht="14.25" hidden="false" customHeight="true" outlineLevel="0" collapsed="false"/>
    <row r="518" customFormat="false" ht="14.25" hidden="false" customHeight="true" outlineLevel="0" collapsed="false"/>
    <row r="519" customFormat="false" ht="14.25" hidden="false" customHeight="true" outlineLevel="0" collapsed="false"/>
    <row r="520" customFormat="false" ht="14.25" hidden="false" customHeight="true" outlineLevel="0" collapsed="false"/>
    <row r="521" customFormat="false" ht="14.25" hidden="false" customHeight="true" outlineLevel="0" collapsed="false"/>
    <row r="522" customFormat="false" ht="14.25" hidden="false" customHeight="true" outlineLevel="0" collapsed="false"/>
    <row r="523" customFormat="false" ht="14.25" hidden="false" customHeight="true" outlineLevel="0" collapsed="false"/>
    <row r="524" customFormat="false" ht="14.25" hidden="false" customHeight="true" outlineLevel="0" collapsed="false"/>
    <row r="525" customFormat="false" ht="14.25" hidden="false" customHeight="true" outlineLevel="0" collapsed="false"/>
    <row r="526" customFormat="false" ht="14.25" hidden="false" customHeight="true" outlineLevel="0" collapsed="false"/>
    <row r="527" customFormat="false" ht="14.25" hidden="false" customHeight="true" outlineLevel="0" collapsed="false"/>
    <row r="528" customFormat="false" ht="14.25" hidden="false" customHeight="true" outlineLevel="0" collapsed="false"/>
    <row r="529" customFormat="false" ht="14.25" hidden="false" customHeight="true" outlineLevel="0" collapsed="false"/>
    <row r="530" customFormat="false" ht="14.25" hidden="false" customHeight="true" outlineLevel="0" collapsed="false"/>
    <row r="531" customFormat="false" ht="14.25" hidden="false" customHeight="true" outlineLevel="0" collapsed="false"/>
    <row r="532" customFormat="false" ht="14.25" hidden="false" customHeight="true" outlineLevel="0" collapsed="false"/>
    <row r="533" customFormat="false" ht="14.25" hidden="false" customHeight="true" outlineLevel="0" collapsed="false"/>
    <row r="534" customFormat="false" ht="14.25" hidden="false" customHeight="true" outlineLevel="0" collapsed="false"/>
    <row r="535" customFormat="false" ht="14.25" hidden="false" customHeight="true" outlineLevel="0" collapsed="false"/>
    <row r="536" customFormat="false" ht="14.25" hidden="false" customHeight="true" outlineLevel="0" collapsed="false"/>
    <row r="537" customFormat="false" ht="14.25" hidden="false" customHeight="true" outlineLevel="0" collapsed="false"/>
    <row r="538" customFormat="false" ht="14.25" hidden="false" customHeight="true" outlineLevel="0" collapsed="false"/>
    <row r="539" customFormat="false" ht="14.25" hidden="false" customHeight="true" outlineLevel="0" collapsed="false"/>
    <row r="540" customFormat="false" ht="14.25" hidden="false" customHeight="true" outlineLevel="0" collapsed="false"/>
    <row r="541" customFormat="false" ht="14.25" hidden="false" customHeight="true" outlineLevel="0" collapsed="false"/>
    <row r="542" customFormat="false" ht="14.25" hidden="false" customHeight="true" outlineLevel="0" collapsed="false"/>
    <row r="543" customFormat="false" ht="14.25" hidden="false" customHeight="true" outlineLevel="0" collapsed="false"/>
    <row r="544" customFormat="false" ht="14.25" hidden="false" customHeight="true" outlineLevel="0" collapsed="false"/>
    <row r="545" customFormat="false" ht="14.25" hidden="false" customHeight="true" outlineLevel="0" collapsed="false"/>
    <row r="546" customFormat="false" ht="14.25" hidden="false" customHeight="true" outlineLevel="0" collapsed="false"/>
    <row r="547" customFormat="false" ht="14.25" hidden="false" customHeight="true" outlineLevel="0" collapsed="false"/>
    <row r="548" customFormat="false" ht="14.25" hidden="false" customHeight="true" outlineLevel="0" collapsed="false"/>
    <row r="549" customFormat="false" ht="14.25" hidden="false" customHeight="true" outlineLevel="0" collapsed="false"/>
    <row r="550" customFormat="false" ht="14.25" hidden="false" customHeight="true" outlineLevel="0" collapsed="false"/>
    <row r="551" customFormat="false" ht="14.25" hidden="false" customHeight="true" outlineLevel="0" collapsed="false"/>
    <row r="552" customFormat="false" ht="14.25" hidden="false" customHeight="true" outlineLevel="0" collapsed="false"/>
    <row r="553" customFormat="false" ht="14.25" hidden="false" customHeight="true" outlineLevel="0" collapsed="false"/>
    <row r="554" customFormat="false" ht="14.25" hidden="false" customHeight="true" outlineLevel="0" collapsed="false"/>
    <row r="555" customFormat="false" ht="14.25" hidden="false" customHeight="true" outlineLevel="0" collapsed="false"/>
    <row r="556" customFormat="false" ht="14.25" hidden="false" customHeight="true" outlineLevel="0" collapsed="false"/>
    <row r="557" customFormat="false" ht="14.25" hidden="false" customHeight="true" outlineLevel="0" collapsed="false"/>
    <row r="558" customFormat="false" ht="14.25" hidden="false" customHeight="true" outlineLevel="0" collapsed="false"/>
    <row r="559" customFormat="false" ht="14.25" hidden="false" customHeight="true" outlineLevel="0" collapsed="false"/>
    <row r="560" customFormat="false" ht="14.25" hidden="false" customHeight="true" outlineLevel="0" collapsed="false"/>
    <row r="561" customFormat="false" ht="14.25" hidden="false" customHeight="true" outlineLevel="0" collapsed="false"/>
    <row r="562" customFormat="false" ht="14.25" hidden="false" customHeight="true" outlineLevel="0" collapsed="false"/>
    <row r="563" customFormat="false" ht="14.25" hidden="false" customHeight="true" outlineLevel="0" collapsed="false"/>
    <row r="564" customFormat="false" ht="14.25" hidden="false" customHeight="true" outlineLevel="0" collapsed="false"/>
    <row r="565" customFormat="false" ht="14.25" hidden="false" customHeight="true" outlineLevel="0" collapsed="false"/>
    <row r="566" customFormat="false" ht="14.25" hidden="false" customHeight="true" outlineLevel="0" collapsed="false"/>
    <row r="567" customFormat="false" ht="14.25" hidden="false" customHeight="true" outlineLevel="0" collapsed="false"/>
    <row r="568" customFormat="false" ht="14.25" hidden="false" customHeight="true" outlineLevel="0" collapsed="false"/>
    <row r="569" customFormat="false" ht="14.25" hidden="false" customHeight="true" outlineLevel="0" collapsed="false"/>
    <row r="570" customFormat="false" ht="14.25" hidden="false" customHeight="true" outlineLevel="0" collapsed="false"/>
    <row r="571" customFormat="false" ht="14.25" hidden="false" customHeight="true" outlineLevel="0" collapsed="false"/>
    <row r="572" customFormat="false" ht="14.25" hidden="false" customHeight="true" outlineLevel="0" collapsed="false"/>
    <row r="573" customFormat="false" ht="14.25" hidden="false" customHeight="true" outlineLevel="0" collapsed="false"/>
    <row r="574" customFormat="false" ht="14.25" hidden="false" customHeight="true" outlineLevel="0" collapsed="false"/>
    <row r="575" customFormat="false" ht="14.25" hidden="false" customHeight="true" outlineLevel="0" collapsed="false"/>
    <row r="576" customFormat="false" ht="14.25" hidden="false" customHeight="true" outlineLevel="0" collapsed="false"/>
    <row r="577" customFormat="false" ht="14.25" hidden="false" customHeight="true" outlineLevel="0" collapsed="false"/>
    <row r="578" customFormat="false" ht="14.25" hidden="false" customHeight="true" outlineLevel="0" collapsed="false"/>
    <row r="579" customFormat="false" ht="14.25" hidden="false" customHeight="true" outlineLevel="0" collapsed="false"/>
    <row r="580" customFormat="false" ht="14.25" hidden="false" customHeight="true" outlineLevel="0" collapsed="false"/>
    <row r="581" customFormat="false" ht="14.25" hidden="false" customHeight="true" outlineLevel="0" collapsed="false"/>
    <row r="582" customFormat="false" ht="14.25" hidden="false" customHeight="true" outlineLevel="0" collapsed="false"/>
    <row r="583" customFormat="false" ht="14.25" hidden="false" customHeight="true" outlineLevel="0" collapsed="false"/>
    <row r="584" customFormat="false" ht="14.25" hidden="false" customHeight="true" outlineLevel="0" collapsed="false"/>
    <row r="585" customFormat="false" ht="14.25" hidden="false" customHeight="true" outlineLevel="0" collapsed="false"/>
    <row r="586" customFormat="false" ht="14.25" hidden="false" customHeight="true" outlineLevel="0" collapsed="false"/>
    <row r="587" customFormat="false" ht="14.25" hidden="false" customHeight="true" outlineLevel="0" collapsed="false"/>
    <row r="588" customFormat="false" ht="14.25" hidden="false" customHeight="true" outlineLevel="0" collapsed="false"/>
    <row r="589" customFormat="false" ht="14.25" hidden="false" customHeight="true" outlineLevel="0" collapsed="false"/>
    <row r="590" customFormat="false" ht="14.25" hidden="false" customHeight="true" outlineLevel="0" collapsed="false"/>
    <row r="591" customFormat="false" ht="14.25" hidden="false" customHeight="true" outlineLevel="0" collapsed="false"/>
    <row r="592" customFormat="false" ht="14.25" hidden="false" customHeight="true" outlineLevel="0" collapsed="false"/>
    <row r="593" customFormat="false" ht="14.25" hidden="false" customHeight="true" outlineLevel="0" collapsed="false"/>
    <row r="594" customFormat="false" ht="14.25" hidden="false" customHeight="true" outlineLevel="0" collapsed="false"/>
    <row r="595" customFormat="false" ht="14.25" hidden="false" customHeight="true" outlineLevel="0" collapsed="false"/>
    <row r="596" customFormat="false" ht="14.25" hidden="false" customHeight="true" outlineLevel="0" collapsed="false"/>
    <row r="597" customFormat="false" ht="14.25" hidden="false" customHeight="true" outlineLevel="0" collapsed="false"/>
    <row r="598" customFormat="false" ht="14.25" hidden="false" customHeight="true" outlineLevel="0" collapsed="false"/>
    <row r="599" customFormat="false" ht="14.25" hidden="false" customHeight="true" outlineLevel="0" collapsed="false"/>
    <row r="600" customFormat="false" ht="14.25" hidden="false" customHeight="true" outlineLevel="0" collapsed="false"/>
    <row r="601" customFormat="false" ht="14.25" hidden="false" customHeight="true" outlineLevel="0" collapsed="false"/>
    <row r="602" customFormat="false" ht="14.25" hidden="false" customHeight="true" outlineLevel="0" collapsed="false"/>
    <row r="603" customFormat="false" ht="14.25" hidden="false" customHeight="true" outlineLevel="0" collapsed="false"/>
    <row r="604" customFormat="false" ht="14.25" hidden="false" customHeight="true" outlineLevel="0" collapsed="false"/>
    <row r="605" customFormat="false" ht="14.25" hidden="false" customHeight="true" outlineLevel="0" collapsed="false"/>
    <row r="606" customFormat="false" ht="14.25" hidden="false" customHeight="true" outlineLevel="0" collapsed="false"/>
    <row r="607" customFormat="false" ht="14.25" hidden="false" customHeight="true" outlineLevel="0" collapsed="false"/>
    <row r="608" customFormat="false" ht="14.25" hidden="false" customHeight="true" outlineLevel="0" collapsed="false"/>
    <row r="609" customFormat="false" ht="14.25" hidden="false" customHeight="true" outlineLevel="0" collapsed="false"/>
    <row r="610" customFormat="false" ht="14.25" hidden="false" customHeight="true" outlineLevel="0" collapsed="false"/>
    <row r="611" customFormat="false" ht="14.25" hidden="false" customHeight="true" outlineLevel="0" collapsed="false"/>
    <row r="612" customFormat="false" ht="14.25" hidden="false" customHeight="true" outlineLevel="0" collapsed="false"/>
    <row r="613" customFormat="false" ht="14.25" hidden="false" customHeight="true" outlineLevel="0" collapsed="false"/>
    <row r="614" customFormat="false" ht="14.25" hidden="false" customHeight="true" outlineLevel="0" collapsed="false"/>
    <row r="615" customFormat="false" ht="14.25" hidden="false" customHeight="true" outlineLevel="0" collapsed="false"/>
    <row r="616" customFormat="false" ht="14.25" hidden="false" customHeight="true" outlineLevel="0" collapsed="false"/>
    <row r="617" customFormat="false" ht="14.25" hidden="false" customHeight="true" outlineLevel="0" collapsed="false"/>
    <row r="618" customFormat="false" ht="14.25" hidden="false" customHeight="true" outlineLevel="0" collapsed="false"/>
    <row r="619" customFormat="false" ht="14.25" hidden="false" customHeight="true" outlineLevel="0" collapsed="false"/>
    <row r="620" customFormat="false" ht="14.25" hidden="false" customHeight="true" outlineLevel="0" collapsed="false"/>
    <row r="621" customFormat="false" ht="14.25" hidden="false" customHeight="true" outlineLevel="0" collapsed="false"/>
    <row r="622" customFormat="false" ht="14.25" hidden="false" customHeight="true" outlineLevel="0" collapsed="false"/>
    <row r="623" customFormat="false" ht="14.25" hidden="false" customHeight="true" outlineLevel="0" collapsed="false"/>
    <row r="624" customFormat="false" ht="14.25" hidden="false" customHeight="true" outlineLevel="0" collapsed="false"/>
    <row r="625" customFormat="false" ht="14.25" hidden="false" customHeight="true" outlineLevel="0" collapsed="false"/>
    <row r="626" customFormat="false" ht="14.25" hidden="false" customHeight="true" outlineLevel="0" collapsed="false"/>
    <row r="627" customFormat="false" ht="14.25" hidden="false" customHeight="true" outlineLevel="0" collapsed="false"/>
    <row r="628" customFormat="false" ht="14.25" hidden="false" customHeight="true" outlineLevel="0" collapsed="false"/>
    <row r="629" customFormat="false" ht="14.25" hidden="false" customHeight="true" outlineLevel="0" collapsed="false"/>
    <row r="630" customFormat="false" ht="14.25" hidden="false" customHeight="true" outlineLevel="0" collapsed="false"/>
    <row r="631" customFormat="false" ht="14.25" hidden="false" customHeight="true" outlineLevel="0" collapsed="false"/>
    <row r="632" customFormat="false" ht="14.25" hidden="false" customHeight="true" outlineLevel="0" collapsed="false"/>
    <row r="633" customFormat="false" ht="14.25" hidden="false" customHeight="true" outlineLevel="0" collapsed="false"/>
    <row r="634" customFormat="false" ht="14.25" hidden="false" customHeight="true" outlineLevel="0" collapsed="false"/>
    <row r="635" customFormat="false" ht="14.25" hidden="false" customHeight="true" outlineLevel="0" collapsed="false"/>
    <row r="636" customFormat="false" ht="14.25" hidden="false" customHeight="true" outlineLevel="0" collapsed="false"/>
    <row r="637" customFormat="false" ht="14.25" hidden="false" customHeight="true" outlineLevel="0" collapsed="false"/>
    <row r="638" customFormat="false" ht="14.25" hidden="false" customHeight="true" outlineLevel="0" collapsed="false"/>
    <row r="639" customFormat="false" ht="14.25" hidden="false" customHeight="true" outlineLevel="0" collapsed="false"/>
    <row r="640" customFormat="false" ht="14.25" hidden="false" customHeight="true" outlineLevel="0" collapsed="false"/>
    <row r="641" customFormat="false" ht="14.25" hidden="false" customHeight="true" outlineLevel="0" collapsed="false"/>
    <row r="642" customFormat="false" ht="14.25" hidden="false" customHeight="true" outlineLevel="0" collapsed="false"/>
    <row r="643" customFormat="false" ht="14.25" hidden="false" customHeight="true" outlineLevel="0" collapsed="false"/>
    <row r="644" customFormat="false" ht="14.25" hidden="false" customHeight="true" outlineLevel="0" collapsed="false"/>
    <row r="645" customFormat="false" ht="14.25" hidden="false" customHeight="true" outlineLevel="0" collapsed="false"/>
    <row r="646" customFormat="false" ht="14.25" hidden="false" customHeight="true" outlineLevel="0" collapsed="false"/>
    <row r="647" customFormat="false" ht="14.25" hidden="false" customHeight="true" outlineLevel="0" collapsed="false"/>
    <row r="648" customFormat="false" ht="14.25" hidden="false" customHeight="true" outlineLevel="0" collapsed="false"/>
    <row r="649" customFormat="false" ht="14.25" hidden="false" customHeight="true" outlineLevel="0" collapsed="false"/>
    <row r="650" customFormat="false" ht="14.25" hidden="false" customHeight="true" outlineLevel="0" collapsed="false"/>
    <row r="651" customFormat="false" ht="14.25" hidden="false" customHeight="true" outlineLevel="0" collapsed="false"/>
    <row r="652" customFormat="false" ht="14.25" hidden="false" customHeight="true" outlineLevel="0" collapsed="false"/>
    <row r="653" customFormat="false" ht="14.25" hidden="false" customHeight="true" outlineLevel="0" collapsed="false"/>
    <row r="654" customFormat="false" ht="14.25" hidden="false" customHeight="true" outlineLevel="0" collapsed="false"/>
    <row r="655" customFormat="false" ht="14.25" hidden="false" customHeight="true" outlineLevel="0" collapsed="false"/>
    <row r="656" customFormat="false" ht="14.25" hidden="false" customHeight="true" outlineLevel="0" collapsed="false"/>
    <row r="657" customFormat="false" ht="14.25" hidden="false" customHeight="true" outlineLevel="0" collapsed="false"/>
    <row r="658" customFormat="false" ht="14.25" hidden="false" customHeight="true" outlineLevel="0" collapsed="false"/>
    <row r="659" customFormat="false" ht="14.25" hidden="false" customHeight="true" outlineLevel="0" collapsed="false"/>
    <row r="660" customFormat="false" ht="14.25" hidden="false" customHeight="true" outlineLevel="0" collapsed="false"/>
    <row r="661" customFormat="false" ht="14.25" hidden="false" customHeight="true" outlineLevel="0" collapsed="false"/>
    <row r="662" customFormat="false" ht="14.25" hidden="false" customHeight="true" outlineLevel="0" collapsed="false"/>
    <row r="663" customFormat="false" ht="14.25" hidden="false" customHeight="true" outlineLevel="0" collapsed="false"/>
    <row r="664" customFormat="false" ht="14.25" hidden="false" customHeight="true" outlineLevel="0" collapsed="false"/>
    <row r="665" customFormat="false" ht="14.25" hidden="false" customHeight="true" outlineLevel="0" collapsed="false"/>
    <row r="666" customFormat="false" ht="14.25" hidden="false" customHeight="true" outlineLevel="0" collapsed="false"/>
    <row r="667" customFormat="false" ht="14.25" hidden="false" customHeight="true" outlineLevel="0" collapsed="false"/>
    <row r="668" customFormat="false" ht="14.25" hidden="false" customHeight="true" outlineLevel="0" collapsed="false"/>
    <row r="669" customFormat="false" ht="14.25" hidden="false" customHeight="true" outlineLevel="0" collapsed="false"/>
    <row r="670" customFormat="false" ht="14.25" hidden="false" customHeight="true" outlineLevel="0" collapsed="false"/>
    <row r="671" customFormat="false" ht="14.25" hidden="false" customHeight="true" outlineLevel="0" collapsed="false"/>
    <row r="672" customFormat="false" ht="14.25" hidden="false" customHeight="true" outlineLevel="0" collapsed="false"/>
    <row r="673" customFormat="false" ht="14.25" hidden="false" customHeight="true" outlineLevel="0" collapsed="false"/>
    <row r="674" customFormat="false" ht="14.25" hidden="false" customHeight="true" outlineLevel="0" collapsed="false"/>
    <row r="675" customFormat="false" ht="14.25" hidden="false" customHeight="true" outlineLevel="0" collapsed="false"/>
    <row r="676" customFormat="false" ht="14.25" hidden="false" customHeight="true" outlineLevel="0" collapsed="false"/>
    <row r="677" customFormat="false" ht="14.25" hidden="false" customHeight="true" outlineLevel="0" collapsed="false"/>
    <row r="678" customFormat="false" ht="14.25" hidden="false" customHeight="true" outlineLevel="0" collapsed="false"/>
    <row r="679" customFormat="false" ht="14.25" hidden="false" customHeight="true" outlineLevel="0" collapsed="false"/>
    <row r="680" customFormat="false" ht="14.25" hidden="false" customHeight="true" outlineLevel="0" collapsed="false"/>
    <row r="681" customFormat="false" ht="14.25" hidden="false" customHeight="true" outlineLevel="0" collapsed="false"/>
    <row r="682" customFormat="false" ht="14.25" hidden="false" customHeight="true" outlineLevel="0" collapsed="false"/>
    <row r="683" customFormat="false" ht="14.25" hidden="false" customHeight="true" outlineLevel="0" collapsed="false"/>
    <row r="684" customFormat="false" ht="14.25" hidden="false" customHeight="true" outlineLevel="0" collapsed="false"/>
    <row r="685" customFormat="false" ht="14.25" hidden="false" customHeight="true" outlineLevel="0" collapsed="false"/>
    <row r="686" customFormat="false" ht="14.25" hidden="false" customHeight="true" outlineLevel="0" collapsed="false"/>
    <row r="687" customFormat="false" ht="14.25" hidden="false" customHeight="true" outlineLevel="0" collapsed="false"/>
    <row r="688" customFormat="false" ht="14.25" hidden="false" customHeight="true" outlineLevel="0" collapsed="false"/>
    <row r="689" customFormat="false" ht="14.25" hidden="false" customHeight="true" outlineLevel="0" collapsed="false"/>
    <row r="690" customFormat="false" ht="14.25" hidden="false" customHeight="true" outlineLevel="0" collapsed="false"/>
    <row r="691" customFormat="false" ht="14.25" hidden="false" customHeight="true" outlineLevel="0" collapsed="false"/>
    <row r="692" customFormat="false" ht="14.25" hidden="false" customHeight="true" outlineLevel="0" collapsed="false"/>
    <row r="693" customFormat="false" ht="14.25" hidden="false" customHeight="true" outlineLevel="0" collapsed="false"/>
    <row r="694" customFormat="false" ht="14.25" hidden="false" customHeight="true" outlineLevel="0" collapsed="false"/>
    <row r="695" customFormat="false" ht="14.25" hidden="false" customHeight="true" outlineLevel="0" collapsed="false"/>
    <row r="696" customFormat="false" ht="14.25" hidden="false" customHeight="true" outlineLevel="0" collapsed="false"/>
    <row r="697" customFormat="false" ht="14.25" hidden="false" customHeight="true" outlineLevel="0" collapsed="false"/>
    <row r="698" customFormat="false" ht="14.25" hidden="false" customHeight="true" outlineLevel="0" collapsed="false"/>
    <row r="699" customFormat="false" ht="14.25" hidden="false" customHeight="true" outlineLevel="0" collapsed="false"/>
    <row r="700" customFormat="false" ht="14.25" hidden="false" customHeight="true" outlineLevel="0" collapsed="false"/>
    <row r="701" customFormat="false" ht="14.25" hidden="false" customHeight="true" outlineLevel="0" collapsed="false"/>
    <row r="702" customFormat="false" ht="14.25" hidden="false" customHeight="true" outlineLevel="0" collapsed="false"/>
    <row r="703" customFormat="false" ht="14.25" hidden="false" customHeight="true" outlineLevel="0" collapsed="false"/>
    <row r="704" customFormat="false" ht="14.25" hidden="false" customHeight="true" outlineLevel="0" collapsed="false"/>
    <row r="705" customFormat="false" ht="14.25" hidden="false" customHeight="true" outlineLevel="0" collapsed="false"/>
    <row r="706" customFormat="false" ht="14.25" hidden="false" customHeight="true" outlineLevel="0" collapsed="false"/>
    <row r="707" customFormat="false" ht="14.25" hidden="false" customHeight="true" outlineLevel="0" collapsed="false"/>
    <row r="708" customFormat="false" ht="14.25" hidden="false" customHeight="true" outlineLevel="0" collapsed="false"/>
    <row r="709" customFormat="false" ht="14.25" hidden="false" customHeight="true" outlineLevel="0" collapsed="false"/>
    <row r="710" customFormat="false" ht="14.25" hidden="false" customHeight="true" outlineLevel="0" collapsed="false"/>
    <row r="711" customFormat="false" ht="14.25" hidden="false" customHeight="true" outlineLevel="0" collapsed="false"/>
    <row r="712" customFormat="false" ht="14.25" hidden="false" customHeight="true" outlineLevel="0" collapsed="false"/>
    <row r="713" customFormat="false" ht="14.25" hidden="false" customHeight="true" outlineLevel="0" collapsed="false"/>
    <row r="714" customFormat="false" ht="14.25" hidden="false" customHeight="true" outlineLevel="0" collapsed="false"/>
    <row r="715" customFormat="false" ht="14.25" hidden="false" customHeight="true" outlineLevel="0" collapsed="false"/>
    <row r="716" customFormat="false" ht="14.25" hidden="false" customHeight="true" outlineLevel="0" collapsed="false"/>
    <row r="717" customFormat="false" ht="14.25" hidden="false" customHeight="true" outlineLevel="0" collapsed="false"/>
    <row r="718" customFormat="false" ht="14.25" hidden="false" customHeight="true" outlineLevel="0" collapsed="false"/>
    <row r="719" customFormat="false" ht="14.25" hidden="false" customHeight="true" outlineLevel="0" collapsed="false"/>
    <row r="720" customFormat="false" ht="14.25" hidden="false" customHeight="true" outlineLevel="0" collapsed="false"/>
    <row r="721" customFormat="false" ht="14.25" hidden="false" customHeight="true" outlineLevel="0" collapsed="false"/>
    <row r="722" customFormat="false" ht="14.25" hidden="false" customHeight="true" outlineLevel="0" collapsed="false"/>
    <row r="723" customFormat="false" ht="14.25" hidden="false" customHeight="true" outlineLevel="0" collapsed="false"/>
    <row r="724" customFormat="false" ht="14.25" hidden="false" customHeight="true" outlineLevel="0" collapsed="false"/>
    <row r="725" customFormat="false" ht="14.25" hidden="false" customHeight="true" outlineLevel="0" collapsed="false"/>
    <row r="726" customFormat="false" ht="14.25" hidden="false" customHeight="true" outlineLevel="0" collapsed="false"/>
    <row r="727" customFormat="false" ht="14.25" hidden="false" customHeight="true" outlineLevel="0" collapsed="false"/>
    <row r="728" customFormat="false" ht="14.25" hidden="false" customHeight="true" outlineLevel="0" collapsed="false"/>
    <row r="729" customFormat="false" ht="14.25" hidden="false" customHeight="true" outlineLevel="0" collapsed="false"/>
    <row r="730" customFormat="false" ht="14.25" hidden="false" customHeight="true" outlineLevel="0" collapsed="false"/>
    <row r="731" customFormat="false" ht="14.25" hidden="false" customHeight="true" outlineLevel="0" collapsed="false"/>
    <row r="732" customFormat="false" ht="14.25" hidden="false" customHeight="true" outlineLevel="0" collapsed="false"/>
    <row r="733" customFormat="false" ht="14.25" hidden="false" customHeight="true" outlineLevel="0" collapsed="false"/>
    <row r="734" customFormat="false" ht="14.25" hidden="false" customHeight="true" outlineLevel="0" collapsed="false"/>
    <row r="735" customFormat="false" ht="14.25" hidden="false" customHeight="true" outlineLevel="0" collapsed="false"/>
    <row r="736" customFormat="false" ht="14.25" hidden="false" customHeight="true" outlineLevel="0" collapsed="false"/>
    <row r="737" customFormat="false" ht="14.25" hidden="false" customHeight="true" outlineLevel="0" collapsed="false"/>
    <row r="738" customFormat="false" ht="14.25" hidden="false" customHeight="true" outlineLevel="0" collapsed="false"/>
    <row r="739" customFormat="false" ht="14.25" hidden="false" customHeight="true" outlineLevel="0" collapsed="false"/>
    <row r="740" customFormat="false" ht="14.25" hidden="false" customHeight="true" outlineLevel="0" collapsed="false"/>
    <row r="741" customFormat="false" ht="14.25" hidden="false" customHeight="true" outlineLevel="0" collapsed="false"/>
    <row r="742" customFormat="false" ht="14.25" hidden="false" customHeight="true" outlineLevel="0" collapsed="false"/>
    <row r="743" customFormat="false" ht="14.25" hidden="false" customHeight="true" outlineLevel="0" collapsed="false"/>
    <row r="744" customFormat="false" ht="14.25" hidden="false" customHeight="true" outlineLevel="0" collapsed="false"/>
    <row r="745" customFormat="false" ht="14.25" hidden="false" customHeight="true" outlineLevel="0" collapsed="false"/>
    <row r="746" customFormat="false" ht="14.25" hidden="false" customHeight="true" outlineLevel="0" collapsed="false"/>
    <row r="747" customFormat="false" ht="14.25" hidden="false" customHeight="true" outlineLevel="0" collapsed="false"/>
    <row r="748" customFormat="false" ht="14.25" hidden="false" customHeight="true" outlineLevel="0" collapsed="false"/>
    <row r="749" customFormat="false" ht="14.25" hidden="false" customHeight="true" outlineLevel="0" collapsed="false"/>
    <row r="750" customFormat="false" ht="14.25" hidden="false" customHeight="true" outlineLevel="0" collapsed="false"/>
    <row r="751" customFormat="false" ht="14.25" hidden="false" customHeight="true" outlineLevel="0" collapsed="false"/>
    <row r="752" customFormat="false" ht="14.25" hidden="false" customHeight="true" outlineLevel="0" collapsed="false"/>
    <row r="753" customFormat="false" ht="14.25" hidden="false" customHeight="true" outlineLevel="0" collapsed="false"/>
    <row r="754" customFormat="false" ht="14.25" hidden="false" customHeight="true" outlineLevel="0" collapsed="false"/>
    <row r="755" customFormat="false" ht="14.25" hidden="false" customHeight="true" outlineLevel="0" collapsed="false"/>
    <row r="756" customFormat="false" ht="14.25" hidden="false" customHeight="true" outlineLevel="0" collapsed="false"/>
    <row r="757" customFormat="false" ht="14.25" hidden="false" customHeight="true" outlineLevel="0" collapsed="false"/>
    <row r="758" customFormat="false" ht="14.25" hidden="false" customHeight="true" outlineLevel="0" collapsed="false"/>
    <row r="759" customFormat="false" ht="14.25" hidden="false" customHeight="true" outlineLevel="0" collapsed="false"/>
    <row r="760" customFormat="false" ht="14.25" hidden="false" customHeight="true" outlineLevel="0" collapsed="false"/>
    <row r="761" customFormat="false" ht="14.25" hidden="false" customHeight="true" outlineLevel="0" collapsed="false"/>
    <row r="762" customFormat="false" ht="14.25" hidden="false" customHeight="true" outlineLevel="0" collapsed="false"/>
    <row r="763" customFormat="false" ht="14.25" hidden="false" customHeight="true" outlineLevel="0" collapsed="false"/>
    <row r="764" customFormat="false" ht="14.25" hidden="false" customHeight="true" outlineLevel="0" collapsed="false"/>
    <row r="765" customFormat="false" ht="14.25" hidden="false" customHeight="true" outlineLevel="0" collapsed="false"/>
    <row r="766" customFormat="false" ht="14.25" hidden="false" customHeight="true" outlineLevel="0" collapsed="false"/>
    <row r="767" customFormat="false" ht="14.25" hidden="false" customHeight="true" outlineLevel="0" collapsed="false"/>
    <row r="768" customFormat="false" ht="14.25" hidden="false" customHeight="true" outlineLevel="0" collapsed="false"/>
    <row r="769" customFormat="false" ht="14.25" hidden="false" customHeight="true" outlineLevel="0" collapsed="false"/>
    <row r="770" customFormat="false" ht="14.25" hidden="false" customHeight="true" outlineLevel="0" collapsed="false"/>
    <row r="771" customFormat="false" ht="14.25" hidden="false" customHeight="true" outlineLevel="0" collapsed="false"/>
    <row r="772" customFormat="false" ht="14.25" hidden="false" customHeight="true" outlineLevel="0" collapsed="false"/>
    <row r="773" customFormat="false" ht="14.25" hidden="false" customHeight="true" outlineLevel="0" collapsed="false"/>
    <row r="774" customFormat="false" ht="14.25" hidden="false" customHeight="true" outlineLevel="0" collapsed="false"/>
    <row r="775" customFormat="false" ht="14.25" hidden="false" customHeight="true" outlineLevel="0" collapsed="false"/>
    <row r="776" customFormat="false" ht="14.25" hidden="false" customHeight="true" outlineLevel="0" collapsed="false"/>
    <row r="777" customFormat="false" ht="14.25" hidden="false" customHeight="true" outlineLevel="0" collapsed="false"/>
    <row r="778" customFormat="false" ht="14.25" hidden="false" customHeight="true" outlineLevel="0" collapsed="false"/>
    <row r="779" customFormat="false" ht="14.25" hidden="false" customHeight="true" outlineLevel="0" collapsed="false"/>
    <row r="780" customFormat="false" ht="14.25" hidden="false" customHeight="true" outlineLevel="0" collapsed="false"/>
    <row r="781" customFormat="false" ht="14.25" hidden="false" customHeight="true" outlineLevel="0" collapsed="false"/>
    <row r="782" customFormat="false" ht="14.25" hidden="false" customHeight="true" outlineLevel="0" collapsed="false"/>
    <row r="783" customFormat="false" ht="14.25" hidden="false" customHeight="true" outlineLevel="0" collapsed="false"/>
    <row r="784" customFormat="false" ht="14.25" hidden="false" customHeight="true" outlineLevel="0" collapsed="false"/>
    <row r="785" customFormat="false" ht="14.25" hidden="false" customHeight="true" outlineLevel="0" collapsed="false"/>
    <row r="786" customFormat="false" ht="14.25" hidden="false" customHeight="true" outlineLevel="0" collapsed="false"/>
    <row r="787" customFormat="false" ht="14.25" hidden="false" customHeight="true" outlineLevel="0" collapsed="false"/>
    <row r="788" customFormat="false" ht="14.25" hidden="false" customHeight="true" outlineLevel="0" collapsed="false"/>
    <row r="789" customFormat="false" ht="14.25" hidden="false" customHeight="true" outlineLevel="0" collapsed="false"/>
    <row r="790" customFormat="false" ht="14.25" hidden="false" customHeight="true" outlineLevel="0" collapsed="false"/>
    <row r="791" customFormat="false" ht="14.25" hidden="false" customHeight="true" outlineLevel="0" collapsed="false"/>
    <row r="792" customFormat="false" ht="14.25" hidden="false" customHeight="true" outlineLevel="0" collapsed="false"/>
    <row r="793" customFormat="false" ht="14.25" hidden="false" customHeight="true" outlineLevel="0" collapsed="false"/>
    <row r="794" customFormat="false" ht="14.25" hidden="false" customHeight="true" outlineLevel="0" collapsed="false"/>
    <row r="795" customFormat="false" ht="14.25" hidden="false" customHeight="true" outlineLevel="0" collapsed="false"/>
    <row r="796" customFormat="false" ht="14.25" hidden="false" customHeight="true" outlineLevel="0" collapsed="false"/>
    <row r="797" customFormat="false" ht="14.25" hidden="false" customHeight="true" outlineLevel="0" collapsed="false"/>
    <row r="798" customFormat="false" ht="14.25" hidden="false" customHeight="true" outlineLevel="0" collapsed="false"/>
    <row r="799" customFormat="false" ht="14.25" hidden="false" customHeight="true" outlineLevel="0" collapsed="false"/>
    <row r="800" customFormat="false" ht="14.25" hidden="false" customHeight="true" outlineLevel="0" collapsed="false"/>
    <row r="801" customFormat="false" ht="14.25" hidden="false" customHeight="true" outlineLevel="0" collapsed="false"/>
    <row r="802" customFormat="false" ht="14.25" hidden="false" customHeight="true" outlineLevel="0" collapsed="false"/>
    <row r="803" customFormat="false" ht="14.25" hidden="false" customHeight="true" outlineLevel="0" collapsed="false"/>
    <row r="804" customFormat="false" ht="14.25" hidden="false" customHeight="true" outlineLevel="0" collapsed="false"/>
    <row r="805" customFormat="false" ht="14.25" hidden="false" customHeight="true" outlineLevel="0" collapsed="false"/>
    <row r="806" customFormat="false" ht="14.25" hidden="false" customHeight="true" outlineLevel="0" collapsed="false"/>
    <row r="807" customFormat="false" ht="14.25" hidden="false" customHeight="true" outlineLevel="0" collapsed="false"/>
    <row r="808" customFormat="false" ht="14.25" hidden="false" customHeight="true" outlineLevel="0" collapsed="false"/>
    <row r="809" customFormat="false" ht="14.25" hidden="false" customHeight="true" outlineLevel="0" collapsed="false"/>
    <row r="810" customFormat="false" ht="14.25" hidden="false" customHeight="true" outlineLevel="0" collapsed="false"/>
    <row r="811" customFormat="false" ht="14.25" hidden="false" customHeight="true" outlineLevel="0" collapsed="false"/>
    <row r="812" customFormat="false" ht="14.25" hidden="false" customHeight="true" outlineLevel="0" collapsed="false"/>
    <row r="813" customFormat="false" ht="14.25" hidden="false" customHeight="true" outlineLevel="0" collapsed="false"/>
    <row r="814" customFormat="false" ht="14.25" hidden="false" customHeight="true" outlineLevel="0" collapsed="false"/>
    <row r="815" customFormat="false" ht="14.25" hidden="false" customHeight="true" outlineLevel="0" collapsed="false"/>
    <row r="816" customFormat="false" ht="14.25" hidden="false" customHeight="true" outlineLevel="0" collapsed="false"/>
    <row r="817" customFormat="false" ht="14.25" hidden="false" customHeight="true" outlineLevel="0" collapsed="false"/>
    <row r="818" customFormat="false" ht="14.25" hidden="false" customHeight="true" outlineLevel="0" collapsed="false"/>
    <row r="819" customFormat="false" ht="14.25" hidden="false" customHeight="true" outlineLevel="0" collapsed="false"/>
    <row r="820" customFormat="false" ht="14.25" hidden="false" customHeight="true" outlineLevel="0" collapsed="false"/>
    <row r="821" customFormat="false" ht="14.25" hidden="false" customHeight="true" outlineLevel="0" collapsed="false"/>
    <row r="822" customFormat="false" ht="14.25" hidden="false" customHeight="true" outlineLevel="0" collapsed="false"/>
    <row r="823" customFormat="false" ht="14.25" hidden="false" customHeight="true" outlineLevel="0" collapsed="false"/>
    <row r="824" customFormat="false" ht="14.25" hidden="false" customHeight="true" outlineLevel="0" collapsed="false"/>
    <row r="825" customFormat="false" ht="14.25" hidden="false" customHeight="true" outlineLevel="0" collapsed="false"/>
    <row r="826" customFormat="false" ht="14.25" hidden="false" customHeight="true" outlineLevel="0" collapsed="false"/>
    <row r="827" customFormat="false" ht="14.25" hidden="false" customHeight="true" outlineLevel="0" collapsed="false"/>
    <row r="828" customFormat="false" ht="14.25" hidden="false" customHeight="true" outlineLevel="0" collapsed="false"/>
    <row r="829" customFormat="false" ht="14.25" hidden="false" customHeight="true" outlineLevel="0" collapsed="false"/>
    <row r="830" customFormat="false" ht="14.25" hidden="false" customHeight="true" outlineLevel="0" collapsed="false"/>
    <row r="831" customFormat="false" ht="14.25" hidden="false" customHeight="true" outlineLevel="0" collapsed="false"/>
    <row r="832" customFormat="false" ht="14.25" hidden="false" customHeight="true" outlineLevel="0" collapsed="false"/>
    <row r="833" customFormat="false" ht="14.25" hidden="false" customHeight="true" outlineLevel="0" collapsed="false"/>
    <row r="834" customFormat="false" ht="14.25" hidden="false" customHeight="true" outlineLevel="0" collapsed="false"/>
    <row r="835" customFormat="false" ht="14.25" hidden="false" customHeight="true" outlineLevel="0" collapsed="false"/>
    <row r="836" customFormat="false" ht="14.25" hidden="false" customHeight="true" outlineLevel="0" collapsed="false"/>
    <row r="837" customFormat="false" ht="14.25" hidden="false" customHeight="true" outlineLevel="0" collapsed="false"/>
    <row r="838" customFormat="false" ht="14.25" hidden="false" customHeight="true" outlineLevel="0" collapsed="false"/>
    <row r="839" customFormat="false" ht="14.25" hidden="false" customHeight="true" outlineLevel="0" collapsed="false"/>
    <row r="840" customFormat="false" ht="14.25" hidden="false" customHeight="true" outlineLevel="0" collapsed="false"/>
    <row r="841" customFormat="false" ht="14.25" hidden="false" customHeight="true" outlineLevel="0" collapsed="false"/>
    <row r="842" customFormat="false" ht="14.25" hidden="false" customHeight="true" outlineLevel="0" collapsed="false"/>
    <row r="843" customFormat="false" ht="14.25" hidden="false" customHeight="true" outlineLevel="0" collapsed="false"/>
    <row r="844" customFormat="false" ht="14.25" hidden="false" customHeight="true" outlineLevel="0" collapsed="false"/>
    <row r="845" customFormat="false" ht="14.25" hidden="false" customHeight="true" outlineLevel="0" collapsed="false"/>
    <row r="846" customFormat="false" ht="14.25" hidden="false" customHeight="true" outlineLevel="0" collapsed="false"/>
    <row r="847" customFormat="false" ht="14.25" hidden="false" customHeight="true" outlineLevel="0" collapsed="false"/>
    <row r="848" customFormat="false" ht="14.25" hidden="false" customHeight="true" outlineLevel="0" collapsed="false"/>
    <row r="849" customFormat="false" ht="14.25" hidden="false" customHeight="true" outlineLevel="0" collapsed="false"/>
    <row r="850" customFormat="false" ht="14.25" hidden="false" customHeight="true" outlineLevel="0" collapsed="false"/>
    <row r="851" customFormat="false" ht="14.25" hidden="false" customHeight="true" outlineLevel="0" collapsed="false"/>
    <row r="852" customFormat="false" ht="14.25" hidden="false" customHeight="true" outlineLevel="0" collapsed="false"/>
    <row r="853" customFormat="false" ht="14.25" hidden="false" customHeight="true" outlineLevel="0" collapsed="false"/>
    <row r="854" customFormat="false" ht="14.25" hidden="false" customHeight="true" outlineLevel="0" collapsed="false"/>
    <row r="855" customFormat="false" ht="14.25" hidden="false" customHeight="true" outlineLevel="0" collapsed="false"/>
    <row r="856" customFormat="false" ht="14.25" hidden="false" customHeight="true" outlineLevel="0" collapsed="false"/>
    <row r="857" customFormat="false" ht="14.25" hidden="false" customHeight="true" outlineLevel="0" collapsed="false"/>
    <row r="858" customFormat="false" ht="14.25" hidden="false" customHeight="true" outlineLevel="0" collapsed="false"/>
    <row r="859" customFormat="false" ht="14.25" hidden="false" customHeight="true" outlineLevel="0" collapsed="false"/>
    <row r="860" customFormat="false" ht="14.25" hidden="false" customHeight="true" outlineLevel="0" collapsed="false"/>
    <row r="861" customFormat="false" ht="14.25" hidden="false" customHeight="true" outlineLevel="0" collapsed="false"/>
    <row r="862" customFormat="false" ht="14.25" hidden="false" customHeight="true" outlineLevel="0" collapsed="false"/>
    <row r="863" customFormat="false" ht="14.25" hidden="false" customHeight="true" outlineLevel="0" collapsed="false"/>
    <row r="864" customFormat="false" ht="14.25" hidden="false" customHeight="true" outlineLevel="0" collapsed="false"/>
    <row r="865" customFormat="false" ht="14.25" hidden="false" customHeight="true" outlineLevel="0" collapsed="false"/>
    <row r="866" customFormat="false" ht="14.25" hidden="false" customHeight="true" outlineLevel="0" collapsed="false"/>
    <row r="867" customFormat="false" ht="14.25" hidden="false" customHeight="true" outlineLevel="0" collapsed="false"/>
    <row r="868" customFormat="false" ht="14.25" hidden="false" customHeight="true" outlineLevel="0" collapsed="false"/>
    <row r="869" customFormat="false" ht="14.25" hidden="false" customHeight="true" outlineLevel="0" collapsed="false"/>
    <row r="870" customFormat="false" ht="14.25" hidden="false" customHeight="true" outlineLevel="0" collapsed="false"/>
    <row r="871" customFormat="false" ht="14.25" hidden="false" customHeight="true" outlineLevel="0" collapsed="false"/>
    <row r="872" customFormat="false" ht="14.25" hidden="false" customHeight="true" outlineLevel="0" collapsed="false"/>
    <row r="873" customFormat="false" ht="14.25" hidden="false" customHeight="true" outlineLevel="0" collapsed="false"/>
    <row r="874" customFormat="false" ht="14.25" hidden="false" customHeight="true" outlineLevel="0" collapsed="false"/>
    <row r="875" customFormat="false" ht="14.25" hidden="false" customHeight="true" outlineLevel="0" collapsed="false"/>
    <row r="876" customFormat="false" ht="14.25" hidden="false" customHeight="true" outlineLevel="0" collapsed="false"/>
    <row r="877" customFormat="false" ht="14.25" hidden="false" customHeight="true" outlineLevel="0" collapsed="false"/>
    <row r="878" customFormat="false" ht="14.25" hidden="false" customHeight="true" outlineLevel="0" collapsed="false"/>
    <row r="879" customFormat="false" ht="14.25" hidden="false" customHeight="true" outlineLevel="0" collapsed="false"/>
    <row r="880" customFormat="false" ht="14.25" hidden="false" customHeight="true" outlineLevel="0" collapsed="false"/>
    <row r="881" customFormat="false" ht="14.25" hidden="false" customHeight="true" outlineLevel="0" collapsed="false"/>
    <row r="882" customFormat="false" ht="14.25" hidden="false" customHeight="true" outlineLevel="0" collapsed="false"/>
    <row r="883" customFormat="false" ht="14.25" hidden="false" customHeight="true" outlineLevel="0" collapsed="false"/>
    <row r="884" customFormat="false" ht="14.25" hidden="false" customHeight="true" outlineLevel="0" collapsed="false"/>
    <row r="885" customFormat="false" ht="14.25" hidden="false" customHeight="true" outlineLevel="0" collapsed="false"/>
    <row r="886" customFormat="false" ht="14.25" hidden="false" customHeight="true" outlineLevel="0" collapsed="false"/>
    <row r="887" customFormat="false" ht="14.25" hidden="false" customHeight="true" outlineLevel="0" collapsed="false"/>
    <row r="888" customFormat="false" ht="14.25" hidden="false" customHeight="true" outlineLevel="0" collapsed="false"/>
    <row r="889" customFormat="false" ht="14.25" hidden="false" customHeight="true" outlineLevel="0" collapsed="false"/>
    <row r="890" customFormat="false" ht="14.25" hidden="false" customHeight="true" outlineLevel="0" collapsed="false"/>
    <row r="891" customFormat="false" ht="14.25" hidden="false" customHeight="true" outlineLevel="0" collapsed="false"/>
    <row r="892" customFormat="false" ht="14.25" hidden="false" customHeight="true" outlineLevel="0" collapsed="false"/>
    <row r="893" customFormat="false" ht="14.25" hidden="false" customHeight="true" outlineLevel="0" collapsed="false"/>
    <row r="894" customFormat="false" ht="14.25" hidden="false" customHeight="true" outlineLevel="0" collapsed="false"/>
    <row r="895" customFormat="false" ht="14.25" hidden="false" customHeight="true" outlineLevel="0" collapsed="false"/>
    <row r="896" customFormat="false" ht="14.25" hidden="false" customHeight="true" outlineLevel="0" collapsed="false"/>
    <row r="897" customFormat="false" ht="14.25" hidden="false" customHeight="true" outlineLevel="0" collapsed="false"/>
    <row r="898" customFormat="false" ht="14.25" hidden="false" customHeight="true" outlineLevel="0" collapsed="false"/>
    <row r="899" customFormat="false" ht="14.25" hidden="false" customHeight="true" outlineLevel="0" collapsed="false"/>
    <row r="900" customFormat="false" ht="14.25" hidden="false" customHeight="true" outlineLevel="0" collapsed="false"/>
    <row r="901" customFormat="false" ht="14.25" hidden="false" customHeight="true" outlineLevel="0" collapsed="false"/>
    <row r="902" customFormat="false" ht="14.25" hidden="false" customHeight="true" outlineLevel="0" collapsed="false"/>
    <row r="903" customFormat="false" ht="14.25" hidden="false" customHeight="true" outlineLevel="0" collapsed="false"/>
    <row r="904" customFormat="false" ht="14.25" hidden="false" customHeight="true" outlineLevel="0" collapsed="false"/>
    <row r="905" customFormat="false" ht="14.25" hidden="false" customHeight="true" outlineLevel="0" collapsed="false"/>
    <row r="906" customFormat="false" ht="14.25" hidden="false" customHeight="true" outlineLevel="0" collapsed="false"/>
    <row r="907" customFormat="false" ht="14.25" hidden="false" customHeight="true" outlineLevel="0" collapsed="false"/>
    <row r="908" customFormat="false" ht="14.25" hidden="false" customHeight="true" outlineLevel="0" collapsed="false"/>
    <row r="909" customFormat="false" ht="14.25" hidden="false" customHeight="true" outlineLevel="0" collapsed="false"/>
    <row r="910" customFormat="false" ht="14.25" hidden="false" customHeight="true" outlineLevel="0" collapsed="false"/>
    <row r="911" customFormat="false" ht="14.25" hidden="false" customHeight="true" outlineLevel="0" collapsed="false"/>
    <row r="912" customFormat="false" ht="14.25" hidden="false" customHeight="true" outlineLevel="0" collapsed="false"/>
    <row r="913" customFormat="false" ht="14.25" hidden="false" customHeight="true" outlineLevel="0" collapsed="false"/>
    <row r="914" customFormat="false" ht="14.25" hidden="false" customHeight="true" outlineLevel="0" collapsed="false"/>
    <row r="915" customFormat="false" ht="14.25" hidden="false" customHeight="true" outlineLevel="0" collapsed="false"/>
    <row r="916" customFormat="false" ht="14.25" hidden="false" customHeight="true" outlineLevel="0" collapsed="false"/>
    <row r="917" customFormat="false" ht="14.25" hidden="false" customHeight="true" outlineLevel="0" collapsed="false"/>
    <row r="918" customFormat="false" ht="14.25" hidden="false" customHeight="true" outlineLevel="0" collapsed="false"/>
    <row r="919" customFormat="false" ht="14.25" hidden="false" customHeight="true" outlineLevel="0" collapsed="false"/>
    <row r="920" customFormat="false" ht="14.25" hidden="false" customHeight="true" outlineLevel="0" collapsed="false"/>
    <row r="921" customFormat="false" ht="14.25" hidden="false" customHeight="true" outlineLevel="0" collapsed="false"/>
    <row r="922" customFormat="false" ht="14.25" hidden="false" customHeight="true" outlineLevel="0" collapsed="false"/>
    <row r="923" customFormat="false" ht="14.25" hidden="false" customHeight="true" outlineLevel="0" collapsed="false"/>
    <row r="924" customFormat="false" ht="14.25" hidden="false" customHeight="true" outlineLevel="0" collapsed="false"/>
    <row r="925" customFormat="false" ht="14.25" hidden="false" customHeight="true" outlineLevel="0" collapsed="false"/>
    <row r="926" customFormat="false" ht="14.25" hidden="false" customHeight="true" outlineLevel="0" collapsed="false"/>
    <row r="927" customFormat="false" ht="14.25" hidden="false" customHeight="true" outlineLevel="0" collapsed="false"/>
    <row r="928" customFormat="false" ht="14.25" hidden="false" customHeight="true" outlineLevel="0" collapsed="false"/>
    <row r="929" customFormat="false" ht="14.25" hidden="false" customHeight="true" outlineLevel="0" collapsed="false"/>
    <row r="930" customFormat="false" ht="14.25" hidden="false" customHeight="true" outlineLevel="0" collapsed="false"/>
    <row r="931" customFormat="false" ht="14.25" hidden="false" customHeight="true" outlineLevel="0" collapsed="false"/>
    <row r="932" customFormat="false" ht="14.25" hidden="false" customHeight="true" outlineLevel="0" collapsed="false"/>
    <row r="933" customFormat="false" ht="14.25" hidden="false" customHeight="true" outlineLevel="0" collapsed="false"/>
    <row r="934" customFormat="false" ht="14.25" hidden="false" customHeight="true" outlineLevel="0" collapsed="false"/>
    <row r="935" customFormat="false" ht="14.25" hidden="false" customHeight="true" outlineLevel="0" collapsed="false"/>
    <row r="936" customFormat="false" ht="14.25" hidden="false" customHeight="true" outlineLevel="0" collapsed="false"/>
    <row r="937" customFormat="false" ht="14.25" hidden="false" customHeight="true" outlineLevel="0" collapsed="false"/>
    <row r="938" customFormat="false" ht="14.25" hidden="false" customHeight="true" outlineLevel="0" collapsed="false"/>
    <row r="939" customFormat="false" ht="14.25" hidden="false" customHeight="true" outlineLevel="0" collapsed="false"/>
    <row r="940" customFormat="false" ht="14.25" hidden="false" customHeight="true" outlineLevel="0" collapsed="false"/>
    <row r="941" customFormat="false" ht="14.25" hidden="false" customHeight="true" outlineLevel="0" collapsed="false"/>
    <row r="942" customFormat="false" ht="14.25" hidden="false" customHeight="true" outlineLevel="0" collapsed="false"/>
    <row r="943" customFormat="false" ht="14.25" hidden="false" customHeight="true" outlineLevel="0" collapsed="false"/>
    <row r="944" customFormat="false" ht="14.25" hidden="false" customHeight="true" outlineLevel="0" collapsed="false"/>
    <row r="945" customFormat="false" ht="14.25" hidden="false" customHeight="true" outlineLevel="0" collapsed="false"/>
    <row r="946" customFormat="false" ht="14.25" hidden="false" customHeight="true" outlineLevel="0" collapsed="false"/>
    <row r="947" customFormat="false" ht="14.25" hidden="false" customHeight="true" outlineLevel="0" collapsed="false"/>
    <row r="948" customFormat="false" ht="14.25" hidden="false" customHeight="true" outlineLevel="0" collapsed="false"/>
    <row r="949" customFormat="false" ht="14.25" hidden="false" customHeight="true" outlineLevel="0" collapsed="false"/>
    <row r="950" customFormat="false" ht="14.25" hidden="false" customHeight="true" outlineLevel="0" collapsed="false"/>
    <row r="951" customFormat="false" ht="14.25" hidden="false" customHeight="true" outlineLevel="0" collapsed="false"/>
    <row r="952" customFormat="false" ht="14.25" hidden="false" customHeight="true" outlineLevel="0" collapsed="false"/>
    <row r="953" customFormat="false" ht="14.25" hidden="false" customHeight="true" outlineLevel="0" collapsed="false"/>
    <row r="954" customFormat="false" ht="14.25" hidden="false" customHeight="true" outlineLevel="0" collapsed="false"/>
    <row r="955" customFormat="false" ht="14.25" hidden="false" customHeight="true" outlineLevel="0" collapsed="false"/>
    <row r="956" customFormat="false" ht="14.25" hidden="false" customHeight="true" outlineLevel="0" collapsed="false"/>
    <row r="957" customFormat="false" ht="14.25" hidden="false" customHeight="true" outlineLevel="0" collapsed="false"/>
    <row r="958" customFormat="false" ht="14.25" hidden="false" customHeight="true" outlineLevel="0" collapsed="false"/>
    <row r="959" customFormat="false" ht="14.25" hidden="false" customHeight="true" outlineLevel="0" collapsed="false"/>
    <row r="960" customFormat="false" ht="14.25" hidden="false" customHeight="true" outlineLevel="0" collapsed="false"/>
    <row r="961" customFormat="false" ht="14.25" hidden="false" customHeight="true" outlineLevel="0" collapsed="false"/>
    <row r="962" customFormat="false" ht="14.25" hidden="false" customHeight="true" outlineLevel="0" collapsed="false"/>
    <row r="963" customFormat="false" ht="14.25" hidden="false" customHeight="true" outlineLevel="0" collapsed="false"/>
    <row r="964" customFormat="false" ht="14.25" hidden="false" customHeight="true" outlineLevel="0" collapsed="false"/>
    <row r="965" customFormat="false" ht="14.25" hidden="false" customHeight="true" outlineLevel="0" collapsed="false"/>
    <row r="966" customFormat="false" ht="14.25" hidden="false" customHeight="true" outlineLevel="0" collapsed="false"/>
    <row r="967" customFormat="false" ht="14.25" hidden="false" customHeight="true" outlineLevel="0" collapsed="false"/>
    <row r="968" customFormat="false" ht="14.25" hidden="false" customHeight="true" outlineLevel="0" collapsed="false"/>
    <row r="969" customFormat="false" ht="14.25" hidden="false" customHeight="true" outlineLevel="0" collapsed="false"/>
    <row r="970" customFormat="false" ht="14.25" hidden="false" customHeight="true" outlineLevel="0" collapsed="false"/>
    <row r="971" customFormat="false" ht="14.25" hidden="false" customHeight="true" outlineLevel="0" collapsed="false"/>
    <row r="972" customFormat="false" ht="14.25" hidden="false" customHeight="true" outlineLevel="0" collapsed="false"/>
    <row r="973" customFormat="false" ht="14.25" hidden="false" customHeight="true" outlineLevel="0" collapsed="false"/>
    <row r="974" customFormat="false" ht="14.25" hidden="false" customHeight="true" outlineLevel="0" collapsed="false"/>
    <row r="975" customFormat="false" ht="14.25" hidden="false" customHeight="true" outlineLevel="0" collapsed="false"/>
    <row r="976" customFormat="false" ht="14.25" hidden="false" customHeight="true" outlineLevel="0" collapsed="false"/>
    <row r="977" customFormat="false" ht="14.25" hidden="false" customHeight="true" outlineLevel="0" collapsed="false"/>
    <row r="978" customFormat="false" ht="14.25" hidden="false" customHeight="true" outlineLevel="0" collapsed="false"/>
    <row r="979" customFormat="false" ht="14.25" hidden="false" customHeight="true" outlineLevel="0" collapsed="false"/>
    <row r="980" customFormat="false" ht="14.25" hidden="false" customHeight="true" outlineLevel="0" collapsed="false"/>
    <row r="981" customFormat="false" ht="14.25" hidden="false" customHeight="true" outlineLevel="0" collapsed="false"/>
    <row r="982" customFormat="false" ht="14.25" hidden="false" customHeight="true" outlineLevel="0" collapsed="false"/>
    <row r="983" customFormat="false" ht="14.25" hidden="false" customHeight="true" outlineLevel="0" collapsed="false"/>
    <row r="984" customFormat="false" ht="14.25" hidden="false" customHeight="true" outlineLevel="0" collapsed="false"/>
    <row r="985" customFormat="false" ht="14.25" hidden="false" customHeight="true" outlineLevel="0" collapsed="false"/>
    <row r="986" customFormat="false" ht="14.25" hidden="false" customHeight="true" outlineLevel="0" collapsed="false"/>
    <row r="987" customFormat="false" ht="14.25" hidden="false" customHeight="true" outlineLevel="0" collapsed="false"/>
    <row r="988" customFormat="false" ht="14.25" hidden="false" customHeight="true" outlineLevel="0" collapsed="false"/>
    <row r="989" customFormat="false" ht="14.25" hidden="false" customHeight="true" outlineLevel="0" collapsed="false"/>
    <row r="990" customFormat="false" ht="14.25" hidden="false" customHeight="true" outlineLevel="0" collapsed="false"/>
    <row r="991" customFormat="false" ht="14.25" hidden="false" customHeight="true" outlineLevel="0" collapsed="false"/>
    <row r="992" customFormat="false" ht="14.25" hidden="false" customHeight="true" outlineLevel="0" collapsed="false"/>
    <row r="993" customFormat="false" ht="14.25" hidden="false" customHeight="true" outlineLevel="0" collapsed="false"/>
    <row r="994" customFormat="false" ht="14.25" hidden="false" customHeight="true" outlineLevel="0" collapsed="false"/>
    <row r="995" customFormat="false" ht="14.25" hidden="false" customHeight="true" outlineLevel="0" collapsed="false"/>
    <row r="996" customFormat="false" ht="14.25" hidden="false" customHeight="true" outlineLevel="0" collapsed="false"/>
    <row r="997" customFormat="false" ht="14.25" hidden="false" customHeight="true" outlineLevel="0" collapsed="false"/>
    <row r="998" customFormat="false" ht="14.25" hidden="false" customHeight="true" outlineLevel="0" collapsed="false"/>
    <row r="999" customFormat="false" ht="14.25" hidden="false" customHeight="true" outlineLevel="0" collapsed="false"/>
    <row r="1000" customFormat="false" ht="14.25" hidden="false" customHeight="true" outlineLevel="0" collapsed="false"/>
  </sheetData>
  <conditionalFormatting sqref="B2:B26">
    <cfRule type="expression" priority="2" aboveAverage="0" equalAverage="0" bottom="0" percent="0" rank="0" text="" dxfId="0">
      <formula>B2&gt;$N$13</formula>
    </cfRule>
    <cfRule type="expression" priority="3" aboveAverage="0" equalAverage="0" bottom="0" percent="0" rank="0" text="" dxfId="1">
      <formula>B30=0</formula>
    </cfRule>
    <cfRule type="expression" priority="4" aboveAverage="0" equalAverage="0" bottom="0" percent="0" rank="0" text="" dxfId="2">
      <formula>B58&gt;1</formula>
    </cfRule>
    <cfRule type="expression" priority="5" aboveAverage="0" equalAverage="0" bottom="0" percent="0" rank="0" text="" dxfId="3">
      <formula>AND(B30&gt;1,$L2&lt;&gt;"Manual")</formula>
    </cfRule>
    <cfRule type="expression" priority="6" aboveAverage="0" equalAverage="0" bottom="0" percent="0" rank="0" text="" dxfId="4">
      <formula>AND(B30&gt;1,$L2="Manual")</formula>
    </cfRule>
  </conditionalFormatting>
  <conditionalFormatting sqref="C2:K26">
    <cfRule type="expression" priority="7" aboveAverage="0" equalAverage="0" bottom="0" percent="0" rank="0" text="" dxfId="0">
      <formula>C2&gt;$N$13</formula>
    </cfRule>
    <cfRule type="expression" priority="8" aboveAverage="0" equalAverage="0" bottom="0" percent="0" rank="0" text="" dxfId="1">
      <formula>C30=0</formula>
    </cfRule>
    <cfRule type="expression" priority="9" aboveAverage="0" equalAverage="0" bottom="0" percent="0" rank="0" text="" dxfId="2">
      <formula>C58&gt;B58</formula>
    </cfRule>
    <cfRule type="expression" priority="10" aboveAverage="0" equalAverage="0" bottom="0" percent="0" rank="0" text="" dxfId="3">
      <formula>AND(C30&gt;B30,$L2&lt;&gt;"Manual")</formula>
    </cfRule>
    <cfRule type="expression" priority="11" aboveAverage="0" equalAverage="0" bottom="0" percent="0" rank="0" text="" dxfId="4">
      <formula>AND(C30&gt;B30,$L2="Manual")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2026-10-13T18:29:11Z</dcterms:created>
  <dc:creator>openpyxl</dc:creator>
  <dc:description/>
  <dc:language>en-US</dc:language>
  <cp:lastModifiedBy/>
  <dcterms:modified xsi:type="dcterms:W3CDTF">2026-10-19T01:20:35Z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